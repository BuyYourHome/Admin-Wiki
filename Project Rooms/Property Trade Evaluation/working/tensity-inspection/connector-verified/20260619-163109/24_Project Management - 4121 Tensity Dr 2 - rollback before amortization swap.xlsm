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4.xml" ContentType="application/vnd.openxmlformats-officedocument.spreadsheetml.table+xml"/>
  <Override PartName="/xl/queryTables/queryTable2.xml" ContentType="application/vnd.openxmlformats-officedocument.spreadsheetml.queryTable+xml"/>
  <Override PartName="/xl/tables/table5.xml" ContentType="application/vnd.openxmlformats-officedocument.spreadsheetml.table+xml"/>
  <Override PartName="/xl/queryTables/queryTable3.xml" ContentType="application/vnd.openxmlformats-officedocument.spreadsheetml.queryTable+xml"/>
  <Override PartName="/xl/tables/table6.xml" ContentType="application/vnd.openxmlformats-officedocument.spreadsheetml.table+xml"/>
  <Override PartName="/xl/tables/table7.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838" documentId="13_ncr:1_{5917DC0B-776D-4D0F-9B53-6A2C0097DDF9}" xr6:coauthVersionLast="47" xr6:coauthVersionMax="47" xr10:uidLastSave="{9C6DA3EA-364A-469E-B021-B4FC0EC41D2A}"/>
  <bookViews>
    <workbookView xWindow="38280" yWindow="1305" windowWidth="29040" windowHeight="15720" tabRatio="889" xr2:uid="{00000000-000D-0000-FFFF-FFFF00000000}"/>
  </bookViews>
  <sheets>
    <sheet name="Profit" sheetId="1" r:id="rId1"/>
    <sheet name="Amortization" sheetId="63"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FIXED" hidden="1" xlm="1">#NAME?</definedName>
    <definedName name="_xleta.IF" hidden="1" xlm="1">#NAME?</definedName>
    <definedName name="_xleta.OR" hidden="1" xlm="1">#NAME?</definedName>
    <definedName name="_xleta.SUM" hidden="1" xlm="1">#NAME?</definedName>
    <definedName name="_xlpm.cat" hidden="1" xlm="1">#NAME?</definedName>
    <definedName name="_xlpm.matches" hidden="1" xlm="1">#NAME?</definedName>
    <definedName name="_xlpm.n" hidden="1" xlm="1">#NAME?</definedName>
    <definedName name="_xlpm.sorted" hidden="1" xlm="1">#NAME?</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'Gnatt Chart'!$G$4</definedName>
    <definedName name="Project_Start">'Gnatt Chart'!$F$2</definedName>
    <definedName name="ProposalToGnatt__2" localSheetId="11" hidden="1">'Recap'!$A$4:$G$21</definedName>
    <definedName name="Scrolling_Increment">'Gnatt Chart'!$AB$24</definedName>
    <definedName name="Today" localSheetId="9">TODAY()</definedName>
  </definedNames>
  <calcPr calcId="191029" iterate="1" iterateDelta="1E-4"/>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U18" i="67" l="1"/>
  <c r="I27" i="66" s="1"/>
  <c r="H8" i="67"/>
  <c r="H7" i="67"/>
  <c r="H6" i="67"/>
  <c r="E19" i="67"/>
  <c r="D19" i="67"/>
  <c r="C19" i="67"/>
  <c r="H18" i="67"/>
  <c r="F18" i="67"/>
  <c r="G18" i="67" s="1"/>
  <c r="H17" i="67"/>
  <c r="F17" i="67"/>
  <c r="G17" i="67" s="1"/>
  <c r="H16" i="67"/>
  <c r="F16" i="67"/>
  <c r="G16" i="67" s="1"/>
  <c r="I28" i="66"/>
  <c r="U10" i="67"/>
  <c r="U9" i="67"/>
  <c r="U7" i="67"/>
  <c r="J9" i="67"/>
  <c r="D9" i="67"/>
  <c r="C9" i="67"/>
  <c r="E8" i="67"/>
  <c r="F8" i="67" s="1"/>
  <c r="E7" i="67"/>
  <c r="F7" i="67" s="1"/>
  <c r="E6" i="67"/>
  <c r="I11" i="66"/>
  <c r="E39" i="66"/>
  <c r="E38" i="66"/>
  <c r="E16" i="66"/>
  <c r="E15" i="66"/>
  <c r="E14" i="66" s="1"/>
  <c r="E12" i="66"/>
  <c r="E11" i="66"/>
  <c r="E34" i="66" s="1"/>
  <c r="E4" i="66"/>
  <c r="B49" i="66"/>
  <c r="B46" i="66"/>
  <c r="B45" i="66"/>
  <c r="B33" i="66"/>
  <c r="E3" i="66" s="1"/>
  <c r="B30" i="66"/>
  <c r="B29" i="66"/>
  <c r="B21" i="66"/>
  <c r="B20" i="66"/>
  <c r="B19" i="66"/>
  <c r="B16" i="66"/>
  <c r="B17" i="66" s="1"/>
  <c r="B8" i="66"/>
  <c r="I4" i="66"/>
  <c r="I5" i="66" s="1"/>
  <c r="I7" i="66"/>
  <c r="E7" i="66"/>
  <c r="I6" i="66"/>
  <c r="K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H9" i="67" l="1"/>
  <c r="H19" i="67"/>
  <c r="I18" i="67"/>
  <c r="I16" i="67"/>
  <c r="F19" i="67"/>
  <c r="I19" i="67" s="1"/>
  <c r="I17" i="67"/>
  <c r="M18" i="67"/>
  <c r="G8" i="67" s="1"/>
  <c r="I8" i="67" s="1"/>
  <c r="K8" i="67" s="1"/>
  <c r="L18" i="67"/>
  <c r="K18" i="67"/>
  <c r="J18" i="67"/>
  <c r="M16" i="67"/>
  <c r="G6" i="67" s="1"/>
  <c r="L16" i="67"/>
  <c r="K16" i="67"/>
  <c r="G19" i="67"/>
  <c r="J16" i="67"/>
  <c r="M17" i="67"/>
  <c r="G7" i="67" s="1"/>
  <c r="I7" i="67" s="1"/>
  <c r="K7" i="67" s="1"/>
  <c r="L17" i="67"/>
  <c r="K17" i="67"/>
  <c r="J17" i="67"/>
  <c r="U11" i="67"/>
  <c r="F6" i="67"/>
  <c r="U12" i="67" s="1"/>
  <c r="U15" i="67" s="1"/>
  <c r="E9" i="67"/>
  <c r="I3" i="66"/>
  <c r="Z25" i="57"/>
  <c r="AF25" i="57"/>
  <c r="AC25" i="57"/>
  <c r="W25" i="57"/>
  <c r="T25" i="57"/>
  <c r="Q25" i="57"/>
  <c r="N25" i="57"/>
  <c r="K25" i="57"/>
  <c r="H25" i="57"/>
  <c r="E25" i="57"/>
  <c r="B25" i="57"/>
  <c r="I6" i="67" l="1"/>
  <c r="K6" i="67" s="1"/>
  <c r="K9" i="67" s="1"/>
  <c r="G9" i="67"/>
  <c r="M19" i="67"/>
  <c r="L19" i="67"/>
  <c r="K19" i="67"/>
  <c r="J19" i="67"/>
  <c r="F9" i="67"/>
  <c r="U16" i="67"/>
  <c r="U14" i="67"/>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J15" i="4"/>
  <c r="K15" i="4" s="1"/>
  <c r="P15" i="1"/>
  <c r="I9" i="67" l="1"/>
  <c r="U6" i="67"/>
  <c r="H41" i="65"/>
  <c r="E26" i="37"/>
  <c r="F4" i="13"/>
  <c r="F29" i="20"/>
  <c r="G29" i="20" s="1"/>
  <c r="M16" i="16"/>
  <c r="N16" i="16" s="1"/>
  <c r="E12" i="16"/>
  <c r="E11" i="16"/>
  <c r="E10" i="16"/>
  <c r="E8" i="16"/>
  <c r="G7" i="18"/>
  <c r="G6" i="18"/>
  <c r="P11" i="1"/>
  <c r="P12" i="1"/>
  <c r="U8" i="67" l="1"/>
  <c r="I23" i="66" s="1"/>
  <c r="F17" i="1"/>
  <c r="E17" i="1"/>
  <c r="D17" i="1"/>
  <c r="C3" i="63" l="1"/>
  <c r="C2" i="63"/>
  <c r="X782" i="63"/>
  <c r="X781" i="63"/>
  <c r="X780" i="63"/>
  <c r="X779" i="63"/>
  <c r="X778" i="63"/>
  <c r="X777" i="63"/>
  <c r="X776" i="63"/>
  <c r="X775" i="63"/>
  <c r="X774" i="63"/>
  <c r="X773" i="63"/>
  <c r="X772" i="63"/>
  <c r="X771" i="63"/>
  <c r="X770" i="63"/>
  <c r="X769" i="63"/>
  <c r="X768" i="63"/>
  <c r="X767" i="63"/>
  <c r="X766" i="63"/>
  <c r="X765" i="63"/>
  <c r="X764" i="63"/>
  <c r="X763" i="63"/>
  <c r="X762" i="63"/>
  <c r="X761" i="63"/>
  <c r="X760" i="63"/>
  <c r="X759" i="63"/>
  <c r="X758" i="63"/>
  <c r="X757" i="63"/>
  <c r="X756" i="63"/>
  <c r="X755" i="63"/>
  <c r="X754" i="63"/>
  <c r="X753" i="63"/>
  <c r="X752" i="63"/>
  <c r="X751" i="63"/>
  <c r="X750" i="63"/>
  <c r="X749" i="63"/>
  <c r="X748" i="63"/>
  <c r="X747" i="63"/>
  <c r="X746" i="63"/>
  <c r="X745" i="63"/>
  <c r="X744" i="63"/>
  <c r="X743" i="63"/>
  <c r="X742" i="63"/>
  <c r="X741" i="63"/>
  <c r="X740" i="63"/>
  <c r="X739" i="63"/>
  <c r="X738" i="63"/>
  <c r="X737" i="63"/>
  <c r="X736" i="63"/>
  <c r="X735" i="63"/>
  <c r="X734" i="63"/>
  <c r="X733" i="63"/>
  <c r="X732" i="63"/>
  <c r="X731" i="63"/>
  <c r="X730" i="63"/>
  <c r="X729" i="63"/>
  <c r="X728" i="63"/>
  <c r="X727" i="63"/>
  <c r="X726" i="63"/>
  <c r="X725" i="63"/>
  <c r="X724" i="63"/>
  <c r="X723" i="63"/>
  <c r="X722" i="63"/>
  <c r="X721" i="63"/>
  <c r="X720" i="63"/>
  <c r="X719" i="63"/>
  <c r="X718" i="63"/>
  <c r="X717" i="63"/>
  <c r="X716" i="63"/>
  <c r="X715" i="63"/>
  <c r="X714" i="63"/>
  <c r="X713" i="63"/>
  <c r="X712" i="63"/>
  <c r="X711" i="63"/>
  <c r="X710" i="63"/>
  <c r="X709" i="63"/>
  <c r="X708" i="63"/>
  <c r="X707" i="63"/>
  <c r="X706" i="63"/>
  <c r="X705" i="63"/>
  <c r="X704" i="63"/>
  <c r="X703" i="63"/>
  <c r="X702" i="63"/>
  <c r="X701" i="63"/>
  <c r="X700" i="63"/>
  <c r="X699" i="63"/>
  <c r="X698" i="63"/>
  <c r="X697" i="63"/>
  <c r="X696" i="63"/>
  <c r="X695" i="63"/>
  <c r="X694" i="63"/>
  <c r="X693" i="63"/>
  <c r="X692" i="63"/>
  <c r="X691" i="63"/>
  <c r="X690" i="63"/>
  <c r="X689" i="63"/>
  <c r="X688" i="63"/>
  <c r="X687" i="63"/>
  <c r="X686" i="63"/>
  <c r="X685" i="63"/>
  <c r="X684" i="63"/>
  <c r="X683" i="63"/>
  <c r="X682" i="63"/>
  <c r="X681" i="63"/>
  <c r="X680" i="63"/>
  <c r="X679" i="63"/>
  <c r="X678" i="63"/>
  <c r="X677" i="63"/>
  <c r="X676" i="63"/>
  <c r="X675" i="63"/>
  <c r="X674" i="63"/>
  <c r="X673" i="63"/>
  <c r="X672" i="63"/>
  <c r="X671" i="63"/>
  <c r="X670" i="63"/>
  <c r="X669" i="63"/>
  <c r="X668" i="63"/>
  <c r="X667" i="63"/>
  <c r="X666" i="63"/>
  <c r="X665" i="63"/>
  <c r="X664" i="63"/>
  <c r="X663" i="63"/>
  <c r="X662" i="63"/>
  <c r="X661" i="63"/>
  <c r="X660" i="63"/>
  <c r="X659" i="63"/>
  <c r="X658" i="63"/>
  <c r="X657" i="63"/>
  <c r="X656" i="63"/>
  <c r="X655" i="63"/>
  <c r="X654" i="63"/>
  <c r="X653" i="63"/>
  <c r="X652" i="63"/>
  <c r="X651" i="63"/>
  <c r="X650" i="63"/>
  <c r="X649" i="63"/>
  <c r="X648" i="63"/>
  <c r="X647" i="63"/>
  <c r="X646" i="63"/>
  <c r="X645" i="63"/>
  <c r="X644" i="63"/>
  <c r="X643" i="63"/>
  <c r="X642" i="63"/>
  <c r="X641" i="63"/>
  <c r="X640" i="63"/>
  <c r="X639" i="63"/>
  <c r="X638" i="63"/>
  <c r="X637" i="63"/>
  <c r="X636" i="63"/>
  <c r="X635" i="63"/>
  <c r="X634" i="63"/>
  <c r="X633" i="63"/>
  <c r="X632" i="63"/>
  <c r="X631" i="63"/>
  <c r="X630" i="63"/>
  <c r="X629" i="63"/>
  <c r="X628" i="63"/>
  <c r="X627" i="63"/>
  <c r="X626" i="63"/>
  <c r="X625" i="63"/>
  <c r="X624" i="63"/>
  <c r="X623" i="63"/>
  <c r="X622" i="63"/>
  <c r="X621" i="63"/>
  <c r="X620" i="63"/>
  <c r="X619" i="63"/>
  <c r="X618" i="63"/>
  <c r="X617" i="63"/>
  <c r="X616" i="63"/>
  <c r="X615" i="63"/>
  <c r="X614" i="63"/>
  <c r="X613" i="63"/>
  <c r="X612" i="63"/>
  <c r="X611" i="63"/>
  <c r="X610" i="63"/>
  <c r="X609" i="63"/>
  <c r="X608" i="63"/>
  <c r="X607" i="63"/>
  <c r="X606" i="63"/>
  <c r="X605" i="63"/>
  <c r="X604" i="63"/>
  <c r="X603" i="63"/>
  <c r="X602" i="63"/>
  <c r="X601" i="63"/>
  <c r="X600" i="63"/>
  <c r="X599" i="63"/>
  <c r="X598" i="63"/>
  <c r="X597" i="63"/>
  <c r="X596" i="63"/>
  <c r="X595" i="63"/>
  <c r="X594" i="63"/>
  <c r="X593" i="63"/>
  <c r="X592" i="63"/>
  <c r="X591" i="63"/>
  <c r="X590" i="63"/>
  <c r="X589" i="63"/>
  <c r="X588" i="63"/>
  <c r="X587" i="63"/>
  <c r="X586" i="63"/>
  <c r="X585" i="63"/>
  <c r="X584" i="63"/>
  <c r="X583" i="63"/>
  <c r="X582" i="63"/>
  <c r="X581" i="63"/>
  <c r="X580" i="63"/>
  <c r="X579" i="63"/>
  <c r="X578" i="63"/>
  <c r="X577" i="63"/>
  <c r="X576" i="63"/>
  <c r="X575" i="63"/>
  <c r="X574" i="63"/>
  <c r="X573" i="63"/>
  <c r="X572" i="63"/>
  <c r="X571" i="63"/>
  <c r="X570" i="63"/>
  <c r="X569" i="63"/>
  <c r="X568" i="63"/>
  <c r="X567" i="63"/>
  <c r="X566" i="63"/>
  <c r="X565" i="63"/>
  <c r="X564" i="63"/>
  <c r="X563" i="63"/>
  <c r="X562" i="63"/>
  <c r="X561" i="63"/>
  <c r="X560" i="63"/>
  <c r="X559" i="63"/>
  <c r="X558" i="63"/>
  <c r="X557" i="63"/>
  <c r="X556" i="63"/>
  <c r="X555" i="63"/>
  <c r="X554" i="63"/>
  <c r="X553" i="63"/>
  <c r="X552" i="63"/>
  <c r="X551" i="63"/>
  <c r="X550" i="63"/>
  <c r="X549" i="63"/>
  <c r="X548" i="63"/>
  <c r="X547" i="63"/>
  <c r="X546" i="63"/>
  <c r="X545" i="63"/>
  <c r="X544" i="63"/>
  <c r="X543" i="63"/>
  <c r="X542" i="63"/>
  <c r="X541" i="63"/>
  <c r="X540" i="63"/>
  <c r="X539" i="63"/>
  <c r="X538" i="63"/>
  <c r="X537" i="63"/>
  <c r="X536" i="63"/>
  <c r="X535" i="63"/>
  <c r="X534" i="63"/>
  <c r="X533" i="63"/>
  <c r="X532" i="63"/>
  <c r="X531" i="63"/>
  <c r="X530" i="63"/>
  <c r="X529" i="63"/>
  <c r="X528" i="63"/>
  <c r="X527" i="63"/>
  <c r="X526" i="63"/>
  <c r="X525" i="63"/>
  <c r="X524" i="63"/>
  <c r="X523" i="63"/>
  <c r="X522" i="63"/>
  <c r="X521" i="63"/>
  <c r="X520" i="63"/>
  <c r="X519" i="63"/>
  <c r="X518" i="63"/>
  <c r="X517" i="63"/>
  <c r="X516" i="63"/>
  <c r="X515" i="63"/>
  <c r="X514" i="63"/>
  <c r="X513" i="63"/>
  <c r="X512" i="63"/>
  <c r="X511" i="63"/>
  <c r="X510" i="63"/>
  <c r="X509" i="63"/>
  <c r="X508" i="63"/>
  <c r="X507" i="63"/>
  <c r="X506" i="63"/>
  <c r="X505" i="63"/>
  <c r="X504" i="63"/>
  <c r="X503" i="63"/>
  <c r="X502" i="63"/>
  <c r="X501" i="63"/>
  <c r="X500" i="63"/>
  <c r="X499" i="63"/>
  <c r="X498" i="63"/>
  <c r="X497" i="63"/>
  <c r="X496" i="63"/>
  <c r="X495" i="63"/>
  <c r="X494" i="63"/>
  <c r="X493" i="63"/>
  <c r="X492" i="63"/>
  <c r="X491" i="63"/>
  <c r="X15" i="63"/>
  <c r="L782" i="63"/>
  <c r="L781" i="63"/>
  <c r="L780" i="63"/>
  <c r="L779" i="63"/>
  <c r="L778" i="63"/>
  <c r="L777" i="63"/>
  <c r="L776" i="63"/>
  <c r="L775" i="63"/>
  <c r="L774" i="63"/>
  <c r="L773" i="63"/>
  <c r="L772" i="63"/>
  <c r="L771" i="63"/>
  <c r="L770" i="63"/>
  <c r="L769" i="63"/>
  <c r="L768" i="63"/>
  <c r="L767" i="63"/>
  <c r="L766" i="63"/>
  <c r="L765" i="63"/>
  <c r="L764" i="63"/>
  <c r="L763" i="63"/>
  <c r="L762" i="63"/>
  <c r="L761" i="63"/>
  <c r="L760" i="63"/>
  <c r="L759" i="63"/>
  <c r="L758" i="63"/>
  <c r="L757" i="63"/>
  <c r="L756" i="63"/>
  <c r="L755" i="63"/>
  <c r="L754" i="63"/>
  <c r="L753" i="63"/>
  <c r="L752" i="63"/>
  <c r="L751" i="63"/>
  <c r="L750" i="63"/>
  <c r="L749" i="63"/>
  <c r="L748" i="63"/>
  <c r="L747" i="63"/>
  <c r="L746" i="63"/>
  <c r="L745" i="63"/>
  <c r="L744" i="63"/>
  <c r="L743" i="63"/>
  <c r="L742" i="63"/>
  <c r="L741" i="63"/>
  <c r="L740" i="63"/>
  <c r="L739" i="63"/>
  <c r="L738" i="63"/>
  <c r="L737" i="63"/>
  <c r="L736" i="63"/>
  <c r="L735" i="63"/>
  <c r="L734" i="63"/>
  <c r="L733" i="63"/>
  <c r="L732" i="63"/>
  <c r="L731" i="63"/>
  <c r="L730" i="63"/>
  <c r="L729" i="63"/>
  <c r="L728" i="63"/>
  <c r="L727" i="63"/>
  <c r="L726" i="63"/>
  <c r="L725" i="63"/>
  <c r="L724" i="63"/>
  <c r="L723" i="63"/>
  <c r="AM723" i="63" s="1"/>
  <c r="L722" i="63"/>
  <c r="AM722" i="63" s="1"/>
  <c r="L721" i="63"/>
  <c r="AM721" i="63" s="1"/>
  <c r="L720" i="63"/>
  <c r="AM720" i="63" s="1"/>
  <c r="L719" i="63"/>
  <c r="AM719" i="63" s="1"/>
  <c r="L718" i="63"/>
  <c r="AM718" i="63" s="1"/>
  <c r="L717" i="63"/>
  <c r="AM717" i="63" s="1"/>
  <c r="L716" i="63"/>
  <c r="AM716" i="63" s="1"/>
  <c r="L715" i="63"/>
  <c r="AM715" i="63" s="1"/>
  <c r="L714" i="63"/>
  <c r="AM714" i="63" s="1"/>
  <c r="L713" i="63"/>
  <c r="AM713" i="63" s="1"/>
  <c r="L712" i="63"/>
  <c r="AM712" i="63" s="1"/>
  <c r="L711" i="63"/>
  <c r="AM711" i="63" s="1"/>
  <c r="L710" i="63"/>
  <c r="AM710" i="63" s="1"/>
  <c r="L709" i="63"/>
  <c r="AM709" i="63" s="1"/>
  <c r="L708" i="63"/>
  <c r="AM708" i="63" s="1"/>
  <c r="L707" i="63"/>
  <c r="AM707" i="63" s="1"/>
  <c r="L706" i="63"/>
  <c r="AM706" i="63" s="1"/>
  <c r="L705" i="63"/>
  <c r="AM705" i="63" s="1"/>
  <c r="L704" i="63"/>
  <c r="AM704" i="63" s="1"/>
  <c r="L703" i="63"/>
  <c r="AM703" i="63" s="1"/>
  <c r="L702" i="63"/>
  <c r="AM702" i="63" s="1"/>
  <c r="L701" i="63"/>
  <c r="AM701" i="63" s="1"/>
  <c r="L700" i="63"/>
  <c r="AM700" i="63" s="1"/>
  <c r="L699" i="63"/>
  <c r="AM699" i="63" s="1"/>
  <c r="L698" i="63"/>
  <c r="AM698" i="63" s="1"/>
  <c r="L697" i="63"/>
  <c r="AM697" i="63" s="1"/>
  <c r="L696" i="63"/>
  <c r="AM696" i="63" s="1"/>
  <c r="L695" i="63"/>
  <c r="AM695" i="63" s="1"/>
  <c r="L694" i="63"/>
  <c r="AM694" i="63" s="1"/>
  <c r="L693" i="63"/>
  <c r="AM693" i="63" s="1"/>
  <c r="L692" i="63"/>
  <c r="AM692" i="63" s="1"/>
  <c r="L691" i="63"/>
  <c r="AM691" i="63" s="1"/>
  <c r="L690" i="63"/>
  <c r="AM690" i="63" s="1"/>
  <c r="L689" i="63"/>
  <c r="AM689" i="63" s="1"/>
  <c r="L688" i="63"/>
  <c r="AM688" i="63" s="1"/>
  <c r="L687" i="63"/>
  <c r="AM687" i="63" s="1"/>
  <c r="L686" i="63"/>
  <c r="AM686" i="63" s="1"/>
  <c r="L685" i="63"/>
  <c r="AM685" i="63" s="1"/>
  <c r="L684" i="63"/>
  <c r="AM684" i="63" s="1"/>
  <c r="L683" i="63"/>
  <c r="AM683" i="63" s="1"/>
  <c r="L682" i="63"/>
  <c r="AM682" i="63" s="1"/>
  <c r="L681" i="63"/>
  <c r="AM681" i="63" s="1"/>
  <c r="L680" i="63"/>
  <c r="AM680" i="63" s="1"/>
  <c r="L679" i="63"/>
  <c r="AM679" i="63" s="1"/>
  <c r="L678" i="63"/>
  <c r="AM678" i="63" s="1"/>
  <c r="L677" i="63"/>
  <c r="AM677" i="63" s="1"/>
  <c r="L676" i="63"/>
  <c r="AM676" i="63" s="1"/>
  <c r="L675" i="63"/>
  <c r="AM675" i="63" s="1"/>
  <c r="L674" i="63"/>
  <c r="AM674" i="63" s="1"/>
  <c r="L673" i="63"/>
  <c r="AM673" i="63" s="1"/>
  <c r="L672" i="63"/>
  <c r="AM672" i="63" s="1"/>
  <c r="L671" i="63"/>
  <c r="AM671" i="63" s="1"/>
  <c r="L670" i="63"/>
  <c r="AM670" i="63" s="1"/>
  <c r="L669" i="63"/>
  <c r="AM669" i="63" s="1"/>
  <c r="L668" i="63"/>
  <c r="AM668" i="63" s="1"/>
  <c r="L667" i="63"/>
  <c r="AM667" i="63" s="1"/>
  <c r="L666" i="63"/>
  <c r="AM666" i="63" s="1"/>
  <c r="L665" i="63"/>
  <c r="AM665" i="63" s="1"/>
  <c r="L664" i="63"/>
  <c r="AM664" i="63" s="1"/>
  <c r="L663" i="63"/>
  <c r="AM663" i="63" s="1"/>
  <c r="L662" i="63"/>
  <c r="AM662" i="63" s="1"/>
  <c r="L661" i="63"/>
  <c r="AM661" i="63" s="1"/>
  <c r="L660" i="63"/>
  <c r="AM660" i="63" s="1"/>
  <c r="L659" i="63"/>
  <c r="AM659" i="63" s="1"/>
  <c r="L658" i="63"/>
  <c r="AM658" i="63" s="1"/>
  <c r="L657" i="63"/>
  <c r="AM657" i="63" s="1"/>
  <c r="L656" i="63"/>
  <c r="AM656" i="63" s="1"/>
  <c r="L655" i="63"/>
  <c r="AM655" i="63" s="1"/>
  <c r="L654" i="63"/>
  <c r="AM654" i="63" s="1"/>
  <c r="L653" i="63"/>
  <c r="AM653" i="63" s="1"/>
  <c r="L652" i="63"/>
  <c r="AM652" i="63" s="1"/>
  <c r="L651" i="63"/>
  <c r="AM651" i="63" s="1"/>
  <c r="L650" i="63"/>
  <c r="AM650" i="63" s="1"/>
  <c r="L649" i="63"/>
  <c r="AM649" i="63" s="1"/>
  <c r="L648" i="63"/>
  <c r="AM648" i="63" s="1"/>
  <c r="L647" i="63"/>
  <c r="AM647" i="63" s="1"/>
  <c r="L646" i="63"/>
  <c r="AM646" i="63" s="1"/>
  <c r="L645" i="63"/>
  <c r="AM645" i="63" s="1"/>
  <c r="L644" i="63"/>
  <c r="AM644" i="63" s="1"/>
  <c r="L643" i="63"/>
  <c r="AM643" i="63" s="1"/>
  <c r="L642" i="63"/>
  <c r="AM642" i="63" s="1"/>
  <c r="L641" i="63"/>
  <c r="AM641" i="63" s="1"/>
  <c r="L640" i="63"/>
  <c r="AM640" i="63" s="1"/>
  <c r="L639" i="63"/>
  <c r="AM639" i="63" s="1"/>
  <c r="L638" i="63"/>
  <c r="AM638" i="63" s="1"/>
  <c r="L637" i="63"/>
  <c r="AM637" i="63" s="1"/>
  <c r="L636" i="63"/>
  <c r="AM636" i="63" s="1"/>
  <c r="L635" i="63"/>
  <c r="AM635" i="63" s="1"/>
  <c r="L634" i="63"/>
  <c r="AM634" i="63" s="1"/>
  <c r="L633" i="63"/>
  <c r="AM633" i="63" s="1"/>
  <c r="L632" i="63"/>
  <c r="AM632" i="63" s="1"/>
  <c r="L631" i="63"/>
  <c r="AM631" i="63" s="1"/>
  <c r="L630" i="63"/>
  <c r="AM630" i="63" s="1"/>
  <c r="L629" i="63"/>
  <c r="AM629" i="63" s="1"/>
  <c r="L628" i="63"/>
  <c r="AM628" i="63" s="1"/>
  <c r="L627" i="63"/>
  <c r="AM627" i="63" s="1"/>
  <c r="L626" i="63"/>
  <c r="AM626" i="63" s="1"/>
  <c r="L625" i="63"/>
  <c r="AM625" i="63" s="1"/>
  <c r="L624" i="63"/>
  <c r="AM624" i="63" s="1"/>
  <c r="L623" i="63"/>
  <c r="AM623" i="63" s="1"/>
  <c r="L622" i="63"/>
  <c r="AM622" i="63" s="1"/>
  <c r="L621" i="63"/>
  <c r="AM621" i="63" s="1"/>
  <c r="L620" i="63"/>
  <c r="AM620" i="63" s="1"/>
  <c r="L619" i="63"/>
  <c r="AM619" i="63" s="1"/>
  <c r="L618" i="63"/>
  <c r="AM618" i="63" s="1"/>
  <c r="L617" i="63"/>
  <c r="AM617" i="63" s="1"/>
  <c r="L616" i="63"/>
  <c r="AM616" i="63" s="1"/>
  <c r="L615" i="63"/>
  <c r="AM615" i="63" s="1"/>
  <c r="L614" i="63"/>
  <c r="AM614" i="63" s="1"/>
  <c r="L613" i="63"/>
  <c r="AM613" i="63" s="1"/>
  <c r="L612" i="63"/>
  <c r="AM612" i="63" s="1"/>
  <c r="L611" i="63"/>
  <c r="AM611" i="63" s="1"/>
  <c r="L610" i="63"/>
  <c r="AM610" i="63" s="1"/>
  <c r="L609" i="63"/>
  <c r="AM609" i="63" s="1"/>
  <c r="L608" i="63"/>
  <c r="AM608" i="63" s="1"/>
  <c r="L607" i="63"/>
  <c r="AM607" i="63" s="1"/>
  <c r="L606" i="63"/>
  <c r="AM606" i="63" s="1"/>
  <c r="L605" i="63"/>
  <c r="AM605" i="63" s="1"/>
  <c r="L604" i="63"/>
  <c r="AM604" i="63" s="1"/>
  <c r="L603" i="63"/>
  <c r="AM603" i="63" s="1"/>
  <c r="L602" i="63"/>
  <c r="AM602" i="63" s="1"/>
  <c r="L601" i="63"/>
  <c r="AM601" i="63" s="1"/>
  <c r="L600" i="63"/>
  <c r="AM600" i="63" s="1"/>
  <c r="L599" i="63"/>
  <c r="AM599" i="63" s="1"/>
  <c r="L598" i="63"/>
  <c r="AM598" i="63" s="1"/>
  <c r="L597" i="63"/>
  <c r="AM597" i="63" s="1"/>
  <c r="L596" i="63"/>
  <c r="AM596" i="63" s="1"/>
  <c r="L595" i="63"/>
  <c r="AM595" i="63" s="1"/>
  <c r="L594" i="63"/>
  <c r="AM594" i="63" s="1"/>
  <c r="L593" i="63"/>
  <c r="AM593" i="63" s="1"/>
  <c r="L592" i="63"/>
  <c r="AM592" i="63" s="1"/>
  <c r="L591" i="63"/>
  <c r="AM591" i="63" s="1"/>
  <c r="L590" i="63"/>
  <c r="AM590" i="63" s="1"/>
  <c r="L589" i="63"/>
  <c r="AM589" i="63" s="1"/>
  <c r="L588" i="63"/>
  <c r="AM588" i="63" s="1"/>
  <c r="L587" i="63"/>
  <c r="AM587" i="63" s="1"/>
  <c r="L586" i="63"/>
  <c r="AM586" i="63" s="1"/>
  <c r="L585" i="63"/>
  <c r="AM585" i="63" s="1"/>
  <c r="L584" i="63"/>
  <c r="AM584" i="63" s="1"/>
  <c r="L583" i="63"/>
  <c r="AM583" i="63" s="1"/>
  <c r="L582" i="63"/>
  <c r="AM582" i="63" s="1"/>
  <c r="L581" i="63"/>
  <c r="AM581" i="63" s="1"/>
  <c r="L580" i="63"/>
  <c r="AM580" i="63" s="1"/>
  <c r="L579" i="63"/>
  <c r="AM579" i="63" s="1"/>
  <c r="L578" i="63"/>
  <c r="AM578" i="63" s="1"/>
  <c r="L577" i="63"/>
  <c r="AM577" i="63" s="1"/>
  <c r="L576" i="63"/>
  <c r="AM576" i="63" s="1"/>
  <c r="L575" i="63"/>
  <c r="AM575" i="63" s="1"/>
  <c r="L574" i="63"/>
  <c r="AM574" i="63" s="1"/>
  <c r="L573" i="63"/>
  <c r="AM573" i="63" s="1"/>
  <c r="L572" i="63"/>
  <c r="AM572" i="63" s="1"/>
  <c r="L571" i="63"/>
  <c r="AM571" i="63" s="1"/>
  <c r="L570" i="63"/>
  <c r="AM570" i="63" s="1"/>
  <c r="L569" i="63"/>
  <c r="AM569" i="63" s="1"/>
  <c r="L568" i="63"/>
  <c r="AM568" i="63" s="1"/>
  <c r="L567" i="63"/>
  <c r="AM567" i="63" s="1"/>
  <c r="L566" i="63"/>
  <c r="AM566" i="63" s="1"/>
  <c r="L565" i="63"/>
  <c r="AM565" i="63" s="1"/>
  <c r="L564" i="63"/>
  <c r="AM564" i="63" s="1"/>
  <c r="L563" i="63"/>
  <c r="AM563" i="63" s="1"/>
  <c r="L562" i="63"/>
  <c r="AM562" i="63" s="1"/>
  <c r="L561" i="63"/>
  <c r="AM561" i="63" s="1"/>
  <c r="L560" i="63"/>
  <c r="AM560" i="63" s="1"/>
  <c r="L559" i="63"/>
  <c r="AM559" i="63" s="1"/>
  <c r="L558" i="63"/>
  <c r="AM558" i="63" s="1"/>
  <c r="L557" i="63"/>
  <c r="AM557" i="63" s="1"/>
  <c r="L556" i="63"/>
  <c r="AM556" i="63" s="1"/>
  <c r="L555" i="63"/>
  <c r="AM555" i="63" s="1"/>
  <c r="L554" i="63"/>
  <c r="AM554" i="63" s="1"/>
  <c r="L553" i="63"/>
  <c r="AM553" i="63" s="1"/>
  <c r="L552" i="63"/>
  <c r="AM552" i="63" s="1"/>
  <c r="L551" i="63"/>
  <c r="AM551" i="63" s="1"/>
  <c r="L550" i="63"/>
  <c r="AM550" i="63" s="1"/>
  <c r="L549" i="63"/>
  <c r="AM549" i="63" s="1"/>
  <c r="L548" i="63"/>
  <c r="AM548" i="63" s="1"/>
  <c r="L547" i="63"/>
  <c r="AM547" i="63" s="1"/>
  <c r="L546" i="63"/>
  <c r="AM546" i="63" s="1"/>
  <c r="L545" i="63"/>
  <c r="AM545" i="63" s="1"/>
  <c r="L544" i="63"/>
  <c r="AM544" i="63" s="1"/>
  <c r="L543" i="63"/>
  <c r="L542" i="63"/>
  <c r="L541" i="63"/>
  <c r="L540" i="63"/>
  <c r="L539" i="63"/>
  <c r="L538" i="63"/>
  <c r="L537" i="63"/>
  <c r="L536" i="63"/>
  <c r="AM536" i="63" s="1"/>
  <c r="L535" i="63"/>
  <c r="L534" i="63"/>
  <c r="L533" i="63"/>
  <c r="L532" i="63"/>
  <c r="L531" i="63"/>
  <c r="L530" i="63"/>
  <c r="L529" i="63"/>
  <c r="L528" i="63"/>
  <c r="AM528" i="63" s="1"/>
  <c r="L527" i="63"/>
  <c r="L526" i="63"/>
  <c r="L525" i="63"/>
  <c r="L524" i="63"/>
  <c r="L523" i="63"/>
  <c r="L522" i="63"/>
  <c r="L521" i="63"/>
  <c r="L520" i="63"/>
  <c r="AM520" i="63" s="1"/>
  <c r="L519" i="63"/>
  <c r="L518" i="63"/>
  <c r="L517" i="63"/>
  <c r="L516" i="63"/>
  <c r="L515" i="63"/>
  <c r="L514" i="63"/>
  <c r="L513" i="63"/>
  <c r="L512" i="63"/>
  <c r="AM512" i="63" s="1"/>
  <c r="L511" i="63"/>
  <c r="L510" i="63"/>
  <c r="L509" i="63"/>
  <c r="L508" i="63"/>
  <c r="L507" i="63"/>
  <c r="L506" i="63"/>
  <c r="L505" i="63"/>
  <c r="L504" i="63"/>
  <c r="AM504" i="63" s="1"/>
  <c r="L503" i="63"/>
  <c r="L502" i="63"/>
  <c r="L501" i="63"/>
  <c r="L500" i="63"/>
  <c r="L499" i="63"/>
  <c r="L498" i="63"/>
  <c r="L497" i="63"/>
  <c r="L496" i="63"/>
  <c r="AM496" i="63" s="1"/>
  <c r="L495" i="63"/>
  <c r="L494" i="63"/>
  <c r="L493" i="63"/>
  <c r="L492" i="63"/>
  <c r="L491" i="63"/>
  <c r="L15" i="63"/>
  <c r="AM15" i="63" s="1"/>
  <c r="AA543" i="63"/>
  <c r="AA542" i="63"/>
  <c r="AA541" i="63"/>
  <c r="AA540" i="63"/>
  <c r="AA539" i="63"/>
  <c r="AA538" i="63"/>
  <c r="AA537" i="63"/>
  <c r="AA536" i="63"/>
  <c r="AA535" i="63"/>
  <c r="AA534" i="63"/>
  <c r="AA533" i="63"/>
  <c r="AA532" i="63"/>
  <c r="AA531" i="63"/>
  <c r="AA530" i="63"/>
  <c r="AA529" i="63"/>
  <c r="AA528" i="63"/>
  <c r="AA527" i="63"/>
  <c r="AA526" i="63"/>
  <c r="AA525" i="63"/>
  <c r="AA524" i="63"/>
  <c r="AA523" i="63"/>
  <c r="AA522" i="63"/>
  <c r="AA521" i="63"/>
  <c r="AA520" i="63"/>
  <c r="AA519" i="63"/>
  <c r="AA518" i="63"/>
  <c r="AA517" i="63"/>
  <c r="AA516" i="63"/>
  <c r="AA515" i="63"/>
  <c r="AA514" i="63"/>
  <c r="AA513" i="63"/>
  <c r="AA512" i="63"/>
  <c r="AA511" i="63"/>
  <c r="AA510" i="63"/>
  <c r="AA509" i="63"/>
  <c r="AA508" i="63"/>
  <c r="AA507" i="63"/>
  <c r="AA506" i="63"/>
  <c r="AA505" i="63"/>
  <c r="AA504" i="63"/>
  <c r="AA503" i="63"/>
  <c r="AA502" i="63"/>
  <c r="AA501" i="63"/>
  <c r="AA500" i="63"/>
  <c r="AA499" i="63"/>
  <c r="AA498" i="63"/>
  <c r="AA497" i="63"/>
  <c r="AA496" i="63"/>
  <c r="AA495" i="63"/>
  <c r="AA494" i="63"/>
  <c r="AA493" i="63"/>
  <c r="AA492" i="63"/>
  <c r="AA491" i="63"/>
  <c r="AA15" i="63"/>
  <c r="AD15" i="63" s="1"/>
  <c r="AC543" i="63"/>
  <c r="AC542" i="63"/>
  <c r="AC541" i="63"/>
  <c r="AC540" i="63"/>
  <c r="AC539" i="63"/>
  <c r="AC538" i="63"/>
  <c r="AC537" i="63"/>
  <c r="AC536" i="63"/>
  <c r="AC535" i="63"/>
  <c r="AC534" i="63"/>
  <c r="AC533" i="63"/>
  <c r="AC532" i="63"/>
  <c r="AC531" i="63"/>
  <c r="AC530" i="63"/>
  <c r="AC529" i="63"/>
  <c r="AC528" i="63"/>
  <c r="AC527" i="63"/>
  <c r="AC526" i="63"/>
  <c r="AC525" i="63"/>
  <c r="AC524" i="63"/>
  <c r="AC523" i="63"/>
  <c r="AC522" i="63"/>
  <c r="AC521" i="63"/>
  <c r="AC520" i="63"/>
  <c r="AC519" i="63"/>
  <c r="AC518" i="63"/>
  <c r="AC517" i="63"/>
  <c r="AC516" i="63"/>
  <c r="AC515" i="63"/>
  <c r="AC514" i="63"/>
  <c r="AC513" i="63"/>
  <c r="AC512" i="63"/>
  <c r="AC511" i="63"/>
  <c r="AC510" i="63"/>
  <c r="AC509" i="63"/>
  <c r="AC508" i="63"/>
  <c r="AC507" i="63"/>
  <c r="AC506" i="63"/>
  <c r="AC505" i="63"/>
  <c r="AC504" i="63"/>
  <c r="AC503" i="63"/>
  <c r="AC502" i="63"/>
  <c r="AC501" i="63"/>
  <c r="AC500" i="63"/>
  <c r="AC499" i="63"/>
  <c r="AC498" i="63"/>
  <c r="AC497" i="63"/>
  <c r="AC496" i="63"/>
  <c r="AC495" i="63"/>
  <c r="AC494" i="63"/>
  <c r="AC493" i="63"/>
  <c r="AC492" i="63"/>
  <c r="AC491" i="63"/>
  <c r="AC15" i="63"/>
  <c r="Q15" i="63"/>
  <c r="P3" i="63"/>
  <c r="AC8" i="63"/>
  <c r="AC9" i="63" s="1"/>
  <c r="AA2" i="63"/>
  <c r="AA8" i="63" l="1"/>
  <c r="Z511" i="63" s="1"/>
  <c r="B50" i="66"/>
  <c r="AB6" i="63"/>
  <c r="AA9" i="63" s="1"/>
  <c r="AD6" i="63"/>
  <c r="AC6" i="63"/>
  <c r="Z538" i="63"/>
  <c r="Z517" i="63"/>
  <c r="AM515" i="63"/>
  <c r="AM523" i="63"/>
  <c r="AM510" i="63"/>
  <c r="AM531" i="63"/>
  <c r="AM539" i="63"/>
  <c r="AM494" i="63"/>
  <c r="AM507" i="63"/>
  <c r="AM511" i="63"/>
  <c r="AM527" i="63"/>
  <c r="AM543" i="63"/>
  <c r="AM499" i="63"/>
  <c r="AM506" i="63"/>
  <c r="AM491" i="63"/>
  <c r="AM525" i="63"/>
  <c r="AM509" i="63"/>
  <c r="AM533" i="63"/>
  <c r="AM493" i="63"/>
  <c r="AM540" i="63"/>
  <c r="AM517" i="63"/>
  <c r="AM541" i="63"/>
  <c r="AM501" i="63"/>
  <c r="AM508" i="63"/>
  <c r="AM524" i="63"/>
  <c r="AM500" i="63"/>
  <c r="AM532" i="63"/>
  <c r="AM516" i="63"/>
  <c r="AM503" i="63"/>
  <c r="AM492" i="63"/>
  <c r="AM519" i="63"/>
  <c r="AM535" i="63"/>
  <c r="AM505" i="63"/>
  <c r="AM538" i="63"/>
  <c r="AM530" i="63"/>
  <c r="AM497" i="63"/>
  <c r="AM529" i="63"/>
  <c r="AM521" i="63"/>
  <c r="AM514" i="63"/>
  <c r="AM522" i="63"/>
  <c r="AM498" i="63"/>
  <c r="AM502" i="63"/>
  <c r="AM518" i="63"/>
  <c r="AM526" i="63"/>
  <c r="AM534" i="63"/>
  <c r="AM542" i="63"/>
  <c r="AM513" i="63"/>
  <c r="AM537" i="63"/>
  <c r="AM495" i="63"/>
  <c r="AB495" i="63"/>
  <c r="AB503" i="63"/>
  <c r="AB519" i="63"/>
  <c r="AB527" i="63"/>
  <c r="AB543" i="63"/>
  <c r="AB511" i="63"/>
  <c r="AB538" i="63"/>
  <c r="AB528" i="63"/>
  <c r="AB536" i="63"/>
  <c r="AB537" i="63"/>
  <c r="AB529" i="63"/>
  <c r="AB498" i="63"/>
  <c r="AB502" i="63"/>
  <c r="AB506" i="63"/>
  <c r="AB499" i="63"/>
  <c r="AB531" i="63"/>
  <c r="AB535" i="63"/>
  <c r="AB496" i="63"/>
  <c r="AB504" i="63"/>
  <c r="AB512" i="63"/>
  <c r="AB520" i="63"/>
  <c r="AB505" i="63"/>
  <c r="AB510" i="63"/>
  <c r="AB497" i="63"/>
  <c r="AB513" i="63"/>
  <c r="AB517" i="63"/>
  <c r="AB524" i="63"/>
  <c r="AB491" i="63"/>
  <c r="AB516" i="63"/>
  <c r="AB523" i="63"/>
  <c r="AB530" i="63"/>
  <c r="AB534" i="63"/>
  <c r="AB507" i="63"/>
  <c r="AB514" i="63"/>
  <c r="AB518" i="63"/>
  <c r="AB521" i="63"/>
  <c r="AB525" i="63"/>
  <c r="AB532" i="63"/>
  <c r="AB542" i="63"/>
  <c r="AB494" i="63"/>
  <c r="AB508" i="63"/>
  <c r="AB515" i="63"/>
  <c r="AB522" i="63"/>
  <c r="AB526" i="63"/>
  <c r="AB533" i="63"/>
  <c r="AB539" i="63"/>
  <c r="AB492" i="63"/>
  <c r="AB501" i="63"/>
  <c r="AB541" i="63"/>
  <c r="AB500" i="63"/>
  <c r="AB509" i="63"/>
  <c r="AB540" i="63"/>
  <c r="AB493" i="63"/>
  <c r="AB15" i="63"/>
  <c r="Z510" i="63" l="1"/>
  <c r="Z512" i="63"/>
  <c r="Z518" i="63"/>
  <c r="Z523" i="63"/>
  <c r="Z528" i="63"/>
  <c r="Z493" i="63"/>
  <c r="Z506" i="63"/>
  <c r="Z509" i="63"/>
  <c r="Z494" i="63"/>
  <c r="Z502" i="63"/>
  <c r="Z501" i="63"/>
  <c r="Z499" i="63"/>
  <c r="Z542" i="63"/>
  <c r="Z530" i="63"/>
  <c r="Z15" i="63"/>
  <c r="Z524" i="63"/>
  <c r="Z513" i="63"/>
  <c r="Z516" i="63"/>
  <c r="Z505" i="63"/>
  <c r="Z514" i="63"/>
  <c r="Z508" i="63"/>
  <c r="Z500" i="63"/>
  <c r="Z503" i="63"/>
  <c r="Z497" i="63"/>
  <c r="Z536" i="63"/>
  <c r="Z534" i="63"/>
  <c r="Z498" i="63"/>
  <c r="Z541" i="63"/>
  <c r="Z507" i="63"/>
  <c r="Z539" i="63"/>
  <c r="Z537" i="63"/>
  <c r="Z535" i="63"/>
  <c r="Z495" i="63"/>
  <c r="Z504" i="63"/>
  <c r="Z533" i="63"/>
  <c r="Z540" i="63"/>
  <c r="Z515" i="63"/>
  <c r="Z529" i="63"/>
  <c r="Z527" i="63"/>
  <c r="Z531" i="63"/>
  <c r="Z492" i="63"/>
  <c r="Z522" i="63"/>
  <c r="Z543" i="63"/>
  <c r="Z526" i="63"/>
  <c r="Z520" i="63"/>
  <c r="Z496" i="63"/>
  <c r="Z525" i="63"/>
  <c r="Z532" i="63"/>
  <c r="Z491" i="63"/>
  <c r="Z521" i="63"/>
  <c r="Z519" i="63"/>
  <c r="Y8" i="63"/>
  <c r="B51" i="66"/>
  <c r="Y9" i="63"/>
  <c r="Y12" i="63"/>
  <c r="Z9" i="63"/>
  <c r="B13" i="66" s="1"/>
  <c r="B14" i="66" s="1"/>
  <c r="AE15" i="63"/>
  <c r="AF15" i="63" s="1"/>
  <c r="G14" i="1" l="1"/>
  <c r="F8" i="3"/>
  <c r="G8" i="3" s="1"/>
  <c r="F19" i="3"/>
  <c r="F18" i="3"/>
  <c r="F17" i="3"/>
  <c r="F16" i="3"/>
  <c r="F15" i="3"/>
  <c r="F14" i="3"/>
  <c r="F13" i="3"/>
  <c r="F12" i="3"/>
  <c r="F11" i="3"/>
  <c r="F10" i="3"/>
  <c r="F9" i="3"/>
  <c r="J1" i="35"/>
  <c r="K1" i="18"/>
  <c r="K1" i="3"/>
  <c r="O1" i="4"/>
  <c r="K2" i="6"/>
  <c r="L2" i="20"/>
  <c r="K5" i="22"/>
  <c r="J4" i="15"/>
  <c r="I3" i="21"/>
  <c r="A9" i="1"/>
  <c r="B5" i="1"/>
  <c r="O2" i="63"/>
  <c r="B7" i="1" s="1"/>
  <c r="Q6" i="63"/>
  <c r="P6" i="63" l="1"/>
  <c r="R6" i="63"/>
  <c r="H57" i="1" l="1"/>
  <c r="F11" i="1"/>
  <c r="D14" i="1" l="1"/>
  <c r="I52" i="33"/>
  <c r="B37" i="33"/>
  <c r="C37" i="33" s="1"/>
  <c r="B24" i="33"/>
  <c r="O15" i="1"/>
  <c r="O12" i="1"/>
  <c r="O11" i="1"/>
  <c r="F5" i="58"/>
  <c r="F12" i="58"/>
  <c r="F11" i="58"/>
  <c r="F10" i="58"/>
  <c r="F9" i="58"/>
  <c r="J2" i="58"/>
  <c r="G8" i="58" s="1"/>
  <c r="E19" i="1" l="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O16" i="1" l="1"/>
  <c r="P16" i="1"/>
  <c r="E3" i="4" l="1"/>
  <c r="F9" i="22"/>
  <c r="G9" i="22" s="1"/>
  <c r="G8" i="22"/>
  <c r="F7" i="22"/>
  <c r="G7" i="22" s="1"/>
  <c r="F6" i="22"/>
  <c r="G6" i="22" s="1"/>
  <c r="F5" i="22"/>
  <c r="G5" i="22" s="1"/>
  <c r="E7" i="15"/>
  <c r="F7" i="15" s="1"/>
  <c r="E6" i="15"/>
  <c r="F6" i="15" s="1"/>
  <c r="E5" i="15"/>
  <c r="F5" i="15" s="1"/>
  <c r="G8" i="15"/>
  <c r="F19" i="21" l="1"/>
  <c r="J4" i="4"/>
  <c r="K4" i="4" s="1"/>
  <c r="J5" i="4"/>
  <c r="K5" i="4" s="1"/>
  <c r="J8" i="4"/>
  <c r="J7" i="4"/>
  <c r="K7" i="4" s="1"/>
  <c r="J6" i="4"/>
  <c r="K6" i="4" s="1"/>
  <c r="E8" i="4"/>
  <c r="H10" i="22"/>
  <c r="F13" i="21"/>
  <c r="F15" i="21"/>
  <c r="F8" i="21"/>
  <c r="F16" i="21"/>
  <c r="F14" i="21"/>
  <c r="F17" i="21"/>
  <c r="F7" i="21"/>
  <c r="F10" i="21"/>
  <c r="F18" i="21"/>
  <c r="F5" i="21"/>
  <c r="F11" i="21"/>
  <c r="F4" i="21"/>
  <c r="F6" i="21"/>
  <c r="F3" i="21"/>
  <c r="G5" i="21" l="1"/>
  <c r="L9" i="4"/>
  <c r="F47" i="1" l="1"/>
  <c r="F16" i="1"/>
  <c r="E15" i="1"/>
  <c r="D15" i="1"/>
  <c r="Q3" i="63"/>
  <c r="R3" i="63" s="1"/>
  <c r="B1" i="1"/>
  <c r="C1" i="1"/>
  <c r="D1" i="1"/>
  <c r="C22" i="1" l="1"/>
  <c r="H22" i="1" s="1"/>
  <c r="G8" i="1"/>
  <c r="F22" i="1"/>
  <c r="B59" i="1"/>
  <c r="O3" i="63" l="1"/>
  <c r="O6" i="63"/>
  <c r="B52" i="66" s="1"/>
  <c r="P4" i="63" l="1"/>
  <c r="O4" i="63" s="1"/>
  <c r="B9" i="66" s="1"/>
  <c r="AB4" i="63"/>
  <c r="AA4" i="63" s="1"/>
  <c r="N12" i="63"/>
  <c r="AC4" i="63"/>
  <c r="AD4" i="63"/>
  <c r="B6" i="1"/>
  <c r="C44" i="1" s="1"/>
  <c r="R4" i="63"/>
  <c r="R5" i="63" s="1"/>
  <c r="Q4" i="63"/>
  <c r="Q5" i="63" s="1"/>
  <c r="E80" i="1"/>
  <c r="G81" i="1"/>
  <c r="D81" i="1"/>
  <c r="B19" i="1"/>
  <c r="I24" i="66" l="1"/>
  <c r="I25" i="66"/>
  <c r="C7" i="1"/>
  <c r="E7" i="1" s="1"/>
  <c r="E10" i="1" s="1"/>
  <c r="P5" i="63"/>
  <c r="O5" i="63" s="1"/>
  <c r="G6" i="1"/>
  <c r="F19" i="1"/>
  <c r="V15" i="63" l="1"/>
  <c r="O15" i="63"/>
  <c r="P7" i="63"/>
  <c r="B15" i="63"/>
  <c r="E15" i="63" s="1"/>
  <c r="J15" i="63" s="1"/>
  <c r="D4" i="63"/>
  <c r="C5" i="63" s="1"/>
  <c r="C15" i="63" s="1"/>
  <c r="AN15" i="63" l="1"/>
  <c r="AP15" i="63"/>
  <c r="R15" i="63"/>
  <c r="P15" i="63"/>
  <c r="AI15" i="63" s="1"/>
  <c r="C11" i="62"/>
  <c r="C9" i="62"/>
  <c r="C8" i="62"/>
  <c r="C7" i="62"/>
  <c r="C10" i="62"/>
  <c r="C5" i="62"/>
  <c r="C4" i="62"/>
  <c r="C3" i="62"/>
  <c r="S15" i="63" l="1"/>
  <c r="T15" i="63" s="1"/>
  <c r="D15" i="63"/>
  <c r="K15" i="63" s="1"/>
  <c r="I15" i="63"/>
  <c r="AS15" i="63"/>
  <c r="AT15" i="63" s="1"/>
  <c r="U15" i="63"/>
  <c r="C6" i="62"/>
  <c r="C16" i="63" l="1"/>
  <c r="B16" i="63"/>
  <c r="E16" i="63" s="1"/>
  <c r="J16" i="63" s="1"/>
  <c r="D16" i="63" l="1"/>
  <c r="I16" i="63" s="1"/>
  <c r="K16" i="63" l="1"/>
  <c r="C17" i="63" s="1"/>
  <c r="B17" i="63" l="1"/>
  <c r="E17" i="63" s="1"/>
  <c r="D17" i="63" s="1"/>
  <c r="A16" i="63"/>
  <c r="AA16" i="63" l="1"/>
  <c r="X16" i="63"/>
  <c r="AC16" i="63"/>
  <c r="O16" i="63"/>
  <c r="J17" i="63"/>
  <c r="Q16" i="63"/>
  <c r="V16" i="63" s="1"/>
  <c r="I17" i="63"/>
  <c r="K17" i="63"/>
  <c r="C18" i="63" s="1"/>
  <c r="AN16" i="63" l="1"/>
  <c r="AS16" i="63" s="1"/>
  <c r="AP16" i="63"/>
  <c r="AI16" i="63"/>
  <c r="AB16" i="63"/>
  <c r="R16" i="63"/>
  <c r="P16" i="63"/>
  <c r="S16" i="63" s="1"/>
  <c r="B18" i="63"/>
  <c r="E18" i="63" s="1"/>
  <c r="A17" i="63"/>
  <c r="AA17" i="63" l="1"/>
  <c r="X17" i="63"/>
  <c r="T16" i="63"/>
  <c r="AC17" i="63"/>
  <c r="U16" i="63"/>
  <c r="D18" i="63"/>
  <c r="J18" i="63"/>
  <c r="AB17" i="63" l="1"/>
  <c r="I18" i="63"/>
  <c r="K18" i="63"/>
  <c r="C19" i="63" s="1"/>
  <c r="B19" i="63" l="1"/>
  <c r="E19" i="63" s="1"/>
  <c r="A18" i="63"/>
  <c r="AA18" i="63" l="1"/>
  <c r="X18" i="63"/>
  <c r="AC18" i="63"/>
  <c r="J19" i="63"/>
  <c r="D19" i="63"/>
  <c r="AB18" i="63" l="1"/>
  <c r="I19" i="63"/>
  <c r="K19" i="63"/>
  <c r="C20" i="63" s="1"/>
  <c r="B20" i="63" l="1"/>
  <c r="E20" i="63" s="1"/>
  <c r="A19" i="63"/>
  <c r="AA19" i="63" l="1"/>
  <c r="X19" i="63"/>
  <c r="AC19" i="63"/>
  <c r="D20" i="63"/>
  <c r="J20" i="63"/>
  <c r="AB19" i="63" l="1"/>
  <c r="I20" i="63"/>
  <c r="K20" i="63"/>
  <c r="C21" i="63" s="1"/>
  <c r="E13" i="59"/>
  <c r="B21" i="63" l="1"/>
  <c r="E21" i="63" s="1"/>
  <c r="A20" i="63"/>
  <c r="H13" i="59"/>
  <c r="AA20" i="63" l="1"/>
  <c r="X20" i="63"/>
  <c r="AC20" i="63"/>
  <c r="D21" i="63"/>
  <c r="J21" i="63"/>
  <c r="A20" i="37"/>
  <c r="G20" i="37"/>
  <c r="H20" i="37" s="1"/>
  <c r="E3" i="59"/>
  <c r="C4" i="59"/>
  <c r="J48" i="4"/>
  <c r="J47" i="4"/>
  <c r="E25" i="16"/>
  <c r="D79" i="1"/>
  <c r="D77" i="1"/>
  <c r="D78" i="1" s="1"/>
  <c r="E77" i="1"/>
  <c r="E78" i="1" s="1"/>
  <c r="E79"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AB20" i="63" l="1"/>
  <c r="G6" i="20"/>
  <c r="F44" i="1"/>
  <c r="H44" i="1"/>
  <c r="I21" i="63"/>
  <c r="K21" i="63"/>
  <c r="C22" i="63" s="1"/>
  <c r="C13" i="59"/>
  <c r="I14" i="59"/>
  <c r="F14" i="59"/>
  <c r="C14" i="59"/>
  <c r="L3" i="59"/>
  <c r="M4" i="59" s="1"/>
  <c r="I13" i="59" s="1"/>
  <c r="H3" i="59"/>
  <c r="I4" i="59" s="1"/>
  <c r="F4" i="59"/>
  <c r="F13" i="59" s="1"/>
  <c r="D27" i="1"/>
  <c r="F72"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G24" i="58" l="1"/>
  <c r="G16" i="37" s="1"/>
  <c r="H16" i="37" s="1"/>
  <c r="N16" i="37" s="1"/>
  <c r="B31" i="1"/>
  <c r="B39" i="1"/>
  <c r="B33" i="1"/>
  <c r="B38" i="1"/>
  <c r="B37" i="1"/>
  <c r="B41" i="1"/>
  <c r="B32" i="1"/>
  <c r="B35" i="1"/>
  <c r="B40" i="1"/>
  <c r="B34" i="1"/>
  <c r="B36" i="1"/>
  <c r="J16" i="59"/>
  <c r="B22" i="63"/>
  <c r="E22" i="63" s="1"/>
  <c r="A21" i="63"/>
  <c r="G16" i="59"/>
  <c r="K14" i="59"/>
  <c r="D16" i="59"/>
  <c r="K13" i="59"/>
  <c r="N6" i="59"/>
  <c r="C6" i="53"/>
  <c r="C11" i="53"/>
  <c r="C10" i="53"/>
  <c r="C9" i="53"/>
  <c r="C8" i="53"/>
  <c r="C5" i="53"/>
  <c r="C4" i="53"/>
  <c r="C3" i="53"/>
  <c r="D20" i="1"/>
  <c r="K17" i="59" l="1"/>
  <c r="B29" i="1" s="1"/>
  <c r="H29" i="1" s="1"/>
  <c r="B42" i="1"/>
  <c r="AA21" i="63"/>
  <c r="X21" i="63"/>
  <c r="AC21" i="63"/>
  <c r="H34" i="1"/>
  <c r="J22" i="63"/>
  <c r="D22" i="63"/>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98" i="1"/>
  <c r="B53" i="1" s="1"/>
  <c r="F53" i="1" s="1"/>
  <c r="D87" i="1"/>
  <c r="B52" i="1" s="1"/>
  <c r="D52" i="1" s="1"/>
  <c r="F51" i="1"/>
  <c r="D46" i="1"/>
  <c r="D26" i="1"/>
  <c r="F18" i="1"/>
  <c r="B21" i="1" s="1"/>
  <c r="B47" i="66" s="1"/>
  <c r="H16" i="1"/>
  <c r="D42" i="1" l="1"/>
  <c r="C17" i="13"/>
  <c r="G20" i="21"/>
  <c r="G24" i="21" s="1"/>
  <c r="G8" i="37" s="1"/>
  <c r="H8" i="37" s="1"/>
  <c r="E11" i="9"/>
  <c r="G27" i="16"/>
  <c r="G17" i="37" s="1"/>
  <c r="H17" i="37" s="1"/>
  <c r="N17" i="37" s="1"/>
  <c r="G42" i="6"/>
  <c r="B5" i="3"/>
  <c r="B4" i="3"/>
  <c r="H17" i="18"/>
  <c r="I18" i="18" s="1"/>
  <c r="G19" i="37" s="1"/>
  <c r="H19" i="37" s="1"/>
  <c r="K23" i="4"/>
  <c r="G17" i="13"/>
  <c r="G18" i="37" s="1"/>
  <c r="H18" i="37" s="1"/>
  <c r="AB21" i="63"/>
  <c r="I34" i="1"/>
  <c r="G32" i="20"/>
  <c r="F24" i="33"/>
  <c r="I26" i="33" s="1"/>
  <c r="F14" i="33"/>
  <c r="G14" i="22"/>
  <c r="F15" i="35"/>
  <c r="G35" i="35" s="1"/>
  <c r="H36" i="35" s="1"/>
  <c r="G15" i="37" s="1"/>
  <c r="H15" i="37" s="1"/>
  <c r="N15" i="37" s="1"/>
  <c r="G15" i="20"/>
  <c r="F9" i="15"/>
  <c r="I22" i="63"/>
  <c r="K22" i="63"/>
  <c r="C23" i="63" s="1"/>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H44" i="6" l="1"/>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K47" i="1"/>
  <c r="E22" i="1"/>
  <c r="B23" i="63"/>
  <c r="E23" i="63" s="1"/>
  <c r="A22" i="63"/>
  <c r="H31"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I22" i="3" l="1"/>
  <c r="G14" i="37" s="1"/>
  <c r="H14" i="37" s="1"/>
  <c r="J3" i="37"/>
  <c r="M3" i="37" s="1"/>
  <c r="H9" i="37"/>
  <c r="AA22" i="63"/>
  <c r="X22" i="63"/>
  <c r="AC22" i="63"/>
  <c r="I31" i="1"/>
  <c r="N50" i="4"/>
  <c r="G13" i="37" s="1"/>
  <c r="H13" i="37" s="1"/>
  <c r="N13" i="37" s="1"/>
  <c r="M2" i="37" s="1"/>
  <c r="D14" i="33"/>
  <c r="B14" i="33" s="1"/>
  <c r="I20" i="33" s="1"/>
  <c r="D23" i="63"/>
  <c r="J23" i="63"/>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B22" i="63" l="1"/>
  <c r="J2" i="37"/>
  <c r="J5" i="37" s="1"/>
  <c r="B64" i="1" s="1"/>
  <c r="D64" i="1" s="1"/>
  <c r="M5" i="37"/>
  <c r="O2" i="37"/>
  <c r="O5" i="37" s="1"/>
  <c r="I23" i="63"/>
  <c r="K23" i="63"/>
  <c r="C24" i="63"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B66" i="1" l="1"/>
  <c r="D66" i="1" s="1"/>
  <c r="D67" i="1" s="1"/>
  <c r="B24" i="63"/>
  <c r="E24" i="63" s="1"/>
  <c r="A23" i="63"/>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B45" i="1" l="1"/>
  <c r="D45" i="1" s="1"/>
  <c r="AA23" i="63"/>
  <c r="X23" i="63"/>
  <c r="AC23" i="63"/>
  <c r="D24" i="63"/>
  <c r="J24" i="63"/>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C30" i="1" l="1"/>
  <c r="AB23" i="63"/>
  <c r="I24" i="63"/>
  <c r="K24" i="63"/>
  <c r="C25" i="63" s="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B25" i="63" l="1"/>
  <c r="E25" i="63" s="1"/>
  <c r="A24" i="63"/>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AA24" i="63" l="1"/>
  <c r="X24" i="63"/>
  <c r="AC24" i="63"/>
  <c r="D25" i="63"/>
  <c r="J25" i="63"/>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AB24" i="63" l="1"/>
  <c r="I25" i="63"/>
  <c r="K25" i="63"/>
  <c r="C26" i="63" s="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B26" i="63" l="1"/>
  <c r="E26" i="63" s="1"/>
  <c r="A25" i="63"/>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A25" i="63" l="1"/>
  <c r="X25" i="63"/>
  <c r="AC25" i="63"/>
  <c r="D26" i="63"/>
  <c r="J26" i="63"/>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AB25" i="63" l="1"/>
  <c r="I26" i="63"/>
  <c r="K26" i="63"/>
  <c r="C27" i="63" s="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B27" i="63" l="1"/>
  <c r="E27" i="63" s="1"/>
  <c r="A26" i="63"/>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AA26" i="63" l="1"/>
  <c r="X26" i="63"/>
  <c r="AC26" i="63"/>
  <c r="D27" i="63"/>
  <c r="J27" i="63"/>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B26" i="63" l="1"/>
  <c r="I27" i="63"/>
  <c r="K27" i="63"/>
  <c r="C28" i="63" s="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B28" i="63" l="1"/>
  <c r="E28" i="63" s="1"/>
  <c r="A27" i="63"/>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AA27" i="63" l="1"/>
  <c r="X27" i="63"/>
  <c r="AC27" i="63"/>
  <c r="D28" i="63"/>
  <c r="J28" i="63"/>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AB27" i="63" l="1"/>
  <c r="I28" i="63"/>
  <c r="K28" i="63"/>
  <c r="C29" i="63" s="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B29" i="63" l="1"/>
  <c r="E29" i="63" s="1"/>
  <c r="A28" i="63"/>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A28" i="63" l="1"/>
  <c r="X28" i="63"/>
  <c r="AC28" i="63"/>
  <c r="D29" i="63"/>
  <c r="J29" i="63"/>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AB28" i="63" l="1"/>
  <c r="I29" i="63"/>
  <c r="K29" i="63"/>
  <c r="C30" i="63" s="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B30" i="63" l="1"/>
  <c r="E30" i="63" s="1"/>
  <c r="A29" i="63"/>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A29" i="63" l="1"/>
  <c r="X29" i="63"/>
  <c r="AC29" i="63"/>
  <c r="D30" i="63"/>
  <c r="J30" i="63"/>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B29" i="63" l="1"/>
  <c r="I30" i="63"/>
  <c r="K30" i="63"/>
  <c r="C31" i="63" s="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B31" i="63" l="1"/>
  <c r="E31" i="63" s="1"/>
  <c r="A30" i="63"/>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A30" i="63" l="1"/>
  <c r="X30" i="63"/>
  <c r="AC30" i="63"/>
  <c r="D31" i="63"/>
  <c r="J31" i="63"/>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AB30" i="63" l="1"/>
  <c r="I31" i="63"/>
  <c r="K31" i="63"/>
  <c r="C32" i="63" s="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B32" i="63" l="1"/>
  <c r="E32" i="63" s="1"/>
  <c r="A31" i="63"/>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AA31" i="63" l="1"/>
  <c r="X31" i="63"/>
  <c r="AC31" i="63"/>
  <c r="D32" i="63"/>
  <c r="J32" i="63"/>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AB31" i="63" l="1"/>
  <c r="K32" i="63"/>
  <c r="C33" i="63" s="1"/>
  <c r="I32" i="63"/>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B33" i="63" l="1"/>
  <c r="E33" i="63" s="1"/>
  <c r="A32" i="63"/>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AA32" i="63" l="1"/>
  <c r="X32" i="63"/>
  <c r="AC32" i="63"/>
  <c r="D33" i="63"/>
  <c r="J33" i="63"/>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AB32" i="63" l="1"/>
  <c r="I33" i="63"/>
  <c r="K33" i="63"/>
  <c r="C34" i="63" s="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B34" i="63" l="1"/>
  <c r="E34" i="63" s="1"/>
  <c r="A33" i="63"/>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AA33" i="63" l="1"/>
  <c r="X33" i="63"/>
  <c r="AC33" i="63"/>
  <c r="D34" i="63"/>
  <c r="J34" i="63"/>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B33" i="63" l="1"/>
  <c r="K34" i="63"/>
  <c r="C35" i="63" s="1"/>
  <c r="I34" i="63"/>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B35" i="63" l="1"/>
  <c r="E35" i="63" s="1"/>
  <c r="A34" i="63"/>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AA34" i="63" l="1"/>
  <c r="X34" i="63"/>
  <c r="AC34" i="63"/>
  <c r="D35" i="63"/>
  <c r="J35" i="63"/>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AB34" i="63" l="1"/>
  <c r="I35" i="63"/>
  <c r="K35" i="63"/>
  <c r="C36" i="63" s="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B36" i="63" l="1"/>
  <c r="E36" i="63" s="1"/>
  <c r="A35" i="63"/>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AA35" i="63" l="1"/>
  <c r="X35" i="63"/>
  <c r="AC35" i="63"/>
  <c r="D36" i="63"/>
  <c r="J36" i="63"/>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35" i="63" l="1"/>
  <c r="K36" i="63"/>
  <c r="C37" i="63" s="1"/>
  <c r="I36" i="63"/>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B37" i="63" l="1"/>
  <c r="E37" i="63" s="1"/>
  <c r="A36" i="63"/>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A36" i="63" l="1"/>
  <c r="X36" i="63"/>
  <c r="AC36" i="63"/>
  <c r="D37" i="63"/>
  <c r="J37" i="63"/>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AB36" i="63" l="1"/>
  <c r="I37" i="63"/>
  <c r="K37" i="63"/>
  <c r="C38" i="63" s="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B38" i="63" l="1"/>
  <c r="E38" i="63" s="1"/>
  <c r="A37" i="63"/>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AA37" i="63" l="1"/>
  <c r="X37" i="63"/>
  <c r="AC37" i="63"/>
  <c r="D38" i="63"/>
  <c r="J38" i="63"/>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AB37" i="63" l="1"/>
  <c r="K38" i="63"/>
  <c r="C39" i="63" s="1"/>
  <c r="I38" i="63"/>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B39" i="63" l="1"/>
  <c r="E39" i="63" s="1"/>
  <c r="A38" i="63"/>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AA38" i="63" l="1"/>
  <c r="X38" i="63"/>
  <c r="AC38" i="63"/>
  <c r="D39" i="63"/>
  <c r="J39" i="63"/>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AB38" i="63" l="1"/>
  <c r="I39" i="63"/>
  <c r="K39" i="63"/>
  <c r="C40" i="63" s="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B40" i="63" l="1"/>
  <c r="E40" i="63" s="1"/>
  <c r="A39" i="63"/>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AA39" i="63" l="1"/>
  <c r="X39" i="63"/>
  <c r="AC39" i="63"/>
  <c r="D40" i="63"/>
  <c r="J40" i="63"/>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AB39" i="63" l="1"/>
  <c r="K40" i="63"/>
  <c r="C41" i="63" s="1"/>
  <c r="I40" i="63"/>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B41" i="63" l="1"/>
  <c r="E41" i="63" s="1"/>
  <c r="A40" i="63"/>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A40" i="63" l="1"/>
  <c r="X40" i="63"/>
  <c r="AC40" i="63"/>
  <c r="D41" i="63"/>
  <c r="J41" i="63"/>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AB40" i="63" l="1"/>
  <c r="I41" i="63"/>
  <c r="K41" i="63"/>
  <c r="C42" i="63" s="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B42" i="63" l="1"/>
  <c r="E42" i="63" s="1"/>
  <c r="A41" i="63"/>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AA41" i="63" l="1"/>
  <c r="X41" i="63"/>
  <c r="AC41" i="63"/>
  <c r="D42" i="63"/>
  <c r="J42" i="63"/>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B41" i="63" l="1"/>
  <c r="K42" i="63"/>
  <c r="C43" i="63" s="1"/>
  <c r="I42" i="63"/>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B43" i="63" l="1"/>
  <c r="E43" i="63" s="1"/>
  <c r="A42" i="63"/>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AA42" i="63" l="1"/>
  <c r="X42" i="63"/>
  <c r="AC42" i="63"/>
  <c r="D43" i="63"/>
  <c r="J43" i="63"/>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AB42" i="63" l="1"/>
  <c r="I43" i="63"/>
  <c r="K43" i="63"/>
  <c r="C44" i="63" s="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B44" i="63" l="1"/>
  <c r="E44" i="63" s="1"/>
  <c r="A43" i="63"/>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AA43" i="63" l="1"/>
  <c r="X43" i="63"/>
  <c r="AC43" i="63"/>
  <c r="D44" i="63"/>
  <c r="J44" i="63"/>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3" i="63" l="1"/>
  <c r="I44" i="63"/>
  <c r="K44" i="63"/>
  <c r="C45" i="63" s="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B45" i="63" l="1"/>
  <c r="E45" i="63" s="1"/>
  <c r="A44" i="63"/>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AA44" i="63" l="1"/>
  <c r="X44" i="63"/>
  <c r="AC44" i="63"/>
  <c r="D45" i="63"/>
  <c r="J45" i="63"/>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AB44" i="63" l="1"/>
  <c r="K45" i="63"/>
  <c r="C46" i="63" s="1"/>
  <c r="I45" i="63"/>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B46" i="63" l="1"/>
  <c r="E46" i="63" s="1"/>
  <c r="A45" i="63"/>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AA45" i="63" l="1"/>
  <c r="X45" i="63"/>
  <c r="AC45" i="63"/>
  <c r="D46" i="63"/>
  <c r="J46" i="63"/>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AB45" i="63" l="1"/>
  <c r="I46" i="63"/>
  <c r="K46" i="63"/>
  <c r="C47" i="63" s="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B47" i="63" l="1"/>
  <c r="E47" i="63" s="1"/>
  <c r="A46" i="63"/>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AA46" i="63" l="1"/>
  <c r="X46" i="63"/>
  <c r="AC46" i="63"/>
  <c r="D47" i="63"/>
  <c r="J47" i="63"/>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AB46" i="63" l="1"/>
  <c r="K47" i="63"/>
  <c r="C48" i="63" s="1"/>
  <c r="I47" i="63"/>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B48" i="63" l="1"/>
  <c r="E48" i="63" s="1"/>
  <c r="A47" i="63"/>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AA47" i="63" l="1"/>
  <c r="X47" i="63"/>
  <c r="AC47" i="63"/>
  <c r="D48" i="63"/>
  <c r="J48" i="63"/>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AB47" i="63" l="1"/>
  <c r="I48" i="63"/>
  <c r="K48" i="63"/>
  <c r="C49" i="63" s="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B49" i="63" l="1"/>
  <c r="E49" i="63" s="1"/>
  <c r="A48" i="63"/>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AA48" i="63" l="1"/>
  <c r="X48" i="63"/>
  <c r="AC48" i="63"/>
  <c r="D49" i="63"/>
  <c r="J49" i="63"/>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AB48" i="63" l="1"/>
  <c r="I49" i="63"/>
  <c r="K49" i="63"/>
  <c r="C50" i="63" s="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B50" i="63" l="1"/>
  <c r="E50" i="63" s="1"/>
  <c r="A49" i="63"/>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AA49" i="63" l="1"/>
  <c r="X49" i="63"/>
  <c r="AC49" i="63"/>
  <c r="J50" i="63"/>
  <c r="D50" i="63"/>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B49" i="63" l="1"/>
  <c r="I50" i="63"/>
  <c r="K50" i="63"/>
  <c r="C51" i="63" s="1"/>
  <c r="B51" i="63" l="1"/>
  <c r="E51" i="63" s="1"/>
  <c r="A50" i="63"/>
  <c r="AA50" i="63" l="1"/>
  <c r="X50" i="63"/>
  <c r="AC50" i="63"/>
  <c r="J51" i="63"/>
  <c r="D51" i="63"/>
  <c r="AB50" i="63" l="1"/>
  <c r="I51" i="63"/>
  <c r="K51" i="63"/>
  <c r="C52" i="63" s="1"/>
  <c r="B52" i="63" l="1"/>
  <c r="E52" i="63" s="1"/>
  <c r="A51" i="63"/>
  <c r="AA51" i="63" l="1"/>
  <c r="X51" i="63"/>
  <c r="AC51" i="63"/>
  <c r="J52" i="63"/>
  <c r="D52" i="63"/>
  <c r="AB51" i="63" l="1"/>
  <c r="I52" i="63"/>
  <c r="K52" i="63"/>
  <c r="C53" i="63" s="1"/>
  <c r="B53" i="63" l="1"/>
  <c r="E53" i="63" s="1"/>
  <c r="A52" i="63"/>
  <c r="H33" i="1"/>
  <c r="AA52" i="63" l="1"/>
  <c r="X52" i="63"/>
  <c r="AC52" i="63"/>
  <c r="I33" i="1"/>
  <c r="J53" i="63"/>
  <c r="D53" i="63"/>
  <c r="AB52" i="63" l="1"/>
  <c r="I53" i="63"/>
  <c r="K53" i="63"/>
  <c r="C54" i="63" s="1"/>
  <c r="B54" i="63" l="1"/>
  <c r="E54" i="63" s="1"/>
  <c r="A53" i="63"/>
  <c r="AA53" i="63" l="1"/>
  <c r="X53" i="63"/>
  <c r="AC53" i="63"/>
  <c r="J54" i="63"/>
  <c r="D54" i="63"/>
  <c r="K79" i="1"/>
  <c r="K77" i="1"/>
  <c r="AB53" i="63" l="1"/>
  <c r="K78" i="1"/>
  <c r="I54" i="63"/>
  <c r="K54" i="63"/>
  <c r="C55" i="63" s="1"/>
  <c r="B55" i="63" l="1"/>
  <c r="E55" i="63" s="1"/>
  <c r="A54" i="63"/>
  <c r="AA54" i="63" l="1"/>
  <c r="X54" i="63"/>
  <c r="AC54" i="63"/>
  <c r="J55" i="63"/>
  <c r="D55" i="63"/>
  <c r="AB54" i="63" l="1"/>
  <c r="K76" i="1"/>
  <c r="K81" i="1" s="1"/>
  <c r="I55" i="63"/>
  <c r="K55" i="63"/>
  <c r="C56" i="63" s="1"/>
  <c r="B56" i="63" l="1"/>
  <c r="E56" i="63" s="1"/>
  <c r="A55" i="63"/>
  <c r="AA55" i="63" l="1"/>
  <c r="X55" i="63"/>
  <c r="AC55" i="63"/>
  <c r="D56" i="63"/>
  <c r="J56" i="63"/>
  <c r="AB55" i="63" l="1"/>
  <c r="I56" i="63"/>
  <c r="K56" i="63"/>
  <c r="C57" i="63" s="1"/>
  <c r="F57" i="63" s="1"/>
  <c r="F58" i="63" s="1"/>
  <c r="F59" i="63" s="1"/>
  <c r="F60" i="63" s="1"/>
  <c r="F61" i="63" s="1"/>
  <c r="F62" i="63" s="1"/>
  <c r="F63" i="63" s="1"/>
  <c r="F64" i="63" s="1"/>
  <c r="F65" i="63" s="1"/>
  <c r="F66" i="63" s="1"/>
  <c r="F67" i="63" s="1"/>
  <c r="F68" i="63" s="1"/>
  <c r="F69" i="63" s="1"/>
  <c r="F70" i="63" s="1"/>
  <c r="F71" i="63" s="1"/>
  <c r="F72" i="63" s="1"/>
  <c r="F73" i="63" s="1"/>
  <c r="F74" i="63" s="1"/>
  <c r="F75" i="63" s="1"/>
  <c r="F76" i="63" s="1"/>
  <c r="F77" i="63" s="1"/>
  <c r="F78" i="63" s="1"/>
  <c r="F79" i="63" s="1"/>
  <c r="F80" i="63" s="1"/>
  <c r="F81" i="63" s="1"/>
  <c r="F82" i="63" s="1"/>
  <c r="F83" i="63" s="1"/>
  <c r="F84" i="63" s="1"/>
  <c r="F85" i="63" s="1"/>
  <c r="F86" i="63" s="1"/>
  <c r="F87" i="63" s="1"/>
  <c r="F88" i="63" s="1"/>
  <c r="F89" i="63" s="1"/>
  <c r="F90" i="63" s="1"/>
  <c r="F91" i="63" s="1"/>
  <c r="F92" i="63" s="1"/>
  <c r="F93" i="63" s="1"/>
  <c r="F94" i="63" s="1"/>
  <c r="F95" i="63" s="1"/>
  <c r="F96" i="63" s="1"/>
  <c r="F97" i="63" s="1"/>
  <c r="F98" i="63" s="1"/>
  <c r="F99" i="63" s="1"/>
  <c r="F100" i="63" s="1"/>
  <c r="F101" i="63" s="1"/>
  <c r="F102" i="63" s="1"/>
  <c r="F103" i="63" s="1"/>
  <c r="F104" i="63" s="1"/>
  <c r="F105" i="63" s="1"/>
  <c r="F106" i="63" s="1"/>
  <c r="F107" i="63" s="1"/>
  <c r="F108" i="63" s="1"/>
  <c r="F109" i="63" s="1"/>
  <c r="F110" i="63" s="1"/>
  <c r="F111" i="63" s="1"/>
  <c r="F112" i="63" s="1"/>
  <c r="F113" i="63" s="1"/>
  <c r="F114" i="63" s="1"/>
  <c r="F115" i="63" s="1"/>
  <c r="F116" i="63" s="1"/>
  <c r="F117" i="63" s="1"/>
  <c r="F118" i="63" s="1"/>
  <c r="F119" i="63" s="1"/>
  <c r="F120" i="63" s="1"/>
  <c r="F121" i="63" s="1"/>
  <c r="F122" i="63" s="1"/>
  <c r="F123" i="63" s="1"/>
  <c r="F124" i="63" s="1"/>
  <c r="F125" i="63" s="1"/>
  <c r="F126" i="63" s="1"/>
  <c r="F127" i="63" s="1"/>
  <c r="F128" i="63" s="1"/>
  <c r="F129" i="63" s="1"/>
  <c r="F130" i="63" s="1"/>
  <c r="F131" i="63" s="1"/>
  <c r="F132" i="63" s="1"/>
  <c r="F133" i="63" s="1"/>
  <c r="F134" i="63" s="1"/>
  <c r="F135" i="63" s="1"/>
  <c r="F136" i="63" s="1"/>
  <c r="F137" i="63" s="1"/>
  <c r="F138" i="63" s="1"/>
  <c r="F139" i="63" s="1"/>
  <c r="F140" i="63" s="1"/>
  <c r="F141" i="63" s="1"/>
  <c r="F142" i="63" s="1"/>
  <c r="F143" i="63" s="1"/>
  <c r="F144" i="63" s="1"/>
  <c r="F145" i="63" s="1"/>
  <c r="F146" i="63" s="1"/>
  <c r="F147" i="63" s="1"/>
  <c r="F148" i="63" s="1"/>
  <c r="F149" i="63" s="1"/>
  <c r="F150" i="63" s="1"/>
  <c r="F151" i="63" s="1"/>
  <c r="F152" i="63" s="1"/>
  <c r="F153" i="63" s="1"/>
  <c r="F154" i="63" s="1"/>
  <c r="F155" i="63" s="1"/>
  <c r="F156" i="63" s="1"/>
  <c r="F157" i="63" s="1"/>
  <c r="F158" i="63" s="1"/>
  <c r="F159" i="63" s="1"/>
  <c r="F160" i="63" s="1"/>
  <c r="F161" i="63" s="1"/>
  <c r="F162" i="63" s="1"/>
  <c r="F163" i="63" s="1"/>
  <c r="F164" i="63" s="1"/>
  <c r="F165" i="63" s="1"/>
  <c r="F166" i="63" s="1"/>
  <c r="F167" i="63" s="1"/>
  <c r="F168" i="63" s="1"/>
  <c r="F169" i="63" s="1"/>
  <c r="F170" i="63" s="1"/>
  <c r="F171" i="63" s="1"/>
  <c r="F172" i="63" s="1"/>
  <c r="F173" i="63" s="1"/>
  <c r="F174" i="63" s="1"/>
  <c r="F175" i="63" s="1"/>
  <c r="F176" i="63" s="1"/>
  <c r="F177" i="63" s="1"/>
  <c r="F178" i="63" s="1"/>
  <c r="F179" i="63" s="1"/>
  <c r="F180" i="63" s="1"/>
  <c r="F181" i="63" s="1"/>
  <c r="F182" i="63" s="1"/>
  <c r="F183" i="63" s="1"/>
  <c r="F184" i="63" s="1"/>
  <c r="F185" i="63" s="1"/>
  <c r="F186" i="63" s="1"/>
  <c r="F187" i="63" s="1"/>
  <c r="F188" i="63" s="1"/>
  <c r="F189" i="63" s="1"/>
  <c r="F190" i="63" s="1"/>
  <c r="F191" i="63" s="1"/>
  <c r="F192" i="63" s="1"/>
  <c r="F193" i="63" s="1"/>
  <c r="F194" i="63" s="1"/>
  <c r="F195" i="63" s="1"/>
  <c r="F196" i="63" s="1"/>
  <c r="F197" i="63" s="1"/>
  <c r="F198" i="63" s="1"/>
  <c r="F199" i="63" s="1"/>
  <c r="F200" i="63" s="1"/>
  <c r="F201" i="63" s="1"/>
  <c r="F202" i="63" s="1"/>
  <c r="F203" i="63" s="1"/>
  <c r="F204" i="63" s="1"/>
  <c r="F205" i="63" s="1"/>
  <c r="F206" i="63" s="1"/>
  <c r="F207" i="63" s="1"/>
  <c r="F208" i="63" s="1"/>
  <c r="F209" i="63" s="1"/>
  <c r="F210" i="63" s="1"/>
  <c r="F211" i="63" s="1"/>
  <c r="F212" i="63" s="1"/>
  <c r="F213" i="63" s="1"/>
  <c r="F214" i="63" s="1"/>
  <c r="F215" i="63" s="1"/>
  <c r="F216" i="63" s="1"/>
  <c r="F217" i="63" s="1"/>
  <c r="F218" i="63" s="1"/>
  <c r="F219" i="63" s="1"/>
  <c r="F220" i="63" s="1"/>
  <c r="F221" i="63" s="1"/>
  <c r="F222" i="63" s="1"/>
  <c r="F223" i="63" s="1"/>
  <c r="F224" i="63" s="1"/>
  <c r="F225" i="63" s="1"/>
  <c r="F226" i="63" s="1"/>
  <c r="F227" i="63" s="1"/>
  <c r="F228" i="63" s="1"/>
  <c r="F229" i="63" s="1"/>
  <c r="F230" i="63" s="1"/>
  <c r="F231" i="63" s="1"/>
  <c r="F232" i="63" s="1"/>
  <c r="F233" i="63" s="1"/>
  <c r="F234" i="63" s="1"/>
  <c r="F235" i="63" s="1"/>
  <c r="F236" i="63" s="1"/>
  <c r="F237" i="63" s="1"/>
  <c r="F238" i="63" s="1"/>
  <c r="F239" i="63" s="1"/>
  <c r="F240" i="63" s="1"/>
  <c r="F241" i="63" s="1"/>
  <c r="F242" i="63" s="1"/>
  <c r="F243" i="63" s="1"/>
  <c r="F244" i="63" s="1"/>
  <c r="F245" i="63" s="1"/>
  <c r="F246" i="63" s="1"/>
  <c r="F247" i="63" s="1"/>
  <c r="F248" i="63" s="1"/>
  <c r="F249" i="63" s="1"/>
  <c r="F250" i="63" s="1"/>
  <c r="F251" i="63" s="1"/>
  <c r="F252" i="63" s="1"/>
  <c r="F253" i="63" s="1"/>
  <c r="F254" i="63" s="1"/>
  <c r="F255" i="63" s="1"/>
  <c r="F256" i="63" s="1"/>
  <c r="F257" i="63" s="1"/>
  <c r="F258" i="63" s="1"/>
  <c r="F259" i="63" s="1"/>
  <c r="F260" i="63" s="1"/>
  <c r="F261" i="63" s="1"/>
  <c r="F262" i="63" s="1"/>
  <c r="F263" i="63" s="1"/>
  <c r="F264" i="63" s="1"/>
  <c r="F265" i="63" s="1"/>
  <c r="F266" i="63" s="1"/>
  <c r="F267" i="63" s="1"/>
  <c r="F268" i="63" s="1"/>
  <c r="F269" i="63" s="1"/>
  <c r="F270" i="63" s="1"/>
  <c r="F271" i="63" s="1"/>
  <c r="F272" i="63" s="1"/>
  <c r="F273" i="63" s="1"/>
  <c r="F274" i="63" s="1"/>
  <c r="F275" i="63" s="1"/>
  <c r="F276" i="63" s="1"/>
  <c r="F277" i="63" s="1"/>
  <c r="F278" i="63" s="1"/>
  <c r="F279" i="63" s="1"/>
  <c r="F280" i="63" s="1"/>
  <c r="F281" i="63" s="1"/>
  <c r="F282" i="63" s="1"/>
  <c r="F283" i="63" s="1"/>
  <c r="F284" i="63" s="1"/>
  <c r="F285" i="63" s="1"/>
  <c r="F286" i="63" s="1"/>
  <c r="F287" i="63" s="1"/>
  <c r="F288" i="63" s="1"/>
  <c r="F289" i="63" s="1"/>
  <c r="F290" i="63" s="1"/>
  <c r="F291" i="63" s="1"/>
  <c r="F292" i="63" s="1"/>
  <c r="F293" i="63" s="1"/>
  <c r="F294" i="63" s="1"/>
  <c r="F295" i="63" s="1"/>
  <c r="F296" i="63" s="1"/>
  <c r="F297" i="63" s="1"/>
  <c r="F298" i="63" s="1"/>
  <c r="F299" i="63" s="1"/>
  <c r="F300" i="63" s="1"/>
  <c r="F301" i="63" s="1"/>
  <c r="F302" i="63" s="1"/>
  <c r="F303" i="63" s="1"/>
  <c r="F304" i="63" s="1"/>
  <c r="F305" i="63" s="1"/>
  <c r="F306" i="63" s="1"/>
  <c r="F307" i="63" s="1"/>
  <c r="F308" i="63" s="1"/>
  <c r="F309" i="63" s="1"/>
  <c r="F310" i="63" s="1"/>
  <c r="F311" i="63" s="1"/>
  <c r="F312" i="63" s="1"/>
  <c r="F313" i="63" s="1"/>
  <c r="F314" i="63" s="1"/>
  <c r="F315" i="63" s="1"/>
  <c r="F316" i="63" s="1"/>
  <c r="F317" i="63" s="1"/>
  <c r="F318" i="63" s="1"/>
  <c r="F319" i="63" s="1"/>
  <c r="F320" i="63" s="1"/>
  <c r="F321" i="63" s="1"/>
  <c r="F322" i="63" s="1"/>
  <c r="F323" i="63" s="1"/>
  <c r="F324" i="63" s="1"/>
  <c r="F325" i="63" s="1"/>
  <c r="F326" i="63" s="1"/>
  <c r="F327" i="63" s="1"/>
  <c r="F328" i="63" s="1"/>
  <c r="F329" i="63" s="1"/>
  <c r="F330" i="63" s="1"/>
  <c r="F331" i="63" s="1"/>
  <c r="F332" i="63" s="1"/>
  <c r="F333" i="63" s="1"/>
  <c r="F334" i="63" s="1"/>
  <c r="F335" i="63" s="1"/>
  <c r="F336" i="63" s="1"/>
  <c r="F337" i="63" s="1"/>
  <c r="F338" i="63" s="1"/>
  <c r="F339" i="63" s="1"/>
  <c r="F340" i="63" s="1"/>
  <c r="F341" i="63" s="1"/>
  <c r="F342" i="63" s="1"/>
  <c r="F343" i="63" s="1"/>
  <c r="F344" i="63" s="1"/>
  <c r="F345" i="63" s="1"/>
  <c r="F346" i="63" s="1"/>
  <c r="F347" i="63" s="1"/>
  <c r="F348" i="63" s="1"/>
  <c r="F349" i="63" s="1"/>
  <c r="F350" i="63" s="1"/>
  <c r="F351" i="63" s="1"/>
  <c r="F352" i="63" s="1"/>
  <c r="F353" i="63" s="1"/>
  <c r="F354" i="63" s="1"/>
  <c r="F355" i="63" s="1"/>
  <c r="F356" i="63" s="1"/>
  <c r="F357" i="63" s="1"/>
  <c r="F358" i="63" s="1"/>
  <c r="F359" i="63" s="1"/>
  <c r="F360" i="63" s="1"/>
  <c r="F361" i="63" s="1"/>
  <c r="F362" i="63" s="1"/>
  <c r="F363" i="63" s="1"/>
  <c r="F364" i="63" s="1"/>
  <c r="F365" i="63" s="1"/>
  <c r="F366" i="63" s="1"/>
  <c r="F367" i="63" s="1"/>
  <c r="F368" i="63" s="1"/>
  <c r="F369" i="63" s="1"/>
  <c r="F370" i="63" s="1"/>
  <c r="F371" i="63" s="1"/>
  <c r="F372" i="63" s="1"/>
  <c r="F373" i="63" s="1"/>
  <c r="F374" i="63" s="1"/>
  <c r="F375" i="63" s="1"/>
  <c r="F376" i="63" s="1"/>
  <c r="F377" i="63" s="1"/>
  <c r="F378" i="63" s="1"/>
  <c r="F379" i="63" s="1"/>
  <c r="F380" i="63" s="1"/>
  <c r="F381" i="63" s="1"/>
  <c r="F382" i="63" s="1"/>
  <c r="F383" i="63" s="1"/>
  <c r="F384" i="63" s="1"/>
  <c r="F385" i="63" s="1"/>
  <c r="F386" i="63" s="1"/>
  <c r="F387" i="63" s="1"/>
  <c r="F388" i="63" s="1"/>
  <c r="F389" i="63" s="1"/>
  <c r="F390" i="63" s="1"/>
  <c r="F391" i="63" s="1"/>
  <c r="F392" i="63" s="1"/>
  <c r="F393" i="63" s="1"/>
  <c r="F394" i="63" s="1"/>
  <c r="F395" i="63" s="1"/>
  <c r="F396" i="63" s="1"/>
  <c r="F397" i="63" s="1"/>
  <c r="F398" i="63" s="1"/>
  <c r="F399" i="63" s="1"/>
  <c r="F400" i="63" s="1"/>
  <c r="F401" i="63" s="1"/>
  <c r="F402" i="63" s="1"/>
  <c r="F403" i="63" s="1"/>
  <c r="F404" i="63" s="1"/>
  <c r="F405" i="63" s="1"/>
  <c r="F406" i="63" s="1"/>
  <c r="F407" i="63" s="1"/>
  <c r="F408" i="63" s="1"/>
  <c r="F409" i="63" s="1"/>
  <c r="F410" i="63" s="1"/>
  <c r="F411" i="63" s="1"/>
  <c r="F412" i="63" s="1"/>
  <c r="F413" i="63" s="1"/>
  <c r="F414" i="63" s="1"/>
  <c r="F415" i="63" s="1"/>
  <c r="F416" i="63" s="1"/>
  <c r="F417" i="63" s="1"/>
  <c r="F418" i="63" s="1"/>
  <c r="F419" i="63" s="1"/>
  <c r="F420" i="63" s="1"/>
  <c r="F421" i="63" s="1"/>
  <c r="F422" i="63" s="1"/>
  <c r="F423" i="63" s="1"/>
  <c r="F424" i="63" s="1"/>
  <c r="F425" i="63" s="1"/>
  <c r="F426" i="63" s="1"/>
  <c r="F427" i="63" s="1"/>
  <c r="F428" i="63" s="1"/>
  <c r="F429" i="63" s="1"/>
  <c r="F430" i="63" s="1"/>
  <c r="F431" i="63" s="1"/>
  <c r="F432" i="63" s="1"/>
  <c r="F433" i="63" s="1"/>
  <c r="F434" i="63" s="1"/>
  <c r="F435" i="63" s="1"/>
  <c r="F436" i="63" s="1"/>
  <c r="F437" i="63" s="1"/>
  <c r="F438" i="63" s="1"/>
  <c r="F439" i="63" s="1"/>
  <c r="F440" i="63" s="1"/>
  <c r="F441" i="63" s="1"/>
  <c r="F442" i="63" s="1"/>
  <c r="F443" i="63" s="1"/>
  <c r="F444" i="63" s="1"/>
  <c r="F445" i="63" s="1"/>
  <c r="F446" i="63" s="1"/>
  <c r="F447" i="63" s="1"/>
  <c r="F448" i="63" s="1"/>
  <c r="F449" i="63" s="1"/>
  <c r="F450" i="63" s="1"/>
  <c r="F451" i="63" s="1"/>
  <c r="F452" i="63" s="1"/>
  <c r="F453" i="63" s="1"/>
  <c r="F454" i="63" s="1"/>
  <c r="F455" i="63" s="1"/>
  <c r="F456" i="63" s="1"/>
  <c r="F457" i="63" s="1"/>
  <c r="F458" i="63" s="1"/>
  <c r="F459" i="63" s="1"/>
  <c r="F460" i="63" s="1"/>
  <c r="F461" i="63" s="1"/>
  <c r="F462" i="63" s="1"/>
  <c r="F463" i="63" s="1"/>
  <c r="F464" i="63" s="1"/>
  <c r="F465" i="63" s="1"/>
  <c r="F466" i="63" s="1"/>
  <c r="F467" i="63" s="1"/>
  <c r="F468" i="63" s="1"/>
  <c r="F469" i="63" s="1"/>
  <c r="F470" i="63" s="1"/>
  <c r="F471" i="63" s="1"/>
  <c r="F472" i="63" s="1"/>
  <c r="F473" i="63" s="1"/>
  <c r="F474" i="63" s="1"/>
  <c r="F475" i="63" s="1"/>
  <c r="F476" i="63" s="1"/>
  <c r="F477" i="63" s="1"/>
  <c r="F478" i="63" s="1"/>
  <c r="F479" i="63" s="1"/>
  <c r="F480" i="63" s="1"/>
  <c r="F481" i="63" s="1"/>
  <c r="F482" i="63" s="1"/>
  <c r="F483" i="63" s="1"/>
  <c r="F484" i="63" s="1"/>
  <c r="F485" i="63" s="1"/>
  <c r="F486" i="63" s="1"/>
  <c r="F487" i="63" s="1"/>
  <c r="F488" i="63" s="1"/>
  <c r="F489" i="63" s="1"/>
  <c r="F490" i="63" s="1"/>
  <c r="B57" i="63" l="1"/>
  <c r="E57" i="63" s="1"/>
  <c r="A56" i="63"/>
  <c r="AA56" i="63" l="1"/>
  <c r="X56" i="63"/>
  <c r="AC56" i="63"/>
  <c r="J57" i="63"/>
  <c r="D57" i="63"/>
  <c r="AB56" i="63" l="1"/>
  <c r="G57" i="63"/>
  <c r="G58" i="63" s="1"/>
  <c r="G59" i="63" s="1"/>
  <c r="G60" i="63" s="1"/>
  <c r="G61" i="63" s="1"/>
  <c r="G62" i="63" s="1"/>
  <c r="G63" i="63" s="1"/>
  <c r="G64" i="63" s="1"/>
  <c r="G65" i="63" s="1"/>
  <c r="G66" i="63" s="1"/>
  <c r="G67" i="63" s="1"/>
  <c r="G68" i="63" s="1"/>
  <c r="G69" i="63" s="1"/>
  <c r="G70" i="63" s="1"/>
  <c r="G71" i="63" s="1"/>
  <c r="G72" i="63" s="1"/>
  <c r="G73" i="63" s="1"/>
  <c r="G74" i="63" s="1"/>
  <c r="G75" i="63" s="1"/>
  <c r="G76" i="63" s="1"/>
  <c r="G77" i="63" s="1"/>
  <c r="G78" i="63" s="1"/>
  <c r="G79" i="63" s="1"/>
  <c r="G80" i="63" s="1"/>
  <c r="G81" i="63" s="1"/>
  <c r="G82" i="63" s="1"/>
  <c r="G83" i="63" s="1"/>
  <c r="G84" i="63" s="1"/>
  <c r="G85" i="63" s="1"/>
  <c r="G86" i="63" s="1"/>
  <c r="G87" i="63" s="1"/>
  <c r="G88" i="63" s="1"/>
  <c r="G89" i="63" s="1"/>
  <c r="G90" i="63" s="1"/>
  <c r="G91" i="63" s="1"/>
  <c r="G92" i="63" s="1"/>
  <c r="G93" i="63" s="1"/>
  <c r="G94" i="63" s="1"/>
  <c r="G95" i="63" s="1"/>
  <c r="G96" i="63" s="1"/>
  <c r="G97" i="63" s="1"/>
  <c r="G98" i="63" s="1"/>
  <c r="G99" i="63" s="1"/>
  <c r="G100" i="63" s="1"/>
  <c r="G101" i="63" s="1"/>
  <c r="G102" i="63" s="1"/>
  <c r="G103" i="63" s="1"/>
  <c r="G104" i="63" s="1"/>
  <c r="G105" i="63" s="1"/>
  <c r="G106" i="63" s="1"/>
  <c r="G107" i="63" s="1"/>
  <c r="G108" i="63" s="1"/>
  <c r="G109" i="63" s="1"/>
  <c r="G110" i="63" s="1"/>
  <c r="G111" i="63" s="1"/>
  <c r="G112" i="63" s="1"/>
  <c r="G113" i="63" s="1"/>
  <c r="G114" i="63" s="1"/>
  <c r="G115" i="63" s="1"/>
  <c r="G116" i="63" s="1"/>
  <c r="G117" i="63" s="1"/>
  <c r="G118" i="63" s="1"/>
  <c r="G119" i="63" s="1"/>
  <c r="G120" i="63" s="1"/>
  <c r="G121" i="63" s="1"/>
  <c r="G122" i="63" s="1"/>
  <c r="G123" i="63" s="1"/>
  <c r="G124" i="63" s="1"/>
  <c r="G125" i="63" s="1"/>
  <c r="G126" i="63" s="1"/>
  <c r="G127" i="63" s="1"/>
  <c r="G128" i="63" s="1"/>
  <c r="G129" i="63" s="1"/>
  <c r="G130" i="63" s="1"/>
  <c r="G131" i="63" s="1"/>
  <c r="G132" i="63" s="1"/>
  <c r="G133" i="63" s="1"/>
  <c r="G134" i="63" s="1"/>
  <c r="G135" i="63" s="1"/>
  <c r="G136" i="63" s="1"/>
  <c r="G137" i="63" s="1"/>
  <c r="G138" i="63" s="1"/>
  <c r="G139" i="63" s="1"/>
  <c r="G140" i="63" s="1"/>
  <c r="G141" i="63" s="1"/>
  <c r="G142" i="63" s="1"/>
  <c r="G143" i="63" s="1"/>
  <c r="G144" i="63" s="1"/>
  <c r="G145" i="63" s="1"/>
  <c r="G146" i="63" s="1"/>
  <c r="G147" i="63" s="1"/>
  <c r="G148" i="63" s="1"/>
  <c r="G149" i="63" s="1"/>
  <c r="G150" i="63" s="1"/>
  <c r="G151" i="63" s="1"/>
  <c r="G152" i="63" s="1"/>
  <c r="G153" i="63" s="1"/>
  <c r="G154" i="63" s="1"/>
  <c r="G155" i="63" s="1"/>
  <c r="G156" i="63" s="1"/>
  <c r="G157" i="63" s="1"/>
  <c r="G158" i="63" s="1"/>
  <c r="G159" i="63" s="1"/>
  <c r="G160" i="63" s="1"/>
  <c r="G161" i="63" s="1"/>
  <c r="G162" i="63" s="1"/>
  <c r="G163" i="63" s="1"/>
  <c r="G164" i="63" s="1"/>
  <c r="G165" i="63" s="1"/>
  <c r="G166" i="63" s="1"/>
  <c r="G167" i="63" s="1"/>
  <c r="G168" i="63" s="1"/>
  <c r="G169" i="63" s="1"/>
  <c r="G170" i="63" s="1"/>
  <c r="G171" i="63" s="1"/>
  <c r="G172" i="63" s="1"/>
  <c r="G173" i="63" s="1"/>
  <c r="G174" i="63" s="1"/>
  <c r="G175" i="63" s="1"/>
  <c r="G176" i="63" s="1"/>
  <c r="G177" i="63" s="1"/>
  <c r="G178" i="63" s="1"/>
  <c r="G179" i="63" s="1"/>
  <c r="G180" i="63" s="1"/>
  <c r="G181" i="63" s="1"/>
  <c r="G182" i="63" s="1"/>
  <c r="G183" i="63" s="1"/>
  <c r="G184" i="63" s="1"/>
  <c r="G185" i="63" s="1"/>
  <c r="G186" i="63" s="1"/>
  <c r="G187" i="63" s="1"/>
  <c r="G188" i="63" s="1"/>
  <c r="G189" i="63" s="1"/>
  <c r="G190" i="63" s="1"/>
  <c r="G191" i="63" s="1"/>
  <c r="G192" i="63" s="1"/>
  <c r="G193" i="63" s="1"/>
  <c r="G194" i="63" s="1"/>
  <c r="G195" i="63" s="1"/>
  <c r="G196" i="63" s="1"/>
  <c r="G197" i="63" s="1"/>
  <c r="G198" i="63" s="1"/>
  <c r="G199" i="63" s="1"/>
  <c r="G200" i="63" s="1"/>
  <c r="G201" i="63" s="1"/>
  <c r="G202" i="63" s="1"/>
  <c r="G203" i="63" s="1"/>
  <c r="G204" i="63" s="1"/>
  <c r="G205" i="63" s="1"/>
  <c r="G206" i="63" s="1"/>
  <c r="G207" i="63" s="1"/>
  <c r="G208" i="63" s="1"/>
  <c r="G209" i="63" s="1"/>
  <c r="G210" i="63" s="1"/>
  <c r="G211" i="63" s="1"/>
  <c r="G212" i="63" s="1"/>
  <c r="G213" i="63" s="1"/>
  <c r="G214" i="63" s="1"/>
  <c r="G215" i="63" s="1"/>
  <c r="G216" i="63" s="1"/>
  <c r="G217" i="63" s="1"/>
  <c r="G218" i="63" s="1"/>
  <c r="G219" i="63" s="1"/>
  <c r="G220" i="63" s="1"/>
  <c r="G221" i="63" s="1"/>
  <c r="G222" i="63" s="1"/>
  <c r="G223" i="63" s="1"/>
  <c r="G224" i="63" s="1"/>
  <c r="G225" i="63" s="1"/>
  <c r="G226" i="63" s="1"/>
  <c r="G227" i="63" s="1"/>
  <c r="G228" i="63" s="1"/>
  <c r="G229" i="63" s="1"/>
  <c r="G230" i="63" s="1"/>
  <c r="G231" i="63" s="1"/>
  <c r="G232" i="63" s="1"/>
  <c r="G233" i="63" s="1"/>
  <c r="G234" i="63" s="1"/>
  <c r="G235" i="63" s="1"/>
  <c r="G236" i="63" s="1"/>
  <c r="G237" i="63" s="1"/>
  <c r="G238" i="63" s="1"/>
  <c r="G239" i="63" s="1"/>
  <c r="G240" i="63" s="1"/>
  <c r="G241" i="63" s="1"/>
  <c r="G242" i="63" s="1"/>
  <c r="G243" i="63" s="1"/>
  <c r="G244" i="63" s="1"/>
  <c r="G245" i="63" s="1"/>
  <c r="G246" i="63" s="1"/>
  <c r="G247" i="63" s="1"/>
  <c r="G248" i="63" s="1"/>
  <c r="G249" i="63" s="1"/>
  <c r="G250" i="63" s="1"/>
  <c r="G251" i="63" s="1"/>
  <c r="G252" i="63" s="1"/>
  <c r="G253" i="63" s="1"/>
  <c r="G254" i="63" s="1"/>
  <c r="G255" i="63" s="1"/>
  <c r="G256" i="63" s="1"/>
  <c r="G257" i="63" s="1"/>
  <c r="G258" i="63" s="1"/>
  <c r="G259" i="63" s="1"/>
  <c r="G260" i="63" s="1"/>
  <c r="G261" i="63" s="1"/>
  <c r="G262" i="63" s="1"/>
  <c r="G263" i="63" s="1"/>
  <c r="G264" i="63" s="1"/>
  <c r="G265" i="63" s="1"/>
  <c r="G266" i="63" s="1"/>
  <c r="G267" i="63" s="1"/>
  <c r="G268" i="63" s="1"/>
  <c r="G269" i="63" s="1"/>
  <c r="G270" i="63" s="1"/>
  <c r="G271" i="63" s="1"/>
  <c r="G272" i="63" s="1"/>
  <c r="G273" i="63" s="1"/>
  <c r="G274" i="63" s="1"/>
  <c r="G275" i="63" s="1"/>
  <c r="G276" i="63" s="1"/>
  <c r="G277" i="63" s="1"/>
  <c r="G278" i="63" s="1"/>
  <c r="G279" i="63" s="1"/>
  <c r="G280" i="63" s="1"/>
  <c r="G281" i="63" s="1"/>
  <c r="G282" i="63" s="1"/>
  <c r="G283" i="63" s="1"/>
  <c r="G284" i="63" s="1"/>
  <c r="G285" i="63" s="1"/>
  <c r="G286" i="63" s="1"/>
  <c r="G287" i="63" s="1"/>
  <c r="G288" i="63" s="1"/>
  <c r="G289" i="63" s="1"/>
  <c r="G290" i="63" s="1"/>
  <c r="G291" i="63" s="1"/>
  <c r="G292" i="63" s="1"/>
  <c r="G293" i="63" s="1"/>
  <c r="G294" i="63" s="1"/>
  <c r="G295" i="63" s="1"/>
  <c r="G296" i="63" s="1"/>
  <c r="G297" i="63" s="1"/>
  <c r="G298" i="63" s="1"/>
  <c r="G299" i="63" s="1"/>
  <c r="G300" i="63" s="1"/>
  <c r="G301" i="63" s="1"/>
  <c r="G302" i="63" s="1"/>
  <c r="G303" i="63" s="1"/>
  <c r="G304" i="63" s="1"/>
  <c r="G305" i="63" s="1"/>
  <c r="G306" i="63" s="1"/>
  <c r="G307" i="63" s="1"/>
  <c r="G308" i="63" s="1"/>
  <c r="G309" i="63" s="1"/>
  <c r="G310" i="63" s="1"/>
  <c r="G311" i="63" s="1"/>
  <c r="G312" i="63" s="1"/>
  <c r="G313" i="63" s="1"/>
  <c r="G314" i="63" s="1"/>
  <c r="G315" i="63" s="1"/>
  <c r="G316" i="63" s="1"/>
  <c r="G317" i="63" s="1"/>
  <c r="G318" i="63" s="1"/>
  <c r="G319" i="63" s="1"/>
  <c r="G320" i="63" s="1"/>
  <c r="G321" i="63" s="1"/>
  <c r="G322" i="63" s="1"/>
  <c r="G323" i="63" s="1"/>
  <c r="G324" i="63" s="1"/>
  <c r="G325" i="63" s="1"/>
  <c r="G326" i="63" s="1"/>
  <c r="G327" i="63" s="1"/>
  <c r="G328" i="63" s="1"/>
  <c r="G329" i="63" s="1"/>
  <c r="G330" i="63" s="1"/>
  <c r="G331" i="63" s="1"/>
  <c r="G332" i="63" s="1"/>
  <c r="G333" i="63" s="1"/>
  <c r="G334" i="63" s="1"/>
  <c r="G335" i="63" s="1"/>
  <c r="G336" i="63" s="1"/>
  <c r="G337" i="63" s="1"/>
  <c r="G338" i="63" s="1"/>
  <c r="G339" i="63" s="1"/>
  <c r="G340" i="63" s="1"/>
  <c r="G341" i="63" s="1"/>
  <c r="G342" i="63" s="1"/>
  <c r="G343" i="63" s="1"/>
  <c r="G344" i="63" s="1"/>
  <c r="G345" i="63" s="1"/>
  <c r="G346" i="63" s="1"/>
  <c r="G347" i="63" s="1"/>
  <c r="G348" i="63" s="1"/>
  <c r="G349" i="63" s="1"/>
  <c r="G350" i="63" s="1"/>
  <c r="G351" i="63" s="1"/>
  <c r="G352" i="63" s="1"/>
  <c r="G353" i="63" s="1"/>
  <c r="G354" i="63" s="1"/>
  <c r="G355" i="63" s="1"/>
  <c r="G356" i="63" s="1"/>
  <c r="G357" i="63" s="1"/>
  <c r="G358" i="63" s="1"/>
  <c r="G359" i="63" s="1"/>
  <c r="G360" i="63" s="1"/>
  <c r="G361" i="63" s="1"/>
  <c r="G362" i="63" s="1"/>
  <c r="G363" i="63" s="1"/>
  <c r="G364" i="63" s="1"/>
  <c r="G365" i="63" s="1"/>
  <c r="G366" i="63" s="1"/>
  <c r="G367" i="63" s="1"/>
  <c r="G368" i="63" s="1"/>
  <c r="G369" i="63" s="1"/>
  <c r="G370" i="63" s="1"/>
  <c r="G371" i="63" s="1"/>
  <c r="G372" i="63" s="1"/>
  <c r="G373" i="63" s="1"/>
  <c r="G374" i="63" s="1"/>
  <c r="G375" i="63" s="1"/>
  <c r="G376" i="63" s="1"/>
  <c r="G377" i="63" s="1"/>
  <c r="G378" i="63" s="1"/>
  <c r="G379" i="63" s="1"/>
  <c r="G380" i="63" s="1"/>
  <c r="G381" i="63" s="1"/>
  <c r="G382" i="63" s="1"/>
  <c r="G383" i="63" s="1"/>
  <c r="G384" i="63" s="1"/>
  <c r="G385" i="63" s="1"/>
  <c r="G386" i="63" s="1"/>
  <c r="G387" i="63" s="1"/>
  <c r="G388" i="63" s="1"/>
  <c r="G389" i="63" s="1"/>
  <c r="G390" i="63" s="1"/>
  <c r="G391" i="63" s="1"/>
  <c r="G392" i="63" s="1"/>
  <c r="G393" i="63" s="1"/>
  <c r="G394" i="63" s="1"/>
  <c r="G395" i="63" s="1"/>
  <c r="G396" i="63" s="1"/>
  <c r="G397" i="63" s="1"/>
  <c r="G398" i="63" s="1"/>
  <c r="G399" i="63" s="1"/>
  <c r="G400" i="63" s="1"/>
  <c r="G401" i="63" s="1"/>
  <c r="G402" i="63" s="1"/>
  <c r="G403" i="63" s="1"/>
  <c r="G404" i="63" s="1"/>
  <c r="G405" i="63" s="1"/>
  <c r="G406" i="63" s="1"/>
  <c r="G407" i="63" s="1"/>
  <c r="G408" i="63" s="1"/>
  <c r="G409" i="63" s="1"/>
  <c r="G410" i="63" s="1"/>
  <c r="G411" i="63" s="1"/>
  <c r="G412" i="63" s="1"/>
  <c r="G413" i="63" s="1"/>
  <c r="G414" i="63" s="1"/>
  <c r="G415" i="63" s="1"/>
  <c r="G416" i="63" s="1"/>
  <c r="G417" i="63" s="1"/>
  <c r="G418" i="63" s="1"/>
  <c r="G419" i="63" s="1"/>
  <c r="G420" i="63" s="1"/>
  <c r="G421" i="63" s="1"/>
  <c r="G422" i="63" s="1"/>
  <c r="G423" i="63" s="1"/>
  <c r="G424" i="63" s="1"/>
  <c r="G425" i="63" s="1"/>
  <c r="G426" i="63" s="1"/>
  <c r="G427" i="63" s="1"/>
  <c r="G428" i="63" s="1"/>
  <c r="G429" i="63" s="1"/>
  <c r="G430" i="63" s="1"/>
  <c r="G431" i="63" s="1"/>
  <c r="G432" i="63" s="1"/>
  <c r="G433" i="63" s="1"/>
  <c r="G434" i="63" s="1"/>
  <c r="G435" i="63" s="1"/>
  <c r="G436" i="63" s="1"/>
  <c r="G437" i="63" s="1"/>
  <c r="G438" i="63" s="1"/>
  <c r="G439" i="63" s="1"/>
  <c r="G440" i="63" s="1"/>
  <c r="G441" i="63" s="1"/>
  <c r="G442" i="63" s="1"/>
  <c r="G443" i="63" s="1"/>
  <c r="G444" i="63" s="1"/>
  <c r="G445" i="63" s="1"/>
  <c r="G446" i="63" s="1"/>
  <c r="G447" i="63" s="1"/>
  <c r="G448" i="63" s="1"/>
  <c r="G449" i="63" s="1"/>
  <c r="G450" i="63" s="1"/>
  <c r="G451" i="63" s="1"/>
  <c r="G452" i="63" s="1"/>
  <c r="G453" i="63" s="1"/>
  <c r="G454" i="63" s="1"/>
  <c r="G455" i="63" s="1"/>
  <c r="G456" i="63" s="1"/>
  <c r="G457" i="63" s="1"/>
  <c r="G458" i="63" s="1"/>
  <c r="G459" i="63" s="1"/>
  <c r="G460" i="63" s="1"/>
  <c r="G461" i="63" s="1"/>
  <c r="G462" i="63" s="1"/>
  <c r="G463" i="63" s="1"/>
  <c r="G464" i="63" s="1"/>
  <c r="G465" i="63" s="1"/>
  <c r="G466" i="63" s="1"/>
  <c r="G467" i="63" s="1"/>
  <c r="G468" i="63" s="1"/>
  <c r="G469" i="63" s="1"/>
  <c r="G470" i="63" s="1"/>
  <c r="G471" i="63" s="1"/>
  <c r="G472" i="63" s="1"/>
  <c r="G473" i="63" s="1"/>
  <c r="G474" i="63" s="1"/>
  <c r="G475" i="63" s="1"/>
  <c r="G476" i="63" s="1"/>
  <c r="G477" i="63" s="1"/>
  <c r="G478" i="63" s="1"/>
  <c r="G479" i="63" s="1"/>
  <c r="G480" i="63" s="1"/>
  <c r="G481" i="63" s="1"/>
  <c r="G482" i="63" s="1"/>
  <c r="G483" i="63" s="1"/>
  <c r="G484" i="63" s="1"/>
  <c r="G485" i="63" s="1"/>
  <c r="G486" i="63" s="1"/>
  <c r="G487" i="63" s="1"/>
  <c r="G488" i="63" s="1"/>
  <c r="G489" i="63" s="1"/>
  <c r="G490" i="63" s="1"/>
  <c r="I57" i="63"/>
  <c r="K57" i="63"/>
  <c r="C58" i="63" s="1"/>
  <c r="H57" i="63" l="1"/>
  <c r="H58" i="63" s="1"/>
  <c r="B58" i="63"/>
  <c r="E58" i="63" s="1"/>
  <c r="A57" i="63"/>
  <c r="AA57" i="63" l="1"/>
  <c r="X57" i="63"/>
  <c r="AC57" i="63"/>
  <c r="D58" i="63"/>
  <c r="J58" i="63"/>
  <c r="AB57" i="63" l="1"/>
  <c r="I58" i="63"/>
  <c r="K58" i="63"/>
  <c r="C59" i="63" s="1"/>
  <c r="B59" i="63" l="1"/>
  <c r="E59" i="63" s="1"/>
  <c r="A58" i="63"/>
  <c r="X58" i="63" s="1"/>
  <c r="AC58" i="63" l="1"/>
  <c r="AA58" i="63"/>
  <c r="O58" i="63"/>
  <c r="AP58" i="63" s="1"/>
  <c r="J59" i="63"/>
  <c r="D59" i="63"/>
  <c r="H59" i="63" s="1"/>
  <c r="R58" i="63" l="1"/>
  <c r="AN58" i="63"/>
  <c r="AB58" i="63"/>
  <c r="I59" i="63"/>
  <c r="K59" i="63"/>
  <c r="C60" i="63" l="1"/>
  <c r="A59" i="63"/>
  <c r="X59" i="63" s="1"/>
  <c r="B60" i="63"/>
  <c r="E60" i="63" s="1"/>
  <c r="J60" i="63" l="1"/>
  <c r="D60" i="63"/>
  <c r="H60" i="63" s="1"/>
  <c r="I60" i="63" l="1"/>
  <c r="K60" i="63"/>
  <c r="C61" i="63" s="1"/>
  <c r="B61" i="63" l="1"/>
  <c r="E61" i="63" s="1"/>
  <c r="A60" i="63"/>
  <c r="X60" i="63" s="1"/>
  <c r="J61" i="63" l="1"/>
  <c r="D61" i="63"/>
  <c r="H61" i="63" s="1"/>
  <c r="I61" i="63" l="1"/>
  <c r="K61" i="63"/>
  <c r="C62" i="63" s="1"/>
  <c r="B62" i="63" l="1"/>
  <c r="A61" i="63"/>
  <c r="X61" i="63" s="1"/>
  <c r="E62" i="63" l="1"/>
  <c r="J62" i="63" l="1"/>
  <c r="D62" i="63"/>
  <c r="H62" i="63" s="1"/>
  <c r="I62" i="63" l="1"/>
  <c r="K62" i="63"/>
  <c r="C63" i="63" s="1"/>
  <c r="B63" i="63" l="1"/>
  <c r="A62" i="63"/>
  <c r="X62" i="63" s="1"/>
  <c r="E63" i="63" l="1"/>
  <c r="D63" i="63" l="1"/>
  <c r="H63" i="63" s="1"/>
  <c r="J63" i="63"/>
  <c r="I63" i="63" l="1"/>
  <c r="K63" i="63"/>
  <c r="C64" i="63" s="1"/>
  <c r="B64" i="63" l="1"/>
  <c r="A63" i="63"/>
  <c r="X63" i="63" s="1"/>
  <c r="E64" i="63" l="1"/>
  <c r="J64" i="63" l="1"/>
  <c r="D64" i="63"/>
  <c r="H64" i="63" s="1"/>
  <c r="I64" i="63" l="1"/>
  <c r="K64" i="63"/>
  <c r="C65" i="63" s="1"/>
  <c r="B65" i="63" l="1"/>
  <c r="A64" i="63"/>
  <c r="X64" i="63" s="1"/>
  <c r="E65" i="63" l="1"/>
  <c r="D65" i="63" l="1"/>
  <c r="H65" i="63" s="1"/>
  <c r="J65" i="63"/>
  <c r="I65" i="63" l="1"/>
  <c r="K65" i="63"/>
  <c r="C66" i="63" s="1"/>
  <c r="B66" i="63" l="1"/>
  <c r="A65" i="63"/>
  <c r="X65" i="63" s="1"/>
  <c r="E66" i="63" l="1"/>
  <c r="D66" i="63" l="1"/>
  <c r="H66" i="63" s="1"/>
  <c r="J66" i="63"/>
  <c r="I66" i="63" l="1"/>
  <c r="K66" i="63"/>
  <c r="C67" i="63" s="1"/>
  <c r="B67" i="63" l="1"/>
  <c r="A66" i="63"/>
  <c r="X66" i="63" s="1"/>
  <c r="E67" i="63" l="1"/>
  <c r="J67" i="63" l="1"/>
  <c r="D67" i="63"/>
  <c r="H67" i="63" s="1"/>
  <c r="I67" i="63" l="1"/>
  <c r="K67" i="63"/>
  <c r="C68" i="63" s="1"/>
  <c r="B68" i="63" l="1"/>
  <c r="A67" i="63"/>
  <c r="X67" i="63" s="1"/>
  <c r="E68" i="63" l="1"/>
  <c r="J68" i="63" l="1"/>
  <c r="D68" i="63"/>
  <c r="H68" i="63" s="1"/>
  <c r="I68" i="63" l="1"/>
  <c r="K68" i="63"/>
  <c r="C69" i="63" s="1"/>
  <c r="B69" i="63" l="1"/>
  <c r="A68" i="63"/>
  <c r="X68" i="63" s="1"/>
  <c r="E69" i="63" l="1"/>
  <c r="J69" i="63" l="1"/>
  <c r="D69" i="63"/>
  <c r="H69" i="63" s="1"/>
  <c r="I69" i="63" l="1"/>
  <c r="K69" i="63"/>
  <c r="C70" i="63" s="1"/>
  <c r="B70" i="63" l="1"/>
  <c r="A69" i="63"/>
  <c r="X69" i="63" s="1"/>
  <c r="E70" i="63" l="1"/>
  <c r="D70" i="63" l="1"/>
  <c r="H70" i="63" s="1"/>
  <c r="J70" i="63"/>
  <c r="I70" i="63" l="1"/>
  <c r="K70" i="63"/>
  <c r="C71" i="63" s="1"/>
  <c r="B71" i="63" l="1"/>
  <c r="A70" i="63"/>
  <c r="X70" i="63" s="1"/>
  <c r="E71" i="63" l="1"/>
  <c r="D71" i="63" l="1"/>
  <c r="H71" i="63" s="1"/>
  <c r="J71" i="63"/>
  <c r="I71" i="63" l="1"/>
  <c r="K71" i="63"/>
  <c r="C72" i="63" s="1"/>
  <c r="B72" i="63" l="1"/>
  <c r="A71" i="63"/>
  <c r="X71" i="63" s="1"/>
  <c r="E72" i="63" l="1"/>
  <c r="D72" i="63" l="1"/>
  <c r="H72" i="63" s="1"/>
  <c r="J72" i="63"/>
  <c r="I72" i="63" l="1"/>
  <c r="K72" i="63"/>
  <c r="C73" i="63" s="1"/>
  <c r="B73" i="63" l="1"/>
  <c r="A72" i="63"/>
  <c r="X72" i="63" s="1"/>
  <c r="E73" i="63" l="1"/>
  <c r="J73" i="63" l="1"/>
  <c r="D73" i="63"/>
  <c r="H73" i="63" s="1"/>
  <c r="I73" i="63" l="1"/>
  <c r="K73" i="63"/>
  <c r="C74" i="63" s="1"/>
  <c r="B74" i="63" l="1"/>
  <c r="A73" i="63"/>
  <c r="X73" i="63" s="1"/>
  <c r="E74" i="63" l="1"/>
  <c r="J74" i="63" l="1"/>
  <c r="D74" i="63"/>
  <c r="H74" i="63" s="1"/>
  <c r="I74" i="63" l="1"/>
  <c r="K74" i="63"/>
  <c r="C75" i="63" s="1"/>
  <c r="B75" i="63" l="1"/>
  <c r="A74" i="63"/>
  <c r="X74" i="63" s="1"/>
  <c r="E75" i="63" l="1"/>
  <c r="D75" i="63" l="1"/>
  <c r="H75" i="63" s="1"/>
  <c r="J75" i="63"/>
  <c r="I75" i="63" l="1"/>
  <c r="K75" i="63"/>
  <c r="C76" i="63" s="1"/>
  <c r="B76" i="63" l="1"/>
  <c r="A75" i="63"/>
  <c r="X75" i="63" s="1"/>
  <c r="E76" i="63" l="1"/>
  <c r="J76" i="63" l="1"/>
  <c r="D76" i="63"/>
  <c r="H76" i="63" s="1"/>
  <c r="I76" i="63" l="1"/>
  <c r="K76" i="63"/>
  <c r="C77" i="63" s="1"/>
  <c r="B77" i="63" l="1"/>
  <c r="A76" i="63"/>
  <c r="X76" i="63" s="1"/>
  <c r="E77" i="63" l="1"/>
  <c r="J77" i="63" l="1"/>
  <c r="D77" i="63"/>
  <c r="H77" i="63" s="1"/>
  <c r="I77" i="63" l="1"/>
  <c r="K77" i="63"/>
  <c r="C78" i="63" s="1"/>
  <c r="B78" i="63" l="1"/>
  <c r="A77" i="63"/>
  <c r="X77" i="63" s="1"/>
  <c r="E78" i="63" l="1"/>
  <c r="J78" i="63" l="1"/>
  <c r="D78" i="63"/>
  <c r="H78" i="63" s="1"/>
  <c r="I78" i="63" l="1"/>
  <c r="K78" i="63"/>
  <c r="C79" i="63" s="1"/>
  <c r="B79" i="63" l="1"/>
  <c r="A78" i="63"/>
  <c r="X78" i="63" s="1"/>
  <c r="E79" i="63" l="1"/>
  <c r="J79" i="63" l="1"/>
  <c r="D79" i="63"/>
  <c r="H79" i="63" s="1"/>
  <c r="I79" i="63" l="1"/>
  <c r="K79" i="63"/>
  <c r="C80" i="63" s="1"/>
  <c r="B80" i="63" l="1"/>
  <c r="A79" i="63"/>
  <c r="X79" i="63" s="1"/>
  <c r="E80" i="63" l="1"/>
  <c r="D80" i="63" l="1"/>
  <c r="H80" i="63" s="1"/>
  <c r="J80" i="63"/>
  <c r="I80" i="63" l="1"/>
  <c r="K80" i="63"/>
  <c r="C81" i="63" s="1"/>
  <c r="B81" i="63" l="1"/>
  <c r="A80" i="63"/>
  <c r="X80" i="63" s="1"/>
  <c r="E81" i="63" l="1"/>
  <c r="J81" i="63" l="1"/>
  <c r="D81" i="63"/>
  <c r="H81" i="63" s="1"/>
  <c r="I81" i="63" l="1"/>
  <c r="K81" i="63"/>
  <c r="C82" i="63" s="1"/>
  <c r="B82" i="63" l="1"/>
  <c r="A81" i="63"/>
  <c r="X81" i="63" s="1"/>
  <c r="E82" i="63" l="1"/>
  <c r="D82" i="63" l="1"/>
  <c r="H82" i="63" s="1"/>
  <c r="J82" i="63"/>
  <c r="I82" i="63" l="1"/>
  <c r="K82" i="63"/>
  <c r="C83" i="63" s="1"/>
  <c r="B83" i="63" l="1"/>
  <c r="A82" i="63"/>
  <c r="X82" i="63" s="1"/>
  <c r="E83" i="63" l="1"/>
  <c r="D83" i="63" l="1"/>
  <c r="H83" i="63" s="1"/>
  <c r="J83" i="63"/>
  <c r="I83" i="63" l="1"/>
  <c r="K83" i="63"/>
  <c r="C84" i="63" s="1"/>
  <c r="B84" i="63" l="1"/>
  <c r="A83" i="63"/>
  <c r="X83" i="63" s="1"/>
  <c r="E84" i="63" l="1"/>
  <c r="J84" i="63" l="1"/>
  <c r="D84" i="63"/>
  <c r="H84" i="63" s="1"/>
  <c r="I84" i="63" l="1"/>
  <c r="K84" i="63"/>
  <c r="C85" i="63" s="1"/>
  <c r="B85" i="63" l="1"/>
  <c r="A84" i="63"/>
  <c r="X84" i="63" s="1"/>
  <c r="E85" i="63" l="1"/>
  <c r="J85" i="63" l="1"/>
  <c r="D85" i="63"/>
  <c r="H85" i="63" s="1"/>
  <c r="I85" i="63" l="1"/>
  <c r="K85" i="63"/>
  <c r="C86" i="63" s="1"/>
  <c r="B86" i="63" l="1"/>
  <c r="A85" i="63"/>
  <c r="X85" i="63" s="1"/>
  <c r="E86" i="63" l="1"/>
  <c r="J86" i="63" l="1"/>
  <c r="D86" i="63"/>
  <c r="H86" i="63" s="1"/>
  <c r="I86" i="63" l="1"/>
  <c r="K86" i="63"/>
  <c r="C87" i="63" s="1"/>
  <c r="B87" i="63" l="1"/>
  <c r="A86" i="63"/>
  <c r="X86" i="63" s="1"/>
  <c r="E87" i="63" l="1"/>
  <c r="J87" i="63" l="1"/>
  <c r="D87" i="63"/>
  <c r="H87" i="63" s="1"/>
  <c r="I87" i="63" l="1"/>
  <c r="K87" i="63"/>
  <c r="C88" i="63" s="1"/>
  <c r="B88" i="63" l="1"/>
  <c r="A87" i="63"/>
  <c r="X87" i="63" s="1"/>
  <c r="E88" i="63" l="1"/>
  <c r="D88" i="63" l="1"/>
  <c r="H88" i="63" s="1"/>
  <c r="J88" i="63"/>
  <c r="I88" i="63" l="1"/>
  <c r="K88" i="63"/>
  <c r="C89" i="63" s="1"/>
  <c r="B89" i="63" l="1"/>
  <c r="A88" i="63"/>
  <c r="X88" i="63" s="1"/>
  <c r="E89" i="63" l="1"/>
  <c r="D89" i="63" l="1"/>
  <c r="H89" i="63" s="1"/>
  <c r="J89" i="63"/>
  <c r="I89" i="63" l="1"/>
  <c r="K89" i="63"/>
  <c r="C90" i="63" s="1"/>
  <c r="B90" i="63" l="1"/>
  <c r="A89" i="63"/>
  <c r="X89" i="63" s="1"/>
  <c r="E90" i="63" l="1"/>
  <c r="J90" i="63" l="1"/>
  <c r="D90" i="63"/>
  <c r="H90" i="63" s="1"/>
  <c r="I90" i="63" l="1"/>
  <c r="K90" i="63"/>
  <c r="C91" i="63" s="1"/>
  <c r="B91" i="63" l="1"/>
  <c r="A90" i="63"/>
  <c r="X90" i="63" s="1"/>
  <c r="E91" i="63" l="1"/>
  <c r="J91" i="63" l="1"/>
  <c r="D91" i="63"/>
  <c r="H91" i="63" s="1"/>
  <c r="I91" i="63" l="1"/>
  <c r="K91" i="63"/>
  <c r="C92" i="63" s="1"/>
  <c r="B92" i="63" l="1"/>
  <c r="A91" i="63"/>
  <c r="X91" i="63" s="1"/>
  <c r="E92" i="63" l="1"/>
  <c r="J92" i="63" l="1"/>
  <c r="D92" i="63"/>
  <c r="H92" i="63" s="1"/>
  <c r="I92" i="63" l="1"/>
  <c r="K92" i="63"/>
  <c r="C93" i="63" s="1"/>
  <c r="B93" i="63" l="1"/>
  <c r="A92" i="63"/>
  <c r="X92" i="63" s="1"/>
  <c r="E93" i="63" l="1"/>
  <c r="J93" i="63" l="1"/>
  <c r="D93" i="63"/>
  <c r="H93" i="63" s="1"/>
  <c r="I93" i="63" l="1"/>
  <c r="K93" i="63"/>
  <c r="C94" i="63" s="1"/>
  <c r="B94" i="63" l="1"/>
  <c r="A93" i="63"/>
  <c r="X93" i="63" s="1"/>
  <c r="E94" i="63" l="1"/>
  <c r="J94" i="63" l="1"/>
  <c r="D94" i="63"/>
  <c r="H94" i="63" s="1"/>
  <c r="I94" i="63" l="1"/>
  <c r="K94" i="63"/>
  <c r="C95" i="63" s="1"/>
  <c r="B95" i="63" l="1"/>
  <c r="A94" i="63"/>
  <c r="X94" i="63" s="1"/>
  <c r="E95" i="63" l="1"/>
  <c r="J95" i="63" l="1"/>
  <c r="D95" i="63"/>
  <c r="H95" i="63" s="1"/>
  <c r="I95" i="63" l="1"/>
  <c r="K95" i="63"/>
  <c r="C96" i="63" s="1"/>
  <c r="B96" i="63" l="1"/>
  <c r="A95" i="63"/>
  <c r="X95" i="63" s="1"/>
  <c r="E96" i="63" l="1"/>
  <c r="D96" i="63" l="1"/>
  <c r="H96" i="63" s="1"/>
  <c r="J96" i="63"/>
  <c r="I96" i="63" l="1"/>
  <c r="K96" i="63"/>
  <c r="C97" i="63" s="1"/>
  <c r="B97" i="63" l="1"/>
  <c r="A96" i="63"/>
  <c r="X96" i="63" s="1"/>
  <c r="E97" i="63" l="1"/>
  <c r="J97" i="63" l="1"/>
  <c r="D97" i="63"/>
  <c r="H97" i="63" s="1"/>
  <c r="I97" i="63" l="1"/>
  <c r="K97" i="63"/>
  <c r="C98" i="63" s="1"/>
  <c r="B98" i="63" l="1"/>
  <c r="A97" i="63"/>
  <c r="X97" i="63" s="1"/>
  <c r="E98" i="63" l="1"/>
  <c r="J98" i="63" l="1"/>
  <c r="D98" i="63"/>
  <c r="H98" i="63" s="1"/>
  <c r="I98" i="63" l="1"/>
  <c r="K98" i="63"/>
  <c r="C99" i="63" s="1"/>
  <c r="B99" i="63" l="1"/>
  <c r="A98" i="63"/>
  <c r="X98" i="63" s="1"/>
  <c r="E99" i="63" l="1"/>
  <c r="J99" i="63" l="1"/>
  <c r="D99" i="63"/>
  <c r="H99" i="63" s="1"/>
  <c r="I99" i="63" l="1"/>
  <c r="K99" i="63"/>
  <c r="C100" i="63" s="1"/>
  <c r="B100" i="63" l="1"/>
  <c r="A99" i="63"/>
  <c r="X99" i="63" s="1"/>
  <c r="E100" i="63" l="1"/>
  <c r="J100" i="63" l="1"/>
  <c r="D100" i="63"/>
  <c r="H100" i="63" s="1"/>
  <c r="I100" i="63" l="1"/>
  <c r="K100" i="63"/>
  <c r="C101" i="63" s="1"/>
  <c r="B101" i="63" l="1"/>
  <c r="A100" i="63"/>
  <c r="X100" i="63" s="1"/>
  <c r="E101" i="63" l="1"/>
  <c r="J101" i="63" l="1"/>
  <c r="D101" i="63"/>
  <c r="H101" i="63" s="1"/>
  <c r="I101" i="63" l="1"/>
  <c r="K101" i="63"/>
  <c r="C102" i="63" s="1"/>
  <c r="B102" i="63" l="1"/>
  <c r="A101" i="63"/>
  <c r="X101" i="63" s="1"/>
  <c r="E102" i="63" l="1"/>
  <c r="J102" i="63" l="1"/>
  <c r="D102" i="63"/>
  <c r="H102" i="63" s="1"/>
  <c r="I102" i="63" l="1"/>
  <c r="K102" i="63"/>
  <c r="C103" i="63" s="1"/>
  <c r="B103" i="63" l="1"/>
  <c r="A102" i="63"/>
  <c r="X102" i="63" s="1"/>
  <c r="E103" i="63" l="1"/>
  <c r="J103" i="63" l="1"/>
  <c r="D103" i="63"/>
  <c r="H103" i="63" s="1"/>
  <c r="I103" i="63" l="1"/>
  <c r="K103" i="63"/>
  <c r="C104" i="63" s="1"/>
  <c r="B104" i="63" l="1"/>
  <c r="A103" i="63"/>
  <c r="X103" i="63" s="1"/>
  <c r="E104" i="63" l="1"/>
  <c r="J104" i="63" l="1"/>
  <c r="D104" i="63"/>
  <c r="H104" i="63" s="1"/>
  <c r="I104" i="63" l="1"/>
  <c r="K104" i="63"/>
  <c r="C105" i="63" s="1"/>
  <c r="B105" i="63" l="1"/>
  <c r="A104" i="63"/>
  <c r="X104" i="63" s="1"/>
  <c r="E105" i="63" l="1"/>
  <c r="J105" i="63" l="1"/>
  <c r="D105" i="63"/>
  <c r="H105" i="63" s="1"/>
  <c r="I105" i="63" l="1"/>
  <c r="K105" i="63"/>
  <c r="C106" i="63" s="1"/>
  <c r="B106" i="63" l="1"/>
  <c r="A105" i="63"/>
  <c r="X105" i="63" s="1"/>
  <c r="E106" i="63" l="1"/>
  <c r="J106" i="63" l="1"/>
  <c r="D106" i="63"/>
  <c r="H106" i="63" s="1"/>
  <c r="I106" i="63" l="1"/>
  <c r="K106" i="63"/>
  <c r="C107" i="63" s="1"/>
  <c r="B107" i="63" l="1"/>
  <c r="A106" i="63"/>
  <c r="X106" i="63" s="1"/>
  <c r="E107" i="63" l="1"/>
  <c r="J107" i="63" l="1"/>
  <c r="D107" i="63"/>
  <c r="H107" i="63" s="1"/>
  <c r="I107" i="63" l="1"/>
  <c r="K107" i="63"/>
  <c r="C108" i="63" s="1"/>
  <c r="B108" i="63" l="1"/>
  <c r="A107" i="63"/>
  <c r="X107" i="63" s="1"/>
  <c r="E108" i="63" l="1"/>
  <c r="J108" i="63" l="1"/>
  <c r="D108" i="63"/>
  <c r="H108" i="63" s="1"/>
  <c r="I108" i="63" l="1"/>
  <c r="K108" i="63"/>
  <c r="C109" i="63" s="1"/>
  <c r="B109" i="63" l="1"/>
  <c r="A108" i="63"/>
  <c r="X108" i="63" s="1"/>
  <c r="E109" i="63" l="1"/>
  <c r="J109" i="63" l="1"/>
  <c r="D109" i="63"/>
  <c r="H109" i="63" s="1"/>
  <c r="I109" i="63" l="1"/>
  <c r="K109" i="63"/>
  <c r="C110" i="63" s="1"/>
  <c r="B110" i="63" l="1"/>
  <c r="A109" i="63"/>
  <c r="X109" i="63" s="1"/>
  <c r="E110" i="63" l="1"/>
  <c r="J110" i="63" l="1"/>
  <c r="D110" i="63"/>
  <c r="H110" i="63" s="1"/>
  <c r="I110" i="63" l="1"/>
  <c r="K110" i="63"/>
  <c r="C111" i="63" s="1"/>
  <c r="B111" i="63" l="1"/>
  <c r="A110" i="63"/>
  <c r="X110" i="63" s="1"/>
  <c r="E111" i="63" l="1"/>
  <c r="J111" i="63" l="1"/>
  <c r="D111" i="63"/>
  <c r="H111" i="63" s="1"/>
  <c r="I111" i="63" l="1"/>
  <c r="K111" i="63"/>
  <c r="C112" i="63" s="1"/>
  <c r="B112" i="63" l="1"/>
  <c r="A111" i="63"/>
  <c r="X111" i="63" s="1"/>
  <c r="E112" i="63" l="1"/>
  <c r="J112" i="63" l="1"/>
  <c r="D112" i="63"/>
  <c r="H112" i="63" s="1"/>
  <c r="I112" i="63" l="1"/>
  <c r="K112" i="63"/>
  <c r="C113" i="63" s="1"/>
  <c r="B113" i="63" l="1"/>
  <c r="A112" i="63"/>
  <c r="X112" i="63" s="1"/>
  <c r="E113" i="63" l="1"/>
  <c r="J113" i="63" l="1"/>
  <c r="D113" i="63"/>
  <c r="H113" i="63" s="1"/>
  <c r="I113" i="63" l="1"/>
  <c r="K113" i="63"/>
  <c r="C114" i="63" s="1"/>
  <c r="B114" i="63" l="1"/>
  <c r="A113" i="63"/>
  <c r="X113" i="63" s="1"/>
  <c r="E114" i="63" l="1"/>
  <c r="J114" i="63" l="1"/>
  <c r="D114" i="63"/>
  <c r="H114" i="63" s="1"/>
  <c r="I114" i="63" l="1"/>
  <c r="K114" i="63"/>
  <c r="C115" i="63" s="1"/>
  <c r="B115" i="63" l="1"/>
  <c r="A114" i="63"/>
  <c r="X114" i="63" s="1"/>
  <c r="E115" i="63" l="1"/>
  <c r="J115" i="63" l="1"/>
  <c r="D115" i="63"/>
  <c r="H115" i="63" s="1"/>
  <c r="I115" i="63" l="1"/>
  <c r="K115" i="63"/>
  <c r="C116" i="63" s="1"/>
  <c r="B116" i="63" l="1"/>
  <c r="A115" i="63"/>
  <c r="X115" i="63" s="1"/>
  <c r="E116" i="63" l="1"/>
  <c r="J116" i="63" l="1"/>
  <c r="D116" i="63"/>
  <c r="H116" i="63" s="1"/>
  <c r="I116" i="63" l="1"/>
  <c r="K116" i="63"/>
  <c r="C117" i="63" s="1"/>
  <c r="B117" i="63" l="1"/>
  <c r="A116" i="63"/>
  <c r="X116" i="63" s="1"/>
  <c r="E117" i="63" l="1"/>
  <c r="D117" i="63" l="1"/>
  <c r="H117" i="63" s="1"/>
  <c r="J117" i="63"/>
  <c r="I117" i="63" l="1"/>
  <c r="K117" i="63"/>
  <c r="C118" i="63" s="1"/>
  <c r="B118" i="63" l="1"/>
  <c r="A117" i="63"/>
  <c r="X117" i="63" s="1"/>
  <c r="E118" i="63" l="1"/>
  <c r="J118" i="63" l="1"/>
  <c r="D118" i="63"/>
  <c r="H118" i="63" s="1"/>
  <c r="I118" i="63" l="1"/>
  <c r="K118" i="63"/>
  <c r="C119" i="63" s="1"/>
  <c r="B119" i="63" l="1"/>
  <c r="A118" i="63"/>
  <c r="X118" i="63" s="1"/>
  <c r="E119" i="63" l="1"/>
  <c r="J119" i="63" l="1"/>
  <c r="D119" i="63"/>
  <c r="H119" i="63" s="1"/>
  <c r="I119" i="63" l="1"/>
  <c r="K119" i="63"/>
  <c r="C120" i="63" s="1"/>
  <c r="B120" i="63" l="1"/>
  <c r="A119" i="63"/>
  <c r="X119" i="63" s="1"/>
  <c r="E120" i="63" l="1"/>
  <c r="D120" i="63" l="1"/>
  <c r="H120" i="63" s="1"/>
  <c r="J120" i="63"/>
  <c r="I120" i="63" l="1"/>
  <c r="K120" i="63"/>
  <c r="C121" i="63" s="1"/>
  <c r="B121" i="63" l="1"/>
  <c r="A120" i="63"/>
  <c r="X120" i="63" s="1"/>
  <c r="E121" i="63" l="1"/>
  <c r="J121" i="63" l="1"/>
  <c r="D121" i="63"/>
  <c r="H121" i="63" s="1"/>
  <c r="I121" i="63" l="1"/>
  <c r="K121" i="63"/>
  <c r="C122" i="63" s="1"/>
  <c r="B122" i="63" l="1"/>
  <c r="A121" i="63"/>
  <c r="X121" i="63" s="1"/>
  <c r="E122" i="63" l="1"/>
  <c r="J122" i="63" l="1"/>
  <c r="D122" i="63"/>
  <c r="H122" i="63" s="1"/>
  <c r="I122" i="63" l="1"/>
  <c r="K122" i="63"/>
  <c r="C123" i="63" s="1"/>
  <c r="B123" i="63" l="1"/>
  <c r="A122" i="63"/>
  <c r="X122" i="63" s="1"/>
  <c r="E123" i="63" l="1"/>
  <c r="J123" i="63" l="1"/>
  <c r="D123" i="63"/>
  <c r="H123" i="63" s="1"/>
  <c r="I123" i="63" l="1"/>
  <c r="K123" i="63"/>
  <c r="C124" i="63" s="1"/>
  <c r="B124" i="63" l="1"/>
  <c r="A123" i="63"/>
  <c r="X123" i="63" s="1"/>
  <c r="E124" i="63" l="1"/>
  <c r="J124" i="63" l="1"/>
  <c r="D124" i="63"/>
  <c r="H124" i="63" s="1"/>
  <c r="I124" i="63" l="1"/>
  <c r="K124" i="63"/>
  <c r="C125" i="63" s="1"/>
  <c r="B125" i="63" l="1"/>
  <c r="A124" i="63"/>
  <c r="X124" i="63" s="1"/>
  <c r="E125" i="63" l="1"/>
  <c r="J125" i="63" l="1"/>
  <c r="D125" i="63"/>
  <c r="H125" i="63" s="1"/>
  <c r="I125" i="63" l="1"/>
  <c r="K125" i="63"/>
  <c r="C126" i="63" s="1"/>
  <c r="B126" i="63" l="1"/>
  <c r="A125" i="63"/>
  <c r="X125" i="63" s="1"/>
  <c r="E126" i="63" l="1"/>
  <c r="J126" i="63" l="1"/>
  <c r="D126" i="63"/>
  <c r="H126" i="63" s="1"/>
  <c r="I126" i="63" l="1"/>
  <c r="K126" i="63"/>
  <c r="C127" i="63" s="1"/>
  <c r="B127" i="63" l="1"/>
  <c r="A126" i="63"/>
  <c r="X126" i="63" s="1"/>
  <c r="E127" i="63" l="1"/>
  <c r="J127" i="63" l="1"/>
  <c r="D127" i="63"/>
  <c r="H127" i="63" s="1"/>
  <c r="I127" i="63" l="1"/>
  <c r="K127" i="63"/>
  <c r="C128" i="63" s="1"/>
  <c r="B128" i="63" l="1"/>
  <c r="A127" i="63"/>
  <c r="X127" i="63" s="1"/>
  <c r="E128" i="63" l="1"/>
  <c r="J128" i="63" l="1"/>
  <c r="D128" i="63"/>
  <c r="H128" i="63" s="1"/>
  <c r="I128" i="63" l="1"/>
  <c r="K128" i="63"/>
  <c r="C129" i="63" s="1"/>
  <c r="B129" i="63" l="1"/>
  <c r="A128" i="63"/>
  <c r="X128" i="63" s="1"/>
  <c r="E129" i="63" l="1"/>
  <c r="J129" i="63" l="1"/>
  <c r="D129" i="63"/>
  <c r="H129" i="63" s="1"/>
  <c r="I129" i="63" l="1"/>
  <c r="K129" i="63"/>
  <c r="C130" i="63" s="1"/>
  <c r="B130" i="63" l="1"/>
  <c r="A129" i="63"/>
  <c r="X129" i="63" s="1"/>
  <c r="E130" i="63" l="1"/>
  <c r="J130" i="63" l="1"/>
  <c r="D130" i="63"/>
  <c r="H130" i="63" s="1"/>
  <c r="I130" i="63" l="1"/>
  <c r="K130" i="63"/>
  <c r="C131" i="63" s="1"/>
  <c r="B131" i="63" l="1"/>
  <c r="A130" i="63"/>
  <c r="X130" i="63" s="1"/>
  <c r="E131" i="63" l="1"/>
  <c r="D131" i="63" l="1"/>
  <c r="H131" i="63" s="1"/>
  <c r="J131" i="63"/>
  <c r="I131" i="63" l="1"/>
  <c r="K131" i="63"/>
  <c r="C132" i="63" s="1"/>
  <c r="B132" i="63" l="1"/>
  <c r="A131" i="63"/>
  <c r="X131" i="63" s="1"/>
  <c r="E132" i="63" l="1"/>
  <c r="D132" i="63" l="1"/>
  <c r="H132" i="63" s="1"/>
  <c r="J132" i="63"/>
  <c r="I132" i="63" l="1"/>
  <c r="K132" i="63"/>
  <c r="C133" i="63" s="1"/>
  <c r="B133" i="63" l="1"/>
  <c r="A132" i="63"/>
  <c r="X132" i="63" s="1"/>
  <c r="E133" i="63" l="1"/>
  <c r="J133" i="63" l="1"/>
  <c r="D133" i="63"/>
  <c r="H133" i="63" s="1"/>
  <c r="I133" i="63" l="1"/>
  <c r="K133" i="63"/>
  <c r="C134" i="63" s="1"/>
  <c r="B134" i="63" l="1"/>
  <c r="A133" i="63"/>
  <c r="X133" i="63" s="1"/>
  <c r="E134" i="63" l="1"/>
  <c r="J134" i="63" l="1"/>
  <c r="D134" i="63"/>
  <c r="H134" i="63" s="1"/>
  <c r="I134" i="63" l="1"/>
  <c r="K134" i="63"/>
  <c r="C135" i="63" s="1"/>
  <c r="B135" i="63" l="1"/>
  <c r="A134" i="63"/>
  <c r="X134" i="63" s="1"/>
  <c r="E135" i="63" l="1"/>
  <c r="D135" i="63" l="1"/>
  <c r="H135" i="63" s="1"/>
  <c r="J135" i="63"/>
  <c r="I135" i="63" l="1"/>
  <c r="K135" i="63"/>
  <c r="C136" i="63" s="1"/>
  <c r="B136" i="63" l="1"/>
  <c r="A135" i="63"/>
  <c r="X135" i="63" s="1"/>
  <c r="E136" i="63" l="1"/>
  <c r="J136" i="63" l="1"/>
  <c r="D136" i="63"/>
  <c r="H136" i="63" s="1"/>
  <c r="I136" i="63" l="1"/>
  <c r="K136" i="63"/>
  <c r="C137" i="63" s="1"/>
  <c r="B137" i="63" l="1"/>
  <c r="A136" i="63"/>
  <c r="X136" i="63" s="1"/>
  <c r="E137" i="63" l="1"/>
  <c r="J137" i="63" l="1"/>
  <c r="D137" i="63"/>
  <c r="H137" i="63" s="1"/>
  <c r="I137" i="63" l="1"/>
  <c r="K137" i="63"/>
  <c r="C138" i="63" s="1"/>
  <c r="B138" i="63" l="1"/>
  <c r="A137" i="63"/>
  <c r="X137" i="63" s="1"/>
  <c r="E138" i="63" l="1"/>
  <c r="J138" i="63" l="1"/>
  <c r="D138" i="63"/>
  <c r="H138" i="63" s="1"/>
  <c r="I138" i="63" l="1"/>
  <c r="K138" i="63"/>
  <c r="C139" i="63" s="1"/>
  <c r="B139" i="63" l="1"/>
  <c r="A138" i="63"/>
  <c r="X138" i="63" s="1"/>
  <c r="E139" i="63" l="1"/>
  <c r="J139" i="63" l="1"/>
  <c r="D139" i="63"/>
  <c r="H139" i="63" s="1"/>
  <c r="I139" i="63" l="1"/>
  <c r="K139" i="63"/>
  <c r="C140" i="63" s="1"/>
  <c r="B140" i="63" l="1"/>
  <c r="A139" i="63"/>
  <c r="X139" i="63" s="1"/>
  <c r="E140" i="63" l="1"/>
  <c r="D140" i="63" l="1"/>
  <c r="H140" i="63" s="1"/>
  <c r="J140" i="63"/>
  <c r="I140" i="63" l="1"/>
  <c r="K140" i="63"/>
  <c r="C141" i="63" s="1"/>
  <c r="B141" i="63" l="1"/>
  <c r="A140" i="63"/>
  <c r="X140" i="63" s="1"/>
  <c r="E141" i="63" l="1"/>
  <c r="J141" i="63" l="1"/>
  <c r="D141" i="63"/>
  <c r="H141" i="63" s="1"/>
  <c r="I141" i="63" l="1"/>
  <c r="K141" i="63"/>
  <c r="C142" i="63" s="1"/>
  <c r="B142" i="63" l="1"/>
  <c r="A141" i="63"/>
  <c r="X141" i="63" s="1"/>
  <c r="E142" i="63" l="1"/>
  <c r="D142" i="63" l="1"/>
  <c r="H142" i="63" s="1"/>
  <c r="J142" i="63"/>
  <c r="I142" i="63" l="1"/>
  <c r="K142" i="63"/>
  <c r="C143" i="63" s="1"/>
  <c r="B143" i="63" l="1"/>
  <c r="A142" i="63"/>
  <c r="X142" i="63" s="1"/>
  <c r="E143" i="63" l="1"/>
  <c r="J143" i="63" l="1"/>
  <c r="D143" i="63"/>
  <c r="H143" i="63" s="1"/>
  <c r="I143" i="63" l="1"/>
  <c r="K143" i="63"/>
  <c r="C144" i="63" s="1"/>
  <c r="B144" i="63" l="1"/>
  <c r="A143" i="63"/>
  <c r="X143" i="63" s="1"/>
  <c r="E144" i="63" l="1"/>
  <c r="D144" i="63" l="1"/>
  <c r="H144" i="63" s="1"/>
  <c r="J144" i="63"/>
  <c r="I144" i="63" l="1"/>
  <c r="K144" i="63"/>
  <c r="C145" i="63" s="1"/>
  <c r="B145" i="63" l="1"/>
  <c r="A144" i="63"/>
  <c r="X144" i="63" s="1"/>
  <c r="E145" i="63" l="1"/>
  <c r="D145" i="63" l="1"/>
  <c r="H145" i="63" s="1"/>
  <c r="J145" i="63"/>
  <c r="I145" i="63" l="1"/>
  <c r="K145" i="63"/>
  <c r="C146" i="63" s="1"/>
  <c r="B146" i="63" l="1"/>
  <c r="A145" i="63"/>
  <c r="X145" i="63" s="1"/>
  <c r="E146" i="63" l="1"/>
  <c r="J146" i="63" l="1"/>
  <c r="D146" i="63"/>
  <c r="H146" i="63" s="1"/>
  <c r="I146" i="63" l="1"/>
  <c r="K146" i="63"/>
  <c r="C147" i="63" s="1"/>
  <c r="B147" i="63" l="1"/>
  <c r="A146" i="63"/>
  <c r="X146" i="63" s="1"/>
  <c r="E147" i="63" l="1"/>
  <c r="J147" i="63" l="1"/>
  <c r="D147" i="63"/>
  <c r="H147" i="63" s="1"/>
  <c r="I147" i="63" l="1"/>
  <c r="K147" i="63"/>
  <c r="C148" i="63" s="1"/>
  <c r="B148" i="63" l="1"/>
  <c r="A147" i="63"/>
  <c r="X147" i="63" s="1"/>
  <c r="E148" i="63" l="1"/>
  <c r="D148" i="63" l="1"/>
  <c r="H148" i="63" s="1"/>
  <c r="J148" i="63"/>
  <c r="I148" i="63" l="1"/>
  <c r="K148" i="63"/>
  <c r="C149" i="63" s="1"/>
  <c r="B149" i="63" l="1"/>
  <c r="A148" i="63"/>
  <c r="X148" i="63" s="1"/>
  <c r="E149" i="63" l="1"/>
  <c r="J149" i="63" l="1"/>
  <c r="D149" i="63"/>
  <c r="H149" i="63" s="1"/>
  <c r="I149" i="63" l="1"/>
  <c r="K149" i="63"/>
  <c r="C150" i="63" s="1"/>
  <c r="B150" i="63" l="1"/>
  <c r="A149" i="63"/>
  <c r="X149" i="63" s="1"/>
  <c r="E150" i="63" l="1"/>
  <c r="J150" i="63" l="1"/>
  <c r="D150" i="63"/>
  <c r="H150" i="63" s="1"/>
  <c r="I150" i="63" l="1"/>
  <c r="K150" i="63"/>
  <c r="C151" i="63" s="1"/>
  <c r="B151" i="63" l="1"/>
  <c r="A150" i="63"/>
  <c r="X150" i="63" s="1"/>
  <c r="E151" i="63" l="1"/>
  <c r="D151" i="63" l="1"/>
  <c r="H151" i="63" s="1"/>
  <c r="J151" i="63"/>
  <c r="I151" i="63" l="1"/>
  <c r="K151" i="63"/>
  <c r="C152" i="63" s="1"/>
  <c r="B152" i="63" l="1"/>
  <c r="A151" i="63"/>
  <c r="X151" i="63" s="1"/>
  <c r="E152" i="63" l="1"/>
  <c r="J152" i="63" l="1"/>
  <c r="D152" i="63"/>
  <c r="H152" i="63" s="1"/>
  <c r="I152" i="63" l="1"/>
  <c r="K152" i="63"/>
  <c r="C153" i="63" s="1"/>
  <c r="B153" i="63" l="1"/>
  <c r="A152" i="63"/>
  <c r="X152" i="63" s="1"/>
  <c r="E153" i="63" l="1"/>
  <c r="J153" i="63" l="1"/>
  <c r="D153" i="63"/>
  <c r="H153" i="63" s="1"/>
  <c r="I153" i="63" l="1"/>
  <c r="K153" i="63"/>
  <c r="C154" i="63" s="1"/>
  <c r="B154" i="63" l="1"/>
  <c r="A153" i="63"/>
  <c r="X153" i="63" s="1"/>
  <c r="E154" i="63" l="1"/>
  <c r="J154" i="63" l="1"/>
  <c r="D154" i="63"/>
  <c r="H154" i="63" s="1"/>
  <c r="I154" i="63" l="1"/>
  <c r="K154" i="63"/>
  <c r="C155" i="63" s="1"/>
  <c r="B155" i="63" l="1"/>
  <c r="A154" i="63"/>
  <c r="X154" i="63" s="1"/>
  <c r="E155" i="63" l="1"/>
  <c r="J155" i="63" l="1"/>
  <c r="D155" i="63"/>
  <c r="H155" i="63" s="1"/>
  <c r="I155" i="63" l="1"/>
  <c r="K155" i="63"/>
  <c r="C156" i="63" s="1"/>
  <c r="B156" i="63" l="1"/>
  <c r="A155" i="63"/>
  <c r="X155" i="63" s="1"/>
  <c r="E156" i="63" l="1"/>
  <c r="J156" i="63" l="1"/>
  <c r="D156" i="63"/>
  <c r="H156" i="63" s="1"/>
  <c r="I156" i="63" l="1"/>
  <c r="K156" i="63"/>
  <c r="C157" i="63" s="1"/>
  <c r="B157" i="63" l="1"/>
  <c r="A156" i="63"/>
  <c r="X156" i="63" s="1"/>
  <c r="E157" i="63" l="1"/>
  <c r="J157" i="63" l="1"/>
  <c r="D157" i="63"/>
  <c r="H157" i="63" s="1"/>
  <c r="I157" i="63" l="1"/>
  <c r="K157" i="63"/>
  <c r="C158" i="63" s="1"/>
  <c r="B158" i="63" l="1"/>
  <c r="A157" i="63"/>
  <c r="X157" i="63" s="1"/>
  <c r="E158" i="63" l="1"/>
  <c r="J158" i="63" l="1"/>
  <c r="D158" i="63"/>
  <c r="H158" i="63" s="1"/>
  <c r="I158" i="63" l="1"/>
  <c r="K158" i="63"/>
  <c r="C159" i="63" s="1"/>
  <c r="B159" i="63" l="1"/>
  <c r="A158" i="63"/>
  <c r="X158" i="63" s="1"/>
  <c r="E159" i="63" l="1"/>
  <c r="J159" i="63" l="1"/>
  <c r="D159" i="63"/>
  <c r="H159" i="63" s="1"/>
  <c r="I159" i="63" l="1"/>
  <c r="K159" i="63"/>
  <c r="C160" i="63" s="1"/>
  <c r="B160" i="63" l="1"/>
  <c r="A159" i="63"/>
  <c r="X159" i="63" s="1"/>
  <c r="E160" i="63" l="1"/>
  <c r="J160" i="63" l="1"/>
  <c r="D160" i="63"/>
  <c r="H160" i="63" s="1"/>
  <c r="I160" i="63" l="1"/>
  <c r="K160" i="63"/>
  <c r="C161" i="63" s="1"/>
  <c r="B161" i="63" l="1"/>
  <c r="A160" i="63"/>
  <c r="X160" i="63" s="1"/>
  <c r="E161" i="63" l="1"/>
  <c r="J161" i="63" l="1"/>
  <c r="D161" i="63"/>
  <c r="H161" i="63" s="1"/>
  <c r="I161" i="63" l="1"/>
  <c r="K161" i="63"/>
  <c r="C162" i="63" s="1"/>
  <c r="B162" i="63" l="1"/>
  <c r="A161" i="63"/>
  <c r="X161" i="63" s="1"/>
  <c r="E162" i="63" l="1"/>
  <c r="J162" i="63" l="1"/>
  <c r="D162" i="63"/>
  <c r="H162" i="63" s="1"/>
  <c r="I162" i="63" l="1"/>
  <c r="K162" i="63"/>
  <c r="C163" i="63" s="1"/>
  <c r="B163" i="63" l="1"/>
  <c r="A162" i="63"/>
  <c r="X162" i="63" s="1"/>
  <c r="E163" i="63" l="1"/>
  <c r="D163" i="63" l="1"/>
  <c r="H163" i="63" s="1"/>
  <c r="J163" i="63"/>
  <c r="I163" i="63" l="1"/>
  <c r="K163" i="63"/>
  <c r="C164" i="63" s="1"/>
  <c r="B164" i="63" l="1"/>
  <c r="A163" i="63"/>
  <c r="X163" i="63" s="1"/>
  <c r="E164" i="63" l="1"/>
  <c r="J164" i="63" l="1"/>
  <c r="D164" i="63"/>
  <c r="H164" i="63" s="1"/>
  <c r="I164" i="63" l="1"/>
  <c r="K164" i="63"/>
  <c r="C165" i="63" s="1"/>
  <c r="B165" i="63" l="1"/>
  <c r="A164" i="63"/>
  <c r="X164" i="63" s="1"/>
  <c r="E165" i="63" l="1"/>
  <c r="D165" i="63" l="1"/>
  <c r="H165" i="63" s="1"/>
  <c r="J165" i="63"/>
  <c r="I165" i="63" l="1"/>
  <c r="K165" i="63"/>
  <c r="C166" i="63" s="1"/>
  <c r="B166" i="63" l="1"/>
  <c r="A165" i="63"/>
  <c r="X165" i="63" s="1"/>
  <c r="E166" i="63" l="1"/>
  <c r="D166" i="63" l="1"/>
  <c r="H166" i="63" s="1"/>
  <c r="J166" i="63"/>
  <c r="I166" i="63" l="1"/>
  <c r="K166" i="63"/>
  <c r="C167" i="63" s="1"/>
  <c r="B167" i="63" l="1"/>
  <c r="A166" i="63"/>
  <c r="X166" i="63" s="1"/>
  <c r="E167" i="63" l="1"/>
  <c r="J167" i="63" l="1"/>
  <c r="D167" i="63"/>
  <c r="H167" i="63" s="1"/>
  <c r="I167" i="63" l="1"/>
  <c r="K167" i="63"/>
  <c r="C168" i="63" s="1"/>
  <c r="B168" i="63" l="1"/>
  <c r="A167" i="63"/>
  <c r="X167" i="63" s="1"/>
  <c r="E168" i="63" l="1"/>
  <c r="J168" i="63" l="1"/>
  <c r="D168" i="63"/>
  <c r="H168" i="63" s="1"/>
  <c r="I168" i="63" l="1"/>
  <c r="K168" i="63"/>
  <c r="C169" i="63" s="1"/>
  <c r="B169" i="63" l="1"/>
  <c r="A168" i="63"/>
  <c r="X168" i="63" s="1"/>
  <c r="E169" i="63" l="1"/>
  <c r="J169" i="63" l="1"/>
  <c r="D169" i="63"/>
  <c r="H169" i="63" s="1"/>
  <c r="I169" i="63" l="1"/>
  <c r="K169" i="63"/>
  <c r="C170" i="63" s="1"/>
  <c r="B170" i="63" l="1"/>
  <c r="A169" i="63"/>
  <c r="X169" i="63" s="1"/>
  <c r="E170" i="63" l="1"/>
  <c r="D170" i="63" l="1"/>
  <c r="H170" i="63" s="1"/>
  <c r="J170" i="63"/>
  <c r="I170" i="63" l="1"/>
  <c r="K170" i="63"/>
  <c r="C171" i="63" s="1"/>
  <c r="B171" i="63" l="1"/>
  <c r="A170" i="63"/>
  <c r="X170" i="63" s="1"/>
  <c r="E171" i="63" l="1"/>
  <c r="J171" i="63" l="1"/>
  <c r="D171" i="63"/>
  <c r="H171" i="63" s="1"/>
  <c r="I171" i="63" l="1"/>
  <c r="K171" i="63"/>
  <c r="C172" i="63" s="1"/>
  <c r="B172" i="63" l="1"/>
  <c r="A171" i="63"/>
  <c r="X171" i="63" s="1"/>
  <c r="E172" i="63" l="1"/>
  <c r="J172" i="63" l="1"/>
  <c r="D172" i="63"/>
  <c r="H172" i="63" s="1"/>
  <c r="I172" i="63" l="1"/>
  <c r="K172" i="63"/>
  <c r="C173" i="63" s="1"/>
  <c r="B173" i="63" l="1"/>
  <c r="A172" i="63"/>
  <c r="X172" i="63" s="1"/>
  <c r="E173" i="63" l="1"/>
  <c r="D173" i="63" l="1"/>
  <c r="H173" i="63" s="1"/>
  <c r="J173" i="63"/>
  <c r="I173" i="63" l="1"/>
  <c r="K173" i="63"/>
  <c r="C174" i="63" s="1"/>
  <c r="B174" i="63" l="1"/>
  <c r="A173" i="63"/>
  <c r="X173" i="63" s="1"/>
  <c r="E174" i="63" l="1"/>
  <c r="J174" i="63" l="1"/>
  <c r="D174" i="63"/>
  <c r="H174" i="63" s="1"/>
  <c r="I174" i="63" l="1"/>
  <c r="K174" i="63"/>
  <c r="C175" i="63" s="1"/>
  <c r="B175" i="63" l="1"/>
  <c r="A174" i="63"/>
  <c r="X174" i="63" s="1"/>
  <c r="E175" i="63" l="1"/>
  <c r="J175" i="63" l="1"/>
  <c r="D175" i="63"/>
  <c r="H175" i="63" s="1"/>
  <c r="I175" i="63" l="1"/>
  <c r="K175" i="63"/>
  <c r="C176" i="63" s="1"/>
  <c r="B176" i="63" l="1"/>
  <c r="A175" i="63"/>
  <c r="X175" i="63" s="1"/>
  <c r="E176" i="63" l="1"/>
  <c r="D176" i="63" l="1"/>
  <c r="H176" i="63" s="1"/>
  <c r="J176" i="63"/>
  <c r="I176" i="63" l="1"/>
  <c r="K176" i="63"/>
  <c r="C177" i="63" s="1"/>
  <c r="B177" i="63" l="1"/>
  <c r="A176" i="63"/>
  <c r="X176" i="63" s="1"/>
  <c r="E177" i="63" l="1"/>
  <c r="J177" i="63" l="1"/>
  <c r="D177" i="63"/>
  <c r="H177" i="63" s="1"/>
  <c r="I177" i="63" l="1"/>
  <c r="K177" i="63"/>
  <c r="C178" i="63" s="1"/>
  <c r="B178" i="63" l="1"/>
  <c r="A177" i="63"/>
  <c r="X177" i="63" s="1"/>
  <c r="E178" i="63" l="1"/>
  <c r="J178" i="63" l="1"/>
  <c r="D178" i="63"/>
  <c r="H178" i="63" s="1"/>
  <c r="I178" i="63" l="1"/>
  <c r="K178" i="63"/>
  <c r="C179" i="63" s="1"/>
  <c r="B179" i="63" l="1"/>
  <c r="A178" i="63"/>
  <c r="X178" i="63" s="1"/>
  <c r="E179" i="63" l="1"/>
  <c r="J179" i="63" l="1"/>
  <c r="D179" i="63"/>
  <c r="H179" i="63" s="1"/>
  <c r="I179" i="63" l="1"/>
  <c r="K179" i="63"/>
  <c r="C180" i="63" s="1"/>
  <c r="B180" i="63" l="1"/>
  <c r="A179" i="63"/>
  <c r="X179" i="63" s="1"/>
  <c r="E180" i="63" l="1"/>
  <c r="J180" i="63" l="1"/>
  <c r="D180" i="63"/>
  <c r="H180" i="63" s="1"/>
  <c r="I180" i="63" l="1"/>
  <c r="K180" i="63"/>
  <c r="C181" i="63" s="1"/>
  <c r="B181" i="63" l="1"/>
  <c r="A180" i="63"/>
  <c r="X180" i="63" s="1"/>
  <c r="E181" i="63" l="1"/>
  <c r="J181" i="63" l="1"/>
  <c r="D181" i="63"/>
  <c r="H181" i="63" s="1"/>
  <c r="I181" i="63" l="1"/>
  <c r="K181" i="63"/>
  <c r="C182" i="63" s="1"/>
  <c r="B182" i="63" l="1"/>
  <c r="A181" i="63"/>
  <c r="X181" i="63" s="1"/>
  <c r="E182" i="63" l="1"/>
  <c r="J182" i="63" l="1"/>
  <c r="D182" i="63"/>
  <c r="H182" i="63" s="1"/>
  <c r="I182" i="63" l="1"/>
  <c r="K182" i="63"/>
  <c r="C183" i="63" s="1"/>
  <c r="B183" i="63" l="1"/>
  <c r="A182" i="63"/>
  <c r="X182" i="63" s="1"/>
  <c r="E183" i="63" l="1"/>
  <c r="J183" i="63" l="1"/>
  <c r="D183" i="63"/>
  <c r="H183" i="63" s="1"/>
  <c r="I183" i="63" l="1"/>
  <c r="K183" i="63"/>
  <c r="C184" i="63" s="1"/>
  <c r="B184" i="63" l="1"/>
  <c r="A183" i="63"/>
  <c r="X183" i="63" s="1"/>
  <c r="E184" i="63" l="1"/>
  <c r="J184" i="63" l="1"/>
  <c r="D184" i="63"/>
  <c r="H184" i="63" s="1"/>
  <c r="I184" i="63" l="1"/>
  <c r="K184" i="63"/>
  <c r="C185" i="63" s="1"/>
  <c r="B185" i="63" l="1"/>
  <c r="A184" i="63"/>
  <c r="X184" i="63" s="1"/>
  <c r="E185" i="63" l="1"/>
  <c r="D185" i="63" l="1"/>
  <c r="H185" i="63" s="1"/>
  <c r="J185" i="63"/>
  <c r="I185" i="63" l="1"/>
  <c r="K185" i="63"/>
  <c r="C186" i="63" s="1"/>
  <c r="B186" i="63" l="1"/>
  <c r="A185" i="63"/>
  <c r="X185" i="63" s="1"/>
  <c r="E186" i="63" l="1"/>
  <c r="J186" i="63" l="1"/>
  <c r="D186" i="63"/>
  <c r="H186" i="63" s="1"/>
  <c r="I186" i="63" l="1"/>
  <c r="K186" i="63"/>
  <c r="C187" i="63" s="1"/>
  <c r="B187" i="63" l="1"/>
  <c r="A186" i="63"/>
  <c r="X186" i="63" s="1"/>
  <c r="E187" i="63" l="1"/>
  <c r="J187" i="63" l="1"/>
  <c r="D187" i="63"/>
  <c r="H187" i="63" s="1"/>
  <c r="I187" i="63" l="1"/>
  <c r="K187" i="63"/>
  <c r="C188" i="63" s="1"/>
  <c r="B188" i="63" l="1"/>
  <c r="A187" i="63"/>
  <c r="X187" i="63" s="1"/>
  <c r="E188" i="63" l="1"/>
  <c r="D188" i="63" l="1"/>
  <c r="H188" i="63" s="1"/>
  <c r="J188" i="63"/>
  <c r="I188" i="63" l="1"/>
  <c r="K188" i="63"/>
  <c r="C189" i="63" s="1"/>
  <c r="B189" i="63" l="1"/>
  <c r="A188" i="63"/>
  <c r="X188" i="63" s="1"/>
  <c r="E189" i="63" l="1"/>
  <c r="D189" i="63" l="1"/>
  <c r="H189" i="63" s="1"/>
  <c r="J189" i="63"/>
  <c r="I189" i="63" l="1"/>
  <c r="K189" i="63"/>
  <c r="C190" i="63" s="1"/>
  <c r="B190" i="63" l="1"/>
  <c r="A189" i="63"/>
  <c r="X189" i="63" s="1"/>
  <c r="E190" i="63" l="1"/>
  <c r="J190" i="63" l="1"/>
  <c r="D190" i="63"/>
  <c r="H190" i="63" s="1"/>
  <c r="I190" i="63" l="1"/>
  <c r="K190" i="63"/>
  <c r="C191" i="63" s="1"/>
  <c r="B191" i="63" l="1"/>
  <c r="A190" i="63"/>
  <c r="X190" i="63" s="1"/>
  <c r="E191" i="63" l="1"/>
  <c r="D191" i="63" l="1"/>
  <c r="H191" i="63" s="1"/>
  <c r="J191" i="63"/>
  <c r="I191" i="63" l="1"/>
  <c r="K191" i="63"/>
  <c r="C192" i="63" s="1"/>
  <c r="B192" i="63" l="1"/>
  <c r="A191" i="63"/>
  <c r="X191" i="63" s="1"/>
  <c r="E192" i="63" l="1"/>
  <c r="J192" i="63" l="1"/>
  <c r="D192" i="63"/>
  <c r="H192" i="63" s="1"/>
  <c r="I192" i="63" l="1"/>
  <c r="K192" i="63"/>
  <c r="C193" i="63" s="1"/>
  <c r="B193" i="63" l="1"/>
  <c r="A192" i="63"/>
  <c r="X192" i="63" s="1"/>
  <c r="E193" i="63" l="1"/>
  <c r="J193" i="63" l="1"/>
  <c r="D193" i="63"/>
  <c r="H193" i="63" s="1"/>
  <c r="I193" i="63" l="1"/>
  <c r="K193" i="63"/>
  <c r="C194" i="63" s="1"/>
  <c r="B194" i="63" l="1"/>
  <c r="A193" i="63"/>
  <c r="X193" i="63" s="1"/>
  <c r="E194" i="63" l="1"/>
  <c r="D194" i="63" l="1"/>
  <c r="H194" i="63" s="1"/>
  <c r="J194" i="63"/>
  <c r="I194" i="63" l="1"/>
  <c r="K194" i="63"/>
  <c r="C195" i="63" s="1"/>
  <c r="B195" i="63" l="1"/>
  <c r="A194" i="63"/>
  <c r="X194" i="63" s="1"/>
  <c r="E195" i="63" l="1"/>
  <c r="J195" i="63" l="1"/>
  <c r="D195" i="63"/>
  <c r="H195" i="63" s="1"/>
  <c r="I195" i="63" l="1"/>
  <c r="K195" i="63"/>
  <c r="C196" i="63" s="1"/>
  <c r="B196" i="63" l="1"/>
  <c r="A195" i="63"/>
  <c r="X195" i="63" s="1"/>
  <c r="E196" i="63" l="1"/>
  <c r="D196" i="63" l="1"/>
  <c r="H196" i="63" s="1"/>
  <c r="J196" i="63"/>
  <c r="I196" i="63" l="1"/>
  <c r="K196" i="63"/>
  <c r="C197" i="63" s="1"/>
  <c r="B197" i="63" l="1"/>
  <c r="A196" i="63"/>
  <c r="X196" i="63" s="1"/>
  <c r="E197" i="63" l="1"/>
  <c r="D197" i="63" l="1"/>
  <c r="H197" i="63" s="1"/>
  <c r="J197" i="63"/>
  <c r="I197" i="63" l="1"/>
  <c r="K197" i="63"/>
  <c r="C198" i="63" s="1"/>
  <c r="B198" i="63" l="1"/>
  <c r="A197" i="63"/>
  <c r="X197" i="63" s="1"/>
  <c r="E198" i="63" l="1"/>
  <c r="D198" i="63" l="1"/>
  <c r="H198" i="63" s="1"/>
  <c r="J198" i="63"/>
  <c r="I198" i="63" l="1"/>
  <c r="K198" i="63"/>
  <c r="C199" i="63" s="1"/>
  <c r="B199" i="63" l="1"/>
  <c r="A198" i="63"/>
  <c r="X198" i="63" s="1"/>
  <c r="E199" i="63" l="1"/>
  <c r="D199" i="63" l="1"/>
  <c r="H199" i="63" s="1"/>
  <c r="J199" i="63"/>
  <c r="I199" i="63" l="1"/>
  <c r="K199" i="63"/>
  <c r="C200" i="63" s="1"/>
  <c r="B200" i="63" l="1"/>
  <c r="A199" i="63"/>
  <c r="X199" i="63" s="1"/>
  <c r="E200" i="63" l="1"/>
  <c r="D200" i="63" l="1"/>
  <c r="H200" i="63" s="1"/>
  <c r="J200" i="63"/>
  <c r="I200" i="63" l="1"/>
  <c r="K200" i="63"/>
  <c r="C201" i="63" s="1"/>
  <c r="B201" i="63" l="1"/>
  <c r="A200" i="63"/>
  <c r="X200" i="63" s="1"/>
  <c r="E201" i="63" l="1"/>
  <c r="J201" i="63" l="1"/>
  <c r="D201" i="63"/>
  <c r="H201" i="63" s="1"/>
  <c r="I201" i="63" l="1"/>
  <c r="K201" i="63"/>
  <c r="C202" i="63" s="1"/>
  <c r="B202" i="63" l="1"/>
  <c r="A201" i="63"/>
  <c r="X201" i="63" s="1"/>
  <c r="E202" i="63" l="1"/>
  <c r="J202" i="63" l="1"/>
  <c r="D202" i="63"/>
  <c r="H202" i="63" s="1"/>
  <c r="I202" i="63" l="1"/>
  <c r="K202" i="63"/>
  <c r="C203" i="63" s="1"/>
  <c r="B203" i="63" l="1"/>
  <c r="A202" i="63"/>
  <c r="X202" i="63" s="1"/>
  <c r="E203" i="63" l="1"/>
  <c r="D203" i="63" l="1"/>
  <c r="H203" i="63" s="1"/>
  <c r="J203" i="63"/>
  <c r="I203" i="63" l="1"/>
  <c r="K203" i="63"/>
  <c r="C204" i="63" s="1"/>
  <c r="B204" i="63" l="1"/>
  <c r="A203" i="63"/>
  <c r="X203" i="63" s="1"/>
  <c r="E204" i="63" l="1"/>
  <c r="D204" i="63" l="1"/>
  <c r="H204" i="63" s="1"/>
  <c r="J204" i="63"/>
  <c r="I204" i="63" l="1"/>
  <c r="K204" i="63"/>
  <c r="C205" i="63" s="1"/>
  <c r="B205" i="63" l="1"/>
  <c r="A204" i="63"/>
  <c r="X204" i="63" s="1"/>
  <c r="E205" i="63" l="1"/>
  <c r="D205" i="63" l="1"/>
  <c r="H205" i="63" s="1"/>
  <c r="J205" i="63"/>
  <c r="I205" i="63" l="1"/>
  <c r="K205" i="63"/>
  <c r="C206" i="63" s="1"/>
  <c r="B206" i="63" l="1"/>
  <c r="A205" i="63"/>
  <c r="X205" i="63" s="1"/>
  <c r="E206" i="63" l="1"/>
  <c r="D206" i="63" l="1"/>
  <c r="H206" i="63" s="1"/>
  <c r="J206" i="63"/>
  <c r="I206" i="63" l="1"/>
  <c r="K206" i="63"/>
  <c r="C207" i="63" s="1"/>
  <c r="B207" i="63" l="1"/>
  <c r="A206" i="63"/>
  <c r="X206" i="63" s="1"/>
  <c r="E207" i="63" l="1"/>
  <c r="J207" i="63" l="1"/>
  <c r="D207" i="63"/>
  <c r="H207" i="63" s="1"/>
  <c r="I207" i="63" l="1"/>
  <c r="K207" i="63"/>
  <c r="C208" i="63" s="1"/>
  <c r="B208" i="63" l="1"/>
  <c r="A207" i="63"/>
  <c r="X207" i="63" s="1"/>
  <c r="E208" i="63" l="1"/>
  <c r="D208" i="63" l="1"/>
  <c r="H208" i="63" s="1"/>
  <c r="J208" i="63"/>
  <c r="I208" i="63" l="1"/>
  <c r="K208" i="63"/>
  <c r="C209" i="63" s="1"/>
  <c r="B209" i="63" l="1"/>
  <c r="A208" i="63"/>
  <c r="X208" i="63" s="1"/>
  <c r="E209" i="63" l="1"/>
  <c r="D209" i="63" l="1"/>
  <c r="H209" i="63" s="1"/>
  <c r="J209" i="63"/>
  <c r="I209" i="63" l="1"/>
  <c r="K209" i="63"/>
  <c r="C210" i="63" s="1"/>
  <c r="B210" i="63" l="1"/>
  <c r="A209" i="63"/>
  <c r="X209" i="63" s="1"/>
  <c r="E210" i="63" l="1"/>
  <c r="D210" i="63" l="1"/>
  <c r="H210" i="63" s="1"/>
  <c r="J210" i="63"/>
  <c r="I210" i="63" l="1"/>
  <c r="K210" i="63"/>
  <c r="C211" i="63" s="1"/>
  <c r="B211" i="63" l="1"/>
  <c r="A210" i="63"/>
  <c r="X210" i="63" s="1"/>
  <c r="E211" i="63" l="1"/>
  <c r="J211" i="63" l="1"/>
  <c r="D211" i="63"/>
  <c r="H211" i="63" s="1"/>
  <c r="I211" i="63" l="1"/>
  <c r="K211" i="63"/>
  <c r="C212" i="63" s="1"/>
  <c r="B212" i="63" l="1"/>
  <c r="A211" i="63"/>
  <c r="X211" i="63" s="1"/>
  <c r="E212" i="63" l="1"/>
  <c r="D212" i="63" l="1"/>
  <c r="H212" i="63" s="1"/>
  <c r="J212" i="63"/>
  <c r="I212" i="63" l="1"/>
  <c r="K212" i="63"/>
  <c r="C213" i="63" s="1"/>
  <c r="B213" i="63" l="1"/>
  <c r="A212" i="63"/>
  <c r="X212" i="63" s="1"/>
  <c r="E213" i="63" l="1"/>
  <c r="J213" i="63" l="1"/>
  <c r="D213" i="63"/>
  <c r="H213" i="63" s="1"/>
  <c r="I213" i="63" l="1"/>
  <c r="K213" i="63"/>
  <c r="C214" i="63" s="1"/>
  <c r="B214" i="63" l="1"/>
  <c r="A213" i="63"/>
  <c r="X213" i="63" s="1"/>
  <c r="E214" i="63" l="1"/>
  <c r="J214" i="63" l="1"/>
  <c r="D214" i="63"/>
  <c r="H214" i="63" s="1"/>
  <c r="I214" i="63" l="1"/>
  <c r="K214" i="63"/>
  <c r="C215" i="63" s="1"/>
  <c r="B215" i="63" l="1"/>
  <c r="A214" i="63"/>
  <c r="X214" i="63" s="1"/>
  <c r="E215" i="63" l="1"/>
  <c r="D215" i="63" l="1"/>
  <c r="H215" i="63" s="1"/>
  <c r="J215" i="63"/>
  <c r="I215" i="63" l="1"/>
  <c r="K215" i="63"/>
  <c r="C216" i="63" s="1"/>
  <c r="B216" i="63" l="1"/>
  <c r="A215" i="63"/>
  <c r="X215" i="63" s="1"/>
  <c r="E216" i="63" l="1"/>
  <c r="J216" i="63" l="1"/>
  <c r="D216" i="63"/>
  <c r="H216" i="63" s="1"/>
  <c r="I216" i="63" l="1"/>
  <c r="K216" i="63"/>
  <c r="C217" i="63" s="1"/>
  <c r="B217" i="63" l="1"/>
  <c r="A216" i="63"/>
  <c r="X216" i="63" s="1"/>
  <c r="E217" i="63" l="1"/>
  <c r="J217" i="63" l="1"/>
  <c r="D217" i="63"/>
  <c r="H217" i="63" s="1"/>
  <c r="I217" i="63" l="1"/>
  <c r="K217" i="63"/>
  <c r="C218" i="63" s="1"/>
  <c r="B218" i="63" l="1"/>
  <c r="A217" i="63"/>
  <c r="X217" i="63" s="1"/>
  <c r="E218" i="63" l="1"/>
  <c r="J218" i="63" l="1"/>
  <c r="D218" i="63"/>
  <c r="H218" i="63" s="1"/>
  <c r="I218" i="63" l="1"/>
  <c r="K218" i="63"/>
  <c r="C219" i="63" s="1"/>
  <c r="B219" i="63" l="1"/>
  <c r="A218" i="63"/>
  <c r="X218" i="63" s="1"/>
  <c r="E219" i="63" l="1"/>
  <c r="D219" i="63" l="1"/>
  <c r="H219" i="63" s="1"/>
  <c r="J219" i="63"/>
  <c r="I219" i="63" l="1"/>
  <c r="K219" i="63"/>
  <c r="C220" i="63" s="1"/>
  <c r="B220" i="63" l="1"/>
  <c r="A219" i="63"/>
  <c r="X219" i="63" s="1"/>
  <c r="E220" i="63" l="1"/>
  <c r="J220" i="63" l="1"/>
  <c r="D220" i="63"/>
  <c r="H220" i="63" s="1"/>
  <c r="I220" i="63" l="1"/>
  <c r="K220" i="63"/>
  <c r="C221" i="63" s="1"/>
  <c r="B221" i="63" l="1"/>
  <c r="A220" i="63"/>
  <c r="X220" i="63" s="1"/>
  <c r="E221" i="63" l="1"/>
  <c r="D221" i="63" l="1"/>
  <c r="H221" i="63" s="1"/>
  <c r="J221" i="63"/>
  <c r="I221" i="63" l="1"/>
  <c r="K221" i="63"/>
  <c r="C222" i="63" s="1"/>
  <c r="B222" i="63" l="1"/>
  <c r="A221" i="63"/>
  <c r="X221" i="63" s="1"/>
  <c r="E222" i="63" l="1"/>
  <c r="J222" i="63" l="1"/>
  <c r="D222" i="63"/>
  <c r="H222" i="63" s="1"/>
  <c r="I222" i="63" l="1"/>
  <c r="K222" i="63"/>
  <c r="C223" i="63" s="1"/>
  <c r="B223" i="63" l="1"/>
  <c r="A222" i="63"/>
  <c r="X222" i="63" s="1"/>
  <c r="E223" i="63" l="1"/>
  <c r="D223" i="63" l="1"/>
  <c r="H223" i="63" s="1"/>
  <c r="J223" i="63"/>
  <c r="I223" i="63" l="1"/>
  <c r="K223" i="63"/>
  <c r="C224" i="63" s="1"/>
  <c r="B224" i="63" l="1"/>
  <c r="A223" i="63"/>
  <c r="X223" i="63" s="1"/>
  <c r="E224" i="63" l="1"/>
  <c r="D224" i="63" l="1"/>
  <c r="H224" i="63" s="1"/>
  <c r="J224" i="63"/>
  <c r="I224" i="63" l="1"/>
  <c r="K224" i="63"/>
  <c r="C225" i="63" s="1"/>
  <c r="B225" i="63" l="1"/>
  <c r="A224" i="63"/>
  <c r="X224" i="63" s="1"/>
  <c r="E225" i="63" l="1"/>
  <c r="J225" i="63" l="1"/>
  <c r="D225" i="63"/>
  <c r="H225" i="63" s="1"/>
  <c r="I225" i="63" l="1"/>
  <c r="K225" i="63"/>
  <c r="C226" i="63" s="1"/>
  <c r="B226" i="63" l="1"/>
  <c r="A225" i="63"/>
  <c r="X225" i="63" s="1"/>
  <c r="E226" i="63" l="1"/>
  <c r="J226" i="63" l="1"/>
  <c r="D226" i="63"/>
  <c r="H226" i="63" s="1"/>
  <c r="I226" i="63" l="1"/>
  <c r="K226" i="63"/>
  <c r="C227" i="63" s="1"/>
  <c r="B227" i="63" l="1"/>
  <c r="A226" i="63"/>
  <c r="X226" i="63" s="1"/>
  <c r="E227" i="63" l="1"/>
  <c r="D227" i="63" l="1"/>
  <c r="H227" i="63" s="1"/>
  <c r="J227" i="63"/>
  <c r="I227" i="63" l="1"/>
  <c r="K227" i="63"/>
  <c r="C228" i="63" s="1"/>
  <c r="B228" i="63" l="1"/>
  <c r="A227" i="63"/>
  <c r="X227" i="63" s="1"/>
  <c r="E228" i="63" l="1"/>
  <c r="J228" i="63" l="1"/>
  <c r="D228" i="63"/>
  <c r="H228" i="63" s="1"/>
  <c r="I228" i="63" l="1"/>
  <c r="K228" i="63"/>
  <c r="C229" i="63" s="1"/>
  <c r="B229" i="63" l="1"/>
  <c r="A228" i="63"/>
  <c r="X228" i="63" s="1"/>
  <c r="E229" i="63" l="1"/>
  <c r="D229" i="63" l="1"/>
  <c r="H229" i="63" s="1"/>
  <c r="J229" i="63"/>
  <c r="I229" i="63" l="1"/>
  <c r="K229" i="63"/>
  <c r="C230" i="63" s="1"/>
  <c r="B230" i="63" l="1"/>
  <c r="A229" i="63"/>
  <c r="X229" i="63" s="1"/>
  <c r="E230" i="63" l="1"/>
  <c r="D230" i="63" l="1"/>
  <c r="H230" i="63" s="1"/>
  <c r="J230" i="63"/>
  <c r="I230" i="63" l="1"/>
  <c r="K230" i="63"/>
  <c r="C231" i="63" s="1"/>
  <c r="B231" i="63" l="1"/>
  <c r="A230" i="63"/>
  <c r="X230" i="63" s="1"/>
  <c r="E231" i="63" l="1"/>
  <c r="D231" i="63" l="1"/>
  <c r="H231" i="63" s="1"/>
  <c r="J231" i="63"/>
  <c r="I231" i="63" l="1"/>
  <c r="K231" i="63"/>
  <c r="C232" i="63" s="1"/>
  <c r="B232" i="63" l="1"/>
  <c r="A231" i="63"/>
  <c r="X231" i="63" s="1"/>
  <c r="E232" i="63" l="1"/>
  <c r="J232" i="63" l="1"/>
  <c r="D232" i="63"/>
  <c r="H232" i="63" s="1"/>
  <c r="I232" i="63" l="1"/>
  <c r="K232" i="63"/>
  <c r="C233" i="63" s="1"/>
  <c r="B233" i="63" l="1"/>
  <c r="A232" i="63"/>
  <c r="X232" i="63" s="1"/>
  <c r="E233" i="63" l="1"/>
  <c r="D233" i="63" l="1"/>
  <c r="H233" i="63" s="1"/>
  <c r="J233" i="63"/>
  <c r="I233" i="63" l="1"/>
  <c r="K233" i="63"/>
  <c r="C234" i="63" s="1"/>
  <c r="B234" i="63" l="1"/>
  <c r="A233" i="63"/>
  <c r="X233" i="63" s="1"/>
  <c r="E234" i="63" l="1"/>
  <c r="J234" i="63" l="1"/>
  <c r="D234" i="63"/>
  <c r="H234" i="63" s="1"/>
  <c r="I234" i="63" l="1"/>
  <c r="K234" i="63"/>
  <c r="C235" i="63" s="1"/>
  <c r="B235" i="63" l="1"/>
  <c r="A234" i="63"/>
  <c r="X234" i="63" s="1"/>
  <c r="E235" i="63" l="1"/>
  <c r="D235" i="63" l="1"/>
  <c r="H235" i="63" s="1"/>
  <c r="J235" i="63"/>
  <c r="I235" i="63" l="1"/>
  <c r="K235" i="63"/>
  <c r="C236" i="63" s="1"/>
  <c r="B236" i="63" l="1"/>
  <c r="A235" i="63"/>
  <c r="X235" i="63" s="1"/>
  <c r="E236" i="63" l="1"/>
  <c r="J236" i="63" l="1"/>
  <c r="D236" i="63"/>
  <c r="H236" i="63" s="1"/>
  <c r="I236" i="63" l="1"/>
  <c r="K236" i="63"/>
  <c r="C237" i="63" s="1"/>
  <c r="B237" i="63" l="1"/>
  <c r="A236" i="63"/>
  <c r="X236" i="63" s="1"/>
  <c r="E237" i="63" l="1"/>
  <c r="J237" i="63" l="1"/>
  <c r="D237" i="63"/>
  <c r="H237" i="63" s="1"/>
  <c r="I237" i="63" l="1"/>
  <c r="K237" i="63"/>
  <c r="C238" i="63" s="1"/>
  <c r="B238" i="63" l="1"/>
  <c r="A237" i="63"/>
  <c r="X237" i="63" s="1"/>
  <c r="E238" i="63" l="1"/>
  <c r="J238" i="63" l="1"/>
  <c r="D238" i="63"/>
  <c r="H238" i="63" s="1"/>
  <c r="I238" i="63" l="1"/>
  <c r="K238" i="63"/>
  <c r="C239" i="63" s="1"/>
  <c r="B239" i="63" l="1"/>
  <c r="A238" i="63"/>
  <c r="X238" i="63" s="1"/>
  <c r="E239" i="63" l="1"/>
  <c r="D239" i="63" l="1"/>
  <c r="H239" i="63" s="1"/>
  <c r="J239" i="63"/>
  <c r="I239" i="63" l="1"/>
  <c r="K239" i="63"/>
  <c r="C240" i="63" s="1"/>
  <c r="B240" i="63" l="1"/>
  <c r="A239" i="63"/>
  <c r="X239" i="63" s="1"/>
  <c r="E240" i="63" l="1"/>
  <c r="J240" i="63" l="1"/>
  <c r="D240" i="63"/>
  <c r="H240" i="63" s="1"/>
  <c r="I240" i="63" l="1"/>
  <c r="K240" i="63"/>
  <c r="C241" i="63" s="1"/>
  <c r="B241" i="63" l="1"/>
  <c r="A240" i="63"/>
  <c r="X240" i="63" s="1"/>
  <c r="E241" i="63" l="1"/>
  <c r="D241" i="63" l="1"/>
  <c r="H241" i="63" s="1"/>
  <c r="J241" i="63"/>
  <c r="I241" i="63" l="1"/>
  <c r="K241" i="63"/>
  <c r="C242" i="63" s="1"/>
  <c r="B242" i="63" l="1"/>
  <c r="A241" i="63"/>
  <c r="X241" i="63" s="1"/>
  <c r="E242" i="63" l="1"/>
  <c r="J242" i="63" l="1"/>
  <c r="D242" i="63"/>
  <c r="H242" i="63" s="1"/>
  <c r="I242" i="63" l="1"/>
  <c r="K242" i="63"/>
  <c r="C243" i="63" s="1"/>
  <c r="B243" i="63" l="1"/>
  <c r="A242" i="63"/>
  <c r="X242" i="63" s="1"/>
  <c r="E243" i="63" l="1"/>
  <c r="D243" i="63" l="1"/>
  <c r="H243" i="63" s="1"/>
  <c r="J243" i="63"/>
  <c r="I243" i="63" l="1"/>
  <c r="K243" i="63"/>
  <c r="C244" i="63" s="1"/>
  <c r="B244" i="63" l="1"/>
  <c r="A243" i="63"/>
  <c r="X243" i="63" s="1"/>
  <c r="E244" i="63" l="1"/>
  <c r="J244" i="63" l="1"/>
  <c r="D244" i="63"/>
  <c r="H244" i="63" s="1"/>
  <c r="I244" i="63" l="1"/>
  <c r="K244" i="63"/>
  <c r="C245" i="63" s="1"/>
  <c r="B245" i="63" l="1"/>
  <c r="A244" i="63"/>
  <c r="X244" i="63" s="1"/>
  <c r="E245" i="63" l="1"/>
  <c r="J245" i="63" l="1"/>
  <c r="D245" i="63"/>
  <c r="H245" i="63" s="1"/>
  <c r="I245" i="63" l="1"/>
  <c r="K245" i="63"/>
  <c r="C246" i="63" s="1"/>
  <c r="B246" i="63" l="1"/>
  <c r="A245" i="63"/>
  <c r="X245" i="63" s="1"/>
  <c r="E246" i="63" l="1"/>
  <c r="J246" i="63" l="1"/>
  <c r="D246" i="63"/>
  <c r="H246" i="63" s="1"/>
  <c r="I246" i="63" l="1"/>
  <c r="K246" i="63"/>
  <c r="C247" i="63" s="1"/>
  <c r="B247" i="63" l="1"/>
  <c r="A246" i="63"/>
  <c r="X246" i="63" s="1"/>
  <c r="E247" i="63" l="1"/>
  <c r="D247" i="63" l="1"/>
  <c r="H247" i="63" s="1"/>
  <c r="J247" i="63"/>
  <c r="I247" i="63" l="1"/>
  <c r="K247" i="63"/>
  <c r="C248" i="63" s="1"/>
  <c r="B248" i="63" l="1"/>
  <c r="A247" i="63"/>
  <c r="X247" i="63" s="1"/>
  <c r="E248" i="63" l="1"/>
  <c r="J248" i="63" l="1"/>
  <c r="D248" i="63"/>
  <c r="H248" i="63" s="1"/>
  <c r="I248" i="63" l="1"/>
  <c r="K248" i="63"/>
  <c r="C249" i="63" s="1"/>
  <c r="B249" i="63" l="1"/>
  <c r="A248" i="63"/>
  <c r="X248" i="63" s="1"/>
  <c r="E249" i="63" l="1"/>
  <c r="D249" i="63" l="1"/>
  <c r="H249" i="63" s="1"/>
  <c r="J249" i="63"/>
  <c r="I249" i="63" l="1"/>
  <c r="K249" i="63"/>
  <c r="C250" i="63" s="1"/>
  <c r="B250" i="63" l="1"/>
  <c r="A249" i="63"/>
  <c r="X249" i="63" s="1"/>
  <c r="E250" i="63" l="1"/>
  <c r="J250" i="63" l="1"/>
  <c r="D250" i="63"/>
  <c r="H250" i="63" s="1"/>
  <c r="I250" i="63" l="1"/>
  <c r="K250" i="63"/>
  <c r="C251" i="63" s="1"/>
  <c r="B251" i="63" l="1"/>
  <c r="A250" i="63"/>
  <c r="X250" i="63" s="1"/>
  <c r="E251" i="63" l="1"/>
  <c r="D251" i="63" l="1"/>
  <c r="H251" i="63" s="1"/>
  <c r="J251" i="63"/>
  <c r="I251" i="63" l="1"/>
  <c r="K251" i="63"/>
  <c r="C252" i="63" s="1"/>
  <c r="B252" i="63" l="1"/>
  <c r="A251" i="63"/>
  <c r="X251" i="63" s="1"/>
  <c r="E252" i="63" l="1"/>
  <c r="J252" i="63" l="1"/>
  <c r="D252" i="63"/>
  <c r="H252" i="63" s="1"/>
  <c r="I252" i="63" l="1"/>
  <c r="K252" i="63"/>
  <c r="C253" i="63" s="1"/>
  <c r="B253" i="63" l="1"/>
  <c r="A252" i="63"/>
  <c r="X252" i="63" s="1"/>
  <c r="E253" i="63" l="1"/>
  <c r="D253" i="63" l="1"/>
  <c r="H253" i="63" s="1"/>
  <c r="J253" i="63"/>
  <c r="I253" i="63" l="1"/>
  <c r="K253" i="63"/>
  <c r="C254" i="63" s="1"/>
  <c r="B254" i="63" l="1"/>
  <c r="A253" i="63"/>
  <c r="X253" i="63" s="1"/>
  <c r="E254" i="63" l="1"/>
  <c r="J254" i="63" l="1"/>
  <c r="D254" i="63"/>
  <c r="H254" i="63" s="1"/>
  <c r="I254" i="63" l="1"/>
  <c r="K254" i="63"/>
  <c r="C255" i="63" s="1"/>
  <c r="B255" i="63" l="1"/>
  <c r="A254" i="63"/>
  <c r="X254" i="63" s="1"/>
  <c r="E255" i="63" l="1"/>
  <c r="J255" i="63" l="1"/>
  <c r="D255" i="63"/>
  <c r="H255" i="63" s="1"/>
  <c r="I255" i="63" l="1"/>
  <c r="K255" i="63"/>
  <c r="C256" i="63" s="1"/>
  <c r="B256" i="63" l="1"/>
  <c r="A255" i="63"/>
  <c r="X255" i="63" s="1"/>
  <c r="E256" i="63" l="1"/>
  <c r="J256" i="63" l="1"/>
  <c r="D256" i="63"/>
  <c r="H256" i="63" s="1"/>
  <c r="I256" i="63" l="1"/>
  <c r="K256" i="63"/>
  <c r="C257" i="63" s="1"/>
  <c r="B257" i="63" l="1"/>
  <c r="A256" i="63"/>
  <c r="X256" i="63" s="1"/>
  <c r="E257" i="63" l="1"/>
  <c r="D257" i="63" l="1"/>
  <c r="H257" i="63" s="1"/>
  <c r="J257" i="63"/>
  <c r="I257" i="63" l="1"/>
  <c r="K257" i="63"/>
  <c r="C258" i="63" s="1"/>
  <c r="B258" i="63" l="1"/>
  <c r="A257" i="63"/>
  <c r="X257" i="63" s="1"/>
  <c r="E258" i="63" l="1"/>
  <c r="J258" i="63" l="1"/>
  <c r="D258" i="63"/>
  <c r="H258" i="63" s="1"/>
  <c r="I258" i="63" l="1"/>
  <c r="K258" i="63"/>
  <c r="C259" i="63" s="1"/>
  <c r="B259" i="63" l="1"/>
  <c r="A258" i="63"/>
  <c r="X258" i="63" s="1"/>
  <c r="E259" i="63" l="1"/>
  <c r="D259" i="63" l="1"/>
  <c r="H259" i="63" s="1"/>
  <c r="J259" i="63"/>
  <c r="I259" i="63" l="1"/>
  <c r="K259" i="63"/>
  <c r="C260" i="63" s="1"/>
  <c r="B260" i="63" l="1"/>
  <c r="A259" i="63"/>
  <c r="X259" i="63" s="1"/>
  <c r="E260" i="63" l="1"/>
  <c r="D260" i="63" l="1"/>
  <c r="H260" i="63" s="1"/>
  <c r="J260" i="63"/>
  <c r="I260" i="63" l="1"/>
  <c r="K260" i="63"/>
  <c r="C261" i="63" s="1"/>
  <c r="B261" i="63" l="1"/>
  <c r="A260" i="63"/>
  <c r="X260" i="63" s="1"/>
  <c r="E261" i="63" l="1"/>
  <c r="J261" i="63" l="1"/>
  <c r="D261" i="63"/>
  <c r="H261" i="63" s="1"/>
  <c r="I261" i="63" l="1"/>
  <c r="K261" i="63"/>
  <c r="C262" i="63" s="1"/>
  <c r="B262" i="63" l="1"/>
  <c r="A261" i="63"/>
  <c r="X261" i="63" s="1"/>
  <c r="E262" i="63" l="1"/>
  <c r="D262" i="63" l="1"/>
  <c r="H262" i="63" s="1"/>
  <c r="J262" i="63"/>
  <c r="I262" i="63" l="1"/>
  <c r="K262" i="63"/>
  <c r="C263" i="63" s="1"/>
  <c r="B263" i="63" l="1"/>
  <c r="A262" i="63"/>
  <c r="X262" i="63" s="1"/>
  <c r="E263" i="63" l="1"/>
  <c r="J263" i="63" l="1"/>
  <c r="D263" i="63"/>
  <c r="H263" i="63" s="1"/>
  <c r="I263" i="63" l="1"/>
  <c r="K263" i="63"/>
  <c r="C264" i="63" s="1"/>
  <c r="B264" i="63" l="1"/>
  <c r="A263" i="63"/>
  <c r="X263" i="63" s="1"/>
  <c r="E264" i="63" l="1"/>
  <c r="D264" i="63" l="1"/>
  <c r="H264" i="63" s="1"/>
  <c r="J264" i="63"/>
  <c r="I264" i="63" l="1"/>
  <c r="K264" i="63"/>
  <c r="C265" i="63" s="1"/>
  <c r="B265" i="63" l="1"/>
  <c r="A264" i="63"/>
  <c r="X264" i="63" s="1"/>
  <c r="E265" i="63" l="1"/>
  <c r="J265" i="63" l="1"/>
  <c r="D265" i="63"/>
  <c r="H265" i="63" s="1"/>
  <c r="I265" i="63" l="1"/>
  <c r="K265" i="63"/>
  <c r="C266" i="63" s="1"/>
  <c r="B266" i="63" l="1"/>
  <c r="A265" i="63"/>
  <c r="X265" i="63" s="1"/>
  <c r="E266" i="63" l="1"/>
  <c r="J266" i="63" l="1"/>
  <c r="D266" i="63"/>
  <c r="H266" i="63" s="1"/>
  <c r="I266" i="63" l="1"/>
  <c r="K266" i="63"/>
  <c r="C267" i="63" s="1"/>
  <c r="B267" i="63" l="1"/>
  <c r="A266" i="63"/>
  <c r="X266" i="63" s="1"/>
  <c r="E267" i="63" l="1"/>
  <c r="D267" i="63" l="1"/>
  <c r="H267" i="63" s="1"/>
  <c r="J267" i="63"/>
  <c r="I267" i="63" l="1"/>
  <c r="K267" i="63"/>
  <c r="C268" i="63" s="1"/>
  <c r="B268" i="63" l="1"/>
  <c r="A267" i="63"/>
  <c r="X267" i="63" s="1"/>
  <c r="E268" i="63" l="1"/>
  <c r="J268" i="63" l="1"/>
  <c r="D268" i="63"/>
  <c r="H268" i="63" s="1"/>
  <c r="I268" i="63" l="1"/>
  <c r="K268" i="63"/>
  <c r="C269" i="63" s="1"/>
  <c r="B269" i="63" l="1"/>
  <c r="A268" i="63"/>
  <c r="X268" i="63" s="1"/>
  <c r="E269" i="63" l="1"/>
  <c r="J269" i="63" l="1"/>
  <c r="D269" i="63"/>
  <c r="H269" i="63" s="1"/>
  <c r="I269" i="63" l="1"/>
  <c r="K269" i="63"/>
  <c r="C270" i="63" s="1"/>
  <c r="B270" i="63" l="1"/>
  <c r="A269" i="63"/>
  <c r="X269" i="63" s="1"/>
  <c r="E270" i="63" l="1"/>
  <c r="J270" i="63" l="1"/>
  <c r="D270" i="63"/>
  <c r="H270" i="63" s="1"/>
  <c r="I270" i="63" l="1"/>
  <c r="K270" i="63"/>
  <c r="C271" i="63" s="1"/>
  <c r="B271" i="63" l="1"/>
  <c r="A270" i="63"/>
  <c r="X270" i="63" s="1"/>
  <c r="E271" i="63" l="1"/>
  <c r="J271" i="63" l="1"/>
  <c r="D271" i="63"/>
  <c r="H271" i="63" s="1"/>
  <c r="I271" i="63" l="1"/>
  <c r="K271" i="63"/>
  <c r="C272" i="63" s="1"/>
  <c r="B272" i="63" l="1"/>
  <c r="A271" i="63"/>
  <c r="X271" i="63" s="1"/>
  <c r="E272" i="63" l="1"/>
  <c r="J272" i="63" l="1"/>
  <c r="D272" i="63"/>
  <c r="H272" i="63" s="1"/>
  <c r="I272" i="63" l="1"/>
  <c r="K272" i="63"/>
  <c r="C273" i="63" s="1"/>
  <c r="B273" i="63" l="1"/>
  <c r="A272" i="63"/>
  <c r="X272" i="63" s="1"/>
  <c r="E273" i="63" l="1"/>
  <c r="J273" i="63" l="1"/>
  <c r="D273" i="63"/>
  <c r="H273" i="63" s="1"/>
  <c r="I273" i="63" l="1"/>
  <c r="K273" i="63"/>
  <c r="C274" i="63" s="1"/>
  <c r="B274" i="63" l="1"/>
  <c r="A273" i="63"/>
  <c r="X273" i="63" s="1"/>
  <c r="E274" i="63" l="1"/>
  <c r="J274" i="63" l="1"/>
  <c r="D274" i="63"/>
  <c r="H274" i="63" s="1"/>
  <c r="I274" i="63" l="1"/>
  <c r="K274" i="63"/>
  <c r="C275" i="63" s="1"/>
  <c r="B275" i="63" l="1"/>
  <c r="A274" i="63"/>
  <c r="X274" i="63" s="1"/>
  <c r="E275" i="63" l="1"/>
  <c r="J275" i="63" l="1"/>
  <c r="D275" i="63"/>
  <c r="H275" i="63" s="1"/>
  <c r="I275" i="63" l="1"/>
  <c r="K275" i="63"/>
  <c r="C276" i="63" s="1"/>
  <c r="B276" i="63" l="1"/>
  <c r="A275" i="63"/>
  <c r="X275" i="63" s="1"/>
  <c r="E276" i="63" l="1"/>
  <c r="J276" i="63" l="1"/>
  <c r="D276" i="63"/>
  <c r="H276" i="63" s="1"/>
  <c r="I276" i="63" l="1"/>
  <c r="K276" i="63"/>
  <c r="C277" i="63" s="1"/>
  <c r="B277" i="63" l="1"/>
  <c r="A276" i="63"/>
  <c r="X276" i="63" s="1"/>
  <c r="E277" i="63" l="1"/>
  <c r="J277" i="63" l="1"/>
  <c r="D277" i="63"/>
  <c r="H277" i="63" s="1"/>
  <c r="I277" i="63" l="1"/>
  <c r="K277" i="63"/>
  <c r="C278" i="63" s="1"/>
  <c r="B278" i="63" l="1"/>
  <c r="A277" i="63"/>
  <c r="X277" i="63" s="1"/>
  <c r="E278" i="63" l="1"/>
  <c r="J278" i="63" l="1"/>
  <c r="D278" i="63"/>
  <c r="H278" i="63" s="1"/>
  <c r="I278" i="63" l="1"/>
  <c r="K278" i="63"/>
  <c r="C279" i="63" s="1"/>
  <c r="B279" i="63" l="1"/>
  <c r="A278" i="63"/>
  <c r="X278" i="63" s="1"/>
  <c r="E279" i="63" l="1"/>
  <c r="J279" i="63" l="1"/>
  <c r="D279" i="63"/>
  <c r="H279" i="63" s="1"/>
  <c r="I279" i="63" l="1"/>
  <c r="K279" i="63"/>
  <c r="C280" i="63" s="1"/>
  <c r="B280" i="63" l="1"/>
  <c r="A279" i="63"/>
  <c r="X279" i="63" s="1"/>
  <c r="E280" i="63" l="1"/>
  <c r="J280" i="63" l="1"/>
  <c r="D280" i="63"/>
  <c r="H280" i="63" s="1"/>
  <c r="I280" i="63" l="1"/>
  <c r="K280" i="63"/>
  <c r="C281" i="63" s="1"/>
  <c r="B281" i="63" l="1"/>
  <c r="A280" i="63"/>
  <c r="X280" i="63" s="1"/>
  <c r="E281" i="63" l="1"/>
  <c r="J281" i="63" l="1"/>
  <c r="D281" i="63"/>
  <c r="H281" i="63" s="1"/>
  <c r="I281" i="63" l="1"/>
  <c r="K281" i="63"/>
  <c r="C282" i="63" s="1"/>
  <c r="B282" i="63" l="1"/>
  <c r="A281" i="63"/>
  <c r="X281" i="63" s="1"/>
  <c r="E282" i="63" l="1"/>
  <c r="J282" i="63" l="1"/>
  <c r="D282" i="63"/>
  <c r="H282" i="63" s="1"/>
  <c r="I282" i="63" l="1"/>
  <c r="K282" i="63"/>
  <c r="C283" i="63" s="1"/>
  <c r="B283" i="63" l="1"/>
  <c r="A282" i="63"/>
  <c r="X282" i="63" s="1"/>
  <c r="E283" i="63" l="1"/>
  <c r="J283" i="63" l="1"/>
  <c r="D283" i="63"/>
  <c r="H283" i="63" s="1"/>
  <c r="I283" i="63" l="1"/>
  <c r="K283" i="63"/>
  <c r="C284" i="63" s="1"/>
  <c r="B284" i="63" l="1"/>
  <c r="A283" i="63"/>
  <c r="X283" i="63" s="1"/>
  <c r="E284" i="63" l="1"/>
  <c r="J284" i="63" l="1"/>
  <c r="D284" i="63"/>
  <c r="H284" i="63" s="1"/>
  <c r="I284" i="63" l="1"/>
  <c r="K284" i="63"/>
  <c r="C285" i="63" s="1"/>
  <c r="B285" i="63" l="1"/>
  <c r="A284" i="63"/>
  <c r="X284" i="63" s="1"/>
  <c r="E285" i="63" l="1"/>
  <c r="J285" i="63" l="1"/>
  <c r="D285" i="63"/>
  <c r="H285" i="63" s="1"/>
  <c r="I285" i="63" l="1"/>
  <c r="K285" i="63"/>
  <c r="C286" i="63" s="1"/>
  <c r="B286" i="63" l="1"/>
  <c r="A285" i="63"/>
  <c r="X285" i="63" s="1"/>
  <c r="E286" i="63" l="1"/>
  <c r="J286" i="63" l="1"/>
  <c r="D286" i="63"/>
  <c r="H286" i="63" s="1"/>
  <c r="I286" i="63" l="1"/>
  <c r="K286" i="63"/>
  <c r="C287" i="63" s="1"/>
  <c r="B287" i="63" l="1"/>
  <c r="A286" i="63"/>
  <c r="X286" i="63" s="1"/>
  <c r="E287" i="63" l="1"/>
  <c r="J287" i="63" l="1"/>
  <c r="D287" i="63"/>
  <c r="H287" i="63" s="1"/>
  <c r="I287" i="63" l="1"/>
  <c r="K287" i="63"/>
  <c r="C288" i="63" s="1"/>
  <c r="B288" i="63" l="1"/>
  <c r="A287" i="63"/>
  <c r="X287" i="63" s="1"/>
  <c r="E288" i="63" l="1"/>
  <c r="J288" i="63" l="1"/>
  <c r="D288" i="63"/>
  <c r="H288" i="63" s="1"/>
  <c r="I288" i="63" l="1"/>
  <c r="K288" i="63"/>
  <c r="C289" i="63" s="1"/>
  <c r="B289" i="63" l="1"/>
  <c r="A288" i="63"/>
  <c r="X288" i="63" s="1"/>
  <c r="E289" i="63" l="1"/>
  <c r="J289" i="63" l="1"/>
  <c r="D289" i="63"/>
  <c r="H289" i="63" s="1"/>
  <c r="I289" i="63" l="1"/>
  <c r="K289" i="63"/>
  <c r="C290" i="63" s="1"/>
  <c r="B290" i="63" l="1"/>
  <c r="A289" i="63"/>
  <c r="X289" i="63" s="1"/>
  <c r="E290" i="63" l="1"/>
  <c r="J290" i="63" l="1"/>
  <c r="D290" i="63"/>
  <c r="H290" i="63" s="1"/>
  <c r="I290" i="63" l="1"/>
  <c r="K290" i="63"/>
  <c r="C291" i="63" s="1"/>
  <c r="B291" i="63" l="1"/>
  <c r="A290" i="63"/>
  <c r="X290" i="63" s="1"/>
  <c r="E291" i="63" l="1"/>
  <c r="J291" i="63" l="1"/>
  <c r="D291" i="63"/>
  <c r="H291" i="63" s="1"/>
  <c r="I291" i="63" l="1"/>
  <c r="K291" i="63"/>
  <c r="C292" i="63" s="1"/>
  <c r="B292" i="63" l="1"/>
  <c r="A291" i="63"/>
  <c r="X291" i="63" s="1"/>
  <c r="E292" i="63" l="1"/>
  <c r="J292" i="63" l="1"/>
  <c r="D292" i="63"/>
  <c r="H292" i="63" s="1"/>
  <c r="I292" i="63" l="1"/>
  <c r="K292" i="63"/>
  <c r="C293" i="63" s="1"/>
  <c r="B293" i="63" l="1"/>
  <c r="A292" i="63"/>
  <c r="X292" i="63" s="1"/>
  <c r="E293" i="63" l="1"/>
  <c r="J293" i="63" l="1"/>
  <c r="D293" i="63"/>
  <c r="H293" i="63" s="1"/>
  <c r="I293" i="63" l="1"/>
  <c r="K293" i="63"/>
  <c r="C294" i="63" s="1"/>
  <c r="B294" i="63" l="1"/>
  <c r="A293" i="63"/>
  <c r="X293" i="63" s="1"/>
  <c r="E294" i="63" l="1"/>
  <c r="J294" i="63" l="1"/>
  <c r="D294" i="63"/>
  <c r="H294" i="63" s="1"/>
  <c r="I294" i="63" l="1"/>
  <c r="K294" i="63"/>
  <c r="C295" i="63" s="1"/>
  <c r="B295" i="63" l="1"/>
  <c r="A294" i="63"/>
  <c r="X294" i="63" s="1"/>
  <c r="E295" i="63" l="1"/>
  <c r="J295" i="63" l="1"/>
  <c r="D295" i="63"/>
  <c r="H295" i="63" s="1"/>
  <c r="I295" i="63" l="1"/>
  <c r="K295" i="63"/>
  <c r="C296" i="63" s="1"/>
  <c r="B296" i="63" l="1"/>
  <c r="A295" i="63"/>
  <c r="X295" i="63" s="1"/>
  <c r="E296" i="63" l="1"/>
  <c r="J296" i="63" l="1"/>
  <c r="D296" i="63"/>
  <c r="H296" i="63" s="1"/>
  <c r="I296" i="63" l="1"/>
  <c r="K296" i="63"/>
  <c r="C297" i="63" s="1"/>
  <c r="B297" i="63" l="1"/>
  <c r="A296" i="63"/>
  <c r="X296" i="63" s="1"/>
  <c r="E297" i="63" l="1"/>
  <c r="J297" i="63" l="1"/>
  <c r="D297" i="63"/>
  <c r="H297" i="63" s="1"/>
  <c r="I297" i="63" l="1"/>
  <c r="K297" i="63"/>
  <c r="C298" i="63" s="1"/>
  <c r="B298" i="63" l="1"/>
  <c r="A297" i="63"/>
  <c r="X297" i="63" s="1"/>
  <c r="E298" i="63" l="1"/>
  <c r="J298" i="63" l="1"/>
  <c r="D298" i="63"/>
  <c r="H298" i="63" s="1"/>
  <c r="I298" i="63" l="1"/>
  <c r="K298" i="63"/>
  <c r="C299" i="63" s="1"/>
  <c r="B299" i="63" l="1"/>
  <c r="A298" i="63"/>
  <c r="X298" i="63" s="1"/>
  <c r="E299" i="63" l="1"/>
  <c r="J299" i="63" l="1"/>
  <c r="D299" i="63"/>
  <c r="H299" i="63" s="1"/>
  <c r="I299" i="63" l="1"/>
  <c r="K299" i="63"/>
  <c r="C300" i="63" s="1"/>
  <c r="B300" i="63" l="1"/>
  <c r="A299" i="63"/>
  <c r="X299" i="63" s="1"/>
  <c r="E300" i="63" l="1"/>
  <c r="J300" i="63" l="1"/>
  <c r="D300" i="63"/>
  <c r="H300" i="63" s="1"/>
  <c r="I300" i="63" l="1"/>
  <c r="K300" i="63"/>
  <c r="C301" i="63" s="1"/>
  <c r="B301" i="63" l="1"/>
  <c r="A300" i="63"/>
  <c r="X300" i="63" s="1"/>
  <c r="E301" i="63" l="1"/>
  <c r="J301" i="63" l="1"/>
  <c r="D301" i="63"/>
  <c r="H301" i="63" s="1"/>
  <c r="I301" i="63" l="1"/>
  <c r="K301" i="63"/>
  <c r="C302" i="63" s="1"/>
  <c r="B302" i="63" l="1"/>
  <c r="A301" i="63"/>
  <c r="X301" i="63" s="1"/>
  <c r="E302" i="63" l="1"/>
  <c r="J302" i="63" l="1"/>
  <c r="D302" i="63"/>
  <c r="H302" i="63" s="1"/>
  <c r="I302" i="63" l="1"/>
  <c r="K302" i="63"/>
  <c r="C303" i="63" s="1"/>
  <c r="B303" i="63" l="1"/>
  <c r="A302" i="63"/>
  <c r="X302" i="63" s="1"/>
  <c r="E303" i="63" l="1"/>
  <c r="J303" i="63" l="1"/>
  <c r="D303" i="63"/>
  <c r="H303" i="63" s="1"/>
  <c r="I303" i="63" l="1"/>
  <c r="K303" i="63"/>
  <c r="C304" i="63" s="1"/>
  <c r="B304" i="63" l="1"/>
  <c r="A303" i="63"/>
  <c r="X303" i="63" s="1"/>
  <c r="E304" i="63" l="1"/>
  <c r="J304" i="63" l="1"/>
  <c r="D304" i="63"/>
  <c r="H304" i="63" s="1"/>
  <c r="I304" i="63" l="1"/>
  <c r="K304" i="63"/>
  <c r="C305" i="63" s="1"/>
  <c r="B305" i="63" l="1"/>
  <c r="A304" i="63"/>
  <c r="X304" i="63" s="1"/>
  <c r="E305" i="63" l="1"/>
  <c r="J305" i="63" l="1"/>
  <c r="D305" i="63"/>
  <c r="H305" i="63" s="1"/>
  <c r="I305" i="63" l="1"/>
  <c r="K305" i="63"/>
  <c r="C306" i="63" s="1"/>
  <c r="B306" i="63" l="1"/>
  <c r="A305" i="63"/>
  <c r="X305" i="63" s="1"/>
  <c r="E306" i="63" l="1"/>
  <c r="J306" i="63" l="1"/>
  <c r="D306" i="63"/>
  <c r="H306" i="63" s="1"/>
  <c r="I306" i="63" l="1"/>
  <c r="K306" i="63"/>
  <c r="C307" i="63" s="1"/>
  <c r="B307" i="63" l="1"/>
  <c r="A306" i="63"/>
  <c r="X306" i="63" s="1"/>
  <c r="E307" i="63" l="1"/>
  <c r="J307" i="63" l="1"/>
  <c r="D307" i="63"/>
  <c r="H307" i="63" s="1"/>
  <c r="I307" i="63" l="1"/>
  <c r="K307" i="63"/>
  <c r="C308" i="63" s="1"/>
  <c r="B308" i="63" l="1"/>
  <c r="A307" i="63"/>
  <c r="X307" i="63" s="1"/>
  <c r="E308" i="63" l="1"/>
  <c r="D308" i="63" l="1"/>
  <c r="H308" i="63" s="1"/>
  <c r="J308" i="63"/>
  <c r="I308" i="63" l="1"/>
  <c r="K308" i="63"/>
  <c r="C309" i="63" s="1"/>
  <c r="B309" i="63" l="1"/>
  <c r="A308" i="63"/>
  <c r="X308" i="63" s="1"/>
  <c r="E309" i="63" l="1"/>
  <c r="J309" i="63" l="1"/>
  <c r="D309" i="63"/>
  <c r="H309" i="63" s="1"/>
  <c r="I309" i="63" l="1"/>
  <c r="K309" i="63"/>
  <c r="C310" i="63" s="1"/>
  <c r="B310" i="63" l="1"/>
  <c r="A309" i="63"/>
  <c r="X309" i="63" s="1"/>
  <c r="E310" i="63" l="1"/>
  <c r="J310" i="63" l="1"/>
  <c r="D310" i="63"/>
  <c r="H310" i="63" s="1"/>
  <c r="I310" i="63" l="1"/>
  <c r="K310" i="63"/>
  <c r="C311" i="63" s="1"/>
  <c r="B311" i="63" l="1"/>
  <c r="A310" i="63"/>
  <c r="X310" i="63" s="1"/>
  <c r="E311" i="63" l="1"/>
  <c r="J311" i="63" l="1"/>
  <c r="D311" i="63"/>
  <c r="H311" i="63" s="1"/>
  <c r="I311" i="63" l="1"/>
  <c r="K311" i="63"/>
  <c r="C312" i="63" s="1"/>
  <c r="B312" i="63" l="1"/>
  <c r="A311" i="63"/>
  <c r="X311" i="63" s="1"/>
  <c r="E312" i="63" l="1"/>
  <c r="J312" i="63" l="1"/>
  <c r="D312" i="63"/>
  <c r="H312" i="63" s="1"/>
  <c r="I312" i="63" l="1"/>
  <c r="K312" i="63"/>
  <c r="C313" i="63" s="1"/>
  <c r="B313" i="63" l="1"/>
  <c r="A312" i="63"/>
  <c r="X312" i="63" s="1"/>
  <c r="E313" i="63" l="1"/>
  <c r="J313" i="63" l="1"/>
  <c r="D313" i="63"/>
  <c r="H313" i="63" s="1"/>
  <c r="I313" i="63" l="1"/>
  <c r="K313" i="63"/>
  <c r="C314" i="63" s="1"/>
  <c r="B314" i="63" l="1"/>
  <c r="A313" i="63"/>
  <c r="X313" i="63" s="1"/>
  <c r="E314" i="63" l="1"/>
  <c r="D314" i="63" l="1"/>
  <c r="H314" i="63" s="1"/>
  <c r="J314" i="63"/>
  <c r="I314" i="63" l="1"/>
  <c r="K314" i="63"/>
  <c r="C315" i="63" s="1"/>
  <c r="A314" i="63" l="1"/>
  <c r="X314" i="63" s="1"/>
  <c r="B315" i="63"/>
  <c r="E315" i="63" l="1"/>
  <c r="J315" i="63" l="1"/>
  <c r="D315" i="63"/>
  <c r="H315" i="63" s="1"/>
  <c r="I315" i="63" l="1"/>
  <c r="K315" i="63"/>
  <c r="C316" i="63" s="1"/>
  <c r="A315" i="63" l="1"/>
  <c r="X315" i="63" s="1"/>
  <c r="B316" i="63"/>
  <c r="E316" i="63" l="1"/>
  <c r="J316" i="63" l="1"/>
  <c r="D316" i="63"/>
  <c r="H316" i="63" s="1"/>
  <c r="I316" i="63" l="1"/>
  <c r="K316" i="63"/>
  <c r="C317" i="63" s="1"/>
  <c r="B317" i="63" l="1"/>
  <c r="A316" i="63"/>
  <c r="X316" i="63" s="1"/>
  <c r="E317" i="63" l="1"/>
  <c r="J317" i="63" l="1"/>
  <c r="D317" i="63"/>
  <c r="H317" i="63" s="1"/>
  <c r="I317" i="63" l="1"/>
  <c r="K317" i="63"/>
  <c r="C318" i="63" s="1"/>
  <c r="B318" i="63" l="1"/>
  <c r="A317" i="63"/>
  <c r="X317" i="63" s="1"/>
  <c r="E318" i="63" l="1"/>
  <c r="J318" i="63" l="1"/>
  <c r="D318" i="63"/>
  <c r="H318" i="63" s="1"/>
  <c r="I318" i="63" l="1"/>
  <c r="K318" i="63"/>
  <c r="C319" i="63" s="1"/>
  <c r="B319" i="63" l="1"/>
  <c r="A318" i="63"/>
  <c r="X318" i="63" s="1"/>
  <c r="E319" i="63" l="1"/>
  <c r="J319" i="63" l="1"/>
  <c r="D319" i="63"/>
  <c r="H319" i="63" s="1"/>
  <c r="I319" i="63" l="1"/>
  <c r="K319" i="63"/>
  <c r="C320" i="63" s="1"/>
  <c r="B320" i="63" l="1"/>
  <c r="A319" i="63"/>
  <c r="X319" i="63" s="1"/>
  <c r="E320" i="63" l="1"/>
  <c r="D320" i="63" l="1"/>
  <c r="H320" i="63" s="1"/>
  <c r="J320" i="63"/>
  <c r="I320" i="63" l="1"/>
  <c r="K320" i="63"/>
  <c r="C321" i="63" s="1"/>
  <c r="B321" i="63" l="1"/>
  <c r="A320" i="63"/>
  <c r="X320" i="63" s="1"/>
  <c r="E321" i="63" l="1"/>
  <c r="D321" i="63" l="1"/>
  <c r="H321" i="63" s="1"/>
  <c r="J321" i="63"/>
  <c r="I321" i="63" l="1"/>
  <c r="K321" i="63"/>
  <c r="C322" i="63" s="1"/>
  <c r="B322" i="63" l="1"/>
  <c r="A321" i="63"/>
  <c r="X321" i="63" s="1"/>
  <c r="E322" i="63" l="1"/>
  <c r="D322" i="63" l="1"/>
  <c r="H322" i="63" s="1"/>
  <c r="J322" i="63"/>
  <c r="I322" i="63" l="1"/>
  <c r="K322" i="63"/>
  <c r="C323" i="63" s="1"/>
  <c r="B323" i="63" l="1"/>
  <c r="A322" i="63"/>
  <c r="X322" i="63" s="1"/>
  <c r="E323" i="63" l="1"/>
  <c r="J323" i="63" l="1"/>
  <c r="D323" i="63"/>
  <c r="H323" i="63" s="1"/>
  <c r="I323" i="63" l="1"/>
  <c r="K323" i="63"/>
  <c r="C324" i="63" s="1"/>
  <c r="B324" i="63" l="1"/>
  <c r="A323" i="63"/>
  <c r="X323" i="63" s="1"/>
  <c r="E324" i="63" l="1"/>
  <c r="D324" i="63" l="1"/>
  <c r="H324" i="63" s="1"/>
  <c r="J324" i="63"/>
  <c r="I324" i="63" l="1"/>
  <c r="K324" i="63"/>
  <c r="C325" i="63" s="1"/>
  <c r="B325" i="63" l="1"/>
  <c r="A324" i="63"/>
  <c r="X324" i="63" s="1"/>
  <c r="E325" i="63" l="1"/>
  <c r="D325" i="63" l="1"/>
  <c r="H325" i="63" s="1"/>
  <c r="J325" i="63"/>
  <c r="I325" i="63" l="1"/>
  <c r="K325" i="63"/>
  <c r="C326" i="63" s="1"/>
  <c r="B326" i="63" l="1"/>
  <c r="A325" i="63"/>
  <c r="X325" i="63" s="1"/>
  <c r="E326" i="63" l="1"/>
  <c r="D326" i="63" l="1"/>
  <c r="H326" i="63" s="1"/>
  <c r="J326" i="63"/>
  <c r="I326" i="63" l="1"/>
  <c r="K326" i="63"/>
  <c r="C327" i="63" s="1"/>
  <c r="B327" i="63" l="1"/>
  <c r="A326" i="63"/>
  <c r="X326" i="63" s="1"/>
  <c r="E327" i="63" l="1"/>
  <c r="J327" i="63" l="1"/>
  <c r="D327" i="63"/>
  <c r="H327" i="63" s="1"/>
  <c r="I327" i="63" l="1"/>
  <c r="K327" i="63"/>
  <c r="C328" i="63" s="1"/>
  <c r="B328" i="63" l="1"/>
  <c r="A327" i="63"/>
  <c r="X327" i="63" s="1"/>
  <c r="E328" i="63" l="1"/>
  <c r="J328" i="63" l="1"/>
  <c r="D328" i="63"/>
  <c r="H328" i="63" s="1"/>
  <c r="I328" i="63" l="1"/>
  <c r="K328" i="63"/>
  <c r="C329" i="63" s="1"/>
  <c r="B329" i="63" l="1"/>
  <c r="A328" i="63"/>
  <c r="X328" i="63" s="1"/>
  <c r="E329" i="63" l="1"/>
  <c r="J329" i="63" l="1"/>
  <c r="D329" i="63"/>
  <c r="H329" i="63" s="1"/>
  <c r="I329" i="63" l="1"/>
  <c r="K329" i="63"/>
  <c r="C330" i="63" s="1"/>
  <c r="B330" i="63" l="1"/>
  <c r="A329" i="63"/>
  <c r="X329" i="63" s="1"/>
  <c r="E330" i="63" l="1"/>
  <c r="D330" i="63" l="1"/>
  <c r="H330" i="63" s="1"/>
  <c r="J330" i="63"/>
  <c r="I330" i="63" l="1"/>
  <c r="K330" i="63"/>
  <c r="C331" i="63" s="1"/>
  <c r="B331" i="63" l="1"/>
  <c r="A330" i="63"/>
  <c r="X330" i="63" s="1"/>
  <c r="E331" i="63" l="1"/>
  <c r="J331" i="63" l="1"/>
  <c r="D331" i="63"/>
  <c r="H331" i="63" s="1"/>
  <c r="I331" i="63" l="1"/>
  <c r="K331" i="63"/>
  <c r="C332" i="63" s="1"/>
  <c r="B332" i="63" l="1"/>
  <c r="A331" i="63"/>
  <c r="X331" i="63" s="1"/>
  <c r="E332" i="63" l="1"/>
  <c r="J332" i="63" l="1"/>
  <c r="D332" i="63"/>
  <c r="H332" i="63" s="1"/>
  <c r="I332" i="63" l="1"/>
  <c r="K332" i="63"/>
  <c r="C333" i="63" s="1"/>
  <c r="B333" i="63" l="1"/>
  <c r="A332" i="63"/>
  <c r="X332" i="63" s="1"/>
  <c r="E333" i="63" l="1"/>
  <c r="J333" i="63" l="1"/>
  <c r="D333" i="63"/>
  <c r="H333" i="63" s="1"/>
  <c r="I333" i="63" l="1"/>
  <c r="K333" i="63"/>
  <c r="C334" i="63" s="1"/>
  <c r="B334" i="63" l="1"/>
  <c r="A333" i="63"/>
  <c r="X333" i="63" s="1"/>
  <c r="E334" i="63" l="1"/>
  <c r="D334" i="63" l="1"/>
  <c r="H334" i="63" s="1"/>
  <c r="J334" i="63"/>
  <c r="I334" i="63" l="1"/>
  <c r="K334" i="63"/>
  <c r="C335" i="63" s="1"/>
  <c r="B335" i="63" l="1"/>
  <c r="A334" i="63"/>
  <c r="X334" i="63" s="1"/>
  <c r="E335" i="63" l="1"/>
  <c r="J335" i="63" l="1"/>
  <c r="D335" i="63"/>
  <c r="H335" i="63" s="1"/>
  <c r="I335" i="63" l="1"/>
  <c r="K335" i="63"/>
  <c r="C336" i="63" s="1"/>
  <c r="B336" i="63" l="1"/>
  <c r="A335" i="63"/>
  <c r="X335" i="63" s="1"/>
  <c r="E336" i="63" l="1"/>
  <c r="D336" i="63" l="1"/>
  <c r="H336" i="63" s="1"/>
  <c r="J336" i="63"/>
  <c r="I336" i="63" l="1"/>
  <c r="K336" i="63"/>
  <c r="C337" i="63" s="1"/>
  <c r="B337" i="63" l="1"/>
  <c r="A336" i="63"/>
  <c r="X336" i="63" s="1"/>
  <c r="E337" i="63" l="1"/>
  <c r="J337" i="63" l="1"/>
  <c r="D337" i="63"/>
  <c r="H337" i="63" s="1"/>
  <c r="I337" i="63" l="1"/>
  <c r="K337" i="63"/>
  <c r="C338" i="63" s="1"/>
  <c r="B338" i="63" l="1"/>
  <c r="A337" i="63"/>
  <c r="X337" i="63" s="1"/>
  <c r="E338" i="63" l="1"/>
  <c r="J338" i="63" l="1"/>
  <c r="D338" i="63"/>
  <c r="H338" i="63" s="1"/>
  <c r="I338" i="63" l="1"/>
  <c r="K338" i="63"/>
  <c r="C339" i="63" s="1"/>
  <c r="B339" i="63" l="1"/>
  <c r="A338" i="63"/>
  <c r="X338" i="63" s="1"/>
  <c r="E339" i="63" l="1"/>
  <c r="J339" i="63" l="1"/>
  <c r="D339" i="63"/>
  <c r="H339" i="63" s="1"/>
  <c r="I339" i="63" l="1"/>
  <c r="K339" i="63"/>
  <c r="C340" i="63" s="1"/>
  <c r="B340" i="63" l="1"/>
  <c r="A339" i="63"/>
  <c r="X339" i="63" s="1"/>
  <c r="E340" i="63" l="1"/>
  <c r="J340" i="63" l="1"/>
  <c r="D340" i="63"/>
  <c r="H340" i="63" s="1"/>
  <c r="I340" i="63" l="1"/>
  <c r="K340" i="63"/>
  <c r="C341" i="63" s="1"/>
  <c r="B341" i="63" l="1"/>
  <c r="A340" i="63"/>
  <c r="X340" i="63" s="1"/>
  <c r="E341" i="63" l="1"/>
  <c r="D341" i="63" l="1"/>
  <c r="H341" i="63" s="1"/>
  <c r="J341" i="63"/>
  <c r="I341" i="63" l="1"/>
  <c r="K341" i="63"/>
  <c r="C342" i="63" s="1"/>
  <c r="B342" i="63" l="1"/>
  <c r="A341" i="63"/>
  <c r="X341" i="63" s="1"/>
  <c r="E342" i="63" l="1"/>
  <c r="J342" i="63" l="1"/>
  <c r="D342" i="63"/>
  <c r="H342" i="63" s="1"/>
  <c r="I342" i="63" l="1"/>
  <c r="K342" i="63"/>
  <c r="C343" i="63" s="1"/>
  <c r="B343" i="63" l="1"/>
  <c r="A342" i="63"/>
  <c r="X342" i="63" s="1"/>
  <c r="E343" i="63" l="1"/>
  <c r="J343" i="63" l="1"/>
  <c r="D343" i="63"/>
  <c r="H343" i="63" s="1"/>
  <c r="I343" i="63" l="1"/>
  <c r="K343" i="63"/>
  <c r="C344" i="63" s="1"/>
  <c r="B344" i="63" l="1"/>
  <c r="A343" i="63"/>
  <c r="X343" i="63" s="1"/>
  <c r="E344" i="63" l="1"/>
  <c r="D344" i="63" l="1"/>
  <c r="H344" i="63" s="1"/>
  <c r="J344" i="63"/>
  <c r="I344" i="63" l="1"/>
  <c r="K344" i="63"/>
  <c r="C345" i="63" s="1"/>
  <c r="B345" i="63" l="1"/>
  <c r="A344" i="63"/>
  <c r="X344" i="63" s="1"/>
  <c r="E345" i="63" l="1"/>
  <c r="J345" i="63" l="1"/>
  <c r="D345" i="63"/>
  <c r="H345" i="63" s="1"/>
  <c r="I345" i="63" l="1"/>
  <c r="K345" i="63"/>
  <c r="C346" i="63" s="1"/>
  <c r="B346" i="63" l="1"/>
  <c r="A345" i="63"/>
  <c r="X345" i="63" s="1"/>
  <c r="E346" i="63" l="1"/>
  <c r="J346" i="63" l="1"/>
  <c r="D346" i="63"/>
  <c r="H346" i="63" s="1"/>
  <c r="I346" i="63" l="1"/>
  <c r="K346" i="63"/>
  <c r="C347" i="63" s="1"/>
  <c r="B347" i="63" l="1"/>
  <c r="A346" i="63"/>
  <c r="X346" i="63" s="1"/>
  <c r="E347" i="63" l="1"/>
  <c r="D347" i="63" l="1"/>
  <c r="H347" i="63" s="1"/>
  <c r="J347" i="63"/>
  <c r="I347" i="63" l="1"/>
  <c r="K347" i="63"/>
  <c r="C348" i="63" s="1"/>
  <c r="B348" i="63" l="1"/>
  <c r="A347" i="63"/>
  <c r="X347" i="63" s="1"/>
  <c r="E348" i="63" l="1"/>
  <c r="J348" i="63" l="1"/>
  <c r="D348" i="63"/>
  <c r="H348" i="63" s="1"/>
  <c r="I348" i="63" l="1"/>
  <c r="K348" i="63"/>
  <c r="C349" i="63" s="1"/>
  <c r="B349" i="63" l="1"/>
  <c r="A348" i="63"/>
  <c r="X348" i="63" s="1"/>
  <c r="E349" i="63" l="1"/>
  <c r="D349" i="63" l="1"/>
  <c r="H349" i="63" s="1"/>
  <c r="J349" i="63"/>
  <c r="I349" i="63" l="1"/>
  <c r="K349" i="63"/>
  <c r="C350" i="63" s="1"/>
  <c r="B350" i="63" l="1"/>
  <c r="A349" i="63"/>
  <c r="X349" i="63" s="1"/>
  <c r="E350" i="63" l="1"/>
  <c r="J350" i="63" l="1"/>
  <c r="D350" i="63"/>
  <c r="H350" i="63" s="1"/>
  <c r="I350" i="63" l="1"/>
  <c r="K350" i="63"/>
  <c r="C351" i="63" s="1"/>
  <c r="B351" i="63" l="1"/>
  <c r="A350" i="63"/>
  <c r="X350" i="63" s="1"/>
  <c r="E351" i="63" l="1"/>
  <c r="J351" i="63" l="1"/>
  <c r="D351" i="63"/>
  <c r="H351" i="63" s="1"/>
  <c r="I351" i="63" l="1"/>
  <c r="K351" i="63"/>
  <c r="C352" i="63" s="1"/>
  <c r="B352" i="63" l="1"/>
  <c r="A351" i="63"/>
  <c r="X351" i="63" s="1"/>
  <c r="E352" i="63" l="1"/>
  <c r="D352" i="63" l="1"/>
  <c r="H352" i="63" s="1"/>
  <c r="J352" i="63"/>
  <c r="I352" i="63" l="1"/>
  <c r="K352" i="63"/>
  <c r="C353" i="63" s="1"/>
  <c r="B353" i="63" l="1"/>
  <c r="A352" i="63"/>
  <c r="X352" i="63" s="1"/>
  <c r="E353" i="63" l="1"/>
  <c r="J353" i="63" l="1"/>
  <c r="D353" i="63"/>
  <c r="H353" i="63" s="1"/>
  <c r="I353" i="63" l="1"/>
  <c r="K353" i="63"/>
  <c r="C354" i="63" s="1"/>
  <c r="B354" i="63" l="1"/>
  <c r="A353" i="63"/>
  <c r="X353" i="63" s="1"/>
  <c r="E354" i="63" l="1"/>
  <c r="D354" i="63" l="1"/>
  <c r="H354" i="63" s="1"/>
  <c r="J354" i="63"/>
  <c r="I354" i="63" l="1"/>
  <c r="K354" i="63"/>
  <c r="C355" i="63" s="1"/>
  <c r="B355" i="63" l="1"/>
  <c r="A354" i="63"/>
  <c r="X354" i="63" s="1"/>
  <c r="E355" i="63" l="1"/>
  <c r="D355" i="63" l="1"/>
  <c r="H355" i="63" s="1"/>
  <c r="J355" i="63"/>
  <c r="I355" i="63" l="1"/>
  <c r="K355" i="63"/>
  <c r="C356" i="63" s="1"/>
  <c r="B356" i="63" l="1"/>
  <c r="A355" i="63"/>
  <c r="X355" i="63" s="1"/>
  <c r="E356" i="63" l="1"/>
  <c r="D356" i="63" l="1"/>
  <c r="H356" i="63" s="1"/>
  <c r="J356" i="63"/>
  <c r="I356" i="63" l="1"/>
  <c r="K356" i="63"/>
  <c r="C357" i="63" s="1"/>
  <c r="B357" i="63" l="1"/>
  <c r="A356" i="63"/>
  <c r="X356" i="63" s="1"/>
  <c r="E357" i="63" l="1"/>
  <c r="D357" i="63" l="1"/>
  <c r="H357" i="63" s="1"/>
  <c r="J357" i="63"/>
  <c r="I357" i="63" l="1"/>
  <c r="K357" i="63"/>
  <c r="C358" i="63" s="1"/>
  <c r="B358" i="63" l="1"/>
  <c r="A357" i="63"/>
  <c r="X357" i="63" s="1"/>
  <c r="E358" i="63" l="1"/>
  <c r="J358" i="63" l="1"/>
  <c r="D358" i="63"/>
  <c r="H358" i="63" s="1"/>
  <c r="I358" i="63" l="1"/>
  <c r="K358" i="63"/>
  <c r="C359" i="63" s="1"/>
  <c r="B359" i="63" l="1"/>
  <c r="A358" i="63"/>
  <c r="X358" i="63" s="1"/>
  <c r="E359" i="63" l="1"/>
  <c r="J359" i="63" l="1"/>
  <c r="D359" i="63"/>
  <c r="H359" i="63" s="1"/>
  <c r="I359" i="63" l="1"/>
  <c r="K359" i="63"/>
  <c r="C360" i="63" s="1"/>
  <c r="B360" i="63" l="1"/>
  <c r="A359" i="63"/>
  <c r="X359" i="63" s="1"/>
  <c r="E360" i="63" l="1"/>
  <c r="D360" i="63" l="1"/>
  <c r="H360" i="63" s="1"/>
  <c r="J360" i="63"/>
  <c r="I360" i="63" l="1"/>
  <c r="K360" i="63"/>
  <c r="C361" i="63" s="1"/>
  <c r="B361" i="63" l="1"/>
  <c r="A360" i="63"/>
  <c r="X360" i="63" s="1"/>
  <c r="E361" i="63" l="1"/>
  <c r="D361" i="63" l="1"/>
  <c r="H361" i="63" s="1"/>
  <c r="J361" i="63"/>
  <c r="I361" i="63" l="1"/>
  <c r="K361" i="63"/>
  <c r="C362" i="63" s="1"/>
  <c r="B362" i="63" l="1"/>
  <c r="A361" i="63"/>
  <c r="X361" i="63" s="1"/>
  <c r="E362" i="63" l="1"/>
  <c r="J362" i="63" l="1"/>
  <c r="D362" i="63"/>
  <c r="H362" i="63" s="1"/>
  <c r="I362" i="63" l="1"/>
  <c r="K362" i="63"/>
  <c r="C363" i="63" s="1"/>
  <c r="B363" i="63" l="1"/>
  <c r="A362" i="63"/>
  <c r="X362" i="63" s="1"/>
  <c r="E363" i="63" l="1"/>
  <c r="D363" i="63" l="1"/>
  <c r="H363" i="63" s="1"/>
  <c r="J363" i="63"/>
  <c r="I363" i="63" l="1"/>
  <c r="K363" i="63"/>
  <c r="C364" i="63" s="1"/>
  <c r="B364" i="63" l="1"/>
  <c r="A363" i="63"/>
  <c r="X363" i="63" s="1"/>
  <c r="E364" i="63" l="1"/>
  <c r="D364" i="63" l="1"/>
  <c r="H364" i="63" s="1"/>
  <c r="J364" i="63"/>
  <c r="I364" i="63" l="1"/>
  <c r="K364" i="63"/>
  <c r="C365" i="63" s="1"/>
  <c r="B365" i="63" l="1"/>
  <c r="A364" i="63"/>
  <c r="X364" i="63" s="1"/>
  <c r="E365" i="63" l="1"/>
  <c r="D365" i="63" l="1"/>
  <c r="H365" i="63" s="1"/>
  <c r="J365" i="63"/>
  <c r="I365" i="63" l="1"/>
  <c r="K365" i="63"/>
  <c r="C366" i="63" s="1"/>
  <c r="B366" i="63" l="1"/>
  <c r="A365" i="63"/>
  <c r="X365" i="63" s="1"/>
  <c r="E366" i="63" l="1"/>
  <c r="J366" i="63" l="1"/>
  <c r="D366" i="63"/>
  <c r="H366" i="63" s="1"/>
  <c r="I366" i="63" l="1"/>
  <c r="K366" i="63"/>
  <c r="C367" i="63" s="1"/>
  <c r="B367" i="63" l="1"/>
  <c r="A366" i="63"/>
  <c r="X366" i="63" s="1"/>
  <c r="E367" i="63" l="1"/>
  <c r="D367" i="63" l="1"/>
  <c r="H367" i="63" s="1"/>
  <c r="J367" i="63"/>
  <c r="I367" i="63" l="1"/>
  <c r="K367" i="63"/>
  <c r="C368" i="63" s="1"/>
  <c r="B368" i="63" l="1"/>
  <c r="A367" i="63"/>
  <c r="X367" i="63" s="1"/>
  <c r="E368" i="63" l="1"/>
  <c r="J368" i="63" l="1"/>
  <c r="D368" i="63"/>
  <c r="H368" i="63" s="1"/>
  <c r="I368" i="63" l="1"/>
  <c r="K368" i="63"/>
  <c r="C369" i="63" s="1"/>
  <c r="B369" i="63" l="1"/>
  <c r="A368" i="63"/>
  <c r="X368" i="63" s="1"/>
  <c r="E369" i="63" l="1"/>
  <c r="J369" i="63" l="1"/>
  <c r="D369" i="63"/>
  <c r="H369" i="63" s="1"/>
  <c r="I369" i="63" l="1"/>
  <c r="K369" i="63"/>
  <c r="C370" i="63" s="1"/>
  <c r="B370" i="63" l="1"/>
  <c r="A369" i="63"/>
  <c r="X369" i="63" s="1"/>
  <c r="E370" i="63" l="1"/>
  <c r="D370" i="63" l="1"/>
  <c r="H370" i="63" s="1"/>
  <c r="J370" i="63"/>
  <c r="I370" i="63" l="1"/>
  <c r="K370" i="63"/>
  <c r="C371" i="63" s="1"/>
  <c r="B371" i="63" l="1"/>
  <c r="A370" i="63"/>
  <c r="X370" i="63" s="1"/>
  <c r="E371" i="63" l="1"/>
  <c r="J371" i="63" l="1"/>
  <c r="D371" i="63"/>
  <c r="H371" i="63" s="1"/>
  <c r="I371" i="63" l="1"/>
  <c r="K371" i="63"/>
  <c r="C372" i="63" s="1"/>
  <c r="B372" i="63" l="1"/>
  <c r="A371" i="63"/>
  <c r="X371" i="63" s="1"/>
  <c r="E372" i="63" l="1"/>
  <c r="J372" i="63" l="1"/>
  <c r="D372" i="63"/>
  <c r="H372" i="63" s="1"/>
  <c r="I372" i="63" l="1"/>
  <c r="K372" i="63"/>
  <c r="C373" i="63" s="1"/>
  <c r="B373" i="63" l="1"/>
  <c r="A372" i="63"/>
  <c r="X372" i="63" s="1"/>
  <c r="E373" i="63" l="1"/>
  <c r="D373" i="63" l="1"/>
  <c r="H373" i="63" s="1"/>
  <c r="J373" i="63"/>
  <c r="I373" i="63" l="1"/>
  <c r="K373" i="63"/>
  <c r="C374" i="63" s="1"/>
  <c r="B374" i="63" l="1"/>
  <c r="A373" i="63"/>
  <c r="X373" i="63" s="1"/>
  <c r="E374" i="63" l="1"/>
  <c r="D374" i="63" l="1"/>
  <c r="H374" i="63" s="1"/>
  <c r="J374" i="63"/>
  <c r="I374" i="63" l="1"/>
  <c r="K374" i="63"/>
  <c r="C375" i="63" l="1"/>
  <c r="B375" i="63"/>
  <c r="A374" i="63"/>
  <c r="X374" i="63" s="1"/>
  <c r="E375" i="63" l="1"/>
  <c r="J375" i="63" l="1"/>
  <c r="D375" i="63"/>
  <c r="H375" i="63" s="1"/>
  <c r="I375" i="63" l="1"/>
  <c r="K375" i="63"/>
  <c r="C376" i="63" s="1"/>
  <c r="B376" i="63" l="1"/>
  <c r="A375" i="63"/>
  <c r="X375" i="63" s="1"/>
  <c r="E376" i="63" l="1"/>
  <c r="J376" i="63" l="1"/>
  <c r="D376" i="63"/>
  <c r="H376" i="63" s="1"/>
  <c r="I376" i="63" l="1"/>
  <c r="K376" i="63"/>
  <c r="C377" i="63" s="1"/>
  <c r="B377" i="63" l="1"/>
  <c r="A376" i="63"/>
  <c r="X376" i="63" s="1"/>
  <c r="E377" i="63" l="1"/>
  <c r="D377" i="63" l="1"/>
  <c r="H377" i="63" s="1"/>
  <c r="J377" i="63"/>
  <c r="I377" i="63" l="1"/>
  <c r="K377" i="63"/>
  <c r="C378" i="63" s="1"/>
  <c r="B378" i="63" l="1"/>
  <c r="A377" i="63"/>
  <c r="X377" i="63" s="1"/>
  <c r="E378" i="63" l="1"/>
  <c r="J378" i="63" l="1"/>
  <c r="D378" i="63"/>
  <c r="H378" i="63" s="1"/>
  <c r="I378" i="63" l="1"/>
  <c r="K378" i="63"/>
  <c r="C379" i="63" s="1"/>
  <c r="B379" i="63" l="1"/>
  <c r="A378" i="63"/>
  <c r="X378" i="63" s="1"/>
  <c r="E379" i="63" l="1"/>
  <c r="J379" i="63" l="1"/>
  <c r="D379" i="63"/>
  <c r="H379" i="63" s="1"/>
  <c r="I379" i="63" l="1"/>
  <c r="K379" i="63"/>
  <c r="C380" i="63" s="1"/>
  <c r="B380" i="63" l="1"/>
  <c r="A379" i="63"/>
  <c r="X379" i="63" s="1"/>
  <c r="E380" i="63" l="1"/>
  <c r="J380" i="63" l="1"/>
  <c r="D380" i="63"/>
  <c r="H380" i="63" s="1"/>
  <c r="I380" i="63" l="1"/>
  <c r="K380" i="63"/>
  <c r="C381" i="63" s="1"/>
  <c r="B381" i="63" l="1"/>
  <c r="A380" i="63"/>
  <c r="X380" i="63" s="1"/>
  <c r="E381" i="63" l="1"/>
  <c r="J381" i="63" l="1"/>
  <c r="D381" i="63"/>
  <c r="H381" i="63" s="1"/>
  <c r="I381" i="63" l="1"/>
  <c r="K381" i="63"/>
  <c r="C382" i="63" s="1"/>
  <c r="B382" i="63" l="1"/>
  <c r="A381" i="63"/>
  <c r="X381" i="63" s="1"/>
  <c r="E382" i="63" l="1"/>
  <c r="J382" i="63" l="1"/>
  <c r="D382" i="63"/>
  <c r="H382" i="63" s="1"/>
  <c r="I382" i="63" l="1"/>
  <c r="K382" i="63"/>
  <c r="C383" i="63" s="1"/>
  <c r="B383" i="63" l="1"/>
  <c r="A382" i="63"/>
  <c r="X382" i="63" s="1"/>
  <c r="E383" i="63" l="1"/>
  <c r="J383" i="63" l="1"/>
  <c r="D383" i="63"/>
  <c r="H383" i="63" s="1"/>
  <c r="I383" i="63" l="1"/>
  <c r="K383" i="63"/>
  <c r="C384" i="63" s="1"/>
  <c r="B384" i="63" l="1"/>
  <c r="A383" i="63"/>
  <c r="X383" i="63" s="1"/>
  <c r="E384" i="63" l="1"/>
  <c r="J384" i="63" l="1"/>
  <c r="D384" i="63"/>
  <c r="H384" i="63" s="1"/>
  <c r="I384" i="63" l="1"/>
  <c r="K384" i="63"/>
  <c r="C385" i="63" s="1"/>
  <c r="B385" i="63" l="1"/>
  <c r="A384" i="63"/>
  <c r="X384" i="63" s="1"/>
  <c r="E385" i="63" l="1"/>
  <c r="J385" i="63" l="1"/>
  <c r="D385" i="63"/>
  <c r="H385" i="63" s="1"/>
  <c r="I385" i="63" l="1"/>
  <c r="K385" i="63"/>
  <c r="C386" i="63" s="1"/>
  <c r="B386" i="63" l="1"/>
  <c r="A385" i="63"/>
  <c r="X385" i="63" s="1"/>
  <c r="E386" i="63" l="1"/>
  <c r="J386" i="63" l="1"/>
  <c r="D386" i="63"/>
  <c r="H386" i="63" s="1"/>
  <c r="I386" i="63" l="1"/>
  <c r="K386" i="63"/>
  <c r="C387" i="63" s="1"/>
  <c r="B387" i="63" l="1"/>
  <c r="A386" i="63"/>
  <c r="X386" i="63" s="1"/>
  <c r="E387" i="63" l="1"/>
  <c r="D387" i="63" l="1"/>
  <c r="H387" i="63" s="1"/>
  <c r="J387" i="63"/>
  <c r="I387" i="63" l="1"/>
  <c r="K387" i="63"/>
  <c r="C388" i="63" s="1"/>
  <c r="B388" i="63" l="1"/>
  <c r="A387" i="63"/>
  <c r="X387" i="63" s="1"/>
  <c r="E388" i="63" l="1"/>
  <c r="D388" i="63" l="1"/>
  <c r="H388" i="63" s="1"/>
  <c r="J388" i="63"/>
  <c r="I388" i="63" l="1"/>
  <c r="K388" i="63"/>
  <c r="C389" i="63" s="1"/>
  <c r="B389" i="63" l="1"/>
  <c r="A388" i="63"/>
  <c r="X388" i="63" s="1"/>
  <c r="E389" i="63" l="1"/>
  <c r="D389" i="63" l="1"/>
  <c r="H389" i="63" s="1"/>
  <c r="J389" i="63"/>
  <c r="I389" i="63" l="1"/>
  <c r="K389" i="63"/>
  <c r="C390" i="63" s="1"/>
  <c r="B390" i="63" l="1"/>
  <c r="A389" i="63"/>
  <c r="X389" i="63" s="1"/>
  <c r="E390" i="63" l="1"/>
  <c r="J390" i="63" l="1"/>
  <c r="D390" i="63"/>
  <c r="H390" i="63" s="1"/>
  <c r="I390" i="63" l="1"/>
  <c r="K390" i="63"/>
  <c r="C391" i="63" s="1"/>
  <c r="B391" i="63" l="1"/>
  <c r="A390" i="63"/>
  <c r="X390" i="63" s="1"/>
  <c r="E391" i="63" l="1"/>
  <c r="J391" i="63" l="1"/>
  <c r="D391" i="63"/>
  <c r="H391" i="63" s="1"/>
  <c r="I391" i="63" l="1"/>
  <c r="K391" i="63"/>
  <c r="C392" i="63" s="1"/>
  <c r="B392" i="63" l="1"/>
  <c r="A391" i="63"/>
  <c r="X391" i="63" s="1"/>
  <c r="E392" i="63" l="1"/>
  <c r="D392" i="63" l="1"/>
  <c r="H392" i="63" s="1"/>
  <c r="J392" i="63"/>
  <c r="I392" i="63" l="1"/>
  <c r="K392" i="63"/>
  <c r="C393" i="63" s="1"/>
  <c r="B393" i="63" l="1"/>
  <c r="A392" i="63"/>
  <c r="X392" i="63" s="1"/>
  <c r="E393" i="63" l="1"/>
  <c r="D393" i="63" l="1"/>
  <c r="H393" i="63" s="1"/>
  <c r="J393" i="63"/>
  <c r="I393" i="63" l="1"/>
  <c r="K393" i="63"/>
  <c r="C394" i="63" s="1"/>
  <c r="B394" i="63" l="1"/>
  <c r="A393" i="63"/>
  <c r="X393" i="63" s="1"/>
  <c r="E394" i="63" l="1"/>
  <c r="D394" i="63" l="1"/>
  <c r="H394" i="63" s="1"/>
  <c r="J394" i="63"/>
  <c r="I394" i="63" l="1"/>
  <c r="K394" i="63"/>
  <c r="C395" i="63" s="1"/>
  <c r="B395" i="63" l="1"/>
  <c r="A394" i="63"/>
  <c r="X394" i="63" s="1"/>
  <c r="E395" i="63" l="1"/>
  <c r="J395" i="63" l="1"/>
  <c r="D395" i="63"/>
  <c r="H395" i="63" s="1"/>
  <c r="I395" i="63" l="1"/>
  <c r="K395" i="63"/>
  <c r="C396" i="63" s="1"/>
  <c r="B396" i="63" l="1"/>
  <c r="A395" i="63"/>
  <c r="X395" i="63" s="1"/>
  <c r="E396" i="63" l="1"/>
  <c r="J396" i="63" l="1"/>
  <c r="D396" i="63"/>
  <c r="H396" i="63" s="1"/>
  <c r="I396" i="63" l="1"/>
  <c r="K396" i="63"/>
  <c r="C397" i="63" s="1"/>
  <c r="B397" i="63" l="1"/>
  <c r="A396" i="63"/>
  <c r="X396" i="63" s="1"/>
  <c r="E397" i="63" l="1"/>
  <c r="J397" i="63" l="1"/>
  <c r="D397" i="63"/>
  <c r="H397" i="63" s="1"/>
  <c r="I397" i="63" l="1"/>
  <c r="K397" i="63"/>
  <c r="C398" i="63" s="1"/>
  <c r="B398" i="63" l="1"/>
  <c r="A397" i="63"/>
  <c r="X397" i="63" s="1"/>
  <c r="E398" i="63" l="1"/>
  <c r="J398" i="63" l="1"/>
  <c r="D398" i="63"/>
  <c r="H398" i="63" s="1"/>
  <c r="I398" i="63" l="1"/>
  <c r="K398" i="63"/>
  <c r="C399" i="63" s="1"/>
  <c r="B399" i="63" l="1"/>
  <c r="A398" i="63"/>
  <c r="X398" i="63" s="1"/>
  <c r="E399" i="63" l="1"/>
  <c r="J399" i="63" l="1"/>
  <c r="D399" i="63"/>
  <c r="H399" i="63" s="1"/>
  <c r="I399" i="63" l="1"/>
  <c r="K399" i="63"/>
  <c r="C400" i="63" s="1"/>
  <c r="B400" i="63" l="1"/>
  <c r="A399" i="63"/>
  <c r="X399" i="63" s="1"/>
  <c r="E400" i="63" l="1"/>
  <c r="D400" i="63" l="1"/>
  <c r="H400" i="63" s="1"/>
  <c r="J400" i="63"/>
  <c r="I400" i="63" l="1"/>
  <c r="K400" i="63"/>
  <c r="C401" i="63" s="1"/>
  <c r="B401" i="63" l="1"/>
  <c r="A400" i="63"/>
  <c r="X400" i="63" s="1"/>
  <c r="E401" i="63" l="1"/>
  <c r="J401" i="63" l="1"/>
  <c r="D401" i="63"/>
  <c r="H401" i="63" s="1"/>
  <c r="I401" i="63" l="1"/>
  <c r="K401" i="63"/>
  <c r="C402" i="63" s="1"/>
  <c r="B402" i="63" l="1"/>
  <c r="A401" i="63"/>
  <c r="X401" i="63" s="1"/>
  <c r="E402" i="63" l="1"/>
  <c r="J402" i="63" l="1"/>
  <c r="D402" i="63"/>
  <c r="H402" i="63" s="1"/>
  <c r="I402" i="63" l="1"/>
  <c r="K402" i="63"/>
  <c r="C403" i="63" s="1"/>
  <c r="B403" i="63" l="1"/>
  <c r="A402" i="63"/>
  <c r="X402" i="63" s="1"/>
  <c r="E403" i="63" l="1"/>
  <c r="J403" i="63" l="1"/>
  <c r="D403" i="63"/>
  <c r="H403" i="63" s="1"/>
  <c r="I403" i="63" l="1"/>
  <c r="K403" i="63"/>
  <c r="C404" i="63" s="1"/>
  <c r="B404" i="63" l="1"/>
  <c r="A403" i="63"/>
  <c r="X403" i="63" s="1"/>
  <c r="E404" i="63" l="1"/>
  <c r="J404" i="63" l="1"/>
  <c r="D404" i="63"/>
  <c r="H404" i="63" s="1"/>
  <c r="I404" i="63" l="1"/>
  <c r="K404" i="63"/>
  <c r="C405" i="63" s="1"/>
  <c r="B405" i="63" l="1"/>
  <c r="A404" i="63"/>
  <c r="X404" i="63" s="1"/>
  <c r="E405" i="63" l="1"/>
  <c r="J405" i="63" l="1"/>
  <c r="D405" i="63"/>
  <c r="H405" i="63" s="1"/>
  <c r="I405" i="63" l="1"/>
  <c r="K405" i="63"/>
  <c r="C406" i="63" s="1"/>
  <c r="B406" i="63" l="1"/>
  <c r="A405" i="63"/>
  <c r="X405" i="63" s="1"/>
  <c r="E406" i="63" l="1"/>
  <c r="J406" i="63" l="1"/>
  <c r="D406" i="63"/>
  <c r="H406" i="63" s="1"/>
  <c r="I406" i="63" l="1"/>
  <c r="K406" i="63"/>
  <c r="C407" i="63" s="1"/>
  <c r="B407" i="63" l="1"/>
  <c r="A406" i="63"/>
  <c r="X406" i="63" s="1"/>
  <c r="E407" i="63" l="1"/>
  <c r="J407" i="63" l="1"/>
  <c r="D407" i="63"/>
  <c r="H407" i="63" s="1"/>
  <c r="I407" i="63" l="1"/>
  <c r="K407" i="63"/>
  <c r="C408" i="63" s="1"/>
  <c r="B408" i="63" l="1"/>
  <c r="A407" i="63"/>
  <c r="X407" i="63" s="1"/>
  <c r="E408" i="63" l="1"/>
  <c r="D408" i="63" l="1"/>
  <c r="H408" i="63" s="1"/>
  <c r="J408" i="63"/>
  <c r="I408" i="63" l="1"/>
  <c r="K408" i="63"/>
  <c r="C409" i="63" s="1"/>
  <c r="B409" i="63" l="1"/>
  <c r="A408" i="63"/>
  <c r="X408" i="63" s="1"/>
  <c r="E409" i="63" l="1"/>
  <c r="J409" i="63" l="1"/>
  <c r="D409" i="63"/>
  <c r="H409" i="63" s="1"/>
  <c r="I409" i="63" l="1"/>
  <c r="K409" i="63"/>
  <c r="C410" i="63" s="1"/>
  <c r="B410" i="63" l="1"/>
  <c r="A409" i="63"/>
  <c r="X409" i="63" s="1"/>
  <c r="E410" i="63" l="1"/>
  <c r="J410" i="63" l="1"/>
  <c r="D410" i="63"/>
  <c r="H410" i="63" s="1"/>
  <c r="I410" i="63" l="1"/>
  <c r="K410" i="63"/>
  <c r="C411" i="63" s="1"/>
  <c r="B411" i="63" l="1"/>
  <c r="A410" i="63"/>
  <c r="X410" i="63" s="1"/>
  <c r="E411" i="63" l="1"/>
  <c r="J411" i="63" l="1"/>
  <c r="D411" i="63"/>
  <c r="H411" i="63" s="1"/>
  <c r="I411" i="63" l="1"/>
  <c r="K411" i="63"/>
  <c r="C412" i="63" s="1"/>
  <c r="B412" i="63" l="1"/>
  <c r="A411" i="63"/>
  <c r="X411" i="63" s="1"/>
  <c r="E412" i="63" l="1"/>
  <c r="D412" i="63" l="1"/>
  <c r="H412" i="63" s="1"/>
  <c r="J412" i="63"/>
  <c r="I412" i="63" l="1"/>
  <c r="K412" i="63"/>
  <c r="C413" i="63" s="1"/>
  <c r="B413" i="63" l="1"/>
  <c r="A412" i="63"/>
  <c r="X412" i="63" s="1"/>
  <c r="E413" i="63" l="1"/>
  <c r="J413" i="63" l="1"/>
  <c r="D413" i="63"/>
  <c r="H413" i="63" s="1"/>
  <c r="I413" i="63" l="1"/>
  <c r="K413" i="63"/>
  <c r="C414" i="63" s="1"/>
  <c r="B414" i="63" l="1"/>
  <c r="A413" i="63"/>
  <c r="X413" i="63" s="1"/>
  <c r="E414" i="63" l="1"/>
  <c r="D414" i="63" l="1"/>
  <c r="H414" i="63" s="1"/>
  <c r="J414" i="63"/>
  <c r="I414" i="63" l="1"/>
  <c r="K414" i="63"/>
  <c r="C415" i="63" s="1"/>
  <c r="B415" i="63" l="1"/>
  <c r="A414" i="63"/>
  <c r="X414" i="63" s="1"/>
  <c r="E415" i="63" l="1"/>
  <c r="J415" i="63" l="1"/>
  <c r="D415" i="63"/>
  <c r="H415" i="63" s="1"/>
  <c r="I415" i="63" l="1"/>
  <c r="K415" i="63"/>
  <c r="C416" i="63" s="1"/>
  <c r="B416" i="63" l="1"/>
  <c r="A415" i="63"/>
  <c r="X415" i="63" s="1"/>
  <c r="E416" i="63" l="1"/>
  <c r="J416" i="63" l="1"/>
  <c r="D416" i="63"/>
  <c r="H416" i="63" s="1"/>
  <c r="I416" i="63" l="1"/>
  <c r="K416" i="63"/>
  <c r="C417" i="63" s="1"/>
  <c r="B417" i="63" l="1"/>
  <c r="A416" i="63"/>
  <c r="X416" i="63" s="1"/>
  <c r="E417" i="63" l="1"/>
  <c r="D417" i="63" l="1"/>
  <c r="H417" i="63" s="1"/>
  <c r="J417" i="63"/>
  <c r="I417" i="63" l="1"/>
  <c r="K417" i="63"/>
  <c r="C418" i="63" s="1"/>
  <c r="B418" i="63" l="1"/>
  <c r="A417" i="63"/>
  <c r="X417" i="63" s="1"/>
  <c r="E418" i="63" l="1"/>
  <c r="J418" i="63" l="1"/>
  <c r="D418" i="63"/>
  <c r="H418" i="63" s="1"/>
  <c r="I418" i="63" l="1"/>
  <c r="K418" i="63"/>
  <c r="C419" i="63" s="1"/>
  <c r="B419" i="63" l="1"/>
  <c r="A418" i="63"/>
  <c r="X418" i="63" s="1"/>
  <c r="E419" i="63" l="1"/>
  <c r="D419" i="63" l="1"/>
  <c r="H419" i="63" s="1"/>
  <c r="J419" i="63"/>
  <c r="I419" i="63" l="1"/>
  <c r="K419" i="63"/>
  <c r="C420" i="63" s="1"/>
  <c r="B420" i="63" l="1"/>
  <c r="A419" i="63"/>
  <c r="X419" i="63" s="1"/>
  <c r="E420" i="63" l="1"/>
  <c r="J420" i="63" l="1"/>
  <c r="D420" i="63"/>
  <c r="H420" i="63" s="1"/>
  <c r="I420" i="63" l="1"/>
  <c r="K420" i="63"/>
  <c r="C421" i="63" s="1"/>
  <c r="B421" i="63" l="1"/>
  <c r="A420" i="63"/>
  <c r="X420" i="63" s="1"/>
  <c r="E421" i="63" l="1"/>
  <c r="J421" i="63" l="1"/>
  <c r="D421" i="63"/>
  <c r="H421" i="63" s="1"/>
  <c r="I421" i="63" l="1"/>
  <c r="K421" i="63"/>
  <c r="C422" i="63" s="1"/>
  <c r="B422" i="63" l="1"/>
  <c r="A421" i="63"/>
  <c r="X421" i="63" s="1"/>
  <c r="E422" i="63" l="1"/>
  <c r="J422" i="63" l="1"/>
  <c r="D422" i="63"/>
  <c r="H422" i="63" s="1"/>
  <c r="I422" i="63" l="1"/>
  <c r="K422" i="63"/>
  <c r="C423" i="63" s="1"/>
  <c r="B423" i="63" l="1"/>
  <c r="A422" i="63"/>
  <c r="X422" i="63" s="1"/>
  <c r="E423" i="63" l="1"/>
  <c r="J423" i="63" l="1"/>
  <c r="D423" i="63"/>
  <c r="H423" i="63" s="1"/>
  <c r="I423" i="63" l="1"/>
  <c r="K423" i="63"/>
  <c r="C424" i="63" s="1"/>
  <c r="B424" i="63" l="1"/>
  <c r="A423" i="63"/>
  <c r="X423" i="63" s="1"/>
  <c r="E424" i="63" l="1"/>
  <c r="J424" i="63" l="1"/>
  <c r="D424" i="63"/>
  <c r="H424" i="63" s="1"/>
  <c r="I424" i="63" l="1"/>
  <c r="K424" i="63"/>
  <c r="C425" i="63" s="1"/>
  <c r="B425" i="63" l="1"/>
  <c r="A424" i="63"/>
  <c r="X424" i="63" s="1"/>
  <c r="E425" i="63" l="1"/>
  <c r="D425" i="63" l="1"/>
  <c r="H425" i="63" s="1"/>
  <c r="J425" i="63"/>
  <c r="I425" i="63" l="1"/>
  <c r="K425" i="63"/>
  <c r="C426" i="63" s="1"/>
  <c r="B426" i="63" l="1"/>
  <c r="A425" i="63"/>
  <c r="X425" i="63" s="1"/>
  <c r="E426" i="63" l="1"/>
  <c r="J426" i="63" l="1"/>
  <c r="D426" i="63"/>
  <c r="H426" i="63" s="1"/>
  <c r="I426" i="63" l="1"/>
  <c r="K426" i="63"/>
  <c r="C427" i="63" s="1"/>
  <c r="B427" i="63" l="1"/>
  <c r="A426" i="63"/>
  <c r="X426" i="63" s="1"/>
  <c r="E427" i="63" l="1"/>
  <c r="J427" i="63" l="1"/>
  <c r="D427" i="63"/>
  <c r="H427" i="63" s="1"/>
  <c r="I427" i="63" l="1"/>
  <c r="K427" i="63"/>
  <c r="C428" i="63" s="1"/>
  <c r="B428" i="63" l="1"/>
  <c r="A427" i="63"/>
  <c r="X427" i="63" s="1"/>
  <c r="E428" i="63" l="1"/>
  <c r="J428" i="63" l="1"/>
  <c r="D428" i="63"/>
  <c r="H428" i="63" s="1"/>
  <c r="I428" i="63" l="1"/>
  <c r="K428" i="63"/>
  <c r="C429" i="63" s="1"/>
  <c r="B429" i="63" l="1"/>
  <c r="A428" i="63"/>
  <c r="X428" i="63" s="1"/>
  <c r="E429" i="63" l="1"/>
  <c r="D429" i="63" l="1"/>
  <c r="H429" i="63" s="1"/>
  <c r="J429" i="63"/>
  <c r="I429" i="63" l="1"/>
  <c r="K429" i="63"/>
  <c r="C430" i="63" s="1"/>
  <c r="B430" i="63" l="1"/>
  <c r="A429" i="63"/>
  <c r="X429" i="63" s="1"/>
  <c r="E430" i="63" l="1"/>
  <c r="D430" i="63" l="1"/>
  <c r="H430" i="63" s="1"/>
  <c r="J430" i="63"/>
  <c r="I430" i="63" l="1"/>
  <c r="K430" i="63"/>
  <c r="C431" i="63" s="1"/>
  <c r="B431" i="63" l="1"/>
  <c r="A430" i="63"/>
  <c r="X430" i="63" s="1"/>
  <c r="E431" i="63" l="1"/>
  <c r="J431" i="63" l="1"/>
  <c r="D431" i="63"/>
  <c r="H431" i="63" s="1"/>
  <c r="I431" i="63" l="1"/>
  <c r="K431" i="63"/>
  <c r="C432" i="63" s="1"/>
  <c r="B432" i="63" l="1"/>
  <c r="A431" i="63"/>
  <c r="X431" i="63" s="1"/>
  <c r="E432" i="63" l="1"/>
  <c r="J432" i="63" l="1"/>
  <c r="D432" i="63"/>
  <c r="H432" i="63" s="1"/>
  <c r="I432" i="63" l="1"/>
  <c r="K432" i="63"/>
  <c r="C433" i="63" s="1"/>
  <c r="B433" i="63" l="1"/>
  <c r="A432" i="63"/>
  <c r="X432" i="63" s="1"/>
  <c r="E433" i="63" l="1"/>
  <c r="D433" i="63" l="1"/>
  <c r="H433" i="63" s="1"/>
  <c r="J433" i="63"/>
  <c r="I433" i="63" l="1"/>
  <c r="K433" i="63"/>
  <c r="C434" i="63" s="1"/>
  <c r="B434" i="63" l="1"/>
  <c r="A433" i="63"/>
  <c r="X433" i="63" s="1"/>
  <c r="E434" i="63" l="1"/>
  <c r="J434" i="63" l="1"/>
  <c r="D434" i="63"/>
  <c r="H434" i="63" s="1"/>
  <c r="I434" i="63" l="1"/>
  <c r="K434" i="63"/>
  <c r="C435" i="63" s="1"/>
  <c r="B435" i="63" l="1"/>
  <c r="A434" i="63"/>
  <c r="X434" i="63" s="1"/>
  <c r="E435" i="63" l="1"/>
  <c r="D435" i="63" l="1"/>
  <c r="H435" i="63" s="1"/>
  <c r="J435" i="63"/>
  <c r="I435" i="63" l="1"/>
  <c r="K435" i="63"/>
  <c r="C436" i="63" s="1"/>
  <c r="B436" i="63" l="1"/>
  <c r="A435" i="63"/>
  <c r="X435" i="63" s="1"/>
  <c r="E436" i="63" l="1"/>
  <c r="J436" i="63" l="1"/>
  <c r="D436" i="63"/>
  <c r="H436" i="63" s="1"/>
  <c r="I436" i="63" l="1"/>
  <c r="K436" i="63"/>
  <c r="C437" i="63" s="1"/>
  <c r="B437" i="63" l="1"/>
  <c r="A436" i="63"/>
  <c r="X436" i="63" s="1"/>
  <c r="E437" i="63" l="1"/>
  <c r="D437" i="63" l="1"/>
  <c r="H437" i="63" s="1"/>
  <c r="J437" i="63"/>
  <c r="I437" i="63" l="1"/>
  <c r="K437" i="63"/>
  <c r="C438" i="63" s="1"/>
  <c r="B438" i="63" l="1"/>
  <c r="A437" i="63"/>
  <c r="X437" i="63" s="1"/>
  <c r="E438" i="63" l="1"/>
  <c r="D438" i="63" l="1"/>
  <c r="H438" i="63" s="1"/>
  <c r="J438" i="63"/>
  <c r="I438" i="63" l="1"/>
  <c r="K438" i="63"/>
  <c r="C439" i="63" s="1"/>
  <c r="B439" i="63" l="1"/>
  <c r="A438" i="63"/>
  <c r="X438" i="63" s="1"/>
  <c r="E439" i="63" l="1"/>
  <c r="J439" i="63" l="1"/>
  <c r="D439" i="63"/>
  <c r="H439" i="63" s="1"/>
  <c r="I439" i="63" l="1"/>
  <c r="K439" i="63"/>
  <c r="C440" i="63" s="1"/>
  <c r="B440" i="63" l="1"/>
  <c r="A439" i="63"/>
  <c r="X439" i="63" s="1"/>
  <c r="E440" i="63" l="1"/>
  <c r="J440" i="63" l="1"/>
  <c r="D440" i="63"/>
  <c r="H440" i="63" s="1"/>
  <c r="I440" i="63" l="1"/>
  <c r="K440" i="63"/>
  <c r="C441" i="63" s="1"/>
  <c r="B441" i="63" l="1"/>
  <c r="A440" i="63"/>
  <c r="X440" i="63" s="1"/>
  <c r="E441" i="63" l="1"/>
  <c r="D441" i="63" l="1"/>
  <c r="H441" i="63" s="1"/>
  <c r="J441" i="63"/>
  <c r="I441" i="63" l="1"/>
  <c r="K441" i="63"/>
  <c r="C442" i="63" s="1"/>
  <c r="B442" i="63" l="1"/>
  <c r="A441" i="63"/>
  <c r="X441" i="63" s="1"/>
  <c r="E442" i="63" l="1"/>
  <c r="J442" i="63" l="1"/>
  <c r="D442" i="63"/>
  <c r="H442" i="63" s="1"/>
  <c r="I442" i="63" l="1"/>
  <c r="K442" i="63"/>
  <c r="C443" i="63" s="1"/>
  <c r="B443" i="63" l="1"/>
  <c r="A442" i="63"/>
  <c r="X442" i="63" s="1"/>
  <c r="E443" i="63" l="1"/>
  <c r="D443" i="63" l="1"/>
  <c r="H443" i="63" s="1"/>
  <c r="J443" i="63"/>
  <c r="I443" i="63" l="1"/>
  <c r="K443" i="63"/>
  <c r="C444" i="63" s="1"/>
  <c r="B444" i="63" l="1"/>
  <c r="A443" i="63"/>
  <c r="X443" i="63" s="1"/>
  <c r="E444" i="63" l="1"/>
  <c r="J444" i="63" l="1"/>
  <c r="D444" i="63"/>
  <c r="H444" i="63" s="1"/>
  <c r="I444" i="63" l="1"/>
  <c r="K444" i="63"/>
  <c r="C445" i="63" s="1"/>
  <c r="B445" i="63" l="1"/>
  <c r="A444" i="63"/>
  <c r="X444" i="63" s="1"/>
  <c r="E445" i="63" l="1"/>
  <c r="J445" i="63" l="1"/>
  <c r="D445" i="63"/>
  <c r="H445" i="63" s="1"/>
  <c r="I445" i="63" l="1"/>
  <c r="K445" i="63"/>
  <c r="C446" i="63" s="1"/>
  <c r="B446" i="63" l="1"/>
  <c r="A445" i="63"/>
  <c r="X445" i="63" s="1"/>
  <c r="E446" i="63" l="1"/>
  <c r="J446" i="63" l="1"/>
  <c r="D446" i="63"/>
  <c r="H446" i="63" s="1"/>
  <c r="I446" i="63" l="1"/>
  <c r="K446" i="63"/>
  <c r="C447" i="63" s="1"/>
  <c r="B447" i="63" l="1"/>
  <c r="A446" i="63"/>
  <c r="X446" i="63" s="1"/>
  <c r="E447" i="63" l="1"/>
  <c r="D447" i="63" l="1"/>
  <c r="H447" i="63" s="1"/>
  <c r="J447" i="63"/>
  <c r="I447" i="63" l="1"/>
  <c r="K447" i="63"/>
  <c r="C448" i="63" s="1"/>
  <c r="B448" i="63" l="1"/>
  <c r="A447" i="63"/>
  <c r="X447" i="63" s="1"/>
  <c r="E448" i="63" l="1"/>
  <c r="D448" i="63" l="1"/>
  <c r="H448" i="63" s="1"/>
  <c r="J448" i="63"/>
  <c r="I448" i="63" l="1"/>
  <c r="K448" i="63"/>
  <c r="C449" i="63" s="1"/>
  <c r="B449" i="63" l="1"/>
  <c r="A448" i="63"/>
  <c r="X448" i="63" s="1"/>
  <c r="E449" i="63" l="1"/>
  <c r="J449" i="63" l="1"/>
  <c r="D449" i="63"/>
  <c r="H449" i="63" s="1"/>
  <c r="I449" i="63" l="1"/>
  <c r="K449" i="63"/>
  <c r="C450" i="63" s="1"/>
  <c r="B450" i="63" l="1"/>
  <c r="A449" i="63"/>
  <c r="X449" i="63" s="1"/>
  <c r="E450" i="63" l="1"/>
  <c r="J450" i="63" l="1"/>
  <c r="D450" i="63"/>
  <c r="H450" i="63" s="1"/>
  <c r="I450" i="63" l="1"/>
  <c r="K450" i="63"/>
  <c r="C451" i="63" s="1"/>
  <c r="B451" i="63" l="1"/>
  <c r="A450" i="63"/>
  <c r="X450" i="63" s="1"/>
  <c r="E451" i="63" l="1"/>
  <c r="D451" i="63" l="1"/>
  <c r="H451" i="63" s="1"/>
  <c r="J451" i="63"/>
  <c r="I451" i="63" l="1"/>
  <c r="K451" i="63"/>
  <c r="C452" i="63" s="1"/>
  <c r="B452" i="63" l="1"/>
  <c r="A451" i="63"/>
  <c r="X451" i="63" s="1"/>
  <c r="E452" i="63" l="1"/>
  <c r="J452" i="63" l="1"/>
  <c r="D452" i="63"/>
  <c r="H452" i="63" s="1"/>
  <c r="I452" i="63" l="1"/>
  <c r="K452" i="63"/>
  <c r="C453" i="63" s="1"/>
  <c r="B453" i="63" l="1"/>
  <c r="A452" i="63"/>
  <c r="X452" i="63" s="1"/>
  <c r="E453" i="63" l="1"/>
  <c r="D453" i="63" l="1"/>
  <c r="H453" i="63" s="1"/>
  <c r="J453" i="63"/>
  <c r="I453" i="63" l="1"/>
  <c r="K453" i="63"/>
  <c r="C454" i="63" s="1"/>
  <c r="B454" i="63" l="1"/>
  <c r="A453" i="63"/>
  <c r="X453" i="63" s="1"/>
  <c r="E454" i="63" l="1"/>
  <c r="J454" i="63" l="1"/>
  <c r="D454" i="63"/>
  <c r="H454" i="63" s="1"/>
  <c r="I454" i="63" l="1"/>
  <c r="K454" i="63"/>
  <c r="C455" i="63" s="1"/>
  <c r="B455" i="63" l="1"/>
  <c r="A454" i="63"/>
  <c r="X454" i="63" s="1"/>
  <c r="E455" i="63" l="1"/>
  <c r="D455" i="63" l="1"/>
  <c r="H455" i="63" s="1"/>
  <c r="J455" i="63"/>
  <c r="I455" i="63" l="1"/>
  <c r="K455" i="63"/>
  <c r="C456" i="63" s="1"/>
  <c r="B456" i="63" l="1"/>
  <c r="A455" i="63"/>
  <c r="X455" i="63" s="1"/>
  <c r="E456" i="63" l="1"/>
  <c r="J456" i="63" l="1"/>
  <c r="D456" i="63"/>
  <c r="H456" i="63" s="1"/>
  <c r="I456" i="63" l="1"/>
  <c r="K456" i="63"/>
  <c r="C457" i="63" s="1"/>
  <c r="B457" i="63" l="1"/>
  <c r="A456" i="63"/>
  <c r="X456" i="63" s="1"/>
  <c r="E457" i="63" l="1"/>
  <c r="J457" i="63" l="1"/>
  <c r="D457" i="63"/>
  <c r="H457" i="63" s="1"/>
  <c r="I457" i="63" l="1"/>
  <c r="K457" i="63"/>
  <c r="C458" i="63" s="1"/>
  <c r="B458" i="63" l="1"/>
  <c r="A457" i="63"/>
  <c r="X457" i="63" s="1"/>
  <c r="E458" i="63" l="1"/>
  <c r="J458" i="63" l="1"/>
  <c r="D458" i="63"/>
  <c r="H458" i="63" s="1"/>
  <c r="I458" i="63" l="1"/>
  <c r="K458" i="63"/>
  <c r="C459" i="63" s="1"/>
  <c r="B459" i="63" l="1"/>
  <c r="A458" i="63"/>
  <c r="X458" i="63" s="1"/>
  <c r="E459" i="63" l="1"/>
  <c r="J459" i="63" l="1"/>
  <c r="D459" i="63"/>
  <c r="H459" i="63" s="1"/>
  <c r="I459" i="63" l="1"/>
  <c r="K459" i="63"/>
  <c r="C460" i="63" s="1"/>
  <c r="B460" i="63" l="1"/>
  <c r="A459" i="63"/>
  <c r="X459" i="63" s="1"/>
  <c r="E460" i="63" l="1"/>
  <c r="J460" i="63" l="1"/>
  <c r="D460" i="63"/>
  <c r="H460" i="63" s="1"/>
  <c r="I460" i="63" l="1"/>
  <c r="K460" i="63"/>
  <c r="C461" i="63" s="1"/>
  <c r="B461" i="63" l="1"/>
  <c r="A460" i="63"/>
  <c r="X460" i="63" s="1"/>
  <c r="E461" i="63" l="1"/>
  <c r="J461" i="63" l="1"/>
  <c r="D461" i="63"/>
  <c r="H461" i="63" s="1"/>
  <c r="I461" i="63" l="1"/>
  <c r="K461" i="63"/>
  <c r="C462" i="63" s="1"/>
  <c r="B462" i="63" l="1"/>
  <c r="A461" i="63"/>
  <c r="X461" i="63" s="1"/>
  <c r="E462" i="63" l="1"/>
  <c r="J462" i="63" l="1"/>
  <c r="D462" i="63"/>
  <c r="H462" i="63" s="1"/>
  <c r="I462" i="63" l="1"/>
  <c r="K462" i="63"/>
  <c r="C463" i="63" s="1"/>
  <c r="B463" i="63" l="1"/>
  <c r="A462" i="63"/>
  <c r="X462" i="63" s="1"/>
  <c r="E463" i="63" l="1"/>
  <c r="J463" i="63" l="1"/>
  <c r="D463" i="63"/>
  <c r="H463" i="63" s="1"/>
  <c r="I463" i="63" l="1"/>
  <c r="K463" i="63"/>
  <c r="C464" i="63" s="1"/>
  <c r="B464" i="63" l="1"/>
  <c r="A463" i="63"/>
  <c r="X463" i="63" s="1"/>
  <c r="E464" i="63" l="1"/>
  <c r="J464" i="63" l="1"/>
  <c r="D464" i="63"/>
  <c r="H464" i="63" s="1"/>
  <c r="I464" i="63" l="1"/>
  <c r="K464" i="63"/>
  <c r="C465" i="63" s="1"/>
  <c r="B465" i="63" l="1"/>
  <c r="A464" i="63"/>
  <c r="X464" i="63" s="1"/>
  <c r="E465" i="63" l="1"/>
  <c r="D465" i="63" l="1"/>
  <c r="H465" i="63" s="1"/>
  <c r="J465" i="63"/>
  <c r="I465" i="63" l="1"/>
  <c r="K465" i="63"/>
  <c r="C466" i="63" s="1"/>
  <c r="B466" i="63" l="1"/>
  <c r="A465" i="63"/>
  <c r="X465" i="63" s="1"/>
  <c r="E466" i="63" l="1"/>
  <c r="J466" i="63" l="1"/>
  <c r="D466" i="63"/>
  <c r="H466" i="63" s="1"/>
  <c r="I466" i="63" l="1"/>
  <c r="K466" i="63"/>
  <c r="C467" i="63" s="1"/>
  <c r="B467" i="63" l="1"/>
  <c r="A466" i="63"/>
  <c r="X466" i="63" s="1"/>
  <c r="E467" i="63" l="1"/>
  <c r="J467" i="63" l="1"/>
  <c r="D467" i="63"/>
  <c r="H467" i="63" s="1"/>
  <c r="I467" i="63" l="1"/>
  <c r="K467" i="63"/>
  <c r="C468" i="63" s="1"/>
  <c r="B468" i="63" l="1"/>
  <c r="A467" i="63"/>
  <c r="X467" i="63" s="1"/>
  <c r="E468" i="63" l="1"/>
  <c r="J468" i="63" l="1"/>
  <c r="D468" i="63"/>
  <c r="H468" i="63" s="1"/>
  <c r="I468" i="63" l="1"/>
  <c r="K468" i="63"/>
  <c r="C469" i="63" s="1"/>
  <c r="B469" i="63" l="1"/>
  <c r="A468" i="63"/>
  <c r="X468" i="63" s="1"/>
  <c r="E469" i="63" l="1"/>
  <c r="J469" i="63" l="1"/>
  <c r="D469" i="63"/>
  <c r="H469" i="63" s="1"/>
  <c r="I469" i="63" l="1"/>
  <c r="K469" i="63"/>
  <c r="C470" i="63" s="1"/>
  <c r="B470" i="63" l="1"/>
  <c r="A469" i="63"/>
  <c r="X469" i="63" s="1"/>
  <c r="E470" i="63" l="1"/>
  <c r="J470" i="63" l="1"/>
  <c r="D470" i="63"/>
  <c r="H470" i="63" s="1"/>
  <c r="I470" i="63" l="1"/>
  <c r="K470" i="63"/>
  <c r="C471" i="63" s="1"/>
  <c r="B471" i="63" l="1"/>
  <c r="A470" i="63"/>
  <c r="X470" i="63" s="1"/>
  <c r="E471" i="63" l="1"/>
  <c r="J471" i="63" l="1"/>
  <c r="D471" i="63"/>
  <c r="H471" i="63" s="1"/>
  <c r="I471" i="63" l="1"/>
  <c r="K471" i="63"/>
  <c r="C472" i="63" s="1"/>
  <c r="B472" i="63" l="1"/>
  <c r="A471" i="63"/>
  <c r="X471" i="63" s="1"/>
  <c r="E472" i="63" l="1"/>
  <c r="D472" i="63" l="1"/>
  <c r="H472" i="63" s="1"/>
  <c r="J472" i="63"/>
  <c r="I472" i="63" l="1"/>
  <c r="K472" i="63"/>
  <c r="C473" i="63" s="1"/>
  <c r="B473" i="63" l="1"/>
  <c r="A472" i="63"/>
  <c r="X472" i="63" s="1"/>
  <c r="E473" i="63" l="1"/>
  <c r="J473" i="63" l="1"/>
  <c r="D473" i="63"/>
  <c r="H473" i="63" s="1"/>
  <c r="I473" i="63" l="1"/>
  <c r="K473" i="63"/>
  <c r="C474" i="63" s="1"/>
  <c r="B474" i="63" l="1"/>
  <c r="A473" i="63"/>
  <c r="X473" i="63" s="1"/>
  <c r="E474" i="63" l="1"/>
  <c r="J474" i="63" l="1"/>
  <c r="D474" i="63"/>
  <c r="H474" i="63" s="1"/>
  <c r="I474" i="63" l="1"/>
  <c r="K474" i="63"/>
  <c r="C475" i="63" s="1"/>
  <c r="B475" i="63" l="1"/>
  <c r="A474" i="63"/>
  <c r="X474" i="63" s="1"/>
  <c r="E475" i="63" l="1"/>
  <c r="J475" i="63" l="1"/>
  <c r="D475" i="63"/>
  <c r="H475" i="63" s="1"/>
  <c r="I475" i="63" l="1"/>
  <c r="K475" i="63"/>
  <c r="C476" i="63" s="1"/>
  <c r="B476" i="63" l="1"/>
  <c r="A475" i="63"/>
  <c r="X475" i="63" s="1"/>
  <c r="E476" i="63" l="1"/>
  <c r="J476" i="63" l="1"/>
  <c r="D476" i="63"/>
  <c r="H476" i="63" s="1"/>
  <c r="I476" i="63" l="1"/>
  <c r="K476" i="63"/>
  <c r="C477" i="63" s="1"/>
  <c r="B477" i="63" l="1"/>
  <c r="A476" i="63"/>
  <c r="X476" i="63" s="1"/>
  <c r="E477" i="63" l="1"/>
  <c r="J477" i="63" l="1"/>
  <c r="D477" i="63"/>
  <c r="H477" i="63" s="1"/>
  <c r="I477" i="63" l="1"/>
  <c r="K477" i="63"/>
  <c r="C478" i="63" s="1"/>
  <c r="B478" i="63" l="1"/>
  <c r="A477" i="63"/>
  <c r="X477" i="63" s="1"/>
  <c r="E478" i="63" l="1"/>
  <c r="J478" i="63" l="1"/>
  <c r="D478" i="63"/>
  <c r="H478" i="63" s="1"/>
  <c r="I478" i="63" l="1"/>
  <c r="K478" i="63"/>
  <c r="C479" i="63" s="1"/>
  <c r="B479" i="63" l="1"/>
  <c r="A478" i="63"/>
  <c r="X478" i="63" s="1"/>
  <c r="E479" i="63" l="1"/>
  <c r="J479" i="63" l="1"/>
  <c r="D479" i="63"/>
  <c r="H479" i="63" s="1"/>
  <c r="I479" i="63" l="1"/>
  <c r="K479" i="63"/>
  <c r="C480" i="63" s="1"/>
  <c r="B480" i="63" l="1"/>
  <c r="A479" i="63"/>
  <c r="X479" i="63" s="1"/>
  <c r="E480" i="63" l="1"/>
  <c r="J480" i="63" l="1"/>
  <c r="D480" i="63"/>
  <c r="H480" i="63" s="1"/>
  <c r="I480" i="63" l="1"/>
  <c r="K480" i="63"/>
  <c r="C481" i="63" s="1"/>
  <c r="B481" i="63" l="1"/>
  <c r="A480" i="63"/>
  <c r="X480" i="63" s="1"/>
  <c r="E481" i="63" l="1"/>
  <c r="J481" i="63" l="1"/>
  <c r="D481" i="63"/>
  <c r="H481" i="63" s="1"/>
  <c r="I481" i="63" l="1"/>
  <c r="K481" i="63"/>
  <c r="C482" i="63" s="1"/>
  <c r="B482" i="63" l="1"/>
  <c r="A481" i="63"/>
  <c r="X481" i="63" s="1"/>
  <c r="E482" i="63" l="1"/>
  <c r="J482" i="63" l="1"/>
  <c r="D482" i="63"/>
  <c r="H482" i="63" s="1"/>
  <c r="I482" i="63" l="1"/>
  <c r="K482" i="63"/>
  <c r="C483" i="63" s="1"/>
  <c r="B483" i="63" l="1"/>
  <c r="A482" i="63"/>
  <c r="X482" i="63" s="1"/>
  <c r="E483" i="63" l="1"/>
  <c r="D483" i="63" l="1"/>
  <c r="H483" i="63" s="1"/>
  <c r="J483" i="63"/>
  <c r="I483" i="63" l="1"/>
  <c r="K483" i="63"/>
  <c r="C484" i="63" s="1"/>
  <c r="B484" i="63" l="1"/>
  <c r="A483" i="63"/>
  <c r="X483" i="63" s="1"/>
  <c r="E484" i="63" l="1"/>
  <c r="J484" i="63" l="1"/>
  <c r="D484" i="63"/>
  <c r="H484" i="63" s="1"/>
  <c r="I484" i="63" l="1"/>
  <c r="K484" i="63"/>
  <c r="C485" i="63" s="1"/>
  <c r="B485" i="63" l="1"/>
  <c r="A484" i="63"/>
  <c r="X484" i="63" s="1"/>
  <c r="E485" i="63" l="1"/>
  <c r="J485" i="63" l="1"/>
  <c r="D485" i="63"/>
  <c r="H485" i="63" s="1"/>
  <c r="I485" i="63" l="1"/>
  <c r="K485" i="63"/>
  <c r="C486" i="63" s="1"/>
  <c r="B486" i="63" l="1"/>
  <c r="A485" i="63"/>
  <c r="X485" i="63" s="1"/>
  <c r="E486" i="63" l="1"/>
  <c r="J486" i="63" l="1"/>
  <c r="D486" i="63"/>
  <c r="H486" i="63" s="1"/>
  <c r="I486" i="63" l="1"/>
  <c r="K486" i="63"/>
  <c r="C487" i="63" s="1"/>
  <c r="B487" i="63" l="1"/>
  <c r="A486" i="63"/>
  <c r="X486" i="63" s="1"/>
  <c r="E487" i="63" l="1"/>
  <c r="J487" i="63" l="1"/>
  <c r="D487" i="63"/>
  <c r="H487" i="63" s="1"/>
  <c r="I487" i="63" l="1"/>
  <c r="K487" i="63"/>
  <c r="C488" i="63" s="1"/>
  <c r="B488" i="63" l="1"/>
  <c r="A487" i="63"/>
  <c r="X487" i="63" s="1"/>
  <c r="E488" i="63" l="1"/>
  <c r="J488" i="63" l="1"/>
  <c r="D488" i="63"/>
  <c r="H488" i="63" s="1"/>
  <c r="I488" i="63" l="1"/>
  <c r="K488" i="63"/>
  <c r="C489" i="63" s="1"/>
  <c r="B489" i="63" l="1"/>
  <c r="A488" i="63"/>
  <c r="X488" i="63" s="1"/>
  <c r="E489" i="63" l="1"/>
  <c r="D489" i="63" l="1"/>
  <c r="H489" i="63" s="1"/>
  <c r="J489" i="63"/>
  <c r="I489" i="63" l="1"/>
  <c r="K489" i="63"/>
  <c r="C490" i="63" s="1"/>
  <c r="B490" i="63" l="1"/>
  <c r="A489" i="63"/>
  <c r="X489" i="63" s="1"/>
  <c r="E490" i="63" l="1"/>
  <c r="J490" i="63" l="1"/>
  <c r="D490" i="63"/>
  <c r="H490" i="63" s="1"/>
  <c r="I490" i="63" l="1"/>
  <c r="K490" i="63"/>
  <c r="A490" i="63" s="1"/>
  <c r="X490" i="63" s="1"/>
  <c r="K1" i="33" l="1"/>
  <c r="N15" i="63" l="1"/>
  <c r="W15" i="63" s="1"/>
  <c r="AU15" i="63"/>
  <c r="AV15" i="63" s="1"/>
  <c r="O8" i="63"/>
  <c r="N16" i="63" l="1"/>
  <c r="M16" i="63" s="1"/>
  <c r="AO15" i="63"/>
  <c r="W16" i="63" l="1"/>
  <c r="O17" i="63" s="1"/>
  <c r="AI17" i="63" s="1"/>
  <c r="L16" i="63"/>
  <c r="AH16" i="63"/>
  <c r="AH17" i="63" s="1"/>
  <c r="AH18" i="63" s="1"/>
  <c r="AH19" i="63" s="1"/>
  <c r="AH20" i="63" s="1"/>
  <c r="AH21" i="63" s="1"/>
  <c r="AH22" i="63" s="1"/>
  <c r="AH23" i="63" s="1"/>
  <c r="AH24" i="63" s="1"/>
  <c r="AH25" i="63" s="1"/>
  <c r="AH26" i="63" s="1"/>
  <c r="AH27" i="63" s="1"/>
  <c r="AH28" i="63" s="1"/>
  <c r="AH29" i="63" s="1"/>
  <c r="AH30" i="63" s="1"/>
  <c r="AH31" i="63" s="1"/>
  <c r="AH32" i="63" s="1"/>
  <c r="AH33" i="63" s="1"/>
  <c r="AH34" i="63" s="1"/>
  <c r="AH35" i="63" s="1"/>
  <c r="AH36" i="63" s="1"/>
  <c r="AH37" i="63" s="1"/>
  <c r="AH38" i="63" s="1"/>
  <c r="AH39" i="63" s="1"/>
  <c r="AH40" i="63" s="1"/>
  <c r="AH41" i="63" s="1"/>
  <c r="AH42" i="63" s="1"/>
  <c r="AH43" i="63" s="1"/>
  <c r="AH44" i="63" s="1"/>
  <c r="AH45" i="63" s="1"/>
  <c r="AH46" i="63" s="1"/>
  <c r="AH47" i="63" s="1"/>
  <c r="AH48" i="63" s="1"/>
  <c r="AH49" i="63" s="1"/>
  <c r="AH50" i="63" s="1"/>
  <c r="AH51" i="63" s="1"/>
  <c r="AH52" i="63" s="1"/>
  <c r="AH53" i="63" s="1"/>
  <c r="AH54" i="63" s="1"/>
  <c r="AH55" i="63" s="1"/>
  <c r="AH56" i="63" s="1"/>
  <c r="AH57" i="63" s="1"/>
  <c r="AH58" i="63" s="1"/>
  <c r="AD16" i="63"/>
  <c r="AT16" i="63" l="1"/>
  <c r="AU16" i="63"/>
  <c r="AV16" i="63" s="1"/>
  <c r="N17" i="63"/>
  <c r="Q17" i="63" s="1"/>
  <c r="V17" i="63" s="1"/>
  <c r="AO16" i="63"/>
  <c r="AN17" i="63"/>
  <c r="AS17" i="63" s="1"/>
  <c r="R17" i="63"/>
  <c r="AP17" i="63"/>
  <c r="Z16" i="63"/>
  <c r="AM16" i="63"/>
  <c r="M17" i="63" l="1"/>
  <c r="L17" i="63" s="1"/>
  <c r="P17" i="63"/>
  <c r="W17" i="63" s="1"/>
  <c r="O18" i="63" s="1"/>
  <c r="AI18" i="63" s="1"/>
  <c r="AG16" i="63"/>
  <c r="AD17" i="63"/>
  <c r="AE16" i="63"/>
  <c r="AF16" i="63" s="1"/>
  <c r="AT17" i="63" l="1"/>
  <c r="AN18" i="63"/>
  <c r="AS18" i="63" s="1"/>
  <c r="R18" i="63"/>
  <c r="N18" i="63"/>
  <c r="Q18" i="63" s="1"/>
  <c r="V18" i="63" s="1"/>
  <c r="AU17" i="63"/>
  <c r="AV17" i="63" s="1"/>
  <c r="AP18" i="63"/>
  <c r="S17" i="63"/>
  <c r="T17" i="63" s="1"/>
  <c r="U17" i="63"/>
  <c r="AO17" i="63" s="1"/>
  <c r="Z17" i="63"/>
  <c r="AM17" i="63"/>
  <c r="AG17" i="63"/>
  <c r="AE17" i="63"/>
  <c r="AF17" i="63" s="1"/>
  <c r="M18" i="63"/>
  <c r="P18" i="63" l="1"/>
  <c r="W18" i="63" s="1"/>
  <c r="O19" i="63" s="1"/>
  <c r="AI19" i="63" s="1"/>
  <c r="L18" i="63"/>
  <c r="AD18" i="63"/>
  <c r="AU18" i="63" l="1"/>
  <c r="AV18" i="63" s="1"/>
  <c r="U18" i="63"/>
  <c r="AO18" i="63" s="1"/>
  <c r="R19" i="63"/>
  <c r="S18" i="63"/>
  <c r="T18" i="63" s="1"/>
  <c r="AN19" i="63"/>
  <c r="AS19" i="63" s="1"/>
  <c r="N19" i="63"/>
  <c r="Q19" i="63" s="1"/>
  <c r="V19" i="63" s="1"/>
  <c r="AT18" i="63"/>
  <c r="AP19" i="63"/>
  <c r="Z18" i="63"/>
  <c r="AM18" i="63"/>
  <c r="AE18" i="63"/>
  <c r="AF18" i="63" s="1"/>
  <c r="AG18" i="63"/>
  <c r="M19" i="63" l="1"/>
  <c r="L19" i="63" s="1"/>
  <c r="P19" i="63"/>
  <c r="W19" i="63" s="1"/>
  <c r="O20" i="63" s="1"/>
  <c r="AI20" i="63" s="1"/>
  <c r="AD19" i="63"/>
  <c r="N20" i="63" l="1"/>
  <c r="Q20" i="63" s="1"/>
  <c r="V20" i="63" s="1"/>
  <c r="S19" i="63"/>
  <c r="T19" i="63" s="1"/>
  <c r="U19" i="63"/>
  <c r="AO19" i="63" s="1"/>
  <c r="AN20" i="63"/>
  <c r="AS20" i="63" s="1"/>
  <c r="AP20" i="63"/>
  <c r="R20" i="63"/>
  <c r="AT19" i="63"/>
  <c r="AU19" i="63"/>
  <c r="AV19" i="63" s="1"/>
  <c r="Z19" i="63"/>
  <c r="AM19" i="63"/>
  <c r="AG19" i="63"/>
  <c r="AE19" i="63"/>
  <c r="AF19" i="63" s="1"/>
  <c r="M20" i="63" l="1"/>
  <c r="L20" i="63" s="1"/>
  <c r="P20" i="63"/>
  <c r="W20" i="63" s="1"/>
  <c r="O21" i="63" s="1"/>
  <c r="AI21" i="63" s="1"/>
  <c r="AD20" i="63"/>
  <c r="S20" i="63" l="1"/>
  <c r="T20" i="63" s="1"/>
  <c r="AN21" i="63"/>
  <c r="AS21" i="63" s="1"/>
  <c r="N21" i="63"/>
  <c r="Q21" i="63" s="1"/>
  <c r="V21" i="63" s="1"/>
  <c r="R21" i="63"/>
  <c r="AT20" i="63"/>
  <c r="AP21" i="63"/>
  <c r="AU20" i="63"/>
  <c r="AV20" i="63" s="1"/>
  <c r="U20" i="63"/>
  <c r="AO20" i="63" s="1"/>
  <c r="Z20" i="63"/>
  <c r="AM20" i="63"/>
  <c r="AE20" i="63"/>
  <c r="AF20" i="63" s="1"/>
  <c r="AG20" i="63"/>
  <c r="M21" i="63" l="1"/>
  <c r="L21" i="63" s="1"/>
  <c r="P21" i="63"/>
  <c r="W21" i="63" s="1"/>
  <c r="O22" i="63" s="1"/>
  <c r="AP22" i="63" s="1"/>
  <c r="AU21" i="63" l="1"/>
  <c r="AV21" i="63" s="1"/>
  <c r="AT21" i="63"/>
  <c r="S21" i="63"/>
  <c r="T21" i="63" s="1"/>
  <c r="U21" i="63"/>
  <c r="AO21" i="63" s="1"/>
  <c r="AI22" i="63"/>
  <c r="AN22" i="63"/>
  <c r="AS22" i="63" s="1"/>
  <c r="R22" i="63"/>
  <c r="N22" i="63"/>
  <c r="Q22" i="63" s="1"/>
  <c r="V22" i="63" s="1"/>
  <c r="Z21" i="63"/>
  <c r="AM21" i="63"/>
  <c r="AD21" i="63"/>
  <c r="M22" i="63" l="1"/>
  <c r="L22" i="63" s="1"/>
  <c r="Z22" i="63" s="1"/>
  <c r="P22" i="63"/>
  <c r="W22" i="63" s="1"/>
  <c r="O23" i="63" s="1"/>
  <c r="AI23" i="63" s="1"/>
  <c r="AE21" i="63"/>
  <c r="AF21" i="63" s="1"/>
  <c r="AG21" i="63"/>
  <c r="U22" i="63" l="1"/>
  <c r="AO22" i="63" s="1"/>
  <c r="AT22" i="63"/>
  <c r="AN23" i="63"/>
  <c r="AS23" i="63" s="1"/>
  <c r="N23" i="63"/>
  <c r="Q23" i="63" s="1"/>
  <c r="V23" i="63" s="1"/>
  <c r="AU22" i="63"/>
  <c r="AV22" i="63" s="1"/>
  <c r="R23" i="63"/>
  <c r="AP23" i="63"/>
  <c r="S22" i="63"/>
  <c r="T22" i="63" s="1"/>
  <c r="AM22" i="63"/>
  <c r="AD22" i="63"/>
  <c r="AG22" i="63"/>
  <c r="M23" i="63" l="1"/>
  <c r="L23" i="63" s="1"/>
  <c r="Z23" i="63" s="1"/>
  <c r="P23" i="63"/>
  <c r="W23" i="63" s="1"/>
  <c r="O24" i="63" s="1"/>
  <c r="AI24" i="63" s="1"/>
  <c r="AE22" i="63"/>
  <c r="AF22" i="63" s="1"/>
  <c r="AT23" i="63" l="1"/>
  <c r="S23" i="63"/>
  <c r="T23" i="63" s="1"/>
  <c r="U23" i="63"/>
  <c r="AO23" i="63" s="1"/>
  <c r="AN24" i="63"/>
  <c r="AS24" i="63" s="1"/>
  <c r="N24" i="63"/>
  <c r="Q24" i="63" s="1"/>
  <c r="V24" i="63" s="1"/>
  <c r="R24" i="63"/>
  <c r="AU23" i="63"/>
  <c r="AV23" i="63" s="1"/>
  <c r="AP24" i="63"/>
  <c r="AM23" i="63"/>
  <c r="AD23" i="63"/>
  <c r="M24" i="63" l="1"/>
  <c r="L24" i="63" s="1"/>
  <c r="Z24" i="63" s="1"/>
  <c r="P24" i="63"/>
  <c r="W24" i="63" s="1"/>
  <c r="O25" i="63" s="1"/>
  <c r="R25" i="63" s="1"/>
  <c r="AE23" i="63"/>
  <c r="AF23" i="63" s="1"/>
  <c r="AG23" i="63"/>
  <c r="AN25" i="63" l="1"/>
  <c r="AS25" i="63" s="1"/>
  <c r="S24" i="63"/>
  <c r="T24" i="63" s="1"/>
  <c r="U24" i="63"/>
  <c r="AO24" i="63" s="1"/>
  <c r="N25" i="63"/>
  <c r="Q25" i="63" s="1"/>
  <c r="V25" i="63" s="1"/>
  <c r="AT24" i="63"/>
  <c r="AP25" i="63"/>
  <c r="AU24" i="63"/>
  <c r="AV24" i="63" s="1"/>
  <c r="AI25" i="63"/>
  <c r="AM24" i="63"/>
  <c r="AD24" i="63"/>
  <c r="AG24" i="63"/>
  <c r="M25" i="63" l="1"/>
  <c r="L25" i="63" s="1"/>
  <c r="Z25" i="63" s="1"/>
  <c r="P25" i="63"/>
  <c r="W25" i="63" s="1"/>
  <c r="O26" i="63" s="1"/>
  <c r="AI26" i="63" s="1"/>
  <c r="AE24" i="63"/>
  <c r="AF24" i="63" s="1"/>
  <c r="AN26" i="63" l="1"/>
  <c r="AS26" i="63" s="1"/>
  <c r="N26" i="63"/>
  <c r="Q26" i="63" s="1"/>
  <c r="V26" i="63" s="1"/>
  <c r="R26" i="63"/>
  <c r="AU25" i="63"/>
  <c r="AV25" i="63" s="1"/>
  <c r="AP26" i="63"/>
  <c r="S25" i="63"/>
  <c r="T25" i="63" s="1"/>
  <c r="U25" i="63"/>
  <c r="AO25" i="63" s="1"/>
  <c r="AT25" i="63"/>
  <c r="AM25" i="63"/>
  <c r="AD25" i="63"/>
  <c r="M26" i="63" l="1"/>
  <c r="L26" i="63" s="1"/>
  <c r="Z26" i="63" s="1"/>
  <c r="P26" i="63"/>
  <c r="W26" i="63" s="1"/>
  <c r="O27" i="63" s="1"/>
  <c r="AI27" i="63" s="1"/>
  <c r="AE25" i="63"/>
  <c r="AF25" i="63" s="1"/>
  <c r="AG25" i="63"/>
  <c r="S26" i="63" l="1"/>
  <c r="T26" i="63" s="1"/>
  <c r="U26" i="63"/>
  <c r="AO26" i="63" s="1"/>
  <c r="N27" i="63"/>
  <c r="Q27" i="63" s="1"/>
  <c r="V27" i="63" s="1"/>
  <c r="AN27" i="63"/>
  <c r="AS27" i="63" s="1"/>
  <c r="AU26" i="63"/>
  <c r="AV26" i="63" s="1"/>
  <c r="R27" i="63"/>
  <c r="AT26" i="63"/>
  <c r="AP27" i="63"/>
  <c r="AM26" i="63"/>
  <c r="AD26" i="63"/>
  <c r="M27" i="63" l="1"/>
  <c r="L27" i="63" s="1"/>
  <c r="Z27" i="63" s="1"/>
  <c r="P27" i="63"/>
  <c r="W27" i="63" s="1"/>
  <c r="O28" i="63" s="1"/>
  <c r="AI28" i="63" s="1"/>
  <c r="AE26" i="63"/>
  <c r="AF26" i="63" s="1"/>
  <c r="S27" i="63"/>
  <c r="T27" i="63" s="1"/>
  <c r="AG26" i="63"/>
  <c r="U27" i="63" l="1"/>
  <c r="AO27" i="63" s="1"/>
  <c r="AN28" i="63"/>
  <c r="AS28" i="63" s="1"/>
  <c r="N28" i="63"/>
  <c r="Q28" i="63" s="1"/>
  <c r="V28" i="63" s="1"/>
  <c r="AU27" i="63"/>
  <c r="AV27" i="63" s="1"/>
  <c r="R28" i="63"/>
  <c r="AT27" i="63"/>
  <c r="AP28" i="63"/>
  <c r="AM27" i="63"/>
  <c r="AD27" i="63"/>
  <c r="M28" i="63" l="1"/>
  <c r="L28" i="63" s="1"/>
  <c r="Z28" i="63" s="1"/>
  <c r="P28" i="63"/>
  <c r="W28" i="63" s="1"/>
  <c r="O29" i="63" s="1"/>
  <c r="AI29" i="63" s="1"/>
  <c r="AN29" i="63"/>
  <c r="AS29" i="63" s="1"/>
  <c r="U28" i="63"/>
  <c r="AO28" i="63" s="1"/>
  <c r="AE27" i="63"/>
  <c r="AF27" i="63" s="1"/>
  <c r="AG27" i="63"/>
  <c r="AU28" i="63"/>
  <c r="AV28" i="63" s="1"/>
  <c r="N29" i="63" l="1"/>
  <c r="Q29" i="63" s="1"/>
  <c r="V29" i="63" s="1"/>
  <c r="R29" i="63"/>
  <c r="AT28" i="63"/>
  <c r="AP29" i="63"/>
  <c r="S28" i="63"/>
  <c r="T28" i="63" s="1"/>
  <c r="AM28" i="63"/>
  <c r="AD28" i="63"/>
  <c r="P29" i="63"/>
  <c r="W29" i="63" s="1"/>
  <c r="O30" i="63" s="1"/>
  <c r="M29" i="63"/>
  <c r="AI30" i="63" l="1"/>
  <c r="AP30" i="63"/>
  <c r="R30" i="63"/>
  <c r="AN30" i="63"/>
  <c r="AS30" i="63" s="1"/>
  <c r="L29" i="63"/>
  <c r="Z29" i="63" s="1"/>
  <c r="AE28" i="63"/>
  <c r="AF28" i="63" s="1"/>
  <c r="U29" i="63"/>
  <c r="AO29" i="63" s="1"/>
  <c r="S29" i="63"/>
  <c r="T29" i="63" s="1"/>
  <c r="AG28" i="63"/>
  <c r="AT29" i="63"/>
  <c r="AU29" i="63"/>
  <c r="AV29" i="63" s="1"/>
  <c r="N30" i="63"/>
  <c r="Q30" i="63" s="1"/>
  <c r="V30" i="63" s="1"/>
  <c r="AM29" i="63" l="1"/>
  <c r="AD29" i="63"/>
  <c r="P30" i="63"/>
  <c r="W30" i="63" s="1"/>
  <c r="O31" i="63" s="1"/>
  <c r="M30" i="63"/>
  <c r="AI31" i="63" l="1"/>
  <c r="AP31" i="63"/>
  <c r="R31" i="63"/>
  <c r="AN31" i="63"/>
  <c r="AS31" i="63" s="1"/>
  <c r="L30" i="63"/>
  <c r="Z30" i="63" s="1"/>
  <c r="U30" i="63"/>
  <c r="AO30" i="63" s="1"/>
  <c r="S30" i="63"/>
  <c r="T30" i="63" s="1"/>
  <c r="AE29" i="63"/>
  <c r="AF29" i="63" s="1"/>
  <c r="AG29" i="63"/>
  <c r="AT30" i="63"/>
  <c r="AU30" i="63"/>
  <c r="AV30" i="63" s="1"/>
  <c r="N31" i="63"/>
  <c r="Q31" i="63" s="1"/>
  <c r="V31" i="63" s="1"/>
  <c r="AM30" i="63" l="1"/>
  <c r="AD30" i="63"/>
  <c r="AG30" i="63"/>
  <c r="P31" i="63"/>
  <c r="M31" i="63"/>
  <c r="W31" i="63"/>
  <c r="O32" i="63" s="1"/>
  <c r="AI32" i="63" l="1"/>
  <c r="AP32" i="63"/>
  <c r="R32" i="63"/>
  <c r="AN32" i="63"/>
  <c r="AS32" i="63" s="1"/>
  <c r="L31" i="63"/>
  <c r="Z31" i="63" s="1"/>
  <c r="U31" i="63"/>
  <c r="AO31" i="63" s="1"/>
  <c r="S31" i="63"/>
  <c r="T31" i="63" s="1"/>
  <c r="AE30" i="63"/>
  <c r="AF30" i="63" s="1"/>
  <c r="AU31" i="63"/>
  <c r="AV31" i="63" s="1"/>
  <c r="AT31" i="63"/>
  <c r="N32" i="63"/>
  <c r="Q32" i="63" s="1"/>
  <c r="V32" i="63" s="1"/>
  <c r="AM31" i="63" l="1"/>
  <c r="AD31" i="63"/>
  <c r="P32" i="63"/>
  <c r="W32" i="63" s="1"/>
  <c r="O33" i="63" s="1"/>
  <c r="M32" i="63"/>
  <c r="AI33" i="63" l="1"/>
  <c r="AP33" i="63"/>
  <c r="R33" i="63"/>
  <c r="AN33" i="63"/>
  <c r="AS33" i="63" s="1"/>
  <c r="L32" i="63"/>
  <c r="Z32" i="63" s="1"/>
  <c r="U32" i="63"/>
  <c r="AO32" i="63" s="1"/>
  <c r="S32" i="63"/>
  <c r="T32" i="63" s="1"/>
  <c r="AE31" i="63"/>
  <c r="AF31" i="63" s="1"/>
  <c r="AG31" i="63"/>
  <c r="AU32" i="63"/>
  <c r="AV32" i="63" s="1"/>
  <c r="AT32" i="63"/>
  <c r="N33" i="63"/>
  <c r="Q33" i="63" s="1"/>
  <c r="V33" i="63" s="1"/>
  <c r="AM32" i="63" l="1"/>
  <c r="AD32" i="63"/>
  <c r="AG32" i="63"/>
  <c r="P33" i="63"/>
  <c r="M33" i="63"/>
  <c r="L33" i="63" l="1"/>
  <c r="Z33" i="63" s="1"/>
  <c r="AE32" i="63"/>
  <c r="AF32" i="63" s="1"/>
  <c r="U33" i="63"/>
  <c r="S33" i="63"/>
  <c r="T33" i="63" s="1"/>
  <c r="W33" i="63"/>
  <c r="O34" i="63" s="1"/>
  <c r="AI34" i="63" l="1"/>
  <c r="AP34" i="63"/>
  <c r="R34" i="63"/>
  <c r="AN34" i="63"/>
  <c r="AS34" i="63" s="1"/>
  <c r="AM33" i="63"/>
  <c r="AD33" i="63"/>
  <c r="N34" i="63"/>
  <c r="Q34" i="63" s="1"/>
  <c r="V34" i="63" s="1"/>
  <c r="AT33" i="63"/>
  <c r="AO33" i="63"/>
  <c r="AU33" i="63"/>
  <c r="AV33" i="63" s="1"/>
  <c r="AE33" i="63" l="1"/>
  <c r="AF33" i="63" s="1"/>
  <c r="AG33" i="63"/>
  <c r="M34" i="63"/>
  <c r="P34" i="63"/>
  <c r="L34" i="63" l="1"/>
  <c r="Z34" i="63" s="1"/>
  <c r="U34" i="63"/>
  <c r="S34" i="63"/>
  <c r="T34" i="63" s="1"/>
  <c r="W34" i="63"/>
  <c r="AM34" i="63" l="1"/>
  <c r="AD34" i="63"/>
  <c r="O35" i="63"/>
  <c r="N35" i="63"/>
  <c r="AU34" i="63"/>
  <c r="AV34" i="63" s="1"/>
  <c r="AT34" i="63"/>
  <c r="AO34" i="63"/>
  <c r="AI35" i="63" l="1"/>
  <c r="AP35" i="63"/>
  <c r="R35" i="63"/>
  <c r="AN35" i="63"/>
  <c r="AS35" i="63" s="1"/>
  <c r="AE34" i="63"/>
  <c r="AF34" i="63" s="1"/>
  <c r="AG34" i="63"/>
  <c r="Q35" i="63"/>
  <c r="V35" i="63" s="1"/>
  <c r="M35" i="63"/>
  <c r="P35" i="63" l="1"/>
  <c r="U35" i="63" s="1"/>
  <c r="L35" i="63"/>
  <c r="Z35" i="63" s="1"/>
  <c r="W35" i="63" l="1"/>
  <c r="AO35" i="63" s="1"/>
  <c r="S35" i="63"/>
  <c r="T35" i="63" s="1"/>
  <c r="AM35" i="63"/>
  <c r="AD35" i="63"/>
  <c r="O36" i="63"/>
  <c r="AT35" i="63" l="1"/>
  <c r="N36" i="63"/>
  <c r="M36" i="63" s="1"/>
  <c r="AU35" i="63"/>
  <c r="AV35" i="63" s="1"/>
  <c r="AI36" i="63"/>
  <c r="AP36" i="63"/>
  <c r="R36" i="63"/>
  <c r="AN36" i="63"/>
  <c r="AS36" i="63" s="1"/>
  <c r="AE35" i="63"/>
  <c r="AF35" i="63" s="1"/>
  <c r="AG35" i="63"/>
  <c r="Q36" i="63"/>
  <c r="V36" i="63" s="1"/>
  <c r="P36" i="63" l="1"/>
  <c r="U36" i="63" s="1"/>
  <c r="L36" i="63"/>
  <c r="Z36" i="63" s="1"/>
  <c r="W36" i="63" l="1"/>
  <c r="N37" i="63" s="1"/>
  <c r="S36" i="63"/>
  <c r="T36" i="63" s="1"/>
  <c r="AM36" i="63"/>
  <c r="AD36" i="63"/>
  <c r="O37" i="63"/>
  <c r="AU36" i="63" l="1"/>
  <c r="AV36" i="63" s="1"/>
  <c r="AI37" i="63"/>
  <c r="AP37" i="63"/>
  <c r="AO36" i="63"/>
  <c r="AT36" i="63"/>
  <c r="R37" i="63"/>
  <c r="AN37" i="63"/>
  <c r="AS37" i="63" s="1"/>
  <c r="AE36" i="63"/>
  <c r="AF36" i="63" s="1"/>
  <c r="AG36" i="63"/>
  <c r="Q37" i="63"/>
  <c r="V37" i="63" s="1"/>
  <c r="M37" i="63"/>
  <c r="L37" i="63" l="1"/>
  <c r="Z37" i="63" s="1"/>
  <c r="P37" i="63"/>
  <c r="W37" i="63" s="1"/>
  <c r="AM37" i="63" l="1"/>
  <c r="U37" i="63"/>
  <c r="AO37" i="63" s="1"/>
  <c r="S37" i="63"/>
  <c r="T37" i="63" s="1"/>
  <c r="AD37" i="63"/>
  <c r="O38" i="63"/>
  <c r="AU37" i="63"/>
  <c r="AV37" i="63" s="1"/>
  <c r="N38" i="63"/>
  <c r="AT37" i="63"/>
  <c r="AI38" i="63" l="1"/>
  <c r="AP38" i="63"/>
  <c r="R38" i="63"/>
  <c r="AN38" i="63"/>
  <c r="AS38" i="63" s="1"/>
  <c r="AE37" i="63"/>
  <c r="AF37" i="63" s="1"/>
  <c r="AG37" i="63"/>
  <c r="Q38" i="63"/>
  <c r="V38" i="63" s="1"/>
  <c r="M38" i="63"/>
  <c r="P38" i="63" l="1"/>
  <c r="S38" i="63" s="1"/>
  <c r="T38" i="63" s="1"/>
  <c r="L38" i="63"/>
  <c r="Z38" i="63" s="1"/>
  <c r="W38" i="63" l="1"/>
  <c r="AU38" i="63" s="1"/>
  <c r="AV38" i="63" s="1"/>
  <c r="U38" i="63"/>
  <c r="AM38" i="63"/>
  <c r="AD38" i="63"/>
  <c r="O39" i="63"/>
  <c r="AO38" i="63" l="1"/>
  <c r="AI39" i="63"/>
  <c r="AP39" i="63"/>
  <c r="N39" i="63"/>
  <c r="M39" i="63" s="1"/>
  <c r="AT38" i="63"/>
  <c r="R39" i="63"/>
  <c r="AN39" i="63"/>
  <c r="AS39" i="63" s="1"/>
  <c r="AE38" i="63"/>
  <c r="AF38" i="63" s="1"/>
  <c r="AG38" i="63"/>
  <c r="Q39" i="63"/>
  <c r="V39" i="63" s="1"/>
  <c r="P39" i="63" l="1"/>
  <c r="U39" i="63" s="1"/>
  <c r="L39" i="63"/>
  <c r="Z39" i="63" s="1"/>
  <c r="S39" i="63" l="1"/>
  <c r="T39" i="63" s="1"/>
  <c r="W39" i="63"/>
  <c r="AO39" i="63" s="1"/>
  <c r="AM39" i="63"/>
  <c r="AD39" i="63"/>
  <c r="O40" i="63"/>
  <c r="AU39" i="63" l="1"/>
  <c r="AV39" i="63" s="1"/>
  <c r="N40" i="63"/>
  <c r="M40" i="63" s="1"/>
  <c r="AT39" i="63"/>
  <c r="AI40" i="63"/>
  <c r="AP40" i="63"/>
  <c r="R40" i="63"/>
  <c r="AN40" i="63"/>
  <c r="AS40" i="63" s="1"/>
  <c r="AE39" i="63"/>
  <c r="AF39" i="63" s="1"/>
  <c r="AG39" i="63"/>
  <c r="Q40" i="63"/>
  <c r="V40" i="63" s="1"/>
  <c r="P40" i="63" l="1"/>
  <c r="U40" i="63" s="1"/>
  <c r="L40" i="63"/>
  <c r="Z40" i="63" s="1"/>
  <c r="S40" i="63" l="1"/>
  <c r="T40" i="63" s="1"/>
  <c r="W40" i="63"/>
  <c r="AO40" i="63" s="1"/>
  <c r="AM40" i="63"/>
  <c r="AD40" i="63"/>
  <c r="O41" i="63"/>
  <c r="N41" i="63" l="1"/>
  <c r="M41" i="63" s="1"/>
  <c r="AT40" i="63"/>
  <c r="AU40" i="63"/>
  <c r="AV40" i="63" s="1"/>
  <c r="AI41" i="63"/>
  <c r="AP41" i="63"/>
  <c r="R41" i="63"/>
  <c r="AN41" i="63"/>
  <c r="AS41" i="63" s="1"/>
  <c r="AE40" i="63"/>
  <c r="AF40" i="63" s="1"/>
  <c r="AG40" i="63"/>
  <c r="Q41" i="63"/>
  <c r="V41" i="63" s="1"/>
  <c r="L41" i="63" l="1"/>
  <c r="Z41" i="63" s="1"/>
  <c r="P41" i="63"/>
  <c r="W41" i="63" s="1"/>
  <c r="AM41" i="63" l="1"/>
  <c r="U41" i="63"/>
  <c r="AO41" i="63" s="1"/>
  <c r="S41" i="63"/>
  <c r="T41" i="63" s="1"/>
  <c r="AD41" i="63"/>
  <c r="O42" i="63"/>
  <c r="AU41" i="63"/>
  <c r="AV41" i="63" s="1"/>
  <c r="N42" i="63"/>
  <c r="AT41" i="63"/>
  <c r="AI42" i="63" l="1"/>
  <c r="AP42" i="63"/>
  <c r="R42" i="63"/>
  <c r="AN42" i="63"/>
  <c r="AS42" i="63" s="1"/>
  <c r="AE41" i="63"/>
  <c r="AF41" i="63" s="1"/>
  <c r="AG41" i="63"/>
  <c r="Q42" i="63"/>
  <c r="V42" i="63" s="1"/>
  <c r="M42" i="63"/>
  <c r="L42" i="63" l="1"/>
  <c r="Z42" i="63" s="1"/>
  <c r="P42" i="63"/>
  <c r="W42" i="63" s="1"/>
  <c r="AM42" i="63" l="1"/>
  <c r="AD42" i="63"/>
  <c r="U42" i="63"/>
  <c r="AO42" i="63" s="1"/>
  <c r="S42" i="63"/>
  <c r="T42" i="63" s="1"/>
  <c r="O43" i="63"/>
  <c r="AU42" i="63"/>
  <c r="AV42" i="63" s="1"/>
  <c r="AT42" i="63"/>
  <c r="N43" i="63"/>
  <c r="AI43" i="63" l="1"/>
  <c r="AP43" i="63"/>
  <c r="R43" i="63"/>
  <c r="AN43" i="63"/>
  <c r="AS43" i="63" s="1"/>
  <c r="AE42" i="63"/>
  <c r="AF42" i="63" s="1"/>
  <c r="AG42" i="63"/>
  <c r="Q43" i="63"/>
  <c r="V43" i="63" s="1"/>
  <c r="M43" i="63"/>
  <c r="P43" i="63" l="1"/>
  <c r="S43" i="63" s="1"/>
  <c r="T43" i="63" s="1"/>
  <c r="L43" i="63"/>
  <c r="Z43" i="63" s="1"/>
  <c r="U43" i="63" l="1"/>
  <c r="W43" i="63"/>
  <c r="AT43" i="63" s="1"/>
  <c r="AM43" i="63"/>
  <c r="AD43" i="63"/>
  <c r="O44" i="63"/>
  <c r="N44" i="63" l="1"/>
  <c r="M44" i="63" s="1"/>
  <c r="AI44" i="63"/>
  <c r="AP44" i="63"/>
  <c r="AO43" i="63"/>
  <c r="AU43" i="63"/>
  <c r="AV43" i="63" s="1"/>
  <c r="R44" i="63"/>
  <c r="AN44" i="63"/>
  <c r="AS44" i="63" s="1"/>
  <c r="AE43" i="63"/>
  <c r="AF43" i="63" s="1"/>
  <c r="AG43" i="63"/>
  <c r="Q44" i="63"/>
  <c r="V44" i="63" s="1"/>
  <c r="P44" i="63" l="1"/>
  <c r="S44" i="63" s="1"/>
  <c r="T44" i="63" s="1"/>
  <c r="L44" i="63"/>
  <c r="Z44" i="63" s="1"/>
  <c r="U44" i="63" l="1"/>
  <c r="W44" i="63"/>
  <c r="AU44" i="63" s="1"/>
  <c r="AV44" i="63" s="1"/>
  <c r="AM44" i="63"/>
  <c r="AD44" i="63"/>
  <c r="O45" i="63"/>
  <c r="N45" i="63"/>
  <c r="AO44" i="63" l="1"/>
  <c r="AT44" i="63"/>
  <c r="AI45" i="63"/>
  <c r="AP45" i="63"/>
  <c r="R45" i="63"/>
  <c r="AN45" i="63"/>
  <c r="AS45" i="63" s="1"/>
  <c r="AE44" i="63"/>
  <c r="AF44" i="63" s="1"/>
  <c r="AG44" i="63"/>
  <c r="Q45" i="63"/>
  <c r="V45" i="63" s="1"/>
  <c r="M45" i="63"/>
  <c r="L45" i="63" l="1"/>
  <c r="Z45" i="63" s="1"/>
  <c r="P45" i="63"/>
  <c r="W45" i="63" s="1"/>
  <c r="AM45" i="63" l="1"/>
  <c r="AD45" i="63"/>
  <c r="U45" i="63"/>
  <c r="S45" i="63"/>
  <c r="T45" i="63" s="1"/>
  <c r="O46" i="63"/>
  <c r="AU45" i="63"/>
  <c r="AV45" i="63" s="1"/>
  <c r="AT45" i="63"/>
  <c r="N46" i="63"/>
  <c r="AI46" i="63" l="1"/>
  <c r="AP46" i="63"/>
  <c r="R46" i="63"/>
  <c r="AN46" i="63"/>
  <c r="AS46" i="63" s="1"/>
  <c r="AE45" i="63"/>
  <c r="AF45" i="63" s="1"/>
  <c r="AG45" i="63"/>
  <c r="Q46" i="63"/>
  <c r="V46" i="63" s="1"/>
  <c r="M46" i="63"/>
  <c r="P46" i="63" l="1"/>
  <c r="S46" i="63" s="1"/>
  <c r="T46" i="63" s="1"/>
  <c r="L46" i="63"/>
  <c r="Z46" i="63" s="1"/>
  <c r="U46" i="63" l="1"/>
  <c r="W46" i="63"/>
  <c r="AU46" i="63" s="1"/>
  <c r="AV46" i="63" s="1"/>
  <c r="AM46" i="63"/>
  <c r="AD46" i="63"/>
  <c r="O47" i="63"/>
  <c r="AT46" i="63" l="1"/>
  <c r="N47" i="63"/>
  <c r="M47" i="63" s="1"/>
  <c r="AI47" i="63"/>
  <c r="AP47" i="63"/>
  <c r="R47" i="63"/>
  <c r="AN47" i="63"/>
  <c r="AS47" i="63" s="1"/>
  <c r="AE46" i="63"/>
  <c r="AF46" i="63" s="1"/>
  <c r="AG46" i="63"/>
  <c r="Q47" i="63"/>
  <c r="V47" i="63" s="1"/>
  <c r="P47" i="63" l="1"/>
  <c r="U47" i="63" s="1"/>
  <c r="L47" i="63"/>
  <c r="Z47" i="63" s="1"/>
  <c r="W47" i="63" l="1"/>
  <c r="AT47" i="63" s="1"/>
  <c r="S47" i="63"/>
  <c r="T47" i="63" s="1"/>
  <c r="AM47" i="63"/>
  <c r="AD47" i="63"/>
  <c r="O48" i="63"/>
  <c r="AU47" i="63" l="1"/>
  <c r="AV47" i="63" s="1"/>
  <c r="N48" i="63"/>
  <c r="M48" i="63" s="1"/>
  <c r="AI48" i="63"/>
  <c r="AP48" i="63"/>
  <c r="R48" i="63"/>
  <c r="AN48" i="63"/>
  <c r="AS48" i="63" s="1"/>
  <c r="AE47" i="63"/>
  <c r="AF47" i="63" s="1"/>
  <c r="AG47" i="63"/>
  <c r="Q48" i="63"/>
  <c r="V48" i="63" s="1"/>
  <c r="P48" i="63" l="1"/>
  <c r="U48" i="63" s="1"/>
  <c r="L48" i="63"/>
  <c r="Z48" i="63" s="1"/>
  <c r="W48" i="63" l="1"/>
  <c r="AT48" i="63" s="1"/>
  <c r="S48" i="63"/>
  <c r="T48" i="63" s="1"/>
  <c r="AM48" i="63"/>
  <c r="AD48" i="63"/>
  <c r="O49" i="63"/>
  <c r="AU48" i="63" l="1"/>
  <c r="AV48" i="63" s="1"/>
  <c r="N49" i="63"/>
  <c r="M49" i="63" s="1"/>
  <c r="AI49" i="63"/>
  <c r="AP49" i="63"/>
  <c r="R49" i="63"/>
  <c r="AN49" i="63"/>
  <c r="AS49" i="63" s="1"/>
  <c r="AE48" i="63"/>
  <c r="AF48" i="63" s="1"/>
  <c r="AG48" i="63"/>
  <c r="Q49" i="63"/>
  <c r="V49" i="63" s="1"/>
  <c r="L49" i="63" l="1"/>
  <c r="Z49" i="63" s="1"/>
  <c r="P49" i="63"/>
  <c r="W49" i="63" s="1"/>
  <c r="AM49" i="63" l="1"/>
  <c r="AD49" i="63"/>
  <c r="U49" i="63"/>
  <c r="S49" i="63"/>
  <c r="T49" i="63" s="1"/>
  <c r="O50" i="63"/>
  <c r="AT49" i="63"/>
  <c r="N50" i="63"/>
  <c r="AU49" i="63"/>
  <c r="AV49" i="63" s="1"/>
  <c r="Q58" i="63"/>
  <c r="AS58" i="63"/>
  <c r="AI50" i="63" l="1"/>
  <c r="AP50" i="63"/>
  <c r="R50" i="63"/>
  <c r="AN50" i="63"/>
  <c r="AS50" i="63" s="1"/>
  <c r="AE49" i="63"/>
  <c r="AF49" i="63" s="1"/>
  <c r="AG49" i="63"/>
  <c r="Q50" i="63"/>
  <c r="V50" i="63" s="1"/>
  <c r="M50" i="63"/>
  <c r="P58" i="63"/>
  <c r="S58" i="63" s="1"/>
  <c r="L50" i="63" l="1"/>
  <c r="Z50" i="63" s="1"/>
  <c r="P50" i="63"/>
  <c r="W50" i="63" s="1"/>
  <c r="T58" i="63"/>
  <c r="AM50" i="63" l="1"/>
  <c r="U50" i="63"/>
  <c r="S50" i="63"/>
  <c r="T50" i="63" s="1"/>
  <c r="AD50" i="63"/>
  <c r="O51" i="63"/>
  <c r="AT50" i="63"/>
  <c r="N51" i="63"/>
  <c r="AU50" i="63"/>
  <c r="AV50" i="63" s="1"/>
  <c r="AI51" i="63" l="1"/>
  <c r="AP51" i="63"/>
  <c r="R51" i="63"/>
  <c r="AN51" i="63"/>
  <c r="AS51" i="63" s="1"/>
  <c r="AE50" i="63"/>
  <c r="AF50" i="63" s="1"/>
  <c r="AG50" i="63"/>
  <c r="Q51" i="63"/>
  <c r="V51" i="63" s="1"/>
  <c r="M51" i="63"/>
  <c r="P51" i="63" l="1"/>
  <c r="U51" i="63" s="1"/>
  <c r="L51" i="63"/>
  <c r="Z51" i="63" s="1"/>
  <c r="W51" i="63" l="1"/>
  <c r="AU51" i="63" s="1"/>
  <c r="AV51" i="63" s="1"/>
  <c r="S51" i="63"/>
  <c r="T51" i="63" s="1"/>
  <c r="AM51" i="63"/>
  <c r="AD51" i="63"/>
  <c r="O52" i="63"/>
  <c r="N52" i="63" l="1"/>
  <c r="M52" i="63" s="1"/>
  <c r="AT51" i="63"/>
  <c r="AI52" i="63"/>
  <c r="AP52" i="63"/>
  <c r="R52" i="63"/>
  <c r="AN52" i="63"/>
  <c r="AS52" i="63" s="1"/>
  <c r="AE51" i="63"/>
  <c r="AF51" i="63" s="1"/>
  <c r="AG51" i="63"/>
  <c r="Q52" i="63"/>
  <c r="V52" i="63" s="1"/>
  <c r="L52" i="63" l="1"/>
  <c r="Z52" i="63" s="1"/>
  <c r="P52" i="63"/>
  <c r="W52" i="63" s="1"/>
  <c r="AM52" i="63" l="1"/>
  <c r="U52" i="63"/>
  <c r="S52" i="63"/>
  <c r="T52" i="63" s="1"/>
  <c r="AD52" i="63"/>
  <c r="O53" i="63"/>
  <c r="AT52" i="63"/>
  <c r="N53" i="63"/>
  <c r="AU52" i="63"/>
  <c r="AV52" i="63" s="1"/>
  <c r="AI53" i="63" l="1"/>
  <c r="AP53" i="63"/>
  <c r="R53" i="63"/>
  <c r="AN53" i="63"/>
  <c r="AS53" i="63" s="1"/>
  <c r="AE52" i="63"/>
  <c r="AF52" i="63" s="1"/>
  <c r="AG52" i="63"/>
  <c r="Q53" i="63"/>
  <c r="V53" i="63" s="1"/>
  <c r="M53" i="63"/>
  <c r="L53" i="63" l="1"/>
  <c r="Z53" i="63" s="1"/>
  <c r="P53" i="63"/>
  <c r="W53" i="63" s="1"/>
  <c r="AM53" i="63" l="1"/>
  <c r="U53" i="63"/>
  <c r="S53" i="63"/>
  <c r="T53" i="63" s="1"/>
  <c r="AD53" i="63"/>
  <c r="O54" i="63"/>
  <c r="AT53" i="63"/>
  <c r="N54" i="63"/>
  <c r="AU53" i="63"/>
  <c r="AV53" i="63" s="1"/>
  <c r="AI54" i="63" l="1"/>
  <c r="AP54" i="63"/>
  <c r="R54" i="63"/>
  <c r="AN54" i="63"/>
  <c r="AS54" i="63" s="1"/>
  <c r="AE53" i="63"/>
  <c r="AF53" i="63" s="1"/>
  <c r="AG53" i="63"/>
  <c r="Q54" i="63"/>
  <c r="V54" i="63" s="1"/>
  <c r="M54" i="63"/>
  <c r="P54" i="63" l="1"/>
  <c r="U54" i="63" s="1"/>
  <c r="L54" i="63"/>
  <c r="Z54" i="63" s="1"/>
  <c r="W54" i="63" l="1"/>
  <c r="AU54" i="63" s="1"/>
  <c r="AV54" i="63" s="1"/>
  <c r="S54" i="63"/>
  <c r="T54" i="63" s="1"/>
  <c r="AM54" i="63"/>
  <c r="AD54" i="63"/>
  <c r="O55" i="63"/>
  <c r="N55" i="63" l="1"/>
  <c r="M55" i="63" s="1"/>
  <c r="AT54" i="63"/>
  <c r="AI55" i="63"/>
  <c r="AP55" i="63"/>
  <c r="R55" i="63"/>
  <c r="AN55" i="63"/>
  <c r="AS55" i="63" s="1"/>
  <c r="AE54" i="63"/>
  <c r="AF54" i="63" s="1"/>
  <c r="AG54" i="63"/>
  <c r="Q55" i="63"/>
  <c r="V55" i="63" s="1"/>
  <c r="P55" i="63" l="1"/>
  <c r="U55" i="63" s="1"/>
  <c r="L55" i="63"/>
  <c r="Z55" i="63" s="1"/>
  <c r="W55" i="63" l="1"/>
  <c r="AU55" i="63" s="1"/>
  <c r="AV55" i="63" s="1"/>
  <c r="S55" i="63"/>
  <c r="T55" i="63" s="1"/>
  <c r="AM55" i="63"/>
  <c r="AD55" i="63"/>
  <c r="O56" i="63"/>
  <c r="N56" i="63" l="1"/>
  <c r="M56" i="63" s="1"/>
  <c r="AT55" i="63"/>
  <c r="AI56" i="63"/>
  <c r="AP56" i="63"/>
  <c r="R56" i="63"/>
  <c r="AN56" i="63"/>
  <c r="AS56" i="63" s="1"/>
  <c r="AE55" i="63"/>
  <c r="AF55" i="63" s="1"/>
  <c r="AG55" i="63"/>
  <c r="Q56" i="63"/>
  <c r="V56" i="63" s="1"/>
  <c r="L56" i="63" l="1"/>
  <c r="Z56" i="63" s="1"/>
  <c r="P56" i="63"/>
  <c r="W56" i="63" s="1"/>
  <c r="AM56" i="63" l="1"/>
  <c r="U56" i="63"/>
  <c r="S56" i="63"/>
  <c r="T56" i="63" s="1"/>
  <c r="AD56" i="63"/>
  <c r="O57" i="63"/>
  <c r="AT56" i="63"/>
  <c r="N57" i="63"/>
  <c r="AU56" i="63"/>
  <c r="AV56" i="63" s="1"/>
  <c r="AI57" i="63" l="1"/>
  <c r="AI58" i="63" s="1"/>
  <c r="AP57" i="63"/>
  <c r="R57" i="63"/>
  <c r="AN57" i="63"/>
  <c r="AS57" i="63" s="1"/>
  <c r="AE56" i="63"/>
  <c r="AF56" i="63" s="1"/>
  <c r="AG56" i="63"/>
  <c r="Q57" i="63"/>
  <c r="V57" i="63" s="1"/>
  <c r="V58" i="63" s="1"/>
  <c r="M57" i="63"/>
  <c r="L57" i="63" l="1"/>
  <c r="Z57" i="63" s="1"/>
  <c r="P57" i="63"/>
  <c r="W57" i="63" s="1"/>
  <c r="AM57" i="63" l="1"/>
  <c r="U57" i="63"/>
  <c r="U58" i="63" s="1"/>
  <c r="S57" i="63"/>
  <c r="T57" i="63" s="1"/>
  <c r="AD57" i="63"/>
  <c r="AU57" i="63"/>
  <c r="AV57" i="63" s="1"/>
  <c r="AT57" i="63"/>
  <c r="N58" i="63"/>
  <c r="AE57" i="63" l="1"/>
  <c r="AF57" i="63" s="1"/>
  <c r="AG57" i="63"/>
  <c r="M58" i="63"/>
  <c r="W58" i="63"/>
  <c r="L58" i="63" l="1"/>
  <c r="Z58" i="63" s="1"/>
  <c r="N59" i="63"/>
  <c r="AT58" i="63"/>
  <c r="O59" i="63"/>
  <c r="AU58" i="63"/>
  <c r="AV58" i="63" s="1"/>
  <c r="AN59" i="63" l="1"/>
  <c r="AS59" i="63" s="1"/>
  <c r="R59" i="63"/>
  <c r="AM58" i="63"/>
  <c r="AD58" i="63"/>
  <c r="Q59" i="63"/>
  <c r="V59" i="63" s="1"/>
  <c r="M59" i="63"/>
  <c r="L59" i="63" s="1"/>
  <c r="Z59" i="63" s="1"/>
  <c r="AM59" i="63" l="1"/>
  <c r="AE58" i="63"/>
  <c r="AF58" i="63" s="1"/>
  <c r="AG58" i="63"/>
  <c r="P59" i="63"/>
  <c r="S59" i="63" s="1"/>
  <c r="U59" i="63" l="1"/>
  <c r="W59" i="63"/>
  <c r="AT59" i="63" l="1"/>
  <c r="AU59" i="63"/>
  <c r="AV59" i="63" s="1"/>
  <c r="N60" i="63"/>
  <c r="O60" i="63"/>
  <c r="R60" i="63" l="1"/>
  <c r="AN60" i="63"/>
  <c r="AS60" i="63" s="1"/>
  <c r="M60" i="63"/>
  <c r="L60" i="63" s="1"/>
  <c r="Q60" i="63"/>
  <c r="V60" i="63" s="1"/>
  <c r="Z60" i="63" l="1"/>
  <c r="AM60" i="63"/>
  <c r="P60" i="63"/>
  <c r="S60" i="63" s="1"/>
  <c r="U60" i="63" l="1"/>
  <c r="W60" i="63"/>
  <c r="O61" i="63" l="1"/>
  <c r="AN61" i="63" s="1"/>
  <c r="AT60" i="63"/>
  <c r="AU60" i="63"/>
  <c r="AV60" i="63" s="1"/>
  <c r="N61" i="63"/>
  <c r="Q61" i="63" s="1"/>
  <c r="R61" i="63" l="1"/>
  <c r="AS61" i="63"/>
  <c r="M61" i="63"/>
  <c r="L61" i="63" s="1"/>
  <c r="V61" i="63"/>
  <c r="Z61" i="63" l="1"/>
  <c r="AM61" i="63"/>
  <c r="P61" i="63"/>
  <c r="S61" i="63" s="1"/>
  <c r="S62" i="63" s="1"/>
  <c r="S63" i="63" s="1"/>
  <c r="S64" i="63" s="1"/>
  <c r="S65" i="63" s="1"/>
  <c r="S66" i="63" s="1"/>
  <c r="S67" i="63" s="1"/>
  <c r="S68" i="63" s="1"/>
  <c r="S69" i="63" s="1"/>
  <c r="S70" i="63" s="1"/>
  <c r="S71" i="63" s="1"/>
  <c r="S72" i="63" s="1"/>
  <c r="S73" i="63" s="1"/>
  <c r="S74" i="63" s="1"/>
  <c r="S75" i="63" s="1"/>
  <c r="S76" i="63" s="1"/>
  <c r="S77" i="63" s="1"/>
  <c r="S78" i="63" s="1"/>
  <c r="S79" i="63" s="1"/>
  <c r="S80" i="63" s="1"/>
  <c r="S81" i="63" s="1"/>
  <c r="S82" i="63" s="1"/>
  <c r="S83" i="63" s="1"/>
  <c r="S84" i="63" s="1"/>
  <c r="S85" i="63" s="1"/>
  <c r="S86" i="63" s="1"/>
  <c r="S87" i="63" s="1"/>
  <c r="S88" i="63" s="1"/>
  <c r="S89" i="63" s="1"/>
  <c r="S90" i="63" s="1"/>
  <c r="S91" i="63" s="1"/>
  <c r="S92" i="63" s="1"/>
  <c r="S93" i="63" s="1"/>
  <c r="S94" i="63" s="1"/>
  <c r="S95" i="63" s="1"/>
  <c r="S96" i="63" s="1"/>
  <c r="S97" i="63" s="1"/>
  <c r="S98" i="63" s="1"/>
  <c r="S99" i="63" s="1"/>
  <c r="S100" i="63" s="1"/>
  <c r="S101" i="63" s="1"/>
  <c r="S102" i="63" s="1"/>
  <c r="S103" i="63" s="1"/>
  <c r="S104" i="63" s="1"/>
  <c r="S105" i="63" s="1"/>
  <c r="S106" i="63" s="1"/>
  <c r="S107" i="63" s="1"/>
  <c r="S108" i="63" s="1"/>
  <c r="S109" i="63" s="1"/>
  <c r="S110" i="63" s="1"/>
  <c r="S111" i="63" s="1"/>
  <c r="S112" i="63" s="1"/>
  <c r="S113" i="63" s="1"/>
  <c r="S114" i="63" s="1"/>
  <c r="S115" i="63" s="1"/>
  <c r="S116" i="63" s="1"/>
  <c r="S117" i="63" s="1"/>
  <c r="S118" i="63" s="1"/>
  <c r="S119" i="63" s="1"/>
  <c r="S120" i="63" s="1"/>
  <c r="S121" i="63" s="1"/>
  <c r="S122" i="63" s="1"/>
  <c r="S123" i="63" s="1"/>
  <c r="S124" i="63" s="1"/>
  <c r="S125" i="63" s="1"/>
  <c r="S126" i="63" s="1"/>
  <c r="S127" i="63" s="1"/>
  <c r="S128" i="63" s="1"/>
  <c r="S129" i="63" s="1"/>
  <c r="S130" i="63" s="1"/>
  <c r="S131" i="63" s="1"/>
  <c r="S132" i="63" s="1"/>
  <c r="S133" i="63" s="1"/>
  <c r="S134" i="63" s="1"/>
  <c r="S135" i="63" s="1"/>
  <c r="S136" i="63" s="1"/>
  <c r="S137" i="63" s="1"/>
  <c r="S138" i="63" s="1"/>
  <c r="S139" i="63" s="1"/>
  <c r="S140" i="63" s="1"/>
  <c r="S141" i="63" s="1"/>
  <c r="S142" i="63" s="1"/>
  <c r="S143" i="63" s="1"/>
  <c r="S144" i="63" s="1"/>
  <c r="S145" i="63" s="1"/>
  <c r="S146" i="63" s="1"/>
  <c r="S147" i="63" s="1"/>
  <c r="S148" i="63" s="1"/>
  <c r="S149" i="63" s="1"/>
  <c r="S150" i="63" s="1"/>
  <c r="S151" i="63" s="1"/>
  <c r="S152" i="63" s="1"/>
  <c r="S153" i="63" s="1"/>
  <c r="S154" i="63" s="1"/>
  <c r="S155" i="63" s="1"/>
  <c r="S156" i="63" s="1"/>
  <c r="S157" i="63" s="1"/>
  <c r="S158" i="63" s="1"/>
  <c r="S159" i="63" s="1"/>
  <c r="S160" i="63" s="1"/>
  <c r="S161" i="63" s="1"/>
  <c r="S162" i="63" s="1"/>
  <c r="S163" i="63" s="1"/>
  <c r="S164" i="63" s="1"/>
  <c r="S165" i="63" s="1"/>
  <c r="S166" i="63" s="1"/>
  <c r="S167" i="63" s="1"/>
  <c r="S168" i="63" s="1"/>
  <c r="S169" i="63" s="1"/>
  <c r="S170" i="63" s="1"/>
  <c r="S171" i="63" s="1"/>
  <c r="S172" i="63" s="1"/>
  <c r="S173" i="63" s="1"/>
  <c r="S174" i="63" s="1"/>
  <c r="S175" i="63" s="1"/>
  <c r="S176" i="63" s="1"/>
  <c r="S177" i="63" s="1"/>
  <c r="S178" i="63" s="1"/>
  <c r="S179" i="63" s="1"/>
  <c r="S180" i="63" s="1"/>
  <c r="S181" i="63" s="1"/>
  <c r="S182" i="63" s="1"/>
  <c r="S183" i="63" s="1"/>
  <c r="S184" i="63" s="1"/>
  <c r="S185" i="63" s="1"/>
  <c r="S186" i="63" s="1"/>
  <c r="S187" i="63" s="1"/>
  <c r="S188" i="63" s="1"/>
  <c r="S189" i="63" s="1"/>
  <c r="S190" i="63" s="1"/>
  <c r="S191" i="63" s="1"/>
  <c r="S192" i="63" s="1"/>
  <c r="S193" i="63" s="1"/>
  <c r="S194" i="63" s="1"/>
  <c r="S195" i="63" s="1"/>
  <c r="S196" i="63" s="1"/>
  <c r="S197" i="63" s="1"/>
  <c r="S198" i="63" s="1"/>
  <c r="S199" i="63" s="1"/>
  <c r="S200" i="63" s="1"/>
  <c r="S201" i="63" s="1"/>
  <c r="S202" i="63" s="1"/>
  <c r="S203" i="63" s="1"/>
  <c r="S204" i="63" s="1"/>
  <c r="S205" i="63" s="1"/>
  <c r="S206" i="63" s="1"/>
  <c r="S207" i="63" s="1"/>
  <c r="S208" i="63" s="1"/>
  <c r="S209" i="63" s="1"/>
  <c r="S210" i="63" s="1"/>
  <c r="S211" i="63" s="1"/>
  <c r="S212" i="63" s="1"/>
  <c r="S213" i="63" s="1"/>
  <c r="S214" i="63" s="1"/>
  <c r="S215" i="63" s="1"/>
  <c r="S216" i="63" s="1"/>
  <c r="S217" i="63" s="1"/>
  <c r="S218" i="63" s="1"/>
  <c r="S219" i="63" s="1"/>
  <c r="S220" i="63" s="1"/>
  <c r="S221" i="63" s="1"/>
  <c r="S222" i="63" s="1"/>
  <c r="S223" i="63" s="1"/>
  <c r="S224" i="63" s="1"/>
  <c r="S225" i="63" s="1"/>
  <c r="S226" i="63" s="1"/>
  <c r="S227" i="63" s="1"/>
  <c r="S228" i="63" s="1"/>
  <c r="S229" i="63" s="1"/>
  <c r="S230" i="63" s="1"/>
  <c r="S231" i="63" s="1"/>
  <c r="S232" i="63" s="1"/>
  <c r="S233" i="63" s="1"/>
  <c r="S234" i="63" s="1"/>
  <c r="S235" i="63" s="1"/>
  <c r="S236" i="63" s="1"/>
  <c r="S237" i="63" s="1"/>
  <c r="S238" i="63" s="1"/>
  <c r="S239" i="63" s="1"/>
  <c r="S240" i="63" s="1"/>
  <c r="S241" i="63" s="1"/>
  <c r="S242" i="63" s="1"/>
  <c r="S243" i="63" s="1"/>
  <c r="S244" i="63" s="1"/>
  <c r="S245" i="63" s="1"/>
  <c r="S246" i="63" s="1"/>
  <c r="S247" i="63" s="1"/>
  <c r="S248" i="63" s="1"/>
  <c r="S249" i="63" s="1"/>
  <c r="S250" i="63" s="1"/>
  <c r="S251" i="63" s="1"/>
  <c r="S252" i="63" s="1"/>
  <c r="S253" i="63" s="1"/>
  <c r="S254" i="63" s="1"/>
  <c r="S255" i="63" s="1"/>
  <c r="S256" i="63" s="1"/>
  <c r="S257" i="63" s="1"/>
  <c r="S258" i="63" s="1"/>
  <c r="S259" i="63" s="1"/>
  <c r="S260" i="63" s="1"/>
  <c r="S261" i="63" s="1"/>
  <c r="S262" i="63" s="1"/>
  <c r="S263" i="63" s="1"/>
  <c r="S264" i="63" s="1"/>
  <c r="S265" i="63" s="1"/>
  <c r="S266" i="63" s="1"/>
  <c r="S267" i="63" s="1"/>
  <c r="S268" i="63" s="1"/>
  <c r="S269" i="63" s="1"/>
  <c r="S270" i="63" s="1"/>
  <c r="S271" i="63" s="1"/>
  <c r="S272" i="63" s="1"/>
  <c r="S273" i="63" s="1"/>
  <c r="S274" i="63" s="1"/>
  <c r="S275" i="63" s="1"/>
  <c r="S276" i="63" s="1"/>
  <c r="S277" i="63" s="1"/>
  <c r="S278" i="63" s="1"/>
  <c r="S279" i="63" s="1"/>
  <c r="S280" i="63" s="1"/>
  <c r="S281" i="63" s="1"/>
  <c r="S282" i="63" s="1"/>
  <c r="S283" i="63" s="1"/>
  <c r="S284" i="63" s="1"/>
  <c r="S285" i="63" s="1"/>
  <c r="S286" i="63" s="1"/>
  <c r="S287" i="63" s="1"/>
  <c r="S288" i="63" s="1"/>
  <c r="S289" i="63" s="1"/>
  <c r="S290" i="63" s="1"/>
  <c r="S291" i="63" s="1"/>
  <c r="S292" i="63" s="1"/>
  <c r="S293" i="63" s="1"/>
  <c r="S294" i="63" s="1"/>
  <c r="S295" i="63" s="1"/>
  <c r="S296" i="63" s="1"/>
  <c r="S297" i="63" s="1"/>
  <c r="S298" i="63" s="1"/>
  <c r="S299" i="63" s="1"/>
  <c r="S300" i="63" s="1"/>
  <c r="S301" i="63" s="1"/>
  <c r="S302" i="63" s="1"/>
  <c r="S303" i="63" s="1"/>
  <c r="S304" i="63" s="1"/>
  <c r="S305" i="63" s="1"/>
  <c r="S306" i="63" s="1"/>
  <c r="S307" i="63" s="1"/>
  <c r="S308" i="63" s="1"/>
  <c r="S309" i="63" s="1"/>
  <c r="S310" i="63" s="1"/>
  <c r="S311" i="63" s="1"/>
  <c r="S312" i="63" s="1"/>
  <c r="S313" i="63" s="1"/>
  <c r="S314" i="63" s="1"/>
  <c r="S315" i="63" s="1"/>
  <c r="S316" i="63" s="1"/>
  <c r="S317" i="63" s="1"/>
  <c r="S318" i="63" s="1"/>
  <c r="S319" i="63" s="1"/>
  <c r="S320" i="63" s="1"/>
  <c r="S321" i="63" s="1"/>
  <c r="S322" i="63" s="1"/>
  <c r="S323" i="63" s="1"/>
  <c r="S324" i="63" s="1"/>
  <c r="S325" i="63" s="1"/>
  <c r="S326" i="63" s="1"/>
  <c r="S327" i="63" s="1"/>
  <c r="S328" i="63" s="1"/>
  <c r="S329" i="63" s="1"/>
  <c r="S330" i="63" s="1"/>
  <c r="S331" i="63" s="1"/>
  <c r="S332" i="63" s="1"/>
  <c r="S333" i="63" s="1"/>
  <c r="S334" i="63" s="1"/>
  <c r="S335" i="63" s="1"/>
  <c r="S336" i="63" s="1"/>
  <c r="S337" i="63" s="1"/>
  <c r="S338" i="63" s="1"/>
  <c r="S339" i="63" s="1"/>
  <c r="S340" i="63" s="1"/>
  <c r="S341" i="63" s="1"/>
  <c r="S342" i="63" s="1"/>
  <c r="S343" i="63" s="1"/>
  <c r="S344" i="63" s="1"/>
  <c r="S345" i="63" s="1"/>
  <c r="S346" i="63" s="1"/>
  <c r="S347" i="63" s="1"/>
  <c r="S348" i="63" s="1"/>
  <c r="S349" i="63" s="1"/>
  <c r="S350" i="63" s="1"/>
  <c r="S351" i="63" s="1"/>
  <c r="S352" i="63" s="1"/>
  <c r="S353" i="63" s="1"/>
  <c r="S354" i="63" s="1"/>
  <c r="S355" i="63" s="1"/>
  <c r="S356" i="63" s="1"/>
  <c r="S357" i="63" s="1"/>
  <c r="S358" i="63" s="1"/>
  <c r="S359" i="63" s="1"/>
  <c r="S360" i="63" s="1"/>
  <c r="S361" i="63" s="1"/>
  <c r="S362" i="63" s="1"/>
  <c r="S363" i="63" s="1"/>
  <c r="S364" i="63" s="1"/>
  <c r="S365" i="63" s="1"/>
  <c r="S366" i="63" s="1"/>
  <c r="S367" i="63" s="1"/>
  <c r="S368" i="63" s="1"/>
  <c r="S369" i="63" s="1"/>
  <c r="S370" i="63" s="1"/>
  <c r="S371" i="63" s="1"/>
  <c r="S372" i="63" s="1"/>
  <c r="S373" i="63" s="1"/>
  <c r="S374" i="63" s="1"/>
  <c r="S375" i="63" s="1"/>
  <c r="S376" i="63" s="1"/>
  <c r="S377" i="63" s="1"/>
  <c r="S378" i="63" s="1"/>
  <c r="S379" i="63" s="1"/>
  <c r="S380" i="63" s="1"/>
  <c r="S381" i="63" s="1"/>
  <c r="S382" i="63" s="1"/>
  <c r="S383" i="63" s="1"/>
  <c r="S384" i="63" s="1"/>
  <c r="S385" i="63" s="1"/>
  <c r="S386" i="63" s="1"/>
  <c r="S387" i="63" s="1"/>
  <c r="S388" i="63" s="1"/>
  <c r="S389" i="63" s="1"/>
  <c r="S390" i="63" s="1"/>
  <c r="S391" i="63" s="1"/>
  <c r="S392" i="63" s="1"/>
  <c r="S393" i="63" s="1"/>
  <c r="S394" i="63" s="1"/>
  <c r="S395" i="63" s="1"/>
  <c r="S396" i="63" s="1"/>
  <c r="S397" i="63" s="1"/>
  <c r="S398" i="63" s="1"/>
  <c r="S399" i="63" s="1"/>
  <c r="S400" i="63" s="1"/>
  <c r="S401" i="63" s="1"/>
  <c r="S402" i="63" s="1"/>
  <c r="S403" i="63" s="1"/>
  <c r="S404" i="63" s="1"/>
  <c r="S405" i="63" s="1"/>
  <c r="S406" i="63" s="1"/>
  <c r="S407" i="63" s="1"/>
  <c r="S408" i="63" s="1"/>
  <c r="S409" i="63" s="1"/>
  <c r="S410" i="63" s="1"/>
  <c r="S411" i="63" s="1"/>
  <c r="S412" i="63" s="1"/>
  <c r="S413" i="63" s="1"/>
  <c r="S414" i="63" s="1"/>
  <c r="S415" i="63" s="1"/>
  <c r="S416" i="63" s="1"/>
  <c r="S417" i="63" s="1"/>
  <c r="S418" i="63" s="1"/>
  <c r="S419" i="63" s="1"/>
  <c r="S420" i="63" s="1"/>
  <c r="S421" i="63" s="1"/>
  <c r="S422" i="63" s="1"/>
  <c r="S423" i="63" s="1"/>
  <c r="S424" i="63" s="1"/>
  <c r="S425" i="63" s="1"/>
  <c r="S426" i="63" s="1"/>
  <c r="S427" i="63" s="1"/>
  <c r="S428" i="63" s="1"/>
  <c r="S429" i="63" s="1"/>
  <c r="S430" i="63" s="1"/>
  <c r="S431" i="63" s="1"/>
  <c r="S432" i="63" s="1"/>
  <c r="S433" i="63" s="1"/>
  <c r="S434" i="63" s="1"/>
  <c r="S435" i="63" s="1"/>
  <c r="S436" i="63" s="1"/>
  <c r="S437" i="63" s="1"/>
  <c r="S438" i="63" s="1"/>
  <c r="S439" i="63" s="1"/>
  <c r="S440" i="63" s="1"/>
  <c r="S441" i="63" s="1"/>
  <c r="S442" i="63" s="1"/>
  <c r="S443" i="63" s="1"/>
  <c r="S444" i="63" s="1"/>
  <c r="S445" i="63" s="1"/>
  <c r="S446" i="63" s="1"/>
  <c r="S447" i="63" s="1"/>
  <c r="S448" i="63" s="1"/>
  <c r="S449" i="63" s="1"/>
  <c r="S450" i="63" s="1"/>
  <c r="S451" i="63" s="1"/>
  <c r="S452" i="63" s="1"/>
  <c r="S453" i="63" s="1"/>
  <c r="S454" i="63" s="1"/>
  <c r="S455" i="63" s="1"/>
  <c r="S456" i="63" s="1"/>
  <c r="S457" i="63" s="1"/>
  <c r="S458" i="63" s="1"/>
  <c r="S459" i="63" s="1"/>
  <c r="S460" i="63" s="1"/>
  <c r="S461" i="63" s="1"/>
  <c r="S462" i="63" s="1"/>
  <c r="S463" i="63" s="1"/>
  <c r="S464" i="63" s="1"/>
  <c r="S465" i="63" s="1"/>
  <c r="S466" i="63" s="1"/>
  <c r="S467" i="63" s="1"/>
  <c r="S468" i="63" s="1"/>
  <c r="S469" i="63" s="1"/>
  <c r="S470" i="63" s="1"/>
  <c r="S471" i="63" s="1"/>
  <c r="S472" i="63" s="1"/>
  <c r="S473" i="63" s="1"/>
  <c r="S474" i="63" s="1"/>
  <c r="S475" i="63" s="1"/>
  <c r="S476" i="63" s="1"/>
  <c r="S477" i="63" s="1"/>
  <c r="S478" i="63" s="1"/>
  <c r="S479" i="63" s="1"/>
  <c r="S480" i="63" s="1"/>
  <c r="S481" i="63" s="1"/>
  <c r="S482" i="63" s="1"/>
  <c r="S483" i="63" s="1"/>
  <c r="S484" i="63" s="1"/>
  <c r="S485" i="63" s="1"/>
  <c r="S486" i="63" s="1"/>
  <c r="S487" i="63" s="1"/>
  <c r="S488" i="63" s="1"/>
  <c r="S489" i="63" s="1"/>
  <c r="S490" i="63" s="1"/>
  <c r="U61" i="63" l="1"/>
  <c r="W61" i="63"/>
  <c r="AT61" i="63" l="1"/>
  <c r="O62" i="63"/>
  <c r="N62" i="63"/>
  <c r="AU61" i="63"/>
  <c r="AV61" i="63" s="1"/>
  <c r="AN62" i="63" l="1"/>
  <c r="AS62" i="63" s="1"/>
  <c r="Q62" i="63"/>
  <c r="V62" i="63" s="1"/>
  <c r="M62" i="63"/>
  <c r="L62" i="63" s="1"/>
  <c r="Z62" i="63" l="1"/>
  <c r="AM62" i="63"/>
  <c r="P62" i="63"/>
  <c r="W62" i="63" l="1"/>
  <c r="U62" i="63"/>
  <c r="AU62" i="63" l="1"/>
  <c r="AV62" i="63" s="1"/>
  <c r="O63" i="63"/>
  <c r="AT62" i="63"/>
  <c r="N63" i="63"/>
  <c r="M63" i="63" s="1"/>
  <c r="L63" i="63" s="1"/>
  <c r="AN63" i="63" l="1"/>
  <c r="AS63" i="63" s="1"/>
  <c r="Z63" i="63"/>
  <c r="AM63" i="63"/>
  <c r="Q63" i="63"/>
  <c r="V63" i="63" s="1"/>
  <c r="P63" i="63" l="1"/>
  <c r="W63" i="63" s="1"/>
  <c r="O64" i="63" s="1"/>
  <c r="AN64" i="63" l="1"/>
  <c r="AS64" i="63" s="1"/>
  <c r="N64" i="63"/>
  <c r="Q64" i="63" s="1"/>
  <c r="V64" i="63" s="1"/>
  <c r="AU63" i="63"/>
  <c r="AV63" i="63" s="1"/>
  <c r="AT63" i="63"/>
  <c r="U63" i="63"/>
  <c r="M64" i="63" l="1"/>
  <c r="L64" i="63" s="1"/>
  <c r="Z64" i="63" s="1"/>
  <c r="P64" i="63"/>
  <c r="AM64" i="63" l="1"/>
  <c r="U64" i="63"/>
  <c r="W64" i="63"/>
  <c r="N65" i="63" l="1"/>
  <c r="AU64" i="63"/>
  <c r="AV64" i="63" s="1"/>
  <c r="AT64" i="63"/>
  <c r="O65" i="63"/>
  <c r="AN65" i="63" l="1"/>
  <c r="AS65" i="63" s="1"/>
  <c r="M65" i="63"/>
  <c r="L65" i="63" s="1"/>
  <c r="Q65" i="63"/>
  <c r="V65" i="63" s="1"/>
  <c r="Z65" i="63" l="1"/>
  <c r="AM65" i="63"/>
  <c r="P65" i="63"/>
  <c r="W65" i="63" l="1"/>
  <c r="U65" i="63"/>
  <c r="O66" i="63" l="1"/>
  <c r="AU65" i="63"/>
  <c r="AV65" i="63" s="1"/>
  <c r="N66" i="63"/>
  <c r="AT65" i="63"/>
  <c r="AN66" i="63" l="1"/>
  <c r="AS66" i="63" s="1"/>
  <c r="M66" i="63"/>
  <c r="L66" i="63" s="1"/>
  <c r="Q66" i="63"/>
  <c r="V66" i="63" s="1"/>
  <c r="Z66" i="63" l="1"/>
  <c r="AM66" i="63"/>
  <c r="P66" i="63"/>
  <c r="W66" i="63" s="1"/>
  <c r="N67" i="63" l="1"/>
  <c r="M67" i="63" s="1"/>
  <c r="L67" i="63" s="1"/>
  <c r="O67" i="63"/>
  <c r="AU66" i="63"/>
  <c r="AV66" i="63" s="1"/>
  <c r="U66" i="63"/>
  <c r="AT66" i="63"/>
  <c r="Q67" i="63" l="1"/>
  <c r="V67" i="63" s="1"/>
  <c r="AN67" i="63"/>
  <c r="AS67" i="63" s="1"/>
  <c r="Z67" i="63"/>
  <c r="AM67" i="63"/>
  <c r="P67" i="63" l="1"/>
  <c r="U67" i="63" s="1"/>
  <c r="W67" i="63" l="1"/>
  <c r="O68" i="63" s="1"/>
  <c r="AN68" i="63" s="1"/>
  <c r="AS68" i="63" s="1"/>
  <c r="AT67" i="63" l="1"/>
  <c r="N68" i="63"/>
  <c r="M68" i="63" s="1"/>
  <c r="L68" i="63" s="1"/>
  <c r="Z68" i="63" s="1"/>
  <c r="AU67" i="63"/>
  <c r="AV67" i="63" s="1"/>
  <c r="Q68" i="63" l="1"/>
  <c r="V68" i="63" s="1"/>
  <c r="AM68" i="63"/>
  <c r="P68" i="63" l="1"/>
  <c r="W68" i="63" s="1"/>
  <c r="AU68" i="63" s="1"/>
  <c r="AV68" i="63" s="1"/>
  <c r="U68" i="63" l="1"/>
  <c r="AT68" i="63"/>
  <c r="N69" i="63"/>
  <c r="O69" i="63"/>
  <c r="AN69" i="63" s="1"/>
  <c r="AS69" i="63" s="1"/>
  <c r="M69" i="63" l="1"/>
  <c r="L69" i="63" s="1"/>
  <c r="Q69" i="63"/>
  <c r="V69" i="63" l="1"/>
  <c r="P69" i="63"/>
  <c r="AM69" i="63"/>
  <c r="Z69" i="63"/>
  <c r="W69" i="63" l="1"/>
  <c r="U69" i="63"/>
  <c r="AT69" i="63" l="1"/>
  <c r="O70" i="63"/>
  <c r="AN70" i="63" s="1"/>
  <c r="AS70" i="63" s="1"/>
  <c r="AU69" i="63"/>
  <c r="AV69" i="63" s="1"/>
  <c r="N70" i="63"/>
  <c r="Q70" i="63" l="1"/>
  <c r="M70" i="63"/>
  <c r="L70" i="63" s="1"/>
  <c r="Z70" i="63" l="1"/>
  <c r="AM70" i="63"/>
  <c r="V70" i="63"/>
  <c r="P70" i="63"/>
  <c r="U70" i="63" l="1"/>
  <c r="W70" i="63"/>
  <c r="N71" i="63" l="1"/>
  <c r="AT70" i="63"/>
  <c r="O71" i="63"/>
  <c r="AU70" i="63"/>
  <c r="AV70" i="63" s="1"/>
  <c r="AN71" i="63" l="1"/>
  <c r="AS71" i="63" s="1"/>
  <c r="Q71" i="63"/>
  <c r="V71" i="63" s="1"/>
  <c r="M71" i="63"/>
  <c r="L71" i="63" s="1"/>
  <c r="P71" i="63" l="1"/>
  <c r="Z71" i="63"/>
  <c r="AM71" i="63"/>
  <c r="U71" i="63" l="1"/>
  <c r="W71" i="63"/>
  <c r="N72" i="63" l="1"/>
  <c r="O72" i="63"/>
  <c r="AT71" i="63"/>
  <c r="AU71" i="63"/>
  <c r="AV71" i="63" s="1"/>
  <c r="M72" i="63" l="1"/>
  <c r="L72" i="63" s="1"/>
  <c r="Q72" i="63"/>
  <c r="V72" i="63" s="1"/>
  <c r="AN72" i="63"/>
  <c r="AS72" i="63" s="1"/>
  <c r="P72" i="63" l="1"/>
  <c r="W72" i="63" s="1"/>
  <c r="Z72" i="63"/>
  <c r="AM72" i="63"/>
  <c r="U72" i="63" l="1"/>
  <c r="AU72" i="63"/>
  <c r="AV72" i="63" s="1"/>
  <c r="AT72" i="63"/>
  <c r="O73" i="63"/>
  <c r="N73" i="63"/>
  <c r="M73" i="63" l="1"/>
  <c r="L73" i="63" s="1"/>
  <c r="Q73" i="63"/>
  <c r="V73" i="63" s="1"/>
  <c r="AN73" i="63"/>
  <c r="AS73" i="63" s="1"/>
  <c r="P73" i="63" l="1"/>
  <c r="AM73" i="63"/>
  <c r="Z73" i="63"/>
  <c r="U73" i="63" l="1"/>
  <c r="W73" i="63"/>
  <c r="AU73" i="63" l="1"/>
  <c r="AV73" i="63" s="1"/>
  <c r="N74" i="63"/>
  <c r="O74" i="63"/>
  <c r="AT73" i="63"/>
  <c r="AN74" i="63" l="1"/>
  <c r="AS74" i="63" s="1"/>
  <c r="M74" i="63"/>
  <c r="L74" i="63" s="1"/>
  <c r="Q74" i="63"/>
  <c r="V74" i="63" s="1"/>
  <c r="Z74" i="63" l="1"/>
  <c r="AM74" i="63"/>
  <c r="P74" i="63"/>
  <c r="W74" i="63" l="1"/>
  <c r="U74" i="63"/>
  <c r="AU74" i="63" l="1"/>
  <c r="AV74" i="63" s="1"/>
  <c r="N75" i="63"/>
  <c r="O75" i="63"/>
  <c r="AT74" i="63"/>
  <c r="Q75" i="63" l="1"/>
  <c r="V75" i="63" s="1"/>
  <c r="M75" i="63"/>
  <c r="L75" i="63" s="1"/>
  <c r="AN75" i="63"/>
  <c r="AS75" i="63" s="1"/>
  <c r="P75" i="63" l="1"/>
  <c r="U75" i="63" s="1"/>
  <c r="Z75" i="63"/>
  <c r="AM75" i="63"/>
  <c r="W75" i="63" l="1"/>
  <c r="AT75" i="63" s="1"/>
  <c r="N76" i="63" l="1"/>
  <c r="M76" i="63" s="1"/>
  <c r="L76" i="63" s="1"/>
  <c r="AU75" i="63"/>
  <c r="AV75" i="63" s="1"/>
  <c r="O76" i="63"/>
  <c r="AN76" i="63" s="1"/>
  <c r="AS76" i="63" s="1"/>
  <c r="Q76" i="63" l="1"/>
  <c r="V76" i="63" s="1"/>
  <c r="AM76" i="63"/>
  <c r="Z76" i="63"/>
  <c r="P76" i="63" l="1"/>
  <c r="W76" i="63" s="1"/>
  <c r="O77" i="63" s="1"/>
  <c r="AU76" i="63" l="1"/>
  <c r="AV76" i="63" s="1"/>
  <c r="AT76" i="63"/>
  <c r="N77" i="63"/>
  <c r="M77" i="63" s="1"/>
  <c r="L77" i="63" s="1"/>
  <c r="U76" i="63"/>
  <c r="AN77" i="63"/>
  <c r="AS77" i="63" s="1"/>
  <c r="Q77" i="63" l="1"/>
  <c r="V77" i="63" s="1"/>
  <c r="Z77" i="63"/>
  <c r="AM77" i="63"/>
  <c r="P77" i="63" l="1"/>
  <c r="U77" i="63" s="1"/>
  <c r="W77" i="63" l="1"/>
  <c r="AT77" i="63" s="1"/>
  <c r="N78" i="63" l="1"/>
  <c r="M78" i="63" s="1"/>
  <c r="L78" i="63" s="1"/>
  <c r="Z78" i="63" s="1"/>
  <c r="AU77" i="63"/>
  <c r="AV77" i="63" s="1"/>
  <c r="O78" i="63"/>
  <c r="AN78" i="63" s="1"/>
  <c r="AS78" i="63" s="1"/>
  <c r="Q78" i="63" l="1"/>
  <c r="V78" i="63" s="1"/>
  <c r="AM78" i="63"/>
  <c r="P78" i="63" l="1"/>
  <c r="U78" i="63" s="1"/>
  <c r="W78" i="63" l="1"/>
  <c r="N79" i="63" s="1"/>
  <c r="AT78" i="63"/>
  <c r="Q79" i="63"/>
  <c r="V79" i="63" s="1"/>
  <c r="M79" i="63"/>
  <c r="L79" i="63" s="1"/>
  <c r="O79" i="63" l="1"/>
  <c r="AN79" i="63" s="1"/>
  <c r="AS79" i="63" s="1"/>
  <c r="AU78" i="63"/>
  <c r="AV78" i="63" s="1"/>
  <c r="Z79" i="63"/>
  <c r="AM79" i="63"/>
  <c r="P79" i="63"/>
  <c r="U79" i="63" l="1"/>
  <c r="W79" i="63"/>
  <c r="O80" i="63" l="1"/>
  <c r="AU79" i="63"/>
  <c r="AV79" i="63" s="1"/>
  <c r="AT79" i="63"/>
  <c r="N80" i="63"/>
  <c r="Q80" i="63" l="1"/>
  <c r="V80" i="63" s="1"/>
  <c r="M80" i="63"/>
  <c r="L80" i="63" s="1"/>
  <c r="AN80" i="63"/>
  <c r="AS80" i="63" s="1"/>
  <c r="P80" i="63" l="1"/>
  <c r="U80" i="63" s="1"/>
  <c r="Z80" i="63"/>
  <c r="AM80" i="63"/>
  <c r="W80" i="63" l="1"/>
  <c r="AT80" i="63" s="1"/>
  <c r="O81" i="63" l="1"/>
  <c r="AN81" i="63" s="1"/>
  <c r="AS81" i="63" s="1"/>
  <c r="AU80" i="63"/>
  <c r="AV80" i="63" s="1"/>
  <c r="N81" i="63"/>
  <c r="M81" i="63" s="1"/>
  <c r="L81" i="63" s="1"/>
  <c r="Q81" i="63" l="1"/>
  <c r="V81" i="63" s="1"/>
  <c r="Z81" i="63"/>
  <c r="AM81" i="63"/>
  <c r="P81" i="63" l="1"/>
  <c r="U81" i="63" s="1"/>
  <c r="W81" i="63" l="1"/>
  <c r="AT81" i="63" s="1"/>
  <c r="O82" i="63"/>
  <c r="AU81" i="63"/>
  <c r="AV81" i="63" s="1"/>
  <c r="N82" i="63" l="1"/>
  <c r="M82" i="63" s="1"/>
  <c r="L82" i="63" s="1"/>
  <c r="AN82" i="63"/>
  <c r="AS82" i="63" s="1"/>
  <c r="Q82" i="63" l="1"/>
  <c r="V82" i="63" s="1"/>
  <c r="Z82" i="63"/>
  <c r="AM82" i="63"/>
  <c r="P82" i="63" l="1"/>
  <c r="U82" i="63" s="1"/>
  <c r="W82" i="63" l="1"/>
  <c r="AT82" i="63"/>
  <c r="N83" i="63"/>
  <c r="AU82" i="63"/>
  <c r="AV82" i="63" s="1"/>
  <c r="O83" i="63"/>
  <c r="AN83" i="63" l="1"/>
  <c r="AS83" i="63" s="1"/>
  <c r="M83" i="63"/>
  <c r="L83" i="63" s="1"/>
  <c r="Q83" i="63"/>
  <c r="V83" i="63" s="1"/>
  <c r="P83" i="63" l="1"/>
  <c r="Z83" i="63"/>
  <c r="AM83" i="63"/>
  <c r="W83" i="63" l="1"/>
  <c r="U83" i="63"/>
  <c r="AT83" i="63" l="1"/>
  <c r="AU83" i="63"/>
  <c r="AV83" i="63" s="1"/>
  <c r="O84" i="63"/>
  <c r="N84" i="63"/>
  <c r="M84" i="63" l="1"/>
  <c r="L84" i="63" s="1"/>
  <c r="Q84" i="63"/>
  <c r="V84" i="63" s="1"/>
  <c r="AN84" i="63"/>
  <c r="AS84" i="63" s="1"/>
  <c r="P84" i="63" l="1"/>
  <c r="Z84" i="63"/>
  <c r="AM84" i="63"/>
  <c r="U84" i="63" l="1"/>
  <c r="W84" i="63"/>
  <c r="AU84" i="63" l="1"/>
  <c r="AV84" i="63" s="1"/>
  <c r="AT84" i="63"/>
  <c r="N85" i="63"/>
  <c r="O85" i="63"/>
  <c r="AN85" i="63" l="1"/>
  <c r="AS85" i="63" s="1"/>
  <c r="M85" i="63"/>
  <c r="L85" i="63" s="1"/>
  <c r="Q85" i="63"/>
  <c r="V85" i="63" s="1"/>
  <c r="P85" i="63" l="1"/>
  <c r="Z85" i="63"/>
  <c r="AM85" i="63"/>
  <c r="W85" i="63" l="1"/>
  <c r="U85" i="63"/>
  <c r="AU85" i="63" l="1"/>
  <c r="AV85" i="63" s="1"/>
  <c r="N86" i="63"/>
  <c r="O86" i="63"/>
  <c r="AT85" i="63"/>
  <c r="AN86" i="63" l="1"/>
  <c r="AS86" i="63" s="1"/>
  <c r="M86" i="63"/>
  <c r="L86" i="63" s="1"/>
  <c r="Q86" i="63"/>
  <c r="V86" i="63" s="1"/>
  <c r="P86" i="63" l="1"/>
  <c r="Z86" i="63"/>
  <c r="AM86" i="63"/>
  <c r="U86" i="63" l="1"/>
  <c r="W86" i="63"/>
  <c r="O87" i="63" l="1"/>
  <c r="AT86" i="63"/>
  <c r="AU86" i="63"/>
  <c r="AV86" i="63" s="1"/>
  <c r="N87" i="63"/>
  <c r="M87" i="63" l="1"/>
  <c r="L87" i="63" s="1"/>
  <c r="Q87" i="63"/>
  <c r="V87" i="63" s="1"/>
  <c r="AN87" i="63"/>
  <c r="AS87" i="63" s="1"/>
  <c r="P87" i="63" l="1"/>
  <c r="AM87" i="63"/>
  <c r="Z87" i="63"/>
  <c r="U87" i="63" l="1"/>
  <c r="W87" i="63"/>
  <c r="AT87" i="63" l="1"/>
  <c r="N88" i="63"/>
  <c r="O88" i="63"/>
  <c r="AU87" i="63"/>
  <c r="AV87" i="63" s="1"/>
  <c r="M88" i="63" l="1"/>
  <c r="L88" i="63" s="1"/>
  <c r="Q88" i="63"/>
  <c r="V88" i="63" s="1"/>
  <c r="AN88" i="63"/>
  <c r="AS88" i="63" s="1"/>
  <c r="P88" i="63" l="1"/>
  <c r="U88" i="63" s="1"/>
  <c r="AM88" i="63"/>
  <c r="Z88" i="63"/>
  <c r="W88" i="63" l="1"/>
  <c r="AT88" i="63" s="1"/>
  <c r="N89" i="63" l="1"/>
  <c r="Q89" i="63" s="1"/>
  <c r="V89" i="63" s="1"/>
  <c r="O89" i="63"/>
  <c r="AN89" i="63" s="1"/>
  <c r="AS89" i="63" s="1"/>
  <c r="AU88" i="63"/>
  <c r="AV88" i="63" s="1"/>
  <c r="M89" i="63" l="1"/>
  <c r="L89" i="63" s="1"/>
  <c r="Z89" i="63" s="1"/>
  <c r="P89" i="63"/>
  <c r="U89" i="63" s="1"/>
  <c r="AM89" i="63" l="1"/>
  <c r="W89" i="63"/>
  <c r="O90" i="63" s="1"/>
  <c r="AU89" i="63" l="1"/>
  <c r="AV89" i="63" s="1"/>
  <c r="N90" i="63"/>
  <c r="M90" i="63" s="1"/>
  <c r="L90" i="63" s="1"/>
  <c r="AT89" i="63"/>
  <c r="AN90" i="63"/>
  <c r="AS90" i="63" s="1"/>
  <c r="Q90" i="63" l="1"/>
  <c r="V90" i="63" s="1"/>
  <c r="Z90" i="63"/>
  <c r="AM90" i="63"/>
  <c r="P90" i="63" l="1"/>
  <c r="U90" i="63" s="1"/>
  <c r="W90" i="63" l="1"/>
  <c r="AT90" i="63" s="1"/>
  <c r="N91" i="63" l="1"/>
  <c r="AU90" i="63"/>
  <c r="AV90" i="63" s="1"/>
  <c r="O91" i="63"/>
  <c r="AN91" i="63" s="1"/>
  <c r="AS91" i="63" s="1"/>
  <c r="Q91" i="63" l="1"/>
  <c r="M91" i="63"/>
  <c r="L91" i="63" s="1"/>
  <c r="AM91" i="63" l="1"/>
  <c r="Z91" i="63"/>
  <c r="V91" i="63"/>
  <c r="P91" i="63"/>
  <c r="U91" i="63" l="1"/>
  <c r="W91" i="63"/>
  <c r="AU91" i="63" l="1"/>
  <c r="AV91" i="63" s="1"/>
  <c r="N92" i="63"/>
  <c r="AT91" i="63"/>
  <c r="O92" i="63"/>
  <c r="AN92" i="63" s="1"/>
  <c r="AS92" i="63" s="1"/>
  <c r="Q92" i="63" l="1"/>
  <c r="M92" i="63"/>
  <c r="L92" i="63" s="1"/>
  <c r="Z92" i="63" l="1"/>
  <c r="AM92" i="63"/>
  <c r="V92" i="63"/>
  <c r="P92" i="63"/>
  <c r="U92" i="63" l="1"/>
  <c r="W92" i="63"/>
  <c r="AT92" i="63" l="1"/>
  <c r="O93" i="63"/>
  <c r="AN93" i="63" s="1"/>
  <c r="AS93" i="63" s="1"/>
  <c r="N93" i="63"/>
  <c r="AU92" i="63"/>
  <c r="AV92" i="63" s="1"/>
  <c r="Q93" i="63" l="1"/>
  <c r="V93" i="63" s="1"/>
  <c r="M93" i="63"/>
  <c r="L93" i="63" s="1"/>
  <c r="Z93" i="63" l="1"/>
  <c r="AM93" i="63"/>
  <c r="P93" i="63"/>
  <c r="U93" i="63" l="1"/>
  <c r="W93" i="63"/>
  <c r="AU93" i="63" l="1"/>
  <c r="AV93" i="63" s="1"/>
  <c r="AT93" i="63"/>
  <c r="O94" i="63"/>
  <c r="AN94" i="63" s="1"/>
  <c r="AS94" i="63" s="1"/>
  <c r="N94" i="63"/>
  <c r="M94" i="63" l="1"/>
  <c r="L94" i="63" s="1"/>
  <c r="Q94" i="63"/>
  <c r="V94" i="63" l="1"/>
  <c r="P94" i="63"/>
  <c r="Z94" i="63"/>
  <c r="AM94" i="63"/>
  <c r="U94" i="63" l="1"/>
  <c r="W94" i="63"/>
  <c r="N95" i="63" l="1"/>
  <c r="O95" i="63"/>
  <c r="AT94" i="63"/>
  <c r="AU94" i="63"/>
  <c r="AV94" i="63" s="1"/>
  <c r="AN95" i="63" l="1"/>
  <c r="AS95" i="63" s="1"/>
  <c r="Q95" i="63"/>
  <c r="V95" i="63" s="1"/>
  <c r="M95" i="63"/>
  <c r="L95" i="63" s="1"/>
  <c r="AM95" i="63" l="1"/>
  <c r="Z95" i="63"/>
  <c r="P95" i="63"/>
  <c r="W95" i="63" l="1"/>
  <c r="U95" i="63"/>
  <c r="O96" i="63" l="1"/>
  <c r="AT95" i="63"/>
  <c r="AU95" i="63"/>
  <c r="AV95" i="63" s="1"/>
  <c r="N96" i="63"/>
  <c r="Q96" i="63" l="1"/>
  <c r="V96" i="63" s="1"/>
  <c r="M96" i="63"/>
  <c r="L96" i="63" s="1"/>
  <c r="AN96" i="63"/>
  <c r="AS96" i="63" s="1"/>
  <c r="P96" i="63" l="1"/>
  <c r="Z96" i="63"/>
  <c r="AM96" i="63"/>
  <c r="U96" i="63" l="1"/>
  <c r="W96" i="63"/>
  <c r="O97" i="63" l="1"/>
  <c r="AT96" i="63"/>
  <c r="N97" i="63"/>
  <c r="AU96" i="63"/>
  <c r="AV96" i="63" s="1"/>
  <c r="M97" i="63" l="1"/>
  <c r="L97" i="63" s="1"/>
  <c r="Q97" i="63"/>
  <c r="V97" i="63" s="1"/>
  <c r="AN97" i="63"/>
  <c r="AS97" i="63" s="1"/>
  <c r="P97" i="63" l="1"/>
  <c r="AM97" i="63"/>
  <c r="Z97" i="63"/>
  <c r="U97" i="63" l="1"/>
  <c r="W97" i="63"/>
  <c r="O98" i="63" l="1"/>
  <c r="N98" i="63"/>
  <c r="AU97" i="63"/>
  <c r="AV97" i="63" s="1"/>
  <c r="AT97" i="63"/>
  <c r="M98" i="63" l="1"/>
  <c r="L98" i="63" s="1"/>
  <c r="Q98" i="63"/>
  <c r="V98" i="63" s="1"/>
  <c r="AN98" i="63"/>
  <c r="AS98" i="63" s="1"/>
  <c r="P98" i="63" l="1"/>
  <c r="U98" i="63" s="1"/>
  <c r="Z98" i="63"/>
  <c r="AM98" i="63"/>
  <c r="W98" i="63" l="1"/>
  <c r="AU98" i="63" s="1"/>
  <c r="AV98" i="63" s="1"/>
  <c r="O99" i="63" l="1"/>
  <c r="AT98" i="63"/>
  <c r="N99" i="63"/>
  <c r="M99" i="63" s="1"/>
  <c r="L99" i="63" s="1"/>
  <c r="AN99" i="63"/>
  <c r="AS99" i="63" s="1"/>
  <c r="Q99" i="63"/>
  <c r="V99" i="63" s="1"/>
  <c r="AM99" i="63" l="1"/>
  <c r="Z99" i="63"/>
  <c r="P99" i="63"/>
  <c r="U99" i="63" l="1"/>
  <c r="W99" i="63"/>
  <c r="N100" i="63" l="1"/>
  <c r="AT99" i="63"/>
  <c r="O100" i="63"/>
  <c r="AU99" i="63"/>
  <c r="AV99" i="63" s="1"/>
  <c r="AN100" i="63" l="1"/>
  <c r="AS100" i="63" s="1"/>
  <c r="M100" i="63"/>
  <c r="L100" i="63" s="1"/>
  <c r="Q100" i="63"/>
  <c r="V100" i="63" s="1"/>
  <c r="AM100" i="63" l="1"/>
  <c r="Z100" i="63"/>
  <c r="P100" i="63"/>
  <c r="U100" i="63" l="1"/>
  <c r="W100" i="63"/>
  <c r="AT100" i="63" l="1"/>
  <c r="AU100" i="63"/>
  <c r="AV100" i="63" s="1"/>
  <c r="N101" i="63"/>
  <c r="O101" i="63"/>
  <c r="AN101" i="63" l="1"/>
  <c r="AS101" i="63" s="1"/>
  <c r="Q101" i="63"/>
  <c r="V101" i="63" s="1"/>
  <c r="M101" i="63"/>
  <c r="L101" i="63" s="1"/>
  <c r="Z101" i="63" l="1"/>
  <c r="AM101" i="63"/>
  <c r="P101" i="63"/>
  <c r="U101" i="63" l="1"/>
  <c r="W101" i="63"/>
  <c r="O102" i="63" l="1"/>
  <c r="N102" i="63"/>
  <c r="AU101" i="63"/>
  <c r="AV101" i="63" s="1"/>
  <c r="AT101" i="63"/>
  <c r="AN102" i="63" l="1"/>
  <c r="AS102" i="63" s="1"/>
  <c r="Q102" i="63"/>
  <c r="V102" i="63" s="1"/>
  <c r="M102" i="63"/>
  <c r="L102" i="63" s="1"/>
  <c r="Z102" i="63" l="1"/>
  <c r="AM102" i="63"/>
  <c r="P102" i="63"/>
  <c r="U102" i="63" l="1"/>
  <c r="W102" i="63"/>
  <c r="N103" i="63" l="1"/>
  <c r="AU102" i="63"/>
  <c r="AV102" i="63" s="1"/>
  <c r="O103" i="63"/>
  <c r="AT102" i="63"/>
  <c r="AN103" i="63" l="1"/>
  <c r="AS103" i="63" s="1"/>
  <c r="M103" i="63"/>
  <c r="L103" i="63" s="1"/>
  <c r="Q103" i="63"/>
  <c r="V103" i="63" s="1"/>
  <c r="Z103" i="63" l="1"/>
  <c r="AM103" i="63"/>
  <c r="P103" i="63"/>
  <c r="U103" i="63" l="1"/>
  <c r="W103" i="63"/>
  <c r="AT103" i="63" l="1"/>
  <c r="O104" i="63"/>
  <c r="N104" i="63"/>
  <c r="AU103" i="63"/>
  <c r="AV103" i="63" s="1"/>
  <c r="AN104" i="63" l="1"/>
  <c r="AS104" i="63" s="1"/>
  <c r="Q104" i="63"/>
  <c r="V104" i="63" s="1"/>
  <c r="M104" i="63"/>
  <c r="L104" i="63" s="1"/>
  <c r="Z104" i="63" l="1"/>
  <c r="AM104" i="63"/>
  <c r="P104" i="63"/>
  <c r="U104" i="63" l="1"/>
  <c r="W104" i="63"/>
  <c r="O105" i="63" l="1"/>
  <c r="AT104" i="63"/>
  <c r="N105" i="63"/>
  <c r="AU104" i="63"/>
  <c r="AV104" i="63" s="1"/>
  <c r="Q105" i="63" l="1"/>
  <c r="V105" i="63" s="1"/>
  <c r="M105" i="63"/>
  <c r="L105" i="63" s="1"/>
  <c r="AN105" i="63"/>
  <c r="AS105" i="63" s="1"/>
  <c r="P105" i="63" l="1"/>
  <c r="U105" i="63" s="1"/>
  <c r="Z105" i="63"/>
  <c r="AM105" i="63"/>
  <c r="W105" i="63" l="1"/>
  <c r="AT105" i="63" s="1"/>
  <c r="N106" i="63" l="1"/>
  <c r="AU105" i="63"/>
  <c r="AV105" i="63" s="1"/>
  <c r="O106" i="63"/>
  <c r="AN106" i="63" s="1"/>
  <c r="AS106" i="63" s="1"/>
  <c r="M106" i="63"/>
  <c r="L106" i="63" s="1"/>
  <c r="Q106" i="63"/>
  <c r="V106" i="63" s="1"/>
  <c r="P106" i="63" l="1"/>
  <c r="U106" i="63" s="1"/>
  <c r="Z106" i="63"/>
  <c r="AM106" i="63"/>
  <c r="W106" i="63" l="1"/>
  <c r="AT106" i="63" l="1"/>
  <c r="N107" i="63"/>
  <c r="AU106" i="63"/>
  <c r="AV106" i="63" s="1"/>
  <c r="O107" i="63"/>
  <c r="AN107" i="63" s="1"/>
  <c r="AS107" i="63" s="1"/>
  <c r="Q107" i="63" l="1"/>
  <c r="M107" i="63"/>
  <c r="L107" i="63" s="1"/>
  <c r="AM107" i="63" l="1"/>
  <c r="Z107" i="63"/>
  <c r="V107" i="63"/>
  <c r="P107" i="63"/>
  <c r="U107" i="63" l="1"/>
  <c r="W107" i="63"/>
  <c r="AU107" i="63" l="1"/>
  <c r="AV107" i="63" s="1"/>
  <c r="AT107" i="63"/>
  <c r="O108" i="63"/>
  <c r="AN108" i="63" s="1"/>
  <c r="AS108" i="63" s="1"/>
  <c r="N108" i="63"/>
  <c r="M108" i="63" l="1"/>
  <c r="L108" i="63" s="1"/>
  <c r="Q108" i="63"/>
  <c r="V108" i="63" l="1"/>
  <c r="P108" i="63"/>
  <c r="AM108" i="63"/>
  <c r="Z108" i="63"/>
  <c r="U108" i="63" l="1"/>
  <c r="W108" i="63"/>
  <c r="N109" i="63" l="1"/>
  <c r="AT108" i="63"/>
  <c r="AU108" i="63"/>
  <c r="AV108" i="63" s="1"/>
  <c r="O109" i="63"/>
  <c r="AN109" i="63" s="1"/>
  <c r="AS109" i="63" s="1"/>
  <c r="M109" i="63" l="1"/>
  <c r="L109" i="63" s="1"/>
  <c r="Q109" i="63"/>
  <c r="P109" i="63" l="1"/>
  <c r="V109" i="63"/>
  <c r="AM109" i="63"/>
  <c r="Z109" i="63"/>
  <c r="W109" i="63" l="1"/>
  <c r="U109" i="63"/>
  <c r="N110" i="63" l="1"/>
  <c r="AU109" i="63"/>
  <c r="AV109" i="63" s="1"/>
  <c r="O110" i="63"/>
  <c r="AN110" i="63" s="1"/>
  <c r="AS110" i="63" s="1"/>
  <c r="AT109" i="63"/>
  <c r="Q110" i="63" l="1"/>
  <c r="M110" i="63"/>
  <c r="L110" i="63" s="1"/>
  <c r="Z110" i="63" l="1"/>
  <c r="AM110" i="63"/>
  <c r="V110" i="63"/>
  <c r="P110" i="63"/>
  <c r="U110" i="63" l="1"/>
  <c r="W110" i="63"/>
  <c r="O111" i="63" l="1"/>
  <c r="AN111" i="63" s="1"/>
  <c r="AS111" i="63" s="1"/>
  <c r="AT110" i="63"/>
  <c r="AU110" i="63"/>
  <c r="AV110" i="63" s="1"/>
  <c r="N111" i="63"/>
  <c r="Q111" i="63" l="1"/>
  <c r="M111" i="63"/>
  <c r="L111" i="63" s="1"/>
  <c r="Z111" i="63" l="1"/>
  <c r="AM111" i="63"/>
  <c r="V111" i="63"/>
  <c r="P111" i="63"/>
  <c r="W111" i="63" l="1"/>
  <c r="U111" i="63"/>
  <c r="N112" i="63" l="1"/>
  <c r="O112" i="63"/>
  <c r="AN112" i="63" s="1"/>
  <c r="AS112" i="63" s="1"/>
  <c r="AU111" i="63"/>
  <c r="AV111" i="63" s="1"/>
  <c r="AT111" i="63"/>
  <c r="Q112" i="63" l="1"/>
  <c r="M112" i="63"/>
  <c r="L112" i="63" s="1"/>
  <c r="Z112" i="63" l="1"/>
  <c r="AM112" i="63"/>
  <c r="P112" i="63"/>
  <c r="V112" i="63"/>
  <c r="W112" i="63" l="1"/>
  <c r="U112" i="63"/>
  <c r="O113" i="63" l="1"/>
  <c r="AN113" i="63" s="1"/>
  <c r="AS113" i="63" s="1"/>
  <c r="AT112" i="63"/>
  <c r="AU112" i="63"/>
  <c r="AV112" i="63" s="1"/>
  <c r="N113" i="63"/>
  <c r="M113" i="63" l="1"/>
  <c r="L113" i="63" s="1"/>
  <c r="Q113" i="63"/>
  <c r="V113" i="63" l="1"/>
  <c r="P113" i="63"/>
  <c r="AM113" i="63"/>
  <c r="Z113" i="63"/>
  <c r="U113" i="63" l="1"/>
  <c r="W113" i="63"/>
  <c r="AT113" i="63" l="1"/>
  <c r="O114" i="63"/>
  <c r="N114" i="63"/>
  <c r="AU113" i="63"/>
  <c r="AV113" i="63" s="1"/>
  <c r="Q114" i="63" l="1"/>
  <c r="V114" i="63" s="1"/>
  <c r="M114" i="63"/>
  <c r="L114" i="63" s="1"/>
  <c r="AN114" i="63"/>
  <c r="AS114" i="63" s="1"/>
  <c r="P114" i="63" l="1"/>
  <c r="U114" i="63" s="1"/>
  <c r="AM114" i="63"/>
  <c r="Z114" i="63"/>
  <c r="W114" i="63" l="1"/>
  <c r="AU114" i="63" s="1"/>
  <c r="AV114" i="63" s="1"/>
  <c r="O115" i="63" l="1"/>
  <c r="AN115" i="63" s="1"/>
  <c r="AS115" i="63" s="1"/>
  <c r="N115" i="63"/>
  <c r="M115" i="63" s="1"/>
  <c r="L115" i="63" s="1"/>
  <c r="AT114" i="63"/>
  <c r="Q115" i="63" l="1"/>
  <c r="V115" i="63" s="1"/>
  <c r="AM115" i="63"/>
  <c r="Z115" i="63"/>
  <c r="P115" i="63" l="1"/>
  <c r="W115" i="63" s="1"/>
  <c r="U115" i="63" l="1"/>
  <c r="N116" i="63"/>
  <c r="O116" i="63"/>
  <c r="AN116" i="63" s="1"/>
  <c r="AS116" i="63" s="1"/>
  <c r="AT115" i="63"/>
  <c r="AU115" i="63"/>
  <c r="AV115" i="63" s="1"/>
  <c r="M116" i="63" l="1"/>
  <c r="L116" i="63" s="1"/>
  <c r="Q116" i="63"/>
  <c r="V116" i="63" l="1"/>
  <c r="P116" i="63"/>
  <c r="Z116" i="63"/>
  <c r="AM116" i="63"/>
  <c r="U116" i="63" l="1"/>
  <c r="W116" i="63"/>
  <c r="N117" i="63" l="1"/>
  <c r="AU116" i="63"/>
  <c r="AV116" i="63" s="1"/>
  <c r="AT116" i="63"/>
  <c r="O117" i="63"/>
  <c r="AN117" i="63" s="1"/>
  <c r="AS117" i="63" s="1"/>
  <c r="M117" i="63" l="1"/>
  <c r="L117" i="63" s="1"/>
  <c r="Q117" i="63"/>
  <c r="V117" i="63" s="1"/>
  <c r="Z117" i="63" l="1"/>
  <c r="AM117" i="63"/>
  <c r="P117" i="63"/>
  <c r="W117" i="63" l="1"/>
  <c r="U117" i="63"/>
  <c r="N118" i="63" l="1"/>
  <c r="AU117" i="63"/>
  <c r="AV117" i="63" s="1"/>
  <c r="AT117" i="63"/>
  <c r="O118" i="63"/>
  <c r="AN118" i="63" s="1"/>
  <c r="AS118" i="63" s="1"/>
  <c r="Q118" i="63" l="1"/>
  <c r="M118" i="63"/>
  <c r="L118" i="63" s="1"/>
  <c r="AM118" i="63" l="1"/>
  <c r="Z118" i="63"/>
  <c r="V118" i="63"/>
  <c r="P118" i="63"/>
  <c r="U118" i="63" l="1"/>
  <c r="W118" i="63"/>
  <c r="N119" i="63" l="1"/>
  <c r="AT118" i="63"/>
  <c r="AU118" i="63"/>
  <c r="AV118" i="63" s="1"/>
  <c r="O119" i="63"/>
  <c r="AN119" i="63" s="1"/>
  <c r="AS119" i="63" s="1"/>
  <c r="M119" i="63" l="1"/>
  <c r="L119" i="63" s="1"/>
  <c r="Q119" i="63"/>
  <c r="V119" i="63" l="1"/>
  <c r="P119" i="63"/>
  <c r="Z119" i="63"/>
  <c r="AM119" i="63"/>
  <c r="U119" i="63" l="1"/>
  <c r="W119" i="63"/>
  <c r="AT119" i="63" l="1"/>
  <c r="O120" i="63"/>
  <c r="AN120" i="63" s="1"/>
  <c r="AS120" i="63" s="1"/>
  <c r="AU119" i="63"/>
  <c r="AV119" i="63" s="1"/>
  <c r="N120" i="63"/>
  <c r="M120" i="63" l="1"/>
  <c r="L120" i="63" s="1"/>
  <c r="Q120" i="63"/>
  <c r="V120" i="63" l="1"/>
  <c r="P120" i="63"/>
  <c r="Z120" i="63"/>
  <c r="AM120" i="63"/>
  <c r="U120" i="63" l="1"/>
  <c r="W120" i="63"/>
  <c r="N121" i="63" l="1"/>
  <c r="O121" i="63"/>
  <c r="AN121" i="63" s="1"/>
  <c r="AS121" i="63" s="1"/>
  <c r="AT120" i="63"/>
  <c r="AU120" i="63"/>
  <c r="AV120" i="63" s="1"/>
  <c r="M121" i="63" l="1"/>
  <c r="L121" i="63" s="1"/>
  <c r="Q121" i="63"/>
  <c r="V121" i="63" l="1"/>
  <c r="P121" i="63"/>
  <c r="Z121" i="63"/>
  <c r="AM121" i="63"/>
  <c r="W121" i="63" l="1"/>
  <c r="U121" i="63"/>
  <c r="N122" i="63" l="1"/>
  <c r="AT121" i="63"/>
  <c r="AU121" i="63"/>
  <c r="AV121" i="63" s="1"/>
  <c r="O122" i="63"/>
  <c r="AN122" i="63" s="1"/>
  <c r="AS122" i="63" s="1"/>
  <c r="M122" i="63" l="1"/>
  <c r="L122" i="63" s="1"/>
  <c r="Q122" i="63"/>
  <c r="V122" i="63" l="1"/>
  <c r="P122" i="63"/>
  <c r="Z122" i="63"/>
  <c r="AM122" i="63"/>
  <c r="W122" i="63" l="1"/>
  <c r="U122" i="63"/>
  <c r="O123" i="63" l="1"/>
  <c r="AN123" i="63" s="1"/>
  <c r="AS123" i="63" s="1"/>
  <c r="AU122" i="63"/>
  <c r="AV122" i="63" s="1"/>
  <c r="AT122" i="63"/>
  <c r="N123" i="63"/>
  <c r="M123" i="63" l="1"/>
  <c r="L123" i="63" s="1"/>
  <c r="Q123" i="63"/>
  <c r="V123" i="63" l="1"/>
  <c r="P123" i="63"/>
  <c r="AM123" i="63"/>
  <c r="Z123" i="63"/>
  <c r="W123" i="63" l="1"/>
  <c r="U123" i="63"/>
  <c r="N124" i="63" l="1"/>
  <c r="AU123" i="63"/>
  <c r="AV123" i="63" s="1"/>
  <c r="O124" i="63"/>
  <c r="AN124" i="63" s="1"/>
  <c r="AS124" i="63" s="1"/>
  <c r="AT123" i="63"/>
  <c r="Q124" i="63" l="1"/>
  <c r="M124" i="63"/>
  <c r="L124" i="63" s="1"/>
  <c r="Z124" i="63" l="1"/>
  <c r="AM124" i="63"/>
  <c r="V124" i="63"/>
  <c r="P124" i="63"/>
  <c r="U124" i="63" l="1"/>
  <c r="W124" i="63"/>
  <c r="AT124" i="63" l="1"/>
  <c r="O125" i="63"/>
  <c r="N125" i="63"/>
  <c r="AU124" i="63"/>
  <c r="AV124" i="63" s="1"/>
  <c r="Q125" i="63" l="1"/>
  <c r="V125" i="63" s="1"/>
  <c r="M125" i="63"/>
  <c r="L125" i="63" s="1"/>
  <c r="AN125" i="63"/>
  <c r="AS125" i="63" s="1"/>
  <c r="P125" i="63" l="1"/>
  <c r="Z125" i="63"/>
  <c r="AM125" i="63"/>
  <c r="U125" i="63" l="1"/>
  <c r="W125" i="63"/>
  <c r="O126" i="63" l="1"/>
  <c r="AU125" i="63"/>
  <c r="AV125" i="63" s="1"/>
  <c r="AT125" i="63"/>
  <c r="N126" i="63"/>
  <c r="Q126" i="63" l="1"/>
  <c r="V126" i="63" s="1"/>
  <c r="M126" i="63"/>
  <c r="L126" i="63" s="1"/>
  <c r="AN126" i="63"/>
  <c r="AS126" i="63" s="1"/>
  <c r="P126" i="63" l="1"/>
  <c r="W126" i="63" s="1"/>
  <c r="AM126" i="63"/>
  <c r="Z126" i="63"/>
  <c r="U126" i="63" l="1"/>
  <c r="AU126" i="63"/>
  <c r="AV126" i="63" s="1"/>
  <c r="N127" i="63"/>
  <c r="O127" i="63"/>
  <c r="AN127" i="63" s="1"/>
  <c r="AS127" i="63" s="1"/>
  <c r="AT126" i="63"/>
  <c r="M127" i="63" l="1"/>
  <c r="L127" i="63" s="1"/>
  <c r="Q127" i="63"/>
  <c r="V127" i="63" l="1"/>
  <c r="P127" i="63"/>
  <c r="Z127" i="63"/>
  <c r="AM127" i="63"/>
  <c r="U127" i="63" l="1"/>
  <c r="W127" i="63"/>
  <c r="AU127" i="63" l="1"/>
  <c r="AV127" i="63" s="1"/>
  <c r="N128" i="63"/>
  <c r="O128" i="63"/>
  <c r="AN128" i="63" s="1"/>
  <c r="AS128" i="63" s="1"/>
  <c r="AT127" i="63"/>
  <c r="Q128" i="63" l="1"/>
  <c r="M128" i="63"/>
  <c r="L128" i="63" s="1"/>
  <c r="AM128" i="63" l="1"/>
  <c r="Z128" i="63"/>
  <c r="V128" i="63"/>
  <c r="P128" i="63"/>
  <c r="U128" i="63" l="1"/>
  <c r="W128" i="63"/>
  <c r="AT128" i="63" l="1"/>
  <c r="AU128" i="63"/>
  <c r="AV128" i="63" s="1"/>
  <c r="N129" i="63"/>
  <c r="O129" i="63"/>
  <c r="AN129" i="63" l="1"/>
  <c r="AS129" i="63" s="1"/>
  <c r="Q129" i="63"/>
  <c r="V129" i="63" s="1"/>
  <c r="M129" i="63"/>
  <c r="L129" i="63" s="1"/>
  <c r="P129" i="63" l="1"/>
  <c r="Z129" i="63"/>
  <c r="AM129" i="63"/>
  <c r="U129" i="63" l="1"/>
  <c r="W129" i="63"/>
  <c r="AT129" i="63" l="1"/>
  <c r="AU129" i="63"/>
  <c r="AV129" i="63" s="1"/>
  <c r="N130" i="63"/>
  <c r="O130" i="63"/>
  <c r="AN130" i="63" l="1"/>
  <c r="AS130" i="63" s="1"/>
  <c r="M130" i="63"/>
  <c r="L130" i="63" s="1"/>
  <c r="Q130" i="63"/>
  <c r="V130" i="63" s="1"/>
  <c r="Z130" i="63" l="1"/>
  <c r="AM130" i="63"/>
  <c r="P130" i="63"/>
  <c r="U130" i="63" l="1"/>
  <c r="W130" i="63"/>
  <c r="AU130" i="63" l="1"/>
  <c r="AV130" i="63" s="1"/>
  <c r="AT130" i="63"/>
  <c r="O131" i="63"/>
  <c r="N131" i="63"/>
  <c r="AN131" i="63" l="1"/>
  <c r="AS131" i="63" s="1"/>
  <c r="Q131" i="63"/>
  <c r="V131" i="63" s="1"/>
  <c r="M131" i="63"/>
  <c r="L131" i="63" s="1"/>
  <c r="Z131" i="63" l="1"/>
  <c r="AM131" i="63"/>
  <c r="P131" i="63"/>
  <c r="U131" i="63" l="1"/>
  <c r="W131" i="63"/>
  <c r="AU131" i="63" l="1"/>
  <c r="AV131" i="63" s="1"/>
  <c r="AT131" i="63"/>
  <c r="N132" i="63"/>
  <c r="O132" i="63"/>
  <c r="AN132" i="63" l="1"/>
  <c r="AS132" i="63" s="1"/>
  <c r="Q132" i="63"/>
  <c r="V132" i="63" s="1"/>
  <c r="M132" i="63"/>
  <c r="L132" i="63" s="1"/>
  <c r="P132" i="63" l="1"/>
  <c r="Z132" i="63"/>
  <c r="AM132" i="63"/>
  <c r="U132" i="63" l="1"/>
  <c r="W132" i="63"/>
  <c r="N133" i="63" l="1"/>
  <c r="AU132" i="63"/>
  <c r="AV132" i="63" s="1"/>
  <c r="O133" i="63"/>
  <c r="AT132" i="63"/>
  <c r="AN133" i="63" l="1"/>
  <c r="AS133" i="63" s="1"/>
  <c r="M133" i="63"/>
  <c r="L133" i="63" s="1"/>
  <c r="Q133" i="63"/>
  <c r="V133" i="63" s="1"/>
  <c r="Z133" i="63" l="1"/>
  <c r="AM133" i="63"/>
  <c r="P133" i="63"/>
  <c r="U133" i="63" l="1"/>
  <c r="W133" i="63"/>
  <c r="AU133" i="63" l="1"/>
  <c r="AV133" i="63" s="1"/>
  <c r="O134" i="63"/>
  <c r="AT133" i="63"/>
  <c r="N134" i="63"/>
  <c r="M134" i="63" l="1"/>
  <c r="L134" i="63" s="1"/>
  <c r="Q134" i="63"/>
  <c r="V134" i="63" s="1"/>
  <c r="AN134" i="63"/>
  <c r="AS134" i="63" s="1"/>
  <c r="P134" i="63" l="1"/>
  <c r="AM134" i="63"/>
  <c r="Z134" i="63"/>
  <c r="U134" i="63" l="1"/>
  <c r="W134" i="63"/>
  <c r="AT134" i="63" l="1"/>
  <c r="AU134" i="63"/>
  <c r="AV134" i="63" s="1"/>
  <c r="O135" i="63"/>
  <c r="N135" i="63"/>
  <c r="M135" i="63" l="1"/>
  <c r="L135" i="63" s="1"/>
  <c r="Q135" i="63"/>
  <c r="V135" i="63" s="1"/>
  <c r="AN135" i="63"/>
  <c r="AS135" i="63" s="1"/>
  <c r="P135" i="63" l="1"/>
  <c r="Z135" i="63"/>
  <c r="AM135" i="63"/>
  <c r="U135" i="63" l="1"/>
  <c r="W135" i="63"/>
  <c r="N136" i="63" l="1"/>
  <c r="AU135" i="63"/>
  <c r="AV135" i="63" s="1"/>
  <c r="O136" i="63"/>
  <c r="AT135" i="63"/>
  <c r="AN136" i="63" l="1"/>
  <c r="AS136" i="63" s="1"/>
  <c r="M136" i="63"/>
  <c r="L136" i="63" s="1"/>
  <c r="Q136" i="63"/>
  <c r="V136" i="63" s="1"/>
  <c r="AM136" i="63" l="1"/>
  <c r="Z136" i="63"/>
  <c r="P136" i="63"/>
  <c r="U136" i="63" l="1"/>
  <c r="W136" i="63"/>
  <c r="N137" i="63" l="1"/>
  <c r="AU136" i="63"/>
  <c r="AV136" i="63" s="1"/>
  <c r="AT136" i="63"/>
  <c r="O137" i="63"/>
  <c r="AN137" i="63" l="1"/>
  <c r="AS137" i="63" s="1"/>
  <c r="M137" i="63"/>
  <c r="L137" i="63" s="1"/>
  <c r="Q137" i="63"/>
  <c r="V137" i="63" s="1"/>
  <c r="Z137" i="63" l="1"/>
  <c r="AM137" i="63"/>
  <c r="P137" i="63"/>
  <c r="U137" i="63" l="1"/>
  <c r="W137" i="63"/>
  <c r="AU137" i="63" l="1"/>
  <c r="AV137" i="63" s="1"/>
  <c r="AT137" i="63"/>
  <c r="O138" i="63"/>
  <c r="N138" i="63"/>
  <c r="Q138" i="63" l="1"/>
  <c r="V138" i="63" s="1"/>
  <c r="M138" i="63"/>
  <c r="L138" i="63" s="1"/>
  <c r="AN138" i="63"/>
  <c r="AS138" i="63" s="1"/>
  <c r="P138" i="63" l="1"/>
  <c r="U138" i="63" s="1"/>
  <c r="Z138" i="63"/>
  <c r="AM138" i="63"/>
  <c r="W138" i="63" l="1"/>
  <c r="AT138" i="63" s="1"/>
  <c r="O139" i="63" l="1"/>
  <c r="AN139" i="63" s="1"/>
  <c r="AS139" i="63" s="1"/>
  <c r="N139" i="63"/>
  <c r="Q139" i="63" s="1"/>
  <c r="V139" i="63" s="1"/>
  <c r="AU138" i="63"/>
  <c r="AV138" i="63" s="1"/>
  <c r="M139" i="63" l="1"/>
  <c r="L139" i="63" s="1"/>
  <c r="Z139" i="63" s="1"/>
  <c r="P139" i="63"/>
  <c r="AM139" i="63" l="1"/>
  <c r="U139" i="63"/>
  <c r="W139" i="63"/>
  <c r="N140" i="63" l="1"/>
  <c r="O140" i="63"/>
  <c r="AU139" i="63"/>
  <c r="AV139" i="63" s="1"/>
  <c r="AT139" i="63"/>
  <c r="AN140" i="63" l="1"/>
  <c r="AS140" i="63" s="1"/>
  <c r="M140" i="63"/>
  <c r="L140" i="63" s="1"/>
  <c r="Q140" i="63"/>
  <c r="V140" i="63" s="1"/>
  <c r="Z140" i="63" l="1"/>
  <c r="AM140" i="63"/>
  <c r="P140" i="63"/>
  <c r="W140" i="63" l="1"/>
  <c r="U140" i="63"/>
  <c r="N141" i="63" l="1"/>
  <c r="O141" i="63"/>
  <c r="AU140" i="63"/>
  <c r="AV140" i="63" s="1"/>
  <c r="AT140" i="63"/>
  <c r="AN141" i="63" l="1"/>
  <c r="AS141" i="63" s="1"/>
  <c r="Q141" i="63"/>
  <c r="V141" i="63" s="1"/>
  <c r="M141" i="63"/>
  <c r="L141" i="63" s="1"/>
  <c r="AM141" i="63" l="1"/>
  <c r="Z141" i="63"/>
  <c r="P141" i="63"/>
  <c r="U141" i="63" l="1"/>
  <c r="W141" i="63"/>
  <c r="N142" i="63" l="1"/>
  <c r="AU141" i="63"/>
  <c r="AV141" i="63" s="1"/>
  <c r="AT141" i="63"/>
  <c r="O142" i="63"/>
  <c r="AN142" i="63" l="1"/>
  <c r="AS142" i="63" s="1"/>
  <c r="M142" i="63"/>
  <c r="L142" i="63" s="1"/>
  <c r="Q142" i="63"/>
  <c r="V142" i="63" s="1"/>
  <c r="Z142" i="63" l="1"/>
  <c r="AM142" i="63"/>
  <c r="P142" i="63"/>
  <c r="U142" i="63" l="1"/>
  <c r="W142" i="63"/>
  <c r="O143" i="63" l="1"/>
  <c r="AT142" i="63"/>
  <c r="N143" i="63"/>
  <c r="AU142" i="63"/>
  <c r="AV142" i="63" s="1"/>
  <c r="M143" i="63" l="1"/>
  <c r="L143" i="63" s="1"/>
  <c r="Q143" i="63"/>
  <c r="V143" i="63" s="1"/>
  <c r="AN143" i="63"/>
  <c r="AS143" i="63" s="1"/>
  <c r="P143" i="63" l="1"/>
  <c r="U143" i="63" s="1"/>
  <c r="Z143" i="63"/>
  <c r="AM143" i="63"/>
  <c r="W143" i="63" l="1"/>
  <c r="AT143" i="63" s="1"/>
  <c r="N144" i="63" l="1"/>
  <c r="Q144" i="63" s="1"/>
  <c r="V144" i="63" s="1"/>
  <c r="O144" i="63"/>
  <c r="AN144" i="63" s="1"/>
  <c r="AS144" i="63" s="1"/>
  <c r="AU143" i="63"/>
  <c r="AV143" i="63" s="1"/>
  <c r="M144" i="63" l="1"/>
  <c r="L144" i="63" s="1"/>
  <c r="AM144" i="63" s="1"/>
  <c r="P144" i="63"/>
  <c r="U144" i="63" s="1"/>
  <c r="Z144" i="63" l="1"/>
  <c r="W144" i="63"/>
  <c r="N145" i="63" s="1"/>
  <c r="AT144" i="63" l="1"/>
  <c r="O145" i="63"/>
  <c r="AN145" i="63" s="1"/>
  <c r="AS145" i="63" s="1"/>
  <c r="AU144" i="63"/>
  <c r="AV144" i="63" s="1"/>
  <c r="M145" i="63"/>
  <c r="L145" i="63" s="1"/>
  <c r="Q145" i="63"/>
  <c r="V145" i="63" s="1"/>
  <c r="Z145" i="63" l="1"/>
  <c r="AM145" i="63"/>
  <c r="P145" i="63"/>
  <c r="U145" i="63" l="1"/>
  <c r="W145" i="63"/>
  <c r="O146" i="63" l="1"/>
  <c r="AT145" i="63"/>
  <c r="AU145" i="63"/>
  <c r="AV145" i="63" s="1"/>
  <c r="N146" i="63"/>
  <c r="Q146" i="63" l="1"/>
  <c r="V146" i="63" s="1"/>
  <c r="M146" i="63"/>
  <c r="L146" i="63" s="1"/>
  <c r="AN146" i="63"/>
  <c r="AS146" i="63" s="1"/>
  <c r="P146" i="63" l="1"/>
  <c r="U146" i="63" s="1"/>
  <c r="Z146" i="63"/>
  <c r="AM146" i="63"/>
  <c r="W146" i="63" l="1"/>
  <c r="AU146" i="63" s="1"/>
  <c r="AV146" i="63" s="1"/>
  <c r="O147" i="63" l="1"/>
  <c r="AN147" i="63" s="1"/>
  <c r="AS147" i="63" s="1"/>
  <c r="AT146" i="63"/>
  <c r="N147" i="63"/>
  <c r="M147" i="63" s="1"/>
  <c r="L147" i="63" s="1"/>
  <c r="Q147" i="63" l="1"/>
  <c r="V147" i="63" s="1"/>
  <c r="AM147" i="63"/>
  <c r="Z147" i="63"/>
  <c r="P147" i="63" l="1"/>
  <c r="U147" i="63"/>
  <c r="W147" i="63"/>
  <c r="O148" i="63" l="1"/>
  <c r="AT147" i="63"/>
  <c r="N148" i="63"/>
  <c r="AU147" i="63"/>
  <c r="AV147" i="63" s="1"/>
  <c r="M148" i="63" l="1"/>
  <c r="L148" i="63" s="1"/>
  <c r="Q148" i="63"/>
  <c r="V148" i="63" s="1"/>
  <c r="AN148" i="63"/>
  <c r="AS148" i="63" s="1"/>
  <c r="P148" i="63" l="1"/>
  <c r="U148" i="63" s="1"/>
  <c r="Z148" i="63"/>
  <c r="AM148" i="63"/>
  <c r="W148" i="63" l="1"/>
  <c r="AU148" i="63" s="1"/>
  <c r="AV148" i="63" s="1"/>
  <c r="O149" i="63" l="1"/>
  <c r="AN149" i="63" s="1"/>
  <c r="AS149" i="63" s="1"/>
  <c r="N149" i="63"/>
  <c r="Q149" i="63" s="1"/>
  <c r="V149" i="63" s="1"/>
  <c r="AT148" i="63"/>
  <c r="M149" i="63" l="1"/>
  <c r="L149" i="63" s="1"/>
  <c r="AM149" i="63" s="1"/>
  <c r="P149" i="63"/>
  <c r="Z149" i="63" l="1"/>
  <c r="U149" i="63"/>
  <c r="W149" i="63"/>
  <c r="O150" i="63" l="1"/>
  <c r="N150" i="63"/>
  <c r="AT149" i="63"/>
  <c r="AU149" i="63"/>
  <c r="AV149" i="63" s="1"/>
  <c r="Q150" i="63" l="1"/>
  <c r="V150" i="63" s="1"/>
  <c r="M150" i="63"/>
  <c r="L150" i="63" s="1"/>
  <c r="AN150" i="63"/>
  <c r="AS150" i="63" s="1"/>
  <c r="P150" i="63" l="1"/>
  <c r="U150" i="63" s="1"/>
  <c r="Z150" i="63"/>
  <c r="AM150" i="63"/>
  <c r="W150" i="63" l="1"/>
  <c r="O151" i="63" s="1"/>
  <c r="AT150" i="63" l="1"/>
  <c r="AU150" i="63"/>
  <c r="AV150" i="63" s="1"/>
  <c r="N151" i="63"/>
  <c r="M151" i="63" s="1"/>
  <c r="L151" i="63" s="1"/>
  <c r="Q151" i="63"/>
  <c r="V151" i="63" s="1"/>
  <c r="AN151" i="63"/>
  <c r="AS151" i="63" s="1"/>
  <c r="P151" i="63" l="1"/>
  <c r="AM151" i="63"/>
  <c r="Z151" i="63"/>
  <c r="U151" i="63" l="1"/>
  <c r="W151" i="63"/>
  <c r="AT151" i="63" l="1"/>
  <c r="AU151" i="63"/>
  <c r="AV151" i="63" s="1"/>
  <c r="O152" i="63"/>
  <c r="N152" i="63"/>
  <c r="M152" i="63" l="1"/>
  <c r="L152" i="63" s="1"/>
  <c r="Q152" i="63"/>
  <c r="V152" i="63" s="1"/>
  <c r="AN152" i="63"/>
  <c r="AS152" i="63" s="1"/>
  <c r="P152" i="63" l="1"/>
  <c r="Z152" i="63"/>
  <c r="AM152" i="63"/>
  <c r="U152" i="63" l="1"/>
  <c r="W152" i="63"/>
  <c r="N153" i="63" l="1"/>
  <c r="AU152" i="63"/>
  <c r="AV152" i="63" s="1"/>
  <c r="O153" i="63"/>
  <c r="AT152" i="63"/>
  <c r="AN153" i="63" l="1"/>
  <c r="AS153" i="63" s="1"/>
  <c r="M153" i="63"/>
  <c r="L153" i="63" s="1"/>
  <c r="Q153" i="63"/>
  <c r="V153" i="63" s="1"/>
  <c r="AM153" i="63" l="1"/>
  <c r="Z153" i="63"/>
  <c r="P153" i="63"/>
  <c r="U153" i="63" l="1"/>
  <c r="W153" i="63"/>
  <c r="AU153" i="63" l="1"/>
  <c r="AV153" i="63" s="1"/>
  <c r="N154" i="63"/>
  <c r="AT153" i="63"/>
  <c r="O154" i="63"/>
  <c r="AN154" i="63" l="1"/>
  <c r="AS154" i="63" s="1"/>
  <c r="Q154" i="63"/>
  <c r="V154" i="63" s="1"/>
  <c r="M154" i="63"/>
  <c r="L154" i="63" s="1"/>
  <c r="AM154" i="63" l="1"/>
  <c r="Z154" i="63"/>
  <c r="P154" i="63"/>
  <c r="U154" i="63" l="1"/>
  <c r="W154" i="63"/>
  <c r="N155" i="63" l="1"/>
  <c r="AT154" i="63"/>
  <c r="O155" i="63"/>
  <c r="AU154" i="63"/>
  <c r="AV154" i="63" s="1"/>
  <c r="AN155" i="63" l="1"/>
  <c r="AS155" i="63" s="1"/>
  <c r="Q155" i="63"/>
  <c r="V155" i="63" s="1"/>
  <c r="M155" i="63"/>
  <c r="L155" i="63" s="1"/>
  <c r="Z155" i="63" l="1"/>
  <c r="AM155" i="63"/>
  <c r="P155" i="63"/>
  <c r="U155" i="63" l="1"/>
  <c r="W155" i="63"/>
  <c r="AU155" i="63" l="1"/>
  <c r="AV155" i="63" s="1"/>
  <c r="N156" i="63"/>
  <c r="AT155" i="63"/>
  <c r="O156" i="63"/>
  <c r="AN156" i="63" l="1"/>
  <c r="AS156" i="63" s="1"/>
  <c r="Q156" i="63"/>
  <c r="V156" i="63" s="1"/>
  <c r="M156" i="63"/>
  <c r="L156" i="63" s="1"/>
  <c r="Z156" i="63" l="1"/>
  <c r="AM156" i="63"/>
  <c r="P156" i="63"/>
  <c r="U156" i="63" l="1"/>
  <c r="W156" i="63"/>
  <c r="AT156" i="63" l="1"/>
  <c r="N157" i="63"/>
  <c r="AU156" i="63"/>
  <c r="AV156" i="63" s="1"/>
  <c r="O157" i="63"/>
  <c r="AN157" i="63" l="1"/>
  <c r="AS157" i="63" s="1"/>
  <c r="M157" i="63"/>
  <c r="L157" i="63" s="1"/>
  <c r="Q157" i="63"/>
  <c r="V157" i="63" s="1"/>
  <c r="Z157" i="63" l="1"/>
  <c r="AM157" i="63"/>
  <c r="P157" i="63"/>
  <c r="U157" i="63" l="1"/>
  <c r="W157" i="63"/>
  <c r="N158" i="63" l="1"/>
  <c r="AU157" i="63"/>
  <c r="AV157" i="63" s="1"/>
  <c r="AT157" i="63"/>
  <c r="O158" i="63"/>
  <c r="AN158" i="63" l="1"/>
  <c r="AS158" i="63" s="1"/>
  <c r="M158" i="63"/>
  <c r="L158" i="63" s="1"/>
  <c r="Q158" i="63"/>
  <c r="V158" i="63" s="1"/>
  <c r="AM158" i="63" l="1"/>
  <c r="Z158" i="63"/>
  <c r="P158" i="63"/>
  <c r="U158" i="63" l="1"/>
  <c r="W158" i="63"/>
  <c r="N159" i="63" l="1"/>
  <c r="AU158" i="63"/>
  <c r="AV158" i="63" s="1"/>
  <c r="O159" i="63"/>
  <c r="AT158" i="63"/>
  <c r="AN159" i="63" l="1"/>
  <c r="AS159" i="63" s="1"/>
  <c r="M159" i="63"/>
  <c r="L159" i="63" s="1"/>
  <c r="Q159" i="63"/>
  <c r="V159" i="63" s="1"/>
  <c r="AM159" i="63" l="1"/>
  <c r="Z159" i="63"/>
  <c r="P159" i="63"/>
  <c r="U159" i="63" l="1"/>
  <c r="W159" i="63"/>
  <c r="AU159" i="63" l="1"/>
  <c r="AV159" i="63" s="1"/>
  <c r="AT159" i="63"/>
  <c r="N160" i="63"/>
  <c r="O160" i="63"/>
  <c r="AN160" i="63" l="1"/>
  <c r="AS160" i="63" s="1"/>
  <c r="Q160" i="63"/>
  <c r="V160" i="63" s="1"/>
  <c r="M160" i="63"/>
  <c r="L160" i="63" s="1"/>
  <c r="P160" i="63" l="1"/>
  <c r="AM160" i="63"/>
  <c r="Z160" i="63"/>
  <c r="U160" i="63" l="1"/>
  <c r="W160" i="63"/>
  <c r="AT160" i="63" l="1"/>
  <c r="O161" i="63"/>
  <c r="AU160" i="63"/>
  <c r="AV160" i="63" s="1"/>
  <c r="N161" i="63"/>
  <c r="AN161" i="63" l="1"/>
  <c r="AS161" i="63" s="1"/>
  <c r="M161" i="63"/>
  <c r="L161" i="63" s="1"/>
  <c r="Q161" i="63"/>
  <c r="V161" i="63" s="1"/>
  <c r="Z161" i="63" l="1"/>
  <c r="AM161" i="63"/>
  <c r="P161" i="63"/>
  <c r="U161" i="63" l="1"/>
  <c r="W161" i="63"/>
  <c r="AT161" i="63" l="1"/>
  <c r="AU161" i="63"/>
  <c r="AV161" i="63" s="1"/>
  <c r="O162" i="63"/>
  <c r="N162" i="63"/>
  <c r="M162" i="63" l="1"/>
  <c r="L162" i="63" s="1"/>
  <c r="Q162" i="63"/>
  <c r="V162" i="63" s="1"/>
  <c r="AN162" i="63"/>
  <c r="AS162" i="63" s="1"/>
  <c r="P162" i="63" l="1"/>
  <c r="AM162" i="63"/>
  <c r="Z162" i="63"/>
  <c r="U162" i="63" l="1"/>
  <c r="W162" i="63"/>
  <c r="O163" i="63" l="1"/>
  <c r="AU162" i="63"/>
  <c r="AV162" i="63" s="1"/>
  <c r="AT162" i="63"/>
  <c r="N163" i="63"/>
  <c r="M163" i="63" l="1"/>
  <c r="L163" i="63" s="1"/>
  <c r="Q163" i="63"/>
  <c r="V163" i="63" s="1"/>
  <c r="AN163" i="63"/>
  <c r="AS163" i="63" s="1"/>
  <c r="P163" i="63" l="1"/>
  <c r="U163" i="63" s="1"/>
  <c r="AM163" i="63"/>
  <c r="Z163" i="63"/>
  <c r="W163" i="63" l="1"/>
  <c r="O164" i="63" s="1"/>
  <c r="AT163" i="63" l="1"/>
  <c r="N164" i="63"/>
  <c r="AU163" i="63"/>
  <c r="AV163" i="63" s="1"/>
  <c r="M164" i="63"/>
  <c r="L164" i="63" s="1"/>
  <c r="Q164" i="63"/>
  <c r="V164" i="63" s="1"/>
  <c r="AN164" i="63"/>
  <c r="AS164" i="63" s="1"/>
  <c r="P164" i="63" l="1"/>
  <c r="U164" i="63" s="1"/>
  <c r="Z164" i="63"/>
  <c r="AM164" i="63"/>
  <c r="W164" i="63" l="1"/>
  <c r="AU164" i="63" s="1"/>
  <c r="AV164" i="63" s="1"/>
  <c r="N165" i="63" l="1"/>
  <c r="O165" i="63"/>
  <c r="AN165" i="63" s="1"/>
  <c r="AS165" i="63" s="1"/>
  <c r="AT164" i="63"/>
  <c r="Q165" i="63"/>
  <c r="V165" i="63" s="1"/>
  <c r="M165" i="63"/>
  <c r="L165" i="63" s="1"/>
  <c r="P165" i="63" l="1"/>
  <c r="Z165" i="63"/>
  <c r="AM165" i="63"/>
  <c r="U165" i="63" l="1"/>
  <c r="W165" i="63"/>
  <c r="AU165" i="63" l="1"/>
  <c r="AV165" i="63" s="1"/>
  <c r="AT165" i="63"/>
  <c r="O166" i="63"/>
  <c r="N166" i="63"/>
  <c r="AN166" i="63" l="1"/>
  <c r="AS166" i="63" s="1"/>
  <c r="M166" i="63"/>
  <c r="L166" i="63" s="1"/>
  <c r="Q166" i="63"/>
  <c r="V166" i="63" s="1"/>
  <c r="AM166" i="63" l="1"/>
  <c r="Z166" i="63"/>
  <c r="P166" i="63"/>
  <c r="U166" i="63" l="1"/>
  <c r="W166" i="63"/>
  <c r="N167" i="63" l="1"/>
  <c r="O167" i="63"/>
  <c r="AT166" i="63"/>
  <c r="AU166" i="63"/>
  <c r="AV166" i="63" s="1"/>
  <c r="AN167" i="63" l="1"/>
  <c r="AS167" i="63" s="1"/>
  <c r="Q167" i="63"/>
  <c r="V167" i="63" s="1"/>
  <c r="M167" i="63"/>
  <c r="L167" i="63" s="1"/>
  <c r="Z167" i="63" l="1"/>
  <c r="AM167" i="63"/>
  <c r="P167" i="63"/>
  <c r="U167" i="63" l="1"/>
  <c r="W167" i="63"/>
  <c r="AT167" i="63" l="1"/>
  <c r="N168" i="63"/>
  <c r="AU167" i="63"/>
  <c r="AV167" i="63" s="1"/>
  <c r="O168" i="63"/>
  <c r="AN168" i="63" l="1"/>
  <c r="AS168" i="63" s="1"/>
  <c r="Q168" i="63"/>
  <c r="V168" i="63" s="1"/>
  <c r="M168" i="63"/>
  <c r="L168" i="63" s="1"/>
  <c r="Z168" i="63" l="1"/>
  <c r="AM168" i="63"/>
  <c r="P168" i="63"/>
  <c r="U168" i="63" l="1"/>
  <c r="W168" i="63"/>
  <c r="AT168" i="63" l="1"/>
  <c r="N169" i="63"/>
  <c r="AU168" i="63"/>
  <c r="AV168" i="63" s="1"/>
  <c r="O169" i="63"/>
  <c r="AN169" i="63" l="1"/>
  <c r="AS169" i="63" s="1"/>
  <c r="Q169" i="63"/>
  <c r="V169" i="63" s="1"/>
  <c r="M169" i="63"/>
  <c r="L169" i="63" s="1"/>
  <c r="Z169" i="63" l="1"/>
  <c r="AM169" i="63"/>
  <c r="P169" i="63"/>
  <c r="U169" i="63" l="1"/>
  <c r="W169" i="63"/>
  <c r="AT169" i="63" l="1"/>
  <c r="AU169" i="63"/>
  <c r="AV169" i="63" s="1"/>
  <c r="N170" i="63"/>
  <c r="O170" i="63"/>
  <c r="AN170" i="63" l="1"/>
  <c r="AS170" i="63" s="1"/>
  <c r="M170" i="63"/>
  <c r="L170" i="63" s="1"/>
  <c r="Q170" i="63"/>
  <c r="V170" i="63" s="1"/>
  <c r="Z170" i="63" l="1"/>
  <c r="AM170" i="63"/>
  <c r="P170" i="63"/>
  <c r="U170" i="63" l="1"/>
  <c r="W170" i="63"/>
  <c r="N171" i="63" l="1"/>
  <c r="O171" i="63"/>
  <c r="AU170" i="63"/>
  <c r="AV170" i="63" s="1"/>
  <c r="AT170" i="63"/>
  <c r="AN171" i="63" l="1"/>
  <c r="AS171" i="63" s="1"/>
  <c r="Q171" i="63"/>
  <c r="V171" i="63" s="1"/>
  <c r="M171" i="63"/>
  <c r="L171" i="63" s="1"/>
  <c r="Z171" i="63" l="1"/>
  <c r="AM171" i="63"/>
  <c r="P171" i="63"/>
  <c r="U171" i="63" l="1"/>
  <c r="W171" i="63"/>
  <c r="N172" i="63" l="1"/>
  <c r="AT171" i="63"/>
  <c r="AU171" i="63"/>
  <c r="AV171" i="63" s="1"/>
  <c r="O172" i="63"/>
  <c r="AN172" i="63" l="1"/>
  <c r="AS172" i="63" s="1"/>
  <c r="Q172" i="63"/>
  <c r="V172" i="63" s="1"/>
  <c r="M172" i="63"/>
  <c r="L172" i="63" s="1"/>
  <c r="Z172" i="63" l="1"/>
  <c r="AM172" i="63"/>
  <c r="P172" i="63"/>
  <c r="U172" i="63" l="1"/>
  <c r="W172" i="63"/>
  <c r="O173" i="63" l="1"/>
  <c r="AU172" i="63"/>
  <c r="AV172" i="63" s="1"/>
  <c r="N173" i="63"/>
  <c r="AT172" i="63"/>
  <c r="Q173" i="63" l="1"/>
  <c r="V173" i="63" s="1"/>
  <c r="M173" i="63"/>
  <c r="L173" i="63" s="1"/>
  <c r="AN173" i="63"/>
  <c r="AS173" i="63" s="1"/>
  <c r="P173" i="63" l="1"/>
  <c r="U173" i="63" s="1"/>
  <c r="AM173" i="63"/>
  <c r="Z173" i="63"/>
  <c r="W173" i="63" l="1"/>
  <c r="AT173" i="63" s="1"/>
  <c r="AU173" i="63" l="1"/>
  <c r="AV173" i="63" s="1"/>
  <c r="N174" i="63"/>
  <c r="Q174" i="63" s="1"/>
  <c r="V174" i="63" s="1"/>
  <c r="O174" i="63"/>
  <c r="AN174" i="63"/>
  <c r="AS174" i="63" s="1"/>
  <c r="M174" i="63" l="1"/>
  <c r="L174" i="63" s="1"/>
  <c r="Z174" i="63" s="1"/>
  <c r="P174" i="63"/>
  <c r="U174" i="63" s="1"/>
  <c r="AM174" i="63" l="1"/>
  <c r="W174" i="63"/>
  <c r="N175" i="63" s="1"/>
  <c r="O175" i="63" l="1"/>
  <c r="AN175" i="63" s="1"/>
  <c r="AS175" i="63" s="1"/>
  <c r="AT174" i="63"/>
  <c r="AU174" i="63"/>
  <c r="AV174" i="63" s="1"/>
  <c r="Q175" i="63"/>
  <c r="V175" i="63" s="1"/>
  <c r="M175" i="63"/>
  <c r="L175" i="63" s="1"/>
  <c r="Z175" i="63" l="1"/>
  <c r="AM175" i="63"/>
  <c r="P175" i="63"/>
  <c r="U175" i="63" l="1"/>
  <c r="W175" i="63"/>
  <c r="AT175" i="63" l="1"/>
  <c r="AU175" i="63"/>
  <c r="AV175" i="63" s="1"/>
  <c r="N176" i="63"/>
  <c r="O176" i="63"/>
  <c r="AN176" i="63" l="1"/>
  <c r="AS176" i="63" s="1"/>
  <c r="M176" i="63"/>
  <c r="L176" i="63" s="1"/>
  <c r="Q176" i="63"/>
  <c r="V176" i="63" s="1"/>
  <c r="Z176" i="63" l="1"/>
  <c r="AM176" i="63"/>
  <c r="P176" i="63"/>
  <c r="U176" i="63" l="1"/>
  <c r="W176" i="63"/>
  <c r="AU176" i="63" l="1"/>
  <c r="AV176" i="63" s="1"/>
  <c r="AT176" i="63"/>
  <c r="N177" i="63"/>
  <c r="O177" i="63"/>
  <c r="AN177" i="63" l="1"/>
  <c r="AS177" i="63" s="1"/>
  <c r="Q177" i="63"/>
  <c r="V177" i="63" s="1"/>
  <c r="M177" i="63"/>
  <c r="L177" i="63" s="1"/>
  <c r="Z177" i="63" l="1"/>
  <c r="AM177" i="63"/>
  <c r="P177" i="63"/>
  <c r="U177" i="63" l="1"/>
  <c r="W177" i="63"/>
  <c r="N178" i="63" l="1"/>
  <c r="AU177" i="63"/>
  <c r="AV177" i="63" s="1"/>
  <c r="AT177" i="63"/>
  <c r="O178" i="63"/>
  <c r="AN178" i="63" l="1"/>
  <c r="AS178" i="63" s="1"/>
  <c r="Q178" i="63"/>
  <c r="V178" i="63" s="1"/>
  <c r="M178" i="63"/>
  <c r="L178" i="63" s="1"/>
  <c r="Z178" i="63" l="1"/>
  <c r="AM178" i="63"/>
  <c r="P178" i="63"/>
  <c r="U178" i="63" l="1"/>
  <c r="W178" i="63"/>
  <c r="AU178" i="63" l="1"/>
  <c r="AV178" i="63" s="1"/>
  <c r="AT178" i="63"/>
  <c r="N179" i="63"/>
  <c r="O179" i="63"/>
  <c r="AN179" i="63" l="1"/>
  <c r="AS179" i="63" s="1"/>
  <c r="M179" i="63"/>
  <c r="L179" i="63" s="1"/>
  <c r="Q179" i="63"/>
  <c r="V179" i="63" s="1"/>
  <c r="Z179" i="63" l="1"/>
  <c r="AM179" i="63"/>
  <c r="P179" i="63"/>
  <c r="U179" i="63" l="1"/>
  <c r="W179" i="63"/>
  <c r="O180" i="63" l="1"/>
  <c r="N180" i="63"/>
  <c r="AT179" i="63"/>
  <c r="AU179" i="63"/>
  <c r="AV179" i="63" s="1"/>
  <c r="Q180" i="63" l="1"/>
  <c r="V180" i="63" s="1"/>
  <c r="M180" i="63"/>
  <c r="L180" i="63" s="1"/>
  <c r="AN180" i="63"/>
  <c r="AS180" i="63" s="1"/>
  <c r="P180" i="63" l="1"/>
  <c r="U180" i="63" s="1"/>
  <c r="AM180" i="63"/>
  <c r="Z180" i="63"/>
  <c r="W180" i="63" l="1"/>
  <c r="AU180" i="63" s="1"/>
  <c r="AV180" i="63" s="1"/>
  <c r="AT180" i="63" l="1"/>
  <c r="O181" i="63"/>
  <c r="AN181" i="63" s="1"/>
  <c r="AS181" i="63" s="1"/>
  <c r="N181" i="63"/>
  <c r="Q181" i="63"/>
  <c r="V181" i="63" s="1"/>
  <c r="M181" i="63"/>
  <c r="L181" i="63" s="1"/>
  <c r="AM181" i="63" l="1"/>
  <c r="Z181" i="63"/>
  <c r="P181" i="63"/>
  <c r="U181" i="63" l="1"/>
  <c r="W181" i="63"/>
  <c r="O182" i="63" l="1"/>
  <c r="N182" i="63"/>
  <c r="AU181" i="63"/>
  <c r="AV181" i="63" s="1"/>
  <c r="AT181" i="63"/>
  <c r="Q182" i="63" l="1"/>
  <c r="V182" i="63" s="1"/>
  <c r="M182" i="63"/>
  <c r="L182" i="63" s="1"/>
  <c r="AN182" i="63"/>
  <c r="AS182" i="63" s="1"/>
  <c r="P182" i="63" l="1"/>
  <c r="U182" i="63" s="1"/>
  <c r="Z182" i="63"/>
  <c r="AM182" i="63"/>
  <c r="W182" i="63" l="1"/>
  <c r="N183" i="63" s="1"/>
  <c r="O183" i="63" l="1"/>
  <c r="AN183" i="63" s="1"/>
  <c r="AS183" i="63" s="1"/>
  <c r="AT182" i="63"/>
  <c r="AU182" i="63"/>
  <c r="AV182" i="63" s="1"/>
  <c r="Q183" i="63"/>
  <c r="V183" i="63" s="1"/>
  <c r="M183" i="63"/>
  <c r="L183" i="63" s="1"/>
  <c r="Z183" i="63" l="1"/>
  <c r="AM183" i="63"/>
  <c r="P183" i="63"/>
  <c r="W183" i="63" l="1"/>
  <c r="U183" i="63"/>
  <c r="N184" i="63" l="1"/>
  <c r="O184" i="63"/>
  <c r="AU183" i="63"/>
  <c r="AV183" i="63" s="1"/>
  <c r="AT183" i="63"/>
  <c r="M184" i="63" l="1"/>
  <c r="L184" i="63" s="1"/>
  <c r="Q184" i="63"/>
  <c r="V184" i="63" s="1"/>
  <c r="AN184" i="63"/>
  <c r="AS184" i="63" s="1"/>
  <c r="P184" i="63" l="1"/>
  <c r="U184" i="63" s="1"/>
  <c r="AM184" i="63"/>
  <c r="Z184" i="63"/>
  <c r="W184" i="63" l="1"/>
  <c r="O185" i="63" s="1"/>
  <c r="AN185" i="63" s="1"/>
  <c r="AS185" i="63" s="1"/>
  <c r="N185" i="63" l="1"/>
  <c r="Q185" i="63" s="1"/>
  <c r="AU184" i="63"/>
  <c r="AV184" i="63" s="1"/>
  <c r="AT184" i="63"/>
  <c r="M185" i="63" l="1"/>
  <c r="L185" i="63" s="1"/>
  <c r="AM185" i="63" s="1"/>
  <c r="V185" i="63"/>
  <c r="P185" i="63"/>
  <c r="Z185" i="63" l="1"/>
  <c r="W185" i="63"/>
  <c r="U185" i="63"/>
  <c r="O186" i="63" l="1"/>
  <c r="N186" i="63"/>
  <c r="AT185" i="63"/>
  <c r="AU185" i="63"/>
  <c r="AV185" i="63" s="1"/>
  <c r="Q186" i="63" l="1"/>
  <c r="V186" i="63" s="1"/>
  <c r="M186" i="63"/>
  <c r="L186" i="63" s="1"/>
  <c r="AN186" i="63"/>
  <c r="AS186" i="63" s="1"/>
  <c r="P186" i="63" l="1"/>
  <c r="U186" i="63" s="1"/>
  <c r="Z186" i="63"/>
  <c r="AM186" i="63"/>
  <c r="W186" i="63" l="1"/>
  <c r="O187" i="63" s="1"/>
  <c r="AT186" i="63" l="1"/>
  <c r="N187" i="63"/>
  <c r="M187" i="63" s="1"/>
  <c r="L187" i="63" s="1"/>
  <c r="AU186" i="63"/>
  <c r="AV186" i="63" s="1"/>
  <c r="AN187" i="63"/>
  <c r="AS187" i="63" s="1"/>
  <c r="Q187" i="63" l="1"/>
  <c r="V187" i="63" s="1"/>
  <c r="Z187" i="63"/>
  <c r="AM187" i="63"/>
  <c r="P187" i="63" l="1"/>
  <c r="W187" i="63" s="1"/>
  <c r="U187" i="63" l="1"/>
  <c r="AU187" i="63"/>
  <c r="AV187" i="63" s="1"/>
  <c r="O188" i="63"/>
  <c r="AT187" i="63"/>
  <c r="N188" i="63"/>
  <c r="Q188" i="63" l="1"/>
  <c r="V188" i="63" s="1"/>
  <c r="M188" i="63"/>
  <c r="L188" i="63" s="1"/>
  <c r="AN188" i="63"/>
  <c r="AS188" i="63" s="1"/>
  <c r="P188" i="63" l="1"/>
  <c r="AM188" i="63"/>
  <c r="Z188" i="63"/>
  <c r="W188" i="63" l="1"/>
  <c r="U188" i="63"/>
  <c r="N189" i="63" l="1"/>
  <c r="AU188" i="63"/>
  <c r="AV188" i="63" s="1"/>
  <c r="AT188" i="63"/>
  <c r="O189" i="63"/>
  <c r="AN189" i="63" l="1"/>
  <c r="AS189" i="63" s="1"/>
  <c r="Q189" i="63"/>
  <c r="V189" i="63" s="1"/>
  <c r="M189" i="63"/>
  <c r="L189" i="63" s="1"/>
  <c r="AM189" i="63" l="1"/>
  <c r="Z189" i="63"/>
  <c r="P189" i="63"/>
  <c r="U189" i="63" l="1"/>
  <c r="W189" i="63"/>
  <c r="O190" i="63" l="1"/>
  <c r="AT189" i="63"/>
  <c r="AU189" i="63"/>
  <c r="AV189" i="63" s="1"/>
  <c r="N190" i="63"/>
  <c r="Q190" i="63" l="1"/>
  <c r="V190" i="63" s="1"/>
  <c r="M190" i="63"/>
  <c r="L190" i="63" s="1"/>
  <c r="AN190" i="63"/>
  <c r="AS190" i="63" s="1"/>
  <c r="P190" i="63" l="1"/>
  <c r="U190" i="63" s="1"/>
  <c r="Z190" i="63"/>
  <c r="AM190" i="63"/>
  <c r="W190" i="63" l="1"/>
  <c r="N191" i="63" s="1"/>
  <c r="AT190" i="63" l="1"/>
  <c r="AU190" i="63"/>
  <c r="AV190" i="63" s="1"/>
  <c r="O191" i="63"/>
  <c r="AN191" i="63" s="1"/>
  <c r="AS191" i="63" s="1"/>
  <c r="M191" i="63"/>
  <c r="L191" i="63" s="1"/>
  <c r="Q191" i="63"/>
  <c r="V191" i="63" l="1"/>
  <c r="P191" i="63"/>
  <c r="Z191" i="63"/>
  <c r="AM191" i="63"/>
  <c r="U191" i="63" l="1"/>
  <c r="W191" i="63"/>
  <c r="AT191" i="63" l="1"/>
  <c r="AU191" i="63"/>
  <c r="AV191" i="63" s="1"/>
  <c r="N192" i="63"/>
  <c r="O192" i="63"/>
  <c r="AN192" i="63" l="1"/>
  <c r="AS192" i="63" s="1"/>
  <c r="Q192" i="63"/>
  <c r="V192" i="63" s="1"/>
  <c r="M192" i="63"/>
  <c r="L192" i="63" s="1"/>
  <c r="Z192" i="63" l="1"/>
  <c r="AM192" i="63"/>
  <c r="P192" i="63"/>
  <c r="U192" i="63" l="1"/>
  <c r="W192" i="63"/>
  <c r="O193" i="63" l="1"/>
  <c r="N193" i="63"/>
  <c r="AU192" i="63"/>
  <c r="AV192" i="63" s="1"/>
  <c r="AT192" i="63"/>
  <c r="M193" i="63" l="1"/>
  <c r="L193" i="63" s="1"/>
  <c r="Q193" i="63"/>
  <c r="V193" i="63" s="1"/>
  <c r="AN193" i="63"/>
  <c r="AS193" i="63" s="1"/>
  <c r="P193" i="63" l="1"/>
  <c r="W193" i="63" s="1"/>
  <c r="AM193" i="63"/>
  <c r="Z193" i="63"/>
  <c r="U193" i="63" l="1"/>
  <c r="AT193" i="63"/>
  <c r="N194" i="63"/>
  <c r="AU193" i="63"/>
  <c r="AV193" i="63" s="1"/>
  <c r="O194" i="63"/>
  <c r="AN194" i="63" s="1"/>
  <c r="AS194" i="63" s="1"/>
  <c r="M194" i="63" l="1"/>
  <c r="L194" i="63" s="1"/>
  <c r="Q194" i="63"/>
  <c r="V194" i="63" l="1"/>
  <c r="P194" i="63"/>
  <c r="AM194" i="63"/>
  <c r="Z194" i="63"/>
  <c r="U194" i="63" l="1"/>
  <c r="W194" i="63"/>
  <c r="N195" i="63" l="1"/>
  <c r="AU194" i="63"/>
  <c r="AV194" i="63" s="1"/>
  <c r="AT194" i="63"/>
  <c r="O195" i="63"/>
  <c r="AN195" i="63" s="1"/>
  <c r="AS195" i="63" s="1"/>
  <c r="M195" i="63" l="1"/>
  <c r="L195" i="63" s="1"/>
  <c r="Q195" i="63"/>
  <c r="V195" i="63" l="1"/>
  <c r="P195" i="63"/>
  <c r="Z195" i="63"/>
  <c r="AM195" i="63"/>
  <c r="U195" i="63" l="1"/>
  <c r="W195" i="63"/>
  <c r="AT195" i="63" l="1"/>
  <c r="O196" i="63"/>
  <c r="AN196" i="63" s="1"/>
  <c r="AS196" i="63" s="1"/>
  <c r="AU195" i="63"/>
  <c r="AV195" i="63" s="1"/>
  <c r="N196" i="63"/>
  <c r="Q196" i="63" l="1"/>
  <c r="M196" i="63"/>
  <c r="L196" i="63" s="1"/>
  <c r="AM196" i="63" l="1"/>
  <c r="Z196" i="63"/>
  <c r="V196" i="63"/>
  <c r="P196" i="63"/>
  <c r="W196" i="63" l="1"/>
  <c r="U196" i="63"/>
  <c r="AT196" i="63" l="1"/>
  <c r="N197" i="63"/>
  <c r="AU196" i="63"/>
  <c r="AV196" i="63" s="1"/>
  <c r="O197" i="63"/>
  <c r="AN197" i="63" s="1"/>
  <c r="AS197" i="63" s="1"/>
  <c r="M197" i="63" l="1"/>
  <c r="L197" i="63" s="1"/>
  <c r="Q197" i="63"/>
  <c r="V197" i="63" l="1"/>
  <c r="P197" i="63"/>
  <c r="AM197" i="63"/>
  <c r="Z197" i="63"/>
  <c r="U197" i="63" l="1"/>
  <c r="W197" i="63"/>
  <c r="AU197" i="63" l="1"/>
  <c r="AV197" i="63" s="1"/>
  <c r="O198" i="63"/>
  <c r="AN198" i="63" s="1"/>
  <c r="AS198" i="63" s="1"/>
  <c r="AT197" i="63"/>
  <c r="N198" i="63"/>
  <c r="Q198" i="63" l="1"/>
  <c r="M198" i="63"/>
  <c r="L198" i="63" s="1"/>
  <c r="AM198" i="63" l="1"/>
  <c r="Z198" i="63"/>
  <c r="V198" i="63"/>
  <c r="P198" i="63"/>
  <c r="U198" i="63" l="1"/>
  <c r="W198" i="63"/>
  <c r="O199" i="63" l="1"/>
  <c r="N199" i="63"/>
  <c r="AU198" i="63"/>
  <c r="AV198" i="63" s="1"/>
  <c r="AT198" i="63"/>
  <c r="Q199" i="63" l="1"/>
  <c r="V199" i="63" s="1"/>
  <c r="M199" i="63"/>
  <c r="L199" i="63" s="1"/>
  <c r="AN199" i="63"/>
  <c r="AS199" i="63" s="1"/>
  <c r="P199" i="63" l="1"/>
  <c r="Z199" i="63"/>
  <c r="AM199" i="63"/>
  <c r="U199" i="63" l="1"/>
  <c r="W199" i="63"/>
  <c r="O200" i="63" l="1"/>
  <c r="N200" i="63"/>
  <c r="AU199" i="63"/>
  <c r="AV199" i="63" s="1"/>
  <c r="AT199" i="63"/>
  <c r="Q200" i="63" l="1"/>
  <c r="V200" i="63" s="1"/>
  <c r="M200" i="63"/>
  <c r="L200" i="63" s="1"/>
  <c r="AN200" i="63"/>
  <c r="AS200" i="63" s="1"/>
  <c r="P200" i="63" l="1"/>
  <c r="U200" i="63" s="1"/>
  <c r="AM200" i="63"/>
  <c r="Z200" i="63"/>
  <c r="W200" i="63" l="1"/>
  <c r="AT200" i="63" s="1"/>
  <c r="O201" i="63" l="1"/>
  <c r="AN201" i="63" s="1"/>
  <c r="AS201" i="63" s="1"/>
  <c r="N201" i="63"/>
  <c r="M201" i="63" s="1"/>
  <c r="L201" i="63" s="1"/>
  <c r="AU200" i="63"/>
  <c r="AV200" i="63" s="1"/>
  <c r="Q201" i="63"/>
  <c r="V201" i="63" l="1"/>
  <c r="P201" i="63"/>
  <c r="Z201" i="63"/>
  <c r="AM201" i="63"/>
  <c r="U201" i="63" l="1"/>
  <c r="W201" i="63"/>
  <c r="N202" i="63" l="1"/>
  <c r="AU201" i="63"/>
  <c r="AV201" i="63" s="1"/>
  <c r="AT201" i="63"/>
  <c r="O202" i="63"/>
  <c r="AN202" i="63" s="1"/>
  <c r="AS202" i="63" s="1"/>
  <c r="M202" i="63" l="1"/>
  <c r="L202" i="63" s="1"/>
  <c r="Q202" i="63"/>
  <c r="V202" i="63" l="1"/>
  <c r="P202" i="63"/>
  <c r="Z202" i="63"/>
  <c r="AM202" i="63"/>
  <c r="U202" i="63" l="1"/>
  <c r="W202" i="63"/>
  <c r="AT202" i="63" l="1"/>
  <c r="AU202" i="63"/>
  <c r="AV202" i="63" s="1"/>
  <c r="N203" i="63"/>
  <c r="O203" i="63"/>
  <c r="AN203" i="63" l="1"/>
  <c r="AS203" i="63" s="1"/>
  <c r="Q203" i="63"/>
  <c r="V203" i="63" s="1"/>
  <c r="M203" i="63"/>
  <c r="L203" i="63" s="1"/>
  <c r="P203" i="63" l="1"/>
  <c r="Z203" i="63"/>
  <c r="AM203" i="63"/>
  <c r="U203" i="63" l="1"/>
  <c r="W203" i="63"/>
  <c r="N204" i="63" l="1"/>
  <c r="O204" i="63"/>
  <c r="AU203" i="63"/>
  <c r="AV203" i="63" s="1"/>
  <c r="AT203" i="63"/>
  <c r="AN204" i="63" l="1"/>
  <c r="AS204" i="63" s="1"/>
  <c r="Q204" i="63"/>
  <c r="V204" i="63" s="1"/>
  <c r="M204" i="63"/>
  <c r="L204" i="63" s="1"/>
  <c r="P204" i="63" l="1"/>
  <c r="AM204" i="63"/>
  <c r="Z204" i="63"/>
  <c r="U204" i="63" l="1"/>
  <c r="W204" i="63"/>
  <c r="AU204" i="63" l="1"/>
  <c r="AV204" i="63" s="1"/>
  <c r="O205" i="63"/>
  <c r="AT204" i="63"/>
  <c r="N205" i="63"/>
  <c r="M205" i="63" l="1"/>
  <c r="L205" i="63" s="1"/>
  <c r="Q205" i="63"/>
  <c r="V205" i="63" s="1"/>
  <c r="AN205" i="63"/>
  <c r="AS205" i="63" s="1"/>
  <c r="P205" i="63" l="1"/>
  <c r="Z205" i="63"/>
  <c r="AM205" i="63"/>
  <c r="U205" i="63" l="1"/>
  <c r="W205" i="63"/>
  <c r="AU205" i="63" l="1"/>
  <c r="AV205" i="63" s="1"/>
  <c r="O206" i="63"/>
  <c r="AT205" i="63"/>
  <c r="N206" i="63"/>
  <c r="M206" i="63" l="1"/>
  <c r="L206" i="63" s="1"/>
  <c r="Q206" i="63"/>
  <c r="V206" i="63" s="1"/>
  <c r="AN206" i="63"/>
  <c r="AS206" i="63" s="1"/>
  <c r="P206" i="63" l="1"/>
  <c r="U206" i="63" s="1"/>
  <c r="Z206" i="63"/>
  <c r="AM206" i="63"/>
  <c r="W206" i="63" l="1"/>
  <c r="O207" i="63" s="1"/>
  <c r="N207" i="63" l="1"/>
  <c r="AU206" i="63"/>
  <c r="AV206" i="63" s="1"/>
  <c r="AT206" i="63"/>
  <c r="M207" i="63"/>
  <c r="L207" i="63" s="1"/>
  <c r="Q207" i="63"/>
  <c r="V207" i="63" s="1"/>
  <c r="AN207" i="63"/>
  <c r="AS207" i="63" s="1"/>
  <c r="P207" i="63" l="1"/>
  <c r="U207" i="63" s="1"/>
  <c r="Z207" i="63"/>
  <c r="AM207" i="63"/>
  <c r="W207" i="63" l="1"/>
  <c r="O208" i="63" s="1"/>
  <c r="N208" i="63" l="1"/>
  <c r="AU207" i="63"/>
  <c r="AV207" i="63" s="1"/>
  <c r="AT207" i="63"/>
  <c r="Q208" i="63"/>
  <c r="V208" i="63" s="1"/>
  <c r="M208" i="63"/>
  <c r="L208" i="63" s="1"/>
  <c r="AN208" i="63"/>
  <c r="AS208" i="63" s="1"/>
  <c r="P208" i="63" l="1"/>
  <c r="U208" i="63" s="1"/>
  <c r="AM208" i="63"/>
  <c r="Z208" i="63"/>
  <c r="W208" i="63" l="1"/>
  <c r="AU208" i="63" s="1"/>
  <c r="AV208" i="63" s="1"/>
  <c r="AT208" i="63" l="1"/>
  <c r="N209" i="63"/>
  <c r="O209" i="63"/>
  <c r="Q209" i="63"/>
  <c r="V209" i="63" s="1"/>
  <c r="M209" i="63"/>
  <c r="L209" i="63" s="1"/>
  <c r="AN209" i="63"/>
  <c r="AS209" i="63" s="1"/>
  <c r="P209" i="63" l="1"/>
  <c r="U209" i="63" s="1"/>
  <c r="AM209" i="63"/>
  <c r="Z209" i="63"/>
  <c r="W209" i="63" l="1"/>
  <c r="AT209" i="63" s="1"/>
  <c r="O210" i="63"/>
  <c r="AN210" i="63" s="1"/>
  <c r="AS210" i="63" s="1"/>
  <c r="AU209" i="63" l="1"/>
  <c r="AV209" i="63" s="1"/>
  <c r="N210" i="63"/>
  <c r="M210" i="63"/>
  <c r="L210" i="63" s="1"/>
  <c r="Q210" i="63"/>
  <c r="V210" i="63" s="1"/>
  <c r="AM210" i="63" l="1"/>
  <c r="Z210" i="63"/>
  <c r="P210" i="63"/>
  <c r="W210" i="63" l="1"/>
  <c r="U210" i="63"/>
  <c r="N211" i="63" l="1"/>
  <c r="O211" i="63"/>
  <c r="AN211" i="63" s="1"/>
  <c r="AS211" i="63" s="1"/>
  <c r="AT210" i="63"/>
  <c r="AU210" i="63"/>
  <c r="AV210" i="63" s="1"/>
  <c r="Q211" i="63" l="1"/>
  <c r="M211" i="63"/>
  <c r="L211" i="63" s="1"/>
  <c r="Z211" i="63" l="1"/>
  <c r="AM211" i="63"/>
  <c r="P211" i="63"/>
  <c r="V211" i="63"/>
  <c r="U211" i="63" l="1"/>
  <c r="W211" i="63"/>
  <c r="N212" i="63" l="1"/>
  <c r="AT211" i="63"/>
  <c r="AU211" i="63"/>
  <c r="AV211" i="63" s="1"/>
  <c r="O212" i="63"/>
  <c r="AN212" i="63" s="1"/>
  <c r="AS212" i="63" s="1"/>
  <c r="M212" i="63" l="1"/>
  <c r="L212" i="63" s="1"/>
  <c r="Q212" i="63"/>
  <c r="V212" i="63" l="1"/>
  <c r="P212" i="63"/>
  <c r="Z212" i="63"/>
  <c r="AM212" i="63"/>
  <c r="W212" i="63" l="1"/>
  <c r="U212" i="63"/>
  <c r="N213" i="63" l="1"/>
  <c r="AU212" i="63"/>
  <c r="AV212" i="63" s="1"/>
  <c r="AT212" i="63"/>
  <c r="O213" i="63"/>
  <c r="AN213" i="63" s="1"/>
  <c r="AS213" i="63" s="1"/>
  <c r="M213" i="63" l="1"/>
  <c r="L213" i="63" s="1"/>
  <c r="Q213" i="63"/>
  <c r="P213" i="63" l="1"/>
  <c r="V213" i="63"/>
  <c r="Z213" i="63"/>
  <c r="AM213" i="63"/>
  <c r="U213" i="63" l="1"/>
  <c r="W213" i="63"/>
  <c r="AU213" i="63" l="1"/>
  <c r="AV213" i="63" s="1"/>
  <c r="N214" i="63"/>
  <c r="AT213" i="63"/>
  <c r="O214" i="63"/>
  <c r="AN214" i="63" s="1"/>
  <c r="AS214" i="63" s="1"/>
  <c r="Q214" i="63" l="1"/>
  <c r="M214" i="63"/>
  <c r="L214" i="63" s="1"/>
  <c r="V214" i="63" l="1"/>
  <c r="P214" i="63"/>
  <c r="Z214" i="63"/>
  <c r="AM214" i="63"/>
  <c r="U214" i="63" l="1"/>
  <c r="W214" i="63"/>
  <c r="N215" i="63" l="1"/>
  <c r="AU214" i="63"/>
  <c r="AV214" i="63" s="1"/>
  <c r="AT214" i="63"/>
  <c r="O215" i="63"/>
  <c r="AN215" i="63" s="1"/>
  <c r="AS215" i="63" s="1"/>
  <c r="M215" i="63" l="1"/>
  <c r="L215" i="63" s="1"/>
  <c r="Q215" i="63"/>
  <c r="P215" i="63" l="1"/>
  <c r="V215" i="63"/>
  <c r="Z215" i="63"/>
  <c r="AM215" i="63"/>
  <c r="U215" i="63" l="1"/>
  <c r="W215" i="63"/>
  <c r="O216" i="63" l="1"/>
  <c r="AN216" i="63" s="1"/>
  <c r="AS216" i="63" s="1"/>
  <c r="AU215" i="63"/>
  <c r="AV215" i="63" s="1"/>
  <c r="AT215" i="63"/>
  <c r="N216" i="63"/>
  <c r="M216" i="63" l="1"/>
  <c r="L216" i="63" s="1"/>
  <c r="Q216" i="63"/>
  <c r="V216" i="63" l="1"/>
  <c r="P216" i="63"/>
  <c r="AM216" i="63"/>
  <c r="Z216" i="63"/>
  <c r="U216" i="63" l="1"/>
  <c r="W216" i="63"/>
  <c r="AT216" i="63" l="1"/>
  <c r="O217" i="63"/>
  <c r="AN217" i="63" s="1"/>
  <c r="AS217" i="63" s="1"/>
  <c r="AU216" i="63"/>
  <c r="AV216" i="63" s="1"/>
  <c r="N217" i="63"/>
  <c r="Q217" i="63" l="1"/>
  <c r="M217" i="63"/>
  <c r="L217" i="63" s="1"/>
  <c r="AM217" i="63" l="1"/>
  <c r="Z217" i="63"/>
  <c r="V217" i="63"/>
  <c r="P217" i="63"/>
  <c r="W217" i="63" l="1"/>
  <c r="U217" i="63"/>
  <c r="N218" i="63" l="1"/>
  <c r="AU217" i="63"/>
  <c r="AV217" i="63" s="1"/>
  <c r="AT217" i="63"/>
  <c r="O218" i="63"/>
  <c r="AN218" i="63" s="1"/>
  <c r="AS218" i="63" s="1"/>
  <c r="Q218" i="63" l="1"/>
  <c r="M218" i="63"/>
  <c r="L218" i="63" s="1"/>
  <c r="Z218" i="63" l="1"/>
  <c r="AM218" i="63"/>
  <c r="V218" i="63"/>
  <c r="P218" i="63"/>
  <c r="U218" i="63" l="1"/>
  <c r="W218" i="63"/>
  <c r="AT218" i="63" l="1"/>
  <c r="AU218" i="63"/>
  <c r="AV218" i="63" s="1"/>
  <c r="O219" i="63"/>
  <c r="AN219" i="63" s="1"/>
  <c r="AS219" i="63" s="1"/>
  <c r="N219" i="63"/>
  <c r="Q219" i="63" l="1"/>
  <c r="M219" i="63"/>
  <c r="L219" i="63" s="1"/>
  <c r="AM219" i="63" l="1"/>
  <c r="Z219" i="63"/>
  <c r="P219" i="63"/>
  <c r="V219" i="63"/>
  <c r="U219" i="63" l="1"/>
  <c r="W219" i="63"/>
  <c r="N220" i="63" l="1"/>
  <c r="AT219" i="63"/>
  <c r="AU219" i="63"/>
  <c r="AV219" i="63" s="1"/>
  <c r="O220" i="63"/>
  <c r="AN220" i="63" s="1"/>
  <c r="AS220" i="63" s="1"/>
  <c r="Q220" i="63" l="1"/>
  <c r="M220" i="63"/>
  <c r="L220" i="63" s="1"/>
  <c r="Z220" i="63" l="1"/>
  <c r="AM220" i="63"/>
  <c r="V220" i="63"/>
  <c r="P220" i="63"/>
  <c r="W220" i="63" l="1"/>
  <c r="U220" i="63"/>
  <c r="N221" i="63" l="1"/>
  <c r="AU220" i="63"/>
  <c r="AV220" i="63" s="1"/>
  <c r="AT220" i="63"/>
  <c r="O221" i="63"/>
  <c r="AN221" i="63" s="1"/>
  <c r="AS221" i="63" s="1"/>
  <c r="Q221" i="63" l="1"/>
  <c r="M221" i="63"/>
  <c r="L221" i="63" s="1"/>
  <c r="AM221" i="63" l="1"/>
  <c r="Z221" i="63"/>
  <c r="V221" i="63"/>
  <c r="P221" i="63"/>
  <c r="U221" i="63" l="1"/>
  <c r="W221" i="63"/>
  <c r="AT221" i="63" l="1"/>
  <c r="N222" i="63"/>
  <c r="AU221" i="63"/>
  <c r="AV221" i="63" s="1"/>
  <c r="O222" i="63"/>
  <c r="AN222" i="63" s="1"/>
  <c r="AS222" i="63" s="1"/>
  <c r="Q222" i="63" l="1"/>
  <c r="M222" i="63"/>
  <c r="L222" i="63" s="1"/>
  <c r="AM222" i="63" l="1"/>
  <c r="Z222" i="63"/>
  <c r="P222" i="63"/>
  <c r="V222" i="63"/>
  <c r="U222" i="63" l="1"/>
  <c r="W222" i="63"/>
  <c r="AU222" i="63" l="1"/>
  <c r="AV222" i="63" s="1"/>
  <c r="N223" i="63"/>
  <c r="O223" i="63"/>
  <c r="AN223" i="63" s="1"/>
  <c r="AS223" i="63" s="1"/>
  <c r="AT222" i="63"/>
  <c r="M223" i="63" l="1"/>
  <c r="L223" i="63" s="1"/>
  <c r="Q223" i="63"/>
  <c r="P223" i="63" l="1"/>
  <c r="V223" i="63"/>
  <c r="AM223" i="63"/>
  <c r="Z223" i="63"/>
  <c r="U223" i="63" l="1"/>
  <c r="W223" i="63"/>
  <c r="AT223" i="63" l="1"/>
  <c r="AU223" i="63"/>
  <c r="AV223" i="63" s="1"/>
  <c r="N224" i="63"/>
  <c r="O224" i="63"/>
  <c r="AN224" i="63" s="1"/>
  <c r="AS224" i="63" s="1"/>
  <c r="M224" i="63" l="1"/>
  <c r="L224" i="63" s="1"/>
  <c r="Q224" i="63"/>
  <c r="V224" i="63" l="1"/>
  <c r="P224" i="63"/>
  <c r="AM224" i="63"/>
  <c r="Z224" i="63"/>
  <c r="W224" i="63" l="1"/>
  <c r="U224" i="63"/>
  <c r="AU224" i="63" l="1"/>
  <c r="AV224" i="63" s="1"/>
  <c r="O225" i="63"/>
  <c r="AN225" i="63" s="1"/>
  <c r="AS225" i="63" s="1"/>
  <c r="AT224" i="63"/>
  <c r="N225" i="63"/>
  <c r="Q225" i="63" l="1"/>
  <c r="M225" i="63"/>
  <c r="L225" i="63" s="1"/>
  <c r="Z225" i="63" l="1"/>
  <c r="AM225" i="63"/>
  <c r="V225" i="63"/>
  <c r="P225" i="63"/>
  <c r="U225" i="63" l="1"/>
  <c r="W225" i="63"/>
  <c r="N226" i="63" l="1"/>
  <c r="AT225" i="63"/>
  <c r="O226" i="63"/>
  <c r="AN226" i="63" s="1"/>
  <c r="AS226" i="63" s="1"/>
  <c r="AU225" i="63"/>
  <c r="AV225" i="63" s="1"/>
  <c r="M226" i="63" l="1"/>
  <c r="L226" i="63" s="1"/>
  <c r="Q226" i="63"/>
  <c r="V226" i="63" l="1"/>
  <c r="P226" i="63"/>
  <c r="AM226" i="63"/>
  <c r="Z226" i="63"/>
  <c r="W226" i="63" l="1"/>
  <c r="U226" i="63"/>
  <c r="AU226" i="63" l="1"/>
  <c r="AV226" i="63" s="1"/>
  <c r="O227" i="63"/>
  <c r="AN227" i="63" s="1"/>
  <c r="AS227" i="63" s="1"/>
  <c r="N227" i="63"/>
  <c r="AT226" i="63"/>
  <c r="M227" i="63" l="1"/>
  <c r="L227" i="63" s="1"/>
  <c r="Q227" i="63"/>
  <c r="V227" i="63" l="1"/>
  <c r="P227" i="63"/>
  <c r="AM227" i="63"/>
  <c r="Z227" i="63"/>
  <c r="W227" i="63" l="1"/>
  <c r="U227" i="63"/>
  <c r="N228" i="63" l="1"/>
  <c r="O228" i="63"/>
  <c r="AN228" i="63" s="1"/>
  <c r="AS228" i="63" s="1"/>
  <c r="AT227" i="63"/>
  <c r="AU227" i="63"/>
  <c r="AV227" i="63" s="1"/>
  <c r="M228" i="63" l="1"/>
  <c r="L228" i="63" s="1"/>
  <c r="Q228" i="63"/>
  <c r="V228" i="63" l="1"/>
  <c r="P228" i="63"/>
  <c r="AM228" i="63"/>
  <c r="Z228" i="63"/>
  <c r="W228" i="63" l="1"/>
  <c r="U228" i="63"/>
  <c r="AU228" i="63" l="1"/>
  <c r="AV228" i="63" s="1"/>
  <c r="N229" i="63"/>
  <c r="AT228" i="63"/>
  <c r="O229" i="63"/>
  <c r="AN229" i="63" l="1"/>
  <c r="AS229" i="63" s="1"/>
  <c r="M229" i="63"/>
  <c r="L229" i="63" s="1"/>
  <c r="Q229" i="63"/>
  <c r="V229" i="63" s="1"/>
  <c r="Z229" i="63" l="1"/>
  <c r="AM229" i="63"/>
  <c r="P229" i="63"/>
  <c r="W229" i="63" l="1"/>
  <c r="U229" i="63"/>
  <c r="AU229" i="63" l="1"/>
  <c r="AV229" i="63" s="1"/>
  <c r="N230" i="63"/>
  <c r="AT229" i="63"/>
  <c r="O230" i="63"/>
  <c r="AN230" i="63" l="1"/>
  <c r="AS230" i="63" s="1"/>
  <c r="M230" i="63"/>
  <c r="L230" i="63" s="1"/>
  <c r="Q230" i="63"/>
  <c r="V230" i="63" s="1"/>
  <c r="Z230" i="63" l="1"/>
  <c r="AM230" i="63"/>
  <c r="P230" i="63"/>
  <c r="U230" i="63" l="1"/>
  <c r="W230" i="63"/>
  <c r="AT230" i="63" l="1"/>
  <c r="AU230" i="63"/>
  <c r="AV230" i="63" s="1"/>
  <c r="N231" i="63"/>
  <c r="O231" i="63"/>
  <c r="Q231" i="63" l="1"/>
  <c r="V231" i="63" s="1"/>
  <c r="M231" i="63"/>
  <c r="L231" i="63" s="1"/>
  <c r="AN231" i="63"/>
  <c r="AS231" i="63" s="1"/>
  <c r="P231" i="63" l="1"/>
  <c r="U231" i="63" s="1"/>
  <c r="AM231" i="63"/>
  <c r="Z231" i="63"/>
  <c r="W231" i="63" l="1"/>
  <c r="AU231" i="63" s="1"/>
  <c r="AV231" i="63" s="1"/>
  <c r="N232" i="63" l="1"/>
  <c r="Q232" i="63" s="1"/>
  <c r="AT231" i="63"/>
  <c r="O232" i="63"/>
  <c r="AN232" i="63" s="1"/>
  <c r="AS232" i="63" s="1"/>
  <c r="M232" i="63"/>
  <c r="L232" i="63" s="1"/>
  <c r="Z232" i="63" l="1"/>
  <c r="AM232" i="63"/>
  <c r="V232" i="63"/>
  <c r="P232" i="63"/>
  <c r="W232" i="63" l="1"/>
  <c r="U232" i="63"/>
  <c r="AU232" i="63" l="1"/>
  <c r="AV232" i="63" s="1"/>
  <c r="AT232" i="63"/>
  <c r="N233" i="63"/>
  <c r="O233" i="63"/>
  <c r="AN233" i="63" s="1"/>
  <c r="AS233" i="63" s="1"/>
  <c r="M233" i="63" l="1"/>
  <c r="L233" i="63" s="1"/>
  <c r="Q233" i="63"/>
  <c r="V233" i="63" l="1"/>
  <c r="P233" i="63"/>
  <c r="AM233" i="63"/>
  <c r="Z233" i="63"/>
  <c r="U233" i="63" l="1"/>
  <c r="W233" i="63"/>
  <c r="O234" i="63" l="1"/>
  <c r="AU233" i="63"/>
  <c r="AV233" i="63" s="1"/>
  <c r="N234" i="63"/>
  <c r="AT233" i="63"/>
  <c r="M234" i="63" l="1"/>
  <c r="L234" i="63" s="1"/>
  <c r="Q234" i="63"/>
  <c r="V234" i="63" s="1"/>
  <c r="AN234" i="63"/>
  <c r="AS234" i="63" s="1"/>
  <c r="P234" i="63" l="1"/>
  <c r="U234" i="63" s="1"/>
  <c r="AM234" i="63"/>
  <c r="Z234" i="63"/>
  <c r="W234" i="63" l="1"/>
  <c r="AT234" i="63" s="1"/>
  <c r="O235" i="63" l="1"/>
  <c r="AN235" i="63" s="1"/>
  <c r="AS235" i="63" s="1"/>
  <c r="N235" i="63"/>
  <c r="Q235" i="63" s="1"/>
  <c r="AU234" i="63"/>
  <c r="AV234" i="63" s="1"/>
  <c r="M235" i="63" l="1"/>
  <c r="L235" i="63" s="1"/>
  <c r="Z235" i="63" s="1"/>
  <c r="V235" i="63"/>
  <c r="P235" i="63"/>
  <c r="AM235" i="63" l="1"/>
  <c r="W235" i="63"/>
  <c r="U235" i="63"/>
  <c r="AT235" i="63" l="1"/>
  <c r="N236" i="63"/>
  <c r="O236" i="63"/>
  <c r="AN236" i="63" s="1"/>
  <c r="AS236" i="63" s="1"/>
  <c r="AU235" i="63"/>
  <c r="AV235" i="63" s="1"/>
  <c r="Q236" i="63" l="1"/>
  <c r="M236" i="63"/>
  <c r="L236" i="63" s="1"/>
  <c r="Z236" i="63" l="1"/>
  <c r="AM236" i="63"/>
  <c r="V236" i="63"/>
  <c r="P236" i="63"/>
  <c r="U236" i="63" l="1"/>
  <c r="W236" i="63"/>
  <c r="O237" i="63" l="1"/>
  <c r="AN237" i="63" s="1"/>
  <c r="AS237" i="63" s="1"/>
  <c r="AU236" i="63"/>
  <c r="AV236" i="63" s="1"/>
  <c r="AT236" i="63"/>
  <c r="N237" i="63"/>
  <c r="M237" i="63" l="1"/>
  <c r="L237" i="63" s="1"/>
  <c r="Q237" i="63"/>
  <c r="V237" i="63" l="1"/>
  <c r="P237" i="63"/>
  <c r="AM237" i="63"/>
  <c r="Z237" i="63"/>
  <c r="W237" i="63" l="1"/>
  <c r="U237" i="63"/>
  <c r="AU237" i="63" l="1"/>
  <c r="AV237" i="63" s="1"/>
  <c r="O238" i="63"/>
  <c r="AT237" i="63"/>
  <c r="N238" i="63"/>
  <c r="AN238" i="63" l="1"/>
  <c r="AS238" i="63" s="1"/>
  <c r="Q238" i="63"/>
  <c r="V238" i="63" s="1"/>
  <c r="M238" i="63"/>
  <c r="L238" i="63" s="1"/>
  <c r="P238" i="63" l="1"/>
  <c r="Z238" i="63"/>
  <c r="AM238" i="63"/>
  <c r="W238" i="63" l="1"/>
  <c r="U238" i="63"/>
  <c r="N239" i="63" l="1"/>
  <c r="O239" i="63"/>
  <c r="AU238" i="63"/>
  <c r="AV238" i="63" s="1"/>
  <c r="AT238" i="63"/>
  <c r="AN239" i="63" l="1"/>
  <c r="AS239" i="63" s="1"/>
  <c r="M239" i="63"/>
  <c r="L239" i="63" s="1"/>
  <c r="Q239" i="63"/>
  <c r="V239" i="63" s="1"/>
  <c r="Z239" i="63" l="1"/>
  <c r="AM239" i="63"/>
  <c r="P239" i="63"/>
  <c r="U239" i="63" l="1"/>
  <c r="W239" i="63"/>
  <c r="O240" i="63" l="1"/>
  <c r="N240" i="63"/>
  <c r="AU239" i="63"/>
  <c r="AV239" i="63" s="1"/>
  <c r="AT239" i="63"/>
  <c r="M240" i="63" l="1"/>
  <c r="L240" i="63" s="1"/>
  <c r="Q240" i="63"/>
  <c r="V240" i="63" s="1"/>
  <c r="AN240" i="63"/>
  <c r="AS240" i="63" s="1"/>
  <c r="P240" i="63" l="1"/>
  <c r="AM240" i="63"/>
  <c r="Z240" i="63"/>
  <c r="U240" i="63" l="1"/>
  <c r="W240" i="63"/>
  <c r="AT240" i="63" l="1"/>
  <c r="AU240" i="63"/>
  <c r="AV240" i="63" s="1"/>
  <c r="N241" i="63"/>
  <c r="O241" i="63"/>
  <c r="AN241" i="63" l="1"/>
  <c r="AS241" i="63" s="1"/>
  <c r="Q241" i="63"/>
  <c r="V241" i="63" s="1"/>
  <c r="M241" i="63"/>
  <c r="L241" i="63" s="1"/>
  <c r="AM241" i="63" l="1"/>
  <c r="Z241" i="63"/>
  <c r="P241" i="63"/>
  <c r="W241" i="63" l="1"/>
  <c r="U241" i="63"/>
  <c r="AT241" i="63" l="1"/>
  <c r="N242" i="63"/>
  <c r="AU241" i="63"/>
  <c r="AV241" i="63" s="1"/>
  <c r="O242" i="63"/>
  <c r="Q242" i="63" l="1"/>
  <c r="V242" i="63" s="1"/>
  <c r="M242" i="63"/>
  <c r="L242" i="63" s="1"/>
  <c r="AN242" i="63"/>
  <c r="AS242" i="63" s="1"/>
  <c r="P242" i="63" l="1"/>
  <c r="U242" i="63" s="1"/>
  <c r="AM242" i="63"/>
  <c r="Z242" i="63"/>
  <c r="W242" i="63" l="1"/>
  <c r="O243" i="63" s="1"/>
  <c r="AT242" i="63" l="1"/>
  <c r="N243" i="63"/>
  <c r="AU242" i="63"/>
  <c r="AV242" i="63" s="1"/>
  <c r="M243" i="63"/>
  <c r="L243" i="63" s="1"/>
  <c r="Q243" i="63"/>
  <c r="V243" i="63" s="1"/>
  <c r="AN243" i="63"/>
  <c r="AS243" i="63" s="1"/>
  <c r="P243" i="63" l="1"/>
  <c r="AM243" i="63"/>
  <c r="Z243" i="63"/>
  <c r="U243" i="63" l="1"/>
  <c r="W243" i="63"/>
  <c r="O244" i="63" l="1"/>
  <c r="AT243" i="63"/>
  <c r="N244" i="63"/>
  <c r="AU243" i="63"/>
  <c r="AV243" i="63" s="1"/>
  <c r="Q244" i="63" l="1"/>
  <c r="V244" i="63" s="1"/>
  <c r="M244" i="63"/>
  <c r="L244" i="63" s="1"/>
  <c r="AN244" i="63"/>
  <c r="AS244" i="63" s="1"/>
  <c r="P244" i="63" l="1"/>
  <c r="U244" i="63" s="1"/>
  <c r="Z244" i="63"/>
  <c r="AM244" i="63"/>
  <c r="W244" i="63" l="1"/>
  <c r="AU244" i="63" s="1"/>
  <c r="AV244" i="63" s="1"/>
  <c r="AT244" i="63" l="1"/>
  <c r="O245" i="63"/>
  <c r="AN245" i="63" s="1"/>
  <c r="AS245" i="63" s="1"/>
  <c r="N245" i="63"/>
  <c r="M245" i="63" s="1"/>
  <c r="L245" i="63" s="1"/>
  <c r="Q245" i="63" l="1"/>
  <c r="V245" i="63" s="1"/>
  <c r="AM245" i="63"/>
  <c r="Z245" i="63"/>
  <c r="P245" i="63"/>
  <c r="W245" i="63" l="1"/>
  <c r="U245" i="63"/>
  <c r="N246" i="63" l="1"/>
  <c r="AT245" i="63"/>
  <c r="AU245" i="63"/>
  <c r="AV245" i="63" s="1"/>
  <c r="O246" i="63"/>
  <c r="AN246" i="63" l="1"/>
  <c r="AS246" i="63" s="1"/>
  <c r="M246" i="63"/>
  <c r="L246" i="63" s="1"/>
  <c r="Q246" i="63"/>
  <c r="V246" i="63" s="1"/>
  <c r="AM246" i="63" l="1"/>
  <c r="Z246" i="63"/>
  <c r="P246" i="63"/>
  <c r="U246" i="63" l="1"/>
  <c r="W246" i="63"/>
  <c r="AU246" i="63" l="1"/>
  <c r="AV246" i="63" s="1"/>
  <c r="O247" i="63"/>
  <c r="AT246" i="63"/>
  <c r="N247" i="63"/>
  <c r="M247" i="63" l="1"/>
  <c r="L247" i="63" s="1"/>
  <c r="Q247" i="63"/>
  <c r="V247" i="63" s="1"/>
  <c r="AN247" i="63"/>
  <c r="AS247" i="63" s="1"/>
  <c r="P247" i="63" l="1"/>
  <c r="AM247" i="63"/>
  <c r="Z247" i="63"/>
  <c r="U247" i="63" l="1"/>
  <c r="W247" i="63"/>
  <c r="O248" i="63" l="1"/>
  <c r="N248" i="63"/>
  <c r="AT247" i="63"/>
  <c r="AU247" i="63"/>
  <c r="AV247" i="63" s="1"/>
  <c r="Q248" i="63" l="1"/>
  <c r="V248" i="63" s="1"/>
  <c r="M248" i="63"/>
  <c r="L248" i="63" s="1"/>
  <c r="AN248" i="63"/>
  <c r="AS248" i="63" s="1"/>
  <c r="Z248" i="63" l="1"/>
  <c r="AM248" i="63"/>
  <c r="P248" i="63"/>
  <c r="U248" i="63" l="1"/>
  <c r="W248" i="63"/>
  <c r="AT248" i="63" l="1"/>
  <c r="N249" i="63"/>
  <c r="AU248" i="63"/>
  <c r="AV248" i="63" s="1"/>
  <c r="O249" i="63"/>
  <c r="AN249" i="63" l="1"/>
  <c r="AS249" i="63" s="1"/>
  <c r="Q249" i="63"/>
  <c r="V249" i="63" s="1"/>
  <c r="M249" i="63"/>
  <c r="L249" i="63" s="1"/>
  <c r="Z249" i="63" l="1"/>
  <c r="AM249" i="63"/>
  <c r="P249" i="63"/>
  <c r="U249" i="63" l="1"/>
  <c r="W249" i="63"/>
  <c r="O250" i="63" l="1"/>
  <c r="AU249" i="63"/>
  <c r="AV249" i="63" s="1"/>
  <c r="AT249" i="63"/>
  <c r="N250" i="63"/>
  <c r="M250" i="63" l="1"/>
  <c r="L250" i="63" s="1"/>
  <c r="Q250" i="63"/>
  <c r="V250" i="63" s="1"/>
  <c r="AN250" i="63"/>
  <c r="AS250" i="63" s="1"/>
  <c r="P250" i="63" l="1"/>
  <c r="AM250" i="63"/>
  <c r="Z250" i="63"/>
  <c r="U250" i="63" l="1"/>
  <c r="W250" i="63"/>
  <c r="N251" i="63" l="1"/>
  <c r="AU250" i="63"/>
  <c r="AV250" i="63" s="1"/>
  <c r="AT250" i="63"/>
  <c r="O251" i="63"/>
  <c r="AN251" i="63" l="1"/>
  <c r="AS251" i="63" s="1"/>
  <c r="M251" i="63"/>
  <c r="L251" i="63" s="1"/>
  <c r="Q251" i="63"/>
  <c r="V251" i="63" s="1"/>
  <c r="Z251" i="63" l="1"/>
  <c r="AM251" i="63"/>
  <c r="P251" i="63"/>
  <c r="W251" i="63" l="1"/>
  <c r="U251" i="63"/>
  <c r="AT251" i="63" l="1"/>
  <c r="AU251" i="63"/>
  <c r="AV251" i="63" s="1"/>
  <c r="N252" i="63"/>
  <c r="O252" i="63"/>
  <c r="AN252" i="63" l="1"/>
  <c r="AS252" i="63" s="1"/>
  <c r="M252" i="63"/>
  <c r="L252" i="63" s="1"/>
  <c r="Q252" i="63"/>
  <c r="V252" i="63" s="1"/>
  <c r="Z252" i="63" l="1"/>
  <c r="AM252" i="63"/>
  <c r="P252" i="63"/>
  <c r="U252" i="63" l="1"/>
  <c r="W252" i="63"/>
  <c r="N253" i="63" l="1"/>
  <c r="AT252" i="63"/>
  <c r="O253" i="63"/>
  <c r="AU252" i="63"/>
  <c r="AV252" i="63" s="1"/>
  <c r="AN253" i="63" l="1"/>
  <c r="AS253" i="63" s="1"/>
  <c r="M253" i="63"/>
  <c r="L253" i="63" s="1"/>
  <c r="Q253" i="63"/>
  <c r="V253" i="63" s="1"/>
  <c r="AM253" i="63" l="1"/>
  <c r="Z253" i="63"/>
  <c r="P253" i="63"/>
  <c r="U253" i="63" l="1"/>
  <c r="W253" i="63"/>
  <c r="N254" i="63" l="1"/>
  <c r="AU253" i="63"/>
  <c r="AV253" i="63" s="1"/>
  <c r="O254" i="63"/>
  <c r="AT253" i="63"/>
  <c r="AN254" i="63" l="1"/>
  <c r="AS254" i="63" s="1"/>
  <c r="Q254" i="63"/>
  <c r="V254" i="63" s="1"/>
  <c r="M254" i="63"/>
  <c r="L254" i="63" s="1"/>
  <c r="AM254" i="63" l="1"/>
  <c r="Z254" i="63"/>
  <c r="P254" i="63"/>
  <c r="U254" i="63" l="1"/>
  <c r="W254" i="63"/>
  <c r="AT254" i="63" l="1"/>
  <c r="N255" i="63"/>
  <c r="AU254" i="63"/>
  <c r="AV254" i="63" s="1"/>
  <c r="O255" i="63"/>
  <c r="AN255" i="63" l="1"/>
  <c r="AS255" i="63" s="1"/>
  <c r="M255" i="63"/>
  <c r="L255" i="63" s="1"/>
  <c r="Q255" i="63"/>
  <c r="V255" i="63" s="1"/>
  <c r="AM255" i="63" l="1"/>
  <c r="Z255" i="63"/>
  <c r="P255" i="63"/>
  <c r="U255" i="63" l="1"/>
  <c r="W255" i="63"/>
  <c r="N256" i="63" l="1"/>
  <c r="O256" i="63"/>
  <c r="AU255" i="63"/>
  <c r="AV255" i="63" s="1"/>
  <c r="AT255" i="63"/>
  <c r="AN256" i="63" l="1"/>
  <c r="AS256" i="63" s="1"/>
  <c r="M256" i="63"/>
  <c r="L256" i="63" s="1"/>
  <c r="Q256" i="63"/>
  <c r="V256" i="63" s="1"/>
  <c r="AM256" i="63" l="1"/>
  <c r="Z256" i="63"/>
  <c r="P256" i="63"/>
  <c r="U256" i="63" l="1"/>
  <c r="W256" i="63"/>
  <c r="AU256" i="63" l="1"/>
  <c r="AV256" i="63" s="1"/>
  <c r="N257" i="63"/>
  <c r="AT256" i="63"/>
  <c r="O257" i="63"/>
  <c r="AN257" i="63" l="1"/>
  <c r="AS257" i="63" s="1"/>
  <c r="M257" i="63"/>
  <c r="L257" i="63" s="1"/>
  <c r="Q257" i="63"/>
  <c r="V257" i="63" s="1"/>
  <c r="AM257" i="63" l="1"/>
  <c r="Z257" i="63"/>
  <c r="P257" i="63"/>
  <c r="U257" i="63" l="1"/>
  <c r="W257" i="63"/>
  <c r="AU257" i="63" l="1"/>
  <c r="AV257" i="63" s="1"/>
  <c r="AT257" i="63"/>
  <c r="N258" i="63"/>
  <c r="O258" i="63"/>
  <c r="AN258" i="63" l="1"/>
  <c r="AS258" i="63" s="1"/>
  <c r="M258" i="63"/>
  <c r="L258" i="63" s="1"/>
  <c r="Q258" i="63"/>
  <c r="V258" i="63" s="1"/>
  <c r="Z258" i="63" l="1"/>
  <c r="AM258" i="63"/>
  <c r="P258" i="63"/>
  <c r="U258" i="63" l="1"/>
  <c r="W258" i="63"/>
  <c r="AT258" i="63" l="1"/>
  <c r="N259" i="63"/>
  <c r="AU258" i="63"/>
  <c r="AV258" i="63" s="1"/>
  <c r="O259" i="63"/>
  <c r="AN259" i="63" l="1"/>
  <c r="AS259" i="63" s="1"/>
  <c r="Q259" i="63"/>
  <c r="V259" i="63" s="1"/>
  <c r="M259" i="63"/>
  <c r="L259" i="63" s="1"/>
  <c r="AM259" i="63" l="1"/>
  <c r="Z259" i="63"/>
  <c r="P259" i="63"/>
  <c r="U259" i="63" l="1"/>
  <c r="W259" i="63"/>
  <c r="AU259" i="63" l="1"/>
  <c r="AV259" i="63" s="1"/>
  <c r="AT259" i="63"/>
  <c r="N260" i="63"/>
  <c r="O260" i="63"/>
  <c r="AN260" i="63" l="1"/>
  <c r="AS260" i="63" s="1"/>
  <c r="Q260" i="63"/>
  <c r="V260" i="63" s="1"/>
  <c r="M260" i="63"/>
  <c r="L260" i="63" s="1"/>
  <c r="Z260" i="63" l="1"/>
  <c r="AM260" i="63"/>
  <c r="P260" i="63"/>
  <c r="U260" i="63" l="1"/>
  <c r="W260" i="63"/>
  <c r="O261" i="63" l="1"/>
  <c r="AT260" i="63"/>
  <c r="AU260" i="63"/>
  <c r="AV260" i="63" s="1"/>
  <c r="N261" i="63"/>
  <c r="Q261" i="63" l="1"/>
  <c r="V261" i="63" s="1"/>
  <c r="M261" i="63"/>
  <c r="L261" i="63" s="1"/>
  <c r="AN261" i="63"/>
  <c r="AS261" i="63" s="1"/>
  <c r="P261" i="63" l="1"/>
  <c r="U261" i="63" s="1"/>
  <c r="AM261" i="63"/>
  <c r="Z261" i="63"/>
  <c r="W261" i="63" l="1"/>
  <c r="N262" i="63" s="1"/>
  <c r="O262" i="63"/>
  <c r="AT261" i="63" l="1"/>
  <c r="AU261" i="63"/>
  <c r="AV261" i="63" s="1"/>
  <c r="AN262" i="63"/>
  <c r="AS262" i="63" s="1"/>
  <c r="Q262" i="63"/>
  <c r="V262" i="63" s="1"/>
  <c r="M262" i="63"/>
  <c r="L262" i="63" s="1"/>
  <c r="AM262" i="63" l="1"/>
  <c r="Z262" i="63"/>
  <c r="P262" i="63"/>
  <c r="U262" i="63" l="1"/>
  <c r="W262" i="63"/>
  <c r="N263" i="63" l="1"/>
  <c r="O263" i="63"/>
  <c r="AT262" i="63"/>
  <c r="AU262" i="63"/>
  <c r="AV262" i="63" s="1"/>
  <c r="AN263" i="63" l="1"/>
  <c r="AS263" i="63" s="1"/>
  <c r="Q263" i="63"/>
  <c r="V263" i="63" s="1"/>
  <c r="M263" i="63"/>
  <c r="L263" i="63" s="1"/>
  <c r="AM263" i="63" l="1"/>
  <c r="Z263" i="63"/>
  <c r="P263" i="63"/>
  <c r="U263" i="63" l="1"/>
  <c r="W263" i="63"/>
  <c r="AU263" i="63" l="1"/>
  <c r="AV263" i="63" s="1"/>
  <c r="O264" i="63"/>
  <c r="AT263" i="63"/>
  <c r="N264" i="63"/>
  <c r="Q264" i="63" l="1"/>
  <c r="V264" i="63" s="1"/>
  <c r="M264" i="63"/>
  <c r="L264" i="63" s="1"/>
  <c r="AN264" i="63"/>
  <c r="AS264" i="63" s="1"/>
  <c r="P264" i="63" l="1"/>
  <c r="U264" i="63" s="1"/>
  <c r="Z264" i="63"/>
  <c r="AM264" i="63"/>
  <c r="W264" i="63" l="1"/>
  <c r="N265" i="63" s="1"/>
  <c r="AT264" i="63" l="1"/>
  <c r="O265" i="63"/>
  <c r="AN265" i="63" s="1"/>
  <c r="AS265" i="63" s="1"/>
  <c r="AU264" i="63"/>
  <c r="AV264" i="63" s="1"/>
  <c r="M265" i="63"/>
  <c r="L265" i="63" s="1"/>
  <c r="Q265" i="63"/>
  <c r="V265" i="63" s="1"/>
  <c r="AM265" i="63" l="1"/>
  <c r="Z265" i="63"/>
  <c r="P265" i="63"/>
  <c r="U265" i="63" l="1"/>
  <c r="W265" i="63"/>
  <c r="AU265" i="63" l="1"/>
  <c r="AV265" i="63" s="1"/>
  <c r="N266" i="63"/>
  <c r="AT265" i="63"/>
  <c r="O266" i="63"/>
  <c r="AN266" i="63" l="1"/>
  <c r="AS266" i="63" s="1"/>
  <c r="M266" i="63"/>
  <c r="L266" i="63" s="1"/>
  <c r="Q266" i="63"/>
  <c r="V266" i="63" s="1"/>
  <c r="AM266" i="63" l="1"/>
  <c r="Z266" i="63"/>
  <c r="P266" i="63"/>
  <c r="U266" i="63" l="1"/>
  <c r="W266" i="63"/>
  <c r="O267" i="63" l="1"/>
  <c r="AU266" i="63"/>
  <c r="AV266" i="63" s="1"/>
  <c r="AT266" i="63"/>
  <c r="N267" i="63"/>
  <c r="Q267" i="63" l="1"/>
  <c r="V267" i="63" s="1"/>
  <c r="M267" i="63"/>
  <c r="L267" i="63" s="1"/>
  <c r="AN267" i="63"/>
  <c r="AS267" i="63" s="1"/>
  <c r="P267" i="63" l="1"/>
  <c r="U267" i="63" s="1"/>
  <c r="AM267" i="63"/>
  <c r="Z267" i="63"/>
  <c r="W267" i="63" l="1"/>
  <c r="O268" i="63" s="1"/>
  <c r="N268" i="63" l="1"/>
  <c r="AT267" i="63"/>
  <c r="AU267" i="63"/>
  <c r="AV267" i="63" s="1"/>
  <c r="M268" i="63"/>
  <c r="L268" i="63" s="1"/>
  <c r="Q268" i="63"/>
  <c r="V268" i="63" s="1"/>
  <c r="AN268" i="63"/>
  <c r="AS268" i="63" s="1"/>
  <c r="P268" i="63" l="1"/>
  <c r="U268" i="63" s="1"/>
  <c r="Z268" i="63"/>
  <c r="AM268" i="63"/>
  <c r="W268" i="63" l="1"/>
  <c r="AT268" i="63" s="1"/>
  <c r="AU268" i="63" l="1"/>
  <c r="AV268" i="63" s="1"/>
  <c r="N269" i="63"/>
  <c r="Q269" i="63" s="1"/>
  <c r="V269" i="63" s="1"/>
  <c r="O269" i="63"/>
  <c r="AN269" i="63" s="1"/>
  <c r="AS269" i="63" s="1"/>
  <c r="M269" i="63" l="1"/>
  <c r="L269" i="63" s="1"/>
  <c r="AM269" i="63" s="1"/>
  <c r="P269" i="63"/>
  <c r="Z269" i="63" l="1"/>
  <c r="U269" i="63"/>
  <c r="W269" i="63"/>
  <c r="N270" i="63" l="1"/>
  <c r="AT269" i="63"/>
  <c r="AU269" i="63"/>
  <c r="AV269" i="63" s="1"/>
  <c r="O270" i="63"/>
  <c r="AN270" i="63" l="1"/>
  <c r="AS270" i="63" s="1"/>
  <c r="M270" i="63"/>
  <c r="L270" i="63" s="1"/>
  <c r="Q270" i="63"/>
  <c r="V270" i="63" s="1"/>
  <c r="P270" i="63" l="1"/>
  <c r="Z270" i="63"/>
  <c r="AM270" i="63"/>
  <c r="U270" i="63" l="1"/>
  <c r="W270" i="63"/>
  <c r="O271" i="63" l="1"/>
  <c r="N271" i="63"/>
  <c r="AT270" i="63"/>
  <c r="AU270" i="63"/>
  <c r="AV270" i="63" s="1"/>
  <c r="Q271" i="63" l="1"/>
  <c r="V271" i="63" s="1"/>
  <c r="M271" i="63"/>
  <c r="L271" i="63" s="1"/>
  <c r="AN271" i="63"/>
  <c r="AS271" i="63" s="1"/>
  <c r="P271" i="63" l="1"/>
  <c r="U271" i="63" s="1"/>
  <c r="Z271" i="63"/>
  <c r="AM271" i="63"/>
  <c r="W271" i="63" l="1"/>
  <c r="O272" i="63" s="1"/>
  <c r="N272" i="63" l="1"/>
  <c r="M272" i="63" s="1"/>
  <c r="L272" i="63" s="1"/>
  <c r="AT271" i="63"/>
  <c r="AU271" i="63"/>
  <c r="AV271" i="63" s="1"/>
  <c r="AN272" i="63"/>
  <c r="AS272" i="63" s="1"/>
  <c r="Q272" i="63" l="1"/>
  <c r="V272" i="63" s="1"/>
  <c r="AM272" i="63"/>
  <c r="Z272" i="63"/>
  <c r="P272" i="63" l="1"/>
  <c r="U272" i="63" s="1"/>
  <c r="W272" i="63" l="1"/>
  <c r="AT272" i="63" s="1"/>
  <c r="O273" i="63"/>
  <c r="AU272" i="63"/>
  <c r="AV272" i="63" s="1"/>
  <c r="N273" i="63"/>
  <c r="Q273" i="63" l="1"/>
  <c r="V273" i="63" s="1"/>
  <c r="M273" i="63"/>
  <c r="L273" i="63" s="1"/>
  <c r="AN273" i="63"/>
  <c r="AS273" i="63" s="1"/>
  <c r="P273" i="63" l="1"/>
  <c r="U273" i="63" s="1"/>
  <c r="AM273" i="63"/>
  <c r="Z273" i="63"/>
  <c r="W273" i="63" l="1"/>
  <c r="N274" i="63" s="1"/>
  <c r="O274" i="63" l="1"/>
  <c r="AN274" i="63" s="1"/>
  <c r="AS274" i="63" s="1"/>
  <c r="AT273" i="63"/>
  <c r="AU273" i="63"/>
  <c r="AV273" i="63" s="1"/>
  <c r="Q274" i="63"/>
  <c r="M274" i="63"/>
  <c r="L274" i="63" s="1"/>
  <c r="AM274" i="63" l="1"/>
  <c r="Z274" i="63"/>
  <c r="V274" i="63"/>
  <c r="P274" i="63"/>
  <c r="W274" i="63" l="1"/>
  <c r="U274" i="63"/>
  <c r="AU274" i="63" l="1"/>
  <c r="AV274" i="63" s="1"/>
  <c r="O275" i="63"/>
  <c r="AN275" i="63" s="1"/>
  <c r="AS275" i="63" s="1"/>
  <c r="N275" i="63"/>
  <c r="AT274" i="63"/>
  <c r="M275" i="63" l="1"/>
  <c r="L275" i="63" s="1"/>
  <c r="Q275" i="63"/>
  <c r="V275" i="63" l="1"/>
  <c r="P275" i="63"/>
  <c r="AM275" i="63"/>
  <c r="Z275" i="63"/>
  <c r="W275" i="63" l="1"/>
  <c r="U275" i="63"/>
  <c r="AT275" i="63" l="1"/>
  <c r="AU275" i="63"/>
  <c r="AV275" i="63" s="1"/>
  <c r="O276" i="63"/>
  <c r="AN276" i="63" s="1"/>
  <c r="AS276" i="63" s="1"/>
  <c r="N276" i="63"/>
  <c r="Q276" i="63" l="1"/>
  <c r="M276" i="63"/>
  <c r="L276" i="63" s="1"/>
  <c r="Z276" i="63" l="1"/>
  <c r="AM276" i="63"/>
  <c r="V276" i="63"/>
  <c r="P276" i="63"/>
  <c r="U276" i="63" l="1"/>
  <c r="W276" i="63"/>
  <c r="AT276" i="63" l="1"/>
  <c r="AU276" i="63"/>
  <c r="AV276" i="63" s="1"/>
  <c r="O277" i="63"/>
  <c r="N277" i="63"/>
  <c r="Q277" i="63" l="1"/>
  <c r="V277" i="63" s="1"/>
  <c r="M277" i="63"/>
  <c r="L277" i="63" s="1"/>
  <c r="AN277" i="63"/>
  <c r="AS277" i="63" s="1"/>
  <c r="P277" i="63" l="1"/>
  <c r="U277" i="63" s="1"/>
  <c r="Z277" i="63"/>
  <c r="AM277" i="63"/>
  <c r="W277" i="63" l="1"/>
  <c r="N278" i="63" s="1"/>
  <c r="AU277" i="63" l="1"/>
  <c r="AV277" i="63" s="1"/>
  <c r="O278" i="63"/>
  <c r="AN278" i="63" s="1"/>
  <c r="AS278" i="63" s="1"/>
  <c r="AT277" i="63"/>
  <c r="Q278" i="63"/>
  <c r="M278" i="63"/>
  <c r="L278" i="63" s="1"/>
  <c r="AM278" i="63" l="1"/>
  <c r="Z278" i="63"/>
  <c r="V278" i="63"/>
  <c r="P278" i="63"/>
  <c r="W278" i="63" l="1"/>
  <c r="U278" i="63"/>
  <c r="N279" i="63" l="1"/>
  <c r="AU278" i="63"/>
  <c r="AV278" i="63" s="1"/>
  <c r="AT278" i="63"/>
  <c r="O279" i="63"/>
  <c r="AN279" i="63" s="1"/>
  <c r="AS279" i="63" s="1"/>
  <c r="Q279" i="63" l="1"/>
  <c r="M279" i="63"/>
  <c r="L279" i="63" s="1"/>
  <c r="AM279" i="63" l="1"/>
  <c r="Z279" i="63"/>
  <c r="V279" i="63"/>
  <c r="P279" i="63"/>
  <c r="U279" i="63" l="1"/>
  <c r="W279" i="63"/>
  <c r="AU279" i="63" l="1"/>
  <c r="AV279" i="63" s="1"/>
  <c r="O280" i="63"/>
  <c r="AN280" i="63" s="1"/>
  <c r="AS280" i="63" s="1"/>
  <c r="AT279" i="63"/>
  <c r="N280" i="63"/>
  <c r="M280" i="63" l="1"/>
  <c r="L280" i="63" s="1"/>
  <c r="Q280" i="63"/>
  <c r="V280" i="63" l="1"/>
  <c r="P280" i="63"/>
  <c r="Z280" i="63"/>
  <c r="AM280" i="63"/>
  <c r="W280" i="63" l="1"/>
  <c r="U280" i="63"/>
  <c r="AT280" i="63" l="1"/>
  <c r="N281" i="63"/>
  <c r="AU280" i="63"/>
  <c r="AV280" i="63" s="1"/>
  <c r="O281" i="63"/>
  <c r="AN281" i="63" s="1"/>
  <c r="AS281" i="63" s="1"/>
  <c r="Q281" i="63" l="1"/>
  <c r="M281" i="63"/>
  <c r="L281" i="63" s="1"/>
  <c r="AM281" i="63" l="1"/>
  <c r="Z281" i="63"/>
  <c r="P281" i="63"/>
  <c r="V281" i="63"/>
  <c r="U281" i="63" l="1"/>
  <c r="W281" i="63"/>
  <c r="AT281" i="63" l="1"/>
  <c r="AU281" i="63"/>
  <c r="AV281" i="63" s="1"/>
  <c r="N282" i="63"/>
  <c r="O282" i="63"/>
  <c r="AN282" i="63" s="1"/>
  <c r="AS282" i="63" s="1"/>
  <c r="Q282" i="63" l="1"/>
  <c r="M282" i="63"/>
  <c r="L282" i="63" s="1"/>
  <c r="AM282" i="63" l="1"/>
  <c r="Z282" i="63"/>
  <c r="V282" i="63"/>
  <c r="P282" i="63"/>
  <c r="U282" i="63" l="1"/>
  <c r="W282" i="63"/>
  <c r="AT282" i="63" l="1"/>
  <c r="AU282" i="63"/>
  <c r="AV282" i="63" s="1"/>
  <c r="N283" i="63"/>
  <c r="O283" i="63"/>
  <c r="AN283" i="63" s="1"/>
  <c r="AS283" i="63" s="1"/>
  <c r="M283" i="63" l="1"/>
  <c r="L283" i="63" s="1"/>
  <c r="Q283" i="63"/>
  <c r="P283" i="63" l="1"/>
  <c r="V283" i="63"/>
  <c r="Z283" i="63"/>
  <c r="AM283" i="63"/>
  <c r="W283" i="63" l="1"/>
  <c r="U283" i="63"/>
  <c r="AU283" i="63" l="1"/>
  <c r="AV283" i="63" s="1"/>
  <c r="N284" i="63"/>
  <c r="AT283" i="63"/>
  <c r="O284" i="63"/>
  <c r="AN284" i="63" s="1"/>
  <c r="AS284" i="63" s="1"/>
  <c r="Q284" i="63" l="1"/>
  <c r="M284" i="63"/>
  <c r="L284" i="63" s="1"/>
  <c r="AM284" i="63" l="1"/>
  <c r="Z284" i="63"/>
  <c r="V284" i="63"/>
  <c r="P284" i="63"/>
  <c r="U284" i="63" l="1"/>
  <c r="W284" i="63"/>
  <c r="N285" i="63" l="1"/>
  <c r="AT284" i="63"/>
  <c r="AU284" i="63"/>
  <c r="AV284" i="63" s="1"/>
  <c r="O285" i="63"/>
  <c r="AN285" i="63" s="1"/>
  <c r="AS285" i="63" s="1"/>
  <c r="Q285" i="63" l="1"/>
  <c r="M285" i="63"/>
  <c r="L285" i="63" s="1"/>
  <c r="Z285" i="63" l="1"/>
  <c r="AM285" i="63"/>
  <c r="V285" i="63"/>
  <c r="P285" i="63"/>
  <c r="U285" i="63" l="1"/>
  <c r="W285" i="63"/>
  <c r="AU285" i="63" l="1"/>
  <c r="AV285" i="63" s="1"/>
  <c r="O286" i="63"/>
  <c r="AT285" i="63"/>
  <c r="N286" i="63"/>
  <c r="M286" i="63" l="1"/>
  <c r="L286" i="63" s="1"/>
  <c r="Q286" i="63"/>
  <c r="V286" i="63" s="1"/>
  <c r="AN286" i="63"/>
  <c r="AS286" i="63" s="1"/>
  <c r="P286" i="63" l="1"/>
  <c r="U286" i="63" s="1"/>
  <c r="AM286" i="63"/>
  <c r="Z286" i="63"/>
  <c r="W286" i="63" l="1"/>
  <c r="N287" i="63" s="1"/>
  <c r="AU286" i="63" l="1"/>
  <c r="AV286" i="63" s="1"/>
  <c r="O287" i="63"/>
  <c r="AN287" i="63" s="1"/>
  <c r="AS287" i="63" s="1"/>
  <c r="AT286" i="63"/>
  <c r="Q287" i="63"/>
  <c r="V287" i="63" s="1"/>
  <c r="M287" i="63"/>
  <c r="L287" i="63" s="1"/>
  <c r="Z287" i="63" l="1"/>
  <c r="AM287" i="63"/>
  <c r="P287" i="63"/>
  <c r="W287" i="63" l="1"/>
  <c r="U287" i="63"/>
  <c r="AU287" i="63" l="1"/>
  <c r="AV287" i="63" s="1"/>
  <c r="AT287" i="63"/>
  <c r="N288" i="63"/>
  <c r="O288" i="63"/>
  <c r="AN288" i="63" s="1"/>
  <c r="AS288" i="63" s="1"/>
  <c r="M288" i="63" l="1"/>
  <c r="L288" i="63" s="1"/>
  <c r="Q288" i="63"/>
  <c r="V288" i="63" l="1"/>
  <c r="P288" i="63"/>
  <c r="AM288" i="63"/>
  <c r="Z288" i="63"/>
  <c r="U288" i="63" l="1"/>
  <c r="W288" i="63"/>
  <c r="N289" i="63" l="1"/>
  <c r="AU288" i="63"/>
  <c r="AV288" i="63" s="1"/>
  <c r="O289" i="63"/>
  <c r="AN289" i="63" s="1"/>
  <c r="AS289" i="63" s="1"/>
  <c r="AT288" i="63"/>
  <c r="Q289" i="63" l="1"/>
  <c r="M289" i="63"/>
  <c r="L289" i="63" s="1"/>
  <c r="Z289" i="63" l="1"/>
  <c r="AM289" i="63"/>
  <c r="V289" i="63"/>
  <c r="P289" i="63"/>
  <c r="W289" i="63" l="1"/>
  <c r="U289" i="63"/>
  <c r="AU289" i="63" l="1"/>
  <c r="AV289" i="63" s="1"/>
  <c r="AT289" i="63"/>
  <c r="O290" i="63"/>
  <c r="AN290" i="63" s="1"/>
  <c r="AS290" i="63" s="1"/>
  <c r="N290" i="63"/>
  <c r="M290" i="63" l="1"/>
  <c r="L290" i="63" s="1"/>
  <c r="Q290" i="63"/>
  <c r="V290" i="63" l="1"/>
  <c r="P290" i="63"/>
  <c r="Z290" i="63"/>
  <c r="AM290" i="63"/>
  <c r="U290" i="63" l="1"/>
  <c r="W290" i="63"/>
  <c r="N291" i="63" l="1"/>
  <c r="O291" i="63"/>
  <c r="AN291" i="63" s="1"/>
  <c r="AS291" i="63" s="1"/>
  <c r="AT290" i="63"/>
  <c r="AU290" i="63"/>
  <c r="AV290" i="63" s="1"/>
  <c r="Q291" i="63" l="1"/>
  <c r="M291" i="63"/>
  <c r="L291" i="63" s="1"/>
  <c r="AM291" i="63" l="1"/>
  <c r="Z291" i="63"/>
  <c r="V291" i="63"/>
  <c r="P291" i="63"/>
  <c r="U291" i="63" l="1"/>
  <c r="W291" i="63"/>
  <c r="AU291" i="63" l="1"/>
  <c r="AV291" i="63" s="1"/>
  <c r="O292" i="63"/>
  <c r="AN292" i="63" s="1"/>
  <c r="AS292" i="63" s="1"/>
  <c r="N292" i="63"/>
  <c r="AT291" i="63"/>
  <c r="M292" i="63" l="1"/>
  <c r="L292" i="63" s="1"/>
  <c r="Q292" i="63"/>
  <c r="V292" i="63" l="1"/>
  <c r="P292" i="63"/>
  <c r="AM292" i="63"/>
  <c r="Z292" i="63"/>
  <c r="U292" i="63" l="1"/>
  <c r="W292" i="63"/>
  <c r="AU292" i="63" l="1"/>
  <c r="AV292" i="63" s="1"/>
  <c r="O293" i="63"/>
  <c r="AT292" i="63"/>
  <c r="N293" i="63"/>
  <c r="M293" i="63" l="1"/>
  <c r="L293" i="63" s="1"/>
  <c r="Q293" i="63"/>
  <c r="V293" i="63" s="1"/>
  <c r="AN293" i="63"/>
  <c r="AS293" i="63" s="1"/>
  <c r="P293" i="63" l="1"/>
  <c r="U293" i="63" s="1"/>
  <c r="AM293" i="63"/>
  <c r="Z293" i="63"/>
  <c r="W293" i="63" l="1"/>
  <c r="AT293" i="63" s="1"/>
  <c r="AU293" i="63" l="1"/>
  <c r="AV293" i="63" s="1"/>
  <c r="N294" i="63"/>
  <c r="O294" i="63"/>
  <c r="Q294" i="63"/>
  <c r="V294" i="63" s="1"/>
  <c r="M294" i="63"/>
  <c r="L294" i="63" s="1"/>
  <c r="AN294" i="63"/>
  <c r="AS294" i="63" s="1"/>
  <c r="P294" i="63" l="1"/>
  <c r="U294" i="63" s="1"/>
  <c r="Z294" i="63"/>
  <c r="AM294" i="63"/>
  <c r="W294" i="63" l="1"/>
  <c r="AT294" i="63" s="1"/>
  <c r="O295" i="63" l="1"/>
  <c r="AN295" i="63" s="1"/>
  <c r="AS295" i="63" s="1"/>
  <c r="AU294" i="63"/>
  <c r="AV294" i="63" s="1"/>
  <c r="N295" i="63"/>
  <c r="Q295" i="63" s="1"/>
  <c r="M295" i="63" l="1"/>
  <c r="L295" i="63" s="1"/>
  <c r="Z295" i="63" s="1"/>
  <c r="V295" i="63"/>
  <c r="P295" i="63"/>
  <c r="AM295" i="63" l="1"/>
  <c r="U295" i="63"/>
  <c r="W295" i="63"/>
  <c r="AT295" i="63" l="1"/>
  <c r="N296" i="63"/>
  <c r="AU295" i="63"/>
  <c r="AV295" i="63" s="1"/>
  <c r="O296" i="63"/>
  <c r="AN296" i="63" s="1"/>
  <c r="AS296" i="63" s="1"/>
  <c r="M296" i="63" l="1"/>
  <c r="L296" i="63" s="1"/>
  <c r="Q296" i="63"/>
  <c r="V296" i="63" l="1"/>
  <c r="P296" i="63"/>
  <c r="AM296" i="63"/>
  <c r="Z296" i="63"/>
  <c r="W296" i="63" l="1"/>
  <c r="U296" i="63"/>
  <c r="O297" i="63" l="1"/>
  <c r="N297" i="63"/>
  <c r="AT296" i="63"/>
  <c r="AU296" i="63"/>
  <c r="AV296" i="63" s="1"/>
  <c r="Q297" i="63" l="1"/>
  <c r="V297" i="63" s="1"/>
  <c r="M297" i="63"/>
  <c r="L297" i="63" s="1"/>
  <c r="AN297" i="63"/>
  <c r="AS297" i="63" s="1"/>
  <c r="P297" i="63" l="1"/>
  <c r="U297" i="63" s="1"/>
  <c r="AM297" i="63"/>
  <c r="Z297" i="63"/>
  <c r="W297" i="63" l="1"/>
  <c r="N298" i="63" s="1"/>
  <c r="AU297" i="63" l="1"/>
  <c r="AV297" i="63" s="1"/>
  <c r="AT297" i="63"/>
  <c r="O298" i="63"/>
  <c r="AN298" i="63" s="1"/>
  <c r="AS298" i="63" s="1"/>
  <c r="Q298" i="63"/>
  <c r="V298" i="63" s="1"/>
  <c r="M298" i="63"/>
  <c r="L298" i="63" s="1"/>
  <c r="Z298" i="63" l="1"/>
  <c r="AM298" i="63"/>
  <c r="P298" i="63"/>
  <c r="U298" i="63" l="1"/>
  <c r="W298" i="63"/>
  <c r="O299" i="63" l="1"/>
  <c r="N299" i="63"/>
  <c r="AT298" i="63"/>
  <c r="AU298" i="63"/>
  <c r="AV298" i="63" s="1"/>
  <c r="M299" i="63" l="1"/>
  <c r="L299" i="63" s="1"/>
  <c r="Q299" i="63"/>
  <c r="V299" i="63" s="1"/>
  <c r="AN299" i="63"/>
  <c r="AS299" i="63" s="1"/>
  <c r="P299" i="63" l="1"/>
  <c r="U299" i="63" s="1"/>
  <c r="Z299" i="63"/>
  <c r="AM299" i="63"/>
  <c r="W299" i="63" l="1"/>
  <c r="N300" i="63" s="1"/>
  <c r="O300" i="63" l="1"/>
  <c r="AN300" i="63" s="1"/>
  <c r="AS300" i="63" s="1"/>
  <c r="AT299" i="63"/>
  <c r="AU299" i="63"/>
  <c r="AV299" i="63" s="1"/>
  <c r="M300" i="63"/>
  <c r="L300" i="63" s="1"/>
  <c r="Q300" i="63"/>
  <c r="V300" i="63" s="1"/>
  <c r="AM300" i="63" l="1"/>
  <c r="Z300" i="63"/>
  <c r="P300" i="63"/>
  <c r="W300" i="63" l="1"/>
  <c r="U300" i="63"/>
  <c r="O301" i="63" l="1"/>
  <c r="AU300" i="63"/>
  <c r="AV300" i="63" s="1"/>
  <c r="N301" i="63"/>
  <c r="AT300" i="63"/>
  <c r="Q301" i="63" l="1"/>
  <c r="V301" i="63" s="1"/>
  <c r="M301" i="63"/>
  <c r="L301" i="63" s="1"/>
  <c r="AN301" i="63"/>
  <c r="AS301" i="63" s="1"/>
  <c r="P301" i="63" l="1"/>
  <c r="U301" i="63" s="1"/>
  <c r="AM301" i="63"/>
  <c r="Z301" i="63"/>
  <c r="W301" i="63" l="1"/>
  <c r="AT301" i="63" s="1"/>
  <c r="AU301" i="63" l="1"/>
  <c r="AV301" i="63" s="1"/>
  <c r="N302" i="63"/>
  <c r="Q302" i="63" s="1"/>
  <c r="V302" i="63" s="1"/>
  <c r="O302" i="63"/>
  <c r="AN302" i="63" s="1"/>
  <c r="AS302" i="63" s="1"/>
  <c r="M302" i="63"/>
  <c r="L302" i="63" s="1"/>
  <c r="P302" i="63" l="1"/>
  <c r="Z302" i="63"/>
  <c r="AM302" i="63"/>
  <c r="W302" i="63" l="1"/>
  <c r="U302" i="63"/>
  <c r="N303" i="63" l="1"/>
  <c r="AU302" i="63"/>
  <c r="AV302" i="63" s="1"/>
  <c r="AT302" i="63"/>
  <c r="O303" i="63"/>
  <c r="AN303" i="63" l="1"/>
  <c r="AS303" i="63" s="1"/>
  <c r="M303" i="63"/>
  <c r="L303" i="63" s="1"/>
  <c r="Q303" i="63"/>
  <c r="V303" i="63" s="1"/>
  <c r="AM303" i="63" l="1"/>
  <c r="Z303" i="63"/>
  <c r="P303" i="63"/>
  <c r="U303" i="63" l="1"/>
  <c r="W303" i="63"/>
  <c r="AU303" i="63" l="1"/>
  <c r="AV303" i="63" s="1"/>
  <c r="N304" i="63"/>
  <c r="AT303" i="63"/>
  <c r="O304" i="63"/>
  <c r="AN304" i="63" l="1"/>
  <c r="AS304" i="63" s="1"/>
  <c r="M304" i="63"/>
  <c r="L304" i="63" s="1"/>
  <c r="Q304" i="63"/>
  <c r="V304" i="63" s="1"/>
  <c r="Z304" i="63" l="1"/>
  <c r="AM304" i="63"/>
  <c r="P304" i="63"/>
  <c r="U304" i="63" l="1"/>
  <c r="W304" i="63"/>
  <c r="N305" i="63" l="1"/>
  <c r="AU304" i="63"/>
  <c r="AV304" i="63" s="1"/>
  <c r="AT304" i="63"/>
  <c r="O305" i="63"/>
  <c r="AN305" i="63" l="1"/>
  <c r="AS305" i="63" s="1"/>
  <c r="M305" i="63"/>
  <c r="L305" i="63" s="1"/>
  <c r="Q305" i="63"/>
  <c r="V305" i="63" s="1"/>
  <c r="AM305" i="63" l="1"/>
  <c r="Z305" i="63"/>
  <c r="P305" i="63"/>
  <c r="U305" i="63" l="1"/>
  <c r="W305" i="63"/>
  <c r="AT305" i="63" l="1"/>
  <c r="N306" i="63"/>
  <c r="AU305" i="63"/>
  <c r="AV305" i="63" s="1"/>
  <c r="O306" i="63"/>
  <c r="AN306" i="63" l="1"/>
  <c r="AS306" i="63" s="1"/>
  <c r="Q306" i="63"/>
  <c r="V306" i="63" s="1"/>
  <c r="M306" i="63"/>
  <c r="L306" i="63" s="1"/>
  <c r="Z306" i="63" l="1"/>
  <c r="AM306" i="63"/>
  <c r="P306" i="63"/>
  <c r="U306" i="63" l="1"/>
  <c r="W306" i="63"/>
  <c r="AU306" i="63" l="1"/>
  <c r="AV306" i="63" s="1"/>
  <c r="N307" i="63"/>
  <c r="O307" i="63"/>
  <c r="AT306" i="63"/>
  <c r="AN307" i="63" l="1"/>
  <c r="AS307" i="63" s="1"/>
  <c r="M307" i="63"/>
  <c r="L307" i="63" s="1"/>
  <c r="Q307" i="63"/>
  <c r="V307" i="63" s="1"/>
  <c r="P307" i="63" l="1"/>
  <c r="AM307" i="63"/>
  <c r="Z307" i="63"/>
  <c r="U307" i="63" l="1"/>
  <c r="W307" i="63"/>
  <c r="N308" i="63" l="1"/>
  <c r="AT307" i="63"/>
  <c r="AU307" i="63"/>
  <c r="AV307" i="63" s="1"/>
  <c r="O308" i="63"/>
  <c r="AN308" i="63" l="1"/>
  <c r="AS308" i="63" s="1"/>
  <c r="M308" i="63"/>
  <c r="L308" i="63" s="1"/>
  <c r="Q308" i="63"/>
  <c r="V308" i="63" s="1"/>
  <c r="Z308" i="63" l="1"/>
  <c r="AM308" i="63"/>
  <c r="P308" i="63"/>
  <c r="U308" i="63" l="1"/>
  <c r="W308" i="63"/>
  <c r="N309" i="63" l="1"/>
  <c r="AT308" i="63"/>
  <c r="O309" i="63"/>
  <c r="AU308" i="63"/>
  <c r="AV308" i="63" s="1"/>
  <c r="AN309" i="63" l="1"/>
  <c r="AS309" i="63" s="1"/>
  <c r="M309" i="63"/>
  <c r="L309" i="63" s="1"/>
  <c r="Q309" i="63"/>
  <c r="V309" i="63" s="1"/>
  <c r="Z309" i="63" l="1"/>
  <c r="AM309" i="63"/>
  <c r="P309" i="63"/>
  <c r="U309" i="63" l="1"/>
  <c r="W309" i="63"/>
  <c r="AT309" i="63" l="1"/>
  <c r="AU309" i="63"/>
  <c r="AV309" i="63" s="1"/>
  <c r="O310" i="63"/>
  <c r="N310" i="63"/>
  <c r="Q310" i="63" l="1"/>
  <c r="V310" i="63" s="1"/>
  <c r="M310" i="63"/>
  <c r="L310" i="63" s="1"/>
  <c r="AN310" i="63"/>
  <c r="AS310" i="63" s="1"/>
  <c r="P310" i="63" l="1"/>
  <c r="U310" i="63" s="1"/>
  <c r="Z310" i="63"/>
  <c r="AM310" i="63"/>
  <c r="W310" i="63" l="1"/>
  <c r="AT310" i="63" s="1"/>
  <c r="AU310" i="63" l="1"/>
  <c r="AV310" i="63" s="1"/>
  <c r="N311" i="63"/>
  <c r="Q311" i="63" s="1"/>
  <c r="V311" i="63" s="1"/>
  <c r="O311" i="63"/>
  <c r="AN311" i="63" s="1"/>
  <c r="AS311" i="63" s="1"/>
  <c r="M311" i="63" l="1"/>
  <c r="L311" i="63" s="1"/>
  <c r="Z311" i="63" s="1"/>
  <c r="P311" i="63"/>
  <c r="AM311" i="63" l="1"/>
  <c r="U311" i="63"/>
  <c r="W311" i="63"/>
  <c r="AU311" i="63" l="1"/>
  <c r="AV311" i="63" s="1"/>
  <c r="AT311" i="63"/>
  <c r="N312" i="63"/>
  <c r="O312" i="63"/>
  <c r="AN312" i="63" l="1"/>
  <c r="AS312" i="63" s="1"/>
  <c r="M312" i="63"/>
  <c r="L312" i="63" s="1"/>
  <c r="Q312" i="63"/>
  <c r="V312" i="63" s="1"/>
  <c r="P312" i="63" l="1"/>
  <c r="Z312" i="63"/>
  <c r="AM312" i="63"/>
  <c r="U312" i="63" l="1"/>
  <c r="W312" i="63"/>
  <c r="AU312" i="63" l="1"/>
  <c r="AV312" i="63" s="1"/>
  <c r="O313" i="63"/>
  <c r="AT312" i="63"/>
  <c r="N313" i="63"/>
  <c r="AN313" i="63" l="1"/>
  <c r="AS313" i="63" s="1"/>
  <c r="Q313" i="63"/>
  <c r="V313" i="63" s="1"/>
  <c r="M313" i="63"/>
  <c r="L313" i="63" s="1"/>
  <c r="P313" i="63" l="1"/>
  <c r="AM313" i="63"/>
  <c r="Z313" i="63"/>
  <c r="U313" i="63" l="1"/>
  <c r="W313" i="63"/>
  <c r="O314" i="63" l="1"/>
  <c r="N314" i="63"/>
  <c r="AU313" i="63"/>
  <c r="AV313" i="63" s="1"/>
  <c r="AT313" i="63"/>
  <c r="M314" i="63" l="1"/>
  <c r="L314" i="63" s="1"/>
  <c r="Q314" i="63"/>
  <c r="V314" i="63" s="1"/>
  <c r="AN314" i="63"/>
  <c r="AS314" i="63" s="1"/>
  <c r="P314" i="63" l="1"/>
  <c r="W314" i="63" s="1"/>
  <c r="Z314" i="63"/>
  <c r="AM314" i="63"/>
  <c r="U314" i="63" l="1"/>
  <c r="AT314" i="63"/>
  <c r="O315" i="63"/>
  <c r="AN315" i="63" s="1"/>
  <c r="AS315" i="63" s="1"/>
  <c r="AU314" i="63"/>
  <c r="AV314" i="63" s="1"/>
  <c r="N315" i="63"/>
  <c r="M315" i="63" l="1"/>
  <c r="L315" i="63" s="1"/>
  <c r="Q315" i="63"/>
  <c r="V315" i="63" l="1"/>
  <c r="P315" i="63"/>
  <c r="Z315" i="63"/>
  <c r="AM315" i="63"/>
  <c r="U315" i="63" l="1"/>
  <c r="W315" i="63"/>
  <c r="N316" i="63" l="1"/>
  <c r="AU315" i="63"/>
  <c r="AV315" i="63" s="1"/>
  <c r="O316" i="63"/>
  <c r="AT315" i="63"/>
  <c r="AN316" i="63" l="1"/>
  <c r="AS316" i="63" s="1"/>
  <c r="M316" i="63"/>
  <c r="L316" i="63" s="1"/>
  <c r="Q316" i="63"/>
  <c r="V316" i="63" s="1"/>
  <c r="Z316" i="63" l="1"/>
  <c r="AM316" i="63"/>
  <c r="P316" i="63"/>
  <c r="W316" i="63" l="1"/>
  <c r="U316" i="63"/>
  <c r="N317" i="63" l="1"/>
  <c r="AT316" i="63"/>
  <c r="AU316" i="63"/>
  <c r="AV316" i="63" s="1"/>
  <c r="O317" i="63"/>
  <c r="M317" i="63" l="1"/>
  <c r="L317" i="63" s="1"/>
  <c r="Q317" i="63"/>
  <c r="V317" i="63" s="1"/>
  <c r="AN317" i="63"/>
  <c r="AS317" i="63" s="1"/>
  <c r="P317" i="63" l="1"/>
  <c r="U317" i="63" s="1"/>
  <c r="Z317" i="63"/>
  <c r="AM317" i="63"/>
  <c r="W317" i="63" l="1"/>
  <c r="N318" i="63" s="1"/>
  <c r="AT317" i="63" l="1"/>
  <c r="AU317" i="63"/>
  <c r="AV317" i="63" s="1"/>
  <c r="O318" i="63"/>
  <c r="AN318" i="63" s="1"/>
  <c r="AS318" i="63" s="1"/>
  <c r="M318" i="63"/>
  <c r="L318" i="63" s="1"/>
  <c r="Q318" i="63"/>
  <c r="V318" i="63" l="1"/>
  <c r="P318" i="63"/>
  <c r="AM318" i="63"/>
  <c r="Z318" i="63"/>
  <c r="U318" i="63" l="1"/>
  <c r="W318" i="63"/>
  <c r="AT318" i="63" l="1"/>
  <c r="O319" i="63"/>
  <c r="AU318" i="63"/>
  <c r="AV318" i="63" s="1"/>
  <c r="N319" i="63"/>
  <c r="Q319" i="63" l="1"/>
  <c r="V319" i="63" s="1"/>
  <c r="M319" i="63"/>
  <c r="L319" i="63" s="1"/>
  <c r="AN319" i="63"/>
  <c r="AS319" i="63" s="1"/>
  <c r="P319" i="63" l="1"/>
  <c r="U319" i="63" s="1"/>
  <c r="AM319" i="63"/>
  <c r="Z319" i="63"/>
  <c r="W319" i="63" l="1"/>
  <c r="O320" i="63" s="1"/>
  <c r="AN320" i="63" s="1"/>
  <c r="AS320" i="63" s="1"/>
  <c r="N320" i="63" l="1"/>
  <c r="AU319" i="63"/>
  <c r="AV319" i="63" s="1"/>
  <c r="AT319" i="63"/>
  <c r="Q320" i="63" l="1"/>
  <c r="M320" i="63"/>
  <c r="L320" i="63" s="1"/>
  <c r="Z320" i="63" l="1"/>
  <c r="AM320" i="63"/>
  <c r="V320" i="63"/>
  <c r="P320" i="63"/>
  <c r="U320" i="63" l="1"/>
  <c r="W320" i="63"/>
  <c r="N321" i="63" l="1"/>
  <c r="O321" i="63"/>
  <c r="AN321" i="63" s="1"/>
  <c r="AS321" i="63" s="1"/>
  <c r="AT320" i="63"/>
  <c r="AU320" i="63"/>
  <c r="AV320" i="63" s="1"/>
  <c r="Q321" i="63" l="1"/>
  <c r="M321" i="63"/>
  <c r="L321" i="63" s="1"/>
  <c r="AM321" i="63" l="1"/>
  <c r="Z321" i="63"/>
  <c r="V321" i="63"/>
  <c r="P321" i="63"/>
  <c r="U321" i="63" l="1"/>
  <c r="W321" i="63"/>
  <c r="O322" i="63" l="1"/>
  <c r="AN322" i="63" s="1"/>
  <c r="AS322" i="63" s="1"/>
  <c r="AT321" i="63"/>
  <c r="N322" i="63"/>
  <c r="AU321" i="63"/>
  <c r="AV321" i="63" s="1"/>
  <c r="Q322" i="63" l="1"/>
  <c r="M322" i="63"/>
  <c r="L322" i="63" s="1"/>
  <c r="AM322" i="63" l="1"/>
  <c r="Z322" i="63"/>
  <c r="V322" i="63"/>
  <c r="P322" i="63"/>
  <c r="U322" i="63" l="1"/>
  <c r="W322" i="63"/>
  <c r="O323" i="63" l="1"/>
  <c r="AN323" i="63" s="1"/>
  <c r="AS323" i="63" s="1"/>
  <c r="AT322" i="63"/>
  <c r="AU322" i="63"/>
  <c r="AV322" i="63" s="1"/>
  <c r="N323" i="63"/>
  <c r="M323" i="63" l="1"/>
  <c r="L323" i="63" s="1"/>
  <c r="Q323" i="63"/>
  <c r="AM323" i="63" l="1"/>
  <c r="Z323" i="63"/>
  <c r="V323" i="63"/>
  <c r="P323" i="63"/>
  <c r="U323" i="63" l="1"/>
  <c r="W323" i="63"/>
  <c r="AU323" i="63" l="1"/>
  <c r="AV323" i="63" s="1"/>
  <c r="N324" i="63"/>
  <c r="O324" i="63"/>
  <c r="AN324" i="63" s="1"/>
  <c r="AS324" i="63" s="1"/>
  <c r="AT323" i="63"/>
  <c r="Q324" i="63" l="1"/>
  <c r="M324" i="63"/>
  <c r="L324" i="63" s="1"/>
  <c r="Z324" i="63" l="1"/>
  <c r="AM324" i="63"/>
  <c r="V324" i="63"/>
  <c r="P324" i="63"/>
  <c r="U324" i="63" l="1"/>
  <c r="W324" i="63"/>
  <c r="AT324" i="63" l="1"/>
  <c r="N325" i="63"/>
  <c r="O325" i="63"/>
  <c r="AN325" i="63" s="1"/>
  <c r="AS325" i="63" s="1"/>
  <c r="AU324" i="63"/>
  <c r="AV324" i="63" s="1"/>
  <c r="M325" i="63" l="1"/>
  <c r="L325" i="63" s="1"/>
  <c r="Q325" i="63"/>
  <c r="V325" i="63" l="1"/>
  <c r="P325" i="63"/>
  <c r="Z325" i="63"/>
  <c r="AM325" i="63"/>
  <c r="U325" i="63" l="1"/>
  <c r="W325" i="63"/>
  <c r="AU325" i="63" l="1"/>
  <c r="AV325" i="63" s="1"/>
  <c r="O326" i="63"/>
  <c r="AN326" i="63" s="1"/>
  <c r="AS326" i="63" s="1"/>
  <c r="AT325" i="63"/>
  <c r="N326" i="63"/>
  <c r="Q326" i="63" l="1"/>
  <c r="V326" i="63" s="1"/>
  <c r="M326" i="63"/>
  <c r="L326" i="63" s="1"/>
  <c r="P326" i="63" l="1"/>
  <c r="Z326" i="63"/>
  <c r="AM326" i="63"/>
  <c r="U326" i="63" l="1"/>
  <c r="W326" i="63"/>
  <c r="AU326" i="63" l="1"/>
  <c r="AV326" i="63" s="1"/>
  <c r="AT326" i="63"/>
  <c r="N327" i="63"/>
  <c r="O327" i="63"/>
  <c r="AN327" i="63" s="1"/>
  <c r="AS327" i="63" s="1"/>
  <c r="Q327" i="63" l="1"/>
  <c r="V327" i="63" s="1"/>
  <c r="M327" i="63"/>
  <c r="L327" i="63" s="1"/>
  <c r="AM327" i="63" l="1"/>
  <c r="Z327" i="63"/>
  <c r="P327" i="63"/>
  <c r="U327" i="63" l="1"/>
  <c r="W327" i="63"/>
  <c r="O328" i="63" l="1"/>
  <c r="N328" i="63"/>
  <c r="AU327" i="63"/>
  <c r="AV327" i="63" s="1"/>
  <c r="AT327" i="63"/>
  <c r="Q328" i="63" l="1"/>
  <c r="V328" i="63" s="1"/>
  <c r="M328" i="63"/>
  <c r="L328" i="63" s="1"/>
  <c r="AN328" i="63"/>
  <c r="AS328" i="63" s="1"/>
  <c r="P328" i="63" l="1"/>
  <c r="Z328" i="63"/>
  <c r="AM328" i="63"/>
  <c r="U328" i="63" l="1"/>
  <c r="W328" i="63"/>
  <c r="O329" i="63" l="1"/>
  <c r="AU328" i="63"/>
  <c r="AV328" i="63" s="1"/>
  <c r="N329" i="63"/>
  <c r="AT328" i="63"/>
  <c r="Q329" i="63" l="1"/>
  <c r="V329" i="63" s="1"/>
  <c r="M329" i="63"/>
  <c r="L329" i="63" s="1"/>
  <c r="AN329" i="63"/>
  <c r="AS329" i="63" s="1"/>
  <c r="P329" i="63" l="1"/>
  <c r="U329" i="63" s="1"/>
  <c r="Z329" i="63"/>
  <c r="AM329" i="63"/>
  <c r="W329" i="63"/>
  <c r="AU329" i="63" l="1"/>
  <c r="AV329" i="63" s="1"/>
  <c r="O330" i="63"/>
  <c r="AT329" i="63"/>
  <c r="N330" i="63"/>
  <c r="Q330" i="63" l="1"/>
  <c r="V330" i="63" s="1"/>
  <c r="M330" i="63"/>
  <c r="L330" i="63" s="1"/>
  <c r="AN330" i="63"/>
  <c r="AS330" i="63" s="1"/>
  <c r="P330" i="63" l="1"/>
  <c r="Z330" i="63"/>
  <c r="AM330" i="63"/>
  <c r="U330" i="63" l="1"/>
  <c r="W330" i="63"/>
  <c r="N331" i="63" l="1"/>
  <c r="O331" i="63"/>
  <c r="AU330" i="63"/>
  <c r="AV330" i="63" s="1"/>
  <c r="AT330" i="63"/>
  <c r="AN331" i="63" l="1"/>
  <c r="AS331" i="63" s="1"/>
  <c r="M331" i="63"/>
  <c r="L331" i="63" s="1"/>
  <c r="Q331" i="63"/>
  <c r="V331" i="63" s="1"/>
  <c r="AM331" i="63" l="1"/>
  <c r="Z331" i="63"/>
  <c r="P331" i="63"/>
  <c r="U331" i="63" l="1"/>
  <c r="W331" i="63"/>
  <c r="AU331" i="63" l="1"/>
  <c r="AV331" i="63" s="1"/>
  <c r="N332" i="63"/>
  <c r="O332" i="63"/>
  <c r="AT331" i="63"/>
  <c r="AN332" i="63" l="1"/>
  <c r="AS332" i="63" s="1"/>
  <c r="Q332" i="63"/>
  <c r="V332" i="63" s="1"/>
  <c r="M332" i="63"/>
  <c r="L332" i="63" s="1"/>
  <c r="P332" i="63" l="1"/>
  <c r="AM332" i="63"/>
  <c r="Z332" i="63"/>
  <c r="U332" i="63" l="1"/>
  <c r="W332" i="63"/>
  <c r="N333" i="63" l="1"/>
  <c r="AU332" i="63"/>
  <c r="AV332" i="63" s="1"/>
  <c r="AT332" i="63"/>
  <c r="O333" i="63"/>
  <c r="AN333" i="63" l="1"/>
  <c r="AS333" i="63" s="1"/>
  <c r="Q333" i="63"/>
  <c r="V333" i="63" s="1"/>
  <c r="M333" i="63"/>
  <c r="L333" i="63" s="1"/>
  <c r="AM333" i="63" l="1"/>
  <c r="Z333" i="63"/>
  <c r="P333" i="63"/>
  <c r="U333" i="63" l="1"/>
  <c r="W333" i="63"/>
  <c r="AT333" i="63" l="1"/>
  <c r="AU333" i="63"/>
  <c r="AV333" i="63" s="1"/>
  <c r="N334" i="63"/>
  <c r="O334" i="63"/>
  <c r="AN334" i="63" l="1"/>
  <c r="AS334" i="63" s="1"/>
  <c r="M334" i="63"/>
  <c r="L334" i="63" s="1"/>
  <c r="Q334" i="63"/>
  <c r="V334" i="63" s="1"/>
  <c r="AM334" i="63" l="1"/>
  <c r="Z334" i="63"/>
  <c r="P334" i="63"/>
  <c r="U334" i="63" l="1"/>
  <c r="W334" i="63"/>
  <c r="O335" i="63" l="1"/>
  <c r="N335" i="63"/>
  <c r="AU334" i="63"/>
  <c r="AV334" i="63" s="1"/>
  <c r="AT334" i="63"/>
  <c r="Q335" i="63" l="1"/>
  <c r="V335" i="63" s="1"/>
  <c r="M335" i="63"/>
  <c r="L335" i="63" s="1"/>
  <c r="AN335" i="63"/>
  <c r="AS335" i="63" s="1"/>
  <c r="P335" i="63" l="1"/>
  <c r="U335" i="63" s="1"/>
  <c r="AM335" i="63"/>
  <c r="Z335" i="63"/>
  <c r="W335" i="63" l="1"/>
  <c r="AU335" i="63" s="1"/>
  <c r="AV335" i="63" s="1"/>
  <c r="N336" i="63" l="1"/>
  <c r="Q336" i="63" s="1"/>
  <c r="V336" i="63" s="1"/>
  <c r="O336" i="63"/>
  <c r="AN336" i="63" s="1"/>
  <c r="AS336" i="63" s="1"/>
  <c r="AT335" i="63"/>
  <c r="M336" i="63"/>
  <c r="L336" i="63" s="1"/>
  <c r="P336" i="63" l="1"/>
  <c r="Z336" i="63"/>
  <c r="AM336" i="63"/>
  <c r="W336" i="63" l="1"/>
  <c r="U336" i="63"/>
  <c r="O337" i="63" l="1"/>
  <c r="AU336" i="63"/>
  <c r="AV336" i="63" s="1"/>
  <c r="N337" i="63"/>
  <c r="AT336" i="63"/>
  <c r="M337" i="63" l="1"/>
  <c r="L337" i="63" s="1"/>
  <c r="Q337" i="63"/>
  <c r="V337" i="63" s="1"/>
  <c r="AN337" i="63"/>
  <c r="AS337" i="63" s="1"/>
  <c r="P337" i="63" l="1"/>
  <c r="U337" i="63" s="1"/>
  <c r="AM337" i="63"/>
  <c r="Z337" i="63"/>
  <c r="W337" i="63" l="1"/>
  <c r="N338" i="63" s="1"/>
  <c r="O338" i="63" l="1"/>
  <c r="AN338" i="63" s="1"/>
  <c r="AS338" i="63" s="1"/>
  <c r="AT337" i="63"/>
  <c r="AU337" i="63"/>
  <c r="AV337" i="63" s="1"/>
  <c r="Q338" i="63"/>
  <c r="V338" i="63" s="1"/>
  <c r="M338" i="63"/>
  <c r="L338" i="63" s="1"/>
  <c r="Z338" i="63" l="1"/>
  <c r="AM338" i="63"/>
  <c r="P338" i="63"/>
  <c r="U338" i="63" l="1"/>
  <c r="W338" i="63"/>
  <c r="AT338" i="63" l="1"/>
  <c r="O339" i="63"/>
  <c r="N339" i="63"/>
  <c r="AU338" i="63"/>
  <c r="AV338" i="63" s="1"/>
  <c r="M339" i="63" l="1"/>
  <c r="L339" i="63" s="1"/>
  <c r="Q339" i="63"/>
  <c r="V339" i="63" s="1"/>
  <c r="AN339" i="63"/>
  <c r="AS339" i="63" s="1"/>
  <c r="P339" i="63" l="1"/>
  <c r="U339" i="63" s="1"/>
  <c r="Z339" i="63"/>
  <c r="AM339" i="63"/>
  <c r="W339" i="63" l="1"/>
  <c r="N340" i="63" l="1"/>
  <c r="AU339" i="63"/>
  <c r="AV339" i="63" s="1"/>
  <c r="AT339" i="63"/>
  <c r="O340" i="63"/>
  <c r="AN340" i="63" s="1"/>
  <c r="AS340" i="63" s="1"/>
  <c r="M340" i="63" l="1"/>
  <c r="L340" i="63" s="1"/>
  <c r="Q340" i="63"/>
  <c r="V340" i="63" l="1"/>
  <c r="P340" i="63"/>
  <c r="Z340" i="63"/>
  <c r="AM340" i="63"/>
  <c r="W340" i="63" l="1"/>
  <c r="U340" i="63"/>
  <c r="AT340" i="63" l="1"/>
  <c r="O341" i="63"/>
  <c r="AN341" i="63" s="1"/>
  <c r="AS341" i="63" s="1"/>
  <c r="AU340" i="63"/>
  <c r="AV340" i="63" s="1"/>
  <c r="N341" i="63"/>
  <c r="M341" i="63" l="1"/>
  <c r="L341" i="63" s="1"/>
  <c r="Q341" i="63"/>
  <c r="V341" i="63" l="1"/>
  <c r="P341" i="63"/>
  <c r="AM341" i="63"/>
  <c r="Z341" i="63"/>
  <c r="W341" i="63" l="1"/>
  <c r="U341" i="63"/>
  <c r="AT341" i="63" l="1"/>
  <c r="O342" i="63"/>
  <c r="AN342" i="63" s="1"/>
  <c r="AS342" i="63" s="1"/>
  <c r="N342" i="63"/>
  <c r="AU341" i="63"/>
  <c r="AV341" i="63" s="1"/>
  <c r="Q342" i="63" l="1"/>
  <c r="M342" i="63"/>
  <c r="L342" i="63" s="1"/>
  <c r="Z342" i="63" l="1"/>
  <c r="AM342" i="63"/>
  <c r="V342" i="63"/>
  <c r="P342" i="63"/>
  <c r="U342" i="63" l="1"/>
  <c r="W342" i="63"/>
  <c r="AU342" i="63" l="1"/>
  <c r="AV342" i="63" s="1"/>
  <c r="AT342" i="63"/>
  <c r="N343" i="63"/>
  <c r="O343" i="63"/>
  <c r="AN343" i="63" s="1"/>
  <c r="AS343" i="63" s="1"/>
  <c r="M343" i="63" l="1"/>
  <c r="L343" i="63" s="1"/>
  <c r="Q343" i="63"/>
  <c r="V343" i="63" s="1"/>
  <c r="AM343" i="63" l="1"/>
  <c r="Z343" i="63"/>
  <c r="P343" i="63"/>
  <c r="U343" i="63" l="1"/>
  <c r="W343" i="63"/>
  <c r="AU343" i="63" l="1"/>
  <c r="AV343" i="63" s="1"/>
  <c r="O344" i="63"/>
  <c r="AN344" i="63" s="1"/>
  <c r="AS344" i="63" s="1"/>
  <c r="AT343" i="63"/>
  <c r="N344" i="63"/>
  <c r="M344" i="63" l="1"/>
  <c r="L344" i="63" s="1"/>
  <c r="Q344" i="63"/>
  <c r="V344" i="63" l="1"/>
  <c r="P344" i="63"/>
  <c r="AM344" i="63"/>
  <c r="Z344" i="63"/>
  <c r="U344" i="63" l="1"/>
  <c r="W344" i="63"/>
  <c r="AT344" i="63" l="1"/>
  <c r="AU344" i="63"/>
  <c r="AV344" i="63" s="1"/>
  <c r="N345" i="63"/>
  <c r="O345" i="63"/>
  <c r="AN345" i="63" l="1"/>
  <c r="AS345" i="63" s="1"/>
  <c r="M345" i="63"/>
  <c r="L345" i="63" s="1"/>
  <c r="Q345" i="63"/>
  <c r="V345" i="63" s="1"/>
  <c r="AM345" i="63" l="1"/>
  <c r="Z345" i="63"/>
  <c r="P345" i="63"/>
  <c r="U345" i="63" l="1"/>
  <c r="W345" i="63"/>
  <c r="O346" i="63" l="1"/>
  <c r="N346" i="63"/>
  <c r="AT345" i="63"/>
  <c r="AU345" i="63"/>
  <c r="AV345" i="63" s="1"/>
  <c r="M346" i="63" l="1"/>
  <c r="L346" i="63" s="1"/>
  <c r="Q346" i="63"/>
  <c r="V346" i="63" s="1"/>
  <c r="AN346" i="63"/>
  <c r="AS346" i="63" s="1"/>
  <c r="P346" i="63" l="1"/>
  <c r="U346" i="63" s="1"/>
  <c r="AM346" i="63"/>
  <c r="Z346" i="63"/>
  <c r="W346" i="63" l="1"/>
  <c r="O347" i="63"/>
  <c r="N347" i="63"/>
  <c r="AU346" i="63"/>
  <c r="AV346" i="63" s="1"/>
  <c r="AT346" i="63"/>
  <c r="M347" i="63" l="1"/>
  <c r="L347" i="63" s="1"/>
  <c r="Q347" i="63"/>
  <c r="V347" i="63" s="1"/>
  <c r="AN347" i="63"/>
  <c r="AS347" i="63" s="1"/>
  <c r="P347" i="63" l="1"/>
  <c r="Z347" i="63"/>
  <c r="AM347" i="63"/>
  <c r="U347" i="63" l="1"/>
  <c r="W347" i="63"/>
  <c r="O348" i="63" l="1"/>
  <c r="AU347" i="63"/>
  <c r="AV347" i="63" s="1"/>
  <c r="N348" i="63"/>
  <c r="AT347" i="63"/>
  <c r="Q348" i="63" l="1"/>
  <c r="V348" i="63" s="1"/>
  <c r="M348" i="63"/>
  <c r="L348" i="63" s="1"/>
  <c r="AN348" i="63"/>
  <c r="AS348" i="63" s="1"/>
  <c r="P348" i="63" l="1"/>
  <c r="U348" i="63" s="1"/>
  <c r="AM348" i="63"/>
  <c r="Z348" i="63"/>
  <c r="W348" i="63" l="1"/>
  <c r="AU348" i="63" s="1"/>
  <c r="AV348" i="63" s="1"/>
  <c r="AT348" i="63" l="1"/>
  <c r="N349" i="63"/>
  <c r="O349" i="63"/>
  <c r="AN349" i="63" s="1"/>
  <c r="AS349" i="63" s="1"/>
  <c r="M349" i="63"/>
  <c r="L349" i="63" s="1"/>
  <c r="Q349" i="63"/>
  <c r="P349" i="63" l="1"/>
  <c r="V349" i="63"/>
  <c r="Z349" i="63"/>
  <c r="AM349" i="63"/>
  <c r="U349" i="63" l="1"/>
  <c r="W349" i="63"/>
  <c r="N350" i="63" l="1"/>
  <c r="AU349" i="63"/>
  <c r="AV349" i="63" s="1"/>
  <c r="AT349" i="63"/>
  <c r="O350" i="63"/>
  <c r="AN350" i="63" s="1"/>
  <c r="AS350" i="63" s="1"/>
  <c r="M350" i="63" l="1"/>
  <c r="L350" i="63" s="1"/>
  <c r="Q350" i="63"/>
  <c r="V350" i="63" s="1"/>
  <c r="AM350" i="63" l="1"/>
  <c r="Z350" i="63"/>
  <c r="P350" i="63"/>
  <c r="W350" i="63" l="1"/>
  <c r="U350" i="63"/>
  <c r="N351" i="63" l="1"/>
  <c r="AT350" i="63"/>
  <c r="AU350" i="63"/>
  <c r="AV350" i="63" s="1"/>
  <c r="O351" i="63"/>
  <c r="AN351" i="63" s="1"/>
  <c r="AS351" i="63" s="1"/>
  <c r="M351" i="63" l="1"/>
  <c r="L351" i="63" s="1"/>
  <c r="Q351" i="63"/>
  <c r="P351" i="63" l="1"/>
  <c r="V351" i="63"/>
  <c r="Z351" i="63"/>
  <c r="AM351" i="63"/>
  <c r="U351" i="63" l="1"/>
  <c r="W351" i="63"/>
  <c r="O352" i="63" l="1"/>
  <c r="AN352" i="63" s="1"/>
  <c r="AS352" i="63" s="1"/>
  <c r="AT351" i="63"/>
  <c r="N352" i="63"/>
  <c r="AU351" i="63"/>
  <c r="AV351" i="63" s="1"/>
  <c r="M352" i="63" l="1"/>
  <c r="L352" i="63" s="1"/>
  <c r="Q352" i="63"/>
  <c r="V352" i="63" l="1"/>
  <c r="P352" i="63"/>
  <c r="AM352" i="63"/>
  <c r="Z352" i="63"/>
  <c r="U352" i="63" l="1"/>
  <c r="W352" i="63"/>
  <c r="AU352" i="63" l="1"/>
  <c r="AV352" i="63" s="1"/>
  <c r="N353" i="63"/>
  <c r="AT352" i="63"/>
  <c r="O353" i="63"/>
  <c r="AN353" i="63" s="1"/>
  <c r="AS353" i="63" s="1"/>
  <c r="Q353" i="63" l="1"/>
  <c r="M353" i="63"/>
  <c r="L353" i="63" s="1"/>
  <c r="AM353" i="63" l="1"/>
  <c r="Z353" i="63"/>
  <c r="V353" i="63"/>
  <c r="P353" i="63"/>
  <c r="W353" i="63" l="1"/>
  <c r="U353" i="63"/>
  <c r="AT353" i="63" l="1"/>
  <c r="O354" i="63"/>
  <c r="AN354" i="63" s="1"/>
  <c r="AS354" i="63" s="1"/>
  <c r="N354" i="63"/>
  <c r="AU353" i="63"/>
  <c r="AV353" i="63" s="1"/>
  <c r="M354" i="63" l="1"/>
  <c r="L354" i="63" s="1"/>
  <c r="Q354" i="63"/>
  <c r="V354" i="63" l="1"/>
  <c r="P354" i="63"/>
  <c r="Z354" i="63"/>
  <c r="AM354" i="63"/>
  <c r="W354" i="63" l="1"/>
  <c r="U354" i="63"/>
  <c r="N355" i="63" l="1"/>
  <c r="O355" i="63"/>
  <c r="AN355" i="63" s="1"/>
  <c r="AS355" i="63" s="1"/>
  <c r="AT354" i="63"/>
  <c r="AU354" i="63"/>
  <c r="AV354" i="63" s="1"/>
  <c r="Q355" i="63" l="1"/>
  <c r="M355" i="63"/>
  <c r="L355" i="63" s="1"/>
  <c r="Z355" i="63" l="1"/>
  <c r="AM355" i="63"/>
  <c r="V355" i="63"/>
  <c r="P355" i="63"/>
  <c r="W355" i="63" l="1"/>
  <c r="U355" i="63"/>
  <c r="AT355" i="63" l="1"/>
  <c r="N356" i="63"/>
  <c r="AU355" i="63"/>
  <c r="AV355" i="63" s="1"/>
  <c r="O356" i="63"/>
  <c r="AN356" i="63" s="1"/>
  <c r="AS356" i="63" s="1"/>
  <c r="Q356" i="63" l="1"/>
  <c r="M356" i="63"/>
  <c r="L356" i="63" s="1"/>
  <c r="AM356" i="63" l="1"/>
  <c r="Z356" i="63"/>
  <c r="V356" i="63"/>
  <c r="P356" i="63"/>
  <c r="U356" i="63" l="1"/>
  <c r="W356" i="63"/>
  <c r="AU356" i="63" l="1"/>
  <c r="AV356" i="63" s="1"/>
  <c r="N357" i="63"/>
  <c r="AT356" i="63"/>
  <c r="O357" i="63"/>
  <c r="AN357" i="63" l="1"/>
  <c r="AS357" i="63" s="1"/>
  <c r="M357" i="63"/>
  <c r="L357" i="63" s="1"/>
  <c r="Q357" i="63"/>
  <c r="V357" i="63" s="1"/>
  <c r="AM357" i="63" l="1"/>
  <c r="Z357" i="63"/>
  <c r="P357" i="63"/>
  <c r="U357" i="63" l="1"/>
  <c r="W357" i="63"/>
  <c r="AT357" i="63" l="1"/>
  <c r="O358" i="63"/>
  <c r="N358" i="63"/>
  <c r="AU357" i="63"/>
  <c r="AV357" i="63" s="1"/>
  <c r="AN358" i="63" l="1"/>
  <c r="AS358" i="63" s="1"/>
  <c r="Q358" i="63"/>
  <c r="V358" i="63" s="1"/>
  <c r="M358" i="63"/>
  <c r="L358" i="63" s="1"/>
  <c r="Z358" i="63" l="1"/>
  <c r="AM358" i="63"/>
  <c r="P358" i="63"/>
  <c r="U358" i="63" l="1"/>
  <c r="W358" i="63"/>
  <c r="N359" i="63" l="1"/>
  <c r="AT358" i="63"/>
  <c r="AU358" i="63"/>
  <c r="AV358" i="63" s="1"/>
  <c r="O359" i="63"/>
  <c r="AN359" i="63" l="1"/>
  <c r="AS359" i="63" s="1"/>
  <c r="M359" i="63"/>
  <c r="L359" i="63" s="1"/>
  <c r="Q359" i="63"/>
  <c r="V359" i="63" s="1"/>
  <c r="P359" i="63" l="1"/>
  <c r="Z359" i="63"/>
  <c r="AM359" i="63"/>
  <c r="U359" i="63" l="1"/>
  <c r="W359" i="63"/>
  <c r="O360" i="63" l="1"/>
  <c r="AU359" i="63"/>
  <c r="AV359" i="63" s="1"/>
  <c r="AT359" i="63"/>
  <c r="N360" i="63"/>
  <c r="Q360" i="63" l="1"/>
  <c r="V360" i="63" s="1"/>
  <c r="M360" i="63"/>
  <c r="L360" i="63" s="1"/>
  <c r="AN360" i="63"/>
  <c r="AS360" i="63" s="1"/>
  <c r="P360" i="63" l="1"/>
  <c r="U360" i="63" s="1"/>
  <c r="AM360" i="63"/>
  <c r="Z360" i="63"/>
  <c r="W360" i="63" l="1"/>
  <c r="AU360" i="63" s="1"/>
  <c r="AV360" i="63" s="1"/>
  <c r="N361" i="63" l="1"/>
  <c r="AT360" i="63"/>
  <c r="O361" i="63"/>
  <c r="M361" i="63"/>
  <c r="L361" i="63" s="1"/>
  <c r="Q361" i="63"/>
  <c r="V361" i="63" s="1"/>
  <c r="AN361" i="63"/>
  <c r="AS361" i="63" s="1"/>
  <c r="P361" i="63" l="1"/>
  <c r="U361" i="63" s="1"/>
  <c r="Z361" i="63"/>
  <c r="AM361" i="63"/>
  <c r="W361" i="63" l="1"/>
  <c r="AU361" i="63" s="1"/>
  <c r="AV361" i="63" s="1"/>
  <c r="O362" i="63"/>
  <c r="AT361" i="63" l="1"/>
  <c r="N362" i="63"/>
  <c r="AN362" i="63"/>
  <c r="AS362" i="63" s="1"/>
  <c r="M362" i="63"/>
  <c r="L362" i="63" s="1"/>
  <c r="Q362" i="63"/>
  <c r="V362" i="63" s="1"/>
  <c r="Z362" i="63" l="1"/>
  <c r="AM362" i="63"/>
  <c r="P362" i="63"/>
  <c r="U362" i="63" l="1"/>
  <c r="W362" i="63"/>
  <c r="O363" i="63" l="1"/>
  <c r="AU362" i="63"/>
  <c r="AV362" i="63" s="1"/>
  <c r="AT362" i="63"/>
  <c r="N363" i="63"/>
  <c r="Q363" i="63" l="1"/>
  <c r="V363" i="63" s="1"/>
  <c r="M363" i="63"/>
  <c r="L363" i="63" s="1"/>
  <c r="AN363" i="63"/>
  <c r="AS363" i="63" s="1"/>
  <c r="P363" i="63" l="1"/>
  <c r="U363" i="63" s="1"/>
  <c r="AM363" i="63"/>
  <c r="Z363" i="63"/>
  <c r="W363" i="63" l="1"/>
  <c r="AU363" i="63"/>
  <c r="AV363" i="63" s="1"/>
  <c r="AT363" i="63"/>
  <c r="O364" i="63"/>
  <c r="AN364" i="63" s="1"/>
  <c r="AS364" i="63" s="1"/>
  <c r="N364" i="63"/>
  <c r="Q364" i="63" l="1"/>
  <c r="M364" i="63"/>
  <c r="L364" i="63" s="1"/>
  <c r="Z364" i="63" l="1"/>
  <c r="AM364" i="63"/>
  <c r="P364" i="63"/>
  <c r="V364" i="63"/>
  <c r="U364" i="63" l="1"/>
  <c r="W364" i="63"/>
  <c r="N365" i="63" l="1"/>
  <c r="AT364" i="63"/>
  <c r="O365" i="63"/>
  <c r="AN365" i="63" s="1"/>
  <c r="AS365" i="63" s="1"/>
  <c r="AU364" i="63"/>
  <c r="AV364" i="63" s="1"/>
  <c r="M365" i="63" l="1"/>
  <c r="L365" i="63" s="1"/>
  <c r="Q365" i="63"/>
  <c r="V365" i="63" l="1"/>
  <c r="P365" i="63"/>
  <c r="AM365" i="63"/>
  <c r="Z365" i="63"/>
  <c r="U365" i="63" l="1"/>
  <c r="W365" i="63"/>
  <c r="AU365" i="63" l="1"/>
  <c r="AV365" i="63" s="1"/>
  <c r="N366" i="63"/>
  <c r="O366" i="63"/>
  <c r="AN366" i="63" s="1"/>
  <c r="AS366" i="63" s="1"/>
  <c r="AT365" i="63"/>
  <c r="Q366" i="63" l="1"/>
  <c r="M366" i="63"/>
  <c r="L366" i="63" s="1"/>
  <c r="AM366" i="63" l="1"/>
  <c r="Z366" i="63"/>
  <c r="V366" i="63"/>
  <c r="P366" i="63"/>
  <c r="U366" i="63" l="1"/>
  <c r="W366" i="63"/>
  <c r="AU366" i="63" l="1"/>
  <c r="AV366" i="63" s="1"/>
  <c r="N367" i="63"/>
  <c r="AT366" i="63"/>
  <c r="O367" i="63"/>
  <c r="AN367" i="63" s="1"/>
  <c r="AS367" i="63" s="1"/>
  <c r="Q367" i="63" l="1"/>
  <c r="M367" i="63"/>
  <c r="L367" i="63" s="1"/>
  <c r="Z367" i="63" l="1"/>
  <c r="AM367" i="63"/>
  <c r="V367" i="63"/>
  <c r="P367" i="63"/>
  <c r="U367" i="63" l="1"/>
  <c r="W367" i="63"/>
  <c r="N368" i="63" l="1"/>
  <c r="O368" i="63"/>
  <c r="AT367" i="63"/>
  <c r="AU367" i="63"/>
  <c r="AV367" i="63" s="1"/>
  <c r="AN368" i="63" l="1"/>
  <c r="AS368" i="63" s="1"/>
  <c r="Q368" i="63"/>
  <c r="V368" i="63" s="1"/>
  <c r="M368" i="63"/>
  <c r="L368" i="63" s="1"/>
  <c r="Z368" i="63" l="1"/>
  <c r="AM368" i="63"/>
  <c r="P368" i="63"/>
  <c r="W368" i="63" l="1"/>
  <c r="U368" i="63"/>
  <c r="AU368" i="63" l="1"/>
  <c r="AV368" i="63" s="1"/>
  <c r="N369" i="63"/>
  <c r="O369" i="63"/>
  <c r="AT368" i="63"/>
  <c r="AN369" i="63" l="1"/>
  <c r="AS369" i="63" s="1"/>
  <c r="Q369" i="63"/>
  <c r="V369" i="63" s="1"/>
  <c r="M369" i="63"/>
  <c r="L369" i="63" s="1"/>
  <c r="Z369" i="63" l="1"/>
  <c r="AM369" i="63"/>
  <c r="P369" i="63"/>
  <c r="U369" i="63" l="1"/>
  <c r="W369" i="63"/>
  <c r="N370" i="63" l="1"/>
  <c r="AT369" i="63"/>
  <c r="O370" i="63"/>
  <c r="AU369" i="63"/>
  <c r="AV369" i="63" s="1"/>
  <c r="AN370" i="63" l="1"/>
  <c r="AS370" i="63" s="1"/>
  <c r="M370" i="63"/>
  <c r="L370" i="63" s="1"/>
  <c r="Q370" i="63"/>
  <c r="V370" i="63" s="1"/>
  <c r="Z370" i="63" l="1"/>
  <c r="AM370" i="63"/>
  <c r="P370" i="63"/>
  <c r="W370" i="63" l="1"/>
  <c r="U370" i="63"/>
  <c r="AU370" i="63" l="1"/>
  <c r="AV370" i="63" s="1"/>
  <c r="AT370" i="63"/>
  <c r="O371" i="63"/>
  <c r="N371" i="63"/>
  <c r="Q371" i="63" l="1"/>
  <c r="V371" i="63" s="1"/>
  <c r="M371" i="63"/>
  <c r="L371" i="63" s="1"/>
  <c r="AN371" i="63"/>
  <c r="AS371" i="63" s="1"/>
  <c r="P371" i="63" l="1"/>
  <c r="AM371" i="63"/>
  <c r="Z371" i="63"/>
  <c r="W371" i="63" l="1"/>
  <c r="U371" i="63"/>
  <c r="N372" i="63" l="1"/>
  <c r="AT371" i="63"/>
  <c r="AU371" i="63"/>
  <c r="AV371" i="63" s="1"/>
  <c r="O372" i="63"/>
  <c r="AN372" i="63" l="1"/>
  <c r="AS372" i="63" s="1"/>
  <c r="M372" i="63"/>
  <c r="L372" i="63" s="1"/>
  <c r="Q372" i="63"/>
  <c r="V372" i="63" s="1"/>
  <c r="AM372" i="63" l="1"/>
  <c r="Z372" i="63"/>
  <c r="P372" i="63"/>
  <c r="U372" i="63" l="1"/>
  <c r="W372" i="63"/>
  <c r="O373" i="63" l="1"/>
  <c r="AT372" i="63"/>
  <c r="N373" i="63"/>
  <c r="AU372" i="63"/>
  <c r="AV372" i="63" s="1"/>
  <c r="Q373" i="63" l="1"/>
  <c r="V373" i="63" s="1"/>
  <c r="M373" i="63"/>
  <c r="L373" i="63" s="1"/>
  <c r="AN373" i="63"/>
  <c r="AS373" i="63" s="1"/>
  <c r="P373" i="63" l="1"/>
  <c r="W373" i="63" s="1"/>
  <c r="AM373" i="63"/>
  <c r="Z373" i="63"/>
  <c r="U373" i="63" l="1"/>
  <c r="N374" i="63"/>
  <c r="AT373" i="63"/>
  <c r="AU373" i="63"/>
  <c r="AV373" i="63" s="1"/>
  <c r="O374" i="63"/>
  <c r="AN374" i="63" s="1"/>
  <c r="AS374" i="63" s="1"/>
  <c r="Q374" i="63" l="1"/>
  <c r="V374" i="63" s="1"/>
  <c r="M374" i="63"/>
  <c r="L374" i="63" s="1"/>
  <c r="P374" i="63" l="1"/>
  <c r="AM374" i="63"/>
  <c r="Z374" i="63"/>
  <c r="U374" i="63" l="1"/>
  <c r="W374" i="63"/>
  <c r="O375" i="63" l="1"/>
  <c r="AN375" i="63" s="1"/>
  <c r="AS375" i="63" s="1"/>
  <c r="N375" i="63"/>
  <c r="AU374" i="63"/>
  <c r="AV374" i="63" s="1"/>
  <c r="AT374" i="63"/>
  <c r="M375" i="63" l="1"/>
  <c r="L375" i="63" s="1"/>
  <c r="Q375" i="63"/>
  <c r="V375" i="63" l="1"/>
  <c r="P375" i="63"/>
  <c r="AM375" i="63"/>
  <c r="Z375" i="63"/>
  <c r="U375" i="63" l="1"/>
  <c r="W375" i="63"/>
  <c r="AU375" i="63" l="1"/>
  <c r="AV375" i="63" s="1"/>
  <c r="O376" i="63"/>
  <c r="AN376" i="63" s="1"/>
  <c r="AS376" i="63" s="1"/>
  <c r="N376" i="63"/>
  <c r="AT375" i="63"/>
  <c r="Q376" i="63" l="1"/>
  <c r="M376" i="63"/>
  <c r="L376" i="63" s="1"/>
  <c r="Z376" i="63" l="1"/>
  <c r="AM376" i="63"/>
  <c r="P376" i="63"/>
  <c r="V376" i="63"/>
  <c r="W376" i="63" l="1"/>
  <c r="U376" i="63"/>
  <c r="N377" i="63" l="1"/>
  <c r="AU376" i="63"/>
  <c r="AV376" i="63" s="1"/>
  <c r="O377" i="63"/>
  <c r="AN377" i="63" s="1"/>
  <c r="AS377" i="63" s="1"/>
  <c r="AT376" i="63"/>
  <c r="Q377" i="63" l="1"/>
  <c r="V377" i="63" s="1"/>
  <c r="M377" i="63"/>
  <c r="L377" i="63" s="1"/>
  <c r="Z377" i="63" l="1"/>
  <c r="AM377" i="63"/>
  <c r="P377" i="63"/>
  <c r="U377" i="63" l="1"/>
  <c r="W377" i="63"/>
  <c r="AU377" i="63" l="1"/>
  <c r="AV377" i="63" s="1"/>
  <c r="N378" i="63"/>
  <c r="AT377" i="63"/>
  <c r="O378" i="63"/>
  <c r="AN378" i="63" s="1"/>
  <c r="AS378" i="63" s="1"/>
  <c r="Q378" i="63" l="1"/>
  <c r="M378" i="63"/>
  <c r="L378" i="63" s="1"/>
  <c r="AM378" i="63" l="1"/>
  <c r="Z378" i="63"/>
  <c r="V378" i="63"/>
  <c r="P378" i="63"/>
  <c r="U378" i="63" l="1"/>
  <c r="W378" i="63"/>
  <c r="AT378" i="63" l="1"/>
  <c r="AU378" i="63"/>
  <c r="AV378" i="63" s="1"/>
  <c r="N379" i="63"/>
  <c r="O379" i="63"/>
  <c r="AN379" i="63" s="1"/>
  <c r="AS379" i="63" s="1"/>
  <c r="Q379" i="63" l="1"/>
  <c r="M379" i="63"/>
  <c r="L379" i="63" s="1"/>
  <c r="AM379" i="63" l="1"/>
  <c r="Z379" i="63"/>
  <c r="V379" i="63"/>
  <c r="P379" i="63"/>
  <c r="U379" i="63" l="1"/>
  <c r="W379" i="63"/>
  <c r="AT379" i="63" l="1"/>
  <c r="AU379" i="63"/>
  <c r="AV379" i="63" s="1"/>
  <c r="O380" i="63"/>
  <c r="AN380" i="63" s="1"/>
  <c r="AS380" i="63" s="1"/>
  <c r="N380" i="63"/>
  <c r="M380" i="63" l="1"/>
  <c r="L380" i="63" s="1"/>
  <c r="Q380" i="63"/>
  <c r="P380" i="63" l="1"/>
  <c r="V380" i="63"/>
  <c r="Z380" i="63"/>
  <c r="AM380" i="63"/>
  <c r="U380" i="63" l="1"/>
  <c r="W380" i="63"/>
  <c r="N381" i="63" l="1"/>
  <c r="O381" i="63"/>
  <c r="AN381" i="63" s="1"/>
  <c r="AS381" i="63" s="1"/>
  <c r="AT380" i="63"/>
  <c r="AU380" i="63"/>
  <c r="AV380" i="63" s="1"/>
  <c r="M381" i="63" l="1"/>
  <c r="L381" i="63" s="1"/>
  <c r="Q381" i="63"/>
  <c r="P381" i="63" l="1"/>
  <c r="V381" i="63"/>
  <c r="Z381" i="63"/>
  <c r="AM381" i="63"/>
  <c r="U381" i="63" l="1"/>
  <c r="W381" i="63"/>
  <c r="AU381" i="63" l="1"/>
  <c r="AV381" i="63" s="1"/>
  <c r="N382" i="63"/>
  <c r="O382" i="63"/>
  <c r="AN382" i="63" s="1"/>
  <c r="AS382" i="63" s="1"/>
  <c r="AT381" i="63"/>
  <c r="Q382" i="63" l="1"/>
  <c r="M382" i="63"/>
  <c r="L382" i="63" s="1"/>
  <c r="AM382" i="63" l="1"/>
  <c r="Z382" i="63"/>
  <c r="V382" i="63"/>
  <c r="P382" i="63"/>
  <c r="U382" i="63" l="1"/>
  <c r="W382" i="63"/>
  <c r="AU382" i="63" l="1"/>
  <c r="AV382" i="63" s="1"/>
  <c r="N383" i="63"/>
  <c r="O383" i="63"/>
  <c r="AN383" i="63" s="1"/>
  <c r="AS383" i="63" s="1"/>
  <c r="AT382" i="63"/>
  <c r="M383" i="63" l="1"/>
  <c r="L383" i="63" s="1"/>
  <c r="Q383" i="63"/>
  <c r="V383" i="63" l="1"/>
  <c r="P383" i="63"/>
  <c r="Z383" i="63"/>
  <c r="AM383" i="63"/>
  <c r="U383" i="63" l="1"/>
  <c r="W383" i="63"/>
  <c r="AU383" i="63" l="1"/>
  <c r="AV383" i="63" s="1"/>
  <c r="O384" i="63"/>
  <c r="AN384" i="63" s="1"/>
  <c r="AS384" i="63" s="1"/>
  <c r="N384" i="63"/>
  <c r="AT383" i="63"/>
  <c r="Q384" i="63" l="1"/>
  <c r="V384" i="63" s="1"/>
  <c r="M384" i="63"/>
  <c r="L384" i="63" s="1"/>
  <c r="AM384" i="63" l="1"/>
  <c r="Z384" i="63"/>
  <c r="P384" i="63"/>
  <c r="U384" i="63" l="1"/>
  <c r="W384" i="63"/>
  <c r="AT384" i="63" l="1"/>
  <c r="O385" i="63"/>
  <c r="AN385" i="63" s="1"/>
  <c r="AS385" i="63" s="1"/>
  <c r="AU384" i="63"/>
  <c r="AV384" i="63" s="1"/>
  <c r="N385" i="63"/>
  <c r="M385" i="63" l="1"/>
  <c r="L385" i="63" s="1"/>
  <c r="Q385" i="63"/>
  <c r="V385" i="63" l="1"/>
  <c r="P385" i="63"/>
  <c r="AM385" i="63"/>
  <c r="Z385" i="63"/>
  <c r="U385" i="63" l="1"/>
  <c r="W385" i="63"/>
  <c r="N386" i="63" l="1"/>
  <c r="O386" i="63"/>
  <c r="AN386" i="63" s="1"/>
  <c r="AS386" i="63" s="1"/>
  <c r="AU385" i="63"/>
  <c r="AV385" i="63" s="1"/>
  <c r="AT385" i="63"/>
  <c r="M386" i="63" l="1"/>
  <c r="L386" i="63" s="1"/>
  <c r="Q386" i="63"/>
  <c r="V386" i="63" l="1"/>
  <c r="P386" i="63"/>
  <c r="AM386" i="63"/>
  <c r="Z386" i="63"/>
  <c r="U386" i="63" l="1"/>
  <c r="W386" i="63"/>
  <c r="AT386" i="63" l="1"/>
  <c r="O387" i="63"/>
  <c r="AN387" i="63" s="1"/>
  <c r="AS387" i="63" s="1"/>
  <c r="N387" i="63"/>
  <c r="AU386" i="63"/>
  <c r="AV386" i="63" s="1"/>
  <c r="M387" i="63" l="1"/>
  <c r="L387" i="63" s="1"/>
  <c r="Q387" i="63"/>
  <c r="V387" i="63" l="1"/>
  <c r="P387" i="63"/>
  <c r="AM387" i="63"/>
  <c r="Z387" i="63"/>
  <c r="U387" i="63" l="1"/>
  <c r="W387" i="63"/>
  <c r="O388" i="63" l="1"/>
  <c r="AN388" i="63" s="1"/>
  <c r="AS388" i="63" s="1"/>
  <c r="N388" i="63"/>
  <c r="AT387" i="63"/>
  <c r="AU387" i="63"/>
  <c r="AV387" i="63" s="1"/>
  <c r="M388" i="63" l="1"/>
  <c r="L388" i="63" s="1"/>
  <c r="Q388" i="63"/>
  <c r="V388" i="63" l="1"/>
  <c r="P388" i="63"/>
  <c r="Z388" i="63"/>
  <c r="AM388" i="63"/>
  <c r="W388" i="63" l="1"/>
  <c r="U388" i="63"/>
  <c r="AU388" i="63" l="1"/>
  <c r="AV388" i="63" s="1"/>
  <c r="AT388" i="63"/>
  <c r="O389" i="63"/>
  <c r="N389" i="63"/>
  <c r="Q389" i="63" l="1"/>
  <c r="V389" i="63" s="1"/>
  <c r="M389" i="63"/>
  <c r="L389" i="63" s="1"/>
  <c r="AN389" i="63"/>
  <c r="AS389" i="63" s="1"/>
  <c r="P389" i="63" l="1"/>
  <c r="U389" i="63" s="1"/>
  <c r="Z389" i="63"/>
  <c r="AM389" i="63"/>
  <c r="W389" i="63"/>
  <c r="AT389" i="63" l="1"/>
  <c r="O390" i="63"/>
  <c r="AN390" i="63" s="1"/>
  <c r="AS390" i="63" s="1"/>
  <c r="N390" i="63"/>
  <c r="AU389" i="63"/>
  <c r="AV389" i="63" s="1"/>
  <c r="M390" i="63" l="1"/>
  <c r="L390" i="63" s="1"/>
  <c r="Q390" i="63"/>
  <c r="V390" i="63" l="1"/>
  <c r="P390" i="63"/>
  <c r="AM390" i="63"/>
  <c r="Z390" i="63"/>
  <c r="W390" i="63" l="1"/>
  <c r="U390" i="63"/>
  <c r="N391" i="63" l="1"/>
  <c r="AT390" i="63"/>
  <c r="O391" i="63"/>
  <c r="AN391" i="63" s="1"/>
  <c r="AS391" i="63" s="1"/>
  <c r="AU390" i="63"/>
  <c r="AV390" i="63" s="1"/>
  <c r="Q391" i="63" l="1"/>
  <c r="M391" i="63"/>
  <c r="L391" i="63" s="1"/>
  <c r="AM391" i="63" l="1"/>
  <c r="Z391" i="63"/>
  <c r="V391" i="63"/>
  <c r="P391" i="63"/>
  <c r="U391" i="63" l="1"/>
  <c r="W391" i="63"/>
  <c r="O392" i="63" l="1"/>
  <c r="AN392" i="63" s="1"/>
  <c r="AS392" i="63" s="1"/>
  <c r="N392" i="63"/>
  <c r="AT391" i="63"/>
  <c r="AU391" i="63"/>
  <c r="AV391" i="63" s="1"/>
  <c r="M392" i="63" l="1"/>
  <c r="L392" i="63" s="1"/>
  <c r="Q392" i="63"/>
  <c r="P392" i="63" l="1"/>
  <c r="V392" i="63"/>
  <c r="AM392" i="63"/>
  <c r="Z392" i="63"/>
  <c r="U392" i="63" l="1"/>
  <c r="W392" i="63"/>
  <c r="N393" i="63" l="1"/>
  <c r="AT392" i="63"/>
  <c r="O393" i="63"/>
  <c r="AN393" i="63" s="1"/>
  <c r="AS393" i="63" s="1"/>
  <c r="AU392" i="63"/>
  <c r="AV392" i="63" s="1"/>
  <c r="Q393" i="63" l="1"/>
  <c r="M393" i="63"/>
  <c r="L393" i="63" s="1"/>
  <c r="AM393" i="63" l="1"/>
  <c r="Z393" i="63"/>
  <c r="V393" i="63"/>
  <c r="P393" i="63"/>
  <c r="U393" i="63" l="1"/>
  <c r="W393" i="63"/>
  <c r="O394" i="63" l="1"/>
  <c r="AN394" i="63" s="1"/>
  <c r="AS394" i="63" s="1"/>
  <c r="AU393" i="63"/>
  <c r="AV393" i="63" s="1"/>
  <c r="N394" i="63"/>
  <c r="AT393" i="63"/>
  <c r="Q394" i="63" l="1"/>
  <c r="M394" i="63"/>
  <c r="L394" i="63" s="1"/>
  <c r="AM394" i="63" l="1"/>
  <c r="Z394" i="63"/>
  <c r="P394" i="63"/>
  <c r="V394" i="63"/>
  <c r="W394" i="63" l="1"/>
  <c r="U394" i="63"/>
  <c r="N395" i="63" l="1"/>
  <c r="O395" i="63"/>
  <c r="AN395" i="63" s="1"/>
  <c r="AS395" i="63" s="1"/>
  <c r="AT394" i="63"/>
  <c r="AU394" i="63"/>
  <c r="AV394" i="63" s="1"/>
  <c r="Q395" i="63" l="1"/>
  <c r="M395" i="63"/>
  <c r="L395" i="63" s="1"/>
  <c r="Z395" i="63" l="1"/>
  <c r="AM395" i="63"/>
  <c r="V395" i="63"/>
  <c r="P395" i="63"/>
  <c r="U395" i="63" l="1"/>
  <c r="W395" i="63"/>
  <c r="AU395" i="63" l="1"/>
  <c r="AV395" i="63" s="1"/>
  <c r="O396" i="63"/>
  <c r="AN396" i="63" s="1"/>
  <c r="AS396" i="63" s="1"/>
  <c r="N396" i="63"/>
  <c r="AT395" i="63"/>
  <c r="M396" i="63" l="1"/>
  <c r="L396" i="63" s="1"/>
  <c r="Q396" i="63"/>
  <c r="V396" i="63" l="1"/>
  <c r="P396" i="63"/>
  <c r="Z396" i="63"/>
  <c r="AM396" i="63"/>
  <c r="U396" i="63" l="1"/>
  <c r="W396" i="63"/>
  <c r="O397" i="63" l="1"/>
  <c r="AN397" i="63" s="1"/>
  <c r="AS397" i="63" s="1"/>
  <c r="AU396" i="63"/>
  <c r="AV396" i="63" s="1"/>
  <c r="AT396" i="63"/>
  <c r="N397" i="63"/>
  <c r="M397" i="63" l="1"/>
  <c r="L397" i="63" s="1"/>
  <c r="Q397" i="63"/>
  <c r="V397" i="63" l="1"/>
  <c r="P397" i="63"/>
  <c r="AM397" i="63"/>
  <c r="Z397" i="63"/>
  <c r="U397" i="63" l="1"/>
  <c r="W397" i="63"/>
  <c r="N398" i="63" l="1"/>
  <c r="AU397" i="63"/>
  <c r="AV397" i="63" s="1"/>
  <c r="O398" i="63"/>
  <c r="AN398" i="63" s="1"/>
  <c r="AS398" i="63" s="1"/>
  <c r="AT397" i="63"/>
  <c r="M398" i="63" l="1"/>
  <c r="L398" i="63" s="1"/>
  <c r="Q398" i="63"/>
  <c r="V398" i="63" l="1"/>
  <c r="P398" i="63"/>
  <c r="Z398" i="63"/>
  <c r="AM398" i="63"/>
  <c r="U398" i="63" l="1"/>
  <c r="W398" i="63"/>
  <c r="AU398" i="63" l="1"/>
  <c r="AV398" i="63" s="1"/>
  <c r="AT398" i="63"/>
  <c r="N399" i="63"/>
  <c r="O399" i="63"/>
  <c r="AN399" i="63" s="1"/>
  <c r="AS399" i="63" s="1"/>
  <c r="Q399" i="63" l="1"/>
  <c r="M399" i="63"/>
  <c r="L399" i="63" s="1"/>
  <c r="Z399" i="63" l="1"/>
  <c r="AM399" i="63"/>
  <c r="V399" i="63"/>
  <c r="P399" i="63"/>
  <c r="W399" i="63" l="1"/>
  <c r="U399" i="63"/>
  <c r="AT399" i="63" l="1"/>
  <c r="O400" i="63"/>
  <c r="AN400" i="63" s="1"/>
  <c r="AS400" i="63" s="1"/>
  <c r="AU399" i="63"/>
  <c r="AV399" i="63" s="1"/>
  <c r="N400" i="63"/>
  <c r="Q400" i="63" l="1"/>
  <c r="M400" i="63"/>
  <c r="L400" i="63" s="1"/>
  <c r="AM400" i="63" l="1"/>
  <c r="Z400" i="63"/>
  <c r="V400" i="63"/>
  <c r="P400" i="63"/>
  <c r="U400" i="63" l="1"/>
  <c r="W400" i="63"/>
  <c r="AU400" i="63" l="1"/>
  <c r="AV400" i="63" s="1"/>
  <c r="O401" i="63"/>
  <c r="AT400" i="63"/>
  <c r="N401" i="63"/>
  <c r="M401" i="63" l="1"/>
  <c r="L401" i="63" s="1"/>
  <c r="Q401" i="63"/>
  <c r="V401" i="63" s="1"/>
  <c r="AN401" i="63"/>
  <c r="AS401" i="63" s="1"/>
  <c r="P401" i="63" l="1"/>
  <c r="W401" i="63" s="1"/>
  <c r="Z401" i="63"/>
  <c r="AM401" i="63"/>
  <c r="U401" i="63" l="1"/>
  <c r="AT401" i="63"/>
  <c r="AU401" i="63"/>
  <c r="AV401" i="63" s="1"/>
  <c r="N402" i="63"/>
  <c r="O402" i="63"/>
  <c r="AN402" i="63" s="1"/>
  <c r="AS402" i="63" s="1"/>
  <c r="M402" i="63" l="1"/>
  <c r="L402" i="63" s="1"/>
  <c r="Q402" i="63"/>
  <c r="V402" i="63" l="1"/>
  <c r="P402" i="63"/>
  <c r="Z402" i="63"/>
  <c r="AM402" i="63"/>
  <c r="U402" i="63" l="1"/>
  <c r="W402" i="63"/>
  <c r="AU402" i="63" l="1"/>
  <c r="AV402" i="63" s="1"/>
  <c r="O403" i="63"/>
  <c r="N403" i="63"/>
  <c r="AT402" i="63"/>
  <c r="Q403" i="63" l="1"/>
  <c r="V403" i="63" s="1"/>
  <c r="M403" i="63"/>
  <c r="L403" i="63" s="1"/>
  <c r="AN403" i="63"/>
  <c r="AS403" i="63" s="1"/>
  <c r="P403" i="63" l="1"/>
  <c r="W403" i="63" s="1"/>
  <c r="Z403" i="63"/>
  <c r="AM403" i="63"/>
  <c r="U403" i="63" l="1"/>
  <c r="AU403" i="63"/>
  <c r="AV403" i="63" s="1"/>
  <c r="N404" i="63"/>
  <c r="AT403" i="63"/>
  <c r="O404" i="63"/>
  <c r="AN404" i="63" s="1"/>
  <c r="AS404" i="63" s="1"/>
  <c r="Q404" i="63" l="1"/>
  <c r="M404" i="63"/>
  <c r="L404" i="63" s="1"/>
  <c r="Z404" i="63" l="1"/>
  <c r="AM404" i="63"/>
  <c r="V404" i="63"/>
  <c r="P404" i="63"/>
  <c r="U404" i="63" l="1"/>
  <c r="W404" i="63"/>
  <c r="AT404" i="63" l="1"/>
  <c r="AU404" i="63"/>
  <c r="AV404" i="63" s="1"/>
  <c r="O405" i="63"/>
  <c r="AN405" i="63" s="1"/>
  <c r="AS405" i="63" s="1"/>
  <c r="N405" i="63"/>
  <c r="Q405" i="63" l="1"/>
  <c r="M405" i="63"/>
  <c r="L405" i="63" s="1"/>
  <c r="Z405" i="63" l="1"/>
  <c r="AM405" i="63"/>
  <c r="V405" i="63"/>
  <c r="P405" i="63"/>
  <c r="W405" i="63" l="1"/>
  <c r="U405" i="63"/>
  <c r="O406" i="63" l="1"/>
  <c r="AN406" i="63" s="1"/>
  <c r="AS406" i="63" s="1"/>
  <c r="AT405" i="63"/>
  <c r="AU405" i="63"/>
  <c r="AV405" i="63" s="1"/>
  <c r="N406" i="63"/>
  <c r="M406" i="63" l="1"/>
  <c r="L406" i="63" s="1"/>
  <c r="Q406" i="63"/>
  <c r="V406" i="63" l="1"/>
  <c r="P406" i="63"/>
  <c r="Z406" i="63"/>
  <c r="AM406" i="63"/>
  <c r="U406" i="63" l="1"/>
  <c r="W406" i="63"/>
  <c r="O407" i="63" l="1"/>
  <c r="AN407" i="63" s="1"/>
  <c r="AS407" i="63" s="1"/>
  <c r="N407" i="63"/>
  <c r="AU406" i="63"/>
  <c r="AV406" i="63" s="1"/>
  <c r="AT406" i="63"/>
  <c r="M407" i="63" l="1"/>
  <c r="L407" i="63" s="1"/>
  <c r="Q407" i="63"/>
  <c r="V407" i="63" l="1"/>
  <c r="P407" i="63"/>
  <c r="Z407" i="63"/>
  <c r="AM407" i="63"/>
  <c r="U407" i="63" l="1"/>
  <c r="W407" i="63"/>
  <c r="AT407" i="63" l="1"/>
  <c r="N408" i="63"/>
  <c r="AU407" i="63"/>
  <c r="AV407" i="63" s="1"/>
  <c r="O408" i="63"/>
  <c r="AN408" i="63" s="1"/>
  <c r="AS408" i="63" s="1"/>
  <c r="Q408" i="63" l="1"/>
  <c r="M408" i="63"/>
  <c r="L408" i="63" s="1"/>
  <c r="Z408" i="63" l="1"/>
  <c r="AM408" i="63"/>
  <c r="V408" i="63"/>
  <c r="P408" i="63"/>
  <c r="U408" i="63" l="1"/>
  <c r="W408" i="63"/>
  <c r="AT408" i="63" l="1"/>
  <c r="AU408" i="63"/>
  <c r="AV408" i="63" s="1"/>
  <c r="N409" i="63"/>
  <c r="O409" i="63"/>
  <c r="AN409" i="63" s="1"/>
  <c r="AS409" i="63" s="1"/>
  <c r="M409" i="63" l="1"/>
  <c r="L409" i="63" s="1"/>
  <c r="Q409" i="63"/>
  <c r="V409" i="63" s="1"/>
  <c r="Z409" i="63" l="1"/>
  <c r="AM409" i="63"/>
  <c r="P409" i="63"/>
  <c r="U409" i="63" l="1"/>
  <c r="W409" i="63"/>
  <c r="AT409" i="63" l="1"/>
  <c r="AU409" i="63"/>
  <c r="AV409" i="63" s="1"/>
  <c r="N410" i="63"/>
  <c r="O410" i="63"/>
  <c r="AN410" i="63" s="1"/>
  <c r="AS410" i="63" s="1"/>
  <c r="Q410" i="63" l="1"/>
  <c r="V410" i="63" s="1"/>
  <c r="M410" i="63"/>
  <c r="L410" i="63" s="1"/>
  <c r="Z410" i="63" l="1"/>
  <c r="AM410" i="63"/>
  <c r="P410" i="63"/>
  <c r="U410" i="63" l="1"/>
  <c r="W410" i="63"/>
  <c r="AU410" i="63" l="1"/>
  <c r="AV410" i="63" s="1"/>
  <c r="AT410" i="63"/>
  <c r="N411" i="63"/>
  <c r="O411" i="63"/>
  <c r="AN411" i="63" l="1"/>
  <c r="AS411" i="63" s="1"/>
  <c r="M411" i="63"/>
  <c r="L411" i="63" s="1"/>
  <c r="Q411" i="63"/>
  <c r="V411" i="63" s="1"/>
  <c r="Z411" i="63" l="1"/>
  <c r="AM411" i="63"/>
  <c r="P411" i="63"/>
  <c r="W411" i="63" l="1"/>
  <c r="U411" i="63"/>
  <c r="AT411" i="63" l="1"/>
  <c r="N412" i="63"/>
  <c r="AU411" i="63"/>
  <c r="AV411" i="63" s="1"/>
  <c r="O412" i="63"/>
  <c r="AN412" i="63" l="1"/>
  <c r="AS412" i="63" s="1"/>
  <c r="Q412" i="63"/>
  <c r="V412" i="63" s="1"/>
  <c r="M412" i="63"/>
  <c r="L412" i="63" s="1"/>
  <c r="AM412" i="63" l="1"/>
  <c r="Z412" i="63"/>
  <c r="P412" i="63"/>
  <c r="U412" i="63" l="1"/>
  <c r="W412" i="63"/>
  <c r="N413" i="63" l="1"/>
  <c r="AU412" i="63"/>
  <c r="AV412" i="63" s="1"/>
  <c r="O413" i="63"/>
  <c r="AT412" i="63"/>
  <c r="AN413" i="63" l="1"/>
  <c r="AS413" i="63" s="1"/>
  <c r="M413" i="63"/>
  <c r="L413" i="63" s="1"/>
  <c r="Q413" i="63"/>
  <c r="V413" i="63" s="1"/>
  <c r="AM413" i="63" l="1"/>
  <c r="Z413" i="63"/>
  <c r="P413" i="63"/>
  <c r="U413" i="63" l="1"/>
  <c r="W413" i="63"/>
  <c r="AU413" i="63" l="1"/>
  <c r="AV413" i="63" s="1"/>
  <c r="N414" i="63"/>
  <c r="O414" i="63"/>
  <c r="AT413" i="63"/>
  <c r="AN414" i="63" l="1"/>
  <c r="AS414" i="63" s="1"/>
  <c r="M414" i="63"/>
  <c r="L414" i="63" s="1"/>
  <c r="Q414" i="63"/>
  <c r="V414" i="63" s="1"/>
  <c r="P414" i="63" l="1"/>
  <c r="AM414" i="63"/>
  <c r="Z414" i="63"/>
  <c r="U414" i="63" l="1"/>
  <c r="W414" i="63"/>
  <c r="AT414" i="63" l="1"/>
  <c r="AU414" i="63"/>
  <c r="AV414" i="63" s="1"/>
  <c r="O415" i="63"/>
  <c r="N415" i="63"/>
  <c r="M415" i="63" l="1"/>
  <c r="L415" i="63" s="1"/>
  <c r="Q415" i="63"/>
  <c r="V415" i="63" s="1"/>
  <c r="AN415" i="63"/>
  <c r="AS415" i="63" s="1"/>
  <c r="P415" i="63" l="1"/>
  <c r="U415" i="63" s="1"/>
  <c r="Z415" i="63"/>
  <c r="AM415" i="63"/>
  <c r="W415" i="63" l="1"/>
  <c r="N416" i="63"/>
  <c r="O416" i="63"/>
  <c r="AU415" i="63"/>
  <c r="AV415" i="63" s="1"/>
  <c r="AT415" i="63"/>
  <c r="AN416" i="63" l="1"/>
  <c r="AS416" i="63" s="1"/>
  <c r="Q416" i="63"/>
  <c r="V416" i="63" s="1"/>
  <c r="M416" i="63"/>
  <c r="L416" i="63" s="1"/>
  <c r="AM416" i="63" l="1"/>
  <c r="Z416" i="63"/>
  <c r="P416" i="63"/>
  <c r="W416" i="63" l="1"/>
  <c r="U416" i="63"/>
  <c r="AT416" i="63" l="1"/>
  <c r="AU416" i="63"/>
  <c r="AV416" i="63" s="1"/>
  <c r="N417" i="63"/>
  <c r="O417" i="63"/>
  <c r="AN417" i="63" l="1"/>
  <c r="AS417" i="63" s="1"/>
  <c r="Q417" i="63"/>
  <c r="V417" i="63" s="1"/>
  <c r="M417" i="63"/>
  <c r="L417" i="63" s="1"/>
  <c r="AM417" i="63" l="1"/>
  <c r="Z417" i="63"/>
  <c r="P417" i="63"/>
  <c r="W417" i="63" l="1"/>
  <c r="U417" i="63"/>
  <c r="N418" i="63" l="1"/>
  <c r="O418" i="63"/>
  <c r="AU417" i="63"/>
  <c r="AV417" i="63" s="1"/>
  <c r="AT417" i="63"/>
  <c r="AN418" i="63" l="1"/>
  <c r="AS418" i="63" s="1"/>
  <c r="M418" i="63"/>
  <c r="L418" i="63" s="1"/>
  <c r="Q418" i="63"/>
  <c r="V418" i="63" s="1"/>
  <c r="AM418" i="63" l="1"/>
  <c r="Z418" i="63"/>
  <c r="P418" i="63"/>
  <c r="U418" i="63" l="1"/>
  <c r="W418" i="63"/>
  <c r="AT418" i="63" l="1"/>
  <c r="O419" i="63"/>
  <c r="N419" i="63"/>
  <c r="AU418" i="63"/>
  <c r="AV418" i="63" s="1"/>
  <c r="Q419" i="63" l="1"/>
  <c r="V419" i="63" s="1"/>
  <c r="M419" i="63"/>
  <c r="L419" i="63" s="1"/>
  <c r="AN419" i="63"/>
  <c r="AS419" i="63" s="1"/>
  <c r="P419" i="63" l="1"/>
  <c r="W419" i="63" s="1"/>
  <c r="AM419" i="63"/>
  <c r="Z419" i="63"/>
  <c r="U419" i="63" l="1"/>
  <c r="AU419" i="63"/>
  <c r="AO419" i="63"/>
  <c r="N420" i="63"/>
  <c r="AV419" i="63"/>
  <c r="AT419" i="63"/>
  <c r="O420" i="63"/>
  <c r="AP420" i="63" l="1"/>
  <c r="AN420" i="63"/>
  <c r="AS420" i="63" s="1"/>
  <c r="M420" i="63"/>
  <c r="L420" i="63" s="1"/>
  <c r="Q420" i="63"/>
  <c r="V420" i="63" s="1"/>
  <c r="AM420" i="63" l="1"/>
  <c r="Z420" i="63"/>
  <c r="P420" i="63"/>
  <c r="U420" i="63" l="1"/>
  <c r="W420" i="63"/>
  <c r="AV420" i="63" l="1"/>
  <c r="AU420" i="63"/>
  <c r="AO420" i="63"/>
  <c r="AT420" i="63"/>
  <c r="N421" i="63"/>
  <c r="O421" i="63"/>
  <c r="M421" i="63" l="1"/>
  <c r="L421" i="63" s="1"/>
  <c r="Q421" i="63"/>
  <c r="V421" i="63" s="1"/>
  <c r="AP421" i="63"/>
  <c r="AN421" i="63"/>
  <c r="AS421" i="63" s="1"/>
  <c r="P421" i="63" l="1"/>
  <c r="U421" i="63" s="1"/>
  <c r="W421" i="63"/>
  <c r="AM421" i="63"/>
  <c r="Z421" i="63"/>
  <c r="AO421" i="63" l="1"/>
  <c r="AU421" i="63"/>
  <c r="N422" i="63"/>
  <c r="O422" i="63"/>
  <c r="AV421" i="63"/>
  <c r="AT421" i="63"/>
  <c r="AP422" i="63" l="1"/>
  <c r="AN422" i="63"/>
  <c r="AS422" i="63" s="1"/>
  <c r="M422" i="63"/>
  <c r="L422" i="63" s="1"/>
  <c r="Q422" i="63"/>
  <c r="V422" i="63" s="1"/>
  <c r="Z422" i="63" l="1"/>
  <c r="AM422" i="63"/>
  <c r="P422" i="63"/>
  <c r="U422" i="63" l="1"/>
  <c r="W422" i="63"/>
  <c r="AU422" i="63" l="1"/>
  <c r="AV422" i="63"/>
  <c r="O423" i="63"/>
  <c r="N423" i="63"/>
  <c r="AT422" i="63"/>
  <c r="AO422" i="63"/>
  <c r="Q423" i="63" l="1"/>
  <c r="V423" i="63" s="1"/>
  <c r="M423" i="63"/>
  <c r="L423" i="63" s="1"/>
  <c r="AP423" i="63"/>
  <c r="AN423" i="63"/>
  <c r="AS423" i="63" s="1"/>
  <c r="P423" i="63" l="1"/>
  <c r="W423" i="63" s="1"/>
  <c r="AM423" i="63"/>
  <c r="Z423" i="63"/>
  <c r="U423" i="63" l="1"/>
  <c r="AU423" i="63"/>
  <c r="O424" i="63"/>
  <c r="N424" i="63"/>
  <c r="AV423" i="63"/>
  <c r="AO423" i="63"/>
  <c r="AT423" i="63"/>
  <c r="Q424" i="63" l="1"/>
  <c r="M424" i="63"/>
  <c r="L424" i="63" s="1"/>
  <c r="AN424" i="63"/>
  <c r="AS424" i="63" s="1"/>
  <c r="AP424" i="63"/>
  <c r="Z424" i="63" l="1"/>
  <c r="AM424" i="63"/>
  <c r="V424" i="63"/>
  <c r="P424" i="63"/>
  <c r="W424" i="63" l="1"/>
  <c r="U424" i="63"/>
  <c r="AU424" i="63" l="1"/>
  <c r="AT424" i="63"/>
  <c r="O425" i="63"/>
  <c r="AV424" i="63"/>
  <c r="N425" i="63"/>
  <c r="AO424" i="63"/>
  <c r="M425" i="63" l="1"/>
  <c r="L425" i="63" s="1"/>
  <c r="Q425" i="63"/>
  <c r="AP425" i="63"/>
  <c r="AN425" i="63"/>
  <c r="AS425" i="63" s="1"/>
  <c r="P425" i="63" l="1"/>
  <c r="V425" i="63"/>
  <c r="AM425" i="63"/>
  <c r="Z425" i="63"/>
  <c r="W425" i="63" l="1"/>
  <c r="U425" i="63"/>
  <c r="AU425" i="63" l="1"/>
  <c r="O426" i="63"/>
  <c r="AV425" i="63"/>
  <c r="AT425" i="63"/>
  <c r="N426" i="63"/>
  <c r="AO425" i="63"/>
  <c r="AN426" i="63" l="1"/>
  <c r="AS426" i="63" s="1"/>
  <c r="AP426" i="63"/>
  <c r="M426" i="63"/>
  <c r="L426" i="63" s="1"/>
  <c r="Q426" i="63"/>
  <c r="V426" i="63" s="1"/>
  <c r="Z426" i="63" l="1"/>
  <c r="AM426" i="63"/>
  <c r="P426" i="63"/>
  <c r="W426" i="63" l="1"/>
  <c r="U426" i="63"/>
  <c r="AO426" i="63" l="1"/>
  <c r="N427" i="63"/>
  <c r="AV426" i="63"/>
  <c r="O427" i="63"/>
  <c r="AT426" i="63"/>
  <c r="AU426" i="63"/>
  <c r="AP427" i="63" l="1"/>
  <c r="AN427" i="63"/>
  <c r="AS427" i="63" s="1"/>
  <c r="M427" i="63"/>
  <c r="L427" i="63" s="1"/>
  <c r="Q427" i="63"/>
  <c r="P427" i="63" l="1"/>
  <c r="V427" i="63"/>
  <c r="Z427" i="63"/>
  <c r="AM427" i="63"/>
  <c r="W427" i="63" l="1"/>
  <c r="U427" i="63"/>
  <c r="N428" i="63" l="1"/>
  <c r="AU427" i="63"/>
  <c r="AV427" i="63"/>
  <c r="AT427" i="63"/>
  <c r="AO427" i="63"/>
  <c r="O428" i="63"/>
  <c r="AN428" i="63" l="1"/>
  <c r="AS428" i="63" s="1"/>
  <c r="AP428" i="63"/>
  <c r="M428" i="63"/>
  <c r="L428" i="63" s="1"/>
  <c r="Q428" i="63"/>
  <c r="V428" i="63" s="1"/>
  <c r="Z428" i="63" l="1"/>
  <c r="AM428" i="63"/>
  <c r="P428" i="63"/>
  <c r="U428" i="63" l="1"/>
  <c r="W428" i="63"/>
  <c r="N429" i="63" l="1"/>
  <c r="AT428" i="63"/>
  <c r="AV428" i="63"/>
  <c r="AU428" i="63"/>
  <c r="AO428" i="63"/>
  <c r="O429" i="63"/>
  <c r="AP429" i="63" l="1"/>
  <c r="AN429" i="63"/>
  <c r="AS429" i="63" s="1"/>
  <c r="Q429" i="63"/>
  <c r="V429" i="63" s="1"/>
  <c r="M429" i="63"/>
  <c r="L429" i="63" s="1"/>
  <c r="Z429" i="63" l="1"/>
  <c r="AM429" i="63"/>
  <c r="P429" i="63"/>
  <c r="U429" i="63" l="1"/>
  <c r="W429" i="63"/>
  <c r="AO429" i="63" l="1"/>
  <c r="AT429" i="63"/>
  <c r="AV429" i="63"/>
  <c r="O430" i="63"/>
  <c r="N430" i="63"/>
  <c r="AU429" i="63"/>
  <c r="M430" i="63" l="1"/>
  <c r="L430" i="63" s="1"/>
  <c r="Q430" i="63"/>
  <c r="V430" i="63" s="1"/>
  <c r="AN430" i="63"/>
  <c r="AS430" i="63" s="1"/>
  <c r="AP430" i="63"/>
  <c r="P430" i="63" l="1"/>
  <c r="U430" i="63" s="1"/>
  <c r="Z430" i="63"/>
  <c r="AM430" i="63"/>
  <c r="W430" i="63" l="1"/>
  <c r="AU430" i="63" s="1"/>
  <c r="N431" i="63"/>
  <c r="AV430" i="63"/>
  <c r="AT430" i="63"/>
  <c r="AO430" i="63"/>
  <c r="O431" i="63" l="1"/>
  <c r="AN431" i="63" s="1"/>
  <c r="AS431" i="63" s="1"/>
  <c r="AP431" i="63"/>
  <c r="Q431" i="63"/>
  <c r="V431" i="63" s="1"/>
  <c r="M431" i="63"/>
  <c r="L431" i="63" s="1"/>
  <c r="P431" i="63" l="1"/>
  <c r="Z431" i="63"/>
  <c r="AM431" i="63"/>
  <c r="W431" i="63" l="1"/>
  <c r="U431" i="63"/>
  <c r="O432" i="63" l="1"/>
  <c r="AT431" i="63"/>
  <c r="N432" i="63"/>
  <c r="AU431" i="63"/>
  <c r="AO431" i="63"/>
  <c r="AV431" i="63"/>
  <c r="M432" i="63" l="1"/>
  <c r="L432" i="63" s="1"/>
  <c r="Q432" i="63"/>
  <c r="AP432" i="63"/>
  <c r="AN432" i="63"/>
  <c r="AS432" i="63" s="1"/>
  <c r="V432" i="63" l="1"/>
  <c r="P432" i="63"/>
  <c r="AM432" i="63"/>
  <c r="Z432" i="63"/>
  <c r="E55" i="1"/>
  <c r="H32" i="1"/>
  <c r="H54" i="1" s="1"/>
  <c r="K41" i="1" s="1"/>
  <c r="W432" i="63" l="1"/>
  <c r="U432" i="63"/>
  <c r="D54" i="1"/>
  <c r="G80" i="1" s="1"/>
  <c r="K49" i="1"/>
  <c r="O433" i="63" l="1"/>
  <c r="N433" i="63"/>
  <c r="AO432" i="63"/>
  <c r="AV432" i="63"/>
  <c r="AU432" i="63"/>
  <c r="AT432" i="63"/>
  <c r="G14" i="33"/>
  <c r="E17" i="33" s="1"/>
  <c r="G82" i="1"/>
  <c r="H80" i="1" s="1"/>
  <c r="E39" i="33"/>
  <c r="E15" i="33"/>
  <c r="E25" i="33"/>
  <c r="E52" i="33"/>
  <c r="Q433" i="63" l="1"/>
  <c r="M433" i="63"/>
  <c r="L433" i="63" s="1"/>
  <c r="AP433" i="63"/>
  <c r="AN433" i="63"/>
  <c r="AS433" i="63" s="1"/>
  <c r="E16" i="33"/>
  <c r="H76" i="1"/>
  <c r="H77" i="1"/>
  <c r="H78" i="1"/>
  <c r="H79" i="1"/>
  <c r="Z433" i="63" l="1"/>
  <c r="AM433" i="63"/>
  <c r="V433" i="63"/>
  <c r="P433" i="63"/>
  <c r="H81" i="1"/>
  <c r="H82" i="1"/>
  <c r="U433" i="63" l="1"/>
  <c r="W433" i="63"/>
  <c r="N434" i="63" l="1"/>
  <c r="AU433" i="63"/>
  <c r="AT433" i="63"/>
  <c r="AO433" i="63"/>
  <c r="O434" i="63"/>
  <c r="AV433" i="63"/>
  <c r="AN434" i="63" l="1"/>
  <c r="AS434" i="63" s="1"/>
  <c r="AP434" i="63"/>
  <c r="M434" i="63"/>
  <c r="L434" i="63" s="1"/>
  <c r="Q434" i="63"/>
  <c r="V434" i="63" s="1"/>
  <c r="Z434" i="63" l="1"/>
  <c r="AM434" i="63"/>
  <c r="P434" i="63"/>
  <c r="U434" i="63" l="1"/>
  <c r="W434" i="63"/>
  <c r="AO434" i="63" l="1"/>
  <c r="O435" i="63"/>
  <c r="N435" i="63"/>
  <c r="AT434" i="63"/>
  <c r="AV434" i="63"/>
  <c r="AU434" i="63"/>
  <c r="Q435" i="63" l="1"/>
  <c r="V435" i="63" s="1"/>
  <c r="M435" i="63"/>
  <c r="L435" i="63" s="1"/>
  <c r="AN435" i="63"/>
  <c r="AS435" i="63" s="1"/>
  <c r="AP435" i="63"/>
  <c r="P435" i="63" l="1"/>
  <c r="U435" i="63" s="1"/>
  <c r="Z435" i="63"/>
  <c r="AM435" i="63"/>
  <c r="W435" i="63" l="1"/>
  <c r="AO435" i="63"/>
  <c r="O436" i="63"/>
  <c r="AT435" i="63"/>
  <c r="AV435" i="63"/>
  <c r="AU435" i="63"/>
  <c r="N436" i="63"/>
  <c r="AP436" i="63" l="1"/>
  <c r="AN436" i="63"/>
  <c r="AS436" i="63" s="1"/>
  <c r="Q436" i="63"/>
  <c r="V436" i="63" s="1"/>
  <c r="M436" i="63"/>
  <c r="L436" i="63" s="1"/>
  <c r="P436" i="63" l="1"/>
  <c r="U436" i="63" s="1"/>
  <c r="AM436" i="63"/>
  <c r="Z436" i="63"/>
  <c r="W436" i="63" l="1"/>
  <c r="N437" i="63" s="1"/>
  <c r="AO436" i="63" l="1"/>
  <c r="AV436" i="63"/>
  <c r="AU436" i="63"/>
  <c r="O437" i="63"/>
  <c r="AT436" i="63"/>
  <c r="AP437" i="63"/>
  <c r="AN437" i="63"/>
  <c r="AS437" i="63" s="1"/>
  <c r="M437" i="63"/>
  <c r="L437" i="63" s="1"/>
  <c r="Q437" i="63"/>
  <c r="V437" i="63" s="1"/>
  <c r="AM437" i="63" l="1"/>
  <c r="Z437" i="63"/>
  <c r="P437" i="63"/>
  <c r="U437" i="63" l="1"/>
  <c r="W437" i="63"/>
  <c r="N438" i="63" l="1"/>
  <c r="O438" i="63"/>
  <c r="AU437" i="63"/>
  <c r="AO437" i="63"/>
  <c r="AV437" i="63"/>
  <c r="AT437" i="63"/>
  <c r="AP438" i="63" l="1"/>
  <c r="AN438" i="63"/>
  <c r="AS438" i="63" s="1"/>
  <c r="M438" i="63"/>
  <c r="L438" i="63" s="1"/>
  <c r="Q438" i="63"/>
  <c r="V438" i="63" s="1"/>
  <c r="Z438" i="63" l="1"/>
  <c r="AM438" i="63"/>
  <c r="P438" i="63"/>
  <c r="U438" i="63" l="1"/>
  <c r="W438" i="63"/>
  <c r="N439" i="63" l="1"/>
  <c r="AV438" i="63"/>
  <c r="O439" i="63"/>
  <c r="AU438" i="63"/>
  <c r="AT438" i="63"/>
  <c r="AO438" i="63"/>
  <c r="AP439" i="63" l="1"/>
  <c r="AN439" i="63"/>
  <c r="AS439" i="63" s="1"/>
  <c r="Q439" i="63"/>
  <c r="V439" i="63" s="1"/>
  <c r="M439" i="63"/>
  <c r="L439" i="63" s="1"/>
  <c r="Z439" i="63" l="1"/>
  <c r="AM439" i="63"/>
  <c r="P439" i="63"/>
  <c r="U439" i="63" l="1"/>
  <c r="W439" i="63"/>
  <c r="O440" i="63" l="1"/>
  <c r="AO439" i="63"/>
  <c r="N440" i="63"/>
  <c r="AU439" i="63"/>
  <c r="AT439" i="63"/>
  <c r="AV439" i="63"/>
  <c r="M440" i="63" l="1"/>
  <c r="L440" i="63" s="1"/>
  <c r="Q440" i="63"/>
  <c r="V440" i="63" s="1"/>
  <c r="AN440" i="63"/>
  <c r="AS440" i="63" s="1"/>
  <c r="AP440" i="63"/>
  <c r="P440" i="63" l="1"/>
  <c r="U440" i="63" s="1"/>
  <c r="Z440" i="63"/>
  <c r="AM440" i="63"/>
  <c r="W440" i="63" l="1"/>
  <c r="AU440" i="63" s="1"/>
  <c r="AT440" i="63"/>
  <c r="AV440" i="63"/>
  <c r="O441" i="63"/>
  <c r="AO440" i="63"/>
  <c r="N441" i="63"/>
  <c r="Q441" i="63" l="1"/>
  <c r="V441" i="63" s="1"/>
  <c r="M441" i="63"/>
  <c r="L441" i="63" s="1"/>
  <c r="AN441" i="63"/>
  <c r="AS441" i="63" s="1"/>
  <c r="AP441" i="63"/>
  <c r="P441" i="63" l="1"/>
  <c r="AM441" i="63"/>
  <c r="Z441" i="63"/>
  <c r="U441" i="63" l="1"/>
  <c r="W441" i="63"/>
  <c r="AT441" i="63" l="1"/>
  <c r="N442" i="63"/>
  <c r="AV441" i="63"/>
  <c r="AO441" i="63"/>
  <c r="O442" i="63"/>
  <c r="AU441" i="63"/>
  <c r="M442" i="63" l="1"/>
  <c r="L442" i="63" s="1"/>
  <c r="Q442" i="63"/>
  <c r="V442" i="63" s="1"/>
  <c r="AN442" i="63"/>
  <c r="AS442" i="63" s="1"/>
  <c r="AP442" i="63"/>
  <c r="P442" i="63" l="1"/>
  <c r="AM442" i="63"/>
  <c r="Z442" i="63"/>
  <c r="U442" i="63" l="1"/>
  <c r="W442" i="63"/>
  <c r="AT442" i="63" l="1"/>
  <c r="N443" i="63"/>
  <c r="AO442" i="63"/>
  <c r="AV442" i="63"/>
  <c r="O443" i="63"/>
  <c r="AU442" i="63"/>
  <c r="AN443" i="63" l="1"/>
  <c r="AS443" i="63" s="1"/>
  <c r="AP443" i="63"/>
  <c r="M443" i="63"/>
  <c r="L443" i="63" s="1"/>
  <c r="Q443" i="63"/>
  <c r="V443" i="63" s="1"/>
  <c r="P443" i="63" l="1"/>
  <c r="AM443" i="63"/>
  <c r="Z443" i="63"/>
  <c r="U443" i="63" l="1"/>
  <c r="W443" i="63"/>
  <c r="O444" i="63" l="1"/>
  <c r="AO443" i="63"/>
  <c r="AT443" i="63"/>
  <c r="N444" i="63"/>
  <c r="AV443" i="63"/>
  <c r="AU443" i="63"/>
  <c r="Q444" i="63" l="1"/>
  <c r="M444" i="63"/>
  <c r="L444" i="63" s="1"/>
  <c r="AP444" i="63"/>
  <c r="AN444" i="63"/>
  <c r="AS444" i="63" s="1"/>
  <c r="Z444" i="63" l="1"/>
  <c r="AM444" i="63"/>
  <c r="V444" i="63"/>
  <c r="P444" i="63"/>
  <c r="U444" i="63" l="1"/>
  <c r="W444" i="63"/>
  <c r="AU444" i="63" l="1"/>
  <c r="O445" i="63"/>
  <c r="AO444" i="63"/>
  <c r="AV444" i="63"/>
  <c r="N445" i="63"/>
  <c r="AT444" i="63"/>
  <c r="Q445" i="63" l="1"/>
  <c r="V445" i="63" s="1"/>
  <c r="M445" i="63"/>
  <c r="L445" i="63" s="1"/>
  <c r="AN445" i="63"/>
  <c r="AS445" i="63" s="1"/>
  <c r="AP445" i="63"/>
  <c r="P445" i="63"/>
  <c r="AM445" i="63" l="1"/>
  <c r="Z445" i="63"/>
  <c r="U445" i="63"/>
  <c r="W445" i="63"/>
  <c r="AV445" i="63" l="1"/>
  <c r="AO445" i="63"/>
  <c r="N446" i="63"/>
  <c r="AT445" i="63"/>
  <c r="O446" i="63"/>
  <c r="AU445" i="63"/>
  <c r="AN446" i="63" l="1"/>
  <c r="AS446" i="63" s="1"/>
  <c r="AP446" i="63"/>
  <c r="Q446" i="63"/>
  <c r="M446" i="63"/>
  <c r="L446" i="63" s="1"/>
  <c r="AM446" i="63" l="1"/>
  <c r="Z446" i="63"/>
  <c r="V446" i="63"/>
  <c r="P446" i="63"/>
  <c r="U446" i="63" l="1"/>
  <c r="W446" i="63"/>
  <c r="AT446" i="63" l="1"/>
  <c r="AU446" i="63"/>
  <c r="AV446" i="63"/>
  <c r="N447" i="63"/>
  <c r="AO446" i="63"/>
  <c r="O447" i="63"/>
  <c r="AP447" i="63" l="1"/>
  <c r="AN447" i="63"/>
  <c r="AS447" i="63" s="1"/>
  <c r="M447" i="63"/>
  <c r="L447" i="63" s="1"/>
  <c r="Q447" i="63"/>
  <c r="V447" i="63" s="1"/>
  <c r="AM447" i="63" l="1"/>
  <c r="Z447" i="63"/>
  <c r="P447" i="63"/>
  <c r="U447" i="63" l="1"/>
  <c r="W447" i="63"/>
  <c r="AU447" i="63" l="1"/>
  <c r="N448" i="63"/>
  <c r="AO447" i="63"/>
  <c r="O448" i="63"/>
  <c r="AT447" i="63"/>
  <c r="AV447" i="63"/>
  <c r="AN448" i="63" l="1"/>
  <c r="AS448" i="63" s="1"/>
  <c r="AP448" i="63"/>
  <c r="Q448" i="63"/>
  <c r="V448" i="63" s="1"/>
  <c r="M448" i="63"/>
  <c r="L448" i="63" s="1"/>
  <c r="Z448" i="63" l="1"/>
  <c r="AM448" i="63"/>
  <c r="P448" i="63"/>
  <c r="W448" i="63" l="1"/>
  <c r="U448" i="63"/>
  <c r="N449" i="63" l="1"/>
  <c r="O449" i="63"/>
  <c r="AO448" i="63"/>
  <c r="AV448" i="63"/>
  <c r="AT448" i="63"/>
  <c r="AU448" i="63"/>
  <c r="AN449" i="63" l="1"/>
  <c r="AS449" i="63" s="1"/>
  <c r="AP449" i="63"/>
  <c r="Q449" i="63"/>
  <c r="V449" i="63" s="1"/>
  <c r="M449" i="63"/>
  <c r="L449" i="63" s="1"/>
  <c r="AM449" i="63" l="1"/>
  <c r="Z449" i="63"/>
  <c r="P449" i="63"/>
  <c r="W449" i="63" l="1"/>
  <c r="U449" i="63"/>
  <c r="N450" i="63" l="1"/>
  <c r="AO449" i="63"/>
  <c r="AV449" i="63"/>
  <c r="AT449" i="63"/>
  <c r="O450" i="63"/>
  <c r="AU449" i="63"/>
  <c r="AN450" i="63" l="1"/>
  <c r="AS450" i="63" s="1"/>
  <c r="AP450" i="63"/>
  <c r="M450" i="63"/>
  <c r="L450" i="63" s="1"/>
  <c r="Q450" i="63"/>
  <c r="V450" i="63" s="1"/>
  <c r="AM450" i="63" l="1"/>
  <c r="Z450" i="63"/>
  <c r="P450" i="63"/>
  <c r="W450" i="63" l="1"/>
  <c r="U450" i="63"/>
  <c r="AU450" i="63" l="1"/>
  <c r="AO450" i="63"/>
  <c r="N451" i="63"/>
  <c r="AT450" i="63"/>
  <c r="AV450" i="63"/>
  <c r="O451" i="63"/>
  <c r="AP451" i="63" l="1"/>
  <c r="AN451" i="63"/>
  <c r="AS451" i="63" s="1"/>
  <c r="Q451" i="63"/>
  <c r="V451" i="63" s="1"/>
  <c r="M451" i="63"/>
  <c r="L451" i="63" s="1"/>
  <c r="P451" i="63" l="1"/>
  <c r="Z451" i="63"/>
  <c r="AM451" i="63"/>
  <c r="U451" i="63" l="1"/>
  <c r="W451" i="63"/>
  <c r="AO451" i="63" l="1"/>
  <c r="AV451" i="63"/>
  <c r="O452" i="63"/>
  <c r="AU451" i="63"/>
  <c r="N452" i="63"/>
  <c r="AT451" i="63"/>
  <c r="Q452" i="63" l="1"/>
  <c r="V452" i="63" s="1"/>
  <c r="M452" i="63"/>
  <c r="L452" i="63" s="1"/>
  <c r="AN452" i="63"/>
  <c r="AS452" i="63" s="1"/>
  <c r="AP452" i="63"/>
  <c r="P452" i="63"/>
  <c r="U452" i="63" l="1"/>
  <c r="W452" i="63"/>
  <c r="Z452" i="63"/>
  <c r="AM452" i="63"/>
  <c r="N453" i="63" l="1"/>
  <c r="O453" i="63"/>
  <c r="AT452" i="63"/>
  <c r="AV452" i="63"/>
  <c r="AU452" i="63"/>
  <c r="AO452" i="63"/>
  <c r="AN453" i="63" l="1"/>
  <c r="AS453" i="63" s="1"/>
  <c r="AP453" i="63"/>
  <c r="Q453" i="63"/>
  <c r="M453" i="63"/>
  <c r="L453" i="63" s="1"/>
  <c r="V453" i="63" l="1"/>
  <c r="P453" i="63"/>
  <c r="Z453" i="63"/>
  <c r="AM453" i="63"/>
  <c r="U453" i="63" l="1"/>
  <c r="W453" i="63"/>
  <c r="AT453" i="63" l="1"/>
  <c r="AV453" i="63"/>
  <c r="AU453" i="63"/>
  <c r="AO453" i="63"/>
  <c r="N454" i="63"/>
  <c r="O454" i="63"/>
  <c r="Q454" i="63" l="1"/>
  <c r="V454" i="63" s="1"/>
  <c r="M454" i="63"/>
  <c r="L454" i="63" s="1"/>
  <c r="AP454" i="63"/>
  <c r="AN454" i="63"/>
  <c r="AS454" i="63" s="1"/>
  <c r="Z454" i="63" l="1"/>
  <c r="AM454" i="63"/>
  <c r="P454" i="63"/>
  <c r="U454" i="63" l="1"/>
  <c r="W454" i="63"/>
  <c r="AV454" i="63" l="1"/>
  <c r="N455" i="63"/>
  <c r="AU454" i="63"/>
  <c r="AO454" i="63"/>
  <c r="AT454" i="63"/>
  <c r="O455" i="63"/>
  <c r="AN455" i="63" l="1"/>
  <c r="AS455" i="63" s="1"/>
  <c r="AP455" i="63"/>
  <c r="Q455" i="63"/>
  <c r="V455" i="63" s="1"/>
  <c r="M455" i="63"/>
  <c r="L455" i="63" s="1"/>
  <c r="AM455" i="63" l="1"/>
  <c r="Z455" i="63"/>
  <c r="P455" i="63"/>
  <c r="U455" i="63" l="1"/>
  <c r="W455" i="63"/>
  <c r="AU455" i="63" l="1"/>
  <c r="AO455" i="63"/>
  <c r="AT455" i="63"/>
  <c r="AV455" i="63"/>
  <c r="O456" i="63"/>
  <c r="N456" i="63"/>
  <c r="AN456" i="63" l="1"/>
  <c r="AS456" i="63" s="1"/>
  <c r="AP456" i="63"/>
  <c r="M456" i="63"/>
  <c r="L456" i="63" s="1"/>
  <c r="Q456" i="63"/>
  <c r="V456" i="63" s="1"/>
  <c r="Z456" i="63" l="1"/>
  <c r="AM456" i="63"/>
  <c r="P456" i="63"/>
  <c r="U456" i="63" l="1"/>
  <c r="W456" i="63"/>
  <c r="AO456" i="63" l="1"/>
  <c r="AV456" i="63"/>
  <c r="AU456" i="63"/>
  <c r="AT456" i="63"/>
  <c r="O457" i="63"/>
  <c r="N457" i="63"/>
  <c r="AP457" i="63" l="1"/>
  <c r="AN457" i="63"/>
  <c r="AS457" i="63" s="1"/>
  <c r="Q457" i="63"/>
  <c r="V457" i="63" s="1"/>
  <c r="M457" i="63"/>
  <c r="L457" i="63" s="1"/>
  <c r="P457" i="63" l="1"/>
  <c r="Z457" i="63"/>
  <c r="AM457" i="63"/>
  <c r="U457" i="63" l="1"/>
  <c r="W457" i="63"/>
  <c r="AT457" i="63" l="1"/>
  <c r="AU457" i="63"/>
  <c r="N458" i="63"/>
  <c r="AV457" i="63"/>
  <c r="O458" i="63"/>
  <c r="AO457" i="63"/>
  <c r="AP458" i="63" l="1"/>
  <c r="AN458" i="63"/>
  <c r="AS458" i="63" s="1"/>
  <c r="Q458" i="63"/>
  <c r="V458" i="63" s="1"/>
  <c r="M458" i="63"/>
  <c r="L458" i="63" s="1"/>
  <c r="Z458" i="63" l="1"/>
  <c r="AM458" i="63"/>
  <c r="P458" i="63"/>
  <c r="U458" i="63" l="1"/>
  <c r="W458" i="63"/>
  <c r="N459" i="63" l="1"/>
  <c r="AV458" i="63"/>
  <c r="AU458" i="63"/>
  <c r="AO458" i="63"/>
  <c r="AT458" i="63"/>
  <c r="O459" i="63"/>
  <c r="AI7" i="63"/>
  <c r="AI8" i="63" s="1"/>
  <c r="X5" i="63" s="1"/>
  <c r="AB3" i="63" s="1"/>
  <c r="AN459" i="63" l="1"/>
  <c r="AS459" i="63" s="1"/>
  <c r="AP459" i="63"/>
  <c r="M459" i="63"/>
  <c r="L459" i="63" s="1"/>
  <c r="Q459" i="63"/>
  <c r="V459" i="63" s="1"/>
  <c r="AR9" i="63"/>
  <c r="AR8" i="63"/>
  <c r="AI10" i="63"/>
  <c r="AB5" i="63"/>
  <c r="AA5" i="63" s="1"/>
  <c r="B7" i="66" s="1"/>
  <c r="I26" i="66" s="1"/>
  <c r="AC3" i="63"/>
  <c r="AA3" i="63"/>
  <c r="AR4" i="63"/>
  <c r="AT3" i="63"/>
  <c r="AU5" i="63"/>
  <c r="AU3" i="63"/>
  <c r="AS3" i="63"/>
  <c r="AT5" i="63"/>
  <c r="AU4" i="63"/>
  <c r="AT4" i="63"/>
  <c r="AS4" i="63"/>
  <c r="AR3" i="63"/>
  <c r="AR5" i="63"/>
  <c r="AS5" i="63"/>
  <c r="AI9" i="63"/>
  <c r="Z459" i="63" l="1"/>
  <c r="AM459" i="63"/>
  <c r="P459" i="63"/>
  <c r="AO418" i="63"/>
  <c r="F15" i="1"/>
  <c r="F54" i="1" s="1"/>
  <c r="AR10" i="63"/>
  <c r="AC5" i="63"/>
  <c r="AD3" i="63"/>
  <c r="AD5" i="63" s="1"/>
  <c r="AO70" i="63"/>
  <c r="AO45" i="63"/>
  <c r="AO53" i="63"/>
  <c r="AO61" i="63"/>
  <c r="AO69" i="63"/>
  <c r="AO46" i="63"/>
  <c r="AO54" i="63"/>
  <c r="AO62" i="63"/>
  <c r="AO57" i="63"/>
  <c r="AO66" i="63"/>
  <c r="AO67" i="63"/>
  <c r="AO60" i="63"/>
  <c r="AO55" i="63"/>
  <c r="AO56" i="63"/>
  <c r="AO49" i="63"/>
  <c r="AO65" i="63"/>
  <c r="AO58" i="63"/>
  <c r="AO52" i="63"/>
  <c r="AO47" i="63"/>
  <c r="AO63" i="63"/>
  <c r="AO64" i="63"/>
  <c r="AO50" i="63"/>
  <c r="AB8" i="63"/>
  <c r="Z8" i="63" s="1"/>
  <c r="B12" i="66" s="1"/>
  <c r="B11" i="66" s="1"/>
  <c r="AO48" i="63"/>
  <c r="Y15" i="63"/>
  <c r="AL15" i="63" s="1"/>
  <c r="AO59" i="63"/>
  <c r="AO68" i="63"/>
  <c r="AO51" i="63"/>
  <c r="AO71" i="63"/>
  <c r="AO72" i="63"/>
  <c r="AO73" i="63"/>
  <c r="AO74" i="63"/>
  <c r="AO75" i="63"/>
  <c r="AO76" i="63"/>
  <c r="AO77" i="63"/>
  <c r="AO78" i="63"/>
  <c r="AO79" i="63"/>
  <c r="AO80" i="63"/>
  <c r="AO81" i="63"/>
  <c r="AO82" i="63"/>
  <c r="AO83" i="63"/>
  <c r="AO84" i="63"/>
  <c r="AO85" i="63"/>
  <c r="AO86" i="63"/>
  <c r="AO87" i="63"/>
  <c r="AO88" i="63"/>
  <c r="AO89" i="63"/>
  <c r="AO90" i="63"/>
  <c r="AO91" i="63"/>
  <c r="AO92" i="63"/>
  <c r="AO93" i="63"/>
  <c r="AO94" i="63"/>
  <c r="AO95" i="63"/>
  <c r="AO96" i="63"/>
  <c r="AO97" i="63"/>
  <c r="AO98" i="63"/>
  <c r="AO99" i="63"/>
  <c r="AO100" i="63"/>
  <c r="AO101" i="63"/>
  <c r="AO102" i="63"/>
  <c r="AO103" i="63"/>
  <c r="AO104" i="63"/>
  <c r="AO105" i="63"/>
  <c r="AO106" i="63"/>
  <c r="AO107" i="63"/>
  <c r="AO108" i="63"/>
  <c r="AO109" i="63"/>
  <c r="AO110" i="63"/>
  <c r="AO111" i="63"/>
  <c r="AO112" i="63"/>
  <c r="AO113" i="63"/>
  <c r="AO114" i="63"/>
  <c r="AO115" i="63"/>
  <c r="AO116" i="63"/>
  <c r="AO117" i="63"/>
  <c r="AO118" i="63"/>
  <c r="AO119" i="63"/>
  <c r="AO120" i="63"/>
  <c r="AO121" i="63"/>
  <c r="AO122" i="63"/>
  <c r="AO123" i="63"/>
  <c r="AO124" i="63"/>
  <c r="AO125" i="63"/>
  <c r="AO126" i="63"/>
  <c r="AO127" i="63"/>
  <c r="AO128" i="63"/>
  <c r="AO129" i="63"/>
  <c r="AO130" i="63"/>
  <c r="AO131" i="63"/>
  <c r="AO132" i="63"/>
  <c r="AO133" i="63"/>
  <c r="AO134" i="63"/>
  <c r="AO135" i="63"/>
  <c r="AO136" i="63"/>
  <c r="AO137" i="63"/>
  <c r="AO138" i="63"/>
  <c r="AO139" i="63"/>
  <c r="AO140" i="63"/>
  <c r="AO141" i="63"/>
  <c r="AO142" i="63"/>
  <c r="AO143" i="63"/>
  <c r="AO144" i="63"/>
  <c r="AO145" i="63"/>
  <c r="AO146" i="63"/>
  <c r="AO147" i="63"/>
  <c r="AO148" i="63"/>
  <c r="AO149" i="63"/>
  <c r="AO150" i="63"/>
  <c r="AO151" i="63"/>
  <c r="AO152" i="63"/>
  <c r="AO153" i="63"/>
  <c r="AO154" i="63"/>
  <c r="AO155" i="63"/>
  <c r="AO156" i="63"/>
  <c r="AO157" i="63"/>
  <c r="AO158" i="63"/>
  <c r="AO159" i="63"/>
  <c r="AO160" i="63"/>
  <c r="AO161" i="63"/>
  <c r="AO162" i="63"/>
  <c r="AO163" i="63"/>
  <c r="AO164" i="63"/>
  <c r="AO165" i="63"/>
  <c r="AO166" i="63"/>
  <c r="AO167" i="63"/>
  <c r="AO168" i="63"/>
  <c r="AO169" i="63"/>
  <c r="AO170" i="63"/>
  <c r="AO171" i="63"/>
  <c r="AO172" i="63"/>
  <c r="AO173" i="63"/>
  <c r="AO174" i="63"/>
  <c r="AO175" i="63"/>
  <c r="AO176" i="63"/>
  <c r="AO177" i="63"/>
  <c r="AO178" i="63"/>
  <c r="AO179" i="63"/>
  <c r="AO180" i="63"/>
  <c r="AO181" i="63"/>
  <c r="AO182" i="63"/>
  <c r="AO183" i="63"/>
  <c r="AO184" i="63"/>
  <c r="AO185" i="63"/>
  <c r="AO186" i="63"/>
  <c r="AO187" i="63"/>
  <c r="AO188" i="63"/>
  <c r="AO189" i="63"/>
  <c r="AO190" i="63"/>
  <c r="AO191" i="63"/>
  <c r="AO192" i="63"/>
  <c r="AO193" i="63"/>
  <c r="AO194" i="63"/>
  <c r="AO195" i="63"/>
  <c r="AO196" i="63"/>
  <c r="AO197" i="63"/>
  <c r="AO198" i="63"/>
  <c r="AO199" i="63"/>
  <c r="AO200" i="63"/>
  <c r="AO201" i="63"/>
  <c r="AO202" i="63"/>
  <c r="AO203" i="63"/>
  <c r="AO204" i="63"/>
  <c r="AO205" i="63"/>
  <c r="AO206" i="63"/>
  <c r="AO207" i="63"/>
  <c r="AO208" i="63"/>
  <c r="AO209" i="63"/>
  <c r="AO210" i="63"/>
  <c r="AO211" i="63"/>
  <c r="AO212" i="63"/>
  <c r="AO213" i="63"/>
  <c r="AO214" i="63"/>
  <c r="AO215" i="63"/>
  <c r="AO216" i="63"/>
  <c r="AO217" i="63"/>
  <c r="AO218" i="63"/>
  <c r="AO219" i="63"/>
  <c r="AO220" i="63"/>
  <c r="AO221" i="63"/>
  <c r="AO222" i="63"/>
  <c r="AO223" i="63"/>
  <c r="AO224" i="63"/>
  <c r="AO225" i="63"/>
  <c r="AO226" i="63"/>
  <c r="AO227" i="63"/>
  <c r="AO228" i="63"/>
  <c r="AO229" i="63"/>
  <c r="AO230" i="63"/>
  <c r="AO231" i="63"/>
  <c r="AO232" i="63"/>
  <c r="AO233" i="63"/>
  <c r="AO234" i="63"/>
  <c r="AO235" i="63"/>
  <c r="AO236" i="63"/>
  <c r="AO237" i="63"/>
  <c r="AO238" i="63"/>
  <c r="AO239" i="63"/>
  <c r="AO240" i="63"/>
  <c r="AO241" i="63"/>
  <c r="AO242" i="63"/>
  <c r="AO243" i="63"/>
  <c r="AO244" i="63"/>
  <c r="AO245" i="63"/>
  <c r="AO246" i="63"/>
  <c r="AO247" i="63"/>
  <c r="AO248" i="63"/>
  <c r="AO249" i="63"/>
  <c r="AO250" i="63"/>
  <c r="AO251" i="63"/>
  <c r="AO252" i="63"/>
  <c r="AO253" i="63"/>
  <c r="AO254" i="63"/>
  <c r="AO255" i="63"/>
  <c r="AO256" i="63"/>
  <c r="AO257" i="63"/>
  <c r="AO258" i="63"/>
  <c r="AO259" i="63"/>
  <c r="AO260" i="63"/>
  <c r="AO261" i="63"/>
  <c r="AO262" i="63"/>
  <c r="AO263" i="63"/>
  <c r="AO264" i="63"/>
  <c r="AO265" i="63"/>
  <c r="AO266" i="63"/>
  <c r="AO267" i="63"/>
  <c r="AO268" i="63"/>
  <c r="AO269" i="63"/>
  <c r="AO270" i="63"/>
  <c r="AO271" i="63"/>
  <c r="AO272" i="63"/>
  <c r="AO273" i="63"/>
  <c r="AO274" i="63"/>
  <c r="AO275" i="63"/>
  <c r="AO276" i="63"/>
  <c r="AO277" i="63"/>
  <c r="AO278" i="63"/>
  <c r="AO279" i="63"/>
  <c r="AO280" i="63"/>
  <c r="AO281" i="63"/>
  <c r="AO282" i="63"/>
  <c r="AO283" i="63"/>
  <c r="AO284" i="63"/>
  <c r="AO285" i="63"/>
  <c r="AO286" i="63"/>
  <c r="AO287" i="63"/>
  <c r="AO288" i="63"/>
  <c r="AO289" i="63"/>
  <c r="AO290" i="63"/>
  <c r="AO291" i="63"/>
  <c r="AO292" i="63"/>
  <c r="AO293" i="63"/>
  <c r="AO294" i="63"/>
  <c r="AO295" i="63"/>
  <c r="AO296" i="63"/>
  <c r="AO297" i="63"/>
  <c r="AO298" i="63"/>
  <c r="AO299" i="63"/>
  <c r="AO300" i="63"/>
  <c r="AO301" i="63"/>
  <c r="AO302" i="63"/>
  <c r="AO303" i="63"/>
  <c r="AO304" i="63"/>
  <c r="AO305" i="63"/>
  <c r="AO306" i="63"/>
  <c r="AO307" i="63"/>
  <c r="AO308" i="63"/>
  <c r="AO309" i="63"/>
  <c r="AO310" i="63"/>
  <c r="AO311" i="63"/>
  <c r="AO312" i="63"/>
  <c r="AO313" i="63"/>
  <c r="AO314" i="63"/>
  <c r="AO315" i="63"/>
  <c r="AO316" i="63"/>
  <c r="AO317" i="63"/>
  <c r="AO318" i="63"/>
  <c r="AO319" i="63"/>
  <c r="AO320" i="63"/>
  <c r="AO321" i="63"/>
  <c r="AO322" i="63"/>
  <c r="AO323" i="63"/>
  <c r="AO324" i="63"/>
  <c r="AO325" i="63"/>
  <c r="AO326" i="63"/>
  <c r="AO327" i="63"/>
  <c r="AO328" i="63"/>
  <c r="AO329" i="63"/>
  <c r="AO330" i="63"/>
  <c r="AO331" i="63"/>
  <c r="AO332" i="63"/>
  <c r="AO333" i="63"/>
  <c r="AO334" i="63"/>
  <c r="AO335" i="63"/>
  <c r="AO336" i="63"/>
  <c r="AO337" i="63"/>
  <c r="AO338" i="63"/>
  <c r="AO339" i="63"/>
  <c r="AO340" i="63"/>
  <c r="AO341" i="63"/>
  <c r="AO342" i="63"/>
  <c r="AO343" i="63"/>
  <c r="AO344" i="63"/>
  <c r="AO345" i="63"/>
  <c r="AO346" i="63"/>
  <c r="AO347" i="63"/>
  <c r="AO348" i="63"/>
  <c r="AO349" i="63"/>
  <c r="AO350" i="63"/>
  <c r="AO351" i="63"/>
  <c r="AO352" i="63"/>
  <c r="AO353" i="63"/>
  <c r="AO354" i="63"/>
  <c r="AO355" i="63"/>
  <c r="AO356" i="63"/>
  <c r="AO357" i="63"/>
  <c r="AO358" i="63"/>
  <c r="AO359" i="63"/>
  <c r="AO360" i="63"/>
  <c r="AO361" i="63"/>
  <c r="AO362" i="63"/>
  <c r="AO363" i="63"/>
  <c r="AO364" i="63"/>
  <c r="AO365" i="63"/>
  <c r="AO366" i="63"/>
  <c r="AO367" i="63"/>
  <c r="AO368" i="63"/>
  <c r="AO369" i="63"/>
  <c r="AO370" i="63"/>
  <c r="AO371" i="63"/>
  <c r="AO372" i="63"/>
  <c r="AO373" i="63"/>
  <c r="AO374" i="63"/>
  <c r="AO375" i="63"/>
  <c r="AO376" i="63"/>
  <c r="AO377" i="63"/>
  <c r="AO378" i="63"/>
  <c r="AO379" i="63"/>
  <c r="AO380" i="63"/>
  <c r="AO381" i="63"/>
  <c r="AO382" i="63"/>
  <c r="AO383" i="63"/>
  <c r="AO384" i="63"/>
  <c r="AO385" i="63"/>
  <c r="AO386" i="63"/>
  <c r="AO387" i="63"/>
  <c r="AO388" i="63"/>
  <c r="AO389" i="63"/>
  <c r="AO390" i="63"/>
  <c r="AO391" i="63"/>
  <c r="AO392" i="63"/>
  <c r="AO393" i="63"/>
  <c r="AO394" i="63"/>
  <c r="AO395" i="63"/>
  <c r="AO396" i="63"/>
  <c r="AO397" i="63"/>
  <c r="AO398" i="63"/>
  <c r="AO399" i="63"/>
  <c r="AO400" i="63"/>
  <c r="AO401" i="63"/>
  <c r="AO402" i="63"/>
  <c r="AO403" i="63"/>
  <c r="AO404" i="63"/>
  <c r="AO405" i="63"/>
  <c r="AO406" i="63"/>
  <c r="AO407" i="63"/>
  <c r="AO408" i="63"/>
  <c r="AO409" i="63"/>
  <c r="AO410" i="63"/>
  <c r="AO411" i="63"/>
  <c r="AO412" i="63"/>
  <c r="AO413" i="63"/>
  <c r="AO414" i="63"/>
  <c r="AO415" i="63"/>
  <c r="AO416" i="63"/>
  <c r="AO417" i="63"/>
  <c r="AS6" i="63"/>
  <c r="AU6" i="63"/>
  <c r="AT6" i="63"/>
  <c r="AR6" i="63"/>
  <c r="AI11" i="63"/>
  <c r="T61" i="63"/>
  <c r="T60" i="63"/>
  <c r="T59" i="63"/>
  <c r="R62" i="63"/>
  <c r="T62" i="63" s="1"/>
  <c r="U459" i="63" l="1"/>
  <c r="W459" i="63"/>
  <c r="Y16" i="63"/>
  <c r="AL16" i="63" s="1"/>
  <c r="AJ15" i="63"/>
  <c r="R63" i="63"/>
  <c r="N460" i="63" l="1"/>
  <c r="AV459" i="63"/>
  <c r="AU459" i="63"/>
  <c r="AO459" i="63"/>
  <c r="O460" i="63"/>
  <c r="AT459" i="63"/>
  <c r="Y17" i="63"/>
  <c r="AL17" i="63" s="1"/>
  <c r="AJ16" i="63"/>
  <c r="R64" i="63"/>
  <c r="T63" i="63"/>
  <c r="AN460" i="63" l="1"/>
  <c r="AS460" i="63" s="1"/>
  <c r="AP460" i="63"/>
  <c r="M460" i="63"/>
  <c r="L460" i="63" s="1"/>
  <c r="Q460" i="63"/>
  <c r="V460" i="63" s="1"/>
  <c r="Y18" i="63"/>
  <c r="AL18" i="63" s="1"/>
  <c r="AJ17" i="63"/>
  <c r="T64" i="63"/>
  <c r="R65" i="63"/>
  <c r="P460" i="63" l="1"/>
  <c r="AM460" i="63"/>
  <c r="Z460" i="63"/>
  <c r="Y19" i="63"/>
  <c r="AL19" i="63" s="1"/>
  <c r="AJ18" i="63"/>
  <c r="R66" i="63"/>
  <c r="T65" i="63"/>
  <c r="U460" i="63" l="1"/>
  <c r="W460" i="63"/>
  <c r="AJ19" i="63"/>
  <c r="Y20" i="63"/>
  <c r="AL20" i="63" s="1"/>
  <c r="T66" i="63"/>
  <c r="R67" i="63"/>
  <c r="AV460" i="63" l="1"/>
  <c r="N461" i="63"/>
  <c r="AU460" i="63"/>
  <c r="AO460" i="63"/>
  <c r="O461" i="63"/>
  <c r="AT460" i="63"/>
  <c r="AJ20" i="63"/>
  <c r="Y21" i="63"/>
  <c r="AL21" i="63" s="1"/>
  <c r="T67" i="63"/>
  <c r="R68" i="63"/>
  <c r="AP461" i="63" l="1"/>
  <c r="AN461" i="63"/>
  <c r="AS461" i="63" s="1"/>
  <c r="M461" i="63"/>
  <c r="L461" i="63" s="1"/>
  <c r="Q461" i="63"/>
  <c r="V461" i="63" s="1"/>
  <c r="Y22" i="63"/>
  <c r="AL22" i="63" s="1"/>
  <c r="AJ21" i="63"/>
  <c r="T68" i="63"/>
  <c r="R69" i="63"/>
  <c r="AM461" i="63" l="1"/>
  <c r="Z461" i="63"/>
  <c r="P461" i="63"/>
  <c r="Y23" i="63"/>
  <c r="AL23" i="63" s="1"/>
  <c r="AJ22" i="63"/>
  <c r="T69" i="63"/>
  <c r="R70" i="63"/>
  <c r="U461" i="63" l="1"/>
  <c r="W461" i="63"/>
  <c r="Y24" i="63"/>
  <c r="AL24" i="63" s="1"/>
  <c r="AJ23" i="63"/>
  <c r="R71" i="63"/>
  <c r="T70" i="63"/>
  <c r="O462" i="63" l="1"/>
  <c r="AV461" i="63"/>
  <c r="AT461" i="63"/>
  <c r="AU461" i="63"/>
  <c r="N462" i="63"/>
  <c r="AO461" i="63"/>
  <c r="Y25" i="63"/>
  <c r="AL25" i="63" s="1"/>
  <c r="AJ24" i="63"/>
  <c r="R72" i="63"/>
  <c r="T71" i="63"/>
  <c r="M462" i="63" l="1"/>
  <c r="L462" i="63" s="1"/>
  <c r="Q462" i="63"/>
  <c r="V462" i="63" s="1"/>
  <c r="AP462" i="63"/>
  <c r="AN462" i="63"/>
  <c r="AS462" i="63" s="1"/>
  <c r="Y26" i="63"/>
  <c r="AL26" i="63" s="1"/>
  <c r="AJ25" i="63"/>
  <c r="T72" i="63"/>
  <c r="R73" i="63"/>
  <c r="P462" i="63" l="1"/>
  <c r="U462" i="63" s="1"/>
  <c r="W462" i="63"/>
  <c r="Z462" i="63"/>
  <c r="AM462" i="63"/>
  <c r="Y27" i="63"/>
  <c r="AL27" i="63" s="1"/>
  <c r="AJ26" i="63"/>
  <c r="R74" i="63"/>
  <c r="T73" i="63"/>
  <c r="AO462" i="63" l="1"/>
  <c r="AU462" i="63"/>
  <c r="N463" i="63"/>
  <c r="AT462" i="63"/>
  <c r="AV462" i="63"/>
  <c r="O463" i="63"/>
  <c r="Y28" i="63"/>
  <c r="AL28" i="63" s="1"/>
  <c r="AJ27" i="63"/>
  <c r="R75" i="63"/>
  <c r="T74" i="63"/>
  <c r="AN463" i="63" l="1"/>
  <c r="AS463" i="63" s="1"/>
  <c r="AP463" i="63"/>
  <c r="Q463" i="63"/>
  <c r="V463" i="63" s="1"/>
  <c r="M463" i="63"/>
  <c r="L463" i="63" s="1"/>
  <c r="Y29" i="63"/>
  <c r="AL29" i="63" s="1"/>
  <c r="AJ28" i="63"/>
  <c r="R76" i="63"/>
  <c r="T75" i="63"/>
  <c r="AM463" i="63" l="1"/>
  <c r="Z463" i="63"/>
  <c r="P463" i="63"/>
  <c r="Y30" i="63"/>
  <c r="AL30" i="63" s="1"/>
  <c r="AJ29" i="63"/>
  <c r="T76" i="63"/>
  <c r="R77" i="63"/>
  <c r="U463" i="63" l="1"/>
  <c r="W463" i="63"/>
  <c r="Y31" i="63"/>
  <c r="AL31" i="63" s="1"/>
  <c r="AJ30" i="63"/>
  <c r="R78" i="63"/>
  <c r="T77" i="63"/>
  <c r="AO463" i="63" l="1"/>
  <c r="AU463" i="63"/>
  <c r="N464" i="63"/>
  <c r="AV463" i="63"/>
  <c r="AT463" i="63"/>
  <c r="O464" i="63"/>
  <c r="Y32" i="63"/>
  <c r="AL32" i="63" s="1"/>
  <c r="AJ31" i="63"/>
  <c r="R79" i="63"/>
  <c r="T78" i="63"/>
  <c r="M464" i="63" l="1"/>
  <c r="L464" i="63" s="1"/>
  <c r="Q464" i="63"/>
  <c r="V464" i="63" s="1"/>
  <c r="AN464" i="63"/>
  <c r="AS464" i="63" s="1"/>
  <c r="AP464" i="63"/>
  <c r="Y33" i="63"/>
  <c r="AL33" i="63" s="1"/>
  <c r="AJ32" i="63"/>
  <c r="R80" i="63"/>
  <c r="T79" i="63"/>
  <c r="P464" i="63" l="1"/>
  <c r="U464" i="63" s="1"/>
  <c r="Z464" i="63"/>
  <c r="AM464" i="63"/>
  <c r="Y34" i="63"/>
  <c r="AL34" i="63" s="1"/>
  <c r="AJ33" i="63"/>
  <c r="T80" i="63"/>
  <c r="R81" i="63"/>
  <c r="W464" i="63" l="1"/>
  <c r="N465" i="63" s="1"/>
  <c r="O465" i="63"/>
  <c r="AT464" i="63"/>
  <c r="AU464" i="63"/>
  <c r="AV464" i="63"/>
  <c r="AO464" i="63"/>
  <c r="Y35" i="63"/>
  <c r="AL35" i="63" s="1"/>
  <c r="AJ34" i="63"/>
  <c r="R82" i="63"/>
  <c r="T81" i="63"/>
  <c r="AP465" i="63" l="1"/>
  <c r="AN465" i="63"/>
  <c r="AS465" i="63" s="1"/>
  <c r="M465" i="63"/>
  <c r="L465" i="63" s="1"/>
  <c r="Q465" i="63"/>
  <c r="V465" i="63" s="1"/>
  <c r="Y36" i="63"/>
  <c r="AL36" i="63" s="1"/>
  <c r="AJ35" i="63"/>
  <c r="R83" i="63"/>
  <c r="T82" i="63"/>
  <c r="Z465" i="63" l="1"/>
  <c r="AM465" i="63"/>
  <c r="P465" i="63"/>
  <c r="Y37" i="63"/>
  <c r="AL37" i="63" s="1"/>
  <c r="AJ36" i="63"/>
  <c r="R84" i="63"/>
  <c r="T83" i="63"/>
  <c r="U465" i="63" l="1"/>
  <c r="W465" i="63"/>
  <c r="Y38" i="63"/>
  <c r="AL38" i="63" s="1"/>
  <c r="AJ37" i="63"/>
  <c r="T84" i="63"/>
  <c r="R85" i="63"/>
  <c r="AU465" i="63" l="1"/>
  <c r="N466" i="63"/>
  <c r="AT465" i="63"/>
  <c r="AO465" i="63"/>
  <c r="AV465" i="63"/>
  <c r="O466" i="63"/>
  <c r="Y39" i="63"/>
  <c r="AL39" i="63" s="1"/>
  <c r="AJ38" i="63"/>
  <c r="R86" i="63"/>
  <c r="T85" i="63"/>
  <c r="Q466" i="63" l="1"/>
  <c r="V466" i="63" s="1"/>
  <c r="M466" i="63"/>
  <c r="L466" i="63" s="1"/>
  <c r="AN466" i="63"/>
  <c r="AS466" i="63" s="1"/>
  <c r="AP466" i="63"/>
  <c r="P466" i="63"/>
  <c r="U466" i="63" s="1"/>
  <c r="Y40" i="63"/>
  <c r="AL40" i="63" s="1"/>
  <c r="AJ39" i="63"/>
  <c r="R87" i="63"/>
  <c r="T86" i="63"/>
  <c r="AM466" i="63" l="1"/>
  <c r="Z466" i="63"/>
  <c r="W466" i="63"/>
  <c r="Y41" i="63"/>
  <c r="AL41" i="63" s="1"/>
  <c r="AJ40" i="63"/>
  <c r="R88" i="63"/>
  <c r="T87" i="63"/>
  <c r="AO466" i="63" l="1"/>
  <c r="AU466" i="63"/>
  <c r="AV466" i="63"/>
  <c r="AT466" i="63"/>
  <c r="N467" i="63"/>
  <c r="O467" i="63"/>
  <c r="AJ41" i="63"/>
  <c r="Y42" i="63"/>
  <c r="AL42" i="63" s="1"/>
  <c r="T88" i="63"/>
  <c r="R89" i="63"/>
  <c r="Q467" i="63" l="1"/>
  <c r="V467" i="63" s="1"/>
  <c r="M467" i="63"/>
  <c r="L467" i="63" s="1"/>
  <c r="AN467" i="63"/>
  <c r="AS467" i="63" s="1"/>
  <c r="AP467" i="63"/>
  <c r="Y43" i="63"/>
  <c r="AL43" i="63" s="1"/>
  <c r="AJ42" i="63"/>
  <c r="R90" i="63"/>
  <c r="T89" i="63"/>
  <c r="P467" i="63" l="1"/>
  <c r="W467" i="63"/>
  <c r="U467" i="63"/>
  <c r="Z467" i="63"/>
  <c r="AM467" i="63"/>
  <c r="Y44" i="63"/>
  <c r="AL44" i="63" s="1"/>
  <c r="AJ43" i="63"/>
  <c r="R91" i="63"/>
  <c r="T90" i="63"/>
  <c r="N468" i="63" l="1"/>
  <c r="AU467" i="63"/>
  <c r="AT467" i="63"/>
  <c r="AV467" i="63"/>
  <c r="AO467" i="63"/>
  <c r="O468" i="63"/>
  <c r="Y45" i="63"/>
  <c r="AL45" i="63" s="1"/>
  <c r="AJ44" i="63"/>
  <c r="R92" i="63"/>
  <c r="T91" i="63"/>
  <c r="AP468" i="63" l="1"/>
  <c r="AN468" i="63"/>
  <c r="AS468" i="63" s="1"/>
  <c r="M468" i="63"/>
  <c r="L468" i="63" s="1"/>
  <c r="Q468" i="63"/>
  <c r="V468" i="63" s="1"/>
  <c r="Y46" i="63"/>
  <c r="AL46" i="63" s="1"/>
  <c r="AJ45" i="63"/>
  <c r="T92" i="63"/>
  <c r="R93" i="63"/>
  <c r="Z468" i="63" l="1"/>
  <c r="AM468" i="63"/>
  <c r="P468" i="63"/>
  <c r="Y47" i="63"/>
  <c r="AL47" i="63" s="1"/>
  <c r="AJ46" i="63"/>
  <c r="R94" i="63"/>
  <c r="T93" i="63"/>
  <c r="U468" i="63" l="1"/>
  <c r="W468" i="63"/>
  <c r="Y48" i="63"/>
  <c r="AL48" i="63" s="1"/>
  <c r="AJ47" i="63"/>
  <c r="R95" i="63"/>
  <c r="T94" i="63"/>
  <c r="AV468" i="63" l="1"/>
  <c r="O469" i="63"/>
  <c r="AO468" i="63"/>
  <c r="AT468" i="63"/>
  <c r="N469" i="63"/>
  <c r="AU468" i="63"/>
  <c r="Y49" i="63"/>
  <c r="AL49" i="63" s="1"/>
  <c r="AJ48" i="63"/>
  <c r="R96" i="63"/>
  <c r="T95" i="63"/>
  <c r="Q469" i="63" l="1"/>
  <c r="V469" i="63" s="1"/>
  <c r="M469" i="63"/>
  <c r="L469" i="63" s="1"/>
  <c r="AP469" i="63"/>
  <c r="AN469" i="63"/>
  <c r="AS469" i="63" s="1"/>
  <c r="Y50" i="63"/>
  <c r="AL50" i="63" s="1"/>
  <c r="AJ49" i="63"/>
  <c r="T96" i="63"/>
  <c r="R97" i="63"/>
  <c r="P469" i="63" l="1"/>
  <c r="U469" i="63" s="1"/>
  <c r="Z469" i="63"/>
  <c r="AM469" i="63"/>
  <c r="Y51" i="63"/>
  <c r="AL51" i="63" s="1"/>
  <c r="AJ50" i="63"/>
  <c r="R98" i="63"/>
  <c r="T97" i="63"/>
  <c r="W469" i="63" l="1"/>
  <c r="AU469" i="63"/>
  <c r="AO469" i="63"/>
  <c r="N470" i="63"/>
  <c r="O470" i="63"/>
  <c r="AV469" i="63"/>
  <c r="AT469" i="63"/>
  <c r="AJ51" i="63"/>
  <c r="Y52" i="63"/>
  <c r="AL52" i="63" s="1"/>
  <c r="R99" i="63"/>
  <c r="T98" i="63"/>
  <c r="AN470" i="63" l="1"/>
  <c r="AS470" i="63" s="1"/>
  <c r="AP470" i="63"/>
  <c r="Q470" i="63"/>
  <c r="M470" i="63"/>
  <c r="L470" i="63" s="1"/>
  <c r="Y53" i="63"/>
  <c r="AL53" i="63" s="1"/>
  <c r="AJ52" i="63"/>
  <c r="R100" i="63"/>
  <c r="T99" i="63"/>
  <c r="V470" i="63" l="1"/>
  <c r="P470" i="63"/>
  <c r="Z470" i="63"/>
  <c r="AM470" i="63"/>
  <c r="Y54" i="63"/>
  <c r="AL54" i="63" s="1"/>
  <c r="AJ53" i="63"/>
  <c r="T100" i="63"/>
  <c r="R101" i="63"/>
  <c r="U470" i="63" l="1"/>
  <c r="W470" i="63"/>
  <c r="Y55" i="63"/>
  <c r="AL55" i="63" s="1"/>
  <c r="AJ54" i="63"/>
  <c r="R102" i="63"/>
  <c r="T101" i="63"/>
  <c r="AU470" i="63" l="1"/>
  <c r="AO470" i="63"/>
  <c r="AT470" i="63"/>
  <c r="O471" i="63"/>
  <c r="AV470" i="63"/>
  <c r="N471" i="63"/>
  <c r="Y56" i="63"/>
  <c r="AL56" i="63" s="1"/>
  <c r="AJ55" i="63"/>
  <c r="R103" i="63"/>
  <c r="T102" i="63"/>
  <c r="Q471" i="63" l="1"/>
  <c r="V471" i="63" s="1"/>
  <c r="M471" i="63"/>
  <c r="L471" i="63" s="1"/>
  <c r="AP471" i="63"/>
  <c r="AN471" i="63"/>
  <c r="AS471" i="63" s="1"/>
  <c r="P471" i="63"/>
  <c r="U471" i="63"/>
  <c r="W471" i="63"/>
  <c r="Y57" i="63"/>
  <c r="AL57" i="63" s="1"/>
  <c r="AJ56" i="63"/>
  <c r="R104" i="63"/>
  <c r="T103" i="63"/>
  <c r="Z471" i="63" l="1"/>
  <c r="AM471" i="63"/>
  <c r="AV471" i="63"/>
  <c r="AO471" i="63"/>
  <c r="O472" i="63"/>
  <c r="AU471" i="63"/>
  <c r="N472" i="63"/>
  <c r="AT471" i="63"/>
  <c r="Y58" i="63"/>
  <c r="AL58" i="63" s="1"/>
  <c r="AJ57" i="63"/>
  <c r="T104" i="63"/>
  <c r="R105" i="63"/>
  <c r="M472" i="63" l="1"/>
  <c r="L472" i="63" s="1"/>
  <c r="Q472" i="63"/>
  <c r="V472" i="63" s="1"/>
  <c r="AP472" i="63"/>
  <c r="AN472" i="63"/>
  <c r="AS472" i="63" s="1"/>
  <c r="AJ9" i="63"/>
  <c r="AJ58" i="63"/>
  <c r="Y59" i="63"/>
  <c r="AA59" i="63"/>
  <c r="AP59" i="63" s="1"/>
  <c r="R106" i="63"/>
  <c r="T105" i="63"/>
  <c r="P472" i="63" l="1"/>
  <c r="U472" i="63" s="1"/>
  <c r="Z472" i="63"/>
  <c r="AM472" i="63"/>
  <c r="AI59" i="63"/>
  <c r="AD59" i="63"/>
  <c r="AD60" i="63" s="1"/>
  <c r="AD61" i="63" s="1"/>
  <c r="AD62" i="63" s="1"/>
  <c r="AD63" i="63" s="1"/>
  <c r="AD64" i="63" s="1"/>
  <c r="AD65" i="63" s="1"/>
  <c r="AD66" i="63" s="1"/>
  <c r="AD67" i="63" s="1"/>
  <c r="AD68" i="63" s="1"/>
  <c r="AD69" i="63" s="1"/>
  <c r="AD70" i="63" s="1"/>
  <c r="AD71" i="63" s="1"/>
  <c r="AD72" i="63" s="1"/>
  <c r="AD73" i="63" s="1"/>
  <c r="AD74" i="63" s="1"/>
  <c r="AD75" i="63" s="1"/>
  <c r="AD76" i="63" s="1"/>
  <c r="AD77" i="63" s="1"/>
  <c r="AD78" i="63" s="1"/>
  <c r="AD79" i="63" s="1"/>
  <c r="AD80" i="63" s="1"/>
  <c r="AD81" i="63" s="1"/>
  <c r="AD82" i="63" s="1"/>
  <c r="AD83" i="63" s="1"/>
  <c r="AD84" i="63" s="1"/>
  <c r="AD85" i="63" s="1"/>
  <c r="AD86" i="63" s="1"/>
  <c r="AD87" i="63" s="1"/>
  <c r="AD88" i="63" s="1"/>
  <c r="AD89" i="63" s="1"/>
  <c r="AD90" i="63" s="1"/>
  <c r="AD91" i="63" s="1"/>
  <c r="AD92" i="63" s="1"/>
  <c r="AD93" i="63" s="1"/>
  <c r="AD94" i="63" s="1"/>
  <c r="AD95" i="63" s="1"/>
  <c r="AD96" i="63" s="1"/>
  <c r="AD97" i="63" s="1"/>
  <c r="AD98" i="63" s="1"/>
  <c r="AD99" i="63" s="1"/>
  <c r="AD100" i="63" s="1"/>
  <c r="AD101" i="63" s="1"/>
  <c r="AD102" i="63" s="1"/>
  <c r="AD103" i="63" s="1"/>
  <c r="AD104" i="63" s="1"/>
  <c r="AD105" i="63" s="1"/>
  <c r="AD106" i="63" s="1"/>
  <c r="AD107" i="63" s="1"/>
  <c r="AD108" i="63" s="1"/>
  <c r="AD109" i="63" s="1"/>
  <c r="AD110" i="63" s="1"/>
  <c r="AD111" i="63" s="1"/>
  <c r="AD112" i="63" s="1"/>
  <c r="AD113" i="63" s="1"/>
  <c r="AD114" i="63" s="1"/>
  <c r="AD115" i="63" s="1"/>
  <c r="AD116" i="63" s="1"/>
  <c r="AD117" i="63" s="1"/>
  <c r="AD118" i="63" s="1"/>
  <c r="AD119" i="63" s="1"/>
  <c r="AD120" i="63" s="1"/>
  <c r="AD121" i="63" s="1"/>
  <c r="AD122" i="63" s="1"/>
  <c r="AD123" i="63" s="1"/>
  <c r="AD124" i="63" s="1"/>
  <c r="AD125" i="63" s="1"/>
  <c r="AD126" i="63" s="1"/>
  <c r="AD127" i="63" s="1"/>
  <c r="AD128" i="63" s="1"/>
  <c r="AD129" i="63" s="1"/>
  <c r="AD130" i="63" s="1"/>
  <c r="AD131" i="63" s="1"/>
  <c r="AD132" i="63" s="1"/>
  <c r="AD133" i="63" s="1"/>
  <c r="AD134" i="63" s="1"/>
  <c r="AD135" i="63" s="1"/>
  <c r="AD136" i="63" s="1"/>
  <c r="AD137" i="63" s="1"/>
  <c r="AD138" i="63" s="1"/>
  <c r="AD139" i="63" s="1"/>
  <c r="AD140" i="63" s="1"/>
  <c r="AD141" i="63" s="1"/>
  <c r="AD142" i="63" s="1"/>
  <c r="AD143" i="63" s="1"/>
  <c r="AD144" i="63" s="1"/>
  <c r="AD145" i="63" s="1"/>
  <c r="AD146" i="63" s="1"/>
  <c r="AD147" i="63" s="1"/>
  <c r="AD148" i="63" s="1"/>
  <c r="AD149" i="63" s="1"/>
  <c r="AD150" i="63" s="1"/>
  <c r="AD151" i="63" s="1"/>
  <c r="AD152" i="63" s="1"/>
  <c r="AD153" i="63" s="1"/>
  <c r="AD154" i="63" s="1"/>
  <c r="AD155" i="63" s="1"/>
  <c r="AD156" i="63" s="1"/>
  <c r="AD157" i="63" s="1"/>
  <c r="AD158" i="63" s="1"/>
  <c r="AD159" i="63" s="1"/>
  <c r="AD160" i="63" s="1"/>
  <c r="AD161" i="63" s="1"/>
  <c r="AD162" i="63" s="1"/>
  <c r="AD163" i="63" s="1"/>
  <c r="AD164" i="63" s="1"/>
  <c r="AD165" i="63" s="1"/>
  <c r="AD166" i="63" s="1"/>
  <c r="AD167" i="63" s="1"/>
  <c r="AD168" i="63" s="1"/>
  <c r="AD169" i="63" s="1"/>
  <c r="AD170" i="63" s="1"/>
  <c r="AD171" i="63" s="1"/>
  <c r="AD172" i="63" s="1"/>
  <c r="AD173" i="63" s="1"/>
  <c r="AD174" i="63" s="1"/>
  <c r="AD175" i="63" s="1"/>
  <c r="AD176" i="63" s="1"/>
  <c r="AD177" i="63" s="1"/>
  <c r="AD178" i="63" s="1"/>
  <c r="AD179" i="63" s="1"/>
  <c r="AD180" i="63" s="1"/>
  <c r="AD181" i="63" s="1"/>
  <c r="AD182" i="63" s="1"/>
  <c r="AD183" i="63" s="1"/>
  <c r="AD184" i="63" s="1"/>
  <c r="AD185" i="63" s="1"/>
  <c r="AD186" i="63" s="1"/>
  <c r="AD187" i="63" s="1"/>
  <c r="AD188" i="63" s="1"/>
  <c r="AD189" i="63" s="1"/>
  <c r="AD190" i="63" s="1"/>
  <c r="AD191" i="63" s="1"/>
  <c r="AD192" i="63" s="1"/>
  <c r="AD193" i="63" s="1"/>
  <c r="AD194" i="63" s="1"/>
  <c r="AD195" i="63" s="1"/>
  <c r="AD196" i="63" s="1"/>
  <c r="AD197" i="63" s="1"/>
  <c r="AD198" i="63" s="1"/>
  <c r="AD199" i="63" s="1"/>
  <c r="AD200" i="63" s="1"/>
  <c r="AD201" i="63" s="1"/>
  <c r="AD202" i="63" s="1"/>
  <c r="AD203" i="63" s="1"/>
  <c r="AD204" i="63" s="1"/>
  <c r="AD205" i="63" s="1"/>
  <c r="AD206" i="63" s="1"/>
  <c r="AD207" i="63" s="1"/>
  <c r="AD208" i="63" s="1"/>
  <c r="AD209" i="63" s="1"/>
  <c r="AD210" i="63" s="1"/>
  <c r="AD211" i="63" s="1"/>
  <c r="AD212" i="63" s="1"/>
  <c r="AD213" i="63" s="1"/>
  <c r="AD214" i="63" s="1"/>
  <c r="AD215" i="63" s="1"/>
  <c r="AD216" i="63" s="1"/>
  <c r="AD217" i="63" s="1"/>
  <c r="AD218" i="63" s="1"/>
  <c r="AD219" i="63" s="1"/>
  <c r="AD220" i="63" s="1"/>
  <c r="AD221" i="63" s="1"/>
  <c r="AD222" i="63" s="1"/>
  <c r="AD223" i="63" s="1"/>
  <c r="AD224" i="63" s="1"/>
  <c r="AD225" i="63" s="1"/>
  <c r="AD226" i="63" s="1"/>
  <c r="AD227" i="63" s="1"/>
  <c r="AD228" i="63" s="1"/>
  <c r="AD229" i="63" s="1"/>
  <c r="AD230" i="63" s="1"/>
  <c r="AD231" i="63" s="1"/>
  <c r="AD232" i="63" s="1"/>
  <c r="AD233" i="63" s="1"/>
  <c r="AD234" i="63" s="1"/>
  <c r="AD235" i="63" s="1"/>
  <c r="AD236" i="63" s="1"/>
  <c r="AD237" i="63" s="1"/>
  <c r="AD238" i="63" s="1"/>
  <c r="AD239" i="63" s="1"/>
  <c r="AD240" i="63" s="1"/>
  <c r="AD241" i="63" s="1"/>
  <c r="AD242" i="63" s="1"/>
  <c r="AD243" i="63" s="1"/>
  <c r="AD244" i="63" s="1"/>
  <c r="AD245" i="63" s="1"/>
  <c r="AD246" i="63" s="1"/>
  <c r="AD247" i="63" s="1"/>
  <c r="AD248" i="63" s="1"/>
  <c r="AD249" i="63" s="1"/>
  <c r="AD250" i="63" s="1"/>
  <c r="AD251" i="63" s="1"/>
  <c r="AD252" i="63" s="1"/>
  <c r="AD253" i="63" s="1"/>
  <c r="AD254" i="63" s="1"/>
  <c r="AD255" i="63" s="1"/>
  <c r="AD256" i="63" s="1"/>
  <c r="AD257" i="63" s="1"/>
  <c r="AD258" i="63" s="1"/>
  <c r="AD259" i="63" s="1"/>
  <c r="AD260" i="63" s="1"/>
  <c r="AD261" i="63" s="1"/>
  <c r="AD262" i="63" s="1"/>
  <c r="AD263" i="63" s="1"/>
  <c r="AD264" i="63" s="1"/>
  <c r="AD265" i="63" s="1"/>
  <c r="AD266" i="63" s="1"/>
  <c r="AD267" i="63" s="1"/>
  <c r="AD268" i="63" s="1"/>
  <c r="AD269" i="63" s="1"/>
  <c r="AD270" i="63" s="1"/>
  <c r="AD271" i="63" s="1"/>
  <c r="AD272" i="63" s="1"/>
  <c r="AD273" i="63" s="1"/>
  <c r="AD274" i="63" s="1"/>
  <c r="AD275" i="63" s="1"/>
  <c r="AD276" i="63" s="1"/>
  <c r="AD277" i="63" s="1"/>
  <c r="AD278" i="63" s="1"/>
  <c r="AD279" i="63" s="1"/>
  <c r="AD280" i="63" s="1"/>
  <c r="AD281" i="63" s="1"/>
  <c r="AD282" i="63" s="1"/>
  <c r="AD283" i="63" s="1"/>
  <c r="AD284" i="63" s="1"/>
  <c r="AD285" i="63" s="1"/>
  <c r="AD286" i="63" s="1"/>
  <c r="AD287" i="63" s="1"/>
  <c r="AD288" i="63" s="1"/>
  <c r="AD289" i="63" s="1"/>
  <c r="AD290" i="63" s="1"/>
  <c r="AD291" i="63" s="1"/>
  <c r="AD292" i="63" s="1"/>
  <c r="AD293" i="63" s="1"/>
  <c r="AD294" i="63" s="1"/>
  <c r="AD295" i="63" s="1"/>
  <c r="AD296" i="63" s="1"/>
  <c r="AD297" i="63" s="1"/>
  <c r="AD298" i="63" s="1"/>
  <c r="AD299" i="63" s="1"/>
  <c r="AD300" i="63" s="1"/>
  <c r="AD301" i="63" s="1"/>
  <c r="AD302" i="63" s="1"/>
  <c r="AD303" i="63" s="1"/>
  <c r="AD304" i="63" s="1"/>
  <c r="AD305" i="63" s="1"/>
  <c r="AD306" i="63" s="1"/>
  <c r="AD307" i="63" s="1"/>
  <c r="AD308" i="63" s="1"/>
  <c r="AD309" i="63" s="1"/>
  <c r="AD310" i="63" s="1"/>
  <c r="AD311" i="63" s="1"/>
  <c r="AD312" i="63" s="1"/>
  <c r="AD313" i="63" s="1"/>
  <c r="AD314" i="63" s="1"/>
  <c r="AD315" i="63" s="1"/>
  <c r="AD316" i="63" s="1"/>
  <c r="AD317" i="63" s="1"/>
  <c r="AD318" i="63" s="1"/>
  <c r="AD319" i="63" s="1"/>
  <c r="AD320" i="63" s="1"/>
  <c r="AD321" i="63" s="1"/>
  <c r="AD322" i="63" s="1"/>
  <c r="AD323" i="63" s="1"/>
  <c r="AD324" i="63" s="1"/>
  <c r="AD325" i="63" s="1"/>
  <c r="AD326" i="63" s="1"/>
  <c r="AD327" i="63" s="1"/>
  <c r="AD328" i="63" s="1"/>
  <c r="AD329" i="63" s="1"/>
  <c r="AD330" i="63" s="1"/>
  <c r="AD331" i="63" s="1"/>
  <c r="AD332" i="63" s="1"/>
  <c r="AD333" i="63" s="1"/>
  <c r="AD334" i="63" s="1"/>
  <c r="AD335" i="63" s="1"/>
  <c r="AD336" i="63" s="1"/>
  <c r="AD337" i="63" s="1"/>
  <c r="AD338" i="63" s="1"/>
  <c r="AD339" i="63" s="1"/>
  <c r="AD340" i="63" s="1"/>
  <c r="AD341" i="63" s="1"/>
  <c r="AD342" i="63" s="1"/>
  <c r="AD343" i="63" s="1"/>
  <c r="AD344" i="63" s="1"/>
  <c r="AD345" i="63" s="1"/>
  <c r="AD346" i="63" s="1"/>
  <c r="AD347" i="63" s="1"/>
  <c r="AD348" i="63" s="1"/>
  <c r="AD349" i="63" s="1"/>
  <c r="AD350" i="63" s="1"/>
  <c r="AD351" i="63" s="1"/>
  <c r="AD352" i="63" s="1"/>
  <c r="AD353" i="63" s="1"/>
  <c r="AD354" i="63" s="1"/>
  <c r="AD355" i="63" s="1"/>
  <c r="AD356" i="63" s="1"/>
  <c r="AD357" i="63" s="1"/>
  <c r="AD358" i="63" s="1"/>
  <c r="AD359" i="63" s="1"/>
  <c r="AD360" i="63" s="1"/>
  <c r="AD361" i="63" s="1"/>
  <c r="AD362" i="63" s="1"/>
  <c r="AD363" i="63" s="1"/>
  <c r="AD364" i="63" s="1"/>
  <c r="AD365" i="63" s="1"/>
  <c r="AD366" i="63" s="1"/>
  <c r="AD367" i="63" s="1"/>
  <c r="AD368" i="63" s="1"/>
  <c r="AD369" i="63" s="1"/>
  <c r="AD370" i="63" s="1"/>
  <c r="AD371" i="63" s="1"/>
  <c r="AD372" i="63" s="1"/>
  <c r="AD373" i="63" s="1"/>
  <c r="AD374" i="63" s="1"/>
  <c r="AD375" i="63" s="1"/>
  <c r="AD376" i="63" s="1"/>
  <c r="AD377" i="63" s="1"/>
  <c r="AD378" i="63" s="1"/>
  <c r="AD379" i="63" s="1"/>
  <c r="AD380" i="63" s="1"/>
  <c r="AD381" i="63" s="1"/>
  <c r="AD382" i="63" s="1"/>
  <c r="AD383" i="63" s="1"/>
  <c r="AD384" i="63" s="1"/>
  <c r="AD385" i="63" s="1"/>
  <c r="AD386" i="63" s="1"/>
  <c r="AD387" i="63" s="1"/>
  <c r="AD388" i="63" s="1"/>
  <c r="AD389" i="63" s="1"/>
  <c r="AD390" i="63" s="1"/>
  <c r="AD391" i="63" s="1"/>
  <c r="AD392" i="63" s="1"/>
  <c r="AD393" i="63" s="1"/>
  <c r="AD394" i="63" s="1"/>
  <c r="AD395" i="63" s="1"/>
  <c r="AD396" i="63" s="1"/>
  <c r="AD397" i="63" s="1"/>
  <c r="AD398" i="63" s="1"/>
  <c r="AD399" i="63" s="1"/>
  <c r="AD400" i="63" s="1"/>
  <c r="AD401" i="63" s="1"/>
  <c r="AD402" i="63" s="1"/>
  <c r="AD403" i="63" s="1"/>
  <c r="AD404" i="63" s="1"/>
  <c r="AD405" i="63" s="1"/>
  <c r="AD406" i="63" s="1"/>
  <c r="AD407" i="63" s="1"/>
  <c r="AD408" i="63" s="1"/>
  <c r="AD409" i="63" s="1"/>
  <c r="AD410" i="63" s="1"/>
  <c r="AD411" i="63" s="1"/>
  <c r="AD412" i="63" s="1"/>
  <c r="AD413" i="63" s="1"/>
  <c r="AD414" i="63" s="1"/>
  <c r="AD415" i="63" s="1"/>
  <c r="AD416" i="63" s="1"/>
  <c r="AD417" i="63" s="1"/>
  <c r="AD418" i="63" s="1"/>
  <c r="AD419" i="63" s="1"/>
  <c r="AD420" i="63" s="1"/>
  <c r="AD421" i="63" s="1"/>
  <c r="AD422" i="63" s="1"/>
  <c r="AD423" i="63" s="1"/>
  <c r="AD424" i="63" s="1"/>
  <c r="AD425" i="63" s="1"/>
  <c r="AD426" i="63" s="1"/>
  <c r="AD427" i="63" s="1"/>
  <c r="AD428" i="63" s="1"/>
  <c r="AD429" i="63" s="1"/>
  <c r="AD430" i="63" s="1"/>
  <c r="AD431" i="63" s="1"/>
  <c r="AD432" i="63" s="1"/>
  <c r="AD433" i="63" s="1"/>
  <c r="AD434" i="63" s="1"/>
  <c r="AD435" i="63" s="1"/>
  <c r="AD436" i="63" s="1"/>
  <c r="AD437" i="63" s="1"/>
  <c r="AD438" i="63" s="1"/>
  <c r="AD439" i="63" s="1"/>
  <c r="AD440" i="63" s="1"/>
  <c r="AD441" i="63" s="1"/>
  <c r="AD442" i="63" s="1"/>
  <c r="AD443" i="63" s="1"/>
  <c r="AD444" i="63" s="1"/>
  <c r="AD445" i="63" s="1"/>
  <c r="AD446" i="63" s="1"/>
  <c r="AD447" i="63" s="1"/>
  <c r="AD448" i="63" s="1"/>
  <c r="AD449" i="63" s="1"/>
  <c r="AD450" i="63" s="1"/>
  <c r="AD451" i="63" s="1"/>
  <c r="AD452" i="63" s="1"/>
  <c r="AD453" i="63" s="1"/>
  <c r="AD454" i="63" s="1"/>
  <c r="AD455" i="63" s="1"/>
  <c r="AD456" i="63" s="1"/>
  <c r="AD457" i="63" s="1"/>
  <c r="AD458" i="63" s="1"/>
  <c r="AD459" i="63" s="1"/>
  <c r="AD460" i="63" s="1"/>
  <c r="AD461" i="63" s="1"/>
  <c r="AD462" i="63" s="1"/>
  <c r="AD463" i="63" s="1"/>
  <c r="AD464" i="63" s="1"/>
  <c r="AD465" i="63" s="1"/>
  <c r="AD466" i="63" s="1"/>
  <c r="AD467" i="63" s="1"/>
  <c r="AD468" i="63" s="1"/>
  <c r="AD469" i="63" s="1"/>
  <c r="AD470" i="63" s="1"/>
  <c r="AD471" i="63" s="1"/>
  <c r="AD472" i="63" s="1"/>
  <c r="AD473" i="63" s="1"/>
  <c r="AD474" i="63" s="1"/>
  <c r="AD475" i="63" s="1"/>
  <c r="AD476" i="63" s="1"/>
  <c r="AD477" i="63" s="1"/>
  <c r="AD478" i="63" s="1"/>
  <c r="AD479" i="63" s="1"/>
  <c r="AD480" i="63" s="1"/>
  <c r="AD481" i="63" s="1"/>
  <c r="AD482" i="63" s="1"/>
  <c r="AD483" i="63" s="1"/>
  <c r="AD484" i="63" s="1"/>
  <c r="AD485" i="63" s="1"/>
  <c r="AD486" i="63" s="1"/>
  <c r="AD487" i="63" s="1"/>
  <c r="AD488" i="63" s="1"/>
  <c r="AD489" i="63" s="1"/>
  <c r="AD490" i="63" s="1"/>
  <c r="AD491" i="63" s="1"/>
  <c r="AC59" i="63"/>
  <c r="AH59" i="63" s="1"/>
  <c r="R107" i="63"/>
  <c r="T106" i="63"/>
  <c r="W472" i="63" l="1"/>
  <c r="AT472" i="63" s="1"/>
  <c r="N473" i="63"/>
  <c r="AU472" i="63"/>
  <c r="AO472" i="63"/>
  <c r="AV472" i="63"/>
  <c r="O473" i="63"/>
  <c r="AB59" i="63"/>
  <c r="AD492" i="63"/>
  <c r="R108" i="63"/>
  <c r="T107" i="63"/>
  <c r="AP473" i="63" l="1"/>
  <c r="AN473" i="63"/>
  <c r="AS473" i="63" s="1"/>
  <c r="Q473" i="63"/>
  <c r="V473" i="63" s="1"/>
  <c r="M473" i="63"/>
  <c r="L473" i="63" s="1"/>
  <c r="AD493" i="63"/>
  <c r="AG59" i="63"/>
  <c r="AE59" i="63"/>
  <c r="AE60" i="63" s="1"/>
  <c r="AE61" i="63" s="1"/>
  <c r="AE62" i="63" s="1"/>
  <c r="AE63" i="63" s="1"/>
  <c r="AE64" i="63" s="1"/>
  <c r="AE65" i="63" s="1"/>
  <c r="AE66" i="63" s="1"/>
  <c r="AE67" i="63" s="1"/>
  <c r="AE68" i="63" s="1"/>
  <c r="AE69" i="63" s="1"/>
  <c r="AE70" i="63" s="1"/>
  <c r="AE71" i="63" s="1"/>
  <c r="AE72" i="63" s="1"/>
  <c r="AE73" i="63" s="1"/>
  <c r="AE74" i="63" s="1"/>
  <c r="AE75" i="63" s="1"/>
  <c r="AE76" i="63" s="1"/>
  <c r="AE77" i="63" s="1"/>
  <c r="AE78" i="63" s="1"/>
  <c r="AE79" i="63" s="1"/>
  <c r="AE80" i="63" s="1"/>
  <c r="AE81" i="63" s="1"/>
  <c r="AE82" i="63" s="1"/>
  <c r="AE83" i="63" s="1"/>
  <c r="AE84" i="63" s="1"/>
  <c r="AE85" i="63" s="1"/>
  <c r="AE86" i="63" s="1"/>
  <c r="AE87" i="63" s="1"/>
  <c r="AE88" i="63" s="1"/>
  <c r="AE89" i="63" s="1"/>
  <c r="AE90" i="63" s="1"/>
  <c r="AE91" i="63" s="1"/>
  <c r="AE92" i="63" s="1"/>
  <c r="AE93" i="63" s="1"/>
  <c r="AE94" i="63" s="1"/>
  <c r="AE95" i="63" s="1"/>
  <c r="AE96" i="63" s="1"/>
  <c r="AE97" i="63" s="1"/>
  <c r="AE98" i="63" s="1"/>
  <c r="AE99" i="63" s="1"/>
  <c r="AE100" i="63" s="1"/>
  <c r="AE101" i="63" s="1"/>
  <c r="AE102" i="63" s="1"/>
  <c r="AE103" i="63" s="1"/>
  <c r="AE104" i="63" s="1"/>
  <c r="AE105" i="63" s="1"/>
  <c r="AE106" i="63" s="1"/>
  <c r="AE107" i="63" s="1"/>
  <c r="AE108" i="63" s="1"/>
  <c r="AE109" i="63" s="1"/>
  <c r="AE110" i="63" s="1"/>
  <c r="AE111" i="63" s="1"/>
  <c r="AE112" i="63" s="1"/>
  <c r="AE113" i="63" s="1"/>
  <c r="AE114" i="63" s="1"/>
  <c r="AE115" i="63" s="1"/>
  <c r="AE116" i="63" s="1"/>
  <c r="AE117" i="63" s="1"/>
  <c r="AE118" i="63" s="1"/>
  <c r="AE119" i="63" s="1"/>
  <c r="AE120" i="63" s="1"/>
  <c r="AE121" i="63" s="1"/>
  <c r="AE122" i="63" s="1"/>
  <c r="AE123" i="63" s="1"/>
  <c r="AE124" i="63" s="1"/>
  <c r="AE125" i="63" s="1"/>
  <c r="AE126" i="63" s="1"/>
  <c r="AE127" i="63" s="1"/>
  <c r="AE128" i="63" s="1"/>
  <c r="AE129" i="63" s="1"/>
  <c r="AE130" i="63" s="1"/>
  <c r="AE131" i="63" s="1"/>
  <c r="AE132" i="63" s="1"/>
  <c r="AE133" i="63" s="1"/>
  <c r="AE134" i="63" s="1"/>
  <c r="AE135" i="63" s="1"/>
  <c r="AE136" i="63" s="1"/>
  <c r="AE137" i="63" s="1"/>
  <c r="AE138" i="63" s="1"/>
  <c r="AE139" i="63" s="1"/>
  <c r="AE140" i="63" s="1"/>
  <c r="AE141" i="63" s="1"/>
  <c r="AE142" i="63" s="1"/>
  <c r="AE143" i="63" s="1"/>
  <c r="AE144" i="63" s="1"/>
  <c r="AE145" i="63" s="1"/>
  <c r="AE146" i="63" s="1"/>
  <c r="AE147" i="63" s="1"/>
  <c r="AE148" i="63" s="1"/>
  <c r="AE149" i="63" s="1"/>
  <c r="AE150" i="63" s="1"/>
  <c r="AE151" i="63" s="1"/>
  <c r="AE152" i="63" s="1"/>
  <c r="AE153" i="63" s="1"/>
  <c r="AE154" i="63" s="1"/>
  <c r="AE155" i="63" s="1"/>
  <c r="AE156" i="63" s="1"/>
  <c r="AE157" i="63" s="1"/>
  <c r="AE158" i="63" s="1"/>
  <c r="AE159" i="63" s="1"/>
  <c r="AE160" i="63" s="1"/>
  <c r="AE161" i="63" s="1"/>
  <c r="AE162" i="63" s="1"/>
  <c r="AE163" i="63" s="1"/>
  <c r="AE164" i="63" s="1"/>
  <c r="AE165" i="63" s="1"/>
  <c r="AE166" i="63" s="1"/>
  <c r="AE167" i="63" s="1"/>
  <c r="AE168" i="63" s="1"/>
  <c r="AE169" i="63" s="1"/>
  <c r="AE170" i="63" s="1"/>
  <c r="AE171" i="63" s="1"/>
  <c r="AE172" i="63" s="1"/>
  <c r="AE173" i="63" s="1"/>
  <c r="AE174" i="63" s="1"/>
  <c r="AE175" i="63" s="1"/>
  <c r="AE176" i="63" s="1"/>
  <c r="AE177" i="63" s="1"/>
  <c r="AE178" i="63" s="1"/>
  <c r="AE179" i="63" s="1"/>
  <c r="AE180" i="63" s="1"/>
  <c r="AE181" i="63" s="1"/>
  <c r="AE182" i="63" s="1"/>
  <c r="AE183" i="63" s="1"/>
  <c r="AE184" i="63" s="1"/>
  <c r="AE185" i="63" s="1"/>
  <c r="AE186" i="63" s="1"/>
  <c r="AE187" i="63" s="1"/>
  <c r="AE188" i="63" s="1"/>
  <c r="AE189" i="63" s="1"/>
  <c r="AE190" i="63" s="1"/>
  <c r="AE191" i="63" s="1"/>
  <c r="AE192" i="63" s="1"/>
  <c r="AE193" i="63" s="1"/>
  <c r="AE194" i="63" s="1"/>
  <c r="AE195" i="63" s="1"/>
  <c r="AE196" i="63" s="1"/>
  <c r="AE197" i="63" s="1"/>
  <c r="AE198" i="63" s="1"/>
  <c r="AE199" i="63" s="1"/>
  <c r="AE200" i="63" s="1"/>
  <c r="AE201" i="63" s="1"/>
  <c r="AE202" i="63" s="1"/>
  <c r="AE203" i="63" s="1"/>
  <c r="AE204" i="63" s="1"/>
  <c r="AE205" i="63" s="1"/>
  <c r="AE206" i="63" s="1"/>
  <c r="AE207" i="63" s="1"/>
  <c r="AE208" i="63" s="1"/>
  <c r="AE209" i="63" s="1"/>
  <c r="AE210" i="63" s="1"/>
  <c r="AE211" i="63" s="1"/>
  <c r="AE212" i="63" s="1"/>
  <c r="AE213" i="63" s="1"/>
  <c r="AE214" i="63" s="1"/>
  <c r="AE215" i="63" s="1"/>
  <c r="AE216" i="63" s="1"/>
  <c r="AE217" i="63" s="1"/>
  <c r="AE218" i="63" s="1"/>
  <c r="AE219" i="63" s="1"/>
  <c r="AE220" i="63" s="1"/>
  <c r="AE221" i="63" s="1"/>
  <c r="AE222" i="63" s="1"/>
  <c r="AE223" i="63" s="1"/>
  <c r="AE224" i="63" s="1"/>
  <c r="AE225" i="63" s="1"/>
  <c r="AE226" i="63" s="1"/>
  <c r="AE227" i="63" s="1"/>
  <c r="AE228" i="63" s="1"/>
  <c r="AE229" i="63" s="1"/>
  <c r="AE230" i="63" s="1"/>
  <c r="AE231" i="63" s="1"/>
  <c r="AE232" i="63" s="1"/>
  <c r="AE233" i="63" s="1"/>
  <c r="AE234" i="63" s="1"/>
  <c r="AE235" i="63" s="1"/>
  <c r="AE236" i="63" s="1"/>
  <c r="AE237" i="63" s="1"/>
  <c r="AE238" i="63" s="1"/>
  <c r="AE239" i="63" s="1"/>
  <c r="AE240" i="63" s="1"/>
  <c r="AE241" i="63" s="1"/>
  <c r="AE242" i="63" s="1"/>
  <c r="AE243" i="63" s="1"/>
  <c r="AE244" i="63" s="1"/>
  <c r="AE245" i="63" s="1"/>
  <c r="AE246" i="63" s="1"/>
  <c r="AE247" i="63" s="1"/>
  <c r="AE248" i="63" s="1"/>
  <c r="AE249" i="63" s="1"/>
  <c r="AE250" i="63" s="1"/>
  <c r="AE251" i="63" s="1"/>
  <c r="AE252" i="63" s="1"/>
  <c r="AE253" i="63" s="1"/>
  <c r="AE254" i="63" s="1"/>
  <c r="AE255" i="63" s="1"/>
  <c r="AE256" i="63" s="1"/>
  <c r="AE257" i="63" s="1"/>
  <c r="AE258" i="63" s="1"/>
  <c r="AE259" i="63" s="1"/>
  <c r="AE260" i="63" s="1"/>
  <c r="AE261" i="63" s="1"/>
  <c r="AE262" i="63" s="1"/>
  <c r="AE263" i="63" s="1"/>
  <c r="AE264" i="63" s="1"/>
  <c r="AE265" i="63" s="1"/>
  <c r="AE266" i="63" s="1"/>
  <c r="AE267" i="63" s="1"/>
  <c r="AE268" i="63" s="1"/>
  <c r="AE269" i="63" s="1"/>
  <c r="AE270" i="63" s="1"/>
  <c r="AE271" i="63" s="1"/>
  <c r="AE272" i="63" s="1"/>
  <c r="AE273" i="63" s="1"/>
  <c r="AE274" i="63" s="1"/>
  <c r="AE275" i="63" s="1"/>
  <c r="AE276" i="63" s="1"/>
  <c r="AE277" i="63" s="1"/>
  <c r="AE278" i="63" s="1"/>
  <c r="AE279" i="63" s="1"/>
  <c r="AE280" i="63" s="1"/>
  <c r="AE281" i="63" s="1"/>
  <c r="AE282" i="63" s="1"/>
  <c r="AE283" i="63" s="1"/>
  <c r="AE284" i="63" s="1"/>
  <c r="AE285" i="63" s="1"/>
  <c r="AE286" i="63" s="1"/>
  <c r="AE287" i="63" s="1"/>
  <c r="AE288" i="63" s="1"/>
  <c r="AE289" i="63" s="1"/>
  <c r="AE290" i="63" s="1"/>
  <c r="AE291" i="63" s="1"/>
  <c r="AE292" i="63" s="1"/>
  <c r="AE293" i="63" s="1"/>
  <c r="AE294" i="63" s="1"/>
  <c r="AE295" i="63" s="1"/>
  <c r="AE296" i="63" s="1"/>
  <c r="AE297" i="63" s="1"/>
  <c r="AE298" i="63" s="1"/>
  <c r="AE299" i="63" s="1"/>
  <c r="AE300" i="63" s="1"/>
  <c r="AE301" i="63" s="1"/>
  <c r="AE302" i="63" s="1"/>
  <c r="AE303" i="63" s="1"/>
  <c r="AE304" i="63" s="1"/>
  <c r="AE305" i="63" s="1"/>
  <c r="AE306" i="63" s="1"/>
  <c r="AE307" i="63" s="1"/>
  <c r="AE308" i="63" s="1"/>
  <c r="AE309" i="63" s="1"/>
  <c r="AE310" i="63" s="1"/>
  <c r="AE311" i="63" s="1"/>
  <c r="AE312" i="63" s="1"/>
  <c r="AE313" i="63" s="1"/>
  <c r="AE314" i="63" s="1"/>
  <c r="AE315" i="63" s="1"/>
  <c r="AE316" i="63" s="1"/>
  <c r="AE317" i="63" s="1"/>
  <c r="AE318" i="63" s="1"/>
  <c r="AE319" i="63" s="1"/>
  <c r="AE320" i="63" s="1"/>
  <c r="AE321" i="63" s="1"/>
  <c r="AE322" i="63" s="1"/>
  <c r="AE323" i="63" s="1"/>
  <c r="AE324" i="63" s="1"/>
  <c r="AE325" i="63" s="1"/>
  <c r="AE326" i="63" s="1"/>
  <c r="AE327" i="63" s="1"/>
  <c r="AE328" i="63" s="1"/>
  <c r="AE329" i="63" s="1"/>
  <c r="AE330" i="63" s="1"/>
  <c r="AE331" i="63" s="1"/>
  <c r="AE332" i="63" s="1"/>
  <c r="AE333" i="63" s="1"/>
  <c r="AE334" i="63" s="1"/>
  <c r="AE335" i="63" s="1"/>
  <c r="AE336" i="63" s="1"/>
  <c r="AE337" i="63" s="1"/>
  <c r="AE338" i="63" s="1"/>
  <c r="AE339" i="63" s="1"/>
  <c r="AE340" i="63" s="1"/>
  <c r="AE341" i="63" s="1"/>
  <c r="AE342" i="63" s="1"/>
  <c r="AE343" i="63" s="1"/>
  <c r="AE344" i="63" s="1"/>
  <c r="AE345" i="63" s="1"/>
  <c r="AE346" i="63" s="1"/>
  <c r="AE347" i="63" s="1"/>
  <c r="AE348" i="63" s="1"/>
  <c r="AE349" i="63" s="1"/>
  <c r="AE350" i="63" s="1"/>
  <c r="AE351" i="63" s="1"/>
  <c r="AE352" i="63" s="1"/>
  <c r="AE353" i="63" s="1"/>
  <c r="AE354" i="63" s="1"/>
  <c r="AE355" i="63" s="1"/>
  <c r="AE356" i="63" s="1"/>
  <c r="AE357" i="63" s="1"/>
  <c r="AE358" i="63" s="1"/>
  <c r="AE359" i="63" s="1"/>
  <c r="AE360" i="63" s="1"/>
  <c r="AE361" i="63" s="1"/>
  <c r="AE362" i="63" s="1"/>
  <c r="AE363" i="63" s="1"/>
  <c r="AE364" i="63" s="1"/>
  <c r="AE365" i="63" s="1"/>
  <c r="AE366" i="63" s="1"/>
  <c r="AE367" i="63" s="1"/>
  <c r="AE368" i="63" s="1"/>
  <c r="AE369" i="63" s="1"/>
  <c r="AE370" i="63" s="1"/>
  <c r="AE371" i="63" s="1"/>
  <c r="AE372" i="63" s="1"/>
  <c r="AE373" i="63" s="1"/>
  <c r="AE374" i="63" s="1"/>
  <c r="AE375" i="63" s="1"/>
  <c r="AE376" i="63" s="1"/>
  <c r="AE377" i="63" s="1"/>
  <c r="AE378" i="63" s="1"/>
  <c r="AE379" i="63" s="1"/>
  <c r="AE380" i="63" s="1"/>
  <c r="AE381" i="63" s="1"/>
  <c r="AE382" i="63" s="1"/>
  <c r="AE383" i="63" s="1"/>
  <c r="AE384" i="63" s="1"/>
  <c r="AE385" i="63" s="1"/>
  <c r="AE386" i="63" s="1"/>
  <c r="AE387" i="63" s="1"/>
  <c r="AE388" i="63" s="1"/>
  <c r="AE389" i="63" s="1"/>
  <c r="AE390" i="63" s="1"/>
  <c r="AE391" i="63" s="1"/>
  <c r="AE392" i="63" s="1"/>
  <c r="AE393" i="63" s="1"/>
  <c r="AE394" i="63" s="1"/>
  <c r="AE395" i="63" s="1"/>
  <c r="AE396" i="63" s="1"/>
  <c r="AE397" i="63" s="1"/>
  <c r="AE398" i="63" s="1"/>
  <c r="AE399" i="63" s="1"/>
  <c r="AE400" i="63" s="1"/>
  <c r="AE401" i="63" s="1"/>
  <c r="AE402" i="63" s="1"/>
  <c r="AE403" i="63" s="1"/>
  <c r="AE404" i="63" s="1"/>
  <c r="AE405" i="63" s="1"/>
  <c r="AE406" i="63" s="1"/>
  <c r="AE407" i="63" s="1"/>
  <c r="AE408" i="63" s="1"/>
  <c r="AE409" i="63" s="1"/>
  <c r="AE410" i="63" s="1"/>
  <c r="AE411" i="63" s="1"/>
  <c r="AE412" i="63" s="1"/>
  <c r="AE413" i="63" s="1"/>
  <c r="AE414" i="63" s="1"/>
  <c r="AE415" i="63" s="1"/>
  <c r="AE416" i="63" s="1"/>
  <c r="AE417" i="63" s="1"/>
  <c r="AE418" i="63" s="1"/>
  <c r="AE419" i="63" s="1"/>
  <c r="AE420" i="63" s="1"/>
  <c r="AE421" i="63" s="1"/>
  <c r="AE422" i="63" s="1"/>
  <c r="AE423" i="63" s="1"/>
  <c r="AE424" i="63" s="1"/>
  <c r="AE425" i="63" s="1"/>
  <c r="AE426" i="63" s="1"/>
  <c r="AE427" i="63" s="1"/>
  <c r="AE428" i="63" s="1"/>
  <c r="AE429" i="63" s="1"/>
  <c r="AE430" i="63" s="1"/>
  <c r="AE431" i="63" s="1"/>
  <c r="AE432" i="63" s="1"/>
  <c r="AE433" i="63" s="1"/>
  <c r="AE434" i="63" s="1"/>
  <c r="AE435" i="63" s="1"/>
  <c r="AE436" i="63" s="1"/>
  <c r="AE437" i="63" s="1"/>
  <c r="AE438" i="63" s="1"/>
  <c r="AE439" i="63" s="1"/>
  <c r="AE440" i="63" s="1"/>
  <c r="AE441" i="63" s="1"/>
  <c r="AE442" i="63" s="1"/>
  <c r="AE443" i="63" s="1"/>
  <c r="AE444" i="63" s="1"/>
  <c r="AE445" i="63" s="1"/>
  <c r="AE446" i="63" s="1"/>
  <c r="AE447" i="63" s="1"/>
  <c r="AE448" i="63" s="1"/>
  <c r="AE449" i="63" s="1"/>
  <c r="AE450" i="63" s="1"/>
  <c r="AE451" i="63" s="1"/>
  <c r="AE452" i="63" s="1"/>
  <c r="AE453" i="63" s="1"/>
  <c r="AE454" i="63" s="1"/>
  <c r="AE455" i="63" s="1"/>
  <c r="AE456" i="63" s="1"/>
  <c r="AE457" i="63" s="1"/>
  <c r="AE458" i="63" s="1"/>
  <c r="AE459" i="63" s="1"/>
  <c r="AE460" i="63" s="1"/>
  <c r="AE461" i="63" s="1"/>
  <c r="AE462" i="63" s="1"/>
  <c r="AE463" i="63" s="1"/>
  <c r="AE464" i="63" s="1"/>
  <c r="AE465" i="63" s="1"/>
  <c r="AE466" i="63" s="1"/>
  <c r="AE467" i="63" s="1"/>
  <c r="AE468" i="63" s="1"/>
  <c r="AE469" i="63" s="1"/>
  <c r="AE470" i="63" s="1"/>
  <c r="AE471" i="63" s="1"/>
  <c r="AE472" i="63" s="1"/>
  <c r="AE473" i="63" s="1"/>
  <c r="AE474" i="63" s="1"/>
  <c r="AE475" i="63" s="1"/>
  <c r="AE476" i="63" s="1"/>
  <c r="AE477" i="63" s="1"/>
  <c r="AE478" i="63" s="1"/>
  <c r="AE479" i="63" s="1"/>
  <c r="AE480" i="63" s="1"/>
  <c r="AE481" i="63" s="1"/>
  <c r="AE482" i="63" s="1"/>
  <c r="AE483" i="63" s="1"/>
  <c r="AE484" i="63" s="1"/>
  <c r="AE485" i="63" s="1"/>
  <c r="AE486" i="63" s="1"/>
  <c r="AE487" i="63" s="1"/>
  <c r="AE488" i="63" s="1"/>
  <c r="AE489" i="63" s="1"/>
  <c r="AE490" i="63" s="1"/>
  <c r="AE491" i="63" s="1"/>
  <c r="AL59" i="63"/>
  <c r="T108" i="63"/>
  <c r="R109" i="63"/>
  <c r="P473" i="63" l="1"/>
  <c r="AM473" i="63"/>
  <c r="Z473" i="63"/>
  <c r="AF59" i="63"/>
  <c r="Y60" i="63"/>
  <c r="AA60" i="63"/>
  <c r="AP60" i="63" s="1"/>
  <c r="AJ59" i="63"/>
  <c r="AK59" i="63" s="1"/>
  <c r="AE492" i="63"/>
  <c r="AF491" i="63"/>
  <c r="AD494" i="63"/>
  <c r="R110" i="63"/>
  <c r="T109" i="63"/>
  <c r="U473" i="63" l="1"/>
  <c r="W473" i="63"/>
  <c r="AE493" i="63"/>
  <c r="AF492" i="63"/>
  <c r="AD495" i="63"/>
  <c r="AI60" i="63"/>
  <c r="AC60" i="63"/>
  <c r="AH60" i="63" s="1"/>
  <c r="R111" i="63"/>
  <c r="T110" i="63"/>
  <c r="AT473" i="63" l="1"/>
  <c r="N474" i="63"/>
  <c r="AU473" i="63"/>
  <c r="AV473" i="63"/>
  <c r="AO473" i="63"/>
  <c r="O474" i="63"/>
  <c r="AB60" i="63"/>
  <c r="AD496" i="63"/>
  <c r="AE494" i="63"/>
  <c r="AF493" i="63"/>
  <c r="R112" i="63"/>
  <c r="T111" i="63"/>
  <c r="AN474" i="63" l="1"/>
  <c r="AS474" i="63" s="1"/>
  <c r="AP474" i="63"/>
  <c r="Q474" i="63"/>
  <c r="V474" i="63" s="1"/>
  <c r="M474" i="63"/>
  <c r="L474" i="63" s="1"/>
  <c r="AE495" i="63"/>
  <c r="AF494" i="63"/>
  <c r="AD497" i="63"/>
  <c r="AF60" i="63"/>
  <c r="AG60" i="63"/>
  <c r="AL60" i="63"/>
  <c r="T112" i="63"/>
  <c r="R113" i="63"/>
  <c r="AM474" i="63" l="1"/>
  <c r="Z474" i="63"/>
  <c r="P474" i="63"/>
  <c r="AJ60" i="63"/>
  <c r="AK60" i="63" s="1"/>
  <c r="Y61" i="63"/>
  <c r="AA61" i="63"/>
  <c r="AP61" i="63" s="1"/>
  <c r="AD498" i="63"/>
  <c r="AE496" i="63"/>
  <c r="AF495" i="63"/>
  <c r="R114" i="63"/>
  <c r="T113" i="63"/>
  <c r="U474" i="63" l="1"/>
  <c r="W474" i="63"/>
  <c r="AE497" i="63"/>
  <c r="AF496" i="63"/>
  <c r="AD499" i="63"/>
  <c r="AI61" i="63"/>
  <c r="AC61" i="63"/>
  <c r="AH61" i="63" s="1"/>
  <c r="R115" i="63"/>
  <c r="T114" i="63"/>
  <c r="AT474" i="63" l="1"/>
  <c r="N475" i="63"/>
  <c r="AV474" i="63"/>
  <c r="O475" i="63"/>
  <c r="AO474" i="63"/>
  <c r="AU474" i="63"/>
  <c r="AB61" i="63"/>
  <c r="AD500" i="63"/>
  <c r="AE498" i="63"/>
  <c r="AF497" i="63"/>
  <c r="R116" i="63"/>
  <c r="T115" i="63"/>
  <c r="Q475" i="63" l="1"/>
  <c r="V475" i="63" s="1"/>
  <c r="M475" i="63"/>
  <c r="L475" i="63" s="1"/>
  <c r="AN475" i="63"/>
  <c r="AS475" i="63" s="1"/>
  <c r="AP475" i="63"/>
  <c r="AE499" i="63"/>
  <c r="AF498" i="63"/>
  <c r="AD501" i="63"/>
  <c r="AF61" i="63"/>
  <c r="AG61" i="63"/>
  <c r="AL61" i="63"/>
  <c r="T116" i="63"/>
  <c r="R117" i="63"/>
  <c r="P475" i="63" l="1"/>
  <c r="U475" i="63" s="1"/>
  <c r="Z475" i="63"/>
  <c r="AM475" i="63"/>
  <c r="AJ61" i="63"/>
  <c r="AK61" i="63" s="1"/>
  <c r="AA62" i="63"/>
  <c r="AP62" i="63" s="1"/>
  <c r="Y62" i="63"/>
  <c r="AD502" i="63"/>
  <c r="AE500" i="63"/>
  <c r="AF499" i="63"/>
  <c r="R118" i="63"/>
  <c r="T117" i="63"/>
  <c r="W475" i="63" l="1"/>
  <c r="AT475" i="63" s="1"/>
  <c r="AE501" i="63"/>
  <c r="AF500" i="63"/>
  <c r="AD503" i="63"/>
  <c r="AC62" i="63"/>
  <c r="AH62" i="63" s="1"/>
  <c r="AI62" i="63"/>
  <c r="R119" i="63"/>
  <c r="T118" i="63"/>
  <c r="O476" i="63" l="1"/>
  <c r="AP476" i="63" s="1"/>
  <c r="AO475" i="63"/>
  <c r="N476" i="63"/>
  <c r="AV475" i="63"/>
  <c r="AU475" i="63"/>
  <c r="AN476" i="63"/>
  <c r="AS476" i="63" s="1"/>
  <c r="Q476" i="63"/>
  <c r="V476" i="63" s="1"/>
  <c r="M476" i="63"/>
  <c r="L476" i="63" s="1"/>
  <c r="AB62" i="63"/>
  <c r="AD504" i="63"/>
  <c r="AE502" i="63"/>
  <c r="AF501" i="63"/>
  <c r="R120" i="63"/>
  <c r="T119" i="63"/>
  <c r="AM476" i="63" l="1"/>
  <c r="Z476" i="63"/>
  <c r="P476" i="63"/>
  <c r="AE503" i="63"/>
  <c r="AF502" i="63"/>
  <c r="AD505" i="63"/>
  <c r="AG62" i="63"/>
  <c r="AF62" i="63"/>
  <c r="AL62" i="63"/>
  <c r="T120" i="63"/>
  <c r="R121" i="63"/>
  <c r="U476" i="63" l="1"/>
  <c r="W476" i="63"/>
  <c r="AJ62" i="63"/>
  <c r="AK62" i="63" s="1"/>
  <c r="Y63" i="63"/>
  <c r="AA63" i="63"/>
  <c r="AP63" i="63" s="1"/>
  <c r="AD506" i="63"/>
  <c r="AE504" i="63"/>
  <c r="AF503" i="63"/>
  <c r="R122" i="63"/>
  <c r="T121" i="63"/>
  <c r="AU476" i="63" l="1"/>
  <c r="AT476" i="63"/>
  <c r="N477" i="63"/>
  <c r="AO476" i="63"/>
  <c r="O477" i="63"/>
  <c r="AV476" i="63"/>
  <c r="AE505" i="63"/>
  <c r="AF504" i="63"/>
  <c r="AD507" i="63"/>
  <c r="AI63" i="63"/>
  <c r="AC63" i="63"/>
  <c r="AH63" i="63" s="1"/>
  <c r="R123" i="63"/>
  <c r="T122" i="63"/>
  <c r="AP477" i="63" l="1"/>
  <c r="AN477" i="63"/>
  <c r="AS477" i="63" s="1"/>
  <c r="M477" i="63"/>
  <c r="L477" i="63" s="1"/>
  <c r="Q477" i="63"/>
  <c r="V477" i="63" s="1"/>
  <c r="AB63" i="63"/>
  <c r="AD508" i="63"/>
  <c r="AE506" i="63"/>
  <c r="AF505" i="63"/>
  <c r="R124" i="63"/>
  <c r="T123" i="63"/>
  <c r="P477" i="63" l="1"/>
  <c r="AM477" i="63"/>
  <c r="Z477" i="63"/>
  <c r="AE507" i="63"/>
  <c r="AF506" i="63"/>
  <c r="AD509" i="63"/>
  <c r="AF63" i="63"/>
  <c r="AG63" i="63"/>
  <c r="AL63" i="63"/>
  <c r="T124" i="63"/>
  <c r="R125" i="63"/>
  <c r="U477" i="63" l="1"/>
  <c r="W477" i="63"/>
  <c r="Y64" i="63"/>
  <c r="AA64" i="63"/>
  <c r="AP64" i="63" s="1"/>
  <c r="AJ63" i="63"/>
  <c r="AK63" i="63" s="1"/>
  <c r="AD510" i="63"/>
  <c r="AE508" i="63"/>
  <c r="AF507" i="63"/>
  <c r="R126" i="63"/>
  <c r="T125" i="63"/>
  <c r="O478" i="63" l="1"/>
  <c r="AO477" i="63"/>
  <c r="AT477" i="63"/>
  <c r="AV477" i="63"/>
  <c r="AU477" i="63"/>
  <c r="N478" i="63"/>
  <c r="AE509" i="63"/>
  <c r="AF508" i="63"/>
  <c r="AD511" i="63"/>
  <c r="AI64" i="63"/>
  <c r="AC64" i="63"/>
  <c r="AH64" i="63" s="1"/>
  <c r="R127" i="63"/>
  <c r="T126" i="63"/>
  <c r="Q478" i="63" l="1"/>
  <c r="V478" i="63" s="1"/>
  <c r="M478" i="63"/>
  <c r="L478" i="63" s="1"/>
  <c r="AN478" i="63"/>
  <c r="AS478" i="63" s="1"/>
  <c r="AP478" i="63"/>
  <c r="P478" i="63"/>
  <c r="AB64" i="63"/>
  <c r="AD512" i="63"/>
  <c r="AE510" i="63"/>
  <c r="AF509" i="63"/>
  <c r="R128" i="63"/>
  <c r="T127" i="63"/>
  <c r="U478" i="63" l="1"/>
  <c r="W478" i="63"/>
  <c r="AM478" i="63"/>
  <c r="Z478" i="63"/>
  <c r="AE511" i="63"/>
  <c r="AF510" i="63"/>
  <c r="AD513" i="63"/>
  <c r="AG64" i="63"/>
  <c r="AF64" i="63"/>
  <c r="AL64" i="63"/>
  <c r="T128" i="63"/>
  <c r="R129" i="63"/>
  <c r="O479" i="63" l="1"/>
  <c r="AT478" i="63"/>
  <c r="AV478" i="63"/>
  <c r="AU478" i="63"/>
  <c r="N479" i="63"/>
  <c r="AO478" i="63"/>
  <c r="AJ64" i="63"/>
  <c r="AK64" i="63" s="1"/>
  <c r="Y65" i="63"/>
  <c r="AA65" i="63"/>
  <c r="AP65" i="63" s="1"/>
  <c r="AD514" i="63"/>
  <c r="AE512" i="63"/>
  <c r="AF511" i="63"/>
  <c r="R130" i="63"/>
  <c r="T129" i="63"/>
  <c r="M479" i="63" l="1"/>
  <c r="L479" i="63" s="1"/>
  <c r="Q479" i="63"/>
  <c r="AN479" i="63"/>
  <c r="AS479" i="63" s="1"/>
  <c r="AP479" i="63"/>
  <c r="AD515" i="63"/>
  <c r="AI65" i="63"/>
  <c r="AC65" i="63"/>
  <c r="AH65" i="63" s="1"/>
  <c r="AE513" i="63"/>
  <c r="AF512" i="63"/>
  <c r="R131" i="63"/>
  <c r="T130" i="63"/>
  <c r="V479" i="63" l="1"/>
  <c r="P479" i="63"/>
  <c r="Z479" i="63"/>
  <c r="AM479" i="63"/>
  <c r="AE514" i="63"/>
  <c r="AF513" i="63"/>
  <c r="AB65" i="63"/>
  <c r="AD516" i="63"/>
  <c r="R132" i="63"/>
  <c r="T131" i="63"/>
  <c r="W479" i="63" l="1"/>
  <c r="U479" i="63"/>
  <c r="AD517" i="63"/>
  <c r="AF65" i="63"/>
  <c r="AG65" i="63"/>
  <c r="AL65" i="63"/>
  <c r="AE515" i="63"/>
  <c r="AF514" i="63"/>
  <c r="T132" i="63"/>
  <c r="R133" i="63"/>
  <c r="AT479" i="63" l="1"/>
  <c r="AO479" i="63"/>
  <c r="AV479" i="63"/>
  <c r="O480" i="63"/>
  <c r="N480" i="63"/>
  <c r="AU479" i="63"/>
  <c r="AJ65" i="63"/>
  <c r="AK65" i="63" s="1"/>
  <c r="Y66" i="63"/>
  <c r="AA66" i="63"/>
  <c r="AP66" i="63" s="1"/>
  <c r="AE516" i="63"/>
  <c r="AF515" i="63"/>
  <c r="AD518" i="63"/>
  <c r="R134" i="63"/>
  <c r="T133" i="63"/>
  <c r="M480" i="63" l="1"/>
  <c r="L480" i="63" s="1"/>
  <c r="Q480" i="63"/>
  <c r="V480" i="63" s="1"/>
  <c r="AP480" i="63"/>
  <c r="AN480" i="63"/>
  <c r="AS480" i="63" s="1"/>
  <c r="P480" i="63"/>
  <c r="U480" i="63" s="1"/>
  <c r="AD519" i="63"/>
  <c r="AE517" i="63"/>
  <c r="AF516" i="63"/>
  <c r="AC66" i="63"/>
  <c r="AH66" i="63" s="1"/>
  <c r="AI66" i="63"/>
  <c r="R135" i="63"/>
  <c r="T134" i="63"/>
  <c r="W480" i="63" l="1"/>
  <c r="AM480" i="63"/>
  <c r="Z480" i="63"/>
  <c r="AU480" i="63"/>
  <c r="AO480" i="63"/>
  <c r="N481" i="63"/>
  <c r="AV480" i="63"/>
  <c r="O481" i="63"/>
  <c r="AT480" i="63"/>
  <c r="AB66" i="63"/>
  <c r="AE518" i="63"/>
  <c r="AF517" i="63"/>
  <c r="AD520" i="63"/>
  <c r="R136" i="63"/>
  <c r="T135" i="63"/>
  <c r="AP481" i="63" l="1"/>
  <c r="AN481" i="63"/>
  <c r="AS481" i="63" s="1"/>
  <c r="Q481" i="63"/>
  <c r="V481" i="63" s="1"/>
  <c r="M481" i="63"/>
  <c r="L481" i="63" s="1"/>
  <c r="AD521" i="63"/>
  <c r="AE519" i="63"/>
  <c r="AF518" i="63"/>
  <c r="AF66" i="63"/>
  <c r="AG66" i="63"/>
  <c r="AL66" i="63"/>
  <c r="T136" i="63"/>
  <c r="R137" i="63"/>
  <c r="Z481" i="63" l="1"/>
  <c r="AM481" i="63"/>
  <c r="P481" i="63"/>
  <c r="AJ66" i="63"/>
  <c r="AK66" i="63" s="1"/>
  <c r="AA67" i="63"/>
  <c r="AP67" i="63" s="1"/>
  <c r="Y67" i="63"/>
  <c r="AE520" i="63"/>
  <c r="AF519" i="63"/>
  <c r="AD522" i="63"/>
  <c r="R138" i="63"/>
  <c r="T137" i="63"/>
  <c r="U481" i="63" l="1"/>
  <c r="W481" i="63"/>
  <c r="AI67" i="63"/>
  <c r="AD523" i="63"/>
  <c r="AE521" i="63"/>
  <c r="AF520" i="63"/>
  <c r="AC67" i="63"/>
  <c r="AH67" i="63" s="1"/>
  <c r="R139" i="63"/>
  <c r="T138" i="63"/>
  <c r="O482" i="63" l="1"/>
  <c r="AO481" i="63"/>
  <c r="AV481" i="63"/>
  <c r="AU481" i="63"/>
  <c r="N482" i="63"/>
  <c r="AT481" i="63"/>
  <c r="AE522" i="63"/>
  <c r="AF521" i="63"/>
  <c r="AB67" i="63"/>
  <c r="AD524" i="63"/>
  <c r="R140" i="63"/>
  <c r="T139" i="63"/>
  <c r="Q482" i="63" l="1"/>
  <c r="V482" i="63" s="1"/>
  <c r="M482" i="63"/>
  <c r="L482" i="63" s="1"/>
  <c r="AN482" i="63"/>
  <c r="AS482" i="63" s="1"/>
  <c r="AP482" i="63"/>
  <c r="P482" i="63"/>
  <c r="U482" i="63" s="1"/>
  <c r="AD525" i="63"/>
  <c r="AF67" i="63"/>
  <c r="AG67" i="63"/>
  <c r="AL67" i="63"/>
  <c r="AE523" i="63"/>
  <c r="AF522" i="63"/>
  <c r="T140" i="63"/>
  <c r="R141" i="63"/>
  <c r="Z482" i="63" l="1"/>
  <c r="AM482" i="63"/>
  <c r="W482" i="63"/>
  <c r="AE524" i="63"/>
  <c r="AF523" i="63"/>
  <c r="AJ67" i="63"/>
  <c r="AK67" i="63" s="1"/>
  <c r="Y68" i="63"/>
  <c r="AA68" i="63"/>
  <c r="AP68" i="63" s="1"/>
  <c r="AD526" i="63"/>
  <c r="R142" i="63"/>
  <c r="T141" i="63"/>
  <c r="AV482" i="63" l="1"/>
  <c r="O483" i="63"/>
  <c r="AU482" i="63"/>
  <c r="AT482" i="63"/>
  <c r="N483" i="63"/>
  <c r="AO482" i="63"/>
  <c r="AD527" i="63"/>
  <c r="AC68" i="63"/>
  <c r="AH68" i="63" s="1"/>
  <c r="AI68" i="63"/>
  <c r="AE525" i="63"/>
  <c r="AF524" i="63"/>
  <c r="R143" i="63"/>
  <c r="T142" i="63"/>
  <c r="M483" i="63" l="1"/>
  <c r="L483" i="63" s="1"/>
  <c r="Q483" i="63"/>
  <c r="V483" i="63" s="1"/>
  <c r="AP483" i="63"/>
  <c r="AN483" i="63"/>
  <c r="AS483" i="63" s="1"/>
  <c r="AB68" i="63"/>
  <c r="AG68" i="63" s="1"/>
  <c r="AE526" i="63"/>
  <c r="AF525" i="63"/>
  <c r="AD528" i="63"/>
  <c r="R144" i="63"/>
  <c r="T143" i="63"/>
  <c r="P483" i="63" l="1"/>
  <c r="U483" i="63" s="1"/>
  <c r="Z483" i="63"/>
  <c r="AM483" i="63"/>
  <c r="AF68" i="63"/>
  <c r="AL68" i="63"/>
  <c r="AA69" i="63" s="1"/>
  <c r="AP69" i="63" s="1"/>
  <c r="AD529" i="63"/>
  <c r="AE527" i="63"/>
  <c r="AF526" i="63"/>
  <c r="T144" i="63"/>
  <c r="R145" i="63"/>
  <c r="W483" i="63" l="1"/>
  <c r="AT483" i="63" s="1"/>
  <c r="Y69" i="63"/>
  <c r="AC69" i="63" s="1"/>
  <c r="AH69" i="63" s="1"/>
  <c r="AJ68" i="63"/>
  <c r="AK68" i="63" s="1"/>
  <c r="AE528" i="63"/>
  <c r="AF527" i="63"/>
  <c r="AD530" i="63"/>
  <c r="AI69" i="63"/>
  <c r="R146" i="63"/>
  <c r="T145" i="63"/>
  <c r="AU483" i="63" l="1"/>
  <c r="N484" i="63"/>
  <c r="Q484" i="63" s="1"/>
  <c r="V484" i="63" s="1"/>
  <c r="AV483" i="63"/>
  <c r="O484" i="63"/>
  <c r="AO483" i="63"/>
  <c r="AN484" i="63"/>
  <c r="AS484" i="63" s="1"/>
  <c r="AP484" i="63"/>
  <c r="M484" i="63"/>
  <c r="L484" i="63" s="1"/>
  <c r="AB69" i="63"/>
  <c r="AD531" i="63"/>
  <c r="AE529" i="63"/>
  <c r="AF528" i="63"/>
  <c r="R147" i="63"/>
  <c r="T146" i="63"/>
  <c r="AM484" i="63" l="1"/>
  <c r="Z484" i="63"/>
  <c r="P484" i="63"/>
  <c r="AE530" i="63"/>
  <c r="AF529" i="63"/>
  <c r="AD532" i="63"/>
  <c r="AG69" i="63"/>
  <c r="AF69" i="63"/>
  <c r="AL69" i="63"/>
  <c r="R148" i="63"/>
  <c r="T147" i="63"/>
  <c r="U484" i="63" l="1"/>
  <c r="W484" i="63"/>
  <c r="AJ69" i="63"/>
  <c r="AK69" i="63" s="1"/>
  <c r="AA70" i="63"/>
  <c r="AP70" i="63" s="1"/>
  <c r="Y70" i="63"/>
  <c r="AD533" i="63"/>
  <c r="AE531" i="63"/>
  <c r="AF530" i="63"/>
  <c r="T148" i="63"/>
  <c r="R149" i="63"/>
  <c r="O485" i="63" l="1"/>
  <c r="AT484" i="63"/>
  <c r="AV484" i="63"/>
  <c r="N485" i="63"/>
  <c r="AU484" i="63"/>
  <c r="AO484" i="63"/>
  <c r="AE532" i="63"/>
  <c r="AF531" i="63"/>
  <c r="AI70" i="63"/>
  <c r="AD534" i="63"/>
  <c r="AC70" i="63"/>
  <c r="AH70" i="63" s="1"/>
  <c r="R150" i="63"/>
  <c r="T149" i="63"/>
  <c r="Q485" i="63" l="1"/>
  <c r="V485" i="63" s="1"/>
  <c r="M485" i="63"/>
  <c r="L485" i="63" s="1"/>
  <c r="AP485" i="63"/>
  <c r="AN485" i="63"/>
  <c r="AS485" i="63" s="1"/>
  <c r="P485" i="63"/>
  <c r="U485" i="63" s="1"/>
  <c r="AD535" i="63"/>
  <c r="AB70" i="63"/>
  <c r="AE533" i="63"/>
  <c r="AF532" i="63"/>
  <c r="R151" i="63"/>
  <c r="T150" i="63"/>
  <c r="W485" i="63" l="1"/>
  <c r="AM485" i="63"/>
  <c r="Z485" i="63"/>
  <c r="AF70" i="63"/>
  <c r="AG70" i="63"/>
  <c r="AL70" i="63"/>
  <c r="AE534" i="63"/>
  <c r="AF533" i="63"/>
  <c r="AD536" i="63"/>
  <c r="R152" i="63"/>
  <c r="T151" i="63"/>
  <c r="AO485" i="63" l="1"/>
  <c r="N486" i="63"/>
  <c r="AV485" i="63"/>
  <c r="O486" i="63"/>
  <c r="AU485" i="63"/>
  <c r="AT485" i="63"/>
  <c r="AD537" i="63"/>
  <c r="AE535" i="63"/>
  <c r="AF534" i="63"/>
  <c r="AA71" i="63"/>
  <c r="AP71" i="63" s="1"/>
  <c r="AJ7" i="63" s="1"/>
  <c r="AJ70" i="63"/>
  <c r="AK70" i="63" s="1"/>
  <c r="Y71" i="63"/>
  <c r="AC71" i="63" s="1"/>
  <c r="AH71" i="63" s="1"/>
  <c r="T152" i="63"/>
  <c r="R153" i="63"/>
  <c r="Q486" i="63" l="1"/>
  <c r="V486" i="63" s="1"/>
  <c r="M486" i="63"/>
  <c r="L486" i="63" s="1"/>
  <c r="AN486" i="63"/>
  <c r="AS486" i="63" s="1"/>
  <c r="AP486" i="63"/>
  <c r="P486" i="63"/>
  <c r="U486" i="63" s="1"/>
  <c r="AJ8" i="63"/>
  <c r="I9" i="1"/>
  <c r="H10" i="1" s="1"/>
  <c r="I54" i="1" s="1"/>
  <c r="AI71" i="63"/>
  <c r="AB71" i="63"/>
  <c r="AE536" i="63"/>
  <c r="AF535" i="63"/>
  <c r="AD538" i="63"/>
  <c r="R154" i="63"/>
  <c r="T153" i="63"/>
  <c r="W486" i="63" l="1"/>
  <c r="Z486" i="63"/>
  <c r="AM486" i="63"/>
  <c r="I55" i="1"/>
  <c r="I57" i="1" s="1"/>
  <c r="AD539" i="63"/>
  <c r="AE537" i="63"/>
  <c r="AF536" i="63"/>
  <c r="AL71" i="63"/>
  <c r="AF71" i="63"/>
  <c r="AG71" i="63"/>
  <c r="R155" i="63"/>
  <c r="T154" i="63"/>
  <c r="O487" i="63" l="1"/>
  <c r="AV486" i="63"/>
  <c r="N487" i="63"/>
  <c r="AO486" i="63"/>
  <c r="AT486" i="63"/>
  <c r="AU486" i="63"/>
  <c r="Y72" i="63"/>
  <c r="AJ71" i="63"/>
  <c r="AK71" i="63" s="1"/>
  <c r="AA72" i="63"/>
  <c r="AP72" i="63" s="1"/>
  <c r="AE538" i="63"/>
  <c r="AF537" i="63"/>
  <c r="AD540" i="63"/>
  <c r="R156" i="63"/>
  <c r="T155" i="63"/>
  <c r="M487" i="63" l="1"/>
  <c r="L487" i="63" s="1"/>
  <c r="Q487" i="63"/>
  <c r="V487" i="63" s="1"/>
  <c r="AP487" i="63"/>
  <c r="AN487" i="63"/>
  <c r="AS487" i="63" s="1"/>
  <c r="AE539" i="63"/>
  <c r="AF538" i="63"/>
  <c r="AD541" i="63"/>
  <c r="AI72" i="63"/>
  <c r="AC72" i="63"/>
  <c r="AH72" i="63" s="1"/>
  <c r="T156" i="63"/>
  <c r="R157" i="63"/>
  <c r="AM487" i="63" l="1"/>
  <c r="Z487" i="63"/>
  <c r="P487" i="63"/>
  <c r="AB72" i="63"/>
  <c r="AD542" i="63"/>
  <c r="AE540" i="63"/>
  <c r="AF539" i="63"/>
  <c r="R158" i="63"/>
  <c r="T157" i="63"/>
  <c r="U487" i="63" l="1"/>
  <c r="W487" i="63"/>
  <c r="AE541" i="63"/>
  <c r="AF540" i="63"/>
  <c r="AD543" i="63"/>
  <c r="AF72" i="63"/>
  <c r="AG72" i="63"/>
  <c r="AL72" i="63"/>
  <c r="R159" i="63"/>
  <c r="T158" i="63"/>
  <c r="AV487" i="63" l="1"/>
  <c r="N488" i="63"/>
  <c r="O488" i="63"/>
  <c r="AT487" i="63"/>
  <c r="AU487" i="63"/>
  <c r="AO487" i="63"/>
  <c r="AJ72" i="63"/>
  <c r="AK72" i="63" s="1"/>
  <c r="Y73" i="63"/>
  <c r="AA73" i="63"/>
  <c r="AP73" i="63" s="1"/>
  <c r="AE542" i="63"/>
  <c r="AF541" i="63"/>
  <c r="R160" i="63"/>
  <c r="T159" i="63"/>
  <c r="AP488" i="63" l="1"/>
  <c r="AN488" i="63"/>
  <c r="AS488" i="63" s="1"/>
  <c r="M488" i="63"/>
  <c r="L488" i="63" s="1"/>
  <c r="Q488" i="63"/>
  <c r="V488" i="63" s="1"/>
  <c r="AI73" i="63"/>
  <c r="AE543" i="63"/>
  <c r="AF543" i="63" s="1"/>
  <c r="AF542" i="63"/>
  <c r="AC73" i="63"/>
  <c r="AH73" i="63" s="1"/>
  <c r="T160" i="63"/>
  <c r="R161" i="63"/>
  <c r="Z488" i="63" l="1"/>
  <c r="AM488" i="63"/>
  <c r="P488" i="63"/>
  <c r="AB73" i="63"/>
  <c r="R162" i="63"/>
  <c r="T161" i="63"/>
  <c r="U488" i="63" l="1"/>
  <c r="W488" i="63"/>
  <c r="AF73" i="63"/>
  <c r="AG73" i="63"/>
  <c r="AL73" i="63"/>
  <c r="R163" i="63"/>
  <c r="T162" i="63"/>
  <c r="AT488" i="63" l="1"/>
  <c r="O489" i="63"/>
  <c r="N489" i="63"/>
  <c r="AO488" i="63"/>
  <c r="AU488" i="63"/>
  <c r="AV488" i="63"/>
  <c r="Y74" i="63"/>
  <c r="AJ73" i="63"/>
  <c r="AK73" i="63" s="1"/>
  <c r="AA74" i="63"/>
  <c r="AP74" i="63" s="1"/>
  <c r="R164" i="63"/>
  <c r="T163" i="63"/>
  <c r="AP489" i="63" l="1"/>
  <c r="AN489" i="63"/>
  <c r="AS489" i="63" s="1"/>
  <c r="Q489" i="63"/>
  <c r="V489" i="63" s="1"/>
  <c r="M489" i="63"/>
  <c r="L489" i="63" s="1"/>
  <c r="AI74" i="63"/>
  <c r="AC74" i="63"/>
  <c r="AH74" i="63" s="1"/>
  <c r="T164" i="63"/>
  <c r="R165" i="63"/>
  <c r="P489" i="63" l="1"/>
  <c r="U489" i="63" s="1"/>
  <c r="AM489" i="63"/>
  <c r="Z489" i="63"/>
  <c r="W489" i="63"/>
  <c r="AB74" i="63"/>
  <c r="R166" i="63"/>
  <c r="T165" i="63"/>
  <c r="O490" i="63" l="1"/>
  <c r="N490" i="63"/>
  <c r="AT489" i="63"/>
  <c r="AU489" i="63"/>
  <c r="AO489" i="63"/>
  <c r="AV489" i="63"/>
  <c r="AG74" i="63"/>
  <c r="AF74" i="63"/>
  <c r="AL74" i="63"/>
  <c r="R167" i="63"/>
  <c r="T166" i="63"/>
  <c r="Q490" i="63" l="1"/>
  <c r="V490" i="63" s="1"/>
  <c r="M490" i="63"/>
  <c r="L490" i="63" s="1"/>
  <c r="AP490" i="63"/>
  <c r="AN490" i="63"/>
  <c r="AS490" i="63" s="1"/>
  <c r="AA75" i="63"/>
  <c r="AP75" i="63" s="1"/>
  <c r="Y75" i="63"/>
  <c r="AJ74" i="63"/>
  <c r="AK74" i="63" s="1"/>
  <c r="R168" i="63"/>
  <c r="T167" i="63"/>
  <c r="P490" i="63" l="1"/>
  <c r="U490" i="63" s="1"/>
  <c r="Z490" i="63"/>
  <c r="AM490" i="63"/>
  <c r="AC75" i="63"/>
  <c r="AH75" i="63" s="1"/>
  <c r="AI75" i="63"/>
  <c r="T168" i="63"/>
  <c r="R169" i="63"/>
  <c r="W490" i="63" l="1"/>
  <c r="AO490" i="63" s="1"/>
  <c r="AB75" i="63"/>
  <c r="AF75" i="63" s="1"/>
  <c r="R170" i="63"/>
  <c r="T169" i="63"/>
  <c r="AU490" i="63" l="1"/>
  <c r="AV490" i="63"/>
  <c r="AT490" i="63"/>
  <c r="AL75" i="63"/>
  <c r="AJ75" i="63" s="1"/>
  <c r="AK75" i="63" s="1"/>
  <c r="AG75" i="63"/>
  <c r="R171" i="63"/>
  <c r="T170" i="63"/>
  <c r="Y76" i="63" l="1"/>
  <c r="AC76" i="63" s="1"/>
  <c r="AH76" i="63" s="1"/>
  <c r="AA76" i="63"/>
  <c r="AP76" i="63" s="1"/>
  <c r="R172" i="63"/>
  <c r="T171" i="63"/>
  <c r="AI76" i="63" l="1"/>
  <c r="AB76" i="63"/>
  <c r="AF76" i="63" s="1"/>
  <c r="T172" i="63"/>
  <c r="R173" i="63"/>
  <c r="AL76" i="63" l="1"/>
  <c r="AJ76" i="63" s="1"/>
  <c r="AK76" i="63" s="1"/>
  <c r="AG76" i="63"/>
  <c r="R174" i="63"/>
  <c r="T173" i="63"/>
  <c r="AA77" i="63" l="1"/>
  <c r="AP77" i="63" s="1"/>
  <c r="Y77" i="63"/>
  <c r="AC77" i="63" s="1"/>
  <c r="AH77" i="63" s="1"/>
  <c r="R175" i="63"/>
  <c r="T174" i="63"/>
  <c r="AI77" i="63" l="1"/>
  <c r="AB77" i="63"/>
  <c r="R176" i="63"/>
  <c r="T175" i="63"/>
  <c r="AG77" i="63" l="1"/>
  <c r="AF77" i="63"/>
  <c r="AL77" i="63"/>
  <c r="T176" i="63"/>
  <c r="R177" i="63"/>
  <c r="AJ77" i="63" l="1"/>
  <c r="AK77" i="63" s="1"/>
  <c r="Y78" i="63"/>
  <c r="AC78" i="63" s="1"/>
  <c r="AH78" i="63" s="1"/>
  <c r="AA78" i="63"/>
  <c r="AP78" i="63" s="1"/>
  <c r="R178" i="63"/>
  <c r="T177" i="63"/>
  <c r="AB78" i="63" l="1"/>
  <c r="AI78" i="63"/>
  <c r="R179" i="63"/>
  <c r="T178" i="63"/>
  <c r="AL78" i="63" l="1"/>
  <c r="AF78" i="63"/>
  <c r="AG78" i="63"/>
  <c r="R180" i="63"/>
  <c r="T179" i="63"/>
  <c r="AJ78" i="63" l="1"/>
  <c r="AK78" i="63" s="1"/>
  <c r="AA79" i="63"/>
  <c r="AP79" i="63" s="1"/>
  <c r="Y79" i="63"/>
  <c r="T180" i="63"/>
  <c r="R181" i="63"/>
  <c r="AC79" i="63" l="1"/>
  <c r="AH79" i="63" s="1"/>
  <c r="AI79" i="63"/>
  <c r="R182" i="63"/>
  <c r="T181" i="63"/>
  <c r="AB79" i="63" l="1"/>
  <c r="AF79" i="63" s="1"/>
  <c r="R183" i="63"/>
  <c r="T182" i="63"/>
  <c r="AL79" i="63" l="1"/>
  <c r="AJ79" i="63" s="1"/>
  <c r="AK79" i="63" s="1"/>
  <c r="AG79" i="63"/>
  <c r="R184" i="63"/>
  <c r="T183" i="63"/>
  <c r="Y80" i="63" l="1"/>
  <c r="AC80" i="63" s="1"/>
  <c r="AH80" i="63" s="1"/>
  <c r="AA80" i="63"/>
  <c r="AP80" i="63" s="1"/>
  <c r="T184" i="63"/>
  <c r="R185" i="63"/>
  <c r="AI80" i="63" l="1"/>
  <c r="AB80" i="63"/>
  <c r="AF80" i="63" s="1"/>
  <c r="R186" i="63"/>
  <c r="T185" i="63"/>
  <c r="AL80" i="63" l="1"/>
  <c r="AJ80" i="63" s="1"/>
  <c r="AK80" i="63" s="1"/>
  <c r="AG80" i="63"/>
  <c r="R187" i="63"/>
  <c r="T186" i="63"/>
  <c r="AA81" i="63" l="1"/>
  <c r="AP81" i="63" s="1"/>
  <c r="Y81" i="63"/>
  <c r="AC81" i="63" s="1"/>
  <c r="AH81" i="63" s="1"/>
  <c r="R188" i="63"/>
  <c r="T187" i="63"/>
  <c r="AI81" i="63" l="1"/>
  <c r="AB81" i="63"/>
  <c r="T188" i="63"/>
  <c r="R189" i="63"/>
  <c r="AF81" i="63" l="1"/>
  <c r="AG81" i="63"/>
  <c r="AL81" i="63"/>
  <c r="R190" i="63"/>
  <c r="T189" i="63"/>
  <c r="AJ81" i="63" l="1"/>
  <c r="AK81" i="63" s="1"/>
  <c r="Y82" i="63"/>
  <c r="AA82" i="63"/>
  <c r="AP82" i="63" s="1"/>
  <c r="R191" i="63"/>
  <c r="T190" i="63"/>
  <c r="AI82" i="63" l="1"/>
  <c r="AC82" i="63"/>
  <c r="AH82" i="63" s="1"/>
  <c r="R192" i="63"/>
  <c r="T191" i="63"/>
  <c r="AB82" i="63" l="1"/>
  <c r="T192" i="63"/>
  <c r="R193" i="63"/>
  <c r="AF82" i="63" l="1"/>
  <c r="AG82" i="63"/>
  <c r="AL82" i="63"/>
  <c r="R194" i="63"/>
  <c r="T193" i="63"/>
  <c r="AJ82" i="63" l="1"/>
  <c r="AK82" i="63" s="1"/>
  <c r="AA83" i="63"/>
  <c r="AP83" i="63" s="1"/>
  <c r="Y83" i="63"/>
  <c r="R195" i="63"/>
  <c r="T194" i="63"/>
  <c r="AC83" i="63" l="1"/>
  <c r="AH83" i="63" s="1"/>
  <c r="AI83" i="63"/>
  <c r="R196" i="63"/>
  <c r="T195" i="63"/>
  <c r="AB83" i="63" l="1"/>
  <c r="AG83" i="63" s="1"/>
  <c r="T196" i="63"/>
  <c r="R197" i="63"/>
  <c r="AL83" i="63" l="1"/>
  <c r="AJ83" i="63" s="1"/>
  <c r="AK83" i="63" s="1"/>
  <c r="AF83" i="63"/>
  <c r="R198" i="63"/>
  <c r="T197" i="63"/>
  <c r="Y84" i="63" l="1"/>
  <c r="AC84" i="63" s="1"/>
  <c r="AH84" i="63" s="1"/>
  <c r="AA84" i="63"/>
  <c r="AP84" i="63" s="1"/>
  <c r="R199" i="63"/>
  <c r="T198" i="63"/>
  <c r="AI84" i="63" l="1"/>
  <c r="AB84" i="63"/>
  <c r="AL84" i="63" s="1"/>
  <c r="AJ84" i="63" s="1"/>
  <c r="R200" i="63"/>
  <c r="T199" i="63"/>
  <c r="AK84" i="63" l="1"/>
  <c r="AG84" i="63"/>
  <c r="AF84" i="63"/>
  <c r="AA85" i="63"/>
  <c r="AP85" i="63" s="1"/>
  <c r="Y85" i="63"/>
  <c r="AC85" i="63" s="1"/>
  <c r="AH85" i="63" s="1"/>
  <c r="T200" i="63"/>
  <c r="R201" i="63"/>
  <c r="AI85" i="63" l="1"/>
  <c r="AB85" i="63"/>
  <c r="R202" i="63"/>
  <c r="T201" i="63"/>
  <c r="AG85" i="63" l="1"/>
  <c r="AF85" i="63"/>
  <c r="AL85" i="63"/>
  <c r="R203" i="63"/>
  <c r="T202" i="63"/>
  <c r="AJ85" i="63" l="1"/>
  <c r="AK85" i="63" s="1"/>
  <c r="AA86" i="63"/>
  <c r="AP86" i="63" s="1"/>
  <c r="Y86" i="63"/>
  <c r="R204" i="63"/>
  <c r="T203" i="63"/>
  <c r="AC86" i="63" l="1"/>
  <c r="AH86" i="63" s="1"/>
  <c r="AI86" i="63"/>
  <c r="T204" i="63"/>
  <c r="R205" i="63"/>
  <c r="AB86" i="63" l="1"/>
  <c r="AL86" i="63" s="1"/>
  <c r="AA87" i="63" s="1"/>
  <c r="AP87" i="63" s="1"/>
  <c r="R206" i="63"/>
  <c r="T205" i="63"/>
  <c r="AF86" i="63" l="1"/>
  <c r="AG86" i="63"/>
  <c r="Y87" i="63"/>
  <c r="AC87" i="63" s="1"/>
  <c r="AH87" i="63" s="1"/>
  <c r="AJ86" i="63"/>
  <c r="AK86" i="63" s="1"/>
  <c r="AI87" i="63"/>
  <c r="R207" i="63"/>
  <c r="T206" i="63"/>
  <c r="AB87" i="63" l="1"/>
  <c r="AL87" i="63" s="1"/>
  <c r="AJ87" i="63" s="1"/>
  <c r="AK87" i="63" s="1"/>
  <c r="R208" i="63"/>
  <c r="T207" i="63"/>
  <c r="AF87" i="63" l="1"/>
  <c r="AG87" i="63"/>
  <c r="Y88" i="63"/>
  <c r="AA88" i="63"/>
  <c r="AP88" i="63" s="1"/>
  <c r="AC88" i="63"/>
  <c r="AH88" i="63" s="1"/>
  <c r="T208" i="63"/>
  <c r="R209" i="63"/>
  <c r="AI88" i="63" l="1"/>
  <c r="AB88" i="63"/>
  <c r="AF88" i="63" s="1"/>
  <c r="R210" i="63"/>
  <c r="T209" i="63"/>
  <c r="AL88" i="63" l="1"/>
  <c r="AJ88" i="63" s="1"/>
  <c r="AK88" i="63" s="1"/>
  <c r="AG88" i="63"/>
  <c r="R211" i="63"/>
  <c r="T210" i="63"/>
  <c r="AA89" i="63" l="1"/>
  <c r="AP89" i="63" s="1"/>
  <c r="Y89" i="63"/>
  <c r="AC89" i="63" s="1"/>
  <c r="AH89" i="63" s="1"/>
  <c r="R212" i="63"/>
  <c r="T211" i="63"/>
  <c r="AI89" i="63" l="1"/>
  <c r="AB89" i="63"/>
  <c r="T212" i="63"/>
  <c r="R213" i="63"/>
  <c r="AF89" i="63" l="1"/>
  <c r="AG89" i="63"/>
  <c r="AL89" i="63"/>
  <c r="R214" i="63"/>
  <c r="T213" i="63"/>
  <c r="AJ89" i="63" l="1"/>
  <c r="AK89" i="63" s="1"/>
  <c r="AA90" i="63"/>
  <c r="AP90" i="63" s="1"/>
  <c r="Y90" i="63"/>
  <c r="AC90" i="63" s="1"/>
  <c r="AH90" i="63" s="1"/>
  <c r="R215" i="63"/>
  <c r="T214" i="63"/>
  <c r="AI90" i="63" l="1"/>
  <c r="AB90" i="63"/>
  <c r="R216" i="63"/>
  <c r="T215" i="63"/>
  <c r="AL90" i="63" l="1"/>
  <c r="AF90" i="63"/>
  <c r="AG90" i="63"/>
  <c r="T216" i="63"/>
  <c r="R217" i="63"/>
  <c r="AJ90" i="63" l="1"/>
  <c r="AK90" i="63" s="1"/>
  <c r="Y91" i="63"/>
  <c r="AA91" i="63"/>
  <c r="AP91" i="63" s="1"/>
  <c r="R218" i="63"/>
  <c r="T217" i="63"/>
  <c r="AC91" i="63" l="1"/>
  <c r="AH91" i="63" s="1"/>
  <c r="AI91" i="63"/>
  <c r="R219" i="63"/>
  <c r="T218" i="63"/>
  <c r="AB91" i="63" l="1"/>
  <c r="AG91" i="63" s="1"/>
  <c r="R220" i="63"/>
  <c r="T219" i="63"/>
  <c r="AL91" i="63" l="1"/>
  <c r="AJ91" i="63" s="1"/>
  <c r="AK91" i="63" s="1"/>
  <c r="AF91" i="63"/>
  <c r="T220" i="63"/>
  <c r="R221" i="63"/>
  <c r="AA92" i="63" l="1"/>
  <c r="AP92" i="63" s="1"/>
  <c r="Y92" i="63"/>
  <c r="AC92" i="63" s="1"/>
  <c r="AH92" i="63" s="1"/>
  <c r="R222" i="63"/>
  <c r="T221" i="63"/>
  <c r="AI92" i="63" l="1"/>
  <c r="AB92" i="63"/>
  <c r="R223" i="63"/>
  <c r="T222" i="63"/>
  <c r="AF92" i="63" l="1"/>
  <c r="AG92" i="63"/>
  <c r="AL92" i="63"/>
  <c r="R224" i="63"/>
  <c r="T223" i="63"/>
  <c r="AJ92" i="63" l="1"/>
  <c r="AK92" i="63" s="1"/>
  <c r="Y93" i="63"/>
  <c r="AA93" i="63"/>
  <c r="AP93" i="63" s="1"/>
  <c r="T224" i="63"/>
  <c r="R225" i="63"/>
  <c r="AC93" i="63" l="1"/>
  <c r="AH93" i="63" s="1"/>
  <c r="AI93" i="63"/>
  <c r="R226" i="63"/>
  <c r="T225" i="63"/>
  <c r="AB93" i="63" l="1"/>
  <c r="AL93" i="63" s="1"/>
  <c r="AJ93" i="63" s="1"/>
  <c r="AK93" i="63" s="1"/>
  <c r="R227" i="63"/>
  <c r="T226" i="63"/>
  <c r="AF93" i="63" l="1"/>
  <c r="AG93" i="63"/>
  <c r="Y94" i="63"/>
  <c r="AC94" i="63" s="1"/>
  <c r="AH94" i="63" s="1"/>
  <c r="AA94" i="63"/>
  <c r="AP94" i="63" s="1"/>
  <c r="R228" i="63"/>
  <c r="T227" i="63"/>
  <c r="AB94" i="63" l="1"/>
  <c r="AL94" i="63" s="1"/>
  <c r="AI94" i="63"/>
  <c r="T228" i="63"/>
  <c r="R229" i="63"/>
  <c r="AF94" i="63" l="1"/>
  <c r="AG94" i="63"/>
  <c r="AJ94" i="63"/>
  <c r="AK94" i="63" s="1"/>
  <c r="Y95" i="63"/>
  <c r="AA95" i="63"/>
  <c r="AP95" i="63" s="1"/>
  <c r="R230" i="63"/>
  <c r="T229" i="63"/>
  <c r="AC95" i="63" l="1"/>
  <c r="AH95" i="63" s="1"/>
  <c r="AI95" i="63"/>
  <c r="R231" i="63"/>
  <c r="T230" i="63"/>
  <c r="AB95" i="63" l="1"/>
  <c r="AL95" i="63" s="1"/>
  <c r="AJ95" i="63" s="1"/>
  <c r="AK95" i="63" s="1"/>
  <c r="R232" i="63"/>
  <c r="T231" i="63"/>
  <c r="AF95" i="63" l="1"/>
  <c r="AA96" i="63"/>
  <c r="AP96" i="63" s="1"/>
  <c r="AG95" i="63"/>
  <c r="Y96" i="63"/>
  <c r="AC96" i="63" s="1"/>
  <c r="AH96" i="63" s="1"/>
  <c r="T232" i="63"/>
  <c r="R233" i="63"/>
  <c r="AI96" i="63" l="1"/>
  <c r="AB96" i="63"/>
  <c r="AL96" i="63" s="1"/>
  <c r="R234" i="63"/>
  <c r="T233" i="63"/>
  <c r="AG96" i="63" l="1"/>
  <c r="AF96" i="63"/>
  <c r="AJ96" i="63"/>
  <c r="AK96" i="63" s="1"/>
  <c r="Y97" i="63"/>
  <c r="AA97" i="63"/>
  <c r="AP97" i="63" s="1"/>
  <c r="R235" i="63"/>
  <c r="T234" i="63"/>
  <c r="AC97" i="63" l="1"/>
  <c r="AH97" i="63" s="1"/>
  <c r="AI97" i="63"/>
  <c r="R236" i="63"/>
  <c r="T235" i="63"/>
  <c r="AB97" i="63" l="1"/>
  <c r="AG97" i="63" s="1"/>
  <c r="T236" i="63"/>
  <c r="R237" i="63"/>
  <c r="AL97" i="63" l="1"/>
  <c r="AJ97" i="63" s="1"/>
  <c r="AK97" i="63" s="1"/>
  <c r="AF97" i="63"/>
  <c r="R238" i="63"/>
  <c r="T237" i="63"/>
  <c r="AA98" i="63" l="1"/>
  <c r="AP98" i="63" s="1"/>
  <c r="Y98" i="63"/>
  <c r="AC98" i="63" s="1"/>
  <c r="AH98" i="63" s="1"/>
  <c r="R239" i="63"/>
  <c r="T238" i="63"/>
  <c r="AI98" i="63" l="1"/>
  <c r="AB98" i="63"/>
  <c r="AL98" i="63" s="1"/>
  <c r="Y99" i="63" s="1"/>
  <c r="R240" i="63"/>
  <c r="T239" i="63"/>
  <c r="AG98" i="63" l="1"/>
  <c r="AF98" i="63"/>
  <c r="AA99" i="63"/>
  <c r="AP99" i="63" s="1"/>
  <c r="AJ98" i="63"/>
  <c r="AK98" i="63" s="1"/>
  <c r="AC99" i="63"/>
  <c r="AH99" i="63" s="1"/>
  <c r="T240" i="63"/>
  <c r="R241" i="63"/>
  <c r="AI99" i="63" l="1"/>
  <c r="AB99" i="63"/>
  <c r="R242" i="63"/>
  <c r="T241" i="63"/>
  <c r="AF99" i="63" l="1"/>
  <c r="AG99" i="63"/>
  <c r="AL99" i="63"/>
  <c r="R243" i="63"/>
  <c r="T242" i="63"/>
  <c r="AJ99" i="63" l="1"/>
  <c r="AK99" i="63" s="1"/>
  <c r="AA100" i="63"/>
  <c r="AP100" i="63" s="1"/>
  <c r="Y100" i="63"/>
  <c r="R244" i="63"/>
  <c r="T243" i="63"/>
  <c r="AI100" i="63" l="1"/>
  <c r="AC100" i="63"/>
  <c r="AH100" i="63" s="1"/>
  <c r="T244" i="63"/>
  <c r="R245" i="63"/>
  <c r="AB100" i="63" l="1"/>
  <c r="R246" i="63"/>
  <c r="T245" i="63"/>
  <c r="AF100" i="63" l="1"/>
  <c r="AG100" i="63"/>
  <c r="AL100" i="63"/>
  <c r="R247" i="63"/>
  <c r="T246" i="63"/>
  <c r="AJ100" i="63" l="1"/>
  <c r="AK100" i="63" s="1"/>
  <c r="Y101" i="63"/>
  <c r="AA101" i="63"/>
  <c r="AP101" i="63" s="1"/>
  <c r="R248" i="63"/>
  <c r="T247" i="63"/>
  <c r="AC101" i="63" l="1"/>
  <c r="AH101" i="63" s="1"/>
  <c r="AI101" i="63"/>
  <c r="T248" i="63"/>
  <c r="R249" i="63"/>
  <c r="AB101" i="63" l="1"/>
  <c r="AG101" i="63" s="1"/>
  <c r="R250" i="63"/>
  <c r="T249" i="63"/>
  <c r="AL101" i="63" l="1"/>
  <c r="AA102" i="63" s="1"/>
  <c r="AP102" i="63" s="1"/>
  <c r="AF101" i="63"/>
  <c r="R251" i="63"/>
  <c r="T250" i="63"/>
  <c r="Y102" i="63" l="1"/>
  <c r="AC102" i="63" s="1"/>
  <c r="AH102" i="63" s="1"/>
  <c r="AJ101" i="63"/>
  <c r="AK101" i="63" s="1"/>
  <c r="AI102" i="63"/>
  <c r="R252" i="63"/>
  <c r="T251" i="63"/>
  <c r="AB102" i="63" l="1"/>
  <c r="AG102" i="63" s="1"/>
  <c r="T252" i="63"/>
  <c r="R253" i="63"/>
  <c r="AL102" i="63" l="1"/>
  <c r="AJ102" i="63" s="1"/>
  <c r="AK102" i="63" s="1"/>
  <c r="AF102" i="63"/>
  <c r="R254" i="63"/>
  <c r="T253" i="63"/>
  <c r="AA103" i="63" l="1"/>
  <c r="AP103" i="63" s="1"/>
  <c r="Y103" i="63"/>
  <c r="AC103" i="63" s="1"/>
  <c r="AH103" i="63" s="1"/>
  <c r="R255" i="63"/>
  <c r="T254" i="63"/>
  <c r="AI103" i="63" l="1"/>
  <c r="AB103" i="63"/>
  <c r="AF103" i="63" s="1"/>
  <c r="R256" i="63"/>
  <c r="T255" i="63"/>
  <c r="AL103" i="63" l="1"/>
  <c r="AJ103" i="63" s="1"/>
  <c r="AK103" i="63" s="1"/>
  <c r="AG103" i="63"/>
  <c r="T256" i="63"/>
  <c r="R257" i="63"/>
  <c r="AA104" i="63" l="1"/>
  <c r="AP104" i="63" s="1"/>
  <c r="Y104" i="63"/>
  <c r="AC104" i="63" s="1"/>
  <c r="AH104" i="63" s="1"/>
  <c r="R258" i="63"/>
  <c r="T257" i="63"/>
  <c r="AI104" i="63" l="1"/>
  <c r="AB104" i="63"/>
  <c r="AL104" i="63" s="1"/>
  <c r="AJ104" i="63" s="1"/>
  <c r="R259" i="63"/>
  <c r="T258" i="63"/>
  <c r="AK104" i="63" l="1"/>
  <c r="AF104" i="63"/>
  <c r="AG104" i="63"/>
  <c r="AA105" i="63"/>
  <c r="AP105" i="63" s="1"/>
  <c r="Y105" i="63"/>
  <c r="AC105" i="63" s="1"/>
  <c r="AH105" i="63" s="1"/>
  <c r="R260" i="63"/>
  <c r="T259" i="63"/>
  <c r="AI105" i="63" l="1"/>
  <c r="AB105" i="63"/>
  <c r="AF105" i="63" s="1"/>
  <c r="T260" i="63"/>
  <c r="R261" i="63"/>
  <c r="AG105" i="63" l="1"/>
  <c r="AL105" i="63"/>
  <c r="AJ105" i="63" s="1"/>
  <c r="AK105" i="63" s="1"/>
  <c r="R262" i="63"/>
  <c r="T261" i="63"/>
  <c r="AA106" i="63" l="1"/>
  <c r="AP106" i="63" s="1"/>
  <c r="Y106" i="63"/>
  <c r="AC106" i="63" s="1"/>
  <c r="AH106" i="63" s="1"/>
  <c r="R263" i="63"/>
  <c r="T262" i="63"/>
  <c r="AI106" i="63" l="1"/>
  <c r="AB106" i="63"/>
  <c r="R264" i="63"/>
  <c r="T263" i="63"/>
  <c r="AG106" i="63" l="1"/>
  <c r="AF106" i="63"/>
  <c r="AL106" i="63"/>
  <c r="T264" i="63"/>
  <c r="R265" i="63"/>
  <c r="AJ106" i="63" l="1"/>
  <c r="AK106" i="63" s="1"/>
  <c r="Y107" i="63"/>
  <c r="AA107" i="63"/>
  <c r="AP107" i="63" s="1"/>
  <c r="R266" i="63"/>
  <c r="T265" i="63"/>
  <c r="AC107" i="63" l="1"/>
  <c r="AH107" i="63" s="1"/>
  <c r="AI107" i="63"/>
  <c r="R267" i="63"/>
  <c r="T266" i="63"/>
  <c r="AB107" i="63" l="1"/>
  <c r="AL107" i="63" s="1"/>
  <c r="AJ107" i="63" s="1"/>
  <c r="AK107" i="63" s="1"/>
  <c r="R268" i="63"/>
  <c r="T267" i="63"/>
  <c r="AF107" i="63" l="1"/>
  <c r="AG107" i="63"/>
  <c r="AA108" i="63"/>
  <c r="AP108" i="63" s="1"/>
  <c r="Y108" i="63"/>
  <c r="AC108" i="63" s="1"/>
  <c r="AH108" i="63" s="1"/>
  <c r="T268" i="63"/>
  <c r="R269" i="63"/>
  <c r="AI108" i="63" l="1"/>
  <c r="AB108" i="63"/>
  <c r="AL108" i="63" s="1"/>
  <c r="AJ108" i="63" s="1"/>
  <c r="R270" i="63"/>
  <c r="T269" i="63"/>
  <c r="AK108" i="63" l="1"/>
  <c r="AG108" i="63"/>
  <c r="AF108" i="63"/>
  <c r="AA109" i="63"/>
  <c r="AP109" i="63" s="1"/>
  <c r="Y109" i="63"/>
  <c r="AC109" i="63" s="1"/>
  <c r="AH109" i="63" s="1"/>
  <c r="R271" i="63"/>
  <c r="T270" i="63"/>
  <c r="AI109" i="63" l="1"/>
  <c r="AB109" i="63"/>
  <c r="R272" i="63"/>
  <c r="T271" i="63"/>
  <c r="AF109" i="63" l="1"/>
  <c r="AG109" i="63"/>
  <c r="AL109" i="63"/>
  <c r="T272" i="63"/>
  <c r="R273" i="63"/>
  <c r="AJ109" i="63" l="1"/>
  <c r="AK109" i="63" s="1"/>
  <c r="Y110" i="63"/>
  <c r="AA110" i="63"/>
  <c r="AP110" i="63" s="1"/>
  <c r="R274" i="63"/>
  <c r="T273" i="63"/>
  <c r="AC110" i="63" l="1"/>
  <c r="AH110" i="63" s="1"/>
  <c r="AI110" i="63"/>
  <c r="R275" i="63"/>
  <c r="T274" i="63"/>
  <c r="AB110" i="63" l="1"/>
  <c r="AL110" i="63" s="1"/>
  <c r="AJ110" i="63" s="1"/>
  <c r="AK110" i="63" s="1"/>
  <c r="R276" i="63"/>
  <c r="T275" i="63"/>
  <c r="AG110" i="63" l="1"/>
  <c r="AF110" i="63"/>
  <c r="AA111" i="63"/>
  <c r="AP111" i="63" s="1"/>
  <c r="Y111" i="63"/>
  <c r="AC111" i="63" s="1"/>
  <c r="AH111" i="63" s="1"/>
  <c r="T276" i="63"/>
  <c r="R277" i="63"/>
  <c r="AI111" i="63" l="1"/>
  <c r="AB111" i="63"/>
  <c r="AG111" i="63" s="1"/>
  <c r="R278" i="63"/>
  <c r="T277" i="63"/>
  <c r="AF111" i="63" l="1"/>
  <c r="AL111" i="63"/>
  <c r="Y112" i="63" s="1"/>
  <c r="R279" i="63"/>
  <c r="T278" i="63"/>
  <c r="AA112" i="63" l="1"/>
  <c r="AP112" i="63" s="1"/>
  <c r="AJ111" i="63"/>
  <c r="AK111" i="63" s="1"/>
  <c r="AC112" i="63"/>
  <c r="AH112" i="63" s="1"/>
  <c r="R280" i="63"/>
  <c r="T279" i="63"/>
  <c r="AI112" i="63" l="1"/>
  <c r="AB112" i="63"/>
  <c r="T280" i="63"/>
  <c r="R281" i="63"/>
  <c r="AG112" i="63" l="1"/>
  <c r="AF112" i="63"/>
  <c r="AL112" i="63"/>
  <c r="R282" i="63"/>
  <c r="T281" i="63"/>
  <c r="AJ112" i="63" l="1"/>
  <c r="AK112" i="63" s="1"/>
  <c r="Y113" i="63"/>
  <c r="AA113" i="63"/>
  <c r="AP113" i="63" s="1"/>
  <c r="R283" i="63"/>
  <c r="T282" i="63"/>
  <c r="AI113" i="63" l="1"/>
  <c r="AC113" i="63"/>
  <c r="AH113" i="63" s="1"/>
  <c r="R284" i="63"/>
  <c r="T283" i="63"/>
  <c r="AB113" i="63" l="1"/>
  <c r="T284" i="63"/>
  <c r="R285" i="63"/>
  <c r="AG113" i="63" l="1"/>
  <c r="AF113" i="63"/>
  <c r="AL113" i="63"/>
  <c r="R286" i="63"/>
  <c r="T285" i="63"/>
  <c r="AJ113" i="63" l="1"/>
  <c r="AK113" i="63" s="1"/>
  <c r="Y114" i="63"/>
  <c r="AA114" i="63"/>
  <c r="AP114" i="63" s="1"/>
  <c r="R287" i="63"/>
  <c r="T286" i="63"/>
  <c r="AI114" i="63" l="1"/>
  <c r="AC114" i="63"/>
  <c r="AH114" i="63" s="1"/>
  <c r="R288" i="63"/>
  <c r="T287" i="63"/>
  <c r="AB114" i="63" l="1"/>
  <c r="T288" i="63"/>
  <c r="R289" i="63"/>
  <c r="AF114" i="63" l="1"/>
  <c r="AG114" i="63"/>
  <c r="AL114" i="63"/>
  <c r="R290" i="63"/>
  <c r="T289" i="63"/>
  <c r="AJ114" i="63" l="1"/>
  <c r="AK114" i="63" s="1"/>
  <c r="Y115" i="63"/>
  <c r="AA115" i="63"/>
  <c r="AP115" i="63" s="1"/>
  <c r="R291" i="63"/>
  <c r="T290" i="63"/>
  <c r="AI115" i="63" l="1"/>
  <c r="AC115" i="63"/>
  <c r="AH115" i="63" s="1"/>
  <c r="R292" i="63"/>
  <c r="T291" i="63"/>
  <c r="AB115" i="63" l="1"/>
  <c r="T292" i="63"/>
  <c r="R293" i="63"/>
  <c r="AG115" i="63" l="1"/>
  <c r="AF115" i="63"/>
  <c r="AL115" i="63"/>
  <c r="R294" i="63"/>
  <c r="T293" i="63"/>
  <c r="AJ115" i="63" l="1"/>
  <c r="AK115" i="63" s="1"/>
  <c r="Y116" i="63"/>
  <c r="AA116" i="63"/>
  <c r="AP116" i="63" s="1"/>
  <c r="R295" i="63"/>
  <c r="T294" i="63"/>
  <c r="AI116" i="63" l="1"/>
  <c r="AC116" i="63"/>
  <c r="AH116" i="63" s="1"/>
  <c r="R296" i="63"/>
  <c r="T295" i="63"/>
  <c r="AB116" i="63" l="1"/>
  <c r="T296" i="63"/>
  <c r="R297" i="63"/>
  <c r="AG116" i="63" l="1"/>
  <c r="AF116" i="63"/>
  <c r="AL116" i="63"/>
  <c r="R298" i="63"/>
  <c r="T297" i="63"/>
  <c r="AJ116" i="63" l="1"/>
  <c r="AK116" i="63" s="1"/>
  <c r="Y117" i="63"/>
  <c r="AA117" i="63"/>
  <c r="AP117" i="63" s="1"/>
  <c r="R299" i="63"/>
  <c r="T298" i="63"/>
  <c r="AI117" i="63" l="1"/>
  <c r="AC117" i="63"/>
  <c r="AH117" i="63" s="1"/>
  <c r="R300" i="63"/>
  <c r="T299" i="63"/>
  <c r="AB117" i="63" l="1"/>
  <c r="T300" i="63"/>
  <c r="R301" i="63"/>
  <c r="AF117" i="63" l="1"/>
  <c r="AG117" i="63"/>
  <c r="AL117" i="63"/>
  <c r="R302" i="63"/>
  <c r="T301" i="63"/>
  <c r="AJ117" i="63" l="1"/>
  <c r="AK117" i="63" s="1"/>
  <c r="Y118" i="63"/>
  <c r="AA118" i="63"/>
  <c r="AP118" i="63" s="1"/>
  <c r="R303" i="63"/>
  <c r="T302" i="63"/>
  <c r="AI118" i="63" l="1"/>
  <c r="AC118" i="63"/>
  <c r="AH118" i="63" s="1"/>
  <c r="R304" i="63"/>
  <c r="T303" i="63"/>
  <c r="AB118" i="63" l="1"/>
  <c r="T304" i="63"/>
  <c r="R305" i="63"/>
  <c r="AF118" i="63" l="1"/>
  <c r="AG118" i="63"/>
  <c r="AL118" i="63"/>
  <c r="R306" i="63"/>
  <c r="T305" i="63"/>
  <c r="AJ118" i="63" l="1"/>
  <c r="AK118" i="63" s="1"/>
  <c r="Y119" i="63"/>
  <c r="AC119" i="63" s="1"/>
  <c r="AH119" i="63" s="1"/>
  <c r="R307" i="63"/>
  <c r="T306" i="63"/>
  <c r="R308" i="63" l="1"/>
  <c r="T307" i="63"/>
  <c r="T308" i="63" l="1"/>
  <c r="R309" i="63"/>
  <c r="R310" i="63" l="1"/>
  <c r="T309" i="63"/>
  <c r="R311" i="63" l="1"/>
  <c r="T310" i="63"/>
  <c r="R312" i="63" l="1"/>
  <c r="T311" i="63"/>
  <c r="T312" i="63" l="1"/>
  <c r="R313" i="63"/>
  <c r="R314" i="63" l="1"/>
  <c r="T313" i="63"/>
  <c r="R315" i="63" l="1"/>
  <c r="T314" i="63"/>
  <c r="R316" i="63" l="1"/>
  <c r="T315" i="63"/>
  <c r="T316" i="63" l="1"/>
  <c r="R317" i="63"/>
  <c r="R318" i="63" l="1"/>
  <c r="T317" i="63"/>
  <c r="R319" i="63" l="1"/>
  <c r="T318" i="63"/>
  <c r="R320" i="63" l="1"/>
  <c r="T319" i="63"/>
  <c r="T320" i="63" l="1"/>
  <c r="R321" i="63"/>
  <c r="R322" i="63" l="1"/>
  <c r="T321" i="63"/>
  <c r="R323" i="63" l="1"/>
  <c r="T322" i="63"/>
  <c r="R324" i="63" l="1"/>
  <c r="T323" i="63"/>
  <c r="T324" i="63" l="1"/>
  <c r="R325" i="63"/>
  <c r="R326" i="63" l="1"/>
  <c r="T325" i="63"/>
  <c r="R327" i="63" l="1"/>
  <c r="T326" i="63"/>
  <c r="R328" i="63" l="1"/>
  <c r="T327" i="63"/>
  <c r="T328" i="63" l="1"/>
  <c r="R329" i="63"/>
  <c r="R330" i="63" l="1"/>
  <c r="T329" i="63"/>
  <c r="R331" i="63" l="1"/>
  <c r="T330" i="63"/>
  <c r="R332" i="63" l="1"/>
  <c r="T331" i="63"/>
  <c r="T332" i="63" l="1"/>
  <c r="R333" i="63"/>
  <c r="R334" i="63" l="1"/>
  <c r="T333" i="63"/>
  <c r="R335" i="63" l="1"/>
  <c r="T334" i="63"/>
  <c r="R336" i="63" l="1"/>
  <c r="T335" i="63"/>
  <c r="T336" i="63" l="1"/>
  <c r="R337" i="63"/>
  <c r="R338" i="63" l="1"/>
  <c r="T337" i="63"/>
  <c r="R339" i="63" l="1"/>
  <c r="T338" i="63"/>
  <c r="R340" i="63" l="1"/>
  <c r="T339" i="63"/>
  <c r="T340" i="63" l="1"/>
  <c r="R341" i="63"/>
  <c r="R342" i="63" l="1"/>
  <c r="T341" i="63"/>
  <c r="R343" i="63" l="1"/>
  <c r="T342" i="63"/>
  <c r="R344" i="63" l="1"/>
  <c r="T343" i="63"/>
  <c r="T344" i="63" l="1"/>
  <c r="R345" i="63"/>
  <c r="R346" i="63" l="1"/>
  <c r="T345" i="63"/>
  <c r="R347" i="63" l="1"/>
  <c r="T346" i="63"/>
  <c r="R348" i="63" l="1"/>
  <c r="T347" i="63"/>
  <c r="T348" i="63" l="1"/>
  <c r="R349" i="63"/>
  <c r="R350" i="63" l="1"/>
  <c r="T349" i="63"/>
  <c r="R351" i="63" l="1"/>
  <c r="T350" i="63"/>
  <c r="R352" i="63" l="1"/>
  <c r="T351" i="63"/>
  <c r="T352" i="63" l="1"/>
  <c r="R353" i="63"/>
  <c r="R354" i="63" l="1"/>
  <c r="T353" i="63"/>
  <c r="R355" i="63" l="1"/>
  <c r="T354" i="63"/>
  <c r="R356" i="63" l="1"/>
  <c r="T355" i="63"/>
  <c r="T356" i="63" l="1"/>
  <c r="R357" i="63"/>
  <c r="R358" i="63" l="1"/>
  <c r="T357" i="63"/>
  <c r="R359" i="63" l="1"/>
  <c r="T358" i="63"/>
  <c r="R360" i="63" l="1"/>
  <c r="T359" i="63"/>
  <c r="T360" i="63" l="1"/>
  <c r="R361" i="63"/>
  <c r="R362" i="63" l="1"/>
  <c r="T361" i="63"/>
  <c r="R363" i="63" l="1"/>
  <c r="T362" i="63"/>
  <c r="R364" i="63" l="1"/>
  <c r="T363" i="63"/>
  <c r="T364" i="63" l="1"/>
  <c r="R365" i="63"/>
  <c r="R366" i="63" l="1"/>
  <c r="T365" i="63"/>
  <c r="R367" i="63" l="1"/>
  <c r="T366" i="63"/>
  <c r="R368" i="63" l="1"/>
  <c r="T367" i="63"/>
  <c r="T368" i="63" l="1"/>
  <c r="R369" i="63"/>
  <c r="R370" i="63" l="1"/>
  <c r="T369" i="63"/>
  <c r="R371" i="63" l="1"/>
  <c r="T370" i="63"/>
  <c r="R372" i="63" l="1"/>
  <c r="T371" i="63"/>
  <c r="T372" i="63" l="1"/>
  <c r="R373" i="63"/>
  <c r="R374" i="63" l="1"/>
  <c r="T373" i="63"/>
  <c r="R375" i="63" l="1"/>
  <c r="T374" i="63"/>
  <c r="R376" i="63" l="1"/>
  <c r="T375" i="63"/>
  <c r="T376" i="63" l="1"/>
  <c r="R377" i="63"/>
  <c r="R378" i="63" l="1"/>
  <c r="T377" i="63"/>
  <c r="R379" i="63" l="1"/>
  <c r="T378" i="63"/>
  <c r="R380" i="63" l="1"/>
  <c r="T379" i="63"/>
  <c r="T380" i="63" l="1"/>
  <c r="R381" i="63"/>
  <c r="R382" i="63" l="1"/>
  <c r="T381" i="63"/>
  <c r="R383" i="63" l="1"/>
  <c r="T382" i="63"/>
  <c r="R384" i="63" l="1"/>
  <c r="T383" i="63"/>
  <c r="T384" i="63" l="1"/>
  <c r="R385" i="63"/>
  <c r="R386" i="63" l="1"/>
  <c r="T385" i="63"/>
  <c r="R387" i="63" l="1"/>
  <c r="T386" i="63"/>
  <c r="R388" i="63" l="1"/>
  <c r="T387" i="63"/>
  <c r="T388" i="63" l="1"/>
  <c r="R389" i="63"/>
  <c r="R390" i="63" l="1"/>
  <c r="T389" i="63"/>
  <c r="R391" i="63" l="1"/>
  <c r="T390" i="63"/>
  <c r="R392" i="63" l="1"/>
  <c r="T391" i="63"/>
  <c r="T392" i="63" l="1"/>
  <c r="R393" i="63"/>
  <c r="R394" i="63" l="1"/>
  <c r="T393" i="63"/>
  <c r="R395" i="63" l="1"/>
  <c r="T394" i="63"/>
  <c r="R396" i="63" l="1"/>
  <c r="T395" i="63"/>
  <c r="T396" i="63" l="1"/>
  <c r="R397" i="63"/>
  <c r="R398" i="63" l="1"/>
  <c r="T397" i="63"/>
  <c r="R399" i="63" l="1"/>
  <c r="T398" i="63"/>
  <c r="R400" i="63" l="1"/>
  <c r="T399" i="63"/>
  <c r="T400" i="63" l="1"/>
  <c r="R401" i="63"/>
  <c r="R402" i="63" l="1"/>
  <c r="T401" i="63"/>
  <c r="R403" i="63" l="1"/>
  <c r="T402" i="63"/>
  <c r="R404" i="63" l="1"/>
  <c r="T403" i="63"/>
  <c r="T404" i="63" l="1"/>
  <c r="R405" i="63"/>
  <c r="R406" i="63" l="1"/>
  <c r="T405" i="63"/>
  <c r="R407" i="63" l="1"/>
  <c r="T406" i="63"/>
  <c r="R408" i="63" l="1"/>
  <c r="T407" i="63"/>
  <c r="T408" i="63" l="1"/>
  <c r="R409" i="63"/>
  <c r="R410" i="63" l="1"/>
  <c r="T409" i="63"/>
  <c r="R411" i="63" l="1"/>
  <c r="T410" i="63"/>
  <c r="R412" i="63" l="1"/>
  <c r="T411" i="63"/>
  <c r="T412" i="63" l="1"/>
  <c r="R413" i="63"/>
  <c r="R414" i="63" l="1"/>
  <c r="T413" i="63"/>
  <c r="R415" i="63" l="1"/>
  <c r="T414" i="63"/>
  <c r="R416" i="63" l="1"/>
  <c r="T415" i="63"/>
  <c r="T416" i="63" l="1"/>
  <c r="R417" i="63"/>
  <c r="R418" i="63" l="1"/>
  <c r="T417" i="63"/>
  <c r="R419" i="63" l="1"/>
  <c r="T418" i="63"/>
  <c r="R420" i="63" l="1"/>
  <c r="T419" i="63"/>
  <c r="T420" i="63" l="1"/>
  <c r="R421" i="63"/>
  <c r="R422" i="63" l="1"/>
  <c r="T421" i="63"/>
  <c r="R423" i="63" l="1"/>
  <c r="T422" i="63"/>
  <c r="R424" i="63" l="1"/>
  <c r="T423" i="63"/>
  <c r="T424" i="63" l="1"/>
  <c r="R425" i="63"/>
  <c r="R426" i="63" l="1"/>
  <c r="T425" i="63"/>
  <c r="R427" i="63" l="1"/>
  <c r="T426" i="63"/>
  <c r="R428" i="63" l="1"/>
  <c r="T427" i="63"/>
  <c r="T428" i="63" l="1"/>
  <c r="R429" i="63"/>
  <c r="R430" i="63" l="1"/>
  <c r="T429" i="63"/>
  <c r="R431" i="63" l="1"/>
  <c r="T430" i="63"/>
  <c r="R432" i="63" l="1"/>
  <c r="T431" i="63"/>
  <c r="T432" i="63" l="1"/>
  <c r="R433" i="63"/>
  <c r="R434" i="63" l="1"/>
  <c r="T433" i="63"/>
  <c r="R435" i="63" l="1"/>
  <c r="T434" i="63"/>
  <c r="R436" i="63" l="1"/>
  <c r="T435" i="63"/>
  <c r="T436" i="63" l="1"/>
  <c r="R437" i="63"/>
  <c r="R438" i="63" l="1"/>
  <c r="T437" i="63"/>
  <c r="R439" i="63" l="1"/>
  <c r="T438" i="63"/>
  <c r="R440" i="63" l="1"/>
  <c r="T439" i="63"/>
  <c r="T440" i="63" l="1"/>
  <c r="R441" i="63"/>
  <c r="R442" i="63" l="1"/>
  <c r="T441" i="63"/>
  <c r="R443" i="63" l="1"/>
  <c r="T442" i="63"/>
  <c r="R444" i="63" l="1"/>
  <c r="T443" i="63"/>
  <c r="T444" i="63" l="1"/>
  <c r="R445" i="63"/>
  <c r="R446" i="63" l="1"/>
  <c r="T445" i="63"/>
  <c r="R447" i="63" l="1"/>
  <c r="T446" i="63"/>
  <c r="R448" i="63" l="1"/>
  <c r="T447" i="63"/>
  <c r="T448" i="63" l="1"/>
  <c r="R449" i="63"/>
  <c r="R450" i="63" l="1"/>
  <c r="T449" i="63"/>
  <c r="R451" i="63" l="1"/>
  <c r="T450" i="63"/>
  <c r="R452" i="63" l="1"/>
  <c r="T451" i="63"/>
  <c r="T452" i="63" l="1"/>
  <c r="R453" i="63"/>
  <c r="R454" i="63" l="1"/>
  <c r="T453" i="63"/>
  <c r="R455" i="63" l="1"/>
  <c r="T454" i="63"/>
  <c r="R456" i="63" l="1"/>
  <c r="T455" i="63"/>
  <c r="T456" i="63" l="1"/>
  <c r="R457" i="63"/>
  <c r="R458" i="63" l="1"/>
  <c r="T457" i="63"/>
  <c r="R459" i="63" l="1"/>
  <c r="T458" i="63"/>
  <c r="R460" i="63" l="1"/>
  <c r="T459" i="63"/>
  <c r="T460" i="63" l="1"/>
  <c r="R461" i="63"/>
  <c r="R462" i="63" l="1"/>
  <c r="T461" i="63"/>
  <c r="R463" i="63" l="1"/>
  <c r="T462" i="63"/>
  <c r="R464" i="63" l="1"/>
  <c r="T463" i="63"/>
  <c r="T464" i="63" l="1"/>
  <c r="R465" i="63"/>
  <c r="R466" i="63" l="1"/>
  <c r="T465" i="63"/>
  <c r="R467" i="63" l="1"/>
  <c r="T466" i="63"/>
  <c r="R468" i="63" l="1"/>
  <c r="T467" i="63"/>
  <c r="T468" i="63" l="1"/>
  <c r="R469" i="63"/>
  <c r="R470" i="63" l="1"/>
  <c r="T469" i="63"/>
  <c r="R471" i="63" l="1"/>
  <c r="T470" i="63"/>
  <c r="R472" i="63" l="1"/>
  <c r="T471" i="63"/>
  <c r="T472" i="63" l="1"/>
  <c r="R473" i="63"/>
  <c r="R474" i="63" l="1"/>
  <c r="T473" i="63"/>
  <c r="R475" i="63" l="1"/>
  <c r="T474" i="63"/>
  <c r="R476" i="63" l="1"/>
  <c r="T475" i="63"/>
  <c r="T476" i="63" l="1"/>
  <c r="R477" i="63"/>
  <c r="R478" i="63" l="1"/>
  <c r="T477" i="63"/>
  <c r="R479" i="63" l="1"/>
  <c r="T478" i="63"/>
  <c r="R480" i="63" l="1"/>
  <c r="T479" i="63"/>
  <c r="T480" i="63" l="1"/>
  <c r="R481" i="63"/>
  <c r="R482" i="63" l="1"/>
  <c r="T481" i="63"/>
  <c r="R483" i="63" l="1"/>
  <c r="T482" i="63"/>
  <c r="R484" i="63" l="1"/>
  <c r="T483" i="63"/>
  <c r="T484" i="63" l="1"/>
  <c r="R485" i="63"/>
  <c r="R486" i="63" l="1"/>
  <c r="T485" i="63"/>
  <c r="R487" i="63" l="1"/>
  <c r="T486" i="63"/>
  <c r="R488" i="63" l="1"/>
  <c r="T487" i="63"/>
  <c r="T488" i="63" l="1"/>
  <c r="R489" i="63"/>
  <c r="R490" i="63" l="1"/>
  <c r="T490" i="63" s="1"/>
  <c r="T489" i="63"/>
  <c r="AA119" i="63"/>
  <c r="AP119" i="63" s="1"/>
  <c r="AI119" i="63" l="1"/>
  <c r="AB119" i="63"/>
  <c r="AG119" i="63" l="1"/>
  <c r="AF119" i="63"/>
  <c r="AL119" i="63"/>
  <c r="AB10" i="63" l="1"/>
  <c r="AJ10" i="63"/>
  <c r="AA120" i="63"/>
  <c r="AP120" i="63" s="1"/>
  <c r="AJ119" i="63"/>
  <c r="AK119" i="63" s="1"/>
  <c r="Y120" i="63"/>
  <c r="AJ11" i="63" l="1"/>
  <c r="G13" i="1"/>
  <c r="F55" i="1" s="1"/>
  <c r="G56" i="1" s="1"/>
  <c r="I58" i="1" s="1"/>
  <c r="AC120" i="63"/>
  <c r="AH120" i="63" s="1"/>
  <c r="AI120" i="63"/>
  <c r="J58" i="1" l="1"/>
  <c r="K58" i="1" s="1"/>
  <c r="AB120" i="63"/>
  <c r="AL120" i="63" s="1"/>
  <c r="AA121" i="63" s="1"/>
  <c r="AP121" i="63" s="1"/>
  <c r="AF120" i="63" l="1"/>
  <c r="Y121" i="63"/>
  <c r="AC121" i="63" s="1"/>
  <c r="AH121" i="63" s="1"/>
  <c r="AG120" i="63"/>
  <c r="AJ120" i="63"/>
  <c r="AK120" i="63" s="1"/>
  <c r="I79" i="1"/>
  <c r="J79" i="1" s="1"/>
  <c r="I77" i="1"/>
  <c r="J77" i="1" s="1"/>
  <c r="I80" i="1"/>
  <c r="I78" i="1"/>
  <c r="I76" i="1"/>
  <c r="AI121" i="63"/>
  <c r="K80" i="1" l="1"/>
  <c r="K82" i="1" s="1"/>
  <c r="J80" i="1"/>
  <c r="J78" i="1"/>
  <c r="J76" i="1"/>
  <c r="I81" i="1"/>
  <c r="AB121" i="63"/>
  <c r="AL121" i="63" s="1"/>
  <c r="AJ121" i="63" s="1"/>
  <c r="AK121" i="63" s="1"/>
  <c r="J59" i="1" l="1"/>
  <c r="J61" i="1" s="1"/>
  <c r="K59" i="1"/>
  <c r="K60" i="1" s="1"/>
  <c r="K61" i="1" s="1"/>
  <c r="P13" i="1" s="1"/>
  <c r="J82" i="1"/>
  <c r="J81" i="1"/>
  <c r="I82" i="1"/>
  <c r="AF121" i="63"/>
  <c r="AG121" i="63"/>
  <c r="Y122" i="63"/>
  <c r="AC122" i="63" s="1"/>
  <c r="AH122" i="63" s="1"/>
  <c r="AA122" i="63"/>
  <c r="AP122" i="63" s="1"/>
  <c r="K62" i="1" l="1"/>
  <c r="P14" i="1"/>
  <c r="O14" i="1"/>
  <c r="O13" i="1"/>
  <c r="AI122" i="63"/>
  <c r="AB122" i="63"/>
  <c r="AG122" i="63" s="1"/>
  <c r="G24" i="33" l="1"/>
  <c r="G37" i="33"/>
  <c r="C50" i="33"/>
  <c r="D60" i="1"/>
  <c r="AL122" i="63"/>
  <c r="AA123" i="63" s="1"/>
  <c r="AP123" i="63" s="1"/>
  <c r="AF122" i="63"/>
  <c r="AJ122" i="63" l="1"/>
  <c r="AK122" i="63" s="1"/>
  <c r="E50" i="33"/>
  <c r="G50" i="33"/>
  <c r="E53" i="33" s="1"/>
  <c r="E41" i="33"/>
  <c r="E40" i="33"/>
  <c r="Y123" i="63"/>
  <c r="AC123" i="63" s="1"/>
  <c r="AH123" i="63" s="1"/>
  <c r="E26" i="33"/>
  <c r="E27" i="33"/>
  <c r="AI123" i="63"/>
  <c r="F50" i="33" l="1"/>
  <c r="E54" i="33" s="1"/>
  <c r="AB123" i="63"/>
  <c r="AG123" i="63" s="1"/>
  <c r="I42" i="33" l="1"/>
  <c r="AF123" i="63"/>
  <c r="AL123" i="63"/>
  <c r="AJ123" i="63" s="1"/>
  <c r="AK123" i="63" s="1"/>
  <c r="Y124" i="63" l="1"/>
  <c r="AC124" i="63" s="1"/>
  <c r="AH124" i="63" s="1"/>
  <c r="AA124" i="63"/>
  <c r="AP124" i="63" s="1"/>
  <c r="AI124" i="63" l="1"/>
  <c r="AB124" i="63"/>
  <c r="AF124" i="63" s="1"/>
  <c r="AL124" i="63" l="1"/>
  <c r="AA125" i="63" s="1"/>
  <c r="AP125" i="63" s="1"/>
  <c r="AG124" i="63"/>
  <c r="Y125" i="63" l="1"/>
  <c r="AC125" i="63" s="1"/>
  <c r="AH125" i="63" s="1"/>
  <c r="AJ124" i="63"/>
  <c r="AK124" i="63" s="1"/>
  <c r="AI125" i="63"/>
  <c r="AB125" i="63" l="1"/>
  <c r="AG125" i="63" s="1"/>
  <c r="AL125" i="63" l="1"/>
  <c r="AJ125" i="63" s="1"/>
  <c r="AK125" i="63" s="1"/>
  <c r="AF125" i="63"/>
  <c r="AA126" i="63" l="1"/>
  <c r="AP126" i="63" s="1"/>
  <c r="Y126" i="63"/>
  <c r="AC126" i="63" s="1"/>
  <c r="AH126" i="63" s="1"/>
  <c r="AI126" i="63" l="1"/>
  <c r="AB126" i="63"/>
  <c r="AF126" i="63" s="1"/>
  <c r="AL126" i="63" l="1"/>
  <c r="AJ126" i="63" s="1"/>
  <c r="AK126" i="63" s="1"/>
  <c r="AG126" i="63"/>
  <c r="Y127" i="63" l="1"/>
  <c r="AC127" i="63" s="1"/>
  <c r="AH127" i="63" s="1"/>
  <c r="AA127" i="63"/>
  <c r="AP127" i="63" s="1"/>
  <c r="AI127" i="63" l="1"/>
  <c r="AB127" i="63"/>
  <c r="AL127" i="63" s="1"/>
  <c r="AJ127" i="63" s="1"/>
  <c r="AK127" i="63" l="1"/>
  <c r="AF127" i="63"/>
  <c r="AG127" i="63"/>
  <c r="Y128" i="63"/>
  <c r="AA128" i="63"/>
  <c r="AP128" i="63" s="1"/>
  <c r="AC128" i="63"/>
  <c r="AH128" i="63" s="1"/>
  <c r="AI128" i="63" l="1"/>
  <c r="AB128" i="63"/>
  <c r="AL128" i="63" s="1"/>
  <c r="AJ128" i="63" s="1"/>
  <c r="AF128" i="63" l="1"/>
  <c r="AG128" i="63"/>
  <c r="AK128" i="63"/>
  <c r="AA129" i="63"/>
  <c r="AP129" i="63" s="1"/>
  <c r="Y129" i="63"/>
  <c r="AC129" i="63" s="1"/>
  <c r="AH129" i="63" s="1"/>
  <c r="AI129" i="63" l="1"/>
  <c r="AB129" i="63"/>
  <c r="AL129" i="63" s="1"/>
  <c r="AA130" i="63" s="1"/>
  <c r="AP130" i="63" s="1"/>
  <c r="AG129" i="63" l="1"/>
  <c r="AF129" i="63"/>
  <c r="AJ129" i="63"/>
  <c r="AK129" i="63" s="1"/>
  <c r="Y130" i="63"/>
  <c r="AC130" i="63" s="1"/>
  <c r="AH130" i="63" s="1"/>
  <c r="AI130" i="63"/>
  <c r="AB130" i="63" l="1"/>
  <c r="AG130" i="63" s="1"/>
  <c r="AL130" i="63" l="1"/>
  <c r="AA131" i="63" s="1"/>
  <c r="AP131" i="63" s="1"/>
  <c r="AF130" i="63"/>
  <c r="Y131" i="63" l="1"/>
  <c r="AC131" i="63" s="1"/>
  <c r="AH131" i="63" s="1"/>
  <c r="AJ130" i="63"/>
  <c r="AK130" i="63" s="1"/>
  <c r="AI131" i="63"/>
  <c r="AB131" i="63" l="1"/>
  <c r="AF131" i="63" s="1"/>
  <c r="AG131" i="63" l="1"/>
  <c r="AL131" i="63"/>
  <c r="AJ131" i="63" s="1"/>
  <c r="AK131" i="63" s="1"/>
  <c r="Y132" i="63" l="1"/>
  <c r="AC132" i="63" s="1"/>
  <c r="AH132" i="63" s="1"/>
  <c r="AA132" i="63"/>
  <c r="AP132" i="63" s="1"/>
  <c r="AI132" i="63" l="1"/>
  <c r="AB132" i="63"/>
  <c r="AG132" i="63" s="1"/>
  <c r="AF132" i="63" l="1"/>
  <c r="AL132" i="63"/>
  <c r="AJ132" i="63" s="1"/>
  <c r="AK132" i="63" s="1"/>
  <c r="Y133" i="63" l="1"/>
  <c r="AC133" i="63" s="1"/>
  <c r="AH133" i="63" s="1"/>
  <c r="AA133" i="63"/>
  <c r="AP133" i="63" s="1"/>
  <c r="AI133" i="63" l="1"/>
  <c r="AB133" i="63"/>
  <c r="AG133" i="63" s="1"/>
  <c r="AF133" i="63" l="1"/>
  <c r="AL133" i="63"/>
  <c r="AJ133" i="63" s="1"/>
  <c r="AK133" i="63" s="1"/>
  <c r="Y134" i="63" l="1"/>
  <c r="AC134" i="63" s="1"/>
  <c r="AH134" i="63" s="1"/>
  <c r="AA134" i="63"/>
  <c r="AP134" i="63" s="1"/>
  <c r="AI134" i="63" l="1"/>
  <c r="AB134" i="63"/>
  <c r="AF134" i="63" s="1"/>
  <c r="AL134" i="63" l="1"/>
  <c r="AJ134" i="63" s="1"/>
  <c r="AK134" i="63" s="1"/>
  <c r="AG134" i="63"/>
  <c r="AA135" i="63" l="1"/>
  <c r="AP135" i="63" s="1"/>
  <c r="Y135" i="63"/>
  <c r="AC135" i="63" s="1"/>
  <c r="AH135" i="63" s="1"/>
  <c r="AI135" i="63" l="1"/>
  <c r="AB135" i="63"/>
  <c r="AL135" i="63" s="1"/>
  <c r="AJ135" i="63" s="1"/>
  <c r="AK135" i="63" l="1"/>
  <c r="AF135" i="63"/>
  <c r="AG135" i="63"/>
  <c r="Y136" i="63"/>
  <c r="AC136" i="63" s="1"/>
  <c r="AH136" i="63" s="1"/>
  <c r="AA136" i="63"/>
  <c r="AP136" i="63" s="1"/>
  <c r="AI136" i="63" l="1"/>
  <c r="AB136" i="63"/>
  <c r="AF136" i="63" s="1"/>
  <c r="AL136" i="63" l="1"/>
  <c r="AJ136" i="63" s="1"/>
  <c r="AK136" i="63" s="1"/>
  <c r="AG136" i="63"/>
  <c r="Y137" i="63" l="1"/>
  <c r="AC137" i="63" s="1"/>
  <c r="AH137" i="63" s="1"/>
  <c r="AA137" i="63"/>
  <c r="AP137" i="63" s="1"/>
  <c r="AI137" i="63" l="1"/>
  <c r="AB137" i="63"/>
  <c r="AG137" i="63" s="1"/>
  <c r="AL137" i="63" l="1"/>
  <c r="AA138" i="63" s="1"/>
  <c r="AP138" i="63" s="1"/>
  <c r="AF137" i="63"/>
  <c r="Y138" i="63" l="1"/>
  <c r="AC138" i="63" s="1"/>
  <c r="AH138" i="63" s="1"/>
  <c r="AJ137" i="63"/>
  <c r="AK137" i="63" s="1"/>
  <c r="AI138" i="63"/>
  <c r="AB138" i="63" l="1"/>
  <c r="AG138" i="63" s="1"/>
  <c r="AF138" i="63" l="1"/>
  <c r="AL138" i="63"/>
  <c r="AJ138" i="63" s="1"/>
  <c r="AK138" i="63" s="1"/>
  <c r="Y139" i="63" l="1"/>
  <c r="AC139" i="63" s="1"/>
  <c r="AH139" i="63" s="1"/>
  <c r="AA139" i="63"/>
  <c r="AP139" i="63" s="1"/>
  <c r="AI139" i="63" l="1"/>
  <c r="AB139" i="63"/>
  <c r="AG139" i="63" s="1"/>
  <c r="AL139" i="63" l="1"/>
  <c r="AJ139" i="63" s="1"/>
  <c r="AK139" i="63" s="1"/>
  <c r="AF139" i="63"/>
  <c r="AA140" i="63" l="1"/>
  <c r="AP140" i="63" s="1"/>
  <c r="Y140" i="63"/>
  <c r="AC140" i="63" s="1"/>
  <c r="AH140" i="63" s="1"/>
  <c r="AI140" i="63" l="1"/>
  <c r="AB140" i="63"/>
  <c r="AF140" i="63" s="1"/>
  <c r="AL140" i="63" l="1"/>
  <c r="AA141" i="63" s="1"/>
  <c r="AP141" i="63" s="1"/>
  <c r="AG140" i="63"/>
  <c r="Y141" i="63" l="1"/>
  <c r="AC141" i="63" s="1"/>
  <c r="AH141" i="63" s="1"/>
  <c r="AJ140" i="63"/>
  <c r="AK140" i="63" s="1"/>
  <c r="AI141" i="63"/>
  <c r="AB141" i="63" l="1"/>
  <c r="AG141" i="63" s="1"/>
  <c r="AL141" i="63" l="1"/>
  <c r="AA142" i="63" s="1"/>
  <c r="AP142" i="63" s="1"/>
  <c r="AF141" i="63"/>
  <c r="Y142" i="63" l="1"/>
  <c r="AC142" i="63" s="1"/>
  <c r="AH142" i="63" s="1"/>
  <c r="AJ141" i="63"/>
  <c r="AK141" i="63" s="1"/>
  <c r="AI142" i="63"/>
  <c r="AB142" i="63" l="1"/>
  <c r="AG142" i="63" s="1"/>
  <c r="AL142" i="63" l="1"/>
  <c r="AJ142" i="63" s="1"/>
  <c r="AK142" i="63" s="1"/>
  <c r="AF142" i="63"/>
  <c r="Y143" i="63" l="1"/>
  <c r="AC143" i="63" s="1"/>
  <c r="AH143" i="63" s="1"/>
  <c r="AA143" i="63"/>
  <c r="AP143" i="63" s="1"/>
  <c r="AI143" i="63" l="1"/>
  <c r="AB143" i="63"/>
  <c r="AF143" i="63" s="1"/>
  <c r="AG143" i="63" l="1"/>
  <c r="AL143" i="63"/>
  <c r="AA144" i="63" s="1"/>
  <c r="AP144" i="63" s="1"/>
  <c r="Y144" i="63" l="1"/>
  <c r="AC144" i="63" s="1"/>
  <c r="AH144" i="63" s="1"/>
  <c r="AJ143" i="63"/>
  <c r="AK143" i="63" s="1"/>
  <c r="AI144" i="63"/>
  <c r="AB144" i="63" l="1"/>
  <c r="AG144" i="63" s="1"/>
  <c r="AL144" i="63" l="1"/>
  <c r="AJ144" i="63" s="1"/>
  <c r="AK144" i="63" s="1"/>
  <c r="AF144" i="63"/>
  <c r="Y145" i="63" l="1"/>
  <c r="AC145" i="63" s="1"/>
  <c r="AH145" i="63" s="1"/>
  <c r="AA145" i="63"/>
  <c r="AP145" i="63" s="1"/>
  <c r="AI145" i="63" l="1"/>
  <c r="AB145" i="63"/>
  <c r="AL145" i="63" s="1"/>
  <c r="AJ145" i="63" s="1"/>
  <c r="AK145" i="63" l="1"/>
  <c r="AG145" i="63"/>
  <c r="AF145" i="63"/>
  <c r="Y146" i="63"/>
  <c r="AC146" i="63" s="1"/>
  <c r="AH146" i="63" s="1"/>
  <c r="AA146" i="63"/>
  <c r="AP146" i="63" s="1"/>
  <c r="AI146" i="63" l="1"/>
  <c r="AB146" i="63"/>
  <c r="AG146" i="63" s="1"/>
  <c r="AL146" i="63" l="1"/>
  <c r="AJ146" i="63" s="1"/>
  <c r="AK146" i="63" s="1"/>
  <c r="AF146" i="63"/>
  <c r="AA147" i="63" l="1"/>
  <c r="AP147" i="63" s="1"/>
  <c r="Y147" i="63"/>
  <c r="AC147" i="63" s="1"/>
  <c r="AH147" i="63" s="1"/>
  <c r="AI147" i="63" l="1"/>
  <c r="AB147" i="63"/>
  <c r="AF147" i="63" s="1"/>
  <c r="AL147" i="63" l="1"/>
  <c r="AJ147" i="63" s="1"/>
  <c r="AK147" i="63" s="1"/>
  <c r="AG147" i="63"/>
  <c r="AA148" i="63" l="1"/>
  <c r="AP148" i="63" s="1"/>
  <c r="Y148" i="63"/>
  <c r="AC148" i="63" s="1"/>
  <c r="AH148" i="63" s="1"/>
  <c r="AI148" i="63" l="1"/>
  <c r="AB148" i="63"/>
  <c r="AL148" i="63" s="1"/>
  <c r="AA149" i="63" s="1"/>
  <c r="AP149" i="63" s="1"/>
  <c r="AF148" i="63" l="1"/>
  <c r="AG148" i="63"/>
  <c r="Y149" i="63"/>
  <c r="AC149" i="63" s="1"/>
  <c r="AH149" i="63" s="1"/>
  <c r="AJ148" i="63"/>
  <c r="AK148" i="63" s="1"/>
  <c r="AI149" i="63"/>
  <c r="AB149" i="63" l="1"/>
  <c r="AF149" i="63" s="1"/>
  <c r="AL149" i="63" l="1"/>
  <c r="AJ149" i="63" s="1"/>
  <c r="AK149" i="63" s="1"/>
  <c r="AG149" i="63"/>
  <c r="Y150" i="63" l="1"/>
  <c r="AC150" i="63" s="1"/>
  <c r="AH150" i="63" s="1"/>
  <c r="AA150" i="63"/>
  <c r="AP150" i="63" s="1"/>
  <c r="AI150" i="63" l="1"/>
  <c r="AB150" i="63"/>
  <c r="AF150" i="63" s="1"/>
  <c r="AL150" i="63" l="1"/>
  <c r="AJ150" i="63" s="1"/>
  <c r="AK150" i="63" s="1"/>
  <c r="AG150" i="63"/>
  <c r="Y151" i="63" l="1"/>
  <c r="AC151" i="63" s="1"/>
  <c r="AH151" i="63" s="1"/>
  <c r="AA151" i="63"/>
  <c r="AP151" i="63" s="1"/>
  <c r="AI151" i="63" l="1"/>
  <c r="AB151" i="63"/>
  <c r="AF151" i="63" s="1"/>
  <c r="AL151" i="63" l="1"/>
  <c r="AJ151" i="63" s="1"/>
  <c r="AK151" i="63" s="1"/>
  <c r="AG151" i="63"/>
  <c r="AA152" i="63" l="1"/>
  <c r="AP152" i="63" s="1"/>
  <c r="Y152" i="63"/>
  <c r="AC152" i="63" s="1"/>
  <c r="AH152" i="63" s="1"/>
  <c r="AI152" i="63" l="1"/>
  <c r="AB152" i="63"/>
  <c r="AF152" i="63" s="1"/>
  <c r="AG152" i="63" l="1"/>
  <c r="AL152" i="63"/>
  <c r="AJ152" i="63" s="1"/>
  <c r="AK152" i="63" s="1"/>
  <c r="AA153" i="63"/>
  <c r="AP153" i="63" s="1"/>
  <c r="Y153" i="63" l="1"/>
  <c r="AC153" i="63" s="1"/>
  <c r="AH153" i="63" s="1"/>
  <c r="AI153" i="63"/>
  <c r="AB153" i="63" l="1"/>
  <c r="AG153" i="63" s="1"/>
  <c r="AL153" i="63" l="1"/>
  <c r="AJ153" i="63" s="1"/>
  <c r="AK153" i="63" s="1"/>
  <c r="AF153" i="63"/>
  <c r="Y154" i="63" l="1"/>
  <c r="AC154" i="63" s="1"/>
  <c r="AH154" i="63" s="1"/>
  <c r="AA154" i="63"/>
  <c r="AP154" i="63" s="1"/>
  <c r="AI154" i="63" l="1"/>
  <c r="AB154" i="63"/>
  <c r="AG154" i="63" s="1"/>
  <c r="AL154" i="63" l="1"/>
  <c r="AJ154" i="63" s="1"/>
  <c r="AK154" i="63" s="1"/>
  <c r="AF154" i="63"/>
  <c r="Y155" i="63" l="1"/>
  <c r="AC155" i="63" s="1"/>
  <c r="AH155" i="63" s="1"/>
  <c r="AA155" i="63"/>
  <c r="AP155" i="63" s="1"/>
  <c r="AI155" i="63" l="1"/>
  <c r="AB155" i="63"/>
  <c r="AF155" i="63" s="1"/>
  <c r="AL155" i="63" l="1"/>
  <c r="AJ155" i="63" s="1"/>
  <c r="AK155" i="63" s="1"/>
  <c r="AG155" i="63"/>
  <c r="Y156" i="63" l="1"/>
  <c r="AC156" i="63" s="1"/>
  <c r="AH156" i="63" s="1"/>
  <c r="AA156" i="63"/>
  <c r="AP156" i="63" s="1"/>
  <c r="AI156" i="63" l="1"/>
  <c r="AB156" i="63"/>
  <c r="AL156" i="63" s="1"/>
  <c r="AJ156" i="63" s="1"/>
  <c r="AK156" i="63" l="1"/>
  <c r="AF156" i="63"/>
  <c r="AA157" i="63"/>
  <c r="AP157" i="63" s="1"/>
  <c r="AG156" i="63"/>
  <c r="Y157" i="63"/>
  <c r="AC157" i="63" s="1"/>
  <c r="AH157" i="63" s="1"/>
  <c r="AI157" i="63" l="1"/>
  <c r="AB157" i="63"/>
  <c r="AG157" i="63" s="1"/>
  <c r="AL157" i="63" l="1"/>
  <c r="AA158" i="63" s="1"/>
  <c r="AP158" i="63" s="1"/>
  <c r="AF157" i="63"/>
  <c r="Y158" i="63" l="1"/>
  <c r="AC158" i="63" s="1"/>
  <c r="AH158" i="63" s="1"/>
  <c r="AJ157" i="63"/>
  <c r="AK157" i="63" s="1"/>
  <c r="AI158" i="63"/>
  <c r="AB158" i="63" l="1"/>
  <c r="AL158" i="63" s="1"/>
  <c r="AJ158" i="63" s="1"/>
  <c r="AK158" i="63" s="1"/>
  <c r="AG158" i="63" l="1"/>
  <c r="AF158" i="63"/>
  <c r="Y159" i="63"/>
  <c r="AC159" i="63" s="1"/>
  <c r="AH159" i="63" s="1"/>
  <c r="AA159" i="63"/>
  <c r="AP159" i="63" s="1"/>
  <c r="AI159" i="63" l="1"/>
  <c r="AB159" i="63"/>
  <c r="AL159" i="63" s="1"/>
  <c r="AA160" i="63" s="1"/>
  <c r="AP160" i="63" s="1"/>
  <c r="AF159" i="63" l="1"/>
  <c r="AG159" i="63"/>
  <c r="Y160" i="63"/>
  <c r="AJ159" i="63"/>
  <c r="AK159" i="63" s="1"/>
  <c r="AC160" i="63"/>
  <c r="AH160" i="63" s="1"/>
  <c r="AI160" i="63"/>
  <c r="AB160" i="63" l="1"/>
  <c r="AG160" i="63" s="1"/>
  <c r="AL160" i="63" l="1"/>
  <c r="AA161" i="63" s="1"/>
  <c r="AP161" i="63" s="1"/>
  <c r="AF160" i="63"/>
  <c r="Y161" i="63" l="1"/>
  <c r="AC161" i="63" s="1"/>
  <c r="AH161" i="63" s="1"/>
  <c r="AJ160" i="63"/>
  <c r="AK160" i="63" s="1"/>
  <c r="AI161" i="63"/>
  <c r="AB161" i="63" l="1"/>
  <c r="AL161" i="63" s="1"/>
  <c r="AA162" i="63" s="1"/>
  <c r="AP162" i="63" s="1"/>
  <c r="AG161" i="63" l="1"/>
  <c r="AF161" i="63"/>
  <c r="Y162" i="63"/>
  <c r="AJ161" i="63"/>
  <c r="AK161" i="63" s="1"/>
  <c r="AC162" i="63"/>
  <c r="AH162" i="63" s="1"/>
  <c r="AI162" i="63"/>
  <c r="AB162" i="63" l="1"/>
  <c r="AG162" i="63" s="1"/>
  <c r="AL162" i="63" l="1"/>
  <c r="AA163" i="63" s="1"/>
  <c r="AP163" i="63" s="1"/>
  <c r="AF162" i="63"/>
  <c r="Y163" i="63" l="1"/>
  <c r="AC163" i="63" s="1"/>
  <c r="AH163" i="63" s="1"/>
  <c r="AJ162" i="63"/>
  <c r="AK162" i="63" s="1"/>
  <c r="AI163" i="63"/>
  <c r="AB163" i="63" l="1"/>
  <c r="AG163" i="63" s="1"/>
  <c r="AL163" i="63" l="1"/>
  <c r="AJ163" i="63" s="1"/>
  <c r="AK163" i="63" s="1"/>
  <c r="AF163" i="63"/>
  <c r="Y164" i="63" l="1"/>
  <c r="AC164" i="63" s="1"/>
  <c r="AH164" i="63" s="1"/>
  <c r="AA164" i="63"/>
  <c r="AP164" i="63" s="1"/>
  <c r="AI164" i="63" l="1"/>
  <c r="AB164" i="63"/>
  <c r="AL164" i="63" s="1"/>
  <c r="AA165" i="63" s="1"/>
  <c r="AP165" i="63" s="1"/>
  <c r="AG164" i="63" l="1"/>
  <c r="AF164" i="63"/>
  <c r="Y165" i="63"/>
  <c r="AC165" i="63" s="1"/>
  <c r="AH165" i="63" s="1"/>
  <c r="AJ164" i="63"/>
  <c r="AK164" i="63" s="1"/>
  <c r="AI165" i="63"/>
  <c r="AB165" i="63" l="1"/>
  <c r="AL165" i="63" s="1"/>
  <c r="AJ165" i="63" s="1"/>
  <c r="AK165" i="63" s="1"/>
  <c r="Y166" i="63" l="1"/>
  <c r="AC166" i="63" s="1"/>
  <c r="AH166" i="63" s="1"/>
  <c r="AF165" i="63"/>
  <c r="AG165" i="63"/>
  <c r="AA166" i="63"/>
  <c r="AP166" i="63" s="1"/>
  <c r="AI166" i="63" l="1"/>
  <c r="AB166" i="63"/>
  <c r="AL166" i="63" s="1"/>
  <c r="AA167" i="63" s="1"/>
  <c r="AP167" i="63" s="1"/>
  <c r="AF166" i="63" l="1"/>
  <c r="AJ166" i="63"/>
  <c r="AK166" i="63" s="1"/>
  <c r="AG166" i="63"/>
  <c r="Y167" i="63"/>
  <c r="AC167" i="63" s="1"/>
  <c r="AH167" i="63" s="1"/>
  <c r="AI167" i="63"/>
  <c r="AB167" i="63" l="1"/>
  <c r="AL167" i="63" s="1"/>
  <c r="AA168" i="63" s="1"/>
  <c r="AP168" i="63" s="1"/>
  <c r="AG167" i="63" l="1"/>
  <c r="AF167" i="63"/>
  <c r="AJ167" i="63"/>
  <c r="AK167" i="63" s="1"/>
  <c r="Y168" i="63"/>
  <c r="AC168" i="63" s="1"/>
  <c r="AH168" i="63" s="1"/>
  <c r="AI168" i="63"/>
  <c r="AB168" i="63" l="1"/>
  <c r="AL168" i="63" s="1"/>
  <c r="AJ168" i="63" s="1"/>
  <c r="AK168" i="63" s="1"/>
  <c r="AG168" i="63" l="1"/>
  <c r="AF168" i="63"/>
  <c r="Y169" i="63"/>
  <c r="AC169" i="63" s="1"/>
  <c r="AH169" i="63" s="1"/>
  <c r="AA169" i="63"/>
  <c r="AP169" i="63" s="1"/>
  <c r="AI169" i="63" l="1"/>
  <c r="AB169" i="63"/>
  <c r="AG169" i="63" s="1"/>
  <c r="AL169" i="63" l="1"/>
  <c r="AA170" i="63" s="1"/>
  <c r="AP170" i="63" s="1"/>
  <c r="AF169" i="63"/>
  <c r="Y170" i="63" l="1"/>
  <c r="AC170" i="63" s="1"/>
  <c r="AH170" i="63" s="1"/>
  <c r="AJ169" i="63"/>
  <c r="AK169" i="63" s="1"/>
  <c r="AI170" i="63"/>
  <c r="AB170" i="63" l="1"/>
  <c r="AG170" i="63" s="1"/>
  <c r="AF170" i="63" l="1"/>
  <c r="AL170" i="63"/>
  <c r="AA171" i="63" s="1"/>
  <c r="AP171" i="63" s="1"/>
  <c r="AJ170" i="63" l="1"/>
  <c r="AK170" i="63" s="1"/>
  <c r="Y171" i="63"/>
  <c r="AC171" i="63" s="1"/>
  <c r="AH171" i="63" s="1"/>
  <c r="AI171" i="63"/>
  <c r="AB171" i="63" l="1"/>
  <c r="AL171" i="63" s="1"/>
  <c r="AJ171" i="63" s="1"/>
  <c r="AK171" i="63" s="1"/>
  <c r="Y172" i="63" l="1"/>
  <c r="AC172" i="63" s="1"/>
  <c r="AH172" i="63" s="1"/>
  <c r="AG171" i="63"/>
  <c r="AF171" i="63"/>
  <c r="AA172" i="63"/>
  <c r="AI172" i="63" l="1"/>
  <c r="AP172" i="63"/>
  <c r="AB172" i="63"/>
  <c r="AF172" i="63" s="1"/>
  <c r="AG172" i="63" l="1"/>
  <c r="AL172" i="63"/>
  <c r="AA173" i="63" s="1"/>
  <c r="AP173" i="63" s="1"/>
  <c r="Y173" i="63" l="1"/>
  <c r="AC173" i="63" s="1"/>
  <c r="AH173" i="63" s="1"/>
  <c r="AJ172" i="63"/>
  <c r="AK172" i="63" s="1"/>
  <c r="AI173" i="63"/>
  <c r="AB173" i="63" l="1"/>
  <c r="AL173" i="63" s="1"/>
  <c r="AA174" i="63" s="1"/>
  <c r="AP174" i="63" s="1"/>
  <c r="AF173" i="63" l="1"/>
  <c r="AG173" i="63"/>
  <c r="Y174" i="63"/>
  <c r="AJ173" i="63"/>
  <c r="AK173" i="63" s="1"/>
  <c r="AC174" i="63"/>
  <c r="AH174" i="63" s="1"/>
  <c r="AI174" i="63"/>
  <c r="AB174" i="63" l="1"/>
  <c r="AG174" i="63" s="1"/>
  <c r="AL174" i="63" l="1"/>
  <c r="AA175" i="63" s="1"/>
  <c r="AP175" i="63" s="1"/>
  <c r="AF174" i="63"/>
  <c r="AJ174" i="63" l="1"/>
  <c r="AK174" i="63" s="1"/>
  <c r="Y175" i="63"/>
  <c r="AC175" i="63" s="1"/>
  <c r="AH175" i="63" s="1"/>
  <c r="AI175" i="63"/>
  <c r="AB175" i="63" l="1"/>
  <c r="AL175" i="63" s="1"/>
  <c r="AJ175" i="63" s="1"/>
  <c r="AK175" i="63" s="1"/>
  <c r="AG175" i="63" l="1"/>
  <c r="AF175" i="63"/>
  <c r="AA176" i="63"/>
  <c r="AP176" i="63" s="1"/>
  <c r="Y176" i="63"/>
  <c r="AC176" i="63" s="1"/>
  <c r="AH176" i="63" s="1"/>
  <c r="AI176" i="63" l="1"/>
  <c r="AB176" i="63"/>
  <c r="AL176" i="63" s="1"/>
  <c r="AJ176" i="63" s="1"/>
  <c r="AF176" i="63" l="1"/>
  <c r="AG176" i="63"/>
  <c r="AK176" i="63"/>
  <c r="Y177" i="63"/>
  <c r="AC177" i="63" s="1"/>
  <c r="AH177" i="63" s="1"/>
  <c r="AA177" i="63"/>
  <c r="AP177" i="63" s="1"/>
  <c r="AI177" i="63" l="1"/>
  <c r="AB177" i="63"/>
  <c r="AL177" i="63" s="1"/>
  <c r="AJ177" i="63" s="1"/>
  <c r="AG177" i="63" l="1"/>
  <c r="AF177" i="63"/>
  <c r="AK177" i="63"/>
  <c r="Y178" i="63"/>
  <c r="AC178" i="63" s="1"/>
  <c r="AH178" i="63" s="1"/>
  <c r="AA178" i="63"/>
  <c r="AP178" i="63" s="1"/>
  <c r="AI178" i="63" l="1"/>
  <c r="AB178" i="63"/>
  <c r="AG178" i="63" s="1"/>
  <c r="AF178" i="63" l="1"/>
  <c r="AL178" i="63"/>
  <c r="AJ178" i="63" s="1"/>
  <c r="AK178" i="63" s="1"/>
  <c r="AA179" i="63" l="1"/>
  <c r="AP179" i="63" s="1"/>
  <c r="Y179" i="63"/>
  <c r="AC179" i="63" s="1"/>
  <c r="AH179" i="63" s="1"/>
  <c r="AI179" i="63" l="1"/>
  <c r="AB179" i="63"/>
  <c r="AF179" i="63" s="1"/>
  <c r="AG179" i="63" l="1"/>
  <c r="AL179" i="63"/>
  <c r="AJ179" i="63" s="1"/>
  <c r="AK179" i="63" s="1"/>
  <c r="AA180" i="63" l="1"/>
  <c r="AP180" i="63" s="1"/>
  <c r="Y180" i="63"/>
  <c r="AC180" i="63" s="1"/>
  <c r="AH180" i="63" s="1"/>
  <c r="AI180" i="63" l="1"/>
  <c r="AB180" i="63"/>
  <c r="AL180" i="63" s="1"/>
  <c r="AJ180" i="63" s="1"/>
  <c r="AF180" i="63"/>
  <c r="AG180" i="63"/>
  <c r="AK180" i="63" l="1"/>
  <c r="Y181" i="63"/>
  <c r="AA181" i="63"/>
  <c r="AP181" i="63" s="1"/>
  <c r="AC181" i="63"/>
  <c r="AH181" i="63" s="1"/>
  <c r="AI181" i="63" l="1"/>
  <c r="AB181" i="63"/>
  <c r="AL181" i="63" s="1"/>
  <c r="AJ181" i="63" s="1"/>
  <c r="AG181" i="63" l="1"/>
  <c r="AF181" i="63"/>
  <c r="Y182" i="63"/>
  <c r="AK181" i="63"/>
  <c r="AA182" i="63"/>
  <c r="AP182" i="63" s="1"/>
  <c r="AC182" i="63"/>
  <c r="AH182" i="63" s="1"/>
  <c r="AI182" i="63" l="1"/>
  <c r="AB182" i="63"/>
  <c r="AF182" i="63" s="1"/>
  <c r="AL182" i="63" l="1"/>
  <c r="AJ182" i="63" s="1"/>
  <c r="AK182" i="63" s="1"/>
  <c r="AG182" i="63"/>
  <c r="Y183" i="63" l="1"/>
  <c r="AC183" i="63" s="1"/>
  <c r="AH183" i="63" s="1"/>
  <c r="AA183" i="63"/>
  <c r="AP183" i="63" s="1"/>
  <c r="AI183" i="63" l="1"/>
  <c r="AB183" i="63"/>
  <c r="AG183" i="63" s="1"/>
  <c r="AF183" i="63" l="1"/>
  <c r="AL183" i="63"/>
  <c r="AA184" i="63" s="1"/>
  <c r="AP184" i="63" s="1"/>
  <c r="Y184" i="63" l="1"/>
  <c r="AC184" i="63" s="1"/>
  <c r="AH184" i="63" s="1"/>
  <c r="AJ183" i="63"/>
  <c r="AK183" i="63" s="1"/>
  <c r="AI184" i="63"/>
  <c r="AB184" i="63" l="1"/>
  <c r="AL184" i="63" s="1"/>
  <c r="AJ184" i="63" s="1"/>
  <c r="AK184" i="63" s="1"/>
  <c r="AG184" i="63" l="1"/>
  <c r="AF184" i="63"/>
  <c r="Y185" i="63"/>
  <c r="AA185" i="63"/>
  <c r="AC185" i="63"/>
  <c r="AH185" i="63" s="1"/>
  <c r="AI185" i="63" l="1"/>
  <c r="AP185" i="63"/>
  <c r="AB185" i="63"/>
  <c r="AG185" i="63" s="1"/>
  <c r="AL185" i="63" l="1"/>
  <c r="AJ185" i="63" s="1"/>
  <c r="AK185" i="63" s="1"/>
  <c r="AF185" i="63"/>
  <c r="Y186" i="63" l="1"/>
  <c r="AC186" i="63" s="1"/>
  <c r="AH186" i="63" s="1"/>
  <c r="AA186" i="63"/>
  <c r="AP186" i="63" s="1"/>
  <c r="AI186" i="63" l="1"/>
  <c r="AB186" i="63"/>
  <c r="AF186" i="63" s="1"/>
  <c r="AL186" i="63" l="1"/>
  <c r="AA187" i="63" s="1"/>
  <c r="AP187" i="63" s="1"/>
  <c r="AG186" i="63"/>
  <c r="AJ186" i="63" l="1"/>
  <c r="AK186" i="63" s="1"/>
  <c r="Y187" i="63"/>
  <c r="AC187" i="63" s="1"/>
  <c r="AH187" i="63" s="1"/>
  <c r="AI187" i="63"/>
  <c r="AB187" i="63" l="1"/>
  <c r="AG187" i="63" s="1"/>
  <c r="AF187" i="63" l="1"/>
  <c r="AL187" i="63"/>
  <c r="AA188" i="63" s="1"/>
  <c r="AP188" i="63" s="1"/>
  <c r="Y188" i="63" l="1"/>
  <c r="AC188" i="63" s="1"/>
  <c r="AH188" i="63" s="1"/>
  <c r="AJ187" i="63"/>
  <c r="AK187" i="63" s="1"/>
  <c r="AI188" i="63"/>
  <c r="AB188" i="63" l="1"/>
  <c r="AF188" i="63" s="1"/>
  <c r="AL188" i="63" l="1"/>
  <c r="AJ188" i="63" s="1"/>
  <c r="AK188" i="63" s="1"/>
  <c r="AG188" i="63"/>
  <c r="Y189" i="63" l="1"/>
  <c r="AC189" i="63" s="1"/>
  <c r="AH189" i="63" s="1"/>
  <c r="AA189" i="63"/>
  <c r="AP189" i="63" s="1"/>
  <c r="AI189" i="63" l="1"/>
  <c r="AB189" i="63"/>
  <c r="AL189" i="63" s="1"/>
  <c r="AJ189" i="63" s="1"/>
  <c r="AK189" i="63" l="1"/>
  <c r="AG189" i="63"/>
  <c r="Y190" i="63"/>
  <c r="AF189" i="63"/>
  <c r="AA190" i="63"/>
  <c r="AP190" i="63" s="1"/>
  <c r="AC190" i="63"/>
  <c r="AH190" i="63" s="1"/>
  <c r="AI190" i="63" l="1"/>
  <c r="AB190" i="63"/>
  <c r="AF190" i="63" s="1"/>
  <c r="AL190" i="63" l="1"/>
  <c r="AJ190" i="63" s="1"/>
  <c r="AK190" i="63" s="1"/>
  <c r="AG190" i="63"/>
  <c r="Y191" i="63" l="1"/>
  <c r="AC191" i="63" s="1"/>
  <c r="AH191" i="63" s="1"/>
  <c r="AA191" i="63"/>
  <c r="AP191" i="63" s="1"/>
  <c r="AI191" i="63" l="1"/>
  <c r="AB191" i="63"/>
  <c r="AG191" i="63" s="1"/>
  <c r="AL191" i="63" l="1"/>
  <c r="AA192" i="63" s="1"/>
  <c r="AP192" i="63" s="1"/>
  <c r="AF191" i="63"/>
  <c r="Y192" i="63" l="1"/>
  <c r="AC192" i="63" s="1"/>
  <c r="AH192" i="63" s="1"/>
  <c r="AJ191" i="63"/>
  <c r="AK191" i="63" s="1"/>
  <c r="AI192" i="63"/>
  <c r="AB192" i="63" l="1"/>
  <c r="AF192" i="63" s="1"/>
  <c r="AL192" i="63" l="1"/>
  <c r="AJ192" i="63" s="1"/>
  <c r="AK192" i="63" s="1"/>
  <c r="AG192" i="63"/>
  <c r="Y193" i="63" l="1"/>
  <c r="AC193" i="63" s="1"/>
  <c r="AH193" i="63" s="1"/>
  <c r="AA193" i="63"/>
  <c r="AP193" i="63" s="1"/>
  <c r="AI193" i="63" l="1"/>
  <c r="AB193" i="63"/>
  <c r="AG193" i="63" s="1"/>
  <c r="AL193" i="63" l="1"/>
  <c r="AJ193" i="63" s="1"/>
  <c r="AK193" i="63" s="1"/>
  <c r="AF193" i="63"/>
  <c r="AA194" i="63" l="1"/>
  <c r="AP194" i="63" s="1"/>
  <c r="Y194" i="63"/>
  <c r="AC194" i="63" s="1"/>
  <c r="AH194" i="63" s="1"/>
  <c r="AI194" i="63" l="1"/>
  <c r="AB194" i="63"/>
  <c r="AF194" i="63" l="1"/>
  <c r="AG194" i="63"/>
  <c r="AL194" i="63"/>
  <c r="AA195" i="63" l="1"/>
  <c r="AP195" i="63" s="1"/>
  <c r="AJ194" i="63"/>
  <c r="AK194" i="63" s="1"/>
  <c r="Y195" i="63"/>
  <c r="AC195" i="63" l="1"/>
  <c r="AH195" i="63" s="1"/>
  <c r="AI195" i="63"/>
  <c r="AB195" i="63" l="1"/>
  <c r="AG195" i="63" s="1"/>
  <c r="AL195" i="63" l="1"/>
  <c r="AJ195" i="63" s="1"/>
  <c r="AK195" i="63" s="1"/>
  <c r="AF195" i="63"/>
  <c r="Y196" i="63" l="1"/>
  <c r="AC196" i="63" s="1"/>
  <c r="AH196" i="63" s="1"/>
  <c r="AA196" i="63"/>
  <c r="AP196" i="63" s="1"/>
  <c r="AI196" i="63" l="1"/>
  <c r="AB196" i="63"/>
  <c r="AG196" i="63" s="1"/>
  <c r="AL196" i="63" l="1"/>
  <c r="AA197" i="63" s="1"/>
  <c r="AP197" i="63" s="1"/>
  <c r="AF196" i="63"/>
  <c r="Y197" i="63" l="1"/>
  <c r="AC197" i="63" s="1"/>
  <c r="AH197" i="63" s="1"/>
  <c r="AJ196" i="63"/>
  <c r="AK196" i="63" s="1"/>
  <c r="AI197" i="63"/>
  <c r="AB197" i="63" l="1"/>
  <c r="AG197" i="63" s="1"/>
  <c r="AL197" i="63" l="1"/>
  <c r="AJ197" i="63" s="1"/>
  <c r="AK197" i="63" s="1"/>
  <c r="AF197" i="63"/>
  <c r="Y198" i="63" l="1"/>
  <c r="AC198" i="63" s="1"/>
  <c r="AH198" i="63" s="1"/>
  <c r="AA198" i="63"/>
  <c r="AP198" i="63" s="1"/>
  <c r="AI198" i="63" l="1"/>
  <c r="AB198" i="63"/>
  <c r="AG198" i="63" s="1"/>
  <c r="AF198" i="63" l="1"/>
  <c r="AL198" i="63"/>
  <c r="AJ198" i="63" s="1"/>
  <c r="AK198" i="63" s="1"/>
  <c r="Y199" i="63" l="1"/>
  <c r="AC199" i="63" s="1"/>
  <c r="AH199" i="63" s="1"/>
  <c r="AA199" i="63"/>
  <c r="AP199" i="63" s="1"/>
  <c r="AI199" i="63" l="1"/>
  <c r="AB199" i="63"/>
  <c r="AG199" i="63" s="1"/>
  <c r="AL199" i="63" l="1"/>
  <c r="AJ199" i="63" s="1"/>
  <c r="AK199" i="63" s="1"/>
  <c r="AF199" i="63"/>
  <c r="Y200" i="63" l="1"/>
  <c r="AC200" i="63" s="1"/>
  <c r="AH200" i="63" s="1"/>
  <c r="AA200" i="63"/>
  <c r="AP200" i="63" s="1"/>
  <c r="AI200" i="63" l="1"/>
  <c r="AB200" i="63"/>
  <c r="AG200" i="63" s="1"/>
  <c r="AF200" i="63" l="1"/>
  <c r="AL200" i="63"/>
  <c r="AA201" i="63" s="1"/>
  <c r="AP201" i="63" s="1"/>
  <c r="Y201" i="63" l="1"/>
  <c r="AC201" i="63" s="1"/>
  <c r="AH201" i="63" s="1"/>
  <c r="AJ200" i="63"/>
  <c r="AK200" i="63" s="1"/>
  <c r="AI201" i="63"/>
  <c r="AB201" i="63" l="1"/>
  <c r="AF201" i="63" s="1"/>
  <c r="AG201" i="63" l="1"/>
  <c r="AL201" i="63"/>
  <c r="AJ201" i="63" s="1"/>
  <c r="AK201" i="63" s="1"/>
  <c r="Y202" i="63" l="1"/>
  <c r="AC202" i="63" s="1"/>
  <c r="AH202" i="63" s="1"/>
  <c r="AA202" i="63"/>
  <c r="AP202" i="63" s="1"/>
  <c r="AI202" i="63" l="1"/>
  <c r="AB202" i="63"/>
  <c r="AG202" i="63" s="1"/>
  <c r="AL202" i="63" l="1"/>
  <c r="AA203" i="63" s="1"/>
  <c r="AP203" i="63" s="1"/>
  <c r="AF202" i="63"/>
  <c r="Y203" i="63" l="1"/>
  <c r="AC203" i="63" s="1"/>
  <c r="AH203" i="63" s="1"/>
  <c r="AJ202" i="63"/>
  <c r="AK202" i="63" s="1"/>
  <c r="AI203" i="63"/>
  <c r="AB203" i="63" l="1"/>
  <c r="AF203" i="63" s="1"/>
  <c r="AG203" i="63" l="1"/>
  <c r="AL203" i="63"/>
  <c r="AJ203" i="63" s="1"/>
  <c r="AK203" i="63" s="1"/>
  <c r="AA204" i="63" l="1"/>
  <c r="AP204" i="63" s="1"/>
  <c r="Y204" i="63"/>
  <c r="AC204" i="63" s="1"/>
  <c r="AH204" i="63" s="1"/>
  <c r="AI204" i="63" l="1"/>
  <c r="AB204" i="63"/>
  <c r="AL204" i="63" s="1"/>
  <c r="AJ204" i="63" s="1"/>
  <c r="AK204" i="63" l="1"/>
  <c r="AG204" i="63"/>
  <c r="AA205" i="63"/>
  <c r="AP205" i="63" s="1"/>
  <c r="AF204" i="63"/>
  <c r="Y205" i="63"/>
  <c r="AC205" i="63" s="1"/>
  <c r="AH205" i="63" s="1"/>
  <c r="AI205" i="63" l="1"/>
  <c r="AB205" i="63"/>
  <c r="AL205" i="63" s="1"/>
  <c r="AJ205" i="63" s="1"/>
  <c r="AK205" i="63" l="1"/>
  <c r="AF205" i="63"/>
  <c r="AG205" i="63"/>
  <c r="Y206" i="63"/>
  <c r="AA206" i="63"/>
  <c r="AP206" i="63" s="1"/>
  <c r="AC206" i="63"/>
  <c r="AH206" i="63" s="1"/>
  <c r="AI206" i="63" l="1"/>
  <c r="AB206" i="63"/>
  <c r="AF206" i="63" s="1"/>
  <c r="AL206" i="63" l="1"/>
  <c r="AA207" i="63" s="1"/>
  <c r="AP207" i="63" s="1"/>
  <c r="AG206" i="63"/>
  <c r="Y207" i="63" l="1"/>
  <c r="AC207" i="63" s="1"/>
  <c r="AH207" i="63" s="1"/>
  <c r="AJ206" i="63"/>
  <c r="AK206" i="63" s="1"/>
  <c r="AI207" i="63"/>
  <c r="AB207" i="63" l="1"/>
  <c r="AG207" i="63" s="1"/>
  <c r="AL207" i="63" l="1"/>
  <c r="AJ207" i="63" s="1"/>
  <c r="AK207" i="63" s="1"/>
  <c r="AF207" i="63"/>
  <c r="Y208" i="63" l="1"/>
  <c r="AC208" i="63" s="1"/>
  <c r="AH208" i="63" s="1"/>
  <c r="AA208" i="63"/>
  <c r="AP208" i="63" s="1"/>
  <c r="AI208" i="63" l="1"/>
  <c r="AB208" i="63"/>
  <c r="AF208" i="63" s="1"/>
  <c r="AG208" i="63" l="1"/>
  <c r="AL208" i="63"/>
  <c r="AJ208" i="63" s="1"/>
  <c r="AK208" i="63" s="1"/>
  <c r="Y209" i="63" l="1"/>
  <c r="AC209" i="63" s="1"/>
  <c r="AH209" i="63" s="1"/>
  <c r="AA209" i="63"/>
  <c r="AP209" i="63" s="1"/>
  <c r="AI209" i="63" l="1"/>
  <c r="AB209" i="63"/>
  <c r="AL209" i="63" s="1"/>
  <c r="AJ209" i="63" s="1"/>
  <c r="AK209" i="63" l="1"/>
  <c r="AF209" i="63"/>
  <c r="AG209" i="63"/>
  <c r="AA210" i="63"/>
  <c r="AP210" i="63" s="1"/>
  <c r="Y210" i="63"/>
  <c r="AC210" i="63" s="1"/>
  <c r="AH210" i="63" s="1"/>
  <c r="AI210" i="63" l="1"/>
  <c r="AB210" i="63"/>
  <c r="AG210" i="63" s="1"/>
  <c r="AL210" i="63" l="1"/>
  <c r="AJ210" i="63" s="1"/>
  <c r="AK210" i="63" s="1"/>
  <c r="AF210" i="63"/>
  <c r="Y211" i="63" l="1"/>
  <c r="AC211" i="63" s="1"/>
  <c r="AH211" i="63" s="1"/>
  <c r="AA211" i="63"/>
  <c r="AP211" i="63" s="1"/>
  <c r="AI211" i="63" l="1"/>
  <c r="AB211" i="63"/>
  <c r="AG211" i="63" s="1"/>
  <c r="AL211" i="63" l="1"/>
  <c r="AJ211" i="63" s="1"/>
  <c r="AK211" i="63" s="1"/>
  <c r="AF211" i="63"/>
  <c r="Y212" i="63" l="1"/>
  <c r="AC212" i="63" s="1"/>
  <c r="AH212" i="63" s="1"/>
  <c r="AA212" i="63"/>
  <c r="AP212" i="63" s="1"/>
  <c r="AI212" i="63" l="1"/>
  <c r="AB212" i="63"/>
  <c r="AF212" i="63" s="1"/>
  <c r="AL212" i="63" l="1"/>
  <c r="AJ212" i="63" s="1"/>
  <c r="AK212" i="63" s="1"/>
  <c r="AG212" i="63"/>
  <c r="AA213" i="63" l="1"/>
  <c r="AP213" i="63" s="1"/>
  <c r="Y213" i="63"/>
  <c r="AC213" i="63" s="1"/>
  <c r="AH213" i="63" s="1"/>
  <c r="AI213" i="63" l="1"/>
  <c r="AB213" i="63"/>
  <c r="AL213" i="63" s="1"/>
  <c r="AJ213" i="63" s="1"/>
  <c r="AK213" i="63" l="1"/>
  <c r="AF213" i="63"/>
  <c r="Y214" i="63"/>
  <c r="AG213" i="63"/>
  <c r="AA214" i="63"/>
  <c r="AP214" i="63" s="1"/>
  <c r="AC214" i="63"/>
  <c r="AH214" i="63" s="1"/>
  <c r="AI214" i="63" l="1"/>
  <c r="AB214" i="63"/>
  <c r="AF214" i="63" s="1"/>
  <c r="AL214" i="63" l="1"/>
  <c r="AA215" i="63" s="1"/>
  <c r="AP215" i="63" s="1"/>
  <c r="AG214" i="63"/>
  <c r="Y215" i="63" l="1"/>
  <c r="AC215" i="63" s="1"/>
  <c r="AH215" i="63" s="1"/>
  <c r="AJ214" i="63"/>
  <c r="AK214" i="63" s="1"/>
  <c r="AI215" i="63"/>
  <c r="AB215" i="63" l="1"/>
  <c r="AG215" i="63" s="1"/>
  <c r="AL215" i="63" l="1"/>
  <c r="AA216" i="63" s="1"/>
  <c r="AP216" i="63" s="1"/>
  <c r="AF215" i="63"/>
  <c r="Y216" i="63" l="1"/>
  <c r="AC216" i="63" s="1"/>
  <c r="AH216" i="63" s="1"/>
  <c r="AJ215" i="63"/>
  <c r="AK215" i="63" s="1"/>
  <c r="AI216" i="63"/>
  <c r="AB216" i="63" l="1"/>
  <c r="AF216" i="63" s="1"/>
  <c r="AL216" i="63" l="1"/>
  <c r="AA217" i="63" s="1"/>
  <c r="AP217" i="63" s="1"/>
  <c r="AG216" i="63"/>
  <c r="Y217" i="63" l="1"/>
  <c r="AC217" i="63" s="1"/>
  <c r="AH217" i="63" s="1"/>
  <c r="AJ216" i="63"/>
  <c r="AK216" i="63" s="1"/>
  <c r="AI217" i="63"/>
  <c r="AB217" i="63" l="1"/>
  <c r="AL217" i="63" s="1"/>
  <c r="AA218" i="63" s="1"/>
  <c r="AP218" i="63" s="1"/>
  <c r="AF217" i="63" l="1"/>
  <c r="AG217" i="63"/>
  <c r="Y218" i="63"/>
  <c r="AC218" i="63" s="1"/>
  <c r="AH218" i="63" s="1"/>
  <c r="AJ217" i="63"/>
  <c r="AK217" i="63" s="1"/>
  <c r="AI218" i="63"/>
  <c r="AB218" i="63" l="1"/>
  <c r="AF218" i="63" s="1"/>
  <c r="AL218" i="63" l="1"/>
  <c r="AA219" i="63" s="1"/>
  <c r="AP219" i="63" s="1"/>
  <c r="AG218" i="63"/>
  <c r="Y219" i="63" l="1"/>
  <c r="AC219" i="63" s="1"/>
  <c r="AH219" i="63" s="1"/>
  <c r="AJ218" i="63"/>
  <c r="AK218" i="63" s="1"/>
  <c r="AI219" i="63"/>
  <c r="AB219" i="63" l="1"/>
  <c r="AF219" i="63" s="1"/>
  <c r="AL219" i="63" l="1"/>
  <c r="AJ219" i="63" s="1"/>
  <c r="AK219" i="63" s="1"/>
  <c r="AG219" i="63"/>
  <c r="Y220" i="63" l="1"/>
  <c r="AC220" i="63" s="1"/>
  <c r="AH220" i="63" s="1"/>
  <c r="AA220" i="63"/>
  <c r="AP220" i="63" s="1"/>
  <c r="AI220" i="63" l="1"/>
  <c r="AB220" i="63"/>
  <c r="AG220" i="63" s="1"/>
  <c r="AL220" i="63" l="1"/>
  <c r="AJ220" i="63" s="1"/>
  <c r="AK220" i="63" s="1"/>
  <c r="AF220" i="63"/>
  <c r="AA221" i="63" l="1"/>
  <c r="AP221" i="63" s="1"/>
  <c r="Y221" i="63"/>
  <c r="AC221" i="63" s="1"/>
  <c r="AH221" i="63" s="1"/>
  <c r="AI221" i="63" l="1"/>
  <c r="AB221" i="63"/>
  <c r="AL221" i="63" s="1"/>
  <c r="AJ221" i="63" s="1"/>
  <c r="AK221" i="63" l="1"/>
  <c r="AG221" i="63"/>
  <c r="AF221" i="63"/>
  <c r="Y222" i="63"/>
  <c r="AA222" i="63"/>
  <c r="AP222" i="63" s="1"/>
  <c r="AC222" i="63"/>
  <c r="AH222" i="63" s="1"/>
  <c r="AI222" i="63" l="1"/>
  <c r="AB222" i="63"/>
  <c r="AF222" i="63" s="1"/>
  <c r="AL222" i="63" l="1"/>
  <c r="AJ222" i="63" s="1"/>
  <c r="AK222" i="63" s="1"/>
  <c r="AG222" i="63"/>
  <c r="Y223" i="63" l="1"/>
  <c r="AC223" i="63" s="1"/>
  <c r="AH223" i="63" s="1"/>
  <c r="AA223" i="63"/>
  <c r="AP223" i="63" s="1"/>
  <c r="AI223" i="63" l="1"/>
  <c r="AB223" i="63"/>
  <c r="AF223" i="63" s="1"/>
  <c r="AL223" i="63" l="1"/>
  <c r="AJ223" i="63" s="1"/>
  <c r="AK223" i="63" s="1"/>
  <c r="AG223" i="63"/>
  <c r="Y224" i="63" l="1"/>
  <c r="AC224" i="63" s="1"/>
  <c r="AH224" i="63" s="1"/>
  <c r="AA224" i="63"/>
  <c r="AP224" i="63" s="1"/>
  <c r="AI224" i="63" l="1"/>
  <c r="AB224" i="63"/>
  <c r="AL224" i="63" s="1"/>
  <c r="AJ224" i="63" s="1"/>
  <c r="AF224" i="63" l="1"/>
  <c r="AG224" i="63"/>
  <c r="Y225" i="63"/>
  <c r="AC225" i="63" s="1"/>
  <c r="AH225" i="63" s="1"/>
  <c r="AA225" i="63"/>
  <c r="AP225" i="63" s="1"/>
  <c r="AK224" i="63"/>
  <c r="AI225" i="63" l="1"/>
  <c r="AB225" i="63"/>
  <c r="AL225" i="63" s="1"/>
  <c r="AA226" i="63" s="1"/>
  <c r="AP226" i="63" s="1"/>
  <c r="AG225" i="63" l="1"/>
  <c r="AF225" i="63"/>
  <c r="Y226" i="63"/>
  <c r="AC226" i="63" s="1"/>
  <c r="AH226" i="63" s="1"/>
  <c r="AJ225" i="63"/>
  <c r="AK225" i="63" s="1"/>
  <c r="AI226" i="63"/>
  <c r="AB226" i="63" l="1"/>
  <c r="AG226" i="63" s="1"/>
  <c r="AL226" i="63" l="1"/>
  <c r="AJ226" i="63" s="1"/>
  <c r="AK226" i="63" s="1"/>
  <c r="AF226" i="63"/>
  <c r="AA227" i="63" l="1"/>
  <c r="AP227" i="63" s="1"/>
  <c r="Y227" i="63"/>
  <c r="AC227" i="63" s="1"/>
  <c r="AH227" i="63" s="1"/>
  <c r="AI227" i="63" l="1"/>
  <c r="AB227" i="63"/>
  <c r="AL227" i="63" s="1"/>
  <c r="AA228" i="63" s="1"/>
  <c r="AP228" i="63" s="1"/>
  <c r="AG227" i="63" l="1"/>
  <c r="AF227" i="63"/>
  <c r="Y228" i="63"/>
  <c r="AJ227" i="63"/>
  <c r="AK227" i="63" s="1"/>
  <c r="AC228" i="63"/>
  <c r="AH228" i="63" s="1"/>
  <c r="AI228" i="63"/>
  <c r="AB228" i="63" l="1"/>
  <c r="AL228" i="63" s="1"/>
  <c r="AJ228" i="63" s="1"/>
  <c r="AK228" i="63" s="1"/>
  <c r="AG228" i="63" l="1"/>
  <c r="AF228" i="63"/>
  <c r="Y229" i="63"/>
  <c r="AC229" i="63" s="1"/>
  <c r="AH229" i="63" s="1"/>
  <c r="AA229" i="63"/>
  <c r="AP229" i="63" s="1"/>
  <c r="AI229" i="63" l="1"/>
  <c r="AB229" i="63"/>
  <c r="AG229" i="63" s="1"/>
  <c r="AF229" i="63" l="1"/>
  <c r="AL229" i="63"/>
  <c r="AA230" i="63" s="1"/>
  <c r="AP230" i="63" s="1"/>
  <c r="AJ229" i="63" l="1"/>
  <c r="AK229" i="63" s="1"/>
  <c r="Y230" i="63"/>
  <c r="AC230" i="63" s="1"/>
  <c r="AH230" i="63" s="1"/>
  <c r="AI230" i="63"/>
  <c r="AB230" i="63" l="1"/>
  <c r="AF230" i="63" s="1"/>
  <c r="AL230" i="63" l="1"/>
  <c r="AA231" i="63" s="1"/>
  <c r="AP231" i="63" s="1"/>
  <c r="AG230" i="63"/>
  <c r="Y231" i="63" l="1"/>
  <c r="AC231" i="63" s="1"/>
  <c r="AH231" i="63" s="1"/>
  <c r="AJ230" i="63"/>
  <c r="AK230" i="63" s="1"/>
  <c r="AI231" i="63"/>
  <c r="AB231" i="63" l="1"/>
  <c r="AF231" i="63" s="1"/>
  <c r="AL231" i="63" l="1"/>
  <c r="AA232" i="63" s="1"/>
  <c r="AP232" i="63" s="1"/>
  <c r="AG231" i="63"/>
  <c r="AJ231" i="63" l="1"/>
  <c r="AK231" i="63" s="1"/>
  <c r="Y232" i="63"/>
  <c r="AC232" i="63" s="1"/>
  <c r="AH232" i="63" s="1"/>
  <c r="AI232" i="63"/>
  <c r="AB232" i="63" l="1"/>
  <c r="AF232" i="63" s="1"/>
  <c r="AG232" i="63" l="1"/>
  <c r="AL232" i="63"/>
  <c r="AJ232" i="63" s="1"/>
  <c r="AK232" i="63" s="1"/>
  <c r="Y233" i="63" l="1"/>
  <c r="AC233" i="63" s="1"/>
  <c r="AH233" i="63" s="1"/>
  <c r="AA233" i="63"/>
  <c r="AP233" i="63" s="1"/>
  <c r="AI233" i="63" l="1"/>
  <c r="AB233" i="63"/>
  <c r="AL233" i="63" s="1"/>
  <c r="AJ233" i="63" s="1"/>
  <c r="AF233" i="63" l="1"/>
  <c r="AK233" i="63"/>
  <c r="AG233" i="63"/>
  <c r="Y234" i="63"/>
  <c r="AA234" i="63"/>
  <c r="AP234" i="63" s="1"/>
  <c r="AC234" i="63"/>
  <c r="AH234" i="63" s="1"/>
  <c r="AI234" i="63" l="1"/>
  <c r="AB234" i="63"/>
  <c r="AG234" i="63" s="1"/>
  <c r="AF234" i="63" l="1"/>
  <c r="AL234" i="63"/>
  <c r="AA235" i="63" s="1"/>
  <c r="AP235" i="63" s="1"/>
  <c r="AJ234" i="63" l="1"/>
  <c r="AK234" i="63" s="1"/>
  <c r="Y235" i="63"/>
  <c r="AC235" i="63" s="1"/>
  <c r="AH235" i="63" s="1"/>
  <c r="AI235" i="63"/>
  <c r="AB235" i="63" l="1"/>
  <c r="AG235" i="63" s="1"/>
  <c r="AL235" i="63" l="1"/>
  <c r="AJ235" i="63" s="1"/>
  <c r="AK235" i="63" s="1"/>
  <c r="AF235" i="63"/>
  <c r="Y236" i="63" l="1"/>
  <c r="AC236" i="63" s="1"/>
  <c r="AH236" i="63" s="1"/>
  <c r="AA236" i="63"/>
  <c r="AP236" i="63" s="1"/>
  <c r="AI236" i="63" l="1"/>
  <c r="AB236" i="63"/>
  <c r="AL236" i="63" s="1"/>
  <c r="AJ236" i="63" s="1"/>
  <c r="AK236" i="63" l="1"/>
  <c r="AF236" i="63"/>
  <c r="AG236" i="63"/>
  <c r="Y237" i="63"/>
  <c r="AA237" i="63"/>
  <c r="AP237" i="63" s="1"/>
  <c r="AC237" i="63"/>
  <c r="AH237" i="63" s="1"/>
  <c r="AI237" i="63" l="1"/>
  <c r="AB237" i="63"/>
  <c r="AL237" i="63" s="1"/>
  <c r="AJ237" i="63" s="1"/>
  <c r="AG237" i="63" l="1"/>
  <c r="AF237" i="63"/>
  <c r="AK237" i="63"/>
  <c r="Y238" i="63"/>
  <c r="AC238" i="63" s="1"/>
  <c r="AH238" i="63" s="1"/>
  <c r="AA238" i="63"/>
  <c r="AP238" i="63" s="1"/>
  <c r="AI238" i="63" l="1"/>
  <c r="AB238" i="63"/>
  <c r="AF238" i="63" s="1"/>
  <c r="AL238" i="63" l="1"/>
  <c r="AJ238" i="63" s="1"/>
  <c r="AK238" i="63" s="1"/>
  <c r="AG238" i="63"/>
  <c r="Y239" i="63" l="1"/>
  <c r="AC239" i="63" s="1"/>
  <c r="AH239" i="63" s="1"/>
  <c r="AA239" i="63"/>
  <c r="AP239" i="63" s="1"/>
  <c r="AI239" i="63" l="1"/>
  <c r="AB239" i="63"/>
  <c r="AG239" i="63" s="1"/>
  <c r="AL239" i="63" l="1"/>
  <c r="AJ239" i="63" s="1"/>
  <c r="AK239" i="63" s="1"/>
  <c r="AF239" i="63"/>
  <c r="AA240" i="63" l="1"/>
  <c r="AP240" i="63" s="1"/>
  <c r="Y240" i="63"/>
  <c r="AC240" i="63" s="1"/>
  <c r="AH240" i="63" s="1"/>
  <c r="AI240" i="63" l="1"/>
  <c r="AB240" i="63"/>
  <c r="AF240" i="63" s="1"/>
  <c r="AL240" i="63" l="1"/>
  <c r="AJ240" i="63" s="1"/>
  <c r="AK240" i="63" s="1"/>
  <c r="AG240" i="63"/>
  <c r="Y241" i="63" l="1"/>
  <c r="AC241" i="63" s="1"/>
  <c r="AH241" i="63" s="1"/>
  <c r="AA241" i="63"/>
  <c r="AP241" i="63" s="1"/>
  <c r="AI241" i="63" l="1"/>
  <c r="AB241" i="63"/>
  <c r="AL241" i="63" s="1"/>
  <c r="AJ241" i="63" s="1"/>
  <c r="AK241" i="63" l="1"/>
  <c r="AG241" i="63"/>
  <c r="AF241" i="63"/>
  <c r="Y242" i="63"/>
  <c r="AC242" i="63" s="1"/>
  <c r="AH242" i="63" s="1"/>
  <c r="AA242" i="63"/>
  <c r="AP242" i="63" s="1"/>
  <c r="AI242" i="63" l="1"/>
  <c r="AB242" i="63"/>
  <c r="AG242" i="63" s="1"/>
  <c r="AF242" i="63" l="1"/>
  <c r="AL242" i="63"/>
  <c r="AJ242" i="63" s="1"/>
  <c r="AK242" i="63" s="1"/>
  <c r="Y243" i="63" l="1"/>
  <c r="AC243" i="63" s="1"/>
  <c r="AH243" i="63" s="1"/>
  <c r="AA243" i="63"/>
  <c r="AP243" i="63" s="1"/>
  <c r="AI243" i="63" l="1"/>
  <c r="AB243" i="63"/>
  <c r="AG243" i="63" s="1"/>
  <c r="AL243" i="63" l="1"/>
  <c r="AJ243" i="63" s="1"/>
  <c r="AK243" i="63" s="1"/>
  <c r="AF243" i="63"/>
  <c r="AA244" i="63" l="1"/>
  <c r="AP244" i="63" s="1"/>
  <c r="Y244" i="63"/>
  <c r="AC244" i="63" s="1"/>
  <c r="AH244" i="63" s="1"/>
  <c r="AI244" i="63" l="1"/>
  <c r="AB244" i="63"/>
  <c r="AF244" i="63" s="1"/>
  <c r="AL244" i="63" l="1"/>
  <c r="AA245" i="63" s="1"/>
  <c r="AP245" i="63" s="1"/>
  <c r="AG244" i="63"/>
  <c r="Y245" i="63" l="1"/>
  <c r="AC245" i="63" s="1"/>
  <c r="AH245" i="63" s="1"/>
  <c r="AJ244" i="63"/>
  <c r="AK244" i="63" s="1"/>
  <c r="AI245" i="63"/>
  <c r="AB245" i="63" l="1"/>
  <c r="AL245" i="63" s="1"/>
  <c r="AJ245" i="63" s="1"/>
  <c r="AK245" i="63" s="1"/>
  <c r="AG245" i="63" l="1"/>
  <c r="AF245" i="63"/>
  <c r="Y246" i="63"/>
  <c r="AC246" i="63" s="1"/>
  <c r="AH246" i="63" s="1"/>
  <c r="AA246" i="63"/>
  <c r="AP246" i="63" s="1"/>
  <c r="AI246" i="63" l="1"/>
  <c r="AB246" i="63"/>
  <c r="AL246" i="63" s="1"/>
  <c r="AA247" i="63" s="1"/>
  <c r="AP247" i="63" s="1"/>
  <c r="AF246" i="63"/>
  <c r="AG246" i="63" l="1"/>
  <c r="Y247" i="63"/>
  <c r="AC247" i="63" s="1"/>
  <c r="AH247" i="63" s="1"/>
  <c r="AJ246" i="63"/>
  <c r="AK246" i="63" s="1"/>
  <c r="AI247" i="63"/>
  <c r="AB247" i="63" l="1"/>
  <c r="AG247" i="63" s="1"/>
  <c r="AL247" i="63" l="1"/>
  <c r="AA248" i="63" s="1"/>
  <c r="AP248" i="63" s="1"/>
  <c r="AF247" i="63"/>
  <c r="AJ247" i="63" l="1"/>
  <c r="AK247" i="63" s="1"/>
  <c r="Y248" i="63"/>
  <c r="AC248" i="63" s="1"/>
  <c r="AH248" i="63" s="1"/>
  <c r="AI248" i="63"/>
  <c r="AB248" i="63" l="1"/>
  <c r="AF248" i="63" s="1"/>
  <c r="AL248" i="63" l="1"/>
  <c r="AA249" i="63" s="1"/>
  <c r="AP249" i="63" s="1"/>
  <c r="AG248" i="63"/>
  <c r="AJ248" i="63" l="1"/>
  <c r="AK248" i="63" s="1"/>
  <c r="Y249" i="63"/>
  <c r="AC249" i="63" s="1"/>
  <c r="AH249" i="63" s="1"/>
  <c r="AI249" i="63"/>
  <c r="AB249" i="63" l="1"/>
  <c r="AL249" i="63" s="1"/>
  <c r="AJ249" i="63" s="1"/>
  <c r="AK249" i="63" s="1"/>
  <c r="AG249" i="63" l="1"/>
  <c r="AF249" i="63"/>
  <c r="Y250" i="63"/>
  <c r="AA250" i="63"/>
  <c r="AP250" i="63" s="1"/>
  <c r="AC250" i="63"/>
  <c r="AH250" i="63" s="1"/>
  <c r="AI250" i="63" l="1"/>
  <c r="AB250" i="63"/>
  <c r="AG250" i="63" s="1"/>
  <c r="AL250" i="63" l="1"/>
  <c r="AA251" i="63" s="1"/>
  <c r="AP251" i="63" s="1"/>
  <c r="AF250" i="63"/>
  <c r="Y251" i="63" l="1"/>
  <c r="AC251" i="63" s="1"/>
  <c r="AH251" i="63" s="1"/>
  <c r="AJ250" i="63"/>
  <c r="AK250" i="63" s="1"/>
  <c r="AI251" i="63"/>
  <c r="AB251" i="63" l="1"/>
  <c r="AG251" i="63" s="1"/>
  <c r="AF251" i="63" l="1"/>
  <c r="AL251" i="63"/>
  <c r="AA252" i="63" s="1"/>
  <c r="AP252" i="63" s="1"/>
  <c r="Y252" i="63" l="1"/>
  <c r="AC252" i="63" s="1"/>
  <c r="AH252" i="63" s="1"/>
  <c r="AJ251" i="63"/>
  <c r="AK251" i="63" s="1"/>
  <c r="AI252" i="63"/>
  <c r="AB252" i="63" l="1"/>
  <c r="AF252" i="63" s="1"/>
  <c r="AL252" i="63" l="1"/>
  <c r="AJ252" i="63" s="1"/>
  <c r="AK252" i="63" s="1"/>
  <c r="AG252" i="63"/>
  <c r="Y253" i="63" l="1"/>
  <c r="AC253" i="63" s="1"/>
  <c r="AH253" i="63" s="1"/>
  <c r="AA253" i="63"/>
  <c r="AP253" i="63" s="1"/>
  <c r="AI253" i="63" l="1"/>
  <c r="AB253" i="63"/>
  <c r="AL253" i="63" s="1"/>
  <c r="AJ253" i="63" s="1"/>
  <c r="AG253" i="63" l="1"/>
  <c r="AF253" i="63"/>
  <c r="AK253" i="63"/>
  <c r="Y254" i="63"/>
  <c r="AC254" i="63" s="1"/>
  <c r="AH254" i="63" s="1"/>
  <c r="AA254" i="63"/>
  <c r="AP254" i="63" s="1"/>
  <c r="AI254" i="63" l="1"/>
  <c r="AB254" i="63"/>
  <c r="AG254" i="63" s="1"/>
  <c r="AL254" i="63" l="1"/>
  <c r="AJ254" i="63" s="1"/>
  <c r="AK254" i="63" s="1"/>
  <c r="AF254" i="63"/>
  <c r="AA255" i="63" l="1"/>
  <c r="AP255" i="63" s="1"/>
  <c r="Y255" i="63"/>
  <c r="AC255" i="63" s="1"/>
  <c r="AH255" i="63" s="1"/>
  <c r="AI255" i="63" l="1"/>
  <c r="AB255" i="63"/>
  <c r="AF255" i="63" s="1"/>
  <c r="AG255" i="63" l="1"/>
  <c r="AL255" i="63"/>
  <c r="AA256" i="63" s="1"/>
  <c r="AP256" i="63" s="1"/>
  <c r="Y256" i="63" l="1"/>
  <c r="AC256" i="63" s="1"/>
  <c r="AH256" i="63" s="1"/>
  <c r="AJ255" i="63"/>
  <c r="AK255" i="63" s="1"/>
  <c r="AI256" i="63"/>
  <c r="AB256" i="63" l="1"/>
  <c r="AG256" i="63" s="1"/>
  <c r="AF256" i="63" l="1"/>
  <c r="AL256" i="63"/>
  <c r="AA257" i="63" s="1"/>
  <c r="AP257" i="63" s="1"/>
  <c r="Y257" i="63" l="1"/>
  <c r="AC257" i="63" s="1"/>
  <c r="AH257" i="63" s="1"/>
  <c r="AJ256" i="63"/>
  <c r="AK256" i="63" s="1"/>
  <c r="AI257" i="63"/>
  <c r="AB257" i="63" l="1"/>
  <c r="AL257" i="63" s="1"/>
  <c r="AA258" i="63" s="1"/>
  <c r="AP258" i="63" s="1"/>
  <c r="AF257" i="63" l="1"/>
  <c r="AG257" i="63"/>
  <c r="Y258" i="63"/>
  <c r="AJ257" i="63"/>
  <c r="AK257" i="63" s="1"/>
  <c r="AC258" i="63"/>
  <c r="AH258" i="63" s="1"/>
  <c r="AI258" i="63"/>
  <c r="AB258" i="63" l="1"/>
  <c r="AL258" i="63" s="1"/>
  <c r="AJ258" i="63" s="1"/>
  <c r="AK258" i="63" s="1"/>
  <c r="AF258" i="63" l="1"/>
  <c r="AG258" i="63"/>
  <c r="Y259" i="63"/>
  <c r="AC259" i="63" s="1"/>
  <c r="AH259" i="63" s="1"/>
  <c r="AA259" i="63"/>
  <c r="AP259" i="63" s="1"/>
  <c r="AI259" i="63" l="1"/>
  <c r="AB259" i="63"/>
  <c r="AG259" i="63" s="1"/>
  <c r="AL259" i="63" l="1"/>
  <c r="AJ259" i="63" s="1"/>
  <c r="AK259" i="63" s="1"/>
  <c r="AF259" i="63"/>
  <c r="Y260" i="63" l="1"/>
  <c r="AC260" i="63" s="1"/>
  <c r="AH260" i="63" s="1"/>
  <c r="AA260" i="63"/>
  <c r="AP260" i="63" s="1"/>
  <c r="AI260" i="63" l="1"/>
  <c r="AB260" i="63"/>
  <c r="AL260" i="63" s="1"/>
  <c r="AJ260" i="63" s="1"/>
  <c r="AK260" i="63" l="1"/>
  <c r="AG260" i="63"/>
  <c r="AF260" i="63"/>
  <c r="Y261" i="63"/>
  <c r="AA261" i="63"/>
  <c r="AP261" i="63" s="1"/>
  <c r="AC261" i="63"/>
  <c r="AH261" i="63" s="1"/>
  <c r="AI261" i="63" l="1"/>
  <c r="AB261" i="63"/>
  <c r="AL261" i="63" s="1"/>
  <c r="AA262" i="63" s="1"/>
  <c r="AP262" i="63" s="1"/>
  <c r="AG261" i="63" l="1"/>
  <c r="AF261" i="63"/>
  <c r="Y262" i="63"/>
  <c r="AC262" i="63" s="1"/>
  <c r="AH262" i="63" s="1"/>
  <c r="AJ261" i="63"/>
  <c r="AK261" i="63" s="1"/>
  <c r="AI262" i="63"/>
  <c r="AB262" i="63" l="1"/>
  <c r="AG262" i="63" s="1"/>
  <c r="AL262" i="63" l="1"/>
  <c r="AJ262" i="63" s="1"/>
  <c r="AK262" i="63" s="1"/>
  <c r="AF262" i="63"/>
  <c r="AA263" i="63" l="1"/>
  <c r="AP263" i="63" s="1"/>
  <c r="Y263" i="63"/>
  <c r="AC263" i="63" s="1"/>
  <c r="AH263" i="63" s="1"/>
  <c r="AI263" i="63" l="1"/>
  <c r="AB263" i="63"/>
  <c r="AF263" i="63" s="1"/>
  <c r="AL263" i="63" l="1"/>
  <c r="AA264" i="63" s="1"/>
  <c r="AP264" i="63" s="1"/>
  <c r="AG263" i="63"/>
  <c r="Y264" i="63" l="1"/>
  <c r="AC264" i="63" s="1"/>
  <c r="AH264" i="63" s="1"/>
  <c r="AJ263" i="63"/>
  <c r="AK263" i="63" s="1"/>
  <c r="AI264" i="63"/>
  <c r="AB264" i="63" l="1"/>
  <c r="AL264" i="63" s="1"/>
  <c r="AJ264" i="63" s="1"/>
  <c r="AK264" i="63" s="1"/>
  <c r="AF264" i="63" l="1"/>
  <c r="AG264" i="63"/>
  <c r="Y265" i="63"/>
  <c r="AC265" i="63" s="1"/>
  <c r="AH265" i="63" s="1"/>
  <c r="AA265" i="63"/>
  <c r="AP265" i="63" s="1"/>
  <c r="AI265" i="63" l="1"/>
  <c r="AB265" i="63"/>
  <c r="AF265" i="63" s="1"/>
  <c r="AL265" i="63" l="1"/>
  <c r="AJ265" i="63" s="1"/>
  <c r="AK265" i="63" s="1"/>
  <c r="AG265" i="63"/>
  <c r="AA266" i="63" l="1"/>
  <c r="AP266" i="63" s="1"/>
  <c r="Y266" i="63"/>
  <c r="AC266" i="63" s="1"/>
  <c r="AH266" i="63" s="1"/>
  <c r="AI266" i="63" l="1"/>
  <c r="AB266" i="63"/>
  <c r="AG266" i="63" s="1"/>
  <c r="AF266" i="63" l="1"/>
  <c r="AL266" i="63"/>
  <c r="AJ266" i="63" s="1"/>
  <c r="AK266" i="63" s="1"/>
  <c r="Y267" i="63" l="1"/>
  <c r="AC267" i="63" s="1"/>
  <c r="AH267" i="63" s="1"/>
  <c r="AA267" i="63"/>
  <c r="AP267" i="63" s="1"/>
  <c r="AI267" i="63" l="1"/>
  <c r="AB267" i="63"/>
  <c r="AL267" i="63" s="1"/>
  <c r="AJ267" i="63" s="1"/>
  <c r="AK267" i="63" l="1"/>
  <c r="AF267" i="63"/>
  <c r="Y268" i="63"/>
  <c r="AG267" i="63"/>
  <c r="AA268" i="63"/>
  <c r="AP268" i="63" s="1"/>
  <c r="AC268" i="63"/>
  <c r="AH268" i="63" s="1"/>
  <c r="AI268" i="63" l="1"/>
  <c r="AB268" i="63"/>
  <c r="AG268" i="63" s="1"/>
  <c r="AL268" i="63" l="1"/>
  <c r="AJ268" i="63" s="1"/>
  <c r="AK268" i="63" s="1"/>
  <c r="AF268" i="63"/>
  <c r="Y269" i="63" l="1"/>
  <c r="AC269" i="63" s="1"/>
  <c r="AH269" i="63" s="1"/>
  <c r="AA269" i="63"/>
  <c r="AP269" i="63" s="1"/>
  <c r="AI269" i="63" l="1"/>
  <c r="AB269" i="63"/>
  <c r="AL269" i="63" s="1"/>
  <c r="AJ269" i="63" s="1"/>
  <c r="AK269" i="63" l="1"/>
  <c r="AF269" i="63"/>
  <c r="AG269" i="63"/>
  <c r="Y270" i="63"/>
  <c r="AC270" i="63" s="1"/>
  <c r="AH270" i="63" s="1"/>
  <c r="AA270" i="63"/>
  <c r="AP270" i="63" s="1"/>
  <c r="AI270" i="63" l="1"/>
  <c r="AB270" i="63"/>
  <c r="AL270" i="63" s="1"/>
  <c r="AA271" i="63" s="1"/>
  <c r="AP271" i="63" s="1"/>
  <c r="AF270" i="63" l="1"/>
  <c r="AG270" i="63"/>
  <c r="Y271" i="63"/>
  <c r="AJ270" i="63"/>
  <c r="AK270" i="63" s="1"/>
  <c r="AC271" i="63"/>
  <c r="AH271" i="63" s="1"/>
  <c r="AI271" i="63"/>
  <c r="AB271" i="63" l="1"/>
  <c r="AL271" i="63" s="1"/>
  <c r="AJ271" i="63" s="1"/>
  <c r="AK271" i="63" s="1"/>
  <c r="AG271" i="63" l="1"/>
  <c r="AF271" i="63"/>
  <c r="Y272" i="63"/>
  <c r="AC272" i="63" s="1"/>
  <c r="AH272" i="63" s="1"/>
  <c r="AA272" i="63"/>
  <c r="AP272" i="63" s="1"/>
  <c r="AI272" i="63" l="1"/>
  <c r="AB272" i="63"/>
  <c r="AL272" i="63" s="1"/>
  <c r="AA273" i="63" s="1"/>
  <c r="AP273" i="63" s="1"/>
  <c r="AF272" i="63" l="1"/>
  <c r="AG272" i="63"/>
  <c r="Y273" i="63"/>
  <c r="AJ272" i="63"/>
  <c r="AK272" i="63" s="1"/>
  <c r="AC273" i="63"/>
  <c r="AH273" i="63" s="1"/>
  <c r="AI273" i="63"/>
  <c r="AB273" i="63" l="1"/>
  <c r="AL273" i="63" s="1"/>
  <c r="AJ273" i="63" s="1"/>
  <c r="AK273" i="63" s="1"/>
  <c r="AF273" i="63" l="1"/>
  <c r="AG273" i="63"/>
  <c r="Y274" i="63"/>
  <c r="AA274" i="63"/>
  <c r="AP274" i="63" s="1"/>
  <c r="AC274" i="63"/>
  <c r="AH274" i="63" s="1"/>
  <c r="AI274" i="63" l="1"/>
  <c r="AB274" i="63"/>
  <c r="AF274" i="63" s="1"/>
  <c r="AL274" i="63" l="1"/>
  <c r="AJ274" i="63" s="1"/>
  <c r="AK274" i="63" s="1"/>
  <c r="AG274" i="63"/>
  <c r="Y275" i="63" l="1"/>
  <c r="AC275" i="63" s="1"/>
  <c r="AH275" i="63" s="1"/>
  <c r="AA275" i="63"/>
  <c r="AP275" i="63" s="1"/>
  <c r="AI275" i="63" l="1"/>
  <c r="AB275" i="63"/>
  <c r="AL275" i="63" s="1"/>
  <c r="AJ275" i="63" s="1"/>
  <c r="AK275" i="63" l="1"/>
  <c r="AG275" i="63"/>
  <c r="AF275" i="63"/>
  <c r="Y276" i="63"/>
  <c r="AA276" i="63"/>
  <c r="AP276" i="63" s="1"/>
  <c r="AC276" i="63"/>
  <c r="AH276" i="63" s="1"/>
  <c r="AI276" i="63" l="1"/>
  <c r="AB276" i="63"/>
  <c r="AL276" i="63" s="1"/>
  <c r="AJ276" i="63" s="1"/>
  <c r="AK276" i="63" l="1"/>
  <c r="AF276" i="63"/>
  <c r="AG276" i="63"/>
  <c r="Y277" i="63"/>
  <c r="AC277" i="63" s="1"/>
  <c r="AH277" i="63" s="1"/>
  <c r="AA277" i="63"/>
  <c r="AP277" i="63" s="1"/>
  <c r="AI277" i="63" l="1"/>
  <c r="AB277" i="63"/>
  <c r="AL277" i="63" s="1"/>
  <c r="AA278" i="63" s="1"/>
  <c r="AP278" i="63" s="1"/>
  <c r="AG277" i="63" l="1"/>
  <c r="AF277" i="63"/>
  <c r="AJ277" i="63"/>
  <c r="AK277" i="63" s="1"/>
  <c r="Y278" i="63"/>
  <c r="AC278" i="63" s="1"/>
  <c r="AH278" i="63" s="1"/>
  <c r="AI278" i="63"/>
  <c r="AB278" i="63" l="1"/>
  <c r="AF278" i="63" s="1"/>
  <c r="AL278" i="63" l="1"/>
  <c r="AA279" i="63" s="1"/>
  <c r="AP279" i="63" s="1"/>
  <c r="AG278" i="63"/>
  <c r="Y279" i="63" l="1"/>
  <c r="AC279" i="63" s="1"/>
  <c r="AH279" i="63" s="1"/>
  <c r="AJ278" i="63"/>
  <c r="AK278" i="63" s="1"/>
  <c r="AI279" i="63"/>
  <c r="AB279" i="63" l="1"/>
  <c r="AG279" i="63" s="1"/>
  <c r="AF279" i="63" l="1"/>
  <c r="AL279" i="63"/>
  <c r="AJ279" i="63" s="1"/>
  <c r="AK279" i="63" s="1"/>
  <c r="Y280" i="63" l="1"/>
  <c r="AC280" i="63" s="1"/>
  <c r="AH280" i="63" s="1"/>
  <c r="AA280" i="63"/>
  <c r="AP280" i="63" s="1"/>
  <c r="AI280" i="63" l="1"/>
  <c r="AB280" i="63"/>
  <c r="AL280" i="63" s="1"/>
  <c r="AJ280" i="63" s="1"/>
  <c r="AK280" i="63" l="1"/>
  <c r="AF280" i="63"/>
  <c r="AG280" i="63"/>
  <c r="Y281" i="63"/>
  <c r="AA281" i="63"/>
  <c r="AP281" i="63" s="1"/>
  <c r="AC281" i="63"/>
  <c r="AH281" i="63" s="1"/>
  <c r="AB281" i="63" l="1"/>
  <c r="AL281" i="63" s="1"/>
  <c r="AJ281" i="63" s="1"/>
  <c r="AI281" i="63"/>
  <c r="AF281" i="63" l="1"/>
  <c r="AG281" i="63"/>
  <c r="Y282" i="63"/>
  <c r="AC282" i="63" s="1"/>
  <c r="AH282" i="63" s="1"/>
  <c r="AA282" i="63"/>
  <c r="AP282" i="63" s="1"/>
  <c r="AK281" i="63"/>
  <c r="AI282" i="63" l="1"/>
  <c r="AB282" i="63"/>
  <c r="AG282" i="63" s="1"/>
  <c r="AL282" i="63" l="1"/>
  <c r="AA283" i="63" s="1"/>
  <c r="AP283" i="63" s="1"/>
  <c r="AF282" i="63"/>
  <c r="Y283" i="63" l="1"/>
  <c r="AC283" i="63" s="1"/>
  <c r="AH283" i="63" s="1"/>
  <c r="AJ282" i="63"/>
  <c r="AK282" i="63" s="1"/>
  <c r="AI283" i="63"/>
  <c r="AB283" i="63" l="1"/>
  <c r="AL283" i="63" s="1"/>
  <c r="AA284" i="63" s="1"/>
  <c r="AP284" i="63" s="1"/>
  <c r="AF283" i="63" l="1"/>
  <c r="AG283" i="63"/>
  <c r="Y284" i="63"/>
  <c r="AJ283" i="63"/>
  <c r="AK283" i="63" s="1"/>
  <c r="AC284" i="63"/>
  <c r="AH284" i="63" s="1"/>
  <c r="AI284" i="63"/>
  <c r="AB284" i="63" l="1"/>
  <c r="AG284" i="63" s="1"/>
  <c r="AL284" i="63" l="1"/>
  <c r="AJ284" i="63" s="1"/>
  <c r="AK284" i="63" s="1"/>
  <c r="AF284" i="63"/>
  <c r="Y285" i="63" l="1"/>
  <c r="AC285" i="63" s="1"/>
  <c r="AH285" i="63" s="1"/>
  <c r="AA285" i="63"/>
  <c r="AP285" i="63" s="1"/>
  <c r="AI285" i="63" l="1"/>
  <c r="AB285" i="63"/>
  <c r="AL285" i="63" s="1"/>
  <c r="AJ285" i="63" s="1"/>
  <c r="AF285" i="63" l="1"/>
  <c r="AG285" i="63"/>
  <c r="AK285" i="63"/>
  <c r="Y286" i="63"/>
  <c r="AA286" i="63"/>
  <c r="AP286" i="63" s="1"/>
  <c r="AC286" i="63"/>
  <c r="AH286" i="63" s="1"/>
  <c r="AI286" i="63" l="1"/>
  <c r="AB286" i="63"/>
  <c r="AF286" i="63" s="1"/>
  <c r="AL286" i="63" l="1"/>
  <c r="AJ286" i="63" s="1"/>
  <c r="AK286" i="63" s="1"/>
  <c r="AG286" i="63"/>
  <c r="Y287" i="63" l="1"/>
  <c r="AC287" i="63" s="1"/>
  <c r="AH287" i="63" s="1"/>
  <c r="AA287" i="63"/>
  <c r="AP287" i="63" s="1"/>
  <c r="AI287" i="63" l="1"/>
  <c r="AB287" i="63"/>
  <c r="AG287" i="63" s="1"/>
  <c r="AL287" i="63" l="1"/>
  <c r="AA288" i="63" s="1"/>
  <c r="AP288" i="63" s="1"/>
  <c r="AF287" i="63"/>
  <c r="Y288" i="63" l="1"/>
  <c r="AC288" i="63" s="1"/>
  <c r="AH288" i="63" s="1"/>
  <c r="AJ287" i="63"/>
  <c r="AK287" i="63" s="1"/>
  <c r="AI288" i="63"/>
  <c r="AB288" i="63" l="1"/>
  <c r="AG288" i="63" s="1"/>
  <c r="AL288" i="63" l="1"/>
  <c r="AA289" i="63" s="1"/>
  <c r="AP289" i="63" s="1"/>
  <c r="AF288" i="63"/>
  <c r="Y289" i="63" l="1"/>
  <c r="AC289" i="63" s="1"/>
  <c r="AH289" i="63" s="1"/>
  <c r="AJ288" i="63"/>
  <c r="AK288" i="63" s="1"/>
  <c r="AI289" i="63"/>
  <c r="AB289" i="63" l="1"/>
  <c r="AG289" i="63" s="1"/>
  <c r="AL289" i="63" l="1"/>
  <c r="AA290" i="63" s="1"/>
  <c r="AP290" i="63" s="1"/>
  <c r="AF289" i="63"/>
  <c r="Y290" i="63" l="1"/>
  <c r="AC290" i="63" s="1"/>
  <c r="AH290" i="63" s="1"/>
  <c r="AJ289" i="63"/>
  <c r="AK289" i="63" s="1"/>
  <c r="AI290" i="63"/>
  <c r="AB290" i="63" l="1"/>
  <c r="AG290" i="63" s="1"/>
  <c r="AL290" i="63" l="1"/>
  <c r="AJ290" i="63" s="1"/>
  <c r="AK290" i="63" s="1"/>
  <c r="AF290" i="63"/>
  <c r="Y291" i="63" l="1"/>
  <c r="AC291" i="63" s="1"/>
  <c r="AH291" i="63" s="1"/>
  <c r="AA291" i="63"/>
  <c r="AP291" i="63" s="1"/>
  <c r="AI291" i="63" l="1"/>
  <c r="AB291" i="63"/>
  <c r="AF291" i="63" s="1"/>
  <c r="AL291" i="63" l="1"/>
  <c r="AA292" i="63" s="1"/>
  <c r="AP292" i="63" s="1"/>
  <c r="AG291" i="63"/>
  <c r="Y292" i="63" l="1"/>
  <c r="AC292" i="63" s="1"/>
  <c r="AH292" i="63" s="1"/>
  <c r="AJ291" i="63"/>
  <c r="AK291" i="63" s="1"/>
  <c r="AI292" i="63"/>
  <c r="AB292" i="63" l="1"/>
  <c r="AL292" i="63" s="1"/>
  <c r="AJ292" i="63" s="1"/>
  <c r="AK292" i="63" s="1"/>
  <c r="AF292" i="63" l="1"/>
  <c r="AG292" i="63"/>
  <c r="Y293" i="63"/>
  <c r="AA293" i="63"/>
  <c r="AP293" i="63" s="1"/>
  <c r="AC293" i="63"/>
  <c r="AH293" i="63" s="1"/>
  <c r="AI293" i="63" l="1"/>
  <c r="AB293" i="63"/>
  <c r="AL293" i="63" s="1"/>
  <c r="AA294" i="63" s="1"/>
  <c r="AP294" i="63" s="1"/>
  <c r="AG293" i="63" l="1"/>
  <c r="AF293" i="63"/>
  <c r="Y294" i="63"/>
  <c r="AC294" i="63" s="1"/>
  <c r="AH294" i="63" s="1"/>
  <c r="AJ293" i="63"/>
  <c r="AK293" i="63" s="1"/>
  <c r="AI294" i="63"/>
  <c r="AB294" i="63" l="1"/>
  <c r="AG294" i="63" s="1"/>
  <c r="AL294" i="63" l="1"/>
  <c r="AJ294" i="63" s="1"/>
  <c r="AK294" i="63" s="1"/>
  <c r="AF294" i="63"/>
  <c r="Y295" i="63" l="1"/>
  <c r="AC295" i="63" s="1"/>
  <c r="AH295" i="63" s="1"/>
  <c r="AA295" i="63"/>
  <c r="AP295" i="63" s="1"/>
  <c r="AI295" i="63" l="1"/>
  <c r="AB295" i="63"/>
  <c r="AG295" i="63" s="1"/>
  <c r="AF295" i="63" l="1"/>
  <c r="AL295" i="63"/>
  <c r="AJ295" i="63" s="1"/>
  <c r="AK295" i="63" s="1"/>
  <c r="Y296" i="63" l="1"/>
  <c r="AC296" i="63" s="1"/>
  <c r="AH296" i="63" s="1"/>
  <c r="AA296" i="63"/>
  <c r="AP296" i="63" s="1"/>
  <c r="AI296" i="63" l="1"/>
  <c r="AB296" i="63"/>
  <c r="AG296" i="63" s="1"/>
  <c r="AL296" i="63" l="1"/>
  <c r="Y297" i="63" s="1"/>
  <c r="AF296" i="63"/>
  <c r="AA297" i="63" l="1"/>
  <c r="AP297" i="63" s="1"/>
  <c r="AJ296" i="63"/>
  <c r="AK296" i="63" s="1"/>
  <c r="AC297" i="63"/>
  <c r="AH297" i="63" s="1"/>
  <c r="AI297" i="63" l="1"/>
  <c r="AB297" i="63"/>
  <c r="AG297" i="63" s="1"/>
  <c r="AF297" i="63" l="1"/>
  <c r="AL297" i="63"/>
  <c r="AA298" i="63" s="1"/>
  <c r="AP298" i="63" s="1"/>
  <c r="Y298" i="63" l="1"/>
  <c r="AC298" i="63" s="1"/>
  <c r="AH298" i="63" s="1"/>
  <c r="AJ297" i="63"/>
  <c r="AK297" i="63" s="1"/>
  <c r="AI298" i="63"/>
  <c r="AB298" i="63" l="1"/>
  <c r="AF298" i="63" s="1"/>
  <c r="AL298" i="63" l="1"/>
  <c r="AJ298" i="63" s="1"/>
  <c r="AK298" i="63" s="1"/>
  <c r="AG298" i="63"/>
  <c r="AA299" i="63" l="1"/>
  <c r="AP299" i="63" s="1"/>
  <c r="Y299" i="63"/>
  <c r="AC299" i="63" s="1"/>
  <c r="AH299" i="63" s="1"/>
  <c r="AI299" i="63" l="1"/>
  <c r="AB299" i="63"/>
  <c r="AG299" i="63" s="1"/>
  <c r="AL299" i="63" l="1"/>
  <c r="AJ299" i="63" s="1"/>
  <c r="AK299" i="63" s="1"/>
  <c r="AF299" i="63"/>
  <c r="Y300" i="63" l="1"/>
  <c r="AC300" i="63" s="1"/>
  <c r="AH300" i="63" s="1"/>
  <c r="AA300" i="63"/>
  <c r="AP300" i="63" s="1"/>
  <c r="AI300" i="63" l="1"/>
  <c r="AB300" i="63"/>
  <c r="AF300" i="63" s="1"/>
  <c r="AL300" i="63" l="1"/>
  <c r="AJ300" i="63" s="1"/>
  <c r="AK300" i="63" s="1"/>
  <c r="AG300" i="63"/>
  <c r="Y301" i="63" l="1"/>
  <c r="AC301" i="63" s="1"/>
  <c r="AH301" i="63" s="1"/>
  <c r="AA301" i="63"/>
  <c r="AP301" i="63" s="1"/>
  <c r="AI301" i="63" l="1"/>
  <c r="AB301" i="63"/>
  <c r="AL301" i="63" s="1"/>
  <c r="AJ301" i="63" s="1"/>
  <c r="AK301" i="63" l="1"/>
  <c r="AF301" i="63"/>
  <c r="AG301" i="63"/>
  <c r="Y302" i="63"/>
  <c r="AC302" i="63" s="1"/>
  <c r="AH302" i="63" s="1"/>
  <c r="AA302" i="63"/>
  <c r="AP302" i="63" s="1"/>
  <c r="AI302" i="63" l="1"/>
  <c r="AB302" i="63"/>
  <c r="AF302" i="63" s="1"/>
  <c r="AL302" i="63" l="1"/>
  <c r="AJ302" i="63" s="1"/>
  <c r="AK302" i="63" s="1"/>
  <c r="AG302" i="63"/>
  <c r="Y303" i="63" l="1"/>
  <c r="AA303" i="63"/>
  <c r="AP303" i="63" s="1"/>
  <c r="AC303" i="63"/>
  <c r="AH303" i="63" s="1"/>
  <c r="AI303" i="63" l="1"/>
  <c r="AB303" i="63"/>
  <c r="AF303" i="63" l="1"/>
  <c r="AG303" i="63"/>
  <c r="AL303" i="63"/>
  <c r="AJ303" i="63" l="1"/>
  <c r="AK303" i="63" s="1"/>
  <c r="AA304" i="63"/>
  <c r="AP304" i="63" s="1"/>
  <c r="Y304" i="63"/>
  <c r="AC304" i="63" l="1"/>
  <c r="AH304" i="63" s="1"/>
  <c r="AI304" i="63"/>
  <c r="AB304" i="63" l="1"/>
  <c r="AG304" i="63" s="1"/>
  <c r="AL304" i="63" l="1"/>
  <c r="AJ304" i="63" s="1"/>
  <c r="AK304" i="63" s="1"/>
  <c r="AF304" i="63"/>
  <c r="Y305" i="63" l="1"/>
  <c r="AC305" i="63" s="1"/>
  <c r="AH305" i="63" s="1"/>
  <c r="AA305" i="63"/>
  <c r="AP305" i="63" s="1"/>
  <c r="AI305" i="63" l="1"/>
  <c r="AB305" i="63"/>
  <c r="AL305" i="63" s="1"/>
  <c r="AJ305" i="63" s="1"/>
  <c r="AK305" i="63" l="1"/>
  <c r="AF305" i="63"/>
  <c r="AG305" i="63"/>
  <c r="Y306" i="63"/>
  <c r="AA306" i="63"/>
  <c r="AP306" i="63" s="1"/>
  <c r="AC306" i="63"/>
  <c r="AH306" i="63" s="1"/>
  <c r="AI306" i="63" l="1"/>
  <c r="AB306" i="63"/>
  <c r="AF306" i="63" s="1"/>
  <c r="AL306" i="63" l="1"/>
  <c r="AJ306" i="63" s="1"/>
  <c r="AK306" i="63" s="1"/>
  <c r="AG306" i="63"/>
  <c r="Y307" i="63" l="1"/>
  <c r="AC307" i="63" s="1"/>
  <c r="AH307" i="63" s="1"/>
  <c r="AA307" i="63"/>
  <c r="AP307" i="63" s="1"/>
  <c r="AI307" i="63" l="1"/>
  <c r="AB307" i="63"/>
  <c r="AG307" i="63" s="1"/>
  <c r="AL307" i="63" l="1"/>
  <c r="AJ307" i="63" s="1"/>
  <c r="AK307" i="63" s="1"/>
  <c r="AF307" i="63"/>
  <c r="Y308" i="63" l="1"/>
  <c r="AC308" i="63" s="1"/>
  <c r="AH308" i="63" s="1"/>
  <c r="AA308" i="63"/>
  <c r="AP308" i="63" s="1"/>
  <c r="AI308" i="63" l="1"/>
  <c r="AB308" i="63"/>
  <c r="AG308" i="63" s="1"/>
  <c r="AL308" i="63" l="1"/>
  <c r="AA309" i="63" s="1"/>
  <c r="AP309" i="63" s="1"/>
  <c r="AF308" i="63"/>
  <c r="AJ308" i="63" l="1"/>
  <c r="AK308" i="63" s="1"/>
  <c r="Y309" i="63"/>
  <c r="AC309" i="63" s="1"/>
  <c r="AH309" i="63" s="1"/>
  <c r="AI309" i="63"/>
  <c r="AB309" i="63" l="1"/>
  <c r="AL309" i="63" s="1"/>
  <c r="AJ309" i="63" s="1"/>
  <c r="AK309" i="63" s="1"/>
  <c r="AG309" i="63" l="1"/>
  <c r="AA310" i="63"/>
  <c r="AP310" i="63" s="1"/>
  <c r="AF309" i="63"/>
  <c r="Y310" i="63"/>
  <c r="AC310" i="63" s="1"/>
  <c r="AH310" i="63" s="1"/>
  <c r="AI310" i="63" l="1"/>
  <c r="AB310" i="63"/>
  <c r="AL310" i="63" s="1"/>
  <c r="AJ310" i="63" s="1"/>
  <c r="AK310" i="63" l="1"/>
  <c r="AF310" i="63"/>
  <c r="AG310" i="63"/>
  <c r="Y311" i="63"/>
  <c r="AC311" i="63" s="1"/>
  <c r="AH311" i="63" s="1"/>
  <c r="AA311" i="63"/>
  <c r="AP311" i="63" s="1"/>
  <c r="AI311" i="63" l="1"/>
  <c r="AB311" i="63"/>
  <c r="AG311" i="63" s="1"/>
  <c r="AF311" i="63" l="1"/>
  <c r="AL311" i="63"/>
  <c r="AJ311" i="63" s="1"/>
  <c r="AK311" i="63" s="1"/>
  <c r="Y312" i="63" l="1"/>
  <c r="AC312" i="63" s="1"/>
  <c r="AH312" i="63" s="1"/>
  <c r="AA312" i="63"/>
  <c r="AP312" i="63" s="1"/>
  <c r="AI312" i="63" l="1"/>
  <c r="AB312" i="63"/>
  <c r="AL312" i="63" s="1"/>
  <c r="AJ312" i="63" s="1"/>
  <c r="AK312" i="63" l="1"/>
  <c r="AF312" i="63"/>
  <c r="AG312" i="63"/>
  <c r="Y313" i="63"/>
  <c r="AA313" i="63"/>
  <c r="AP313" i="63" s="1"/>
  <c r="AC313" i="63"/>
  <c r="AH313" i="63" s="1"/>
  <c r="AI313" i="63" l="1"/>
  <c r="AB313" i="63"/>
  <c r="AL313" i="63" s="1"/>
  <c r="AA314" i="63" s="1"/>
  <c r="AP314" i="63" s="1"/>
  <c r="AF313" i="63" l="1"/>
  <c r="AG313" i="63"/>
  <c r="Y314" i="63"/>
  <c r="AC314" i="63" s="1"/>
  <c r="AH314" i="63" s="1"/>
  <c r="AJ313" i="63"/>
  <c r="AK313" i="63" s="1"/>
  <c r="AI314" i="63"/>
  <c r="AB314" i="63" l="1"/>
  <c r="AF314" i="63" s="1"/>
  <c r="AG314" i="63" l="1"/>
  <c r="AL314" i="63"/>
  <c r="AJ314" i="63" s="1"/>
  <c r="AK314" i="63" s="1"/>
  <c r="Y315" i="63" l="1"/>
  <c r="AC315" i="63" s="1"/>
  <c r="AH315" i="63" s="1"/>
  <c r="AA315" i="63"/>
  <c r="AP315" i="63" s="1"/>
  <c r="AI315" i="63" l="1"/>
  <c r="AB315" i="63"/>
  <c r="AF315" i="63" s="1"/>
  <c r="AL315" i="63" l="1"/>
  <c r="AJ315" i="63" s="1"/>
  <c r="AK315" i="63" s="1"/>
  <c r="AG315" i="63"/>
  <c r="Y316" i="63" l="1"/>
  <c r="AC316" i="63" s="1"/>
  <c r="AH316" i="63" s="1"/>
  <c r="AA316" i="63"/>
  <c r="AP316" i="63" s="1"/>
  <c r="AI316" i="63" l="1"/>
  <c r="AB316" i="63"/>
  <c r="AL316" i="63" s="1"/>
  <c r="AJ316" i="63" s="1"/>
  <c r="AK316" i="63" l="1"/>
  <c r="AF316" i="63"/>
  <c r="AG316" i="63"/>
  <c r="Y317" i="63"/>
  <c r="AA317" i="63"/>
  <c r="AP317" i="63" s="1"/>
  <c r="AC317" i="63"/>
  <c r="AH317" i="63" s="1"/>
  <c r="AI317" i="63" l="1"/>
  <c r="AB317" i="63"/>
  <c r="AL317" i="63" s="1"/>
  <c r="AJ317" i="63" s="1"/>
  <c r="AK317" i="63" l="1"/>
  <c r="AF317" i="63"/>
  <c r="AG317" i="63"/>
  <c r="Y318" i="63"/>
  <c r="AA318" i="63"/>
  <c r="AP318" i="63" s="1"/>
  <c r="AC318" i="63"/>
  <c r="AH318" i="63" s="1"/>
  <c r="AI318" i="63" l="1"/>
  <c r="AB318" i="63"/>
  <c r="AF318" i="63" s="1"/>
  <c r="AL318" i="63" l="1"/>
  <c r="AJ318" i="63" s="1"/>
  <c r="AK318" i="63" s="1"/>
  <c r="AG318" i="63"/>
  <c r="Y319" i="63" l="1"/>
  <c r="AC319" i="63" s="1"/>
  <c r="AH319" i="63" s="1"/>
  <c r="AA319" i="63"/>
  <c r="AP319" i="63" s="1"/>
  <c r="AI319" i="63" l="1"/>
  <c r="AB319" i="63"/>
  <c r="AG319" i="63" s="1"/>
  <c r="AL319" i="63" l="1"/>
  <c r="AJ319" i="63" s="1"/>
  <c r="AK319" i="63" s="1"/>
  <c r="AF319" i="63"/>
  <c r="Y320" i="63" l="1"/>
  <c r="AC320" i="63" s="1"/>
  <c r="AH320" i="63" s="1"/>
  <c r="AA320" i="63"/>
  <c r="AP320" i="63" s="1"/>
  <c r="AI320" i="63" l="1"/>
  <c r="AB320" i="63"/>
  <c r="AL320" i="63" s="1"/>
  <c r="AJ320" i="63" s="1"/>
  <c r="AK320" i="63" l="1"/>
  <c r="AA321" i="63"/>
  <c r="AP321" i="63" s="1"/>
  <c r="AF320" i="63"/>
  <c r="AG320" i="63"/>
  <c r="Y321" i="63"/>
  <c r="AC321" i="63" s="1"/>
  <c r="AH321" i="63" s="1"/>
  <c r="AI321" i="63" l="1"/>
  <c r="AB321" i="63"/>
  <c r="AL321" i="63" s="1"/>
  <c r="AA322" i="63" s="1"/>
  <c r="AP322" i="63" s="1"/>
  <c r="AG321" i="63" l="1"/>
  <c r="AF321" i="63"/>
  <c r="Y322" i="63"/>
  <c r="AJ321" i="63"/>
  <c r="AK321" i="63" s="1"/>
  <c r="AC322" i="63"/>
  <c r="AH322" i="63" s="1"/>
  <c r="AI322" i="63"/>
  <c r="AB322" i="63" l="1"/>
  <c r="AL322" i="63" s="1"/>
  <c r="AJ322" i="63" s="1"/>
  <c r="AK322" i="63" s="1"/>
  <c r="Y323" i="63" l="1"/>
  <c r="AC323" i="63" s="1"/>
  <c r="AH323" i="63" s="1"/>
  <c r="AF322" i="63"/>
  <c r="AG322" i="63"/>
  <c r="AA323" i="63"/>
  <c r="AP323" i="63" s="1"/>
  <c r="AI323" i="63" l="1"/>
  <c r="AB323" i="63"/>
  <c r="AG323" i="63" s="1"/>
  <c r="AF323" i="63" l="1"/>
  <c r="AL323" i="63"/>
  <c r="AA324" i="63" s="1"/>
  <c r="AP324" i="63" s="1"/>
  <c r="Y324" i="63" l="1"/>
  <c r="AC324" i="63" s="1"/>
  <c r="AH324" i="63" s="1"/>
  <c r="AJ323" i="63"/>
  <c r="AK323" i="63" s="1"/>
  <c r="AI324" i="63"/>
  <c r="AB324" i="63" l="1"/>
  <c r="AG324" i="63" s="1"/>
  <c r="AL324" i="63" l="1"/>
  <c r="AJ324" i="63" s="1"/>
  <c r="AK324" i="63" s="1"/>
  <c r="AF324" i="63"/>
  <c r="Y325" i="63" l="1"/>
  <c r="AC325" i="63" s="1"/>
  <c r="AH325" i="63" s="1"/>
  <c r="AA325" i="63"/>
  <c r="AP325" i="63" s="1"/>
  <c r="AI325" i="63" l="1"/>
  <c r="AB325" i="63"/>
  <c r="AL325" i="63" s="1"/>
  <c r="AA326" i="63" s="1"/>
  <c r="AP326" i="63" s="1"/>
  <c r="AG325" i="63" l="1"/>
  <c r="AF325" i="63"/>
  <c r="Y326" i="63"/>
  <c r="AC326" i="63" s="1"/>
  <c r="AH326" i="63" s="1"/>
  <c r="AJ325" i="63"/>
  <c r="AK325" i="63" s="1"/>
  <c r="AI326" i="63"/>
  <c r="AB326" i="63" l="1"/>
  <c r="AF326" i="63" s="1"/>
  <c r="AL326" i="63" l="1"/>
  <c r="AJ326" i="63" s="1"/>
  <c r="AK326" i="63" s="1"/>
  <c r="AG326" i="63"/>
  <c r="AA327" i="63" l="1"/>
  <c r="AP327" i="63" s="1"/>
  <c r="Y327" i="63"/>
  <c r="AC327" i="63" s="1"/>
  <c r="AH327" i="63" s="1"/>
  <c r="AI327" i="63" l="1"/>
  <c r="AB327" i="63"/>
  <c r="AG327" i="63" s="1"/>
  <c r="AL327" i="63" l="1"/>
  <c r="AA328" i="63" s="1"/>
  <c r="AP328" i="63" s="1"/>
  <c r="AF327" i="63"/>
  <c r="Y328" i="63" l="1"/>
  <c r="AC328" i="63" s="1"/>
  <c r="AH328" i="63" s="1"/>
  <c r="AJ327" i="63"/>
  <c r="AK327" i="63" s="1"/>
  <c r="AI328" i="63"/>
  <c r="AB328" i="63" l="1"/>
  <c r="AF328" i="63" s="1"/>
  <c r="AL328" i="63" l="1"/>
  <c r="AA329" i="63" s="1"/>
  <c r="AP329" i="63" s="1"/>
  <c r="AG328" i="63"/>
  <c r="Y329" i="63" l="1"/>
  <c r="AC329" i="63" s="1"/>
  <c r="AH329" i="63" s="1"/>
  <c r="AJ328" i="63"/>
  <c r="AK328" i="63" s="1"/>
  <c r="AI329" i="63"/>
  <c r="AB329" i="63" l="1"/>
  <c r="AL329" i="63" s="1"/>
  <c r="AJ329" i="63" s="1"/>
  <c r="AK329" i="63" s="1"/>
  <c r="AA330" i="63" l="1"/>
  <c r="AP330" i="63" s="1"/>
  <c r="AG329" i="63"/>
  <c r="Y330" i="63"/>
  <c r="AC330" i="63" s="1"/>
  <c r="AH330" i="63" s="1"/>
  <c r="AF329" i="63"/>
  <c r="AI330" i="63" l="1"/>
  <c r="AB330" i="63"/>
  <c r="AF330" i="63" s="1"/>
  <c r="AL330" i="63" l="1"/>
  <c r="AJ330" i="63" s="1"/>
  <c r="AK330" i="63" s="1"/>
  <c r="AG330" i="63"/>
  <c r="Y331" i="63" l="1"/>
  <c r="AC331" i="63" s="1"/>
  <c r="AH331" i="63" s="1"/>
  <c r="AA331" i="63"/>
  <c r="AP331" i="63" s="1"/>
  <c r="AI331" i="63" l="1"/>
  <c r="AB331" i="63"/>
  <c r="AF331" i="63" s="1"/>
  <c r="AL331" i="63" l="1"/>
  <c r="AA332" i="63" s="1"/>
  <c r="AP332" i="63" s="1"/>
  <c r="AG331" i="63"/>
  <c r="Y332" i="63" l="1"/>
  <c r="AC332" i="63" s="1"/>
  <c r="AH332" i="63" s="1"/>
  <c r="AJ331" i="63"/>
  <c r="AK331" i="63" s="1"/>
  <c r="AI332" i="63"/>
  <c r="AB332" i="63" l="1"/>
  <c r="AG332" i="63" s="1"/>
  <c r="AL332" i="63" l="1"/>
  <c r="AJ332" i="63" s="1"/>
  <c r="AK332" i="63" s="1"/>
  <c r="AF332" i="63"/>
  <c r="Y333" i="63" l="1"/>
  <c r="AC333" i="63" s="1"/>
  <c r="AH333" i="63" s="1"/>
  <c r="AA333" i="63"/>
  <c r="AP333" i="63" s="1"/>
  <c r="AI333" i="63" l="1"/>
  <c r="AB333" i="63"/>
  <c r="AL333" i="63" s="1"/>
  <c r="AJ333" i="63" s="1"/>
  <c r="AK333" i="63" l="1"/>
  <c r="AG333" i="63"/>
  <c r="AF333" i="63"/>
  <c r="Y334" i="63"/>
  <c r="AA334" i="63"/>
  <c r="AP334" i="63" s="1"/>
  <c r="AC334" i="63"/>
  <c r="AH334" i="63" s="1"/>
  <c r="AI334" i="63" l="1"/>
  <c r="AB334" i="63"/>
  <c r="AF334" i="63" s="1"/>
  <c r="AL334" i="63" l="1"/>
  <c r="AJ334" i="63" s="1"/>
  <c r="AK334" i="63" s="1"/>
  <c r="AG334" i="63"/>
  <c r="Y335" i="63" l="1"/>
  <c r="AC335" i="63" s="1"/>
  <c r="AH335" i="63" s="1"/>
  <c r="AA335" i="63"/>
  <c r="AP335" i="63" s="1"/>
  <c r="AI335" i="63" l="1"/>
  <c r="AB335" i="63"/>
  <c r="AG335" i="63" s="1"/>
  <c r="AL335" i="63" l="1"/>
  <c r="AJ335" i="63" s="1"/>
  <c r="AK335" i="63" s="1"/>
  <c r="AF335" i="63"/>
  <c r="AA336" i="63" l="1"/>
  <c r="AP336" i="63" s="1"/>
  <c r="Y336" i="63"/>
  <c r="AC336" i="63" s="1"/>
  <c r="AH336" i="63" s="1"/>
  <c r="AI336" i="63" l="1"/>
  <c r="AB336" i="63"/>
  <c r="AL336" i="63" s="1"/>
  <c r="AJ336" i="63" s="1"/>
  <c r="AK336" i="63" l="1"/>
  <c r="AG336" i="63"/>
  <c r="AF336" i="63"/>
  <c r="Y337" i="63"/>
  <c r="AC337" i="63" s="1"/>
  <c r="AH337" i="63" s="1"/>
  <c r="AA337" i="63"/>
  <c r="AP337" i="63" s="1"/>
  <c r="AI337" i="63" l="1"/>
  <c r="AB337" i="63"/>
  <c r="AF337" i="63" s="1"/>
  <c r="AL337" i="63" l="1"/>
  <c r="AA338" i="63" s="1"/>
  <c r="AP338" i="63" s="1"/>
  <c r="AG337" i="63"/>
  <c r="Y338" i="63" l="1"/>
  <c r="AC338" i="63" s="1"/>
  <c r="AH338" i="63" s="1"/>
  <c r="AJ337" i="63"/>
  <c r="AK337" i="63" s="1"/>
  <c r="AI338" i="63"/>
  <c r="AB338" i="63" l="1"/>
  <c r="AL338" i="63" s="1"/>
  <c r="AJ338" i="63" s="1"/>
  <c r="AK338" i="63" s="1"/>
  <c r="AG338" i="63" l="1"/>
  <c r="AF338" i="63"/>
  <c r="Y339" i="63"/>
  <c r="AC339" i="63" s="1"/>
  <c r="AH339" i="63" s="1"/>
  <c r="AA339" i="63"/>
  <c r="AP339" i="63" s="1"/>
  <c r="AI339" i="63" l="1"/>
  <c r="AB339" i="63"/>
  <c r="AF339" i="63" s="1"/>
  <c r="AL339" i="63" l="1"/>
  <c r="AA340" i="63" s="1"/>
  <c r="AP340" i="63" s="1"/>
  <c r="AG339" i="63"/>
  <c r="Y340" i="63" l="1"/>
  <c r="AC340" i="63" s="1"/>
  <c r="AH340" i="63" s="1"/>
  <c r="AJ339" i="63"/>
  <c r="AK339" i="63" s="1"/>
  <c r="AI340" i="63"/>
  <c r="AB340" i="63" l="1"/>
  <c r="AL340" i="63" s="1"/>
  <c r="AJ340" i="63" s="1"/>
  <c r="AK340" i="63" s="1"/>
  <c r="AF340" i="63" l="1"/>
  <c r="AG340" i="63"/>
  <c r="Y341" i="63"/>
  <c r="AC341" i="63" s="1"/>
  <c r="AH341" i="63" s="1"/>
  <c r="AA341" i="63"/>
  <c r="AP341" i="63" s="1"/>
  <c r="AI341" i="63" l="1"/>
  <c r="AB341" i="63"/>
  <c r="AF341" i="63" s="1"/>
  <c r="AL341" i="63" l="1"/>
  <c r="AJ341" i="63" s="1"/>
  <c r="AK341" i="63" s="1"/>
  <c r="AG341" i="63"/>
  <c r="Y342" i="63" l="1"/>
  <c r="AC342" i="63" s="1"/>
  <c r="AH342" i="63" s="1"/>
  <c r="AA342" i="63"/>
  <c r="AP342" i="63" s="1"/>
  <c r="AI342" i="63" l="1"/>
  <c r="AB342" i="63"/>
  <c r="AF342" i="63" s="1"/>
  <c r="AG342" i="63" l="1"/>
  <c r="AL342" i="63"/>
  <c r="AJ342" i="63" s="1"/>
  <c r="AK342" i="63" s="1"/>
  <c r="Y343" i="63" l="1"/>
  <c r="AC343" i="63" s="1"/>
  <c r="AH343" i="63" s="1"/>
  <c r="AA343" i="63"/>
  <c r="AP343" i="63" s="1"/>
  <c r="AI343" i="63" l="1"/>
  <c r="AB343" i="63"/>
  <c r="AG343" i="63" s="1"/>
  <c r="AL343" i="63" l="1"/>
  <c r="AA344" i="63" s="1"/>
  <c r="AP344" i="63" s="1"/>
  <c r="AF343" i="63"/>
  <c r="Y344" i="63" l="1"/>
  <c r="AC344" i="63" s="1"/>
  <c r="AH344" i="63" s="1"/>
  <c r="AJ343" i="63"/>
  <c r="AK343" i="63" s="1"/>
  <c r="AI344" i="63"/>
  <c r="AB344" i="63" l="1"/>
  <c r="AL344" i="63" s="1"/>
  <c r="AJ344" i="63" s="1"/>
  <c r="AK344" i="63" s="1"/>
  <c r="AF344" i="63" l="1"/>
  <c r="AG344" i="63"/>
  <c r="Y345" i="63"/>
  <c r="AA345" i="63"/>
  <c r="AP345" i="63" s="1"/>
  <c r="AC345" i="63"/>
  <c r="AH345" i="63" s="1"/>
  <c r="AI345" i="63" l="1"/>
  <c r="AB345" i="63"/>
  <c r="AG345" i="63" s="1"/>
  <c r="AL345" i="63" l="1"/>
  <c r="AJ345" i="63" s="1"/>
  <c r="AK345" i="63" s="1"/>
  <c r="AF345" i="63"/>
  <c r="AA346" i="63" l="1"/>
  <c r="AP346" i="63" s="1"/>
  <c r="Y346" i="63"/>
  <c r="AC346" i="63" s="1"/>
  <c r="AH346" i="63" s="1"/>
  <c r="AI346" i="63" l="1"/>
  <c r="AB346" i="63"/>
  <c r="AL346" i="63" s="1"/>
  <c r="AJ346" i="63" s="1"/>
  <c r="AG346" i="63" l="1"/>
  <c r="AF346" i="63"/>
  <c r="AA347" i="63"/>
  <c r="AP347" i="63" s="1"/>
  <c r="AK346" i="63"/>
  <c r="Y347" i="63"/>
  <c r="AC347" i="63" s="1"/>
  <c r="AH347" i="63" s="1"/>
  <c r="AI347" i="63" l="1"/>
  <c r="AB347" i="63"/>
  <c r="AG347" i="63" s="1"/>
  <c r="AL347" i="63" l="1"/>
  <c r="AA348" i="63" s="1"/>
  <c r="AP348" i="63" s="1"/>
  <c r="AF347" i="63"/>
  <c r="Y348" i="63" l="1"/>
  <c r="AC348" i="63" s="1"/>
  <c r="AH348" i="63" s="1"/>
  <c r="AJ347" i="63"/>
  <c r="AK347" i="63" s="1"/>
  <c r="AI348" i="63"/>
  <c r="AB348" i="63" l="1"/>
  <c r="AG348" i="63" s="1"/>
  <c r="AL348" i="63" l="1"/>
  <c r="AA349" i="63" s="1"/>
  <c r="AP349" i="63" s="1"/>
  <c r="AF348" i="63"/>
  <c r="Y349" i="63" l="1"/>
  <c r="AC349" i="63" s="1"/>
  <c r="AH349" i="63" s="1"/>
  <c r="AJ348" i="63"/>
  <c r="AK348" i="63" s="1"/>
  <c r="AI349" i="63"/>
  <c r="AB349" i="63" l="1"/>
  <c r="AG349" i="63" s="1"/>
  <c r="AL349" i="63" l="1"/>
  <c r="AJ349" i="63" s="1"/>
  <c r="AK349" i="63" s="1"/>
  <c r="AF349" i="63"/>
  <c r="Y350" i="63" l="1"/>
  <c r="AC350" i="63" s="1"/>
  <c r="AH350" i="63" s="1"/>
  <c r="AA350" i="63"/>
  <c r="AP350" i="63" s="1"/>
  <c r="AI350" i="63" l="1"/>
  <c r="AB350" i="63"/>
  <c r="AG350" i="63" s="1"/>
  <c r="AL350" i="63" l="1"/>
  <c r="AJ350" i="63" s="1"/>
  <c r="AK350" i="63" s="1"/>
  <c r="AF350" i="63"/>
  <c r="Y351" i="63" l="1"/>
  <c r="AC351" i="63" s="1"/>
  <c r="AH351" i="63" s="1"/>
  <c r="AA351" i="63"/>
  <c r="AP351" i="63" s="1"/>
  <c r="AI351" i="63" l="1"/>
  <c r="AB351" i="63"/>
  <c r="AG351" i="63" l="1"/>
  <c r="AF351" i="63"/>
  <c r="AL351" i="63"/>
  <c r="AA352" i="63" l="1"/>
  <c r="AP352" i="63" s="1"/>
  <c r="AJ351" i="63"/>
  <c r="AK351" i="63" s="1"/>
  <c r="Y352" i="63"/>
  <c r="AC352" i="63" l="1"/>
  <c r="AH352" i="63" s="1"/>
  <c r="AI352" i="63"/>
  <c r="AB352" i="63" l="1"/>
  <c r="AL352" i="63" s="1"/>
  <c r="AA353" i="63" s="1"/>
  <c r="AP353" i="63" s="1"/>
  <c r="AG352" i="63" l="1"/>
  <c r="AJ352" i="63"/>
  <c r="AK352" i="63" s="1"/>
  <c r="AF352" i="63"/>
  <c r="Y353" i="63"/>
  <c r="AC353" i="63" s="1"/>
  <c r="AH353" i="63" s="1"/>
  <c r="AI353" i="63"/>
  <c r="AB353" i="63" l="1"/>
  <c r="AG353" i="63" s="1"/>
  <c r="AL353" i="63" l="1"/>
  <c r="AA354" i="63" s="1"/>
  <c r="AP354" i="63" s="1"/>
  <c r="AF353" i="63"/>
  <c r="AJ353" i="63" l="1"/>
  <c r="AK353" i="63" s="1"/>
  <c r="Y354" i="63"/>
  <c r="AC354" i="63" s="1"/>
  <c r="AH354" i="63" s="1"/>
  <c r="AI354" i="63"/>
  <c r="AB354" i="63" l="1"/>
  <c r="AL354" i="63" s="1"/>
  <c r="AG354" i="63" l="1"/>
  <c r="AF354" i="63"/>
  <c r="AJ354" i="63"/>
  <c r="AK354" i="63" s="1"/>
  <c r="AA355" i="63"/>
  <c r="AP355" i="63" s="1"/>
  <c r="Y355" i="63"/>
  <c r="AC355" i="63" l="1"/>
  <c r="AH355" i="63" s="1"/>
  <c r="AI355" i="63"/>
  <c r="AB355" i="63" l="1"/>
  <c r="AF355" i="63" s="1"/>
  <c r="AL355" i="63" l="1"/>
  <c r="AA356" i="63" s="1"/>
  <c r="AP356" i="63" s="1"/>
  <c r="AG355" i="63"/>
  <c r="Y356" i="63" l="1"/>
  <c r="AC356" i="63" s="1"/>
  <c r="AH356" i="63" s="1"/>
  <c r="AJ355" i="63"/>
  <c r="AK355" i="63" s="1"/>
  <c r="AI356" i="63"/>
  <c r="AB356" i="63" l="1"/>
  <c r="AF356" i="63" s="1"/>
  <c r="AG356" i="63" l="1"/>
  <c r="AL356" i="63"/>
  <c r="AA357" i="63" s="1"/>
  <c r="AP357" i="63" s="1"/>
  <c r="Y357" i="63" l="1"/>
  <c r="AC357" i="63" s="1"/>
  <c r="AH357" i="63" s="1"/>
  <c r="AJ356" i="63"/>
  <c r="AK356" i="63" s="1"/>
  <c r="AI357" i="63"/>
  <c r="AB357" i="63" l="1"/>
  <c r="AF357" i="63" s="1"/>
  <c r="AL357" i="63" l="1"/>
  <c r="AA358" i="63" s="1"/>
  <c r="AP358" i="63" s="1"/>
  <c r="AG357" i="63"/>
  <c r="Y358" i="63" l="1"/>
  <c r="AC358" i="63" s="1"/>
  <c r="AH358" i="63" s="1"/>
  <c r="AJ357" i="63"/>
  <c r="AK357" i="63" s="1"/>
  <c r="AI358" i="63"/>
  <c r="AB358" i="63" l="1"/>
  <c r="AG358" i="63" s="1"/>
  <c r="AL358" i="63" l="1"/>
  <c r="AJ358" i="63" s="1"/>
  <c r="AK358" i="63" s="1"/>
  <c r="AF358" i="63"/>
  <c r="Y359" i="63" l="1"/>
  <c r="AC359" i="63" s="1"/>
  <c r="AH359" i="63" s="1"/>
  <c r="AA359" i="63"/>
  <c r="AP359" i="63" s="1"/>
  <c r="AI359" i="63" l="1"/>
  <c r="AB359" i="63"/>
  <c r="AL359" i="63" s="1"/>
  <c r="AA360" i="63" s="1"/>
  <c r="AP360" i="63" s="1"/>
  <c r="AF359" i="63" l="1"/>
  <c r="AG359" i="63"/>
  <c r="Y360" i="63"/>
  <c r="AC360" i="63" s="1"/>
  <c r="AH360" i="63" s="1"/>
  <c r="AJ359" i="63"/>
  <c r="AK359" i="63" s="1"/>
  <c r="AI360" i="63"/>
  <c r="AB360" i="63" l="1"/>
  <c r="AF360" i="63" s="1"/>
  <c r="AL360" i="63" l="1"/>
  <c r="AJ360" i="63" s="1"/>
  <c r="AK360" i="63" s="1"/>
  <c r="AG360" i="63"/>
  <c r="Y361" i="63" l="1"/>
  <c r="AC361" i="63" s="1"/>
  <c r="AH361" i="63" s="1"/>
  <c r="AA361" i="63"/>
  <c r="AP361" i="63" s="1"/>
  <c r="AI361" i="63" l="1"/>
  <c r="AB361" i="63"/>
  <c r="AF361" i="63" s="1"/>
  <c r="AL361" i="63" l="1"/>
  <c r="AA362" i="63" s="1"/>
  <c r="AP362" i="63" s="1"/>
  <c r="AG361" i="63"/>
  <c r="Y362" i="63" l="1"/>
  <c r="AC362" i="63" s="1"/>
  <c r="AH362" i="63" s="1"/>
  <c r="AJ361" i="63"/>
  <c r="AK361" i="63" s="1"/>
  <c r="AI362" i="63"/>
  <c r="AB362" i="63" l="1"/>
  <c r="AL362" i="63" s="1"/>
  <c r="AF362" i="63" l="1"/>
  <c r="AG362" i="63"/>
  <c r="AA363" i="63"/>
  <c r="AP363" i="63" s="1"/>
  <c r="AJ362" i="63"/>
  <c r="AK362" i="63" s="1"/>
  <c r="Y363" i="63"/>
  <c r="AC363" i="63" l="1"/>
  <c r="AH363" i="63" s="1"/>
  <c r="AI363" i="63"/>
  <c r="AB363" i="63" l="1"/>
  <c r="AL363" i="63" s="1"/>
  <c r="AA364" i="63" s="1"/>
  <c r="AP364" i="63" s="1"/>
  <c r="AF363" i="63" l="1"/>
  <c r="AG363" i="63"/>
  <c r="Y364" i="63"/>
  <c r="AJ363" i="63"/>
  <c r="AK363" i="63" s="1"/>
  <c r="AC364" i="63"/>
  <c r="AH364" i="63" s="1"/>
  <c r="AI364" i="63"/>
  <c r="AB364" i="63" l="1"/>
  <c r="AF364" i="63" s="1"/>
  <c r="AL364" i="63" l="1"/>
  <c r="AJ364" i="63" s="1"/>
  <c r="AK364" i="63" s="1"/>
  <c r="AG364" i="63"/>
  <c r="AA365" i="63" l="1"/>
  <c r="AP365" i="63" s="1"/>
  <c r="Y365" i="63"/>
  <c r="AC365" i="63" s="1"/>
  <c r="AH365" i="63" s="1"/>
  <c r="AI365" i="63" l="1"/>
  <c r="AB365" i="63"/>
  <c r="AL365" i="63" s="1"/>
  <c r="AF365" i="63" l="1"/>
  <c r="AG365" i="63"/>
  <c r="AJ365" i="63"/>
  <c r="AK365" i="63" s="1"/>
  <c r="AA366" i="63"/>
  <c r="AP366" i="63" s="1"/>
  <c r="Y366" i="63"/>
  <c r="AC366" i="63" l="1"/>
  <c r="AH366" i="63" s="1"/>
  <c r="AI366" i="63"/>
  <c r="AB366" i="63" l="1"/>
  <c r="AG366" i="63" s="1"/>
  <c r="AL366" i="63" l="1"/>
  <c r="AJ366" i="63" s="1"/>
  <c r="AK366" i="63" s="1"/>
  <c r="AF366" i="63"/>
  <c r="AA367" i="63" l="1"/>
  <c r="AP367" i="63" s="1"/>
  <c r="Y367" i="63"/>
  <c r="AC367" i="63" s="1"/>
  <c r="AH367" i="63" s="1"/>
  <c r="AI367" i="63" l="1"/>
  <c r="AB367" i="63"/>
  <c r="AL367" i="63" s="1"/>
  <c r="AF367" i="63" l="1"/>
  <c r="AG367" i="63"/>
  <c r="AA368" i="63"/>
  <c r="AP368" i="63" s="1"/>
  <c r="AJ367" i="63"/>
  <c r="AK367" i="63" s="1"/>
  <c r="Y368" i="63"/>
  <c r="AC368" i="63" l="1"/>
  <c r="AH368" i="63" s="1"/>
  <c r="AI368" i="63"/>
  <c r="AB368" i="63" l="1"/>
  <c r="AL368" i="63" s="1"/>
  <c r="AA369" i="63" s="1"/>
  <c r="AP369" i="63" s="1"/>
  <c r="AJ368" i="63" l="1"/>
  <c r="AK368" i="63" s="1"/>
  <c r="AF368" i="63"/>
  <c r="Y369" i="63"/>
  <c r="AC369" i="63" s="1"/>
  <c r="AH369" i="63" s="1"/>
  <c r="AG368" i="63"/>
  <c r="AI369" i="63"/>
  <c r="AB369" i="63" l="1"/>
  <c r="AG369" i="63" s="1"/>
  <c r="AL369" i="63" l="1"/>
  <c r="AJ369" i="63" s="1"/>
  <c r="AK369" i="63" s="1"/>
  <c r="AF369" i="63"/>
  <c r="Y370" i="63" l="1"/>
  <c r="AC370" i="63" s="1"/>
  <c r="AH370" i="63" s="1"/>
  <c r="AA370" i="63"/>
  <c r="AP370" i="63" s="1"/>
  <c r="AI370" i="63" l="1"/>
  <c r="AB370" i="63"/>
  <c r="AL370" i="63" s="1"/>
  <c r="AJ370" i="63" s="1"/>
  <c r="AK370" i="63" l="1"/>
  <c r="AF370" i="63"/>
  <c r="AG370" i="63"/>
  <c r="Y371" i="63"/>
  <c r="AA371" i="63"/>
  <c r="AP371" i="63" s="1"/>
  <c r="AC371" i="63"/>
  <c r="AH371" i="63" s="1"/>
  <c r="AI371" i="63" l="1"/>
  <c r="AB371" i="63"/>
  <c r="AF371" i="63" s="1"/>
  <c r="AL371" i="63" l="1"/>
  <c r="AA372" i="63" s="1"/>
  <c r="AP372" i="63" s="1"/>
  <c r="AG371" i="63"/>
  <c r="AJ371" i="63" l="1"/>
  <c r="AK371" i="63" s="1"/>
  <c r="Y372" i="63"/>
  <c r="AC372" i="63" s="1"/>
  <c r="AH372" i="63" s="1"/>
  <c r="AI372" i="63"/>
  <c r="AB372" i="63" l="1"/>
  <c r="AG372" i="63" s="1"/>
  <c r="AL372" i="63" l="1"/>
  <c r="AJ372" i="63" s="1"/>
  <c r="AK372" i="63" s="1"/>
  <c r="AF372" i="63"/>
  <c r="AA373" i="63" l="1"/>
  <c r="AP373" i="63" s="1"/>
  <c r="Y373" i="63"/>
  <c r="AC373" i="63" s="1"/>
  <c r="AH373" i="63" s="1"/>
  <c r="AI373" i="63" l="1"/>
  <c r="AB373" i="63"/>
  <c r="AL373" i="63" s="1"/>
  <c r="AJ373" i="63" s="1"/>
  <c r="AA374" i="63"/>
  <c r="AP374" i="63" s="1"/>
  <c r="AK373" i="63" l="1"/>
  <c r="AG373" i="63"/>
  <c r="AF373" i="63"/>
  <c r="Y374" i="63"/>
  <c r="AC374" i="63" s="1"/>
  <c r="AH374" i="63" s="1"/>
  <c r="AI374" i="63"/>
  <c r="AB374" i="63" l="1"/>
  <c r="AL374" i="63" s="1"/>
  <c r="AJ374" i="63" s="1"/>
  <c r="AK374" i="63" s="1"/>
  <c r="AG374" i="63" l="1"/>
  <c r="AF374" i="63"/>
  <c r="Y375" i="63"/>
  <c r="AA375" i="63"/>
  <c r="AP375" i="63" s="1"/>
  <c r="AC375" i="63"/>
  <c r="AH375" i="63" s="1"/>
  <c r="AI375" i="63" l="1"/>
  <c r="AB375" i="63"/>
  <c r="AG375" i="63" s="1"/>
  <c r="AL375" i="63" l="1"/>
  <c r="AA376" i="63" s="1"/>
  <c r="AP376" i="63" s="1"/>
  <c r="AF375" i="63"/>
  <c r="Y376" i="63" l="1"/>
  <c r="AC376" i="63" s="1"/>
  <c r="AH376" i="63" s="1"/>
  <c r="AJ375" i="63"/>
  <c r="AK375" i="63" s="1"/>
  <c r="AI376" i="63"/>
  <c r="AB376" i="63" l="1"/>
  <c r="AL376" i="63" s="1"/>
  <c r="AA377" i="63" s="1"/>
  <c r="AP377" i="63" s="1"/>
  <c r="AG376" i="63" l="1"/>
  <c r="AF376" i="63"/>
  <c r="Y377" i="63"/>
  <c r="AC377" i="63" s="1"/>
  <c r="AH377" i="63" s="1"/>
  <c r="AJ376" i="63"/>
  <c r="AK376" i="63" s="1"/>
  <c r="AI377" i="63"/>
  <c r="AB377" i="63" l="1"/>
  <c r="AL377" i="63" s="1"/>
  <c r="AJ377" i="63" s="1"/>
  <c r="AK377" i="63" s="1"/>
  <c r="Y378" i="63" l="1"/>
  <c r="AC378" i="63" s="1"/>
  <c r="AH378" i="63" s="1"/>
  <c r="AG377" i="63"/>
  <c r="AF377" i="63"/>
  <c r="AA378" i="63"/>
  <c r="AP378" i="63" s="1"/>
  <c r="AI378" i="63" l="1"/>
  <c r="AB378" i="63"/>
  <c r="AL378" i="63" s="1"/>
  <c r="AF378" i="63" l="1"/>
  <c r="AG378" i="63"/>
  <c r="AJ378" i="63"/>
  <c r="AK378" i="63" s="1"/>
  <c r="AA379" i="63"/>
  <c r="AP379" i="63" s="1"/>
  <c r="Y379" i="63"/>
  <c r="AC379" i="63" l="1"/>
  <c r="AH379" i="63" s="1"/>
  <c r="AI379" i="63"/>
  <c r="AB379" i="63" l="1"/>
  <c r="AG379" i="63" s="1"/>
  <c r="AL379" i="63" l="1"/>
  <c r="Y380" i="63" s="1"/>
  <c r="AF379" i="63"/>
  <c r="AA380" i="63" l="1"/>
  <c r="AP380" i="63" s="1"/>
  <c r="AJ379" i="63"/>
  <c r="AK379" i="63" s="1"/>
  <c r="AC380" i="63"/>
  <c r="AH380" i="63" s="1"/>
  <c r="AI380" i="63" l="1"/>
  <c r="AB380" i="63"/>
  <c r="AL380" i="63" s="1"/>
  <c r="AA381" i="63" s="1"/>
  <c r="AP381" i="63" s="1"/>
  <c r="AJ380" i="63" l="1"/>
  <c r="AK380" i="63" s="1"/>
  <c r="AG380" i="63"/>
  <c r="Y381" i="63"/>
  <c r="AC381" i="63" s="1"/>
  <c r="AH381" i="63" s="1"/>
  <c r="AF380" i="63"/>
  <c r="AI381" i="63"/>
  <c r="AB381" i="63" l="1"/>
  <c r="AL381" i="63" s="1"/>
  <c r="AA382" i="63" s="1"/>
  <c r="AP382" i="63" s="1"/>
  <c r="AG381" i="63" l="1"/>
  <c r="AF381" i="63"/>
  <c r="Y382" i="63"/>
  <c r="AC382" i="63" s="1"/>
  <c r="AH382" i="63" s="1"/>
  <c r="AJ381" i="63"/>
  <c r="AK381" i="63" s="1"/>
  <c r="AI382" i="63"/>
  <c r="AB382" i="63" l="1"/>
  <c r="AL382" i="63" s="1"/>
  <c r="AJ382" i="63" s="1"/>
  <c r="AK382" i="63" s="1"/>
  <c r="AG382" i="63" l="1"/>
  <c r="AF382" i="63"/>
  <c r="Y383" i="63"/>
  <c r="AA383" i="63"/>
  <c r="AP383" i="63" s="1"/>
  <c r="AC383" i="63"/>
  <c r="AH383" i="63" s="1"/>
  <c r="AI383" i="63" l="1"/>
  <c r="AB383" i="63"/>
  <c r="AL383" i="63" s="1"/>
  <c r="AJ383" i="63" s="1"/>
  <c r="AK383" i="63" l="1"/>
  <c r="AG383" i="63"/>
  <c r="AF383" i="63"/>
  <c r="AA384" i="63"/>
  <c r="AP384" i="63" s="1"/>
  <c r="Y384" i="63"/>
  <c r="AC384" i="63" s="1"/>
  <c r="AH384" i="63" s="1"/>
  <c r="AI384" i="63" l="1"/>
  <c r="AB384" i="63"/>
  <c r="AF384" i="63" s="1"/>
  <c r="AL384" i="63" l="1"/>
  <c r="AJ384" i="63" s="1"/>
  <c r="AK384" i="63" s="1"/>
  <c r="AG384" i="63"/>
  <c r="AA385" i="63" l="1"/>
  <c r="AP385" i="63" s="1"/>
  <c r="Y385" i="63"/>
  <c r="AC385" i="63" s="1"/>
  <c r="AH385" i="63" s="1"/>
  <c r="AI385" i="63" l="1"/>
  <c r="AB385" i="63"/>
  <c r="AF385" i="63" s="1"/>
  <c r="AL385" i="63" l="1"/>
  <c r="AJ385" i="63" s="1"/>
  <c r="AK385" i="63" s="1"/>
  <c r="AG385" i="63"/>
  <c r="Y386" i="63" l="1"/>
  <c r="AC386" i="63" s="1"/>
  <c r="AH386" i="63" s="1"/>
  <c r="AA386" i="63"/>
  <c r="AP386" i="63" s="1"/>
  <c r="AI386" i="63" l="1"/>
  <c r="AB386" i="63"/>
  <c r="AF386" i="63" s="1"/>
  <c r="AL386" i="63" l="1"/>
  <c r="AJ386" i="63" s="1"/>
  <c r="AK386" i="63" s="1"/>
  <c r="AG386" i="63"/>
  <c r="AA387" i="63" l="1"/>
  <c r="AP387" i="63" s="1"/>
  <c r="Y387" i="63"/>
  <c r="AC387" i="63" s="1"/>
  <c r="AH387" i="63" s="1"/>
  <c r="AI387" i="63" l="1"/>
  <c r="AB387" i="63"/>
  <c r="AG387" i="63" s="1"/>
  <c r="AL387" i="63" l="1"/>
  <c r="AJ387" i="63" s="1"/>
  <c r="AK387" i="63" s="1"/>
  <c r="AF387" i="63"/>
  <c r="AA388" i="63" l="1"/>
  <c r="AP388" i="63" s="1"/>
  <c r="Y388" i="63"/>
  <c r="AC388" i="63" s="1"/>
  <c r="AH388" i="63" s="1"/>
  <c r="AI388" i="63" l="1"/>
  <c r="AB388" i="63"/>
  <c r="AL388" i="63" s="1"/>
  <c r="AJ388" i="63" s="1"/>
  <c r="AG388" i="63" l="1"/>
  <c r="AK388" i="63"/>
  <c r="AF388" i="63"/>
  <c r="Y389" i="63"/>
  <c r="AA389" i="63"/>
  <c r="AP389" i="63" s="1"/>
  <c r="AC389" i="63"/>
  <c r="AH389" i="63" s="1"/>
  <c r="AI389" i="63" l="1"/>
  <c r="AB389" i="63"/>
  <c r="AF389" i="63" s="1"/>
  <c r="AL389" i="63" l="1"/>
  <c r="AJ389" i="63" s="1"/>
  <c r="AK389" i="63" s="1"/>
  <c r="AG389" i="63"/>
  <c r="Y390" i="63" l="1"/>
  <c r="AC390" i="63" s="1"/>
  <c r="AH390" i="63" s="1"/>
  <c r="AA390" i="63"/>
  <c r="AP390" i="63" s="1"/>
  <c r="AI390" i="63" l="1"/>
  <c r="AB390" i="63"/>
  <c r="AL390" i="63" s="1"/>
  <c r="AJ390" i="63" s="1"/>
  <c r="AK390" i="63" l="1"/>
  <c r="AG390" i="63"/>
  <c r="AF390" i="63"/>
  <c r="Y391" i="63"/>
  <c r="AC391" i="63" s="1"/>
  <c r="AH391" i="63" s="1"/>
  <c r="AA391" i="63"/>
  <c r="AP391" i="63" s="1"/>
  <c r="AI391" i="63" l="1"/>
  <c r="AB391" i="63"/>
  <c r="AF391" i="63" s="1"/>
  <c r="AL391" i="63" l="1"/>
  <c r="AA392" i="63" s="1"/>
  <c r="AP392" i="63" s="1"/>
  <c r="AG391" i="63"/>
  <c r="AJ391" i="63" l="1"/>
  <c r="AK391" i="63" s="1"/>
  <c r="Y392" i="63"/>
  <c r="AC392" i="63" s="1"/>
  <c r="AH392" i="63" s="1"/>
  <c r="AI392" i="63"/>
  <c r="AB392" i="63" l="1"/>
  <c r="AL392" i="63" s="1"/>
  <c r="AA393" i="63" s="1"/>
  <c r="AP393" i="63" s="1"/>
  <c r="AF392" i="63" l="1"/>
  <c r="AG392" i="63"/>
  <c r="AJ392" i="63"/>
  <c r="AK392" i="63" s="1"/>
  <c r="Y393" i="63"/>
  <c r="AC393" i="63" s="1"/>
  <c r="AH393" i="63" s="1"/>
  <c r="AI393" i="63"/>
  <c r="AB393" i="63" l="1"/>
  <c r="AG393" i="63" s="1"/>
  <c r="AL393" i="63" l="1"/>
  <c r="AA394" i="63" s="1"/>
  <c r="AP394" i="63" s="1"/>
  <c r="AF393" i="63"/>
  <c r="Y394" i="63" l="1"/>
  <c r="AC394" i="63" s="1"/>
  <c r="AH394" i="63" s="1"/>
  <c r="AJ393" i="63"/>
  <c r="AK393" i="63" s="1"/>
  <c r="AI394" i="63"/>
  <c r="AB394" i="63" l="1"/>
  <c r="AG394" i="63" s="1"/>
  <c r="AL394" i="63" l="1"/>
  <c r="Y395" i="63" s="1"/>
  <c r="AF394" i="63"/>
  <c r="AJ394" i="63" l="1"/>
  <c r="AK394" i="63" s="1"/>
  <c r="AA395" i="63"/>
  <c r="AP395" i="63" s="1"/>
  <c r="AC395" i="63"/>
  <c r="AH395" i="63" s="1"/>
  <c r="AI395" i="63" l="1"/>
  <c r="AB395" i="63"/>
  <c r="AF395" i="63" s="1"/>
  <c r="AL395" i="63" l="1"/>
  <c r="AA396" i="63" s="1"/>
  <c r="AP396" i="63" s="1"/>
  <c r="AG395" i="63"/>
  <c r="Y396" i="63" l="1"/>
  <c r="AC396" i="63" s="1"/>
  <c r="AH396" i="63" s="1"/>
  <c r="AJ395" i="63"/>
  <c r="AK395" i="63" s="1"/>
  <c r="AI396" i="63"/>
  <c r="AB396" i="63" l="1"/>
  <c r="AL396" i="63" s="1"/>
  <c r="AA397" i="63" s="1"/>
  <c r="AP397" i="63" s="1"/>
  <c r="AG396" i="63" l="1"/>
  <c r="AF396" i="63"/>
  <c r="Y397" i="63"/>
  <c r="AC397" i="63" s="1"/>
  <c r="AH397" i="63" s="1"/>
  <c r="AJ396" i="63"/>
  <c r="AK396" i="63" s="1"/>
  <c r="AI397" i="63"/>
  <c r="AB397" i="63" l="1"/>
  <c r="AL397" i="63" s="1"/>
  <c r="AJ397" i="63" s="1"/>
  <c r="AK397" i="63" s="1"/>
  <c r="Y398" i="63" l="1"/>
  <c r="AC398" i="63" s="1"/>
  <c r="AH398" i="63" s="1"/>
  <c r="AF397" i="63"/>
  <c r="AA398" i="63"/>
  <c r="AP398" i="63" s="1"/>
  <c r="AG397" i="63"/>
  <c r="AI398" i="63" l="1"/>
  <c r="AB398" i="63"/>
  <c r="AL398" i="63" s="1"/>
  <c r="AJ398" i="63" s="1"/>
  <c r="AK398" i="63" l="1"/>
  <c r="AG398" i="63"/>
  <c r="AF398" i="63"/>
  <c r="Y399" i="63"/>
  <c r="AC399" i="63" s="1"/>
  <c r="AH399" i="63" s="1"/>
  <c r="AA399" i="63"/>
  <c r="AP399" i="63" s="1"/>
  <c r="AI399" i="63" l="1"/>
  <c r="AB399" i="63"/>
  <c r="AG399" i="63" s="1"/>
  <c r="AL399" i="63" l="1"/>
  <c r="AA400" i="63" s="1"/>
  <c r="AP400" i="63" s="1"/>
  <c r="AF399" i="63"/>
  <c r="Y400" i="63" l="1"/>
  <c r="AC400" i="63" s="1"/>
  <c r="AH400" i="63" s="1"/>
  <c r="AJ399" i="63"/>
  <c r="AK399" i="63" s="1"/>
  <c r="AI400" i="63"/>
  <c r="AB400" i="63" l="1"/>
  <c r="AF400" i="63" s="1"/>
  <c r="AL400" i="63" l="1"/>
  <c r="AJ400" i="63" s="1"/>
  <c r="AK400" i="63" s="1"/>
  <c r="AG400" i="63"/>
  <c r="Y401" i="63" l="1"/>
  <c r="AC401" i="63" s="1"/>
  <c r="AH401" i="63" s="1"/>
  <c r="AA401" i="63"/>
  <c r="AP401" i="63" s="1"/>
  <c r="AI401" i="63" l="1"/>
  <c r="AB401" i="63"/>
  <c r="AG401" i="63" s="1"/>
  <c r="AF401" i="63" l="1"/>
  <c r="AL401" i="63"/>
  <c r="AA402" i="63" s="1"/>
  <c r="AP402" i="63" s="1"/>
  <c r="Y402" i="63" l="1"/>
  <c r="AC402" i="63" s="1"/>
  <c r="AH402" i="63" s="1"/>
  <c r="AJ401" i="63"/>
  <c r="AK401" i="63" s="1"/>
  <c r="AI402" i="63"/>
  <c r="AB402" i="63" l="1"/>
  <c r="AG402" i="63" s="1"/>
  <c r="AL402" i="63" l="1"/>
  <c r="AA403" i="63" s="1"/>
  <c r="AP403" i="63" s="1"/>
  <c r="AF402" i="63"/>
  <c r="Y403" i="63" l="1"/>
  <c r="AC403" i="63" s="1"/>
  <c r="AH403" i="63" s="1"/>
  <c r="AJ402" i="63"/>
  <c r="AK402" i="63" s="1"/>
  <c r="AI403" i="63"/>
  <c r="AB403" i="63" l="1"/>
  <c r="AL403" i="63" s="1"/>
  <c r="AJ403" i="63" s="1"/>
  <c r="AK403" i="63" s="1"/>
  <c r="Y404" i="63" l="1"/>
  <c r="AC404" i="63" s="1"/>
  <c r="AH404" i="63" s="1"/>
  <c r="AG403" i="63"/>
  <c r="AF403" i="63"/>
  <c r="AA404" i="63"/>
  <c r="AP404" i="63" s="1"/>
  <c r="AI404" i="63" l="1"/>
  <c r="AB404" i="63"/>
  <c r="AL404" i="63" s="1"/>
  <c r="AJ404" i="63" s="1"/>
  <c r="AK404" i="63" l="1"/>
  <c r="AF404" i="63"/>
  <c r="AG404" i="63"/>
  <c r="Y405" i="63"/>
  <c r="AC405" i="63" s="1"/>
  <c r="AH405" i="63" s="1"/>
  <c r="AA405" i="63"/>
  <c r="AP405" i="63" s="1"/>
  <c r="AI405" i="63" l="1"/>
  <c r="AB405" i="63"/>
  <c r="AF405" i="63" s="1"/>
  <c r="AL405" i="63" l="1"/>
  <c r="AJ405" i="63" s="1"/>
  <c r="AK405" i="63" s="1"/>
  <c r="AG405" i="63"/>
  <c r="Y406" i="63" l="1"/>
  <c r="AC406" i="63" s="1"/>
  <c r="AH406" i="63" s="1"/>
  <c r="AA406" i="63"/>
  <c r="AP406" i="63" s="1"/>
  <c r="AI406" i="63" l="1"/>
  <c r="AB406" i="63"/>
  <c r="AL406" i="63" s="1"/>
  <c r="AA407" i="63" s="1"/>
  <c r="AP407" i="63" s="1"/>
  <c r="AF406" i="63" l="1"/>
  <c r="AG406" i="63"/>
  <c r="Y407" i="63"/>
  <c r="AC407" i="63" s="1"/>
  <c r="AH407" i="63" s="1"/>
  <c r="AJ406" i="63"/>
  <c r="AK406" i="63" s="1"/>
  <c r="AI407" i="63"/>
  <c r="AB407" i="63" l="1"/>
  <c r="AG407" i="63" s="1"/>
  <c r="AF407" i="63" l="1"/>
  <c r="AL407" i="63"/>
  <c r="AA408" i="63" s="1"/>
  <c r="AP408" i="63" s="1"/>
  <c r="Y408" i="63" l="1"/>
  <c r="AC408" i="63" s="1"/>
  <c r="AH408" i="63" s="1"/>
  <c r="AJ407" i="63"/>
  <c r="AK407" i="63" s="1"/>
  <c r="AI408" i="63"/>
  <c r="AB408" i="63" l="1"/>
  <c r="AF408" i="63" s="1"/>
  <c r="AL408" i="63" l="1"/>
  <c r="AJ408" i="63" s="1"/>
  <c r="AK408" i="63" s="1"/>
  <c r="AG408" i="63"/>
  <c r="Y409" i="63" l="1"/>
  <c r="AC409" i="63" s="1"/>
  <c r="AH409" i="63" s="1"/>
  <c r="AA409" i="63"/>
  <c r="AP409" i="63" s="1"/>
  <c r="AI409" i="63" l="1"/>
  <c r="AB409" i="63"/>
  <c r="AG409" i="63" s="1"/>
  <c r="AL409" i="63" l="1"/>
  <c r="AJ409" i="63" s="1"/>
  <c r="AK409" i="63" s="1"/>
  <c r="AF409" i="63"/>
  <c r="AA410" i="63" l="1"/>
  <c r="AP410" i="63" s="1"/>
  <c r="Y410" i="63"/>
  <c r="AC410" i="63" s="1"/>
  <c r="AH410" i="63" s="1"/>
  <c r="AI410" i="63" l="1"/>
  <c r="AB410" i="63"/>
  <c r="AG410" i="63" s="1"/>
  <c r="AL410" i="63" l="1"/>
  <c r="AA411" i="63" s="1"/>
  <c r="AP411" i="63" s="1"/>
  <c r="AF410" i="63"/>
  <c r="Y411" i="63" l="1"/>
  <c r="AC411" i="63" s="1"/>
  <c r="AH411" i="63" s="1"/>
  <c r="AJ410" i="63"/>
  <c r="AK410" i="63" s="1"/>
  <c r="AI411" i="63"/>
  <c r="AB411" i="63" l="1"/>
  <c r="AL411" i="63" s="1"/>
  <c r="AJ411" i="63" s="1"/>
  <c r="AK411" i="63" s="1"/>
  <c r="AF411" i="63" l="1"/>
  <c r="AG411" i="63"/>
  <c r="AA412" i="63"/>
  <c r="AP412" i="63" s="1"/>
  <c r="Y412" i="63"/>
  <c r="AC412" i="63" s="1"/>
  <c r="AH412" i="63" s="1"/>
  <c r="AI412" i="63" l="1"/>
  <c r="AB412" i="63"/>
  <c r="AG412" i="63" l="1"/>
  <c r="AF412" i="63"/>
  <c r="AL412" i="63"/>
  <c r="AJ412" i="63" l="1"/>
  <c r="AK412" i="63" s="1"/>
  <c r="AA413" i="63"/>
  <c r="AP413" i="63" s="1"/>
  <c r="Y413" i="63"/>
  <c r="AC413" i="63" l="1"/>
  <c r="AH413" i="63" s="1"/>
  <c r="AI413" i="63"/>
  <c r="AB413" i="63" l="1"/>
  <c r="AF413" i="63" s="1"/>
  <c r="AL413" i="63" l="1"/>
  <c r="Y414" i="63" s="1"/>
  <c r="AG413" i="63"/>
  <c r="AA414" i="63" l="1"/>
  <c r="AP414" i="63" s="1"/>
  <c r="AJ413" i="63"/>
  <c r="AK413" i="63" s="1"/>
  <c r="AC414" i="63"/>
  <c r="AH414" i="63" s="1"/>
  <c r="AI414" i="63" l="1"/>
  <c r="AB414" i="63"/>
  <c r="AL414" i="63" s="1"/>
  <c r="AJ414" i="63" s="1"/>
  <c r="AK414" i="63" l="1"/>
  <c r="AG414" i="63"/>
  <c r="AF414" i="63"/>
  <c r="Y415" i="63"/>
  <c r="AC415" i="63" s="1"/>
  <c r="AH415" i="63" s="1"/>
  <c r="AA415" i="63"/>
  <c r="AP415" i="63" s="1"/>
  <c r="AI415" i="63" l="1"/>
  <c r="AB415" i="63"/>
  <c r="AL415" i="63" s="1"/>
  <c r="AJ415" i="63" s="1"/>
  <c r="AK415" i="63" l="1"/>
  <c r="AG415" i="63"/>
  <c r="AF415" i="63"/>
  <c r="Y416" i="63"/>
  <c r="AC416" i="63" s="1"/>
  <c r="AH416" i="63" s="1"/>
  <c r="AA416" i="63"/>
  <c r="AP416" i="63" s="1"/>
  <c r="AI416" i="63" l="1"/>
  <c r="AB416" i="63"/>
  <c r="AG416" i="63" s="1"/>
  <c r="AL416" i="63" l="1"/>
  <c r="AJ416" i="63" s="1"/>
  <c r="AK416" i="63" s="1"/>
  <c r="AF416" i="63"/>
  <c r="Y417" i="63" l="1"/>
  <c r="AC417" i="63" s="1"/>
  <c r="AH417" i="63" s="1"/>
  <c r="AA417" i="63"/>
  <c r="AP417" i="63" s="1"/>
  <c r="AI417" i="63" l="1"/>
  <c r="AB417" i="63"/>
  <c r="AL417" i="63" s="1"/>
  <c r="AJ417" i="63" s="1"/>
  <c r="AK417" i="63" l="1"/>
  <c r="AG417" i="63"/>
  <c r="AF417" i="63"/>
  <c r="AA418" i="63"/>
  <c r="AP418" i="63" s="1"/>
  <c r="Y418" i="63"/>
  <c r="AC418" i="63" s="1"/>
  <c r="AH418" i="63" s="1"/>
  <c r="AI418" i="63" l="1"/>
  <c r="AB418" i="63"/>
  <c r="AF418" i="63" s="1"/>
  <c r="AL418" i="63" l="1"/>
  <c r="AA419" i="63" s="1"/>
  <c r="AP419" i="63" s="1"/>
  <c r="AG418" i="63"/>
  <c r="Y419" i="63" l="1"/>
  <c r="AC419" i="63" s="1"/>
  <c r="AH419" i="63" s="1"/>
  <c r="AJ418" i="63"/>
  <c r="AK418" i="63" s="1"/>
  <c r="AI419" i="63"/>
  <c r="AB419" i="63" l="1"/>
  <c r="AG419" i="63" s="1"/>
  <c r="AL419" i="63" l="1"/>
  <c r="AA420" i="63" s="1"/>
  <c r="AF419" i="63"/>
  <c r="Y420" i="63" l="1"/>
  <c r="AC420" i="63" s="1"/>
  <c r="AH420" i="63" s="1"/>
  <c r="AJ419" i="63"/>
  <c r="AK419" i="63" s="1"/>
  <c r="AI420" i="63"/>
  <c r="AB420" i="63" l="1"/>
  <c r="AL420" i="63" s="1"/>
  <c r="AJ420" i="63" s="1"/>
  <c r="AK420" i="63" s="1"/>
  <c r="AF420" i="63" l="1"/>
  <c r="AG420" i="63"/>
  <c r="Y421" i="63"/>
  <c r="AA421" i="63"/>
  <c r="AI421" i="63" s="1"/>
  <c r="AC421" i="63"/>
  <c r="AH421" i="63" s="1"/>
  <c r="AB421" i="63" l="1"/>
  <c r="AG421" i="63" s="1"/>
  <c r="AL421" i="63" l="1"/>
  <c r="AJ421" i="63" s="1"/>
  <c r="AK421" i="63" s="1"/>
  <c r="AF421" i="63"/>
  <c r="Y422" i="63" l="1"/>
  <c r="AC422" i="63" s="1"/>
  <c r="AH422" i="63" s="1"/>
  <c r="AA422" i="63"/>
  <c r="AI422" i="63" s="1"/>
  <c r="AB422" i="63" l="1"/>
  <c r="AL422" i="63" s="1"/>
  <c r="AJ422" i="63" s="1"/>
  <c r="AK422" i="63" s="1"/>
  <c r="AF422" i="63" l="1"/>
  <c r="Y423" i="63"/>
  <c r="AA423" i="63"/>
  <c r="AI423" i="63" s="1"/>
  <c r="AG422" i="63"/>
  <c r="AC423" i="63"/>
  <c r="AH423" i="63" s="1"/>
  <c r="AB423" i="63" l="1"/>
  <c r="AL423" i="63" s="1"/>
  <c r="AJ423" i="63" s="1"/>
  <c r="AK423" i="63" s="1"/>
  <c r="AF423" i="63" l="1"/>
  <c r="AG423" i="63"/>
  <c r="Y424" i="63"/>
  <c r="AC424" i="63" s="1"/>
  <c r="AH424" i="63" s="1"/>
  <c r="AA424" i="63"/>
  <c r="AI424" i="63" s="1"/>
  <c r="AB424" i="63" l="1"/>
  <c r="AF424" i="63" s="1"/>
  <c r="AL424" i="63" l="1"/>
  <c r="AJ424" i="63" s="1"/>
  <c r="AK424" i="63" s="1"/>
  <c r="AG424" i="63"/>
  <c r="Y425" i="63" l="1"/>
  <c r="AC425" i="63" s="1"/>
  <c r="AH425" i="63" s="1"/>
  <c r="AA425" i="63"/>
  <c r="AI425" i="63" s="1"/>
  <c r="AB425" i="63" l="1"/>
  <c r="AF425" i="63" s="1"/>
  <c r="AL425" i="63" l="1"/>
  <c r="Y426" i="63" s="1"/>
  <c r="AG425" i="63"/>
  <c r="AA426" i="63" l="1"/>
  <c r="AI426" i="63" s="1"/>
  <c r="AJ425" i="63"/>
  <c r="AK425" i="63" s="1"/>
  <c r="AC426" i="63"/>
  <c r="AH426" i="63" s="1"/>
  <c r="AB426" i="63" l="1"/>
  <c r="AF426" i="63" s="1"/>
  <c r="AL426" i="63" l="1"/>
  <c r="AJ426" i="63" s="1"/>
  <c r="AK426" i="63" s="1"/>
  <c r="AG426" i="63"/>
  <c r="Y427" i="63" l="1"/>
  <c r="AC427" i="63" s="1"/>
  <c r="AH427" i="63" s="1"/>
  <c r="AA427" i="63"/>
  <c r="AI427" i="63" s="1"/>
  <c r="AB427" i="63" l="1"/>
  <c r="AG427" i="63" s="1"/>
  <c r="AL427" i="63" l="1"/>
  <c r="AA428" i="63" s="1"/>
  <c r="AF427" i="63"/>
  <c r="Y428" i="63" l="1"/>
  <c r="AC428" i="63" s="1"/>
  <c r="AH428" i="63" s="1"/>
  <c r="AJ427" i="63"/>
  <c r="AK427" i="63" s="1"/>
  <c r="AI428" i="63"/>
  <c r="AB428" i="63" l="1"/>
  <c r="AF428" i="63" s="1"/>
  <c r="AL428" i="63" l="1"/>
  <c r="AA429" i="63" s="1"/>
  <c r="AG428" i="63"/>
  <c r="Y429" i="63" l="1"/>
  <c r="AC429" i="63" s="1"/>
  <c r="AH429" i="63" s="1"/>
  <c r="AJ428" i="63"/>
  <c r="AK428" i="63" s="1"/>
  <c r="AI429" i="63"/>
  <c r="AB429" i="63" l="1"/>
  <c r="AG429" i="63" s="1"/>
  <c r="AL429" i="63" l="1"/>
  <c r="AJ429" i="63" s="1"/>
  <c r="AK429" i="63" s="1"/>
  <c r="AF429" i="63"/>
  <c r="Y430" i="63" l="1"/>
  <c r="AC430" i="63" s="1"/>
  <c r="AH430" i="63" s="1"/>
  <c r="AA430" i="63"/>
  <c r="AI430" i="63" s="1"/>
  <c r="AB430" i="63" l="1"/>
  <c r="AF430" i="63" s="1"/>
  <c r="AL430" i="63" l="1"/>
  <c r="AJ430" i="63" s="1"/>
  <c r="AK430" i="63" s="1"/>
  <c r="AG430" i="63"/>
  <c r="Y431" i="63" l="1"/>
  <c r="AC431" i="63" s="1"/>
  <c r="AH431" i="63" s="1"/>
  <c r="AA431" i="63"/>
  <c r="AI431" i="63" s="1"/>
  <c r="AB431" i="63" l="1"/>
  <c r="AL431" i="63" s="1"/>
  <c r="AJ431" i="63" s="1"/>
  <c r="AK431" i="63" s="1"/>
  <c r="AG431" i="63" l="1"/>
  <c r="AF431" i="63"/>
  <c r="Y432" i="63"/>
  <c r="AC432" i="63" s="1"/>
  <c r="AH432" i="63" s="1"/>
  <c r="AA432" i="63"/>
  <c r="AI432" i="63" s="1"/>
  <c r="AB432" i="63" l="1"/>
  <c r="AL432" i="63" s="1"/>
  <c r="AA433" i="63" s="1"/>
  <c r="Y433" i="63" l="1"/>
  <c r="AC433" i="63" s="1"/>
  <c r="AH433" i="63" s="1"/>
  <c r="AF432" i="63"/>
  <c r="AJ432" i="63"/>
  <c r="AK432" i="63" s="1"/>
  <c r="AG432" i="63"/>
  <c r="AI433" i="63"/>
  <c r="AB433" i="63" l="1"/>
  <c r="AG433" i="63" s="1"/>
  <c r="AL433" i="63" l="1"/>
  <c r="AJ433" i="63" s="1"/>
  <c r="AK433" i="63" s="1"/>
  <c r="AF433" i="63"/>
  <c r="Y434" i="63" l="1"/>
  <c r="AC434" i="63" s="1"/>
  <c r="AH434" i="63" s="1"/>
  <c r="AA434" i="63"/>
  <c r="AI434" i="63" s="1"/>
  <c r="AB434" i="63" l="1"/>
  <c r="AG434" i="63" s="1"/>
  <c r="AL434" i="63" l="1"/>
  <c r="AJ434" i="63" s="1"/>
  <c r="AK434" i="63" s="1"/>
  <c r="AF434" i="63"/>
  <c r="AA435" i="63" l="1"/>
  <c r="AI435" i="63" s="1"/>
  <c r="Y435" i="63"/>
  <c r="AC435" i="63" s="1"/>
  <c r="AH435" i="63" s="1"/>
  <c r="AB435" i="63" l="1"/>
  <c r="AF435" i="63" s="1"/>
  <c r="AL435" i="63" l="1"/>
  <c r="Y436" i="63" s="1"/>
  <c r="AG435" i="63"/>
  <c r="AA436" i="63" l="1"/>
  <c r="AI436" i="63" s="1"/>
  <c r="AJ435" i="63"/>
  <c r="AK435" i="63" s="1"/>
  <c r="AC436" i="63"/>
  <c r="AH436" i="63" s="1"/>
  <c r="AB436" i="63" l="1"/>
  <c r="AG436" i="63" s="1"/>
  <c r="AF436" i="63" l="1"/>
  <c r="AL436" i="63"/>
  <c r="AJ436" i="63" s="1"/>
  <c r="AK436" i="63" s="1"/>
  <c r="Y437" i="63" l="1"/>
  <c r="AC437" i="63" s="1"/>
  <c r="AH437" i="63" s="1"/>
  <c r="AA437" i="63"/>
  <c r="AI437" i="63" s="1"/>
  <c r="AB437" i="63" l="1"/>
  <c r="AF437" i="63" s="1"/>
  <c r="AL437" i="63" l="1"/>
  <c r="AA438" i="63" s="1"/>
  <c r="AG437" i="63"/>
  <c r="Y438" i="63" l="1"/>
  <c r="AC438" i="63" s="1"/>
  <c r="AH438" i="63" s="1"/>
  <c r="AJ437" i="63"/>
  <c r="AK437" i="63" s="1"/>
  <c r="AI438" i="63"/>
  <c r="AB438" i="63" l="1"/>
  <c r="AL438" i="63" s="1"/>
  <c r="AA439" i="63" s="1"/>
  <c r="AG438" i="63" l="1"/>
  <c r="AF438" i="63"/>
  <c r="Y439" i="63"/>
  <c r="AC439" i="63" s="1"/>
  <c r="AH439" i="63" s="1"/>
  <c r="AJ438" i="63"/>
  <c r="AK438" i="63" s="1"/>
  <c r="AI439" i="63"/>
  <c r="AB439" i="63" l="1"/>
  <c r="AL439" i="63" s="1"/>
  <c r="AA440" i="63" s="1"/>
  <c r="AF439" i="63" l="1"/>
  <c r="AG439" i="63"/>
  <c r="Y440" i="63"/>
  <c r="AC440" i="63" s="1"/>
  <c r="AH440" i="63" s="1"/>
  <c r="AJ439" i="63"/>
  <c r="AK439" i="63" s="1"/>
  <c r="AI440" i="63"/>
  <c r="AB440" i="63" l="1"/>
  <c r="AG440" i="63" s="1"/>
  <c r="AL440" i="63" l="1"/>
  <c r="AJ440" i="63" s="1"/>
  <c r="AK440" i="63" s="1"/>
  <c r="AF440" i="63"/>
  <c r="Y441" i="63" l="1"/>
  <c r="AC441" i="63" s="1"/>
  <c r="AH441" i="63" s="1"/>
  <c r="AA441" i="63"/>
  <c r="AI441" i="63" s="1"/>
  <c r="AB441" i="63" l="1"/>
  <c r="AF441" i="63" s="1"/>
  <c r="AL441" i="63" l="1"/>
  <c r="AJ441" i="63" s="1"/>
  <c r="AK441" i="63" s="1"/>
  <c r="AG441" i="63"/>
  <c r="Y442" i="63" l="1"/>
  <c r="AC442" i="63" s="1"/>
  <c r="AH442" i="63" s="1"/>
  <c r="AA442" i="63"/>
  <c r="AI442" i="63" s="1"/>
  <c r="AB442" i="63" l="1"/>
  <c r="AF442" i="63" s="1"/>
  <c r="AL442" i="63" l="1"/>
  <c r="AA443" i="63" s="1"/>
  <c r="AG442" i="63"/>
  <c r="Y443" i="63" l="1"/>
  <c r="AC443" i="63" s="1"/>
  <c r="AH443" i="63" s="1"/>
  <c r="AJ442" i="63"/>
  <c r="AK442" i="63" s="1"/>
  <c r="AI443" i="63"/>
  <c r="AB443" i="63" l="1"/>
  <c r="AF443" i="63" s="1"/>
  <c r="AL443" i="63" l="1"/>
  <c r="AA444" i="63" s="1"/>
  <c r="AG443" i="63"/>
  <c r="Y444" i="63" l="1"/>
  <c r="AC444" i="63" s="1"/>
  <c r="AH444" i="63" s="1"/>
  <c r="AJ443" i="63"/>
  <c r="AK443" i="63" s="1"/>
  <c r="AI444" i="63"/>
  <c r="AB444" i="63" l="1"/>
  <c r="AF444" i="63" s="1"/>
  <c r="AL444" i="63" l="1"/>
  <c r="AJ444" i="63" s="1"/>
  <c r="AK444" i="63" s="1"/>
  <c r="AG444" i="63"/>
  <c r="Y445" i="63" l="1"/>
  <c r="AC445" i="63" s="1"/>
  <c r="AH445" i="63" s="1"/>
  <c r="AA445" i="63"/>
  <c r="AI445" i="63" s="1"/>
  <c r="AB445" i="63" l="1"/>
  <c r="AG445" i="63" s="1"/>
  <c r="AF445" i="63" l="1"/>
  <c r="AL445" i="63"/>
  <c r="AJ445" i="63" s="1"/>
  <c r="AK445" i="63" s="1"/>
  <c r="Y446" i="63" l="1"/>
  <c r="AC446" i="63" s="1"/>
  <c r="AH446" i="63" s="1"/>
  <c r="AA446" i="63"/>
  <c r="AI446" i="63" s="1"/>
  <c r="AB446" i="63" l="1"/>
  <c r="AL446" i="63" s="1"/>
  <c r="AJ446" i="63" s="1"/>
  <c r="AK446" i="63" s="1"/>
  <c r="AA447" i="63" l="1"/>
  <c r="AI447" i="63" s="1"/>
  <c r="Y447" i="63"/>
  <c r="AC447" i="63" s="1"/>
  <c r="AH447" i="63" s="1"/>
  <c r="AG446" i="63"/>
  <c r="AF446" i="63"/>
  <c r="AB447" i="63" l="1"/>
  <c r="AL447" i="63" s="1"/>
  <c r="AA448" i="63" s="1"/>
  <c r="AG447" i="63" l="1"/>
  <c r="AF447" i="63"/>
  <c r="Y448" i="63"/>
  <c r="AC448" i="63" s="1"/>
  <c r="AH448" i="63" s="1"/>
  <c r="AJ447" i="63"/>
  <c r="AK447" i="63" s="1"/>
  <c r="AI448" i="63"/>
  <c r="AB448" i="63" l="1"/>
  <c r="AG448" i="63" s="1"/>
  <c r="AL448" i="63" l="1"/>
  <c r="AA449" i="63" s="1"/>
  <c r="AF448" i="63"/>
  <c r="Y449" i="63" l="1"/>
  <c r="AC449" i="63" s="1"/>
  <c r="AH449" i="63" s="1"/>
  <c r="AJ448" i="63"/>
  <c r="AK448" i="63" s="1"/>
  <c r="AI449" i="63"/>
  <c r="AB449" i="63" l="1"/>
  <c r="AF449" i="63" s="1"/>
  <c r="AL449" i="63" l="1"/>
  <c r="Y450" i="63" s="1"/>
  <c r="AG449" i="63"/>
  <c r="AA450" i="63" l="1"/>
  <c r="AI450" i="63" s="1"/>
  <c r="AJ449" i="63"/>
  <c r="AK449" i="63" s="1"/>
  <c r="AC450" i="63"/>
  <c r="AH450" i="63" s="1"/>
  <c r="AB450" i="63" l="1"/>
  <c r="AL450" i="63" s="1"/>
  <c r="AA451" i="63" s="1"/>
  <c r="AG450" i="63" l="1"/>
  <c r="AF450" i="63"/>
  <c r="Y451" i="63"/>
  <c r="AJ450" i="63"/>
  <c r="AK450" i="63" s="1"/>
  <c r="AC451" i="63"/>
  <c r="AH451" i="63" s="1"/>
  <c r="AI451" i="63"/>
  <c r="AB451" i="63" l="1"/>
  <c r="AL451" i="63" s="1"/>
  <c r="AA452" i="63" s="1"/>
  <c r="AG451" i="63" l="1"/>
  <c r="AF451" i="63"/>
  <c r="Y452" i="63"/>
  <c r="AC452" i="63" s="1"/>
  <c r="AH452" i="63" s="1"/>
  <c r="AJ451" i="63"/>
  <c r="AK451" i="63" s="1"/>
  <c r="AI452" i="63"/>
  <c r="AB452" i="63" l="1"/>
  <c r="AL452" i="63" s="1"/>
  <c r="AA453" i="63" s="1"/>
  <c r="AF452" i="63" l="1"/>
  <c r="AG452" i="63"/>
  <c r="Y453" i="63"/>
  <c r="AC453" i="63" s="1"/>
  <c r="AH453" i="63" s="1"/>
  <c r="AJ452" i="63"/>
  <c r="AK452" i="63" s="1"/>
  <c r="AI453" i="63"/>
  <c r="AB453" i="63" l="1"/>
  <c r="AL453" i="63" s="1"/>
  <c r="AJ453" i="63" s="1"/>
  <c r="AK453" i="63" s="1"/>
  <c r="AF453" i="63" l="1"/>
  <c r="AG453" i="63"/>
  <c r="Y454" i="63"/>
  <c r="AC454" i="63" s="1"/>
  <c r="AH454" i="63" s="1"/>
  <c r="AA454" i="63"/>
  <c r="AI454" i="63" s="1"/>
  <c r="AB454" i="63" l="1"/>
  <c r="AL454" i="63" s="1"/>
  <c r="AA455" i="63" s="1"/>
  <c r="Y455" i="63" l="1"/>
  <c r="AC455" i="63" s="1"/>
  <c r="AH455" i="63" s="1"/>
  <c r="AF454" i="63"/>
  <c r="AG454" i="63"/>
  <c r="AJ454" i="63"/>
  <c r="AK454" i="63" s="1"/>
  <c r="AI455" i="63"/>
  <c r="AB455" i="63" l="1"/>
  <c r="AL455" i="63" s="1"/>
  <c r="AJ455" i="63" s="1"/>
  <c r="AK455" i="63" s="1"/>
  <c r="AG455" i="63" l="1"/>
  <c r="AF455" i="63"/>
  <c r="Y456" i="63"/>
  <c r="AC456" i="63" s="1"/>
  <c r="AH456" i="63" s="1"/>
  <c r="AA456" i="63"/>
  <c r="AI456" i="63" s="1"/>
  <c r="AB456" i="63" l="1"/>
  <c r="AG456" i="63" s="1"/>
  <c r="AL456" i="63" l="1"/>
  <c r="AA457" i="63" s="1"/>
  <c r="AF456" i="63"/>
  <c r="Y457" i="63" l="1"/>
  <c r="AC457" i="63" s="1"/>
  <c r="AH457" i="63" s="1"/>
  <c r="AJ456" i="63"/>
  <c r="AK456" i="63" s="1"/>
  <c r="AI457" i="63"/>
  <c r="AB457" i="63" l="1"/>
  <c r="AG457" i="63" s="1"/>
  <c r="AL457" i="63" l="1"/>
  <c r="AA458" i="63" s="1"/>
  <c r="AF457" i="63"/>
  <c r="Y458" i="63" l="1"/>
  <c r="AC458" i="63" s="1"/>
  <c r="AH458" i="63" s="1"/>
  <c r="AJ457" i="63"/>
  <c r="AK457" i="63" s="1"/>
  <c r="AI458" i="63"/>
  <c r="AB458" i="63" l="1"/>
  <c r="AG458" i="63" s="1"/>
  <c r="AL458" i="63" l="1"/>
  <c r="AA459" i="63" s="1"/>
  <c r="AF458" i="63"/>
  <c r="Y459" i="63" l="1"/>
  <c r="AC459" i="63" s="1"/>
  <c r="AH459" i="63" s="1"/>
  <c r="AJ458" i="63"/>
  <c r="AK458" i="63" s="1"/>
  <c r="AI459" i="63"/>
  <c r="AB459" i="63" l="1"/>
  <c r="AG459" i="63" s="1"/>
  <c r="AL459" i="63" l="1"/>
  <c r="AJ459" i="63" s="1"/>
  <c r="AK459" i="63" s="1"/>
  <c r="AF459" i="63"/>
  <c r="Y460" i="63" l="1"/>
  <c r="AC460" i="63" s="1"/>
  <c r="AH460" i="63" s="1"/>
  <c r="AA460" i="63"/>
  <c r="AI460" i="63" s="1"/>
  <c r="AB460" i="63" l="1"/>
  <c r="AF460" i="63" s="1"/>
  <c r="AG460" i="63" l="1"/>
  <c r="AL460" i="63"/>
  <c r="AA461" i="63" s="1"/>
  <c r="Y461" i="63" l="1"/>
  <c r="AC461" i="63" s="1"/>
  <c r="AH461" i="63" s="1"/>
  <c r="AJ460" i="63"/>
  <c r="AK460" i="63" s="1"/>
  <c r="AI461" i="63"/>
  <c r="AB461" i="63" l="1"/>
  <c r="AF461" i="63" s="1"/>
  <c r="AL461" i="63" l="1"/>
  <c r="AJ461" i="63" s="1"/>
  <c r="AK461" i="63" s="1"/>
  <c r="AG461" i="63"/>
  <c r="AA462" i="63" l="1"/>
  <c r="AI462" i="63" s="1"/>
  <c r="Y462" i="63"/>
  <c r="AC462" i="63" s="1"/>
  <c r="AH462" i="63" s="1"/>
  <c r="AB462" i="63" l="1"/>
  <c r="AG462" i="63" l="1"/>
  <c r="AF462" i="63"/>
  <c r="AL462" i="63"/>
  <c r="AA463" i="63" l="1"/>
  <c r="Y463" i="63"/>
  <c r="AJ462" i="63"/>
  <c r="AK462" i="63" s="1"/>
  <c r="AC463" i="63" l="1"/>
  <c r="AH463" i="63" s="1"/>
  <c r="AI463" i="63"/>
  <c r="AB463" i="63" l="1"/>
  <c r="AG463" i="63" s="1"/>
  <c r="AL463" i="63" l="1"/>
  <c r="AJ463" i="63" s="1"/>
  <c r="AK463" i="63" s="1"/>
  <c r="AF463" i="63"/>
  <c r="AA464" i="63" l="1"/>
  <c r="AI464" i="63" s="1"/>
  <c r="Y464" i="63"/>
  <c r="AC464" i="63" s="1"/>
  <c r="AH464" i="63" s="1"/>
  <c r="AB464" i="63" l="1"/>
  <c r="AG464" i="63" l="1"/>
  <c r="AF464" i="63"/>
  <c r="AL464" i="63"/>
  <c r="AA465" i="63" l="1"/>
  <c r="AJ464" i="63"/>
  <c r="AK464" i="63" s="1"/>
  <c r="Y465" i="63"/>
  <c r="AC465" i="63" l="1"/>
  <c r="AH465" i="63" s="1"/>
  <c r="AI465" i="63"/>
  <c r="AB465" i="63" l="1"/>
  <c r="AF465" i="63" s="1"/>
  <c r="AL465" i="63" l="1"/>
  <c r="Y466" i="63" s="1"/>
  <c r="AG465" i="63"/>
  <c r="AJ465" i="63" l="1"/>
  <c r="AK465" i="63" s="1"/>
  <c r="AA466" i="63"/>
  <c r="AI466" i="63" s="1"/>
  <c r="AC466" i="63"/>
  <c r="AH466" i="63" s="1"/>
  <c r="AB466" i="63" l="1"/>
  <c r="AG466" i="63" s="1"/>
  <c r="AF466" i="63" l="1"/>
  <c r="AL466" i="63"/>
  <c r="AA467" i="63" s="1"/>
  <c r="Y467" i="63" l="1"/>
  <c r="AC467" i="63" s="1"/>
  <c r="AH467" i="63" s="1"/>
  <c r="AJ466" i="63"/>
  <c r="AK466" i="63" s="1"/>
  <c r="AI467" i="63"/>
  <c r="AB467" i="63" l="1"/>
  <c r="AF467" i="63" s="1"/>
  <c r="AL467" i="63" l="1"/>
  <c r="AJ467" i="63" s="1"/>
  <c r="AK467" i="63" s="1"/>
  <c r="AG467" i="63"/>
  <c r="Y468" i="63" l="1"/>
  <c r="AC468" i="63" s="1"/>
  <c r="AH468" i="63" s="1"/>
  <c r="AA468" i="63"/>
  <c r="AI468" i="63" s="1"/>
  <c r="AB468" i="63" l="1"/>
  <c r="AF468" i="63" s="1"/>
  <c r="AG468" i="63" l="1"/>
  <c r="AL468" i="63"/>
  <c r="AJ468" i="63" s="1"/>
  <c r="AK468" i="63" s="1"/>
  <c r="Y469" i="63" l="1"/>
  <c r="AC469" i="63" s="1"/>
  <c r="AH469" i="63" s="1"/>
  <c r="AA469" i="63"/>
  <c r="AI469" i="63" s="1"/>
  <c r="AB469" i="63" l="1"/>
  <c r="AG469" i="63" s="1"/>
  <c r="AL469" i="63" l="1"/>
  <c r="AJ469" i="63" s="1"/>
  <c r="AK469" i="63" s="1"/>
  <c r="AF469" i="63"/>
  <c r="Y470" i="63" l="1"/>
  <c r="AC470" i="63" s="1"/>
  <c r="AH470" i="63" s="1"/>
  <c r="AA470" i="63"/>
  <c r="AI470" i="63" s="1"/>
  <c r="AB470" i="63" l="1"/>
  <c r="AG470" i="63" s="1"/>
  <c r="AL470" i="63" l="1"/>
  <c r="AA471" i="63" s="1"/>
  <c r="AF470" i="63"/>
  <c r="Y471" i="63" l="1"/>
  <c r="AC471" i="63" s="1"/>
  <c r="AH471" i="63" s="1"/>
  <c r="AJ470" i="63"/>
  <c r="AK470" i="63" s="1"/>
  <c r="AI471" i="63"/>
  <c r="AB471" i="63" l="1"/>
  <c r="AF471" i="63" s="1"/>
  <c r="AG471" i="63" l="1"/>
  <c r="AL471" i="63"/>
  <c r="AJ471" i="63" s="1"/>
  <c r="AK471" i="63" s="1"/>
  <c r="AA472" i="63" l="1"/>
  <c r="AI472" i="63" s="1"/>
  <c r="Y472" i="63"/>
  <c r="AC472" i="63" s="1"/>
  <c r="AH472" i="63" s="1"/>
  <c r="AB472" i="63" l="1"/>
  <c r="AG472" i="63" s="1"/>
  <c r="AF472" i="63" l="1"/>
  <c r="AL472" i="63"/>
  <c r="AJ472" i="63" s="1"/>
  <c r="AK472" i="63" s="1"/>
  <c r="Y473" i="63" l="1"/>
  <c r="AC473" i="63" s="1"/>
  <c r="AH473" i="63" s="1"/>
  <c r="AA473" i="63"/>
  <c r="AI473" i="63" s="1"/>
  <c r="AB473" i="63" l="1"/>
  <c r="AG473" i="63" s="1"/>
  <c r="AF473" i="63" l="1"/>
  <c r="AL473" i="63"/>
  <c r="AJ473" i="63" s="1"/>
  <c r="AK473" i="63" s="1"/>
  <c r="AA474" i="63" l="1"/>
  <c r="AI474" i="63" s="1"/>
  <c r="Y474" i="63"/>
  <c r="AC474" i="63" s="1"/>
  <c r="AH474" i="63" s="1"/>
  <c r="AB474" i="63" l="1"/>
  <c r="AG474" i="63" l="1"/>
  <c r="AF474" i="63"/>
  <c r="AL474" i="63"/>
  <c r="AA475" i="63" l="1"/>
  <c r="AJ474" i="63"/>
  <c r="AK474" i="63" s="1"/>
  <c r="Y475" i="63"/>
  <c r="AC475" i="63" l="1"/>
  <c r="AH475" i="63" s="1"/>
  <c r="AI475" i="63"/>
  <c r="AB475" i="63" l="1"/>
  <c r="AF475" i="63" s="1"/>
  <c r="AL475" i="63" l="1"/>
  <c r="AJ475" i="63" s="1"/>
  <c r="AK475" i="63" s="1"/>
  <c r="AG475" i="63"/>
  <c r="AA476" i="63" l="1"/>
  <c r="AI476" i="63" s="1"/>
  <c r="Y476" i="63"/>
  <c r="AC476" i="63" s="1"/>
  <c r="AH476" i="63" s="1"/>
  <c r="AB476" i="63" l="1"/>
  <c r="AG476" i="63" s="1"/>
  <c r="AL476" i="63" l="1"/>
  <c r="AJ476" i="63" s="1"/>
  <c r="AK476" i="63" s="1"/>
  <c r="AF476" i="63"/>
  <c r="Y477" i="63" l="1"/>
  <c r="AC477" i="63" s="1"/>
  <c r="AH477" i="63" s="1"/>
  <c r="AA477" i="63"/>
  <c r="AI477" i="63" s="1"/>
  <c r="AB477" i="63" l="1"/>
  <c r="AF477" i="63" s="1"/>
  <c r="AL477" i="63" l="1"/>
  <c r="AJ477" i="63" s="1"/>
  <c r="AK477" i="63" s="1"/>
  <c r="AG477" i="63"/>
  <c r="Y478" i="63" l="1"/>
  <c r="AC478" i="63" s="1"/>
  <c r="AH478" i="63" s="1"/>
  <c r="AA478" i="63"/>
  <c r="AI478" i="63" s="1"/>
  <c r="AB478" i="63" l="1"/>
  <c r="AF478" i="63" s="1"/>
  <c r="AG478" i="63" l="1"/>
  <c r="AL478" i="63"/>
  <c r="AA479" i="63" s="1"/>
  <c r="Y479" i="63" l="1"/>
  <c r="AC479" i="63" s="1"/>
  <c r="AH479" i="63" s="1"/>
  <c r="AJ478" i="63"/>
  <c r="AK478" i="63" s="1"/>
  <c r="AI479" i="63"/>
  <c r="AB479" i="63" l="1"/>
  <c r="AG479" i="63" s="1"/>
  <c r="AL479" i="63" l="1"/>
  <c r="AJ479" i="63" s="1"/>
  <c r="AK479" i="63" s="1"/>
  <c r="AF479" i="63"/>
  <c r="Y480" i="63" l="1"/>
  <c r="AC480" i="63" s="1"/>
  <c r="AH480" i="63" s="1"/>
  <c r="AA480" i="63"/>
  <c r="AI480" i="63" s="1"/>
  <c r="AB480" i="63" l="1"/>
  <c r="AG480" i="63" s="1"/>
  <c r="AL480" i="63" l="1"/>
  <c r="AA481" i="63" s="1"/>
  <c r="AF480" i="63"/>
  <c r="Y481" i="63" l="1"/>
  <c r="AC481" i="63" s="1"/>
  <c r="AH481" i="63" s="1"/>
  <c r="AJ480" i="63"/>
  <c r="AK480" i="63" s="1"/>
  <c r="AI481" i="63"/>
  <c r="AB481" i="63" l="1"/>
  <c r="AF481" i="63" s="1"/>
  <c r="AL481" i="63" l="1"/>
  <c r="AJ481" i="63" s="1"/>
  <c r="AK481" i="63" s="1"/>
  <c r="AG481" i="63"/>
  <c r="AA482" i="63" l="1"/>
  <c r="AI482" i="63" s="1"/>
  <c r="Y482" i="63"/>
  <c r="AC482" i="63" s="1"/>
  <c r="AH482" i="63" s="1"/>
  <c r="AB482" i="63" l="1"/>
  <c r="AF482" i="63" l="1"/>
  <c r="AG482" i="63"/>
  <c r="AL482" i="63"/>
  <c r="AA483" i="63" l="1"/>
  <c r="AJ482" i="63"/>
  <c r="AK482" i="63" s="1"/>
  <c r="Y483" i="63"/>
  <c r="AC483" i="63" l="1"/>
  <c r="AH483" i="63" s="1"/>
  <c r="AI483" i="63"/>
  <c r="AB483" i="63" l="1"/>
  <c r="AF483" i="63" s="1"/>
  <c r="AL483" i="63" l="1"/>
  <c r="AA484" i="63" s="1"/>
  <c r="AG483" i="63"/>
  <c r="Y484" i="63" l="1"/>
  <c r="AC484" i="63" s="1"/>
  <c r="AH484" i="63" s="1"/>
  <c r="AJ483" i="63"/>
  <c r="AK483" i="63" s="1"/>
  <c r="AI484" i="63"/>
  <c r="AB484" i="63" l="1"/>
  <c r="AF484" i="63" s="1"/>
  <c r="AL484" i="63" l="1"/>
  <c r="AA485" i="63" s="1"/>
  <c r="AG484" i="63"/>
  <c r="Y485" i="63" l="1"/>
  <c r="AC485" i="63" s="1"/>
  <c r="AH485" i="63" s="1"/>
  <c r="AJ484" i="63"/>
  <c r="AK484" i="63" s="1"/>
  <c r="AI485" i="63"/>
  <c r="AB485" i="63" l="1"/>
  <c r="AF485" i="63" s="1"/>
  <c r="AL485" i="63" l="1"/>
  <c r="AJ485" i="63" s="1"/>
  <c r="AK485" i="63" s="1"/>
  <c r="AG485" i="63"/>
  <c r="Y486" i="63" l="1"/>
  <c r="AC486" i="63" s="1"/>
  <c r="AH486" i="63" s="1"/>
  <c r="AA486" i="63"/>
  <c r="AI486" i="63" s="1"/>
  <c r="AB486" i="63" l="1"/>
  <c r="AF486" i="63" s="1"/>
  <c r="AL486" i="63" l="1"/>
  <c r="AA487" i="63" s="1"/>
  <c r="AG486" i="63"/>
  <c r="AJ486" i="63" l="1"/>
  <c r="AK486" i="63" s="1"/>
  <c r="Y487" i="63"/>
  <c r="AC487" i="63" s="1"/>
  <c r="AH487" i="63" s="1"/>
  <c r="AI487" i="63"/>
  <c r="AB487" i="63" l="1"/>
  <c r="AF487" i="63" s="1"/>
  <c r="AL487" i="63" l="1"/>
  <c r="AJ487" i="63" s="1"/>
  <c r="AK487" i="63" s="1"/>
  <c r="AG487" i="63"/>
  <c r="Y488" i="63" l="1"/>
  <c r="AC488" i="63" s="1"/>
  <c r="AH488" i="63" s="1"/>
  <c r="AA488" i="63"/>
  <c r="AI488" i="63" s="1"/>
  <c r="AB488" i="63" l="1"/>
  <c r="AG488" i="63" s="1"/>
  <c r="AL488" i="63" l="1"/>
  <c r="AJ488" i="63" s="1"/>
  <c r="AK488" i="63" s="1"/>
  <c r="AF488" i="63"/>
  <c r="AA489" i="63" l="1"/>
  <c r="AI489" i="63" s="1"/>
  <c r="Y489" i="63"/>
  <c r="AC489" i="63" s="1"/>
  <c r="AH489" i="63" s="1"/>
  <c r="AB489" i="63" l="1"/>
  <c r="AG489" i="63" s="1"/>
  <c r="AL489" i="63" l="1"/>
  <c r="AA490" i="63" s="1"/>
  <c r="AF489" i="63"/>
  <c r="AJ489" i="63" l="1"/>
  <c r="AK489" i="63" s="1"/>
  <c r="Y490" i="63"/>
  <c r="AC490" i="63" s="1"/>
  <c r="AH490" i="63" s="1"/>
  <c r="AH491" i="63" s="1"/>
  <c r="AH492" i="63" s="1"/>
  <c r="AH493" i="63" s="1"/>
  <c r="AH494" i="63" s="1"/>
  <c r="AH495" i="63" s="1"/>
  <c r="AH496" i="63" s="1"/>
  <c r="AH497" i="63" s="1"/>
  <c r="AH498" i="63" s="1"/>
  <c r="AH499" i="63" s="1"/>
  <c r="AH500" i="63" s="1"/>
  <c r="AH501" i="63" s="1"/>
  <c r="AH502" i="63" s="1"/>
  <c r="AH503" i="63" s="1"/>
  <c r="AH504" i="63" s="1"/>
  <c r="AH505" i="63" s="1"/>
  <c r="AH506" i="63" s="1"/>
  <c r="AH507" i="63" s="1"/>
  <c r="AH508" i="63" s="1"/>
  <c r="AH509" i="63" s="1"/>
  <c r="AH510" i="63" s="1"/>
  <c r="AH511" i="63" s="1"/>
  <c r="AH512" i="63" s="1"/>
  <c r="AH513" i="63" s="1"/>
  <c r="AH514" i="63" s="1"/>
  <c r="AH515" i="63" s="1"/>
  <c r="AH516" i="63" s="1"/>
  <c r="AH517" i="63" s="1"/>
  <c r="AH518" i="63" s="1"/>
  <c r="AH519" i="63" s="1"/>
  <c r="AH520" i="63" s="1"/>
  <c r="AH521" i="63" s="1"/>
  <c r="AH522" i="63" s="1"/>
  <c r="AH523" i="63" s="1"/>
  <c r="AH524" i="63" s="1"/>
  <c r="AH525" i="63" s="1"/>
  <c r="AH526" i="63" s="1"/>
  <c r="AH527" i="63" s="1"/>
  <c r="AH528" i="63" s="1"/>
  <c r="AH529" i="63" s="1"/>
  <c r="AH530" i="63" s="1"/>
  <c r="AH531" i="63" s="1"/>
  <c r="AH532" i="63" s="1"/>
  <c r="AH533" i="63" s="1"/>
  <c r="AH534" i="63" s="1"/>
  <c r="AH535" i="63" s="1"/>
  <c r="AH536" i="63" s="1"/>
  <c r="AH537" i="63" s="1"/>
  <c r="AH538" i="63" s="1"/>
  <c r="AH539" i="63" s="1"/>
  <c r="AH540" i="63" s="1"/>
  <c r="AH541" i="63" s="1"/>
  <c r="AH542" i="63" s="1"/>
  <c r="AH543" i="63" s="1"/>
  <c r="AI490" i="63"/>
  <c r="AI491" i="63" l="1"/>
  <c r="AB490" i="63"/>
  <c r="AG490" i="63" l="1"/>
  <c r="AG491" i="63" s="1"/>
  <c r="AG492" i="63" s="1"/>
  <c r="AG493" i="63" s="1"/>
  <c r="AG494" i="63" s="1"/>
  <c r="AG495" i="63" s="1"/>
  <c r="AG496" i="63" s="1"/>
  <c r="AG497" i="63" s="1"/>
  <c r="AG498" i="63" s="1"/>
  <c r="AG499" i="63" s="1"/>
  <c r="AG500" i="63" s="1"/>
  <c r="AG501" i="63" s="1"/>
  <c r="AG502" i="63" s="1"/>
  <c r="AG503" i="63" s="1"/>
  <c r="AG504" i="63" s="1"/>
  <c r="AG505" i="63" s="1"/>
  <c r="AG506" i="63" s="1"/>
  <c r="AG507" i="63" s="1"/>
  <c r="AG508" i="63" s="1"/>
  <c r="AG509" i="63" s="1"/>
  <c r="AG510" i="63" s="1"/>
  <c r="AG511" i="63" s="1"/>
  <c r="AG512" i="63" s="1"/>
  <c r="AG513" i="63" s="1"/>
  <c r="AG514" i="63" s="1"/>
  <c r="AG515" i="63" s="1"/>
  <c r="AG516" i="63" s="1"/>
  <c r="AG517" i="63" s="1"/>
  <c r="AG518" i="63" s="1"/>
  <c r="AG519" i="63" s="1"/>
  <c r="AG520" i="63" s="1"/>
  <c r="AG521" i="63" s="1"/>
  <c r="AG522" i="63" s="1"/>
  <c r="AG523" i="63" s="1"/>
  <c r="AG524" i="63" s="1"/>
  <c r="AG525" i="63" s="1"/>
  <c r="AG526" i="63" s="1"/>
  <c r="AG527" i="63" s="1"/>
  <c r="AG528" i="63" s="1"/>
  <c r="AG529" i="63" s="1"/>
  <c r="AG530" i="63" s="1"/>
  <c r="AG531" i="63" s="1"/>
  <c r="AG532" i="63" s="1"/>
  <c r="AG533" i="63" s="1"/>
  <c r="AG534" i="63" s="1"/>
  <c r="AG535" i="63" s="1"/>
  <c r="AG536" i="63" s="1"/>
  <c r="AG537" i="63" s="1"/>
  <c r="AG538" i="63" s="1"/>
  <c r="AG539" i="63" s="1"/>
  <c r="AG540" i="63" s="1"/>
  <c r="AG541" i="63" s="1"/>
  <c r="AG542" i="63" s="1"/>
  <c r="AG543" i="63" s="1"/>
  <c r="AF490" i="63"/>
  <c r="AL490" i="63"/>
  <c r="AI492" i="63"/>
  <c r="AI493" i="63" l="1"/>
  <c r="Y491" i="63"/>
  <c r="AL491" i="63" s="1"/>
  <c r="AJ490" i="63"/>
  <c r="AK490" i="63" s="1"/>
  <c r="AJ491" i="63" l="1"/>
  <c r="AK491" i="63" s="1"/>
  <c r="Y492" i="63"/>
  <c r="AL492" i="63" s="1"/>
  <c r="AI494" i="63"/>
  <c r="AI495" i="63" l="1"/>
  <c r="AJ492" i="63"/>
  <c r="AK492" i="63" s="1"/>
  <c r="Y493" i="63"/>
  <c r="AL493" i="63" s="1"/>
  <c r="AJ493" i="63" l="1"/>
  <c r="AK493" i="63" s="1"/>
  <c r="Y494" i="63"/>
  <c r="AL494" i="63" s="1"/>
  <c r="AI496" i="63"/>
  <c r="AI497" i="63" l="1"/>
  <c r="Y495" i="63"/>
  <c r="AL495" i="63" s="1"/>
  <c r="AJ494" i="63"/>
  <c r="AK494" i="63" s="1"/>
  <c r="Y496" i="63" l="1"/>
  <c r="AL496" i="63" s="1"/>
  <c r="AJ495" i="63"/>
  <c r="AK495" i="63" s="1"/>
  <c r="AI498" i="63"/>
  <c r="AI499" i="63" l="1"/>
  <c r="AJ496" i="63"/>
  <c r="AK496" i="63" s="1"/>
  <c r="Y497" i="63"/>
  <c r="AL497" i="63" s="1"/>
  <c r="Y498" i="63" l="1"/>
  <c r="AL498" i="63" s="1"/>
  <c r="AJ497" i="63"/>
  <c r="AK497" i="63" s="1"/>
  <c r="AI500" i="63"/>
  <c r="AI501" i="63" l="1"/>
  <c r="Y499" i="63"/>
  <c r="AL499" i="63" s="1"/>
  <c r="AJ498" i="63"/>
  <c r="AK498" i="63" s="1"/>
  <c r="AJ499" i="63" l="1"/>
  <c r="AK499" i="63" s="1"/>
  <c r="Y500" i="63"/>
  <c r="AL500" i="63" s="1"/>
  <c r="AI502" i="63"/>
  <c r="AI503" i="63" l="1"/>
  <c r="AJ500" i="63"/>
  <c r="AK500" i="63" s="1"/>
  <c r="Y501" i="63"/>
  <c r="AL501" i="63" s="1"/>
  <c r="Y502" i="63" l="1"/>
  <c r="AL502" i="63" s="1"/>
  <c r="AJ501" i="63"/>
  <c r="AK501" i="63" s="1"/>
  <c r="AI504" i="63"/>
  <c r="AI505" i="63" l="1"/>
  <c r="Y503" i="63"/>
  <c r="AL503" i="63" s="1"/>
  <c r="AJ502" i="63"/>
  <c r="AK502" i="63" s="1"/>
  <c r="Y504" i="63" l="1"/>
  <c r="AL504" i="63" s="1"/>
  <c r="AJ503" i="63"/>
  <c r="AK503" i="63" s="1"/>
  <c r="AI506" i="63"/>
  <c r="AI507" i="63" l="1"/>
  <c r="Y505" i="63"/>
  <c r="AL505" i="63" s="1"/>
  <c r="AJ504" i="63"/>
  <c r="AK504" i="63" s="1"/>
  <c r="Y506" i="63" l="1"/>
  <c r="AL506" i="63" s="1"/>
  <c r="AJ505" i="63"/>
  <c r="AK505" i="63" s="1"/>
  <c r="AI508" i="63"/>
  <c r="AI509" i="63" l="1"/>
  <c r="Y507" i="63"/>
  <c r="AL507" i="63" s="1"/>
  <c r="AJ506" i="63"/>
  <c r="AK506" i="63" s="1"/>
  <c r="Y508" i="63" l="1"/>
  <c r="AL508" i="63" s="1"/>
  <c r="AJ507" i="63"/>
  <c r="AK507" i="63" s="1"/>
  <c r="AI510" i="63"/>
  <c r="AI511" i="63" l="1"/>
  <c r="AJ508" i="63"/>
  <c r="AK508" i="63" s="1"/>
  <c r="Y509" i="63"/>
  <c r="AL509" i="63" s="1"/>
  <c r="AJ509" i="63" l="1"/>
  <c r="AK509" i="63" s="1"/>
  <c r="Y510" i="63"/>
  <c r="AL510" i="63" s="1"/>
  <c r="AI512" i="63"/>
  <c r="AI513" i="63" l="1"/>
  <c r="AJ510" i="63"/>
  <c r="AK510" i="63" s="1"/>
  <c r="Y511" i="63"/>
  <c r="AL511" i="63" s="1"/>
  <c r="Y512" i="63" l="1"/>
  <c r="AL512" i="63" s="1"/>
  <c r="AJ511" i="63"/>
  <c r="AK511" i="63" s="1"/>
  <c r="AI514" i="63"/>
  <c r="AI515" i="63" l="1"/>
  <c r="AJ512" i="63"/>
  <c r="AK512" i="63" s="1"/>
  <c r="Y513" i="63"/>
  <c r="AL513" i="63" s="1"/>
  <c r="Y514" i="63" l="1"/>
  <c r="AL514" i="63" s="1"/>
  <c r="AJ513" i="63"/>
  <c r="AK513" i="63" s="1"/>
  <c r="AI516" i="63"/>
  <c r="AI517" i="63" l="1"/>
  <c r="Y515" i="63"/>
  <c r="AL515" i="63" s="1"/>
  <c r="AJ514" i="63"/>
  <c r="AK514" i="63" s="1"/>
  <c r="AJ515" i="63" l="1"/>
  <c r="AK515" i="63" s="1"/>
  <c r="Y516" i="63"/>
  <c r="AL516" i="63" s="1"/>
  <c r="AI518" i="63"/>
  <c r="AI519" i="63" l="1"/>
  <c r="AJ516" i="63"/>
  <c r="AK516" i="63" s="1"/>
  <c r="Y517" i="63"/>
  <c r="AL517" i="63" s="1"/>
  <c r="Y518" i="63" l="1"/>
  <c r="AL518" i="63" s="1"/>
  <c r="AJ517" i="63"/>
  <c r="AK517" i="63" s="1"/>
  <c r="AI520" i="63"/>
  <c r="AI521" i="63" l="1"/>
  <c r="AJ518" i="63"/>
  <c r="AK518" i="63" s="1"/>
  <c r="Y519" i="63"/>
  <c r="AL519" i="63" s="1"/>
  <c r="AJ519" i="63" l="1"/>
  <c r="AK519" i="63" s="1"/>
  <c r="Y520" i="63"/>
  <c r="AL520" i="63" s="1"/>
  <c r="AI522" i="63"/>
  <c r="AI523" i="63" l="1"/>
  <c r="AJ520" i="63"/>
  <c r="AK520" i="63" s="1"/>
  <c r="Y521" i="63"/>
  <c r="AL521" i="63" s="1"/>
  <c r="Y522" i="63" l="1"/>
  <c r="AL522" i="63" s="1"/>
  <c r="AJ521" i="63"/>
  <c r="AK521" i="63" s="1"/>
  <c r="AI524" i="63"/>
  <c r="AI525" i="63" l="1"/>
  <c r="Y523" i="63"/>
  <c r="AL523" i="63" s="1"/>
  <c r="AJ522" i="63"/>
  <c r="AK522" i="63" s="1"/>
  <c r="AJ523" i="63" l="1"/>
  <c r="AK523" i="63" s="1"/>
  <c r="Y524" i="63"/>
  <c r="AL524" i="63" s="1"/>
  <c r="AI526" i="63"/>
  <c r="AI527" i="63" l="1"/>
  <c r="AJ524" i="63"/>
  <c r="AK524" i="63" s="1"/>
  <c r="Y525" i="63"/>
  <c r="AL525" i="63" s="1"/>
  <c r="AJ525" i="63" l="1"/>
  <c r="AK525" i="63" s="1"/>
  <c r="Y526" i="63"/>
  <c r="AL526" i="63" s="1"/>
  <c r="AI528" i="63"/>
  <c r="AI529" i="63" l="1"/>
  <c r="Y527" i="63"/>
  <c r="AL527" i="63" s="1"/>
  <c r="AJ526" i="63"/>
  <c r="AK526" i="63" s="1"/>
  <c r="AJ527" i="63" l="1"/>
  <c r="AK527" i="63" s="1"/>
  <c r="Y528" i="63"/>
  <c r="AL528" i="63" s="1"/>
  <c r="AI530" i="63"/>
  <c r="AI531" i="63" l="1"/>
  <c r="AJ528" i="63"/>
  <c r="AK528" i="63" s="1"/>
  <c r="Y529" i="63"/>
  <c r="AL529" i="63" s="1"/>
  <c r="Y530" i="63" l="1"/>
  <c r="AL530" i="63" s="1"/>
  <c r="AJ529" i="63"/>
  <c r="AK529" i="63" s="1"/>
  <c r="AI532" i="63"/>
  <c r="AI533" i="63" l="1"/>
  <c r="Y531" i="63"/>
  <c r="AL531" i="63" s="1"/>
  <c r="AJ530" i="63"/>
  <c r="AK530" i="63" s="1"/>
  <c r="AJ531" i="63" l="1"/>
  <c r="AK531" i="63" s="1"/>
  <c r="Y532" i="63"/>
  <c r="AL532" i="63" s="1"/>
  <c r="AI534" i="63"/>
  <c r="AI535" i="63" l="1"/>
  <c r="AJ532" i="63"/>
  <c r="AK532" i="63" s="1"/>
  <c r="Y533" i="63"/>
  <c r="AL533" i="63" s="1"/>
  <c r="Y534" i="63" l="1"/>
  <c r="AL534" i="63" s="1"/>
  <c r="AJ533" i="63"/>
  <c r="AK533" i="63" s="1"/>
  <c r="AI536" i="63"/>
  <c r="AI537" i="63" l="1"/>
  <c r="Y535" i="63"/>
  <c r="AL535" i="63" s="1"/>
  <c r="AJ534" i="63"/>
  <c r="AK534" i="63" s="1"/>
  <c r="AJ535" i="63" l="1"/>
  <c r="AK535" i="63" s="1"/>
  <c r="Y536" i="63"/>
  <c r="AL536" i="63" s="1"/>
  <c r="AI538" i="63"/>
  <c r="AI539" i="63" l="1"/>
  <c r="AJ536" i="63"/>
  <c r="AK536" i="63" s="1"/>
  <c r="Y537" i="63"/>
  <c r="AL537" i="63" s="1"/>
  <c r="Y538" i="63" l="1"/>
  <c r="AL538" i="63" s="1"/>
  <c r="AJ537" i="63"/>
  <c r="AK537" i="63" s="1"/>
  <c r="AI540" i="63"/>
  <c r="AI541" i="63" l="1"/>
  <c r="Y539" i="63"/>
  <c r="AL539" i="63" s="1"/>
  <c r="AJ538" i="63"/>
  <c r="AK538" i="63" s="1"/>
  <c r="Y540" i="63" l="1"/>
  <c r="AL540" i="63" s="1"/>
  <c r="AJ539" i="63"/>
  <c r="AK539" i="63" s="1"/>
  <c r="AI542" i="63"/>
  <c r="AI543" i="63" l="1"/>
  <c r="AJ540" i="63"/>
  <c r="AK540" i="63" s="1"/>
  <c r="Y541" i="63"/>
  <c r="AL541" i="63" s="1"/>
  <c r="Y542" i="63" l="1"/>
  <c r="AL542" i="63" s="1"/>
  <c r="AJ541" i="63"/>
  <c r="AK541" i="63" s="1"/>
  <c r="AJ542" i="63" l="1"/>
  <c r="AK542" i="63" s="1"/>
  <c r="Y543" i="63"/>
  <c r="AL543" i="63" s="1"/>
  <c r="AJ543" i="63" s="1"/>
  <c r="AK543" i="6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<sst xmlns="http://schemas.openxmlformats.org/spreadsheetml/2006/main" count="2920" uniqueCount="1186">
  <si>
    <t>Monthly Cash Flow</t>
  </si>
  <si>
    <t>Hearing Date:</t>
  </si>
  <si>
    <t>Use Template Estimate</t>
  </si>
  <si>
    <t>Yes</t>
  </si>
  <si>
    <t>Income</t>
  </si>
  <si>
    <t>Immediate</t>
  </si>
  <si>
    <t>Upon Sale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</si>
  <si>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</si>
  <si>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</si>
  <si>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</si>
  <si>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</si>
  <si>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</si>
  <si>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</si>
  <si>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</si>
  <si>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</si>
  <si>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</si>
  <si>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</si>
  <si>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</si>
  <si>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</si>
  <si>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</si>
  <si>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</si>
  <si>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</si>
  <si>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</si>
  <si>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</si>
  <si>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</si>
  <si>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</si>
  <si>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</si>
  <si>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</si>
  <si>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</si>
  <si>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</si>
  <si>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</si>
  <si>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</si>
  <si>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</si>
  <si>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</si>
  <si>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</si>
  <si>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</si>
  <si>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PL Balance +Interest</t>
  </si>
  <si>
    <t xml:space="preserve">Seller Realtor's Flat Fee </t>
  </si>
  <si>
    <t>Seller Realtor's Fee Percent:</t>
  </si>
  <si>
    <t>Buyers Realtors Fee Percent:</t>
  </si>
  <si>
    <t>Number of Rent Payments :</t>
  </si>
  <si>
    <t>Buyer  Assistance</t>
  </si>
  <si>
    <t>Buying Closing Cost:</t>
  </si>
  <si>
    <t>Selling Closing Cost:</t>
  </si>
  <si>
    <t>Net Expenses:</t>
  </si>
  <si>
    <t>Immediate Profit:</t>
  </si>
  <si>
    <t>Long Term Profit:</t>
  </si>
  <si>
    <t>Partners Profit Share</t>
  </si>
  <si>
    <t>Our Profit Share</t>
  </si>
  <si>
    <t>Cash Flow Profit for Months:</t>
  </si>
  <si>
    <t>Capital Gains Tax</t>
  </si>
  <si>
    <t>Capital Gains</t>
  </si>
  <si>
    <t>Chartiable Contribution:</t>
  </si>
  <si>
    <t>Rehab Cost Detail</t>
  </si>
  <si>
    <t>Gnatt Chart</t>
  </si>
  <si>
    <t>Murphy %:</t>
  </si>
  <si>
    <t>Murphy will be Zeroed-Out whe project is finalized</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</si>
  <si>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</si>
  <si>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</si>
  <si>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</si>
  <si>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</si>
  <si>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</si>
  <si>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</si>
  <si>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</si>
  <si>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</si>
  <si>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</si>
  <si>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</si>
  <si>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</si>
  <si>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</si>
  <si>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</si>
  <si>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</si>
  <si>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</si>
  <si>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</si>
  <si>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</si>
  <si>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</si>
  <si>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</si>
  <si>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</si>
  <si>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</si>
  <si>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</si>
  <si>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</si>
  <si>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</si>
  <si>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</si>
  <si>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</si>
  <si>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</si>
  <si>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</si>
  <si>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</si>
  <si>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</si>
  <si>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</si>
  <si>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</si>
  <si>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</si>
  <si>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</si>
  <si>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</si>
  <si>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</si>
  <si>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</si>
  <si>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</si>
  <si>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</si>
  <si>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</si>
  <si>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</si>
  <si>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</si>
  <si>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</si>
  <si>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</si>
  <si>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</si>
  <si>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</si>
  <si>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</si>
  <si>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</si>
  <si>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</si>
  <si>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</si>
  <si>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</si>
  <si>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</si>
  <si>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</si>
  <si>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</si>
  <si>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</si>
  <si>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</si>
  <si>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</si>
  <si>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</si>
  <si>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</si>
  <si>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</si>
  <si>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</si>
  <si>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</si>
  <si>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</si>
  <si>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</si>
  <si>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</si>
  <si>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</si>
  <si>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</si>
  <si>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</si>
  <si>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</si>
  <si>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</si>
  <si>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</si>
  <si>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</si>
  <si>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</si>
  <si>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</si>
  <si>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</si>
  <si>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</si>
  <si>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</si>
  <si>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</si>
  <si>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</si>
  <si>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</si>
  <si>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</si>
  <si>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</si>
  <si>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</si>
  <si>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</si>
  <si>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</si>
  <si>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</si>
  <si>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</si>
  <si>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</si>
  <si>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</si>
  <si>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</si>
  <si>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</si>
  <si>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</si>
  <si>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</si>
  <si>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</si>
  <si>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</si>
  <si>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</si>
  <si>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</si>
  <si>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</si>
  <si>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</si>
  <si>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</si>
  <si>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</si>
  <si>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</si>
  <si>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</si>
  <si>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</si>
  <si>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</si>
  <si>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</si>
  <si>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</si>
  <si>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</si>
  <si>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</si>
  <si>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</si>
  <si>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</si>
  <si>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</si>
  <si>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</si>
  <si>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</si>
  <si>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</si>
  <si>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</si>
  <si>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</si>
  <si>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</si>
  <si>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</si>
  <si>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</si>
  <si>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</si>
  <si>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</si>
  <si>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</si>
  <si>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</si>
  <si>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</si>
  <si>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</si>
  <si>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</si>
  <si>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</si>
  <si>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</si>
  <si>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</si>
  <si>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</si>
  <si>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</si>
  <si>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</si>
  <si>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</si>
  <si>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</si>
  <si>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</si>
  <si>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</si>
  <si>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</si>
  <si>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</si>
  <si>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</si>
  <si>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</si>
  <si>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</si>
  <si>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</si>
  <si>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</si>
  <si>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</si>
  <si>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</si>
  <si>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</si>
  <si>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</si>
  <si>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</si>
  <si>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</si>
  <si>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</si>
  <si>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</si>
  <si>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</si>
  <si>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</si>
  <si>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</si>
  <si>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</si>
  <si>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</si>
  <si>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</si>
  <si>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</si>
  <si>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</si>
  <si>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</si>
  <si>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</si>
  <si>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</si>
  <si>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</si>
  <si>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</si>
  <si>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</si>
  <si>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</si>
  <si>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</si>
  <si>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</si>
  <si>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</si>
  <si>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</si>
  <si>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</si>
  <si>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</si>
  <si>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</si>
  <si>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</si>
  <si>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</si>
  <si>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</si>
  <si>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</si>
  <si>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</si>
  <si>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</si>
  <si>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</si>
  <si>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</si>
  <si>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</si>
  <si>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</si>
  <si>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</si>
  <si>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</si>
  <si>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</si>
  <si>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</si>
  <si>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</si>
  <si>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</si>
  <si>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</si>
  <si>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</si>
  <si>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</si>
  <si>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</si>
  <si>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</si>
  <si>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</si>
  <si>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</si>
  <si>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</si>
  <si>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</si>
  <si>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</si>
  <si>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</si>
  <si>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</si>
  <si>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</si>
  <si>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</si>
  <si>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</si>
  <si>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</si>
  <si>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</si>
  <si>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</si>
  <si>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</si>
  <si>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</si>
  <si>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</si>
  <si>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</si>
  <si>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</si>
  <si>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</si>
  <si>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</si>
  <si>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</si>
  <si>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</si>
  <si>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</si>
  <si>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</si>
  <si>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</si>
  <si>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</si>
  <si>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</si>
  <si>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</si>
  <si>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</si>
  <si>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</si>
  <si>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</si>
  <si>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</si>
  <si>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</si>
  <si>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</si>
  <si>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</si>
  <si>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</si>
  <si>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</si>
  <si>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</si>
  <si>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</si>
  <si>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</si>
  <si>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</si>
  <si>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</si>
  <si>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</si>
  <si>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</si>
  <si>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</si>
  <si>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</si>
  <si>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</si>
  <si>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</si>
  <si>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</si>
  <si>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</si>
  <si>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</si>
  <si>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</si>
  <si>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</si>
  <si>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</si>
  <si>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</si>
  <si>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</si>
  <si>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</si>
  <si>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</si>
  <si>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</si>
  <si>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</si>
  <si>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</si>
  <si>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</si>
  <si>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</si>
  <si>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</si>
  <si>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</si>
  <si>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</si>
  <si>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</si>
  <si>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</si>
  <si>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</si>
  <si>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</si>
  <si>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</si>
  <si>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</si>
  <si>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</si>
  <si>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</si>
  <si>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</si>
  <si>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</si>
  <si>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</si>
  <si>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</si>
  <si>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</si>
  <si>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</si>
  <si>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</si>
  <si>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</si>
  <si>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</si>
  <si>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</si>
  <si>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</si>
  <si>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</si>
  <si>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</si>
  <si>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</si>
  <si>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</si>
  <si>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</si>
  <si>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</si>
  <si>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</si>
  <si>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</si>
  <si>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</si>
  <si>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</si>
  <si>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</si>
  <si>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</si>
  <si>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</si>
  <si>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</si>
  <si>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</si>
  <si>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</si>
  <si>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</si>
  <si>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</si>
  <si>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</si>
  <si>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</si>
  <si>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</si>
  <si>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</si>
  <si>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</si>
  <si>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</si>
  <si>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</si>
  <si>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</si>
  <si>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</si>
  <si>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</si>
  <si>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</si>
  <si>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</si>
  <si>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</si>
  <si>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</si>
  <si>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</si>
  <si>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</si>
  <si>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</si>
  <si>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</si>
  <si>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</si>
  <si>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</si>
  <si>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</si>
  <si>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</si>
  <si>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</si>
  <si>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</si>
  <si>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</si>
  <si>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</si>
  <si>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</si>
  <si>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</si>
  <si>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</si>
  <si>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</si>
  <si>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</si>
  <si>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</si>
  <si>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</si>
  <si>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</si>
  <si>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</si>
  <si>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</si>
  <si>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</si>
  <si>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</si>
  <si>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</si>
  <si>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</si>
  <si>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</si>
  <si>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</si>
  <si>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</si>
  <si>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</si>
  <si>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</si>
  <si>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</si>
  <si>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</si>
  <si>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</si>
  <si>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</si>
  <si>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</si>
  <si>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</si>
  <si>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</si>
  <si>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</si>
  <si>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</si>
  <si>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</si>
  <si>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</si>
  <si>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</si>
  <si>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</si>
  <si>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</si>
  <si>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</si>
  <si>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</si>
  <si>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</si>
  <si>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</si>
  <si>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</si>
  <si>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</si>
  <si>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</si>
  <si>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</si>
  <si>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</si>
  <si>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</si>
  <si>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</si>
  <si>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</si>
  <si>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</si>
  <si>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</si>
  <si>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</si>
  <si>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</si>
  <si>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</si>
  <si>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</si>
  <si>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</si>
  <si>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</si>
  <si>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</si>
  <si>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</si>
  <si>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</si>
  <si>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</si>
  <si>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</si>
  <si>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</si>
  <si>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</si>
  <si>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</si>
  <si>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</si>
  <si>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</si>
  <si>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</si>
  <si>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</si>
  <si>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</si>
  <si>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</si>
  <si>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</si>
  <si>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</si>
  <si>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</si>
  <si>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</si>
  <si>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</si>
  <si>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</si>
  <si>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</si>
  <si>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</si>
  <si>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</si>
  <si>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</si>
  <si>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</si>
  <si>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</si>
  <si>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</si>
  <si>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</si>
  <si>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</si>
  <si>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</si>
  <si>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</si>
  <si>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</si>
  <si>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</si>
  <si>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</si>
  <si>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</si>
  <si>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</si>
  <si>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</si>
  <si>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</si>
  <si>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</si>
  <si>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</si>
  <si>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</si>
  <si>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</si>
  <si>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</si>
  <si>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</si>
  <si>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</si>
  <si>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</si>
  <si>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</si>
  <si>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</si>
  <si>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</si>
  <si>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</si>
  <si>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</si>
  <si>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</si>
  <si>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</si>
  <si>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</si>
  <si>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</si>
  <si>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</si>
  <si>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</si>
  <si>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</si>
  <si>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</si>
  <si>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</si>
  <si>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</si>
  <si>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</si>
  <si>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</si>
  <si>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</si>
  <si>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</si>
  <si>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</si>
  <si>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</si>
  <si>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</si>
  <si>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</si>
  <si>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</si>
  <si>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</si>
  <si>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</si>
  <si>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</si>
  <si>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</si>
  <si>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</si>
  <si>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</si>
  <si>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</si>
  <si>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</si>
  <si>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</si>
  <si>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</si>
  <si>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</si>
  <si>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</si>
  <si>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</si>
  <si>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</si>
  <si>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</si>
  <si>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</si>
  <si>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</si>
  <si>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</si>
  <si>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</si>
  <si>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</si>
  <si>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</si>
  <si>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</si>
  <si>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</si>
  <si>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</si>
  <si>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</si>
  <si>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</si>
  <si>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</si>
  <si>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</si>
  <si>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</si>
  <si>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</si>
  <si>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</si>
  <si>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</si>
  <si>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</si>
  <si>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</si>
  <si>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</si>
  <si>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</si>
  <si>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</si>
  <si>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</si>
  <si>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</si>
  <si>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</si>
  <si>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</si>
  <si>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</si>
  <si>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</si>
  <si>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</si>
  <si>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</si>
  <si>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</si>
  <si>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</si>
  <si>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</si>
  <si>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</si>
  <si>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</si>
  <si>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</si>
  <si>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</si>
  <si>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</si>
  <si>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</si>
  <si>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</si>
  <si>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</si>
  <si>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</si>
  <si>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</si>
  <si>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</si>
  <si>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</si>
  <si>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</si>
  <si>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</si>
  <si>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</si>
  <si>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</si>
  <si>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</si>
  <si>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This value is carried up to cell C31,                         Labeled Rehab</t>
  </si>
  <si>
    <t>Studio 1</t>
  </si>
  <si>
    <t>Average Daily:</t>
  </si>
  <si>
    <t>Income:</t>
  </si>
  <si>
    <t>Studio 3</t>
  </si>
  <si>
    <t>Studio 2</t>
  </si>
  <si>
    <t>Occupancy:</t>
  </si>
  <si>
    <t>Lodging Tax</t>
  </si>
  <si>
    <t>Couch</t>
  </si>
  <si>
    <t>(furnishing Tab)</t>
  </si>
  <si>
    <t>other</t>
  </si>
  <si>
    <t>Annual Fees</t>
  </si>
  <si>
    <t>STR Expense</t>
  </si>
  <si>
    <t>Management Fees</t>
  </si>
  <si>
    <t>Profit Upon Sale</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</si>
  <si>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</si>
  <si>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</si>
  <si>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</si>
  <si>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</si>
  <si>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</si>
  <si>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</si>
  <si>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</si>
  <si>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</si>
  <si>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</si>
  <si>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</si>
  <si>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</si>
  <si>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</si>
  <si>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</si>
  <si>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Loan Amount:</t>
  </si>
  <si>
    <t>Years(months)</t>
  </si>
  <si>
    <t>Period</t>
  </si>
  <si>
    <t>Principal</t>
  </si>
  <si>
    <t>Buying Subject To:</t>
  </si>
  <si>
    <t>PMI</t>
  </si>
  <si>
    <t>Cash Flow</t>
  </si>
  <si>
    <t>Annual Property Appriciation:</t>
  </si>
  <si>
    <t>Sale Amount:</t>
  </si>
  <si>
    <t>Down Payment:</t>
  </si>
  <si>
    <t>Total  Cumulative Cash Flow:</t>
  </si>
  <si>
    <t>Total  Cumulative Appriciation:</t>
  </si>
  <si>
    <t>Total  Maximum Value:</t>
  </si>
  <si>
    <t>Year 5</t>
  </si>
  <si>
    <t>Year 10</t>
  </si>
  <si>
    <t>Year 20</t>
  </si>
  <si>
    <t>Year 29</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</si>
  <si>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</si>
  <si>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</si>
  <si>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</si>
  <si>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</si>
  <si>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</si>
  <si>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</si>
  <si>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</si>
  <si>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</si>
  <si>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</si>
  <si>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</si>
  <si>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</si>
  <si>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Total  Cumulative Principal</t>
  </si>
  <si>
    <t>Year</t>
  </si>
  <si>
    <t xml:space="preserve"> Monthly Cash Flow:</t>
  </si>
  <si>
    <t>:Refinance</t>
  </si>
  <si>
    <t>1st  Loan Balance(5 years)</t>
  </si>
  <si>
    <t>2nd  Loan Balance(5 years)</t>
  </si>
  <si>
    <t>Sell with Owner Financing:</t>
  </si>
  <si>
    <t>Appriciation:</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</si>
  <si>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</si>
  <si>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</si>
  <si>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</si>
  <si>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</si>
  <si>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</si>
  <si>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</si>
  <si>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</si>
  <si>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</si>
  <si>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</si>
  <si>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</si>
  <si>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</si>
  <si>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</si>
  <si>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</si>
  <si>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</si>
  <si>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</si>
  <si>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</si>
  <si>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</si>
  <si>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</si>
  <si>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</si>
  <si>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</si>
  <si>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</si>
  <si>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</si>
  <si>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</si>
  <si>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</si>
  <si>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</si>
  <si>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Points added to Financing:</t>
  </si>
  <si>
    <t>Profit  for Required  5 year Note:</t>
  </si>
  <si>
    <t>Above ARV:</t>
  </si>
  <si>
    <t>1st Year Insurance</t>
  </si>
  <si>
    <t>1st Year Property Tax</t>
  </si>
  <si>
    <t>County</t>
  </si>
  <si>
    <t>Binder Deposit:</t>
  </si>
  <si>
    <t>Property Tax Bill:</t>
  </si>
  <si>
    <t>Tax Escrow:</t>
  </si>
  <si>
    <t>Property Insurance:</t>
  </si>
  <si>
    <t>HOA:</t>
  </si>
  <si>
    <t>Address</t>
  </si>
  <si>
    <t>City-State</t>
  </si>
  <si>
    <t>Trust</t>
  </si>
  <si>
    <t>Trust Date</t>
  </si>
  <si>
    <t>Manger</t>
  </si>
  <si>
    <t>Base Int Rate</t>
  </si>
  <si>
    <t>Wes Browning</t>
  </si>
  <si>
    <t>Doc Year</t>
  </si>
  <si>
    <t>Principal&amp;Interst:</t>
  </si>
  <si>
    <t>TermYears</t>
  </si>
  <si>
    <t>Legal Description</t>
  </si>
  <si>
    <t>Sellers Residence1</t>
  </si>
  <si>
    <t>Sellers Residence2</t>
  </si>
  <si>
    <t>1st  Loan Int(5 years)</t>
  </si>
  <si>
    <t>2nd  Loan Int(5 years)</t>
  </si>
  <si>
    <t>Profit  on Int(5 Year):</t>
  </si>
  <si>
    <t>Extra Sales Amount</t>
  </si>
  <si>
    <t>Total Pay</t>
  </si>
  <si>
    <t>Cumulative</t>
  </si>
  <si>
    <t>Prin</t>
  </si>
  <si>
    <t>Int</t>
  </si>
  <si>
    <t>Int Rate</t>
  </si>
  <si>
    <t>Monthly</t>
  </si>
  <si>
    <t>Cumul</t>
  </si>
  <si>
    <t>Bal</t>
  </si>
  <si>
    <t>Value</t>
  </si>
  <si>
    <t>Princ</t>
  </si>
  <si>
    <t xml:space="preserve">Total </t>
  </si>
  <si>
    <t>Taxes</t>
  </si>
  <si>
    <t>Beg</t>
  </si>
  <si>
    <t>Ending</t>
  </si>
  <si>
    <t>Ins</t>
  </si>
  <si>
    <t>End</t>
  </si>
  <si>
    <t>Appriciation</t>
  </si>
  <si>
    <t xml:space="preserve">Payment </t>
  </si>
  <si>
    <t>Mortgage Delta</t>
  </si>
  <si>
    <t>Paid&lt;</t>
  </si>
  <si>
    <t>Principal&amp;Interst2:</t>
  </si>
  <si>
    <t>Monthly Payment2</t>
  </si>
  <si>
    <t>Monthly Payment1</t>
  </si>
  <si>
    <t>TermMonths2</t>
  </si>
  <si>
    <t>TermMonths1</t>
  </si>
  <si>
    <t>Loan Start2</t>
  </si>
  <si>
    <t>Loan End2</t>
  </si>
  <si>
    <t>Loan Start1</t>
  </si>
  <si>
    <t>Loan End1</t>
  </si>
  <si>
    <t xml:space="preserve"> Total Cash Flow:</t>
  </si>
  <si>
    <t>2nd Mort</t>
  </si>
  <si>
    <t>1st Mort</t>
  </si>
  <si>
    <t xml:space="preserve">1st Mort Delta </t>
  </si>
  <si>
    <t xml:space="preserve">2nd Mort Delta </t>
  </si>
  <si>
    <t>Trust Address:</t>
  </si>
  <si>
    <t>Property Parcel ID</t>
  </si>
  <si>
    <t>Interest rate2</t>
  </si>
  <si>
    <t>Interest rate1</t>
  </si>
  <si>
    <t>Make up for reduced int%</t>
  </si>
  <si>
    <t>Tunnard</t>
  </si>
  <si>
    <t>Selling Down Payment:</t>
  </si>
  <si>
    <t>Buying Down Payment:</t>
  </si>
  <si>
    <t>Selling Purchase Price:</t>
  </si>
  <si>
    <t>Buying Purchase Price:</t>
  </si>
  <si>
    <t>Subject To Reinstatement</t>
  </si>
  <si>
    <t>Buying Lender:</t>
  </si>
  <si>
    <t>Coastal Federal Credit Union</t>
  </si>
  <si>
    <t>Laurence A.</t>
  </si>
  <si>
    <t>April D.</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</si>
  <si>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</si>
  <si>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</si>
  <si>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</si>
  <si>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</si>
  <si>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</si>
  <si>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</si>
  <si>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</si>
  <si>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</si>
  <si>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</si>
  <si>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</si>
  <si>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</si>
  <si>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</si>
  <si>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</si>
  <si>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</si>
  <si>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</si>
  <si>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</si>
  <si>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</si>
  <si>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</si>
  <si>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</si>
  <si>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</si>
  <si>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</si>
  <si>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</si>
  <si>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</si>
  <si>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</si>
  <si>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</si>
  <si>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</si>
  <si>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</si>
  <si>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</si>
  <si>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</si>
  <si>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</si>
  <si>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</si>
  <si>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</si>
  <si>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</si>
  <si>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</si>
  <si>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Lot 79 Carthage Colonies, phase 3A as shown on final plat for Carthage Colonies phase 3A Plat cabnet 19 slide 46C " a clustered Subdivision" by Braken &amp; Associates of Sandford NC. Recorded in Plat Cabnet 10 Slide 54H of Lee County Public Record</t>
  </si>
  <si>
    <t>00992</t>
  </si>
  <si>
    <t>0383</t>
  </si>
  <si>
    <t>Brief Legal Description</t>
  </si>
  <si>
    <t xml:space="preserve">Lot 79 Carthage Colonies, phase 3A </t>
  </si>
  <si>
    <t>Doc Month:</t>
  </si>
  <si>
    <t>Lease Fields:</t>
  </si>
  <si>
    <t>Trust Info</t>
  </si>
  <si>
    <t xml:space="preserve">The rent, for the first 12 months, will be compensated by a Promissory Note given from Lessor to the Leasee. See Exhibit "C" </t>
  </si>
  <si>
    <t>Note Fields</t>
  </si>
  <si>
    <t>Principal Sum:</t>
  </si>
  <si>
    <t>Installment Months</t>
  </si>
  <si>
    <t>Note Indicator , paragraph 2b</t>
  </si>
  <si>
    <t>LEE</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</si>
  <si>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</si>
  <si>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</si>
  <si>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</si>
  <si>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</si>
  <si>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</si>
  <si>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</si>
  <si>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</si>
  <si>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</si>
  <si>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</si>
  <si>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</si>
  <si>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</si>
  <si>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</si>
  <si>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</si>
  <si>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</si>
  <si>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</si>
  <si>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</si>
  <si>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</si>
  <si>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</si>
  <si>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</si>
  <si>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</si>
  <si>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</si>
  <si>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</si>
  <si>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</si>
  <si>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</si>
  <si>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</si>
  <si>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</si>
  <si>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</si>
  <si>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</si>
  <si>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</si>
  <si>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</si>
  <si>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</si>
  <si>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</si>
  <si>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</si>
  <si>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</si>
  <si>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</si>
  <si>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</si>
  <si>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</si>
  <si>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</si>
  <si>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</si>
  <si>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</si>
  <si>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</si>
  <si>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</si>
  <si>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</si>
  <si>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</si>
  <si>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</si>
  <si>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</si>
  <si>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</si>
  <si>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</si>
  <si>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</si>
  <si>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</si>
  <si>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</si>
  <si>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</si>
  <si>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</si>
  <si>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</si>
  <si>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</si>
  <si>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</si>
  <si>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</si>
  <si>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</si>
  <si>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</si>
  <si>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</si>
  <si>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</si>
  <si>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</si>
  <si>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</si>
  <si>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</si>
  <si>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</si>
  <si>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</si>
  <si>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</si>
  <si>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</si>
  <si>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</si>
  <si>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</si>
  <si>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</si>
  <si>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</si>
  <si>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</si>
  <si>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</si>
  <si>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</si>
  <si>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</si>
  <si>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</si>
  <si>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</si>
  <si>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</si>
  <si>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</si>
  <si>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</si>
  <si>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</si>
  <si>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</si>
  <si>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</si>
  <si>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</si>
  <si>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</si>
  <si>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</si>
  <si>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</si>
  <si>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</si>
  <si>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</si>
  <si>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</si>
  <si>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</si>
  <si>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</si>
  <si>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</si>
  <si>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</si>
  <si>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</si>
  <si>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</si>
  <si>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</si>
  <si>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</si>
  <si>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</si>
  <si>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</si>
  <si>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</si>
  <si>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</si>
  <si>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</si>
  <si>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</si>
  <si>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</si>
  <si>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</si>
  <si>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</si>
  <si>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</si>
  <si>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</si>
  <si>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</si>
  <si>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</si>
  <si>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</si>
  <si>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</si>
  <si>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</si>
  <si>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</si>
  <si>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</si>
  <si>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</si>
  <si>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</si>
  <si>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</si>
  <si>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</si>
  <si>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</si>
  <si>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</si>
  <si>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</si>
  <si>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</si>
  <si>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</si>
  <si>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</si>
  <si>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</si>
  <si>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</si>
  <si>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</si>
  <si>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</si>
  <si>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</si>
  <si>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</si>
  <si>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</si>
  <si>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</si>
  <si>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</si>
  <si>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</si>
  <si>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</si>
  <si>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</si>
  <si>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</si>
  <si>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</si>
  <si>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</si>
  <si>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</si>
  <si>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</si>
  <si>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</si>
  <si>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</si>
  <si>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</si>
  <si>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</si>
  <si>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</si>
  <si>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</si>
  <si>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</si>
  <si>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</si>
  <si>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</si>
  <si>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</si>
  <si>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</si>
  <si>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</si>
  <si>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</si>
  <si>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</si>
  <si>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</si>
  <si>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</si>
  <si>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</si>
  <si>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</si>
  <si>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</si>
  <si>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</si>
  <si>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</si>
  <si>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</si>
  <si>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</si>
  <si>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</si>
  <si>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</si>
  <si>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</si>
  <si>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</si>
  <si>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</si>
  <si>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</si>
  <si>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</si>
  <si>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</si>
  <si>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</si>
  <si>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</si>
  <si>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</si>
  <si>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</si>
  <si>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</si>
  <si>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</si>
  <si>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</si>
  <si>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</si>
  <si>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</si>
  <si>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</si>
  <si>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</si>
  <si>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</si>
  <si>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</si>
  <si>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</si>
  <si>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</si>
  <si>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</si>
  <si>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</si>
  <si>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</si>
  <si>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</si>
  <si>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</si>
  <si>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</si>
  <si>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</si>
  <si>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</si>
  <si>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</si>
  <si>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</si>
  <si>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</si>
  <si>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</si>
  <si>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</si>
  <si>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</si>
  <si>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</si>
  <si>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</si>
  <si>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</si>
  <si>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</si>
  <si>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</si>
  <si>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</si>
  <si>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</si>
  <si>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</si>
  <si>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</si>
  <si>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</si>
  <si>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</si>
  <si>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</si>
  <si>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</si>
  <si>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</si>
  <si>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</si>
  <si>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</si>
  <si>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</si>
  <si>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</si>
  <si>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</si>
  <si>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</si>
  <si>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</si>
  <si>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</si>
  <si>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</si>
  <si>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</si>
  <si>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</si>
  <si>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</si>
  <si>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</si>
  <si>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</si>
  <si>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</si>
  <si>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</si>
  <si>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</si>
  <si>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</si>
  <si>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</si>
  <si>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</si>
  <si>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</si>
  <si>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</si>
  <si>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</si>
  <si>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</si>
  <si>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</si>
  <si>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</si>
  <si>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</si>
  <si>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</si>
  <si>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</si>
  <si>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</si>
  <si>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</si>
  <si>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</si>
  <si>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</si>
  <si>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</si>
  <si>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</si>
  <si>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</si>
  <si>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</si>
  <si>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</si>
  <si>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</si>
  <si>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</si>
  <si>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</si>
  <si>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</si>
  <si>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</si>
  <si>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</si>
  <si>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</si>
  <si>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</si>
  <si>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</si>
  <si>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</si>
  <si>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</si>
  <si>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</si>
  <si>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</si>
  <si>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</si>
  <si>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</si>
  <si>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</si>
  <si>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</si>
  <si>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</si>
  <si>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</si>
  <si>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</si>
  <si>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</si>
  <si>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</si>
  <si>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</si>
  <si>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</si>
  <si>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</si>
  <si>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</si>
  <si>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</si>
  <si>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</si>
  <si>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</si>
  <si>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</si>
  <si>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</si>
  <si>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</si>
  <si>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</si>
  <si>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</si>
  <si>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</si>
  <si>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</si>
  <si>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</si>
  <si>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</si>
  <si>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</si>
  <si>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</si>
  <si>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</si>
  <si>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</si>
  <si>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</si>
  <si>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</si>
  <si>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</si>
  <si>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</si>
  <si>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</si>
  <si>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</si>
  <si>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</si>
  <si>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</si>
  <si>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</si>
  <si>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</si>
  <si>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</si>
  <si>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</si>
  <si>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</si>
  <si>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</si>
  <si>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</si>
  <si>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</si>
  <si>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</si>
  <si>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</si>
  <si>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</si>
  <si>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</si>
  <si>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</si>
  <si>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</si>
  <si>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</si>
  <si>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</si>
  <si>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</si>
  <si>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</si>
  <si>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</si>
  <si>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</si>
  <si>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</si>
  <si>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</si>
  <si>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</si>
  <si>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</si>
  <si>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</si>
  <si>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</si>
  <si>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</si>
  <si>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</si>
  <si>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</si>
  <si>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</si>
  <si>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</si>
  <si>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</si>
  <si>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</si>
  <si>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</si>
  <si>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</si>
  <si>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</si>
  <si>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</si>
  <si>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Lot Rent</t>
  </si>
  <si>
    <t>Tenant Rent</t>
  </si>
  <si>
    <t>Monthly Gross Spread</t>
  </si>
  <si>
    <t>Annual Gross Spread</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</si>
  <si>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</si>
  <si>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</si>
  <si>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</si>
  <si>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</si>
  <si>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</si>
  <si>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</si>
  <si>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</si>
  <si>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</si>
  <si>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</si>
  <si>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</si>
  <si>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</si>
  <si>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</si>
  <si>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</si>
  <si>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</si>
  <si>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</si>
  <si>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</si>
  <si>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</si>
  <si>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</si>
  <si>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</si>
  <si>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Total Lot Rent</t>
  </si>
  <si>
    <t>Total Monthly Gross Spread</t>
  </si>
  <si>
    <t>Total Annual Gross Spread</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</si>
  <si>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</si>
  <si>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</si>
  <si>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</si>
  <si>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</si>
  <si>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</si>
  <si>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</si>
  <si>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</si>
  <si>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</si>
  <si>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</si>
  <si>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</si>
  <si>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</si>
  <si>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</si>
  <si>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</si>
  <si>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</si>
  <si>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</si>
  <si>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</si>
  <si>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Yes - addendum controls title, possession, park approval, liens, tenant rents, verification, condition, and remedies.</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</si>
  <si>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</si>
  <si>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</si>
  <si>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</si>
  <si>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</si>
  <si>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</si>
  <si>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</si>
  <si>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Lot Rent % of Payment</t>
  </si>
  <si>
    <t>Spread Margin</t>
  </si>
  <si>
    <t>Gross Yield on Value</t>
  </si>
  <si>
    <t>Max Value @ 10%</t>
  </si>
  <si>
    <t>Max Value @ 12%</t>
  </si>
  <si>
    <t>Max Value @ 15%</t>
  </si>
  <si>
    <t>Tenant pays $1,800; lot rent is $782.</t>
  </si>
  <si>
    <t>Assumed tenant rent is $1,950; lot rent is $782.</t>
  </si>
  <si>
    <t>Tenant pays $1,600; lot rent is $500.</t>
  </si>
  <si>
    <t>CMA Based Value</t>
  </si>
  <si>
    <t>Cap Based Value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</si>
</sst>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409]mmmm\ d\,\ yyyy;@"/>
    <numFmt numFmtId="176" formatCode="&quot;$&quot;#,##0.00;[Red]\-&quot;$&quot;#,##0.00;\-"/>
    <numFmt numFmtId="177" formatCode="&quot;$&quot;#,##0;[Red]\(&quot;$&quot;#,##0\);\-"/>
    <numFmt numFmtId="178" formatCode="\$#,##0"/>
    <numFmt numFmtId="179" formatCode=";;;"/>
  </numFmts>
  <fonts count="61"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s>
  <fills count="3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0"/>
        <bgColor rgb="FF000000"/>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s>
  <borders count="69">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style="hair">
        <color auto="1"/>
      </left>
      <right/>
      <top/>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right style="medium">
        <color auto="1"/>
      </right>
      <top style="medium">
        <color auto="1"/>
      </top>
      <bottom style="double">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right style="medium">
        <color auto="1"/>
      </right>
      <top style="thin">
        <color auto="1"/>
      </top>
      <bottom style="thin">
        <color indexed="64"/>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right style="thick">
        <color auto="1"/>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dashed">
        <color auto="1"/>
      </left>
      <right/>
      <top/>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s>
  <cellStyleXfs count="15">
    <xf numFmtId="0" fontId="0" fillId="0" borderId="0"/>
    <xf numFmtId="0" fontId="2" fillId="0" borderId="0" applyNumberFormat="0" applyFill="0" applyBorder="0" applyAlignment="0" applyProtection="0"/>
    <xf numFmtId="0" fontId="6" fillId="0" borderId="16" applyNumberFormat="0" applyFill="0" applyAlignment="0" applyProtection="0"/>
    <xf numFmtId="0" fontId="7" fillId="0" borderId="17"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919">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9"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20"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6"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8"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5" xfId="0" applyFont="1" applyBorder="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2" xfId="0" applyFont="1" applyBorder="1" applyAlignment="1">
      <alignment horizontal="right"/>
    </xf>
    <xf numFmtId="164" fontId="14" fillId="0" borderId="3" xfId="0" applyNumberFormat="1" applyFont="1" applyBorder="1"/>
    <xf numFmtId="0" fontId="14" fillId="0" borderId="5" xfId="0" applyFont="1" applyBorder="1"/>
    <xf numFmtId="0" fontId="14" fillId="0" borderId="4" xfId="0" applyFont="1" applyBorder="1" applyAlignment="1">
      <alignment horizontal="right"/>
    </xf>
    <xf numFmtId="164" fontId="14" fillId="0" borderId="5" xfId="0" applyNumberFormat="1" applyFont="1" applyBorder="1"/>
    <xf numFmtId="3" fontId="15" fillId="3" borderId="0" xfId="0" applyNumberFormat="1" applyFont="1" applyFill="1"/>
    <xf numFmtId="164" fontId="15" fillId="3" borderId="30" xfId="0" applyNumberFormat="1" applyFont="1" applyFill="1" applyBorder="1"/>
    <xf numFmtId="164" fontId="15" fillId="3" borderId="31" xfId="0" applyNumberFormat="1" applyFont="1" applyFill="1" applyBorder="1"/>
    <xf numFmtId="0" fontId="14" fillId="0" borderId="13" xfId="0" applyFont="1" applyBorder="1" applyAlignment="1">
      <alignment horizontal="right"/>
    </xf>
    <xf numFmtId="9" fontId="14" fillId="2" borderId="29" xfId="0" applyNumberFormat="1" applyFont="1" applyFill="1" applyBorder="1" applyAlignment="1">
      <alignment horizontal="left"/>
    </xf>
    <xf numFmtId="0" fontId="15" fillId="0" borderId="13" xfId="0" applyFont="1" applyBorder="1" applyAlignment="1">
      <alignment horizontal="center" vertical="center"/>
    </xf>
    <xf numFmtId="164" fontId="15" fillId="3" borderId="14" xfId="0" applyNumberFormat="1" applyFont="1" applyFill="1" applyBorder="1"/>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165" fontId="34" fillId="4" borderId="0" xfId="0" applyNumberFormat="1" applyFont="1" applyFill="1" applyAlignment="1">
      <alignment horizontal="right"/>
    </xf>
    <xf numFmtId="3" fontId="14" fillId="0" borderId="0" xfId="0" applyNumberFormat="1" applyFont="1"/>
    <xf numFmtId="164" fontId="15" fillId="3" borderId="0" xfId="0" applyNumberFormat="1" applyFont="1" applyFill="1"/>
    <xf numFmtId="0" fontId="14" fillId="3" borderId="0" xfId="0" applyFont="1" applyFill="1" applyAlignment="1">
      <alignment horizontal="right"/>
    </xf>
    <xf numFmtId="164" fontId="14" fillId="3" borderId="0" xfId="0" applyNumberFormat="1" applyFont="1" applyFill="1"/>
    <xf numFmtId="164" fontId="15" fillId="3" borderId="4" xfId="0" applyNumberFormat="1" applyFont="1" applyFill="1" applyBorder="1"/>
    <xf numFmtId="0" fontId="14" fillId="0" borderId="41" xfId="0" applyFont="1" applyBorder="1"/>
    <xf numFmtId="164" fontId="14" fillId="3" borderId="5" xfId="0" applyNumberFormat="1" applyFont="1" applyFill="1" applyBorder="1"/>
    <xf numFmtId="3" fontId="14" fillId="18" borderId="29" xfId="0" applyNumberFormat="1" applyFont="1" applyFill="1" applyBorder="1"/>
    <xf numFmtId="0" fontId="0" fillId="2" borderId="0" xfId="0" applyFill="1" applyAlignment="1">
      <alignment horizontal="right"/>
    </xf>
    <xf numFmtId="0" fontId="1" fillId="2" borderId="45" xfId="0" applyFont="1" applyFill="1" applyBorder="1" applyAlignment="1">
      <alignment horizontal="right"/>
    </xf>
    <xf numFmtId="164" fontId="1" fillId="18" borderId="1" xfId="0" applyNumberFormat="1" applyFont="1" applyFill="1" applyBorder="1"/>
    <xf numFmtId="0" fontId="14" fillId="2" borderId="38"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6" xfId="0" quotePrefix="1" applyNumberFormat="1" applyFont="1" applyFill="1" applyBorder="1" applyAlignment="1">
      <alignment horizontal="center" wrapText="1"/>
    </xf>
    <xf numFmtId="0" fontId="1" fillId="0" borderId="39" xfId="0" applyFont="1" applyBorder="1" applyAlignment="1">
      <alignment horizontal="right" wrapText="1"/>
    </xf>
    <xf numFmtId="0" fontId="0" fillId="0" borderId="38"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5"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8" xfId="0" applyNumberFormat="1" applyFont="1" applyFill="1" applyBorder="1"/>
    <xf numFmtId="0" fontId="14" fillId="9" borderId="29" xfId="0" applyFont="1" applyFill="1" applyBorder="1"/>
    <xf numFmtId="16" fontId="0" fillId="0" borderId="0" xfId="0" applyNumberFormat="1"/>
    <xf numFmtId="164" fontId="15" fillId="3" borderId="46" xfId="0" applyNumberFormat="1" applyFont="1" applyFill="1" applyBorder="1"/>
    <xf numFmtId="49" fontId="1" fillId="3" borderId="36" xfId="0" quotePrefix="1" applyNumberFormat="1" applyFont="1" applyFill="1" applyBorder="1" applyAlignment="1">
      <alignment horizontal="center" wrapText="1"/>
    </xf>
    <xf numFmtId="0" fontId="1" fillId="18" borderId="47" xfId="0" applyFont="1" applyFill="1" applyBorder="1" applyAlignment="1">
      <alignment horizontal="right"/>
    </xf>
    <xf numFmtId="164" fontId="1" fillId="18" borderId="30" xfId="0" applyNumberFormat="1" applyFont="1" applyFill="1" applyBorder="1"/>
    <xf numFmtId="0" fontId="1" fillId="18" borderId="48" xfId="0" applyFont="1" applyFill="1" applyBorder="1" applyAlignment="1">
      <alignment horizontal="right"/>
    </xf>
    <xf numFmtId="164" fontId="1" fillId="18" borderId="49" xfId="0" applyNumberFormat="1" applyFont="1" applyFill="1" applyBorder="1"/>
    <xf numFmtId="49" fontId="17" fillId="11" borderId="36" xfId="0" quotePrefix="1" applyNumberFormat="1" applyFont="1" applyFill="1" applyBorder="1" applyAlignment="1">
      <alignment horizontal="center" wrapText="1"/>
    </xf>
    <xf numFmtId="0" fontId="4" fillId="2" borderId="50" xfId="0" applyFont="1" applyFill="1" applyBorder="1" applyAlignment="1">
      <alignment horizontal="right"/>
    </xf>
    <xf numFmtId="0" fontId="4" fillId="2" borderId="49" xfId="0" applyFont="1" applyFill="1" applyBorder="1" applyAlignment="1">
      <alignment horizontal="right"/>
    </xf>
    <xf numFmtId="0" fontId="4" fillId="2" borderId="49" xfId="0" applyFont="1" applyFill="1" applyBorder="1"/>
    <xf numFmtId="0" fontId="4" fillId="2" borderId="51"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5" xfId="0" applyNumberFormat="1" applyFont="1" applyFill="1" applyBorder="1" applyAlignment="1">
      <alignment horizontal="right"/>
    </xf>
    <xf numFmtId="1" fontId="34" fillId="19" borderId="34" xfId="0" applyNumberFormat="1" applyFont="1" applyFill="1" applyBorder="1" applyAlignment="1">
      <alignment horizontal="right"/>
    </xf>
    <xf numFmtId="165" fontId="34" fillId="4" borderId="7" xfId="0" applyNumberFormat="1" applyFont="1" applyFill="1" applyBorder="1" applyAlignment="1">
      <alignment horizontal="right"/>
    </xf>
    <xf numFmtId="0" fontId="38" fillId="0" borderId="0" xfId="0" applyFont="1" applyAlignment="1">
      <alignment horizontal="right"/>
    </xf>
    <xf numFmtId="9" fontId="1" fillId="2" borderId="54" xfId="0" applyNumberFormat="1" applyFont="1" applyFill="1" applyBorder="1"/>
    <xf numFmtId="1" fontId="1" fillId="2" borderId="54"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3" fontId="14" fillId="3" borderId="1" xfId="0" applyNumberFormat="1" applyFont="1" applyFill="1" applyBorder="1"/>
    <xf numFmtId="166" fontId="1" fillId="2" borderId="54" xfId="0" applyNumberFormat="1" applyFont="1" applyFill="1" applyBorder="1"/>
    <xf numFmtId="3" fontId="1" fillId="2" borderId="45" xfId="0" applyNumberFormat="1" applyFont="1" applyFill="1" applyBorder="1" applyAlignment="1">
      <alignment horizontal="right"/>
    </xf>
    <xf numFmtId="165" fontId="1" fillId="2" borderId="54"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 fontId="38" fillId="4" borderId="29" xfId="0" applyNumberFormat="1" applyFont="1" applyFill="1" applyBorder="1" applyAlignment="1">
      <alignment horizontal="right"/>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4"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4" xfId="0" applyNumberFormat="1" applyFont="1" applyFill="1" applyBorder="1"/>
    <xf numFmtId="9" fontId="0" fillId="2" borderId="0" xfId="0" applyNumberFormat="1" applyFill="1"/>
    <xf numFmtId="166" fontId="1" fillId="18" borderId="0" xfId="0" applyNumberFormat="1" applyFont="1" applyFill="1"/>
    <xf numFmtId="164" fontId="1" fillId="18" borderId="54"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5" xfId="0" applyNumberFormat="1" applyFont="1" applyFill="1" applyBorder="1"/>
    <xf numFmtId="3" fontId="1" fillId="3" borderId="45"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20"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5" xfId="0" applyNumberFormat="1" applyFont="1" applyFill="1" applyBorder="1" applyAlignment="1">
      <alignment horizontal="center" wrapText="1"/>
    </xf>
    <xf numFmtId="3" fontId="17" fillId="22" borderId="45" xfId="0" applyNumberFormat="1" applyFont="1" applyFill="1" applyBorder="1"/>
    <xf numFmtId="3" fontId="1" fillId="3" borderId="56" xfId="0" applyNumberFormat="1" applyFont="1" applyFill="1" applyBorder="1"/>
    <xf numFmtId="3" fontId="17" fillId="11" borderId="57" xfId="0" applyNumberFormat="1" applyFont="1" applyFill="1" applyBorder="1"/>
    <xf numFmtId="3" fontId="17" fillId="11" borderId="58" xfId="0" applyNumberFormat="1" applyFont="1" applyFill="1" applyBorder="1"/>
    <xf numFmtId="3" fontId="17" fillId="11" borderId="7" xfId="0" applyNumberFormat="1" applyFont="1" applyFill="1" applyBorder="1"/>
    <xf numFmtId="49" fontId="17" fillId="3" borderId="36" xfId="0" quotePrefix="1" applyNumberFormat="1" applyFont="1" applyFill="1" applyBorder="1" applyAlignment="1">
      <alignment horizontal="center" wrapText="1"/>
    </xf>
    <xf numFmtId="3" fontId="1" fillId="3" borderId="59" xfId="0" applyNumberFormat="1" applyFont="1" applyFill="1" applyBorder="1"/>
    <xf numFmtId="3" fontId="1" fillId="3" borderId="50" xfId="0" applyNumberFormat="1" applyFont="1" applyFill="1" applyBorder="1"/>
    <xf numFmtId="3" fontId="1" fillId="3" borderId="14" xfId="0" applyNumberFormat="1" applyFont="1" applyFill="1" applyBorder="1"/>
    <xf numFmtId="3" fontId="17" fillId="11" borderId="40" xfId="0" applyNumberFormat="1" applyFont="1" applyFill="1" applyBorder="1"/>
    <xf numFmtId="3" fontId="17" fillId="11" borderId="56" xfId="0" applyNumberFormat="1" applyFont="1" applyFill="1" applyBorder="1"/>
    <xf numFmtId="49" fontId="0" fillId="0" borderId="0" xfId="0" applyNumberFormat="1" applyAlignment="1">
      <alignment horizontal="right"/>
    </xf>
    <xf numFmtId="0" fontId="15" fillId="0" borderId="3" xfId="0" applyFont="1" applyBorder="1" applyAlignment="1">
      <alignment horizontal="center"/>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15" fillId="3" borderId="40" xfId="0" applyNumberFormat="1" applyFont="1" applyFill="1" applyBorder="1"/>
    <xf numFmtId="164" fontId="33" fillId="9" borderId="2" xfId="0" applyNumberFormat="1" applyFont="1" applyFill="1" applyBorder="1"/>
    <xf numFmtId="0" fontId="14" fillId="0" borderId="38" xfId="0" applyFont="1" applyBorder="1"/>
    <xf numFmtId="0" fontId="14" fillId="18" borderId="38" xfId="0" applyFont="1" applyFill="1" applyBorder="1"/>
    <xf numFmtId="3" fontId="14" fillId="18" borderId="38" xfId="0" applyNumberFormat="1" applyFont="1" applyFill="1" applyBorder="1"/>
    <xf numFmtId="0" fontId="13" fillId="0" borderId="0" xfId="0" applyFont="1"/>
    <xf numFmtId="9" fontId="14" fillId="2" borderId="35" xfId="0" applyNumberFormat="1" applyFont="1" applyFill="1" applyBorder="1" applyAlignment="1">
      <alignment horizontal="right"/>
    </xf>
    <xf numFmtId="0" fontId="15" fillId="3" borderId="4" xfId="0" applyFont="1" applyFill="1" applyBorder="1" applyAlignment="1">
      <alignment horizontal="right"/>
    </xf>
    <xf numFmtId="0" fontId="15" fillId="3" borderId="0" xfId="0" applyFont="1" applyFill="1" applyAlignment="1">
      <alignment horizontal="right"/>
    </xf>
    <xf numFmtId="164" fontId="14" fillId="2" borderId="4" xfId="0" applyNumberFormat="1" applyFont="1" applyFill="1" applyBorder="1"/>
    <xf numFmtId="173" fontId="0" fillId="0" borderId="0" xfId="0" applyNumberFormat="1"/>
    <xf numFmtId="10" fontId="0" fillId="2" borderId="29" xfId="0" applyNumberFormat="1" applyFill="1" applyBorder="1"/>
    <xf numFmtId="0" fontId="1" fillId="0" borderId="29" xfId="0" applyFont="1" applyBorder="1" applyAlignment="1">
      <alignment horizontal="center" wrapText="1"/>
    </xf>
    <xf numFmtId="3" fontId="1" fillId="0" borderId="0" xfId="0" applyNumberFormat="1" applyFont="1"/>
    <xf numFmtId="3" fontId="1" fillId="0" borderId="0" xfId="0" applyNumberFormat="1" applyFont="1" applyAlignment="1">
      <alignment horizontal="right"/>
    </xf>
    <xf numFmtId="3" fontId="1" fillId="0" borderId="29" xfId="0" applyNumberFormat="1" applyFont="1" applyBorder="1" applyAlignment="1">
      <alignment horizontal="center" wrapText="1"/>
    </xf>
    <xf numFmtId="3" fontId="0" fillId="0" borderId="1" xfId="0" applyNumberFormat="1" applyBorder="1"/>
    <xf numFmtId="38" fontId="1" fillId="0" borderId="0" xfId="0" applyNumberFormat="1" applyFont="1"/>
    <xf numFmtId="0" fontId="1" fillId="0" borderId="29" xfId="0" applyFont="1" applyBorder="1" applyAlignment="1">
      <alignment horizontal="center"/>
    </xf>
    <xf numFmtId="9" fontId="33" fillId="18" borderId="29" xfId="0" applyNumberFormat="1" applyFont="1" applyFill="1" applyBorder="1"/>
    <xf numFmtId="164" fontId="33" fillId="18" borderId="29" xfId="0" applyNumberFormat="1" applyFont="1" applyFill="1" applyBorder="1"/>
    <xf numFmtId="164" fontId="14" fillId="20" borderId="4" xfId="0" applyNumberFormat="1" applyFont="1" applyFill="1" applyBorder="1"/>
    <xf numFmtId="3" fontId="14" fillId="20" borderId="43" xfId="0" applyNumberFormat="1" applyFont="1" applyFill="1" applyBorder="1"/>
    <xf numFmtId="164" fontId="14" fillId="23" borderId="4" xfId="0" applyNumberFormat="1" applyFont="1" applyFill="1" applyBorder="1"/>
    <xf numFmtId="3" fontId="14" fillId="23" borderId="43" xfId="0" applyNumberFormat="1" applyFont="1" applyFill="1" applyBorder="1"/>
    <xf numFmtId="9" fontId="33" fillId="2" borderId="29" xfId="0" applyNumberFormat="1" applyFont="1" applyFill="1" applyBorder="1"/>
    <xf numFmtId="3" fontId="14" fillId="23" borderId="4" xfId="0" applyNumberFormat="1" applyFont="1" applyFill="1" applyBorder="1"/>
    <xf numFmtId="0" fontId="14" fillId="23" borderId="43" xfId="0" applyFont="1" applyFill="1" applyBorder="1"/>
    <xf numFmtId="10" fontId="33" fillId="2" borderId="29" xfId="0" applyNumberFormat="1" applyFont="1" applyFill="1" applyBorder="1"/>
    <xf numFmtId="3" fontId="33" fillId="2" borderId="29" xfId="0" applyNumberFormat="1" applyFont="1" applyFill="1" applyBorder="1"/>
    <xf numFmtId="172" fontId="14" fillId="3" borderId="35" xfId="0" applyNumberFormat="1" applyFont="1" applyFill="1" applyBorder="1" applyAlignment="1">
      <alignment horizontal="right"/>
    </xf>
    <xf numFmtId="164" fontId="14" fillId="3" borderId="37" xfId="0" applyNumberFormat="1" applyFont="1" applyFill="1" applyBorder="1"/>
    <xf numFmtId="9" fontId="14" fillId="3" borderId="37" xfId="0" applyNumberFormat="1" applyFont="1" applyFill="1" applyBorder="1"/>
    <xf numFmtId="3" fontId="14" fillId="3" borderId="37" xfId="0" applyNumberFormat="1" applyFont="1" applyFill="1" applyBorder="1"/>
    <xf numFmtId="9" fontId="14" fillId="3" borderId="36" xfId="0" applyNumberFormat="1" applyFont="1" applyFill="1" applyBorder="1"/>
    <xf numFmtId="172" fontId="14" fillId="24" borderId="35" xfId="0" applyNumberFormat="1" applyFont="1" applyFill="1" applyBorder="1" applyAlignment="1">
      <alignment horizontal="right"/>
    </xf>
    <xf numFmtId="164" fontId="14" fillId="24" borderId="37" xfId="0" applyNumberFormat="1" applyFont="1" applyFill="1" applyBorder="1"/>
    <xf numFmtId="9" fontId="14" fillId="24" borderId="37" xfId="0" applyNumberFormat="1" applyFont="1" applyFill="1" applyBorder="1"/>
    <xf numFmtId="9" fontId="14" fillId="24" borderId="36"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5" borderId="1" xfId="0" applyNumberFormat="1" applyFont="1" applyFill="1" applyBorder="1"/>
    <xf numFmtId="9" fontId="14" fillId="25" borderId="7" xfId="0" applyNumberFormat="1" applyFont="1" applyFill="1" applyBorder="1"/>
    <xf numFmtId="0" fontId="14" fillId="20" borderId="2" xfId="0" applyFont="1" applyFill="1" applyBorder="1"/>
    <xf numFmtId="0" fontId="14" fillId="20" borderId="42" xfId="0" applyFont="1" applyFill="1" applyBorder="1"/>
    <xf numFmtId="3" fontId="14" fillId="20" borderId="4" xfId="0" applyNumberFormat="1" applyFont="1" applyFill="1" applyBorder="1"/>
    <xf numFmtId="3" fontId="14" fillId="20" borderId="0" xfId="0" applyNumberFormat="1" applyFont="1" applyFill="1"/>
    <xf numFmtId="3" fontId="14" fillId="20" borderId="6" xfId="0" applyNumberFormat="1" applyFont="1" applyFill="1" applyBorder="1"/>
    <xf numFmtId="3" fontId="14" fillId="20" borderId="44" xfId="0" applyNumberFormat="1" applyFont="1" applyFill="1" applyBorder="1"/>
    <xf numFmtId="3" fontId="14" fillId="23" borderId="6" xfId="0" applyNumberFormat="1" applyFont="1" applyFill="1" applyBorder="1"/>
    <xf numFmtId="0" fontId="14" fillId="23" borderId="44" xfId="0" applyFont="1" applyFill="1" applyBorder="1"/>
    <xf numFmtId="3" fontId="14" fillId="23" borderId="2" xfId="0" applyNumberFormat="1" applyFont="1" applyFill="1" applyBorder="1"/>
    <xf numFmtId="3" fontId="14" fillId="23" borderId="4" xfId="0" applyNumberFormat="1" applyFont="1" applyFill="1" applyBorder="1" applyAlignment="1">
      <alignment horizontal="center"/>
    </xf>
    <xf numFmtId="0" fontId="14" fillId="26" borderId="2" xfId="0" applyFont="1" applyFill="1" applyBorder="1" applyAlignment="1">
      <alignment horizontal="right"/>
    </xf>
    <xf numFmtId="172" fontId="14" fillId="24" borderId="4" xfId="0" applyNumberFormat="1" applyFont="1" applyFill="1" applyBorder="1" applyAlignment="1">
      <alignment horizontal="right"/>
    </xf>
    <xf numFmtId="164" fontId="14" fillId="24" borderId="0" xfId="0" applyNumberFormat="1" applyFont="1" applyFill="1"/>
    <xf numFmtId="10" fontId="14" fillId="24" borderId="0" xfId="0" applyNumberFormat="1" applyFont="1" applyFill="1"/>
    <xf numFmtId="3" fontId="14" fillId="24" borderId="0" xfId="0" applyNumberFormat="1" applyFont="1" applyFill="1"/>
    <xf numFmtId="4" fontId="14" fillId="24" borderId="0" xfId="0" applyNumberFormat="1" applyFont="1" applyFill="1"/>
    <xf numFmtId="10" fontId="14" fillId="24" borderId="5" xfId="0" applyNumberFormat="1" applyFont="1" applyFill="1" applyBorder="1"/>
    <xf numFmtId="3" fontId="14" fillId="27" borderId="4" xfId="0" applyNumberFormat="1" applyFont="1" applyFill="1" applyBorder="1"/>
    <xf numFmtId="164" fontId="14" fillId="27" borderId="43" xfId="0" applyNumberFormat="1" applyFont="1" applyFill="1" applyBorder="1"/>
    <xf numFmtId="164" fontId="14" fillId="27" borderId="4" xfId="0" applyNumberFormat="1" applyFont="1" applyFill="1" applyBorder="1" applyAlignment="1">
      <alignment horizontal="right"/>
    </xf>
    <xf numFmtId="0" fontId="14" fillId="27" borderId="4" xfId="0" applyFont="1" applyFill="1" applyBorder="1" applyAlignment="1">
      <alignment horizontal="right"/>
    </xf>
    <xf numFmtId="164" fontId="14" fillId="27" borderId="4" xfId="0" applyNumberFormat="1" applyFont="1" applyFill="1" applyBorder="1"/>
    <xf numFmtId="164" fontId="14" fillId="27" borderId="6" xfId="0" applyNumberFormat="1" applyFont="1" applyFill="1" applyBorder="1"/>
    <xf numFmtId="164" fontId="14" fillId="27" borderId="44" xfId="0" applyNumberFormat="1" applyFont="1" applyFill="1" applyBorder="1"/>
    <xf numFmtId="0" fontId="14" fillId="23" borderId="0" xfId="0" applyFont="1" applyFill="1"/>
    <xf numFmtId="164" fontId="14" fillId="23" borderId="0" xfId="0" applyNumberFormat="1" applyFont="1" applyFill="1"/>
    <xf numFmtId="164" fontId="14" fillId="23" borderId="1" xfId="0" applyNumberFormat="1" applyFont="1" applyFill="1" applyBorder="1"/>
    <xf numFmtId="0" fontId="14" fillId="20" borderId="3" xfId="0" applyFont="1" applyFill="1" applyBorder="1"/>
    <xf numFmtId="0" fontId="14" fillId="20" borderId="4" xfId="0" applyFont="1" applyFill="1" applyBorder="1"/>
    <xf numFmtId="0" fontId="14" fillId="20" borderId="5" xfId="0" applyFont="1" applyFill="1" applyBorder="1"/>
    <xf numFmtId="164" fontId="14" fillId="20" borderId="6" xfId="0" applyNumberFormat="1" applyFont="1" applyFill="1" applyBorder="1"/>
    <xf numFmtId="164" fontId="14" fillId="20" borderId="7" xfId="0" applyNumberFormat="1" applyFont="1" applyFill="1" applyBorder="1"/>
    <xf numFmtId="3" fontId="14" fillId="23" borderId="0" xfId="0" applyNumberFormat="1" applyFont="1" applyFill="1"/>
    <xf numFmtId="3" fontId="14" fillId="23" borderId="60" xfId="0" applyNumberFormat="1" applyFont="1" applyFill="1" applyBorder="1"/>
    <xf numFmtId="0" fontId="14" fillId="23" borderId="1" xfId="0" applyFont="1" applyFill="1" applyBorder="1"/>
    <xf numFmtId="0" fontId="14" fillId="0" borderId="6" xfId="0" applyFont="1" applyBorder="1" applyAlignment="1">
      <alignment horizontal="right"/>
    </xf>
    <xf numFmtId="38" fontId="0" fillId="18" borderId="29" xfId="0" applyNumberFormat="1" applyFill="1" applyBorder="1"/>
    <xf numFmtId="38" fontId="0" fillId="2" borderId="29" xfId="0" applyNumberFormat="1" applyFill="1" applyBorder="1"/>
    <xf numFmtId="38" fontId="0" fillId="26" borderId="29" xfId="0" applyNumberFormat="1" applyFill="1" applyBorder="1"/>
    <xf numFmtId="38" fontId="0" fillId="20" borderId="29" xfId="0" applyNumberFormat="1" applyFill="1" applyBorder="1"/>
    <xf numFmtId="0" fontId="1" fillId="20" borderId="29" xfId="0" applyFont="1" applyFill="1" applyBorder="1" applyAlignment="1">
      <alignment horizontal="center" wrapText="1"/>
    </xf>
    <xf numFmtId="0" fontId="15" fillId="18" borderId="35" xfId="0" applyFont="1" applyFill="1" applyBorder="1" applyAlignment="1">
      <alignment horizontal="left" vertical="center" wrapText="1"/>
    </xf>
    <xf numFmtId="0" fontId="15" fillId="18" borderId="29" xfId="0" applyFont="1" applyFill="1" applyBorder="1" applyAlignment="1">
      <alignment horizontal="left" vertical="center" wrapText="1"/>
    </xf>
    <xf numFmtId="164" fontId="14" fillId="9" borderId="44" xfId="0" applyNumberFormat="1" applyFont="1" applyFill="1" applyBorder="1"/>
    <xf numFmtId="0" fontId="14" fillId="20" borderId="43" xfId="0" applyFont="1" applyFill="1" applyBorder="1"/>
    <xf numFmtId="164" fontId="14" fillId="26" borderId="3" xfId="0" applyNumberFormat="1" applyFont="1" applyFill="1" applyBorder="1"/>
    <xf numFmtId="0" fontId="14" fillId="2" borderId="0" xfId="0" applyFont="1" applyFill="1"/>
    <xf numFmtId="3" fontId="15" fillId="0" borderId="4" xfId="0" applyNumberFormat="1" applyFont="1" applyBorder="1"/>
    <xf numFmtId="0" fontId="0" fillId="18" borderId="1" xfId="0" applyFill="1" applyBorder="1"/>
    <xf numFmtId="3" fontId="1" fillId="0" borderId="35" xfId="0" applyNumberFormat="1" applyFont="1" applyBorder="1" applyAlignment="1">
      <alignment horizontal="center" wrapText="1"/>
    </xf>
    <xf numFmtId="0" fontId="0" fillId="20" borderId="38" xfId="0" applyFill="1" applyBorder="1" applyAlignment="1">
      <alignment horizontal="center"/>
    </xf>
    <xf numFmtId="0" fontId="0" fillId="20" borderId="34" xfId="0" applyFill="1" applyBorder="1" applyAlignment="1">
      <alignment horizontal="center"/>
    </xf>
    <xf numFmtId="3" fontId="14" fillId="23" borderId="5" xfId="0" applyNumberFormat="1" applyFont="1" applyFill="1" applyBorder="1"/>
    <xf numFmtId="0" fontId="14" fillId="26" borderId="4" xfId="0" applyFont="1" applyFill="1" applyBorder="1" applyAlignment="1">
      <alignment horizontal="right"/>
    </xf>
    <xf numFmtId="164" fontId="14" fillId="26" borderId="5" xfId="0" applyNumberFormat="1" applyFont="1" applyFill="1" applyBorder="1"/>
    <xf numFmtId="0" fontId="14" fillId="23" borderId="9" xfId="0" applyFont="1" applyFill="1" applyBorder="1"/>
    <xf numFmtId="1" fontId="34" fillId="28" borderId="4" xfId="0" applyNumberFormat="1" applyFont="1" applyFill="1" applyBorder="1" applyAlignment="1">
      <alignment horizontal="right"/>
    </xf>
    <xf numFmtId="1" fontId="34" fillId="28"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5"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9" xfId="0" applyNumberFormat="1" applyFont="1" applyFill="1" applyBorder="1"/>
    <xf numFmtId="164" fontId="14" fillId="3" borderId="9" xfId="0" applyNumberFormat="1" applyFont="1" applyFill="1" applyBorder="1"/>
    <xf numFmtId="164" fontId="14" fillId="3" borderId="3" xfId="0" applyNumberFormat="1" applyFont="1" applyFill="1" applyBorder="1"/>
    <xf numFmtId="1" fontId="15" fillId="3" borderId="0" xfId="0" applyNumberFormat="1" applyFont="1" applyFill="1" applyAlignment="1">
      <alignment horizontal="center"/>
    </xf>
    <xf numFmtId="3" fontId="14" fillId="0" borderId="0" xfId="0" applyNumberFormat="1" applyFont="1" applyAlignment="1">
      <alignment horizontal="right"/>
    </xf>
    <xf numFmtId="14" fontId="14" fillId="2" borderId="29" xfId="0" applyNumberFormat="1" applyFont="1" applyFill="1" applyBorder="1"/>
    <xf numFmtId="171" fontId="0" fillId="26" borderId="29" xfId="0" applyNumberFormat="1" applyFill="1" applyBorder="1"/>
    <xf numFmtId="171" fontId="0" fillId="20" borderId="29" xfId="0" applyNumberFormat="1" applyFill="1" applyBorder="1"/>
    <xf numFmtId="6" fontId="1" fillId="0" borderId="0" xfId="0" applyNumberFormat="1" applyFont="1" applyAlignment="1">
      <alignment horizontal="right"/>
    </xf>
    <xf numFmtId="9" fontId="14" fillId="18" borderId="29"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9" xfId="0" applyFont="1" applyFill="1" applyBorder="1" applyAlignment="1">
      <alignment horizontal="right" vertical="center" wrapText="1"/>
    </xf>
    <xf numFmtId="0" fontId="14" fillId="23" borderId="43" xfId="0" applyFont="1" applyFill="1" applyBorder="1" applyAlignment="1">
      <alignment horizontal="center"/>
    </xf>
    <xf numFmtId="0" fontId="15" fillId="2" borderId="29" xfId="0" applyFont="1" applyFill="1" applyBorder="1" applyAlignment="1">
      <alignment horizontal="center" vertical="center" wrapText="1"/>
      <extLst>
        <ext xmlns:xfpb="http://schemas.microsoft.com/office/spreadsheetml/2022/featurepropertybag" uri="{C7286773-470A-42A8-94C5-96B5CB345126}">
          <xfpb:xfComplement i="0"/>
        </ext>
      </extLst>
    </xf>
    <xf numFmtId="9" fontId="0" fillId="2" borderId="29" xfId="0" applyNumberFormat="1" applyFill="1" applyBorder="1"/>
    <xf numFmtId="171" fontId="0" fillId="18" borderId="29" xfId="0" applyNumberFormat="1" applyFill="1" applyBorder="1"/>
    <xf numFmtId="10" fontId="0" fillId="0" borderId="0" xfId="0" applyNumberFormat="1"/>
    <xf numFmtId="14" fontId="0" fillId="0" borderId="0" xfId="0" applyNumberFormat="1" applyAlignment="1">
      <alignment horizontal="right"/>
    </xf>
    <xf numFmtId="0" fontId="15" fillId="2" borderId="29" xfId="0" applyFont="1" applyFill="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0" fontId="29" fillId="2" borderId="0" xfId="0" applyFont="1" applyFill="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1" fillId="0" borderId="0" xfId="0" applyNumberFormat="1" applyFont="1"/>
    <xf numFmtId="171" fontId="0" fillId="0" borderId="0" xfId="0" applyNumberFormat="1"/>
    <xf numFmtId="171" fontId="0" fillId="0" borderId="1" xfId="0" applyNumberFormat="1" applyBorder="1"/>
    <xf numFmtId="3" fontId="1" fillId="0" borderId="34" xfId="0" applyNumberFormat="1" applyFont="1" applyBorder="1" applyAlignment="1">
      <alignment horizontal="center" wrapText="1"/>
    </xf>
    <xf numFmtId="4" fontId="1" fillId="0" borderId="0" xfId="0" applyNumberFormat="1" applyFont="1" applyAlignment="1">
      <alignment horizontal="right"/>
    </xf>
    <xf numFmtId="4" fontId="0" fillId="18" borderId="29" xfId="0" applyNumberFormat="1" applyFill="1" applyBorder="1"/>
    <xf numFmtId="4" fontId="1" fillId="2" borderId="29" xfId="0" applyNumberFormat="1" applyFont="1" applyFill="1" applyBorder="1" applyAlignment="1">
      <alignment horizontal="center"/>
    </xf>
    <xf numFmtId="4" fontId="0" fillId="2" borderId="29" xfId="0" applyNumberFormat="1" applyFill="1" applyBorder="1"/>
    <xf numFmtId="4" fontId="1" fillId="0" borderId="29" xfId="0" applyNumberFormat="1" applyFont="1" applyBorder="1" applyAlignment="1">
      <alignment horizontal="center" wrapText="1"/>
    </xf>
    <xf numFmtId="173" fontId="0" fillId="20" borderId="38" xfId="0" applyNumberFormat="1" applyFill="1" applyBorder="1" applyAlignment="1">
      <alignment horizontal="center"/>
    </xf>
    <xf numFmtId="173" fontId="0" fillId="0" borderId="0" xfId="0" applyNumberFormat="1" applyAlignment="1">
      <alignment horizontal="center"/>
    </xf>
    <xf numFmtId="173" fontId="1" fillId="20" borderId="29" xfId="0" applyNumberFormat="1" applyFont="1" applyFill="1" applyBorder="1" applyAlignment="1">
      <alignment horizontal="center" wrapText="1"/>
    </xf>
    <xf numFmtId="173" fontId="0" fillId="20" borderId="34" xfId="0" applyNumberFormat="1" applyFill="1" applyBorder="1" applyAlignment="1">
      <alignment horizontal="center"/>
    </xf>
    <xf numFmtId="4" fontId="1" fillId="0" borderId="29" xfId="0" applyNumberFormat="1" applyFont="1" applyBorder="1" applyAlignment="1">
      <alignment horizontal="center"/>
    </xf>
    <xf numFmtId="4" fontId="1" fillId="0" borderId="0" xfId="0" applyNumberFormat="1" applyFont="1"/>
    <xf numFmtId="4" fontId="1" fillId="0" borderId="34" xfId="0" applyNumberFormat="1" applyFont="1" applyBorder="1" applyAlignment="1">
      <alignment horizontal="center" wrapText="1"/>
    </xf>
    <xf numFmtId="3" fontId="0" fillId="2" borderId="29" xfId="0" applyNumberFormat="1" applyFill="1" applyBorder="1"/>
    <xf numFmtId="3" fontId="0" fillId="18" borderId="29" xfId="0" applyNumberFormat="1" applyFill="1" applyBorder="1"/>
    <xf numFmtId="3" fontId="1" fillId="18" borderId="34" xfId="0" applyNumberFormat="1" applyFont="1" applyFill="1" applyBorder="1" applyAlignment="1">
      <alignment horizontal="center" wrapText="1"/>
    </xf>
    <xf numFmtId="3" fontId="0" fillId="27" borderId="0" xfId="0" applyNumberFormat="1" applyFill="1"/>
    <xf numFmtId="3" fontId="0" fillId="27" borderId="1" xfId="0" applyNumberFormat="1" applyFill="1" applyBorder="1"/>
    <xf numFmtId="14" fontId="15" fillId="2" borderId="29" xfId="0" applyNumberFormat="1" applyFont="1" applyFill="1" applyBorder="1" applyAlignment="1">
      <alignment horizontal="center" vertical="center"/>
    </xf>
    <xf numFmtId="0" fontId="14" fillId="18" borderId="29" xfId="0" applyFont="1" applyFill="1" applyBorder="1"/>
    <xf numFmtId="0" fontId="14" fillId="18" borderId="34" xfId="0" applyFont="1" applyFill="1" applyBorder="1"/>
    <xf numFmtId="0" fontId="1" fillId="0" borderId="29"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8"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5" xfId="0" applyNumberFormat="1" applyFont="1" applyFill="1" applyBorder="1"/>
    <xf numFmtId="0" fontId="0" fillId="0" borderId="36" xfId="0" applyBorder="1"/>
    <xf numFmtId="176" fontId="0" fillId="0" borderId="5" xfId="0" applyNumberFormat="1" applyBorder="1"/>
    <xf numFmtId="176" fontId="0" fillId="0" borderId="0" xfId="0" applyNumberFormat="1"/>
    <xf numFmtId="176" fontId="0" fillId="0" borderId="7" xfId="0" applyNumberFormat="1" applyBorder="1"/>
    <xf numFmtId="176" fontId="0" fillId="0" borderId="1" xfId="0" applyNumberFormat="1" applyBorder="1"/>
    <xf numFmtId="1" fontId="14" fillId="18" borderId="38"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61" xfId="0" applyNumberFormat="1" applyFont="1" applyFill="1" applyBorder="1" applyAlignment="1">
      <alignment horizontal="center"/>
    </xf>
    <xf numFmtId="165" fontId="33" fillId="2" borderId="31"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62" xfId="0" applyNumberFormat="1" applyFont="1" applyFill="1" applyBorder="1" applyAlignment="1">
      <alignment horizontal="right"/>
    </xf>
    <xf numFmtId="3" fontId="34" fillId="28" borderId="62"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4" fontId="50" fillId="18" borderId="0" xfId="0" applyNumberFormat="1" applyFont="1" applyFill="1" applyAlignment="1">
      <alignment horizontal="left"/>
    </xf>
    <xf numFmtId="8" fontId="50" fillId="18" borderId="0" xfId="0" applyNumberFormat="1" applyFont="1" applyFill="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18" borderId="0" xfId="0" applyNumberFormat="1"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75" fontId="50" fillId="18" borderId="0" xfId="0" applyNumberFormat="1"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49" fontId="50" fillId="0" borderId="0" xfId="0" applyNumberFormat="1" applyFont="1" applyAlignment="1">
      <alignment horizontal="left"/>
    </xf>
    <xf numFmtId="0" fontId="0" fillId="33" borderId="65" xfId="0" applyFill="1" applyBorder="1" applyAlignment="1">
      <alignment vertical="top" wrapText="1"/>
    </xf>
    <xf numFmtId="0" fontId="38" fillId="35" borderId="65" xfId="0" applyFont="1" applyFill="1" applyBorder="1" applyAlignment="1">
      <alignment vertical="top" wrapText="1"/>
    </xf>
    <xf numFmtId="177" fontId="0" fillId="33" borderId="65" xfId="0" applyNumberFormat="1" applyFill="1" applyBorder="1" applyAlignment="1">
      <alignment horizontal="right" vertical="top" wrapText="1"/>
    </xf>
    <xf numFmtId="177" fontId="0" fillId="34" borderId="65" xfId="0" applyNumberFormat="1" applyFill="1" applyBorder="1" applyAlignment="1">
      <alignment horizontal="right" vertical="top" wrapText="1"/>
    </xf>
    <xf numFmtId="177" fontId="38" fillId="35" borderId="65" xfId="0" applyNumberFormat="1" applyFont="1" applyFill="1" applyBorder="1" applyAlignment="1">
      <alignment horizontal="right" vertical="top" wrapText="1"/>
    </xf>
    <xf numFmtId="0" fontId="0" fillId="0" borderId="65" xfId="0" applyBorder="1" applyAlignment="1">
      <alignment vertical="top" wrapText="1"/>
    </xf>
    <xf numFmtId="0" fontId="38" fillId="31" borderId="65" xfId="0" applyFont="1" applyFill="1" applyBorder="1" applyAlignment="1">
      <alignment vertical="top"/>
    </xf>
    <xf numFmtId="177" fontId="0" fillId="34" borderId="65" xfId="0" applyNumberFormat="1" applyFill="1" applyBorder="1" applyAlignment="1">
      <alignment vertical="top"/>
    </xf>
    <xf numFmtId="0" fontId="0" fillId="31" borderId="65" xfId="0" applyFill="1" applyBorder="1" applyAlignment="1">
      <alignment vertical="top"/>
    </xf>
    <xf numFmtId="0" fontId="38" fillId="31" borderId="65" xfId="0" applyFont="1" applyFill="1" applyBorder="1" applyAlignment="1">
      <alignment vertical="top" wrapText="1"/>
    </xf>
    <xf numFmtId="0" fontId="0" fillId="34" borderId="65" xfId="0" applyFill="1" applyBorder="1" applyAlignment="1">
      <alignment vertical="top" wrapText="1"/>
    </xf>
    <xf numFmtId="0" fontId="0" fillId="31" borderId="65" xfId="0" applyFill="1" applyBorder="1" applyAlignment="1">
      <alignment vertical="top" wrapText="1"/>
    </xf>
    <xf numFmtId="8" fontId="38" fillId="31" borderId="65" xfId="0" applyNumberFormat="1" applyFont="1" applyFill="1" applyBorder="1" applyAlignment="1">
      <alignment horizontal="left" vertical="top" wrapText="1"/>
    </xf>
    <xf numFmtId="177" fontId="34" fillId="34" borderId="65" xfId="0" applyNumberFormat="1" applyFont="1" applyFill="1" applyBorder="1" applyAlignment="1">
      <alignment vertical="top" wrapText="1"/>
    </xf>
    <xf numFmtId="0" fontId="34" fillId="34" borderId="65" xfId="0" applyFont="1" applyFill="1" applyBorder="1" applyAlignment="1">
      <alignment vertical="top" wrapText="1"/>
    </xf>
    <xf numFmtId="0" fontId="38" fillId="32" borderId="65" xfId="0" applyFont="1" applyFill="1" applyBorder="1" applyAlignment="1">
      <alignment horizontal="center" wrapText="1"/>
    </xf>
    <xf numFmtId="0" fontId="56" fillId="36" borderId="66" xfId="0" applyFont="1" applyFill="1" applyBorder="1" applyAlignment="1">
      <alignment horizontal="center" vertical="center" wrapText="1"/>
    </xf>
    <xf numFmtId="0" fontId="57" fillId="37" borderId="67" xfId="0" applyFont="1" applyFill="1" applyBorder="1" applyAlignment="1">
      <alignment horizontal="left" vertical="center"/>
    </xf>
    <xf numFmtId="178" fontId="57" fillId="37" borderId="67" xfId="0" applyNumberFormat="1" applyFont="1" applyFill="1" applyBorder="1" applyAlignment="1">
      <alignment vertical="center"/>
    </xf>
    <xf numFmtId="165" fontId="57" fillId="37" borderId="67" xfId="0" applyNumberFormat="1" applyFont="1" applyFill="1" applyBorder="1" applyAlignment="1">
      <alignment vertical="center"/>
    </xf>
    <xf numFmtId="0" fontId="57" fillId="37" borderId="67" xfId="0" applyFont="1" applyFill="1" applyBorder="1" applyAlignment="1">
      <alignment horizontal="left" vertical="center" wrapText="1"/>
    </xf>
    <xf numFmtId="0" fontId="58" fillId="38" borderId="66" xfId="0" applyFont="1" applyFill="1" applyBorder="1" applyAlignment="1">
      <alignment horizontal="left" vertical="center"/>
    </xf>
    <xf numFmtId="178" fontId="58" fillId="38" borderId="66" xfId="0" applyNumberFormat="1" applyFont="1" applyFill="1" applyBorder="1" applyAlignment="1">
      <alignment vertical="center"/>
    </xf>
    <xf numFmtId="165" fontId="58" fillId="38" borderId="66" xfId="0" applyNumberFormat="1" applyFont="1" applyFill="1" applyBorder="1" applyAlignment="1">
      <alignment vertical="center"/>
    </xf>
    <xf numFmtId="0" fontId="58" fillId="38" borderId="66" xfId="0" applyFont="1" applyFill="1" applyBorder="1" applyAlignment="1">
      <alignment horizontal="left" vertical="center" wrapText="1"/>
    </xf>
    <xf numFmtId="0" fontId="59" fillId="16" borderId="0" xfId="0" applyFont="1" applyFill="1"/>
    <xf numFmtId="0" fontId="0" fillId="31" borderId="65" xfId="0" applyFill="1" applyBorder="1"/>
    <xf numFmtId="165" fontId="0" fillId="31" borderId="65" xfId="0" applyNumberFormat="1" applyFill="1" applyBorder="1" applyAlignment="1">
      <alignment horizontal="right"/>
    </xf>
    <xf numFmtId="0" fontId="1" fillId="32" borderId="65" xfId="0" applyFont="1" applyFill="1" applyBorder="1" applyAlignment="1">
      <alignment wrapText="1"/>
    </xf>
    <xf numFmtId="179" fontId="0" fillId="33" borderId="65" xfId="0" applyNumberFormat="1" applyFill="1" applyBorder="1" applyAlignment="1">
      <alignment horizontal="center"/>
    </xf>
    <xf numFmtId="0" fontId="29" fillId="2" borderId="1" xfId="0" applyFont="1" applyFill="1" applyBorder="1" applyAlignment="1">
      <alignment horizontal="left"/>
    </xf>
    <xf numFmtId="0" fontId="0" fillId="2" borderId="1" xfId="0" applyFill="1" applyBorder="1" applyAlignment="1">
      <alignment horizontal="left"/>
    </xf>
    <xf numFmtId="3" fontId="14" fillId="18" borderId="35" xfId="0" applyNumberFormat="1" applyFont="1" applyFill="1" applyBorder="1"/>
    <xf numFmtId="0" fontId="0" fillId="18" borderId="36" xfId="0" applyFill="1" applyBorder="1"/>
    <xf numFmtId="164" fontId="14" fillId="2" borderId="6" xfId="0" applyNumberFormat="1" applyFont="1" applyFill="1" applyBorder="1"/>
    <xf numFmtId="0" fontId="14" fillId="2" borderId="1" xfId="0" applyFont="1" applyFill="1" applyBorder="1"/>
    <xf numFmtId="164" fontId="14" fillId="2" borderId="4" xfId="0" applyNumberFormat="1" applyFont="1" applyFill="1" applyBorder="1"/>
    <xf numFmtId="0" fontId="14" fillId="2" borderId="7" xfId="0" applyFont="1" applyFill="1" applyBorder="1"/>
    <xf numFmtId="0" fontId="15" fillId="9" borderId="2"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5" fillId="0" borderId="9" xfId="0" applyFont="1" applyBorder="1" applyAlignment="1">
      <alignment horizontal="center" wrapText="1"/>
    </xf>
    <xf numFmtId="0" fontId="14" fillId="0" borderId="3" xfId="0" applyFont="1" applyBorder="1"/>
    <xf numFmtId="0" fontId="14" fillId="0" borderId="1" xfId="0" applyFont="1" applyBorder="1"/>
    <xf numFmtId="0" fontId="14" fillId="0" borderId="7" xfId="0" applyFont="1" applyBorder="1"/>
    <xf numFmtId="0" fontId="15" fillId="0" borderId="1" xfId="0" applyFont="1" applyBorder="1" applyAlignment="1">
      <alignment horizontal="center"/>
    </xf>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9" fontId="14" fillId="2" borderId="39" xfId="0" applyNumberFormat="1" applyFont="1" applyFill="1" applyBorder="1" applyAlignment="1">
      <alignment horizontal="center"/>
    </xf>
    <xf numFmtId="9" fontId="0" fillId="0" borderId="34" xfId="0" applyNumberFormat="1" applyBorder="1" applyAlignment="1">
      <alignment horizontal="center"/>
    </xf>
    <xf numFmtId="0" fontId="15" fillId="2" borderId="2" xfId="0" applyFont="1" applyFill="1" applyBorder="1" applyAlignment="1">
      <alignment horizontal="center" vertical="center" wrapText="1"/>
    </xf>
    <xf numFmtId="0" fontId="1" fillId="0" borderId="3" xfId="0" applyFont="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0" fontId="15" fillId="18" borderId="2" xfId="0" applyFont="1" applyFill="1" applyBorder="1" applyAlignment="1">
      <alignment horizontal="center" vertical="center" wrapText="1"/>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164" fontId="15" fillId="0" borderId="0" xfId="0" applyNumberFormat="1" applyFont="1" applyAlignment="1">
      <alignment horizontal="right"/>
    </xf>
    <xf numFmtId="0" fontId="15" fillId="0" borderId="9" xfId="0" applyFont="1" applyBorder="1" applyAlignment="1">
      <alignment horizontal="right"/>
    </xf>
    <xf numFmtId="164" fontId="14" fillId="18" borderId="39" xfId="0" applyNumberFormat="1" applyFont="1" applyFill="1" applyBorder="1" applyAlignment="1">
      <alignment horizontal="center" vertical="center" wrapText="1"/>
    </xf>
    <xf numFmtId="164" fontId="0" fillId="18" borderId="34" xfId="0" applyNumberFormat="1" applyFill="1" applyBorder="1" applyAlignment="1">
      <alignment horizontal="center" vertical="center" wrapText="1"/>
    </xf>
    <xf numFmtId="0" fontId="14" fillId="18" borderId="39" xfId="0" applyFont="1" applyFill="1" applyBorder="1" applyAlignment="1">
      <alignment horizontal="center" vertical="center" wrapText="1"/>
    </xf>
    <xf numFmtId="0" fontId="0" fillId="18" borderId="34" xfId="0" applyFill="1" applyBorder="1" applyAlignment="1">
      <alignment horizontal="center" vertical="center" wrapText="1"/>
    </xf>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0" fillId="0" borderId="7" xfId="0" applyBorder="1"/>
    <xf numFmtId="164" fontId="14" fillId="0" borderId="11" xfId="0" applyNumberFormat="1" applyFont="1" applyBorder="1"/>
    <xf numFmtId="0" fontId="14" fillId="0" borderId="12" xfId="0" applyFont="1" applyBorder="1"/>
    <xf numFmtId="0" fontId="14" fillId="18" borderId="35" xfId="0" applyFont="1" applyFill="1" applyBorder="1" applyAlignment="1">
      <alignment horizontal="left"/>
    </xf>
    <xf numFmtId="0" fontId="0" fillId="0" borderId="36" xfId="0" applyBorder="1" applyAlignment="1">
      <alignment horizontal="left"/>
    </xf>
    <xf numFmtId="14" fontId="14" fillId="2" borderId="35" xfId="0" applyNumberFormat="1" applyFont="1" applyFill="1" applyBorder="1" applyAlignment="1">
      <alignment horizontal="center" vertical="center"/>
    </xf>
    <xf numFmtId="0" fontId="0" fillId="2" borderId="36" xfId="0" applyFill="1" applyBorder="1" applyAlignment="1">
      <alignment vertical="center"/>
    </xf>
    <xf numFmtId="3" fontId="14" fillId="2" borderId="4" xfId="0" applyNumberFormat="1" applyFont="1" applyFill="1" applyBorder="1"/>
    <xf numFmtId="3" fontId="14" fillId="2" borderId="5" xfId="0" applyNumberFormat="1" applyFont="1" applyFill="1" applyBorder="1"/>
    <xf numFmtId="164" fontId="15" fillId="0" borderId="9" xfId="0" applyNumberFormat="1" applyFont="1" applyBorder="1" applyAlignment="1">
      <alignment horizontal="right"/>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0" fontId="0" fillId="2" borderId="7" xfId="0" applyFill="1" applyBorder="1"/>
    <xf numFmtId="0" fontId="0" fillId="2" borderId="35" xfId="0" applyFill="1" applyBorder="1" applyAlignment="1">
      <alignment vertical="center"/>
    </xf>
    <xf numFmtId="0" fontId="0" fillId="0" borderId="36" xfId="0" applyBorder="1" applyAlignment="1">
      <alignment vertical="center"/>
    </xf>
    <xf numFmtId="9" fontId="14" fillId="2" borderId="35" xfId="0" applyNumberFormat="1" applyFont="1" applyFill="1" applyBorder="1" applyAlignment="1">
      <alignment horizontal="right"/>
    </xf>
    <xf numFmtId="9" fontId="0" fillId="0" borderId="37" xfId="0" applyNumberFormat="1" applyBorder="1" applyAlignment="1">
      <alignment horizontal="right"/>
    </xf>
    <xf numFmtId="164" fontId="15" fillId="3" borderId="52" xfId="0" applyNumberFormat="1" applyFont="1" applyFill="1" applyBorder="1"/>
    <xf numFmtId="0" fontId="0" fillId="0" borderId="53" xfId="0" applyBorder="1"/>
    <xf numFmtId="9" fontId="14" fillId="18" borderId="35" xfId="0" applyNumberFormat="1" applyFont="1" applyFill="1" applyBorder="1" applyAlignment="1">
      <alignment horizontal="right"/>
    </xf>
    <xf numFmtId="9" fontId="0" fillId="18" borderId="36" xfId="0" applyNumberFormat="1" applyFill="1" applyBorder="1" applyAlignment="1">
      <alignment horizontal="right"/>
    </xf>
    <xf numFmtId="0" fontId="15" fillId="0" borderId="0" xfId="0" applyFont="1" applyAlignment="1">
      <alignment horizontal="right"/>
    </xf>
    <xf numFmtId="0" fontId="14" fillId="0" borderId="0" xfId="0" applyFont="1"/>
    <xf numFmtId="1" fontId="14" fillId="18" borderId="35" xfId="0" applyNumberFormat="1" applyFont="1" applyFill="1" applyBorder="1"/>
    <xf numFmtId="0" fontId="0" fillId="0" borderId="36" xfId="0" applyBorder="1"/>
    <xf numFmtId="0" fontId="14" fillId="18" borderId="63" xfId="0" applyFont="1" applyFill="1" applyBorder="1" applyAlignment="1">
      <alignment horizontal="center" vertical="center" wrapText="1"/>
    </xf>
    <xf numFmtId="0" fontId="0" fillId="0" borderId="64" xfId="0" applyBorder="1"/>
    <xf numFmtId="1" fontId="14" fillId="18" borderId="63" xfId="0" applyNumberFormat="1" applyFont="1" applyFill="1" applyBorder="1" applyAlignment="1">
      <alignment horizontal="center" vertical="center" wrapText="1"/>
    </xf>
    <xf numFmtId="1" fontId="0" fillId="0" borderId="64" xfId="0" applyNumberFormat="1" applyBorder="1"/>
    <xf numFmtId="3" fontId="14" fillId="2" borderId="2" xfId="0" applyNumberFormat="1" applyFont="1" applyFill="1" applyBorder="1"/>
    <xf numFmtId="3" fontId="14" fillId="2" borderId="3" xfId="0" applyNumberFormat="1" applyFont="1" applyFill="1" applyBorder="1"/>
    <xf numFmtId="3" fontId="14" fillId="0" borderId="0" xfId="0" applyNumberFormat="1" applyFont="1"/>
    <xf numFmtId="3" fontId="14" fillId="2" borderId="6" xfId="0" applyNumberFormat="1" applyFont="1" applyFill="1" applyBorder="1"/>
    <xf numFmtId="3" fontId="14" fillId="2" borderId="7" xfId="0" applyNumberFormat="1" applyFont="1" applyFill="1" applyBorder="1"/>
    <xf numFmtId="164" fontId="14" fillId="0" borderId="1" xfId="0" applyNumberFormat="1" applyFont="1" applyBorder="1"/>
    <xf numFmtId="164" fontId="14" fillId="17" borderId="35" xfId="0" applyNumberFormat="1" applyFont="1" applyFill="1" applyBorder="1"/>
    <xf numFmtId="164" fontId="14" fillId="17" borderId="36" xfId="0" applyNumberFormat="1" applyFont="1" applyFill="1" applyBorder="1"/>
    <xf numFmtId="3" fontId="14" fillId="2" borderId="32" xfId="0" applyNumberFormat="1" applyFont="1" applyFill="1" applyBorder="1"/>
    <xf numFmtId="3" fontId="14" fillId="2" borderId="33" xfId="0" applyNumberFormat="1" applyFont="1" applyFill="1" applyBorder="1"/>
    <xf numFmtId="0" fontId="15" fillId="17" borderId="2" xfId="0" applyFont="1" applyFill="1" applyBorder="1" applyAlignment="1">
      <alignment horizontal="center" vertical="center" wrapText="1"/>
    </xf>
    <xf numFmtId="0" fontId="0" fillId="0" borderId="3" xfId="0" applyBorder="1" applyAlignment="1">
      <alignment horizontal="center" vertical="center" wrapText="1"/>
    </xf>
    <xf numFmtId="0" fontId="0" fillId="0" borderId="6" xfId="0" applyBorder="1" applyAlignment="1">
      <alignment horizontal="center" vertical="center" wrapText="1"/>
    </xf>
    <xf numFmtId="0" fontId="0" fillId="0" borderId="7" xfId="0" applyBorder="1" applyAlignment="1">
      <alignment horizontal="center" vertical="center" wrapText="1"/>
    </xf>
    <xf numFmtId="3" fontId="14" fillId="0" borderId="1" xfId="0" applyNumberFormat="1" applyFont="1" applyBorder="1"/>
    <xf numFmtId="0" fontId="14" fillId="24" borderId="0" xfId="0" applyFont="1" applyFill="1" applyAlignment="1">
      <alignment horizontal="right"/>
    </xf>
    <xf numFmtId="0" fontId="0" fillId="24" borderId="0" xfId="0" applyFill="1"/>
    <xf numFmtId="0" fontId="14" fillId="3" borderId="37" xfId="0" applyFont="1" applyFill="1" applyBorder="1" applyAlignment="1">
      <alignment horizontal="right"/>
    </xf>
    <xf numFmtId="0" fontId="0" fillId="3" borderId="37" xfId="0" applyFill="1" applyBorder="1"/>
    <xf numFmtId="14" fontId="14" fillId="2" borderId="39" xfId="0" applyNumberFormat="1" applyFont="1" applyFill="1" applyBorder="1" applyAlignment="1">
      <alignment horizontal="center" vertical="center"/>
    </xf>
    <xf numFmtId="0" fontId="0" fillId="0" borderId="34" xfId="0" applyBorder="1" applyAlignment="1">
      <alignment horizontal="center" vertical="center"/>
    </xf>
    <xf numFmtId="3" fontId="14" fillId="3" borderId="9" xfId="0" applyNumberFormat="1" applyFont="1" applyFill="1" applyBorder="1"/>
    <xf numFmtId="3" fontId="14" fillId="3" borderId="0" xfId="0" applyNumberFormat="1" applyFont="1" applyFill="1"/>
    <xf numFmtId="3" fontId="14" fillId="2" borderId="39" xfId="0" applyNumberFormat="1" applyFont="1" applyFill="1" applyBorder="1" applyAlignment="1">
      <alignment horizontal="center" vertical="center"/>
    </xf>
    <xf numFmtId="3" fontId="0" fillId="0" borderId="34" xfId="0" applyNumberFormat="1" applyBorder="1" applyAlignment="1">
      <alignment horizontal="center" vertical="center"/>
    </xf>
    <xf numFmtId="164" fontId="15" fillId="0" borderId="35" xfId="0" applyNumberFormat="1" applyFont="1" applyBorder="1" applyAlignment="1">
      <alignment horizontal="center"/>
    </xf>
    <xf numFmtId="0" fontId="0" fillId="0" borderId="9" xfId="0" applyBorder="1" applyAlignment="1">
      <alignment horizontal="center"/>
    </xf>
    <xf numFmtId="0" fontId="0" fillId="0" borderId="3" xfId="0" applyBorder="1" applyAlignment="1">
      <alignment horizontal="center"/>
    </xf>
    <xf numFmtId="0" fontId="1" fillId="2" borderId="37" xfId="0" applyFont="1" applyFill="1" applyBorder="1" applyAlignment="1">
      <alignment horizontal="center"/>
    </xf>
    <xf numFmtId="0" fontId="0" fillId="0" borderId="36" xfId="0" applyBorder="1" applyAlignment="1">
      <alignment horizontal="center"/>
    </xf>
    <xf numFmtId="0" fontId="1" fillId="2" borderId="35" xfId="0" applyFont="1" applyFill="1" applyBorder="1" applyAlignment="1">
      <alignment horizontal="center"/>
    </xf>
    <xf numFmtId="0" fontId="0" fillId="0" borderId="37" xfId="0" applyBorder="1" applyAlignment="1">
      <alignment horizontal="center"/>
    </xf>
    <xf numFmtId="0" fontId="15" fillId="0" borderId="2" xfId="0" applyFont="1" applyBorder="1" applyAlignment="1">
      <alignment horizontal="center"/>
    </xf>
    <xf numFmtId="0" fontId="15" fillId="0" borderId="9" xfId="0" applyFont="1" applyBorder="1" applyAlignment="1">
      <alignment horizontal="center"/>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0" fontId="15" fillId="3" borderId="9" xfId="0" applyFont="1" applyFill="1" applyBorder="1" applyAlignment="1">
      <alignment horizontal="center" wrapText="1"/>
    </xf>
    <xf numFmtId="0" fontId="15" fillId="3" borderId="1" xfId="0" applyFont="1" applyFill="1" applyBorder="1" applyAlignment="1">
      <alignment horizontal="center" wrapText="1"/>
    </xf>
    <xf numFmtId="0" fontId="15" fillId="3" borderId="6" xfId="0" applyFont="1" applyFill="1" applyBorder="1" applyAlignment="1">
      <alignment horizontal="right"/>
    </xf>
    <xf numFmtId="0" fontId="14" fillId="3" borderId="1" xfId="0" applyFont="1" applyFill="1" applyBorder="1"/>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0" fontId="15" fillId="3" borderId="4" xfId="0" applyFont="1" applyFill="1" applyBorder="1" applyAlignment="1">
      <alignment horizontal="right"/>
    </xf>
    <xf numFmtId="0" fontId="15" fillId="3" borderId="0" xfId="0" applyFont="1" applyFill="1" applyAlignment="1">
      <alignment horizontal="right"/>
    </xf>
    <xf numFmtId="0" fontId="1" fillId="0" borderId="9"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0" fontId="15" fillId="3" borderId="3" xfId="0" applyFont="1" applyFill="1" applyBorder="1" applyAlignment="1">
      <alignment horizontal="center" wrapText="1"/>
    </xf>
    <xf numFmtId="0" fontId="15" fillId="3" borderId="5" xfId="0" applyFont="1" applyFill="1" applyBorder="1" applyAlignment="1">
      <alignment horizontal="center" wrapText="1"/>
    </xf>
    <xf numFmtId="164" fontId="15" fillId="3" borderId="4" xfId="0" applyNumberFormat="1" applyFont="1" applyFill="1" applyBorder="1" applyAlignment="1">
      <alignment horizontal="right"/>
    </xf>
    <xf numFmtId="0" fontId="14" fillId="3" borderId="0" xfId="0" applyFont="1" applyFill="1" applyAlignment="1">
      <alignment horizontal="right"/>
    </xf>
    <xf numFmtId="0" fontId="14" fillId="24" borderId="37" xfId="0" applyFont="1" applyFill="1" applyBorder="1" applyAlignment="1">
      <alignment horizontal="right"/>
    </xf>
    <xf numFmtId="0" fontId="0" fillId="24" borderId="37" xfId="0" applyFill="1" applyBorder="1"/>
    <xf numFmtId="0" fontId="15" fillId="0" borderId="35" xfId="0" applyFont="1" applyBorder="1" applyAlignment="1">
      <alignment horizontal="center"/>
    </xf>
    <xf numFmtId="0" fontId="1" fillId="0" borderId="36" xfId="0" applyFont="1" applyBorder="1" applyAlignment="1">
      <alignment horizontal="center"/>
    </xf>
    <xf numFmtId="14" fontId="15" fillId="2" borderId="35" xfId="0" applyNumberFormat="1" applyFont="1" applyFill="1" applyBorder="1" applyAlignment="1">
      <alignment horizontal="center" vertical="center"/>
    </xf>
    <xf numFmtId="3" fontId="1" fillId="0" borderId="35" xfId="0" applyNumberFormat="1" applyFont="1" applyBorder="1" applyAlignment="1">
      <alignment horizontal="center"/>
    </xf>
    <xf numFmtId="4" fontId="1" fillId="0" borderId="35" xfId="0" applyNumberFormat="1" applyFont="1" applyBorder="1" applyAlignment="1">
      <alignment horizontal="center"/>
    </xf>
    <xf numFmtId="4" fontId="1" fillId="0" borderId="37" xfId="0" applyNumberFormat="1" applyFont="1" applyBorder="1" applyAlignment="1">
      <alignment horizontal="center"/>
    </xf>
    <xf numFmtId="4" fontId="0" fillId="0" borderId="37" xfId="0" applyNumberFormat="1" applyBorder="1"/>
    <xf numFmtId="4" fontId="0" fillId="0" borderId="36" xfId="0" applyNumberFormat="1" applyBorder="1"/>
    <xf numFmtId="3" fontId="0" fillId="18" borderId="35" xfId="0" applyNumberFormat="1" applyFill="1" applyBorder="1" applyAlignment="1">
      <alignment horizontal="center" vertical="center"/>
    </xf>
    <xf numFmtId="0" fontId="0" fillId="18" borderId="37" xfId="0" applyFill="1" applyBorder="1" applyAlignment="1">
      <alignment horizontal="center" vertical="center"/>
    </xf>
    <xf numFmtId="0" fontId="0" fillId="18" borderId="36" xfId="0" applyFill="1" applyBorder="1" applyAlignment="1">
      <alignment horizontal="center" vertical="center"/>
    </xf>
    <xf numFmtId="0" fontId="0" fillId="18" borderId="37" xfId="0" applyFill="1" applyBorder="1"/>
    <xf numFmtId="3" fontId="1" fillId="0" borderId="6" xfId="0" applyNumberFormat="1" applyFont="1" applyBorder="1" applyAlignment="1">
      <alignment horizontal="center"/>
    </xf>
    <xf numFmtId="0" fontId="1" fillId="0" borderId="7" xfId="0" applyFont="1" applyBorder="1" applyAlignment="1">
      <alignment horizontal="center"/>
    </xf>
    <xf numFmtId="3" fontId="0" fillId="0" borderId="0" xfId="0" applyNumberFormat="1" applyAlignment="1">
      <alignment horizontal="right"/>
    </xf>
    <xf numFmtId="0" fontId="0" fillId="0" borderId="5" xfId="0" applyBorder="1" applyAlignment="1">
      <alignment horizontal="right"/>
    </xf>
    <xf numFmtId="8" fontId="0" fillId="0" borderId="0" xfId="0" applyNumberFormat="1"/>
    <xf numFmtId="0" fontId="0" fillId="0" borderId="0" xfId="0"/>
    <xf numFmtId="0" fontId="1" fillId="0" borderId="1" xfId="0" applyFont="1" applyBorder="1" applyAlignment="1">
      <alignment horizontal="center"/>
    </xf>
    <xf numFmtId="0" fontId="0" fillId="0" borderId="1" xfId="0" applyBorder="1"/>
    <xf numFmtId="3" fontId="0" fillId="0" borderId="35" xfId="0" applyNumberFormat="1" applyBorder="1" applyAlignment="1">
      <alignment horizontal="right"/>
    </xf>
    <xf numFmtId="3" fontId="0" fillId="0" borderId="36" xfId="0" applyNumberFormat="1" applyBorder="1" applyAlignment="1">
      <alignment horizontal="right"/>
    </xf>
    <xf numFmtId="8" fontId="38" fillId="32" borderId="65" xfId="0" applyNumberFormat="1" applyFont="1" applyFill="1" applyBorder="1" applyAlignment="1">
      <alignment horizontal="left" vertical="top" wrapText="1"/>
    </xf>
    <xf numFmtId="0" fontId="34" fillId="34" borderId="68" xfId="0" applyFont="1" applyFill="1" applyBorder="1" applyAlignment="1">
      <alignment vertical="top" wrapText="1"/>
    </xf>
    <xf numFmtId="0" fontId="54" fillId="30" borderId="0" xfId="0" applyFont="1" applyFill="1" applyAlignment="1">
      <alignment horizontal="center"/>
    </xf>
    <xf numFmtId="0" fontId="34" fillId="31" borderId="0" xfId="0" applyFont="1" applyFill="1" applyAlignment="1">
      <alignment horizontal="center" vertical="top" wrapText="1"/>
    </xf>
    <xf numFmtId="0" fontId="38" fillId="31" borderId="0" xfId="0" applyFont="1" applyFill="1" applyAlignment="1">
      <alignment horizontal="center" vertical="top" wrapText="1"/>
    </xf>
    <xf numFmtId="0" fontId="55" fillId="30" borderId="65" xfId="0" applyFont="1" applyFill="1" applyBorder="1" applyAlignment="1">
      <alignment horizontal="center"/>
    </xf>
    <xf numFmtId="0" fontId="0" fillId="0" borderId="0" xfId="0" applyAlignment="1">
      <alignment horizontal="left" vertical="top" wrapText="1"/>
    </xf>
    <xf numFmtId="0" fontId="1" fillId="0" borderId="0" xfId="0" applyFont="1" applyAlignment="1">
      <alignment horizontal="center"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5"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0" fillId="0" borderId="0" xfId="0" applyAlignment="1">
      <alignment vertical="top" wrapText="1"/>
    </xf>
    <xf numFmtId="0" fontId="1" fillId="0" borderId="35" xfId="0" applyFont="1" applyBorder="1" applyAlignment="1">
      <alignment horizontal="center" wrapText="1"/>
    </xf>
    <xf numFmtId="0" fontId="1" fillId="0" borderId="37" xfId="0" applyFont="1" applyBorder="1" applyAlignment="1">
      <alignment horizontal="center" wrapText="1"/>
    </xf>
    <xf numFmtId="0" fontId="1" fillId="0" borderId="36" xfId="0" applyFont="1" applyBorder="1" applyAlignment="1">
      <alignment horizontal="center" wrapText="1"/>
    </xf>
    <xf numFmtId="0" fontId="49" fillId="29" borderId="0" xfId="0" applyFont="1" applyFill="1" applyAlignment="1">
      <alignment horizontal="center"/>
    </xf>
    <xf numFmtId="166" fontId="0" fillId="0" borderId="35" xfId="0" applyNumberFormat="1" applyBorder="1"/>
    <xf numFmtId="166" fontId="0" fillId="0" borderId="36"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6" fontId="0" fillId="0" borderId="36" xfId="0" applyNumberFormat="1" applyBorder="1"/>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1" xfId="0" applyFont="1" applyFill="1" applyBorder="1" applyAlignment="1" applyProtection="1">
      <alignment horizontal="center" vertical="center" wrapText="1"/>
      <protection locked="0"/>
    </xf>
    <xf numFmtId="0" fontId="32" fillId="0" borderId="22"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29" fillId="15" borderId="27"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8"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32" fillId="0" borderId="26" xfId="0" applyFont="1" applyBorder="1" applyAlignment="1" applyProtection="1">
      <alignment vertical="center" wrapText="1"/>
      <protection locked="0"/>
    </xf>
    <xf numFmtId="0" fontId="29" fillId="13" borderId="21" xfId="0" applyFont="1" applyFill="1" applyBorder="1" applyAlignment="1" applyProtection="1">
      <alignment horizontal="center" vertical="center"/>
      <protection locked="0"/>
    </xf>
    <xf numFmtId="0" fontId="0" fillId="0" borderId="22" xfId="0" applyBorder="1"/>
    <xf numFmtId="0" fontId="0" fillId="0" borderId="23" xfId="0" applyBorder="1"/>
    <xf numFmtId="0" fontId="0" fillId="0" borderId="27" xfId="0" applyBorder="1"/>
    <xf numFmtId="0" fontId="0" fillId="0" borderId="28" xfId="0" applyBorder="1"/>
    <xf numFmtId="0" fontId="0" fillId="0" borderId="24" xfId="0" applyBorder="1"/>
    <xf numFmtId="0" fontId="0" fillId="0" borderId="25" xfId="0" applyBorder="1"/>
    <xf numFmtId="0" fontId="0" fillId="0" borderId="26" xfId="0" applyBorder="1"/>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8" fontId="0" fillId="3" borderId="0" xfId="0" applyNumberFormat="1" applyFill="1" applyAlignment="1">
      <alignment horizontal="right"/>
    </xf>
    <xf numFmtId="0" fontId="0" fillId="3" borderId="0" xfId="0" applyFill="1"/>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8" fontId="0" fillId="11" borderId="0" xfId="0" applyNumberFormat="1" applyFill="1" applyAlignment="1">
      <alignment horizontal="right"/>
    </xf>
    <xf numFmtId="0" fontId="0" fillId="11" borderId="0" xfId="0" applyFill="1"/>
    <xf numFmtId="8" fontId="0" fillId="12" borderId="0" xfId="0" applyNumberFormat="1" applyFill="1" applyAlignment="1">
      <alignment horizontal="right"/>
    </xf>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7" xfId="0" applyNumberFormat="1" applyFill="1" applyBorder="1" applyAlignment="1">
      <alignment horizontal="right" vertical="center"/>
    </xf>
    <xf numFmtId="170" fontId="0" fillId="18" borderId="36" xfId="0" applyNumberFormat="1" applyFill="1" applyBorder="1" applyAlignment="1">
      <alignment horizontal="right" vertical="center"/>
    </xf>
    <xf numFmtId="0" fontId="28" fillId="0" borderId="4" xfId="5" applyFont="1" applyBorder="1" applyAlignment="1">
      <alignment horizontal="left" wrapText="1"/>
    </xf>
    <xf numFmtId="0" fontId="0" fillId="0" borderId="5" xfId="0" applyBorder="1" applyAlignment="1">
      <alignment horizontal="left"/>
    </xf>
    <xf numFmtId="0" fontId="29" fillId="0" borderId="0" xfId="0" applyFont="1" applyAlignment="1">
      <alignment horizontal="right"/>
    </xf>
    <xf numFmtId="0" fontId="30" fillId="0" borderId="0" xfId="0" applyFont="1" applyAlignment="1">
      <alignment horizontal="center" vertical="center"/>
    </xf>
    <xf numFmtId="0" fontId="0" fillId="0" borderId="0" xfId="0" applyAlignment="1">
      <alignment vertical="center"/>
    </xf>
    <xf numFmtId="0" fontId="29" fillId="0" borderId="17"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0" fontId="0" fillId="0" borderId="0" xfId="0" applyAlignment="1">
      <alignment horizontal="right"/>
    </xf>
    <xf numFmtId="8" fontId="0" fillId="9" borderId="1" xfId="0" applyNumberFormat="1" applyFill="1" applyBorder="1" applyAlignment="1">
      <alignment horizontal="right"/>
    </xf>
    <xf numFmtId="0" fontId="0" fillId="0" borderId="1" xfId="0" applyBorder="1" applyAlignment="1">
      <alignment horizontal="right"/>
    </xf>
    <xf numFmtId="0" fontId="1" fillId="21" borderId="2" xfId="0" applyFont="1" applyFill="1" applyBorder="1" applyAlignment="1">
      <alignment horizontal="center"/>
    </xf>
    <xf numFmtId="0" fontId="0" fillId="21" borderId="9" xfId="0" applyFill="1" applyBorder="1"/>
    <xf numFmtId="0" fontId="0" fillId="21" borderId="3" xfId="0" applyFill="1" applyBorder="1"/>
    <xf numFmtId="0" fontId="1" fillId="21" borderId="6" xfId="0" applyFont="1" applyFill="1" applyBorder="1" applyAlignment="1">
      <alignment horizontal="center"/>
    </xf>
    <xf numFmtId="0" fontId="0" fillId="21" borderId="1" xfId="0" applyFill="1" applyBorder="1" applyAlignment="1">
      <alignment horizontal="center"/>
    </xf>
    <xf numFmtId="0" fontId="0" fillId="21" borderId="7" xfId="0" applyFill="1" applyBorder="1" applyAlignment="1">
      <alignment horizontal="center"/>
    </xf>
    <xf numFmtId="0" fontId="1" fillId="18" borderId="6" xfId="0"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0" fillId="18" borderId="7" xfId="0" applyFill="1" applyBorder="1"/>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9" xfId="0" applyFont="1" applyFill="1" applyBorder="1" applyAlignment="1">
      <alignment horizontal="center" vertical="center" wrapText="1"/>
    </xf>
    <xf numFmtId="0" fontId="1" fillId="18" borderId="34" xfId="0" applyFont="1" applyFill="1" applyBorder="1" applyAlignment="1">
      <alignment horizontal="center" vertical="center" wrapText="1"/>
    </xf>
    <xf numFmtId="0" fontId="15" fillId="2" borderId="39" xfId="0" applyFont="1" applyFill="1" applyBorder="1" applyAlignment="1">
      <alignment horizontal="center" vertical="center" wrapText="1"/>
    </xf>
    <xf numFmtId="0" fontId="1" fillId="2" borderId="34" xfId="0" applyFont="1" applyFill="1" applyBorder="1" applyAlignment="1">
      <alignment horizontal="center" vertical="center" wrapText="1"/>
    </xf>
    <xf numFmtId="0" fontId="15" fillId="2" borderId="39"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4"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7" xfId="0" applyNumberFormat="1" applyFont="1" applyFill="1" applyBorder="1"/>
    <xf numFmtId="3" fontId="12" fillId="3" borderId="35" xfId="0" applyNumberFormat="1" applyFont="1" applyFill="1" applyBorder="1" applyAlignment="1">
      <alignment horizontal="center"/>
    </xf>
    <xf numFmtId="0" fontId="4" fillId="3" borderId="37" xfId="0" applyFont="1" applyFill="1" applyBorder="1" applyAlignment="1">
      <alignment horizontal="center"/>
    </xf>
    <xf numFmtId="0" fontId="4" fillId="3" borderId="36" xfId="0" applyFont="1" applyFill="1" applyBorder="1" applyAlignment="1">
      <alignment horizontal="center"/>
    </xf>
    <xf numFmtId="0" fontId="1" fillId="18" borderId="35" xfId="0" applyFont="1" applyFill="1" applyBorder="1" applyAlignment="1">
      <alignment horizontal="center" vertical="center" wrapText="1"/>
    </xf>
    <xf numFmtId="0" fontId="0" fillId="0" borderId="36" xfId="0" applyBorder="1" applyAlignment="1">
      <alignment horizontal="center" wrapText="1"/>
    </xf>
    <xf numFmtId="3" fontId="1" fillId="18" borderId="4" xfId="0" applyNumberFormat="1" applyFont="1" applyFill="1" applyBorder="1"/>
    <xf numFmtId="3" fontId="17" fillId="11" borderId="35" xfId="0" applyNumberFormat="1" applyFont="1" applyFill="1" applyBorder="1" applyAlignment="1">
      <alignment horizontal="center"/>
    </xf>
    <xf numFmtId="164" fontId="1" fillId="18" borderId="36" xfId="0" applyNumberFormat="1" applyFont="1" applyFill="1" applyBorder="1"/>
    <xf numFmtId="3" fontId="12" fillId="3" borderId="37" xfId="0" applyNumberFormat="1" applyFont="1" applyFill="1" applyBorder="1" applyAlignment="1">
      <alignment horizontal="center"/>
    </xf>
    <xf numFmtId="3" fontId="12" fillId="3" borderId="36" xfId="0" applyNumberFormat="1" applyFont="1" applyFill="1" applyBorder="1" applyAlignment="1">
      <alignment horizontal="center"/>
    </xf>
    <xf numFmtId="0" fontId="1" fillId="18" borderId="36" xfId="0" applyFont="1" applyFill="1" applyBorder="1" applyAlignment="1">
      <alignment horizontal="center" vertical="center" wrapText="1"/>
    </xf>
    <xf numFmtId="3" fontId="17" fillId="11" borderId="37" xfId="0" applyNumberFormat="1" applyFont="1" applyFill="1" applyBorder="1" applyAlignment="1">
      <alignment horizontal="center"/>
    </xf>
    <xf numFmtId="3" fontId="17" fillId="11" borderId="36"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93">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fill>
        <patternFill>
          <bgColor rgb="FFFFFF00"/>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92"/>
      <tableStyleElement type="headerRow" dxfId="91"/>
      <tableStyleElement type="firstRowStripe" dxfId="90"/>
    </tableStyle>
    <tableStyle name="Gantt Table Style 2" pivot="0" count="3" xr9:uid="{188EAD57-0217-4B5E-8A07-C858B28862F4}">
      <tableStyleElement type="wholeTable" dxfId="89"/>
      <tableStyleElement type="headerRow" dxfId="88"/>
      <tableStyleElement type="firstRowStripe" dxfId="8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Q$2" lockText="1" noThreeD="1"/>
</file>

<file path=xl/ctrlProps/ctrlProp2.xml><?xml version="1.0" encoding="utf-8"?>
<formControlPr xmlns="http://schemas.microsoft.com/office/spreadsheetml/2009/9/main" objectType="Radio" firstButton="1" fmlaLink="$R$3"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Q1" lockText="1" noThreeD="1"/>
</file>

<file path=xl/ctrlProps/ctrlProp6.xml><?xml version="1.0" encoding="utf-8"?>
<formControlPr xmlns="http://schemas.microsoft.com/office/spreadsheetml/2009/9/main" objectType="CheckBox" fmlaLink="$Q$3" lockText="1" noThreeD="1"/>
</file>

<file path=xl/ctrlProps/ctrlProp7.xml><?xml version="1.0" encoding="utf-8"?>
<formControlPr xmlns="http://schemas.microsoft.com/office/spreadsheetml/2009/9/main" objectType="CheckBox" checked="Checked" fmlaLink="$Q$5" lockText="1" noThreeD="1"/>
</file>

<file path=xl/ctrlProps/ctrlProp8.xml><?xml version="1.0" encoding="utf-8"?>
<formControlPr xmlns="http://schemas.microsoft.com/office/spreadsheetml/2009/9/main" objectType="CheckBox" fmlaLink="$Q$4" lockText="1" noThreeD="1"/>
</file>

<file path=xl/ctrlProps/ctrlProp9.xml><?xml version="1.0" encoding="utf-8"?>
<formControlPr xmlns="http://schemas.microsoft.com/office/spreadsheetml/2009/9/main" objectType="CheckBox" fmlaLink="$Q$6" lockText="1" noThreeD="1"/>
</file>

<file path=xl/ctrlProps/ctrlProp10.xml><?xml version="1.0" encoding="utf-8"?>
<formControlPr xmlns="http://schemas.microsoft.com/office/spreadsheetml/2009/9/main" objectType="Radio" checked="Checked" firstButton="1" fmlaLink="$AW$2"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checked="Checked" firstButton="1" fmlaLink="$J$4" lockText="1" noThreeD="1"/>
</file>

<file path=xl/ctrlProps/ctrlProp14.xml><?xml version="1.0" encoding="utf-8"?>
<formControlPr xmlns="http://schemas.microsoft.com/office/spreadsheetml/2009/9/main" objectType="Radio" lockText="1" noThreeD="1"/>
</file>

<file path=xl/ctrlProps/ctrlProp15.xml><?xml version="1.0" encoding="utf-8"?>
<formControlPr xmlns="http://schemas.microsoft.com/office/spreadsheetml/2009/9/main" objectType="CheckBox" checked="Checked" fmlaLink="$L$6" lockText="1" noThreeD="1"/>
</file>

<file path=xl/ctrlProps/ctrlProp16.xml><?xml version="1.0" encoding="utf-8"?>
<formControlPr xmlns="http://schemas.microsoft.com/office/spreadsheetml/2009/9/main" objectType="CheckBox" checked="Checked" fmlaLink="$L$7" lockText="1" noThreeD="1"/>
</file>

<file path=xl/ctrlProps/ctrlProp17.xml><?xml version="1.0" encoding="utf-8"?>
<formControlPr xmlns="http://schemas.microsoft.com/office/spreadsheetml/2009/9/main" objectType="CheckBox" checked="Checked" fmlaLink="$L$8"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200025</xdr:colOff>
          <xdr:row>21</xdr:row>
          <xdr:rowOff>123825</xdr:rowOff>
        </xdr:from>
        <xdr:to>
          <xdr:col>10</xdr:col>
          <xdr:colOff>485775</xdr:colOff>
          <xdr:row>23</xdr:row>
          <xdr:rowOff>38100</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238125</xdr:colOff>
          <xdr:row>0</xdr:row>
          <xdr:rowOff>47625</xdr:rowOff>
        </xdr:from>
        <xdr:to>
          <xdr:col>2</xdr:col>
          <xdr:colOff>19050</xdr:colOff>
          <xdr:row>0</xdr:row>
          <xdr:rowOff>238125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352425</xdr:colOff>
          <xdr:row>0</xdr:row>
          <xdr:rowOff>47625</xdr:rowOff>
        </xdr:from>
        <xdr:to>
          <xdr:col>2</xdr:col>
          <xdr:colOff>619125</xdr:colOff>
          <xdr:row>0</xdr:row>
          <xdr:rowOff>257175</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495300</xdr:colOff>
          <xdr:row>0</xdr:row>
          <xdr:rowOff>28575</xdr:rowOff>
        </xdr:from>
        <xdr:to>
          <xdr:col>4</xdr:col>
          <xdr:colOff>85725</xdr:colOff>
          <xdr:row>0</xdr:row>
          <xdr:rowOff>247650</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200025</xdr:colOff>
          <xdr:row>20</xdr:row>
          <xdr:rowOff>114300</xdr:rowOff>
        </xdr:from>
        <xdr:to>
          <xdr:col>10</xdr:col>
          <xdr:colOff>457200</xdr:colOff>
          <xdr:row>22</xdr:row>
          <xdr:rowOff>38100</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95250</xdr:colOff>
          <xdr:row>0</xdr:row>
          <xdr:rowOff>266700</xdr:rowOff>
        </xdr:from>
        <xdr:to>
          <xdr:col>13</xdr:col>
          <xdr:colOff>381000</xdr:colOff>
          <xdr:row>2</xdr:row>
          <xdr:rowOff>9525</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504825</xdr:colOff>
          <xdr:row>0</xdr:row>
          <xdr:rowOff>0</xdr:rowOff>
        </xdr:from>
        <xdr:to>
          <xdr:col>16</xdr:col>
          <xdr:colOff>238125</xdr:colOff>
          <xdr:row>0</xdr:row>
          <xdr:rowOff>190500</xdr:rowOff>
        </xdr:to>
        <xdr:sp macro="" textlink="">
          <xdr:nvSpPr>
            <xdr:cNvPr id="59406" name="Option Button 14" hidden="1">
              <a:extLst>
                <a:ext uri="{63B3BB69-23CF-44E3-9099-C40C66FF867C}">
                  <a14:compatExt spid="_x0000_s59406"/>
                </a:ext>
                <a:ext uri="{FF2B5EF4-FFF2-40B4-BE49-F238E27FC236}">
                  <a16:creationId xmlns:a16="http://schemas.microsoft.com/office/drawing/2014/main" id="{00000000-0008-0000-0100-00000E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476250</xdr:colOff>
          <xdr:row>0</xdr:row>
          <xdr:rowOff>0</xdr:rowOff>
        </xdr:from>
        <xdr:to>
          <xdr:col>17</xdr:col>
          <xdr:colOff>219075</xdr:colOff>
          <xdr:row>0</xdr:row>
          <xdr:rowOff>190500</xdr:rowOff>
        </xdr:to>
        <xdr:sp macro="" textlink="">
          <xdr:nvSpPr>
            <xdr:cNvPr id="59409" name="Option Button 17" hidden="1">
              <a:extLst>
                <a:ext uri="{63B3BB69-23CF-44E3-9099-C40C66FF867C}">
                  <a14:compatExt spid="_x0000_s59409"/>
                </a:ext>
                <a:ext uri="{FF2B5EF4-FFF2-40B4-BE49-F238E27FC236}">
                  <a16:creationId xmlns:a16="http://schemas.microsoft.com/office/drawing/2014/main" id="{00000000-0008-0000-0100-000011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523875</xdr:colOff>
          <xdr:row>0</xdr:row>
          <xdr:rowOff>0</xdr:rowOff>
        </xdr:from>
        <xdr:to>
          <xdr:col>18</xdr:col>
          <xdr:colOff>133350</xdr:colOff>
          <xdr:row>1</xdr:row>
          <xdr:rowOff>9525</xdr:rowOff>
        </xdr:to>
        <xdr:sp macro="" textlink="">
          <xdr:nvSpPr>
            <xdr:cNvPr id="59411" name="Option Button 19" hidden="1">
              <a:extLst>
                <a:ext uri="{63B3BB69-23CF-44E3-9099-C40C66FF867C}">
                  <a14:compatExt spid="_x0000_s59411"/>
                </a:ext>
                <a:ext uri="{FF2B5EF4-FFF2-40B4-BE49-F238E27FC236}">
                  <a16:creationId xmlns:a16="http://schemas.microsoft.com/office/drawing/2014/main" id="{00000000-0008-0000-0100-000013E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3</xdr:row>
          <xdr:rowOff>28575</xdr:rowOff>
        </xdr:from>
        <xdr:to>
          <xdr:col>7</xdr:col>
          <xdr:colOff>304800</xdr:colOff>
          <xdr:row>4</xdr:row>
          <xdr:rowOff>47625</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3</xdr:row>
          <xdr:rowOff>28575</xdr:rowOff>
        </xdr:from>
        <xdr:to>
          <xdr:col>8</xdr:col>
          <xdr:colOff>295275</xdr:colOff>
          <xdr:row>4</xdr:row>
          <xdr:rowOff>47625</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5</xdr:row>
          <xdr:rowOff>28575</xdr:rowOff>
        </xdr:from>
        <xdr:to>
          <xdr:col>12</xdr:col>
          <xdr:colOff>533400</xdr:colOff>
          <xdr:row>5</xdr:row>
          <xdr:rowOff>409575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6</xdr:row>
          <xdr:rowOff>28575</xdr:rowOff>
        </xdr:from>
        <xdr:to>
          <xdr:col>12</xdr:col>
          <xdr:colOff>533400</xdr:colOff>
          <xdr:row>6</xdr:row>
          <xdr:rowOff>409575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7</xdr:row>
          <xdr:rowOff>28575</xdr:rowOff>
        </xdr:from>
        <xdr:to>
          <xdr:col>12</xdr:col>
          <xdr:colOff>533400</xdr:colOff>
          <xdr:row>7</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3.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5">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13.xml"/><Relationship Id="rId7" Type="http://schemas.openxmlformats.org/officeDocument/2006/relationships/ctrlProp" Target="../ctrlProps/ctrlProp17.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8.bin"/><Relationship Id="rId5" Type="http://schemas.openxmlformats.org/officeDocument/2006/relationships/table" Target="../tables/table4.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table" Target="../tables/table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W124"/>
  <sheetViews>
    <sheetView tabSelected="1" zoomScale="150" zoomScaleNormal="150" workbookViewId="0">
      <pane xSplit="1" ySplit="3" topLeftCell="B4" activePane="bottomRight" state="frozen"/>
      <selection pane="topRight" activeCell="C1" sqref="C1:E1"/>
      <selection pane="bottomLeft" activeCell="C1" sqref="C1:E1"/>
      <selection pane="bottomRight" activeCell="K13" sqref="K13"/>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10.140625" style="37" customWidth="1"/>
    <col min="5" max="5" width="11" style="37" customWidth="1"/>
    <col min="6" max="6" width="9.28515625" style="37" bestFit="1" customWidth="1"/>
    <col min="7" max="7" width="9.7109375" style="37" customWidth="1"/>
    <col min="8" max="8" width="8.7109375" style="38" customWidth="1"/>
    <col min="9" max="9" width="8.5703125" style="112" bestFit="1" customWidth="1"/>
    <col min="10" max="10" width="11.5703125" style="37" customWidth="1"/>
    <col min="11" max="11" width="9.5703125" style="37" customWidth="1"/>
    <col min="12" max="12" width="5.28515625" style="37" customWidth="1"/>
    <col min="13" max="13" width="21.140625" style="457" bestFit="1" customWidth="1"/>
    <col min="14" max="14" width="7.42578125" style="139" bestFit="1" customWidth="1"/>
    <col min="15" max="15" width="5.42578125" style="37" bestFit="1" customWidth="1"/>
    <col min="16" max="16" width="23.140625" style="38" bestFit="1" customWidth="1"/>
    <col min="17" max="17" width="5.42578125" style="37" bestFit="1" customWidth="1"/>
    <col min="18" max="18" width="5" style="37" customWidth="1"/>
    <col min="19" max="19" width="10.140625" style="37" bestFit="1" customWidth="1"/>
    <col min="20" max="20" width="11" style="37" bestFit="1" customWidth="1"/>
    <col min="21" max="21" width="11.28515625" style="37" customWidth="1"/>
    <col min="22" max="23" width="11" style="37" customWidth="1"/>
    <col min="24" max="24" width="6.7109375" style="37" customWidth="1"/>
    <col min="25" max="25" width="8.5703125" style="37" customWidth="1"/>
    <col min="26" max="26" width="10.42578125" style="37" customWidth="1"/>
    <col min="27" max="27" width="9.7109375" style="37" customWidth="1"/>
    <col min="28" max="28" width="10.5703125" style="37" customWidth="1"/>
    <col min="29" max="29" width="10.42578125" style="37" customWidth="1"/>
    <col min="30" max="16384" width="9.140625" style="37"/>
  </cols>
  <sheetData>
    <row r="1" spans="1:23" ht="21" customHeight="1" thickBot="1" x14ac:dyDescent="0.35">
      <c r="A1" s="38" t="s">
        <v>654</v>
      </c>
      <c r="B1" s="416" t="str">
        <f>IF(R3=1,"Flip","")</f>
        <v/>
      </c>
      <c r="C1" s="417" t="str">
        <f>IF(R3=2,"Hold","")</f>
        <v/>
      </c>
      <c r="D1" s="417" t="str">
        <f>IF(R3=3,"Slow Flip","")</f>
        <v>Slow Flip</v>
      </c>
      <c r="E1" s="484"/>
      <c r="F1" s="619" t="s">
        <v>900</v>
      </c>
      <c r="G1" s="620"/>
      <c r="H1" s="620"/>
      <c r="P1" s="38" t="s">
        <v>656</v>
      </c>
      <c r="Q1" s="37" t="b">
        <v>0</v>
      </c>
    </row>
    <row r="2" spans="1:23" ht="16.5" customHeight="1" thickBot="1" x14ac:dyDescent="0.3">
      <c r="A2" s="113"/>
      <c r="B2" s="722" t="s">
        <v>784</v>
      </c>
      <c r="C2" s="723"/>
      <c r="D2" s="723"/>
      <c r="E2" s="720" t="s">
        <v>785</v>
      </c>
      <c r="F2" s="721"/>
      <c r="G2" s="481" t="s">
        <v>786</v>
      </c>
      <c r="H2" s="629" t="s">
        <v>0</v>
      </c>
      <c r="I2" s="630"/>
      <c r="J2" s="627" t="s">
        <v>1</v>
      </c>
      <c r="K2" s="711">
        <v>45715</v>
      </c>
      <c r="M2" s="464" t="s">
        <v>2</v>
      </c>
      <c r="N2" s="464"/>
      <c r="P2" s="38" t="s">
        <v>655</v>
      </c>
      <c r="Q2" s="37" t="b">
        <v>0</v>
      </c>
    </row>
    <row r="3" spans="1:23" ht="12" customHeight="1" thickBot="1" x14ac:dyDescent="0.25">
      <c r="A3" s="115" t="s">
        <v>4</v>
      </c>
      <c r="B3" s="116"/>
      <c r="D3" s="633" t="s">
        <v>5</v>
      </c>
      <c r="E3" s="633"/>
      <c r="F3" s="633" t="s">
        <v>6</v>
      </c>
      <c r="G3" s="631"/>
      <c r="H3" s="631"/>
      <c r="I3" s="632"/>
      <c r="J3" s="628"/>
      <c r="K3" s="712"/>
      <c r="P3" s="137" t="s">
        <v>37</v>
      </c>
      <c r="Q3" s="37" t="b">
        <v>0</v>
      </c>
      <c r="R3" s="37">
        <v>3</v>
      </c>
    </row>
    <row r="4" spans="1:23" ht="12" customHeight="1" thickBot="1" x14ac:dyDescent="0.25">
      <c r="A4" s="38" t="s">
        <v>7</v>
      </c>
      <c r="B4" s="634">
        <v>276800</v>
      </c>
      <c r="C4" s="635"/>
      <c r="D4" s="375"/>
      <c r="E4" s="402"/>
      <c r="F4" s="399"/>
      <c r="G4" s="399"/>
      <c r="H4" s="123"/>
      <c r="I4" s="124"/>
      <c r="P4" s="137" t="s">
        <v>38</v>
      </c>
      <c r="Q4" s="37" t="b">
        <v>0</v>
      </c>
    </row>
    <row r="5" spans="1:23" ht="12" customHeight="1" thickBot="1" x14ac:dyDescent="0.25">
      <c r="A5" s="38" t="s">
        <v>9</v>
      </c>
      <c r="B5" s="468">
        <f>+Amortization!M4</f>
        <v>0.05</v>
      </c>
      <c r="C5" s="335">
        <v>0</v>
      </c>
      <c r="D5" s="403"/>
      <c r="E5" s="404"/>
      <c r="F5" s="399"/>
      <c r="G5" s="399"/>
      <c r="H5" s="126"/>
      <c r="I5" s="127"/>
      <c r="N5" s="139" t="s">
        <v>10</v>
      </c>
      <c r="O5" s="270"/>
      <c r="P5" s="137" t="s">
        <v>39</v>
      </c>
      <c r="Q5" s="37" t="b">
        <v>1</v>
      </c>
    </row>
    <row r="6" spans="1:23" ht="12" customHeight="1" thickBot="1" x14ac:dyDescent="0.25">
      <c r="A6" s="38" t="s">
        <v>11</v>
      </c>
      <c r="B6" s="636">
        <f>IF(B1="Flip",B4,IF(C1="hold",B4*(1+C5),+Amortization!O3))</f>
        <v>290640</v>
      </c>
      <c r="C6" s="637"/>
      <c r="D6" s="403"/>
      <c r="E6" s="404"/>
      <c r="F6" s="399"/>
      <c r="G6" s="407">
        <f>IF(OR(R3=1,R3=2),$B$6,0)</f>
        <v>0</v>
      </c>
      <c r="H6" s="126"/>
      <c r="I6" s="127"/>
      <c r="O6" s="270"/>
      <c r="P6" s="463"/>
      <c r="Q6" s="37" t="b">
        <v>0</v>
      </c>
    </row>
    <row r="7" spans="1:23" ht="12" customHeight="1" thickBot="1" x14ac:dyDescent="0.25">
      <c r="A7" s="38" t="s">
        <v>13</v>
      </c>
      <c r="B7" s="468">
        <f>+Amortization!O2</f>
        <v>0.1</v>
      </c>
      <c r="C7" s="349">
        <f>+B6*B7</f>
        <v>29064</v>
      </c>
      <c r="D7" s="350"/>
      <c r="E7" s="351">
        <f>IF(R3=3,+C7,0)</f>
        <v>29064</v>
      </c>
      <c r="F7" s="400"/>
      <c r="G7" s="399"/>
      <c r="H7" s="126"/>
      <c r="I7" s="127"/>
      <c r="J7" s="627" t="s">
        <v>12</v>
      </c>
      <c r="K7" s="638">
        <v>0.03</v>
      </c>
      <c r="O7" s="270"/>
      <c r="P7" s="463"/>
    </row>
    <row r="8" spans="1:23" ht="12" customHeight="1" thickBot="1" x14ac:dyDescent="0.25">
      <c r="A8" s="38" t="s">
        <v>632</v>
      </c>
      <c r="B8" s="338"/>
      <c r="C8" s="421"/>
      <c r="D8" s="350"/>
      <c r="E8" s="404"/>
      <c r="F8" s="400"/>
      <c r="G8" s="408">
        <f>+IF($C$1="hold",$K$7,0)*$C$50/12*B4</f>
        <v>0</v>
      </c>
      <c r="H8" s="422"/>
      <c r="I8" s="127"/>
      <c r="J8" s="628"/>
      <c r="K8" s="639"/>
    </row>
    <row r="9" spans="1:23" ht="12" customHeight="1" thickBot="1" x14ac:dyDescent="0.25">
      <c r="A9" s="136" t="str">
        <f>IF(R3=3,"Delta Mortgages","Monthly Rent:")</f>
        <v>Delta Mortgages</v>
      </c>
      <c r="B9" s="623">
        <v>1800</v>
      </c>
      <c r="C9" s="624"/>
      <c r="D9" s="405"/>
      <c r="E9" s="406"/>
      <c r="F9" s="401"/>
      <c r="G9" s="409"/>
      <c r="H9" s="410"/>
      <c r="I9" s="418">
        <f>IF(OR(C1="Hold",D1="Slow Flip"),IF(C1="hold",+B9,+Amortization!AJ7),"")</f>
        <v>1083.53</v>
      </c>
      <c r="J9" s="627" t="s">
        <v>14</v>
      </c>
      <c r="K9" s="715">
        <v>1368</v>
      </c>
    </row>
    <row r="10" spans="1:23" ht="12" customHeight="1" thickBot="1" x14ac:dyDescent="0.25">
      <c r="C10" s="650" t="s">
        <v>15</v>
      </c>
      <c r="D10" s="651" t="s">
        <v>15</v>
      </c>
      <c r="E10" s="117">
        <f>SUM(D4:E9)</f>
        <v>29064</v>
      </c>
      <c r="F10" s="662">
        <f>+SUM(F4:G9)</f>
        <v>0</v>
      </c>
      <c r="G10" s="663"/>
      <c r="H10" s="662">
        <f>SUM(H4:I9)</f>
        <v>1083.53</v>
      </c>
      <c r="I10" s="663"/>
      <c r="J10" s="628"/>
      <c r="K10" s="716"/>
      <c r="M10" s="521" t="s">
        <v>647</v>
      </c>
      <c r="N10" s="522"/>
      <c r="O10" s="515"/>
      <c r="P10" s="523"/>
      <c r="S10" s="37" t="s">
        <v>787</v>
      </c>
      <c r="T10" s="37" t="s">
        <v>788</v>
      </c>
      <c r="U10" s="139"/>
    </row>
    <row r="11" spans="1:23" ht="12" customHeight="1" thickBot="1" x14ac:dyDescent="0.3">
      <c r="C11" s="118"/>
      <c r="D11" s="119"/>
      <c r="E11" s="112"/>
      <c r="F11" s="717" t="str">
        <f>IF(R3=3,"Profit calcuations based on selling in 5 years","")</f>
        <v>Profit calcuations based on selling in 5 years</v>
      </c>
      <c r="G11" s="718"/>
      <c r="H11" s="718"/>
      <c r="I11" s="719"/>
      <c r="M11" s="524" t="s">
        <v>650</v>
      </c>
      <c r="N11" s="139">
        <v>250000</v>
      </c>
      <c r="O11" s="332" t="b">
        <f>+$B$4&gt;N11</f>
        <v>1</v>
      </c>
      <c r="P11" s="525">
        <f>B4</f>
        <v>276800</v>
      </c>
      <c r="S11" s="37">
        <v>2</v>
      </c>
      <c r="T11" s="457">
        <v>44672</v>
      </c>
      <c r="U11" s="139">
        <v>6264</v>
      </c>
    </row>
    <row r="12" spans="1:23" ht="12" customHeight="1" thickTop="1" thickBot="1" x14ac:dyDescent="0.25">
      <c r="A12" s="120" t="s">
        <v>16</v>
      </c>
      <c r="B12" s="120"/>
      <c r="C12" s="121"/>
      <c r="D12" s="375"/>
      <c r="E12" s="376"/>
      <c r="F12" s="383"/>
      <c r="G12" s="430"/>
      <c r="H12" s="385"/>
      <c r="I12" s="420"/>
      <c r="M12" s="524" t="s">
        <v>651</v>
      </c>
      <c r="N12" s="139">
        <v>700000</v>
      </c>
      <c r="O12" s="332" t="b">
        <f>+$B$4&lt;N12</f>
        <v>1</v>
      </c>
      <c r="P12" s="526">
        <f>B4</f>
        <v>276800</v>
      </c>
      <c r="S12" s="37" t="s">
        <v>789</v>
      </c>
      <c r="T12" s="457">
        <v>41353</v>
      </c>
      <c r="U12" s="139">
        <v>86284</v>
      </c>
      <c r="V12" s="37" t="s">
        <v>790</v>
      </c>
    </row>
    <row r="13" spans="1:23" ht="12" customHeight="1" thickBot="1" x14ac:dyDescent="0.25">
      <c r="A13" s="38" t="s">
        <v>631</v>
      </c>
      <c r="B13" s="116"/>
      <c r="D13" s="403"/>
      <c r="E13" s="419"/>
      <c r="F13" s="355"/>
      <c r="G13" s="427">
        <f>IF(R3=3,+Amortization!AJ10,0)</f>
        <v>298253.79000000015</v>
      </c>
      <c r="H13" s="428"/>
      <c r="I13" s="429"/>
      <c r="J13" s="474" t="s">
        <v>8</v>
      </c>
      <c r="K13" s="476" t="b">
        <v>1</v>
      </c>
      <c r="M13" s="524" t="s">
        <v>649</v>
      </c>
      <c r="N13" s="139">
        <v>80000</v>
      </c>
      <c r="O13" s="332" t="b">
        <f>N13&lt;K61</f>
        <v>1</v>
      </c>
      <c r="P13" s="525">
        <f>K61</f>
        <v>141925.19049919883</v>
      </c>
      <c r="T13" s="37">
        <v>2019</v>
      </c>
      <c r="U13" s="139" t="s">
        <v>791</v>
      </c>
      <c r="V13" s="37" t="s">
        <v>792</v>
      </c>
      <c r="W13" s="37" t="s">
        <v>793</v>
      </c>
    </row>
    <row r="14" spans="1:23" ht="11.25" customHeight="1" thickBot="1" x14ac:dyDescent="0.3">
      <c r="A14" s="38" t="s">
        <v>17</v>
      </c>
      <c r="B14" s="330"/>
      <c r="C14" s="456">
        <v>28063.26</v>
      </c>
      <c r="D14" s="377">
        <f>-C14</f>
        <v>-28063.26</v>
      </c>
      <c r="E14" s="351"/>
      <c r="F14" s="384"/>
      <c r="G14" s="146">
        <f>IF(K13,0,0.3*C14)</f>
        <v>0</v>
      </c>
      <c r="H14" s="664" t="s">
        <v>18</v>
      </c>
      <c r="I14" s="665"/>
      <c r="J14" s="644" t="s">
        <v>19</v>
      </c>
      <c r="K14" s="645"/>
      <c r="M14" s="524" t="s">
        <v>648</v>
      </c>
      <c r="N14" s="527">
        <v>0.35</v>
      </c>
      <c r="O14" s="332" t="b">
        <f>N14&lt;K61/B4</f>
        <v>1</v>
      </c>
      <c r="P14" s="528">
        <f>+K61/B4</f>
        <v>0.51273551480924429</v>
      </c>
      <c r="T14" s="37">
        <v>2020</v>
      </c>
      <c r="U14" s="139" t="s">
        <v>791</v>
      </c>
      <c r="V14" s="37" t="s">
        <v>794</v>
      </c>
      <c r="W14" s="37" t="s">
        <v>795</v>
      </c>
    </row>
    <row r="15" spans="1:23" ht="12" customHeight="1" x14ac:dyDescent="0.2">
      <c r="A15" s="38" t="s">
        <v>20</v>
      </c>
      <c r="B15" s="247">
        <v>3.7499999999999999E-2</v>
      </c>
      <c r="C15" s="209">
        <v>97228</v>
      </c>
      <c r="D15" s="377">
        <f>-C15</f>
        <v>-97228</v>
      </c>
      <c r="E15" s="351">
        <f>+C15</f>
        <v>97228</v>
      </c>
      <c r="F15" s="355">
        <f>IF(OR($R$3=1,$R$3=2,$R$3=3),IF(OR($R$3=1,$R$3=2),-C15,Amortization!AI9),0)</f>
        <v>-79062.029999999926</v>
      </c>
      <c r="G15" s="475"/>
      <c r="H15" s="392"/>
      <c r="I15" s="393"/>
      <c r="J15" s="646"/>
      <c r="K15" s="647"/>
      <c r="M15" s="524" t="s">
        <v>653</v>
      </c>
      <c r="N15" s="139">
        <v>30000</v>
      </c>
      <c r="O15" s="332" t="b">
        <f>+N15&gt;($C$14+$C$20)</f>
        <v>0</v>
      </c>
      <c r="P15" s="529">
        <f>$C$14+$C$20</f>
        <v>33063.259999999995</v>
      </c>
      <c r="U15" s="139"/>
      <c r="V15" s="37" t="s">
        <v>796</v>
      </c>
    </row>
    <row r="16" spans="1:23" ht="12" customHeight="1" x14ac:dyDescent="0.2">
      <c r="A16" s="38" t="s">
        <v>624</v>
      </c>
      <c r="B16" s="208"/>
      <c r="C16" s="209"/>
      <c r="D16" s="377"/>
      <c r="E16" s="351"/>
      <c r="F16" s="355">
        <f>-(120-C49)*(C16/120)</f>
        <v>0</v>
      </c>
      <c r="G16" s="356"/>
      <c r="H16" s="392">
        <f>-(C16*B16/12)</f>
        <v>0</v>
      </c>
      <c r="I16" s="393"/>
      <c r="J16" s="646"/>
      <c r="K16" s="647"/>
      <c r="M16" s="524" t="s">
        <v>652</v>
      </c>
      <c r="N16" s="139">
        <v>140000</v>
      </c>
      <c r="O16" s="332" t="b">
        <f>+N16&gt;($C$14+$C$20+E19)</f>
        <v>1</v>
      </c>
      <c r="P16" s="529">
        <f>($C$14+$C$20+E19)</f>
        <v>33063.259999999995</v>
      </c>
      <c r="T16" s="457">
        <v>41353</v>
      </c>
      <c r="U16" s="139">
        <v>5000</v>
      </c>
      <c r="V16" s="37" t="s">
        <v>797</v>
      </c>
    </row>
    <row r="17" spans="1:22" ht="12" customHeight="1" thickBot="1" x14ac:dyDescent="0.25">
      <c r="A17" s="38" t="s">
        <v>21</v>
      </c>
      <c r="B17" s="208">
        <v>0</v>
      </c>
      <c r="C17" s="209"/>
      <c r="D17" s="377">
        <f>-C17</f>
        <v>0</v>
      </c>
      <c r="E17" s="351">
        <f>+C17</f>
        <v>0</v>
      </c>
      <c r="F17" s="355">
        <f>IF(OR($R$3=1,$R$3=2,$R$3=3),IF(OR($R$3=1,$R$3=2),-C17,),0)</f>
        <v>0</v>
      </c>
      <c r="G17" s="356"/>
      <c r="H17" s="392"/>
      <c r="I17" s="393"/>
      <c r="J17" s="648"/>
      <c r="K17" s="649"/>
      <c r="M17" s="524"/>
      <c r="O17" s="332"/>
      <c r="P17" s="530"/>
      <c r="T17" s="457">
        <v>44672</v>
      </c>
      <c r="U17" s="139">
        <v>6264</v>
      </c>
      <c r="V17" s="37" t="s">
        <v>798</v>
      </c>
    </row>
    <row r="18" spans="1:22" ht="12" customHeight="1" thickBot="1" x14ac:dyDescent="0.25">
      <c r="A18" s="38" t="s">
        <v>22</v>
      </c>
      <c r="B18" s="187"/>
      <c r="C18" s="188">
        <v>2466</v>
      </c>
      <c r="D18" s="377"/>
      <c r="E18" s="351"/>
      <c r="F18" s="355">
        <f>-C18</f>
        <v>-2466</v>
      </c>
      <c r="G18" s="356"/>
      <c r="H18" s="392"/>
      <c r="I18" s="393"/>
      <c r="J18" s="40"/>
      <c r="K18" s="40"/>
      <c r="M18" s="524"/>
      <c r="O18" s="332"/>
      <c r="P18" s="530"/>
    </row>
    <row r="19" spans="1:22" ht="12" customHeight="1" thickBot="1" x14ac:dyDescent="0.25">
      <c r="A19" s="38" t="s">
        <v>615</v>
      </c>
      <c r="B19" s="348">
        <f>+B17</f>
        <v>0</v>
      </c>
      <c r="C19" s="349">
        <v>0</v>
      </c>
      <c r="D19" s="350">
        <f>-C19</f>
        <v>0</v>
      </c>
      <c r="E19" s="351">
        <f>+C19</f>
        <v>0</v>
      </c>
      <c r="F19" s="352">
        <f>IF(B1="flip",-C19,0)</f>
        <v>0</v>
      </c>
      <c r="G19" s="353"/>
      <c r="H19" s="392"/>
      <c r="I19" s="393"/>
      <c r="J19" s="40"/>
      <c r="K19" s="40"/>
      <c r="M19" s="524"/>
      <c r="O19" s="332"/>
      <c r="P19" s="531"/>
    </row>
    <row r="20" spans="1:22" ht="12" customHeight="1" thickBot="1" x14ac:dyDescent="0.25">
      <c r="A20" s="136" t="s">
        <v>24</v>
      </c>
      <c r="B20" s="455"/>
      <c r="C20" s="338">
        <v>5000</v>
      </c>
      <c r="D20" s="377">
        <f>-C20</f>
        <v>-5000</v>
      </c>
      <c r="E20" s="351"/>
      <c r="F20" s="355"/>
      <c r="G20" s="356"/>
      <c r="H20" s="395"/>
      <c r="I20" s="393"/>
      <c r="J20" s="40"/>
      <c r="K20" s="40"/>
      <c r="M20" s="532"/>
      <c r="N20" s="520"/>
      <c r="O20" s="516"/>
      <c r="P20" s="533"/>
    </row>
    <row r="21" spans="1:22" ht="12" customHeight="1" thickBot="1" x14ac:dyDescent="0.3">
      <c r="A21" s="38" t="s">
        <v>623</v>
      </c>
      <c r="B21" s="621">
        <f>-SUM(D14:D20)</f>
        <v>130291.26</v>
      </c>
      <c r="C21" s="622"/>
      <c r="D21" s="377"/>
      <c r="E21" s="351"/>
      <c r="F21" s="355"/>
      <c r="G21" s="356"/>
      <c r="H21" s="395"/>
      <c r="I21" s="393"/>
      <c r="P21" s="463"/>
    </row>
    <row r="22" spans="1:22" ht="12" customHeight="1" thickBot="1" x14ac:dyDescent="0.25">
      <c r="A22" s="38" t="s">
        <v>616</v>
      </c>
      <c r="B22" s="354">
        <v>0.75</v>
      </c>
      <c r="C22" s="349">
        <f>IF(C1="Hold",+B4*B22,0)</f>
        <v>0</v>
      </c>
      <c r="D22" s="350"/>
      <c r="E22" s="351">
        <f>IF(AND(Q1,R3=2),C22+B21,0)</f>
        <v>0</v>
      </c>
      <c r="F22" s="355" t="str">
        <f>IF(AND(Q1,R3=2),-C22,"")</f>
        <v/>
      </c>
      <c r="G22" s="356"/>
      <c r="H22" s="394">
        <f>IF(AND(Q1,R3=2),IF(Q2,IPMT(B23/12,1,C23*12,C22),PMT(B23/12,12*C23,C22)),0)</f>
        <v>0</v>
      </c>
      <c r="I22" s="393"/>
      <c r="J22" s="676" t="s">
        <v>628</v>
      </c>
      <c r="K22" s="677"/>
      <c r="P22" s="463"/>
    </row>
    <row r="23" spans="1:22" ht="12" customHeight="1" thickBot="1" x14ac:dyDescent="0.25">
      <c r="A23" s="38" t="s">
        <v>617</v>
      </c>
      <c r="B23" s="357">
        <v>6.5000000000000002E-2</v>
      </c>
      <c r="C23" s="358">
        <v>30</v>
      </c>
      <c r="D23" s="350"/>
      <c r="E23" s="351"/>
      <c r="F23" s="355"/>
      <c r="G23" s="356"/>
      <c r="H23" s="395"/>
      <c r="I23" s="393"/>
      <c r="J23" s="676" t="s">
        <v>614</v>
      </c>
      <c r="K23" s="677"/>
      <c r="P23" s="463"/>
    </row>
    <row r="24" spans="1:22" ht="12" customHeight="1" thickBot="1" x14ac:dyDescent="0.25">
      <c r="A24" s="38" t="s">
        <v>618</v>
      </c>
      <c r="B24" s="666">
        <v>45566</v>
      </c>
      <c r="C24" s="667"/>
      <c r="D24" s="350"/>
      <c r="E24" s="351"/>
      <c r="F24" s="355"/>
      <c r="G24" s="356"/>
      <c r="H24" s="395"/>
      <c r="I24" s="393"/>
      <c r="K24" s="40"/>
      <c r="P24" s="463"/>
    </row>
    <row r="25" spans="1:22" ht="12" customHeight="1" thickBot="1" x14ac:dyDescent="0.25">
      <c r="A25" s="136" t="s">
        <v>23</v>
      </c>
      <c r="B25" s="173">
        <v>0</v>
      </c>
      <c r="C25" s="174"/>
      <c r="D25" s="377"/>
      <c r="E25" s="351"/>
      <c r="F25" s="355"/>
      <c r="G25" s="356"/>
      <c r="H25" s="394"/>
      <c r="I25" s="393"/>
      <c r="Q25" s="139"/>
    </row>
    <row r="26" spans="1:22" ht="12" customHeight="1" thickBot="1" x14ac:dyDescent="0.25">
      <c r="A26" s="136" t="s">
        <v>26</v>
      </c>
      <c r="B26" s="150"/>
      <c r="C26" s="174">
        <v>2466</v>
      </c>
      <c r="D26" s="377">
        <f>-B26</f>
        <v>0</v>
      </c>
      <c r="E26" s="351"/>
      <c r="F26" s="355"/>
      <c r="G26" s="356"/>
      <c r="H26" s="395"/>
      <c r="I26" s="393"/>
      <c r="M26" s="457">
        <v>45894</v>
      </c>
      <c r="N26" s="139">
        <v>276800</v>
      </c>
      <c r="Q26" s="139"/>
    </row>
    <row r="27" spans="1:22" ht="12" customHeight="1" thickBot="1" x14ac:dyDescent="0.25">
      <c r="A27" s="136" t="s">
        <v>490</v>
      </c>
      <c r="B27" s="625">
        <v>5000</v>
      </c>
      <c r="C27" s="626">
        <v>5000</v>
      </c>
      <c r="D27" s="377">
        <f>-B27</f>
        <v>-5000</v>
      </c>
      <c r="E27" s="351"/>
      <c r="F27" s="355"/>
      <c r="G27" s="356"/>
      <c r="H27" s="395"/>
      <c r="I27" s="393"/>
    </row>
    <row r="28" spans="1:22" ht="12" customHeight="1" thickBot="1" x14ac:dyDescent="0.25">
      <c r="A28" s="136" t="s">
        <v>586</v>
      </c>
      <c r="B28" s="333">
        <f>+F72/30.42</f>
        <v>6.0157790927021697</v>
      </c>
      <c r="C28" s="125"/>
      <c r="D28" s="377"/>
      <c r="E28" s="351"/>
      <c r="F28" s="355"/>
      <c r="G28" s="356"/>
      <c r="H28" s="394"/>
      <c r="I28" s="393"/>
      <c r="Q28" s="139"/>
    </row>
    <row r="29" spans="1:22" ht="12" customHeight="1" x14ac:dyDescent="0.2">
      <c r="A29" s="136" t="s">
        <v>581</v>
      </c>
      <c r="B29" s="331">
        <f>+STR!K17/12</f>
        <v>0</v>
      </c>
      <c r="C29" s="125"/>
      <c r="D29" s="377"/>
      <c r="E29" s="351"/>
      <c r="F29" s="355"/>
      <c r="G29" s="356"/>
      <c r="H29" s="394">
        <f>-B29</f>
        <v>0</v>
      </c>
      <c r="I29" s="393"/>
      <c r="J29" s="640" t="s">
        <v>25</v>
      </c>
      <c r="K29" s="641"/>
      <c r="Q29" s="139"/>
    </row>
    <row r="30" spans="1:22" ht="12" customHeight="1" thickBot="1" x14ac:dyDescent="0.25">
      <c r="A30" s="136" t="s">
        <v>585</v>
      </c>
      <c r="C30" s="540">
        <f>+B45/C50</f>
        <v>777.53728894722224</v>
      </c>
      <c r="D30" s="377"/>
      <c r="E30" s="351"/>
      <c r="F30" s="355"/>
      <c r="G30" s="356"/>
      <c r="H30" s="394"/>
      <c r="I30" s="393"/>
      <c r="J30" s="642"/>
      <c r="K30" s="643"/>
      <c r="O30" s="270"/>
      <c r="P30" s="463"/>
    </row>
    <row r="31" spans="1:22" ht="12" customHeight="1" x14ac:dyDescent="0.2">
      <c r="A31" s="136" t="s">
        <v>888</v>
      </c>
      <c r="B31" s="553">
        <f>+Carrying!B25/Profit!$B$28</f>
        <v>14.95234426229508</v>
      </c>
      <c r="C31" s="125"/>
      <c r="D31" s="377"/>
      <c r="E31" s="351"/>
      <c r="F31" s="355"/>
      <c r="G31" s="356"/>
      <c r="H31" s="394">
        <f>IF(OR($R$3=2,$R$3=3),-B31,0)</f>
        <v>-14.95234426229508</v>
      </c>
      <c r="I31" s="393">
        <f t="shared" ref="I31:I34" si="0">IF($R$3=3,+B31,0)</f>
        <v>14.95234426229508</v>
      </c>
      <c r="J31" s="656" t="s">
        <v>27</v>
      </c>
      <c r="K31" s="657"/>
      <c r="P31" s="463"/>
    </row>
    <row r="32" spans="1:22" ht="12" customHeight="1" x14ac:dyDescent="0.2">
      <c r="A32" s="136" t="s">
        <v>948</v>
      </c>
      <c r="B32" s="553">
        <f>+Carrying!E25/Profit!$B$28</f>
        <v>549.04775409836066</v>
      </c>
      <c r="C32" s="125"/>
      <c r="D32" s="377"/>
      <c r="E32" s="351"/>
      <c r="F32" s="355"/>
      <c r="G32" s="356"/>
      <c r="H32" s="394">
        <f t="shared" ref="H32:H34" si="1">IF(OR($R$3=2,$R$3=3),-B32,0)</f>
        <v>-549.04775409836066</v>
      </c>
      <c r="I32" s="393"/>
      <c r="J32" s="658"/>
      <c r="K32" s="659"/>
      <c r="P32" s="463"/>
    </row>
    <row r="33" spans="1:11" ht="12" customHeight="1" x14ac:dyDescent="0.2">
      <c r="A33" s="136" t="s">
        <v>591</v>
      </c>
      <c r="B33" s="553">
        <f>+Carrying!H25/Profit!$B$28</f>
        <v>304.65546885245902</v>
      </c>
      <c r="C33" s="125"/>
      <c r="D33" s="377"/>
      <c r="E33" s="351"/>
      <c r="F33" s="355"/>
      <c r="G33" s="356"/>
      <c r="H33" s="394">
        <f t="shared" si="1"/>
        <v>-304.65546885245902</v>
      </c>
      <c r="I33" s="393">
        <f t="shared" si="0"/>
        <v>304.65546885245902</v>
      </c>
      <c r="J33" s="658"/>
      <c r="K33" s="659"/>
    </row>
    <row r="34" spans="1:11" ht="12" customHeight="1" thickBot="1" x14ac:dyDescent="0.25">
      <c r="A34" s="136" t="s">
        <v>934</v>
      </c>
      <c r="B34" s="553">
        <f>+Carrying!K25/Profit!$B$28</f>
        <v>0</v>
      </c>
      <c r="C34" s="125"/>
      <c r="D34" s="377"/>
      <c r="E34" s="351"/>
      <c r="F34" s="355"/>
      <c r="G34" s="356"/>
      <c r="H34" s="394">
        <f t="shared" si="1"/>
        <v>0</v>
      </c>
      <c r="I34" s="393">
        <f t="shared" si="0"/>
        <v>0</v>
      </c>
      <c r="J34" s="660"/>
      <c r="K34" s="661"/>
    </row>
    <row r="35" spans="1:11" ht="12" customHeight="1" x14ac:dyDescent="0.2">
      <c r="A35" s="136" t="s">
        <v>478</v>
      </c>
      <c r="B35" s="553">
        <f>+Carrying!N25/Profit!$B$28</f>
        <v>0</v>
      </c>
      <c r="C35" s="125"/>
      <c r="D35" s="377"/>
      <c r="E35" s="351"/>
      <c r="F35" s="355"/>
      <c r="G35" s="356"/>
      <c r="H35" s="394"/>
      <c r="I35" s="393"/>
    </row>
    <row r="36" spans="1:11" ht="12" customHeight="1" x14ac:dyDescent="0.2">
      <c r="A36" s="136" t="s">
        <v>935</v>
      </c>
      <c r="B36" s="553">
        <f>+Carrying!Q25/Profit!$B$28</f>
        <v>46.151960655737703</v>
      </c>
      <c r="C36" s="125"/>
      <c r="D36" s="377"/>
      <c r="E36" s="351"/>
      <c r="F36" s="355"/>
      <c r="G36" s="356"/>
      <c r="H36" s="394"/>
      <c r="I36" s="393"/>
    </row>
    <row r="37" spans="1:11" ht="12" customHeight="1" x14ac:dyDescent="0.2">
      <c r="A37" s="136" t="s">
        <v>936</v>
      </c>
      <c r="B37" s="553">
        <f>+Carrying!T25/Profit!$B$28</f>
        <v>0</v>
      </c>
      <c r="C37" s="125"/>
      <c r="D37" s="377"/>
      <c r="E37" s="351"/>
      <c r="F37" s="355"/>
      <c r="G37" s="356"/>
      <c r="H37" s="394"/>
      <c r="I37" s="393"/>
    </row>
    <row r="38" spans="1:11" ht="12" customHeight="1" x14ac:dyDescent="0.2">
      <c r="A38" s="136" t="s">
        <v>590</v>
      </c>
      <c r="B38" s="553">
        <f>+Carrying!W25/Profit!$B$28</f>
        <v>0</v>
      </c>
      <c r="C38" s="125"/>
      <c r="D38" s="377"/>
      <c r="E38" s="351"/>
      <c r="F38" s="355"/>
      <c r="G38" s="356"/>
      <c r="H38" s="394"/>
      <c r="I38" s="393"/>
    </row>
    <row r="39" spans="1:11" ht="12" customHeight="1" x14ac:dyDescent="0.2">
      <c r="A39" s="136" t="s">
        <v>657</v>
      </c>
      <c r="B39" s="553">
        <f>+Carrying!Z25/Profit!$B$28</f>
        <v>0</v>
      </c>
      <c r="C39" s="125"/>
      <c r="D39" s="377"/>
      <c r="E39" s="351"/>
      <c r="F39" s="355"/>
      <c r="G39" s="356"/>
      <c r="H39" s="394"/>
      <c r="I39" s="393"/>
    </row>
    <row r="40" spans="1:11" ht="12" customHeight="1" thickBot="1" x14ac:dyDescent="0.25">
      <c r="A40" s="136" t="s">
        <v>937</v>
      </c>
      <c r="B40" s="553">
        <f>+Carrying!AC25/Profit!$B$28</f>
        <v>0</v>
      </c>
      <c r="C40" s="125"/>
      <c r="D40" s="377"/>
      <c r="E40" s="351"/>
      <c r="F40" s="355"/>
      <c r="G40" s="356"/>
      <c r="H40" s="394"/>
      <c r="I40" s="393"/>
    </row>
    <row r="41" spans="1:11" ht="12" customHeight="1" thickBot="1" x14ac:dyDescent="0.25">
      <c r="A41" s="136" t="s">
        <v>938</v>
      </c>
      <c r="B41" s="553">
        <f>+Carrying!AF25/Profit!$B$28</f>
        <v>0</v>
      </c>
      <c r="C41" s="125"/>
      <c r="D41" s="377"/>
      <c r="E41" s="351"/>
      <c r="F41" s="355"/>
      <c r="G41" s="356"/>
      <c r="H41" s="394"/>
      <c r="I41" s="393"/>
      <c r="J41" s="688" t="s">
        <v>28</v>
      </c>
      <c r="K41" s="690">
        <f>IF(+R3=3,-H54,+B42/B28)</f>
        <v>1493.6555672131149</v>
      </c>
    </row>
    <row r="42" spans="1:11" ht="12" customHeight="1" thickBot="1" x14ac:dyDescent="0.3">
      <c r="A42" s="38" t="s">
        <v>28</v>
      </c>
      <c r="B42" s="686">
        <f>+B28*SUM(B31:B41)</f>
        <v>5503.2800000000007</v>
      </c>
      <c r="C42" s="687"/>
      <c r="D42" s="350">
        <f>-B42</f>
        <v>-5503.2800000000007</v>
      </c>
      <c r="E42" s="351"/>
      <c r="F42" s="355"/>
      <c r="G42" s="356"/>
      <c r="H42" s="394"/>
      <c r="I42" s="393"/>
      <c r="J42" s="689"/>
      <c r="K42" s="691"/>
    </row>
    <row r="43" spans="1:11" ht="12" customHeight="1" thickBot="1" x14ac:dyDescent="0.25">
      <c r="A43" s="555" t="s">
        <v>30</v>
      </c>
      <c r="B43" s="556">
        <v>0.1</v>
      </c>
      <c r="C43" s="557" t="b">
        <v>1</v>
      </c>
      <c r="D43" s="377"/>
      <c r="E43" s="351"/>
      <c r="F43" s="355"/>
      <c r="G43" s="356"/>
      <c r="H43" s="394"/>
      <c r="I43" s="393"/>
    </row>
    <row r="44" spans="1:11" ht="12" customHeight="1" thickBot="1" x14ac:dyDescent="0.25">
      <c r="A44" s="136" t="s">
        <v>32</v>
      </c>
      <c r="B44" s="558">
        <v>75000</v>
      </c>
      <c r="C44" s="559">
        <f>+(B6*0.75)-SUM(C15:C19)-B44</f>
        <v>43286</v>
      </c>
      <c r="D44" s="377"/>
      <c r="E44" s="351">
        <f>IF(C43,B44,0)</f>
        <v>75000</v>
      </c>
      <c r="F44" s="355">
        <f>IF(C43,-E44,0)</f>
        <v>-75000</v>
      </c>
      <c r="G44" s="356"/>
      <c r="H44" s="394">
        <f>IF($R$3=3,-E44*B43/12,0)</f>
        <v>-625</v>
      </c>
      <c r="I44" s="393"/>
      <c r="J44" s="688" t="s">
        <v>1087</v>
      </c>
      <c r="K44" s="690">
        <f>+SUM(C15:C19)+B44</f>
        <v>174694</v>
      </c>
    </row>
    <row r="45" spans="1:11" ht="12" customHeight="1" thickBot="1" x14ac:dyDescent="0.25">
      <c r="A45" s="136" t="s">
        <v>34</v>
      </c>
      <c r="B45" s="333">
        <f>-D67</f>
        <v>27991.342402099999</v>
      </c>
      <c r="C45" s="125"/>
      <c r="D45" s="377">
        <f>-B45</f>
        <v>-27991.342402099999</v>
      </c>
      <c r="E45" s="351"/>
      <c r="F45" s="355"/>
      <c r="G45" s="356"/>
      <c r="H45" s="395"/>
      <c r="I45" s="393"/>
      <c r="J45" s="689"/>
      <c r="K45" s="691"/>
    </row>
    <row r="46" spans="1:11" ht="12" customHeight="1" thickBot="1" x14ac:dyDescent="0.25">
      <c r="A46" s="136" t="s">
        <v>35</v>
      </c>
      <c r="B46" s="333">
        <v>600</v>
      </c>
      <c r="C46" s="125"/>
      <c r="D46" s="377">
        <f>-B46</f>
        <v>-600</v>
      </c>
      <c r="E46" s="351"/>
      <c r="F46" s="355"/>
      <c r="G46" s="356"/>
      <c r="H46" s="395"/>
      <c r="I46" s="393"/>
    </row>
    <row r="47" spans="1:11" ht="12" customHeight="1" thickBot="1" x14ac:dyDescent="0.3">
      <c r="A47" s="38" t="s">
        <v>37</v>
      </c>
      <c r="B47" s="547"/>
      <c r="C47" s="548">
        <v>500</v>
      </c>
      <c r="D47" s="377"/>
      <c r="E47" s="351"/>
      <c r="F47" s="355" t="str">
        <f>IF(Q3,-C47,"")</f>
        <v/>
      </c>
      <c r="G47" s="356"/>
      <c r="H47" s="395"/>
      <c r="I47" s="393"/>
      <c r="J47" s="654" t="s">
        <v>29</v>
      </c>
      <c r="K47" s="652">
        <f>+B21</f>
        <v>130291.26</v>
      </c>
    </row>
    <row r="48" spans="1:11" ht="12" customHeight="1" thickBot="1" x14ac:dyDescent="0.25">
      <c r="A48" s="137" t="s">
        <v>38</v>
      </c>
      <c r="B48" s="431"/>
      <c r="C48" s="138">
        <v>3.5999999999999997E-2</v>
      </c>
      <c r="D48" s="377"/>
      <c r="E48" s="351"/>
      <c r="F48" s="355" t="str">
        <f>IF(Q4,IF(OR(R3=1,R3=2),-C48*$F$10,0),"")</f>
        <v/>
      </c>
      <c r="G48" s="356"/>
      <c r="H48" s="395"/>
      <c r="I48" s="393"/>
      <c r="J48" s="655"/>
      <c r="K48" s="653"/>
    </row>
    <row r="49" spans="1:15" ht="12" customHeight="1" thickBot="1" x14ac:dyDescent="0.25">
      <c r="A49" s="137" t="s">
        <v>39</v>
      </c>
      <c r="B49" s="432"/>
      <c r="C49" s="191">
        <v>2.4E-2</v>
      </c>
      <c r="D49" s="377"/>
      <c r="E49" s="351"/>
      <c r="F49" s="355">
        <f>IF(Q5,IF(OR(R3=1,R3=2),-C49*$F$10,0),"")</f>
        <v>0</v>
      </c>
      <c r="G49" s="356"/>
      <c r="H49" s="395"/>
      <c r="I49" s="393"/>
      <c r="J49" s="654" t="s">
        <v>33</v>
      </c>
      <c r="K49" s="652">
        <f>-E55</f>
        <v>-30966.117597900007</v>
      </c>
    </row>
    <row r="50" spans="1:15" ht="12" customHeight="1" thickBot="1" x14ac:dyDescent="0.25">
      <c r="A50" s="192" t="s">
        <v>40</v>
      </c>
      <c r="B50" s="190"/>
      <c r="C50" s="219">
        <v>36</v>
      </c>
      <c r="D50" s="377"/>
      <c r="E50" s="351"/>
      <c r="F50" s="355"/>
      <c r="G50" s="356"/>
      <c r="H50" s="395"/>
      <c r="I50" s="393"/>
      <c r="J50" s="655"/>
      <c r="K50" s="653"/>
    </row>
    <row r="51" spans="1:15" ht="12" customHeight="1" thickBot="1" x14ac:dyDescent="0.3">
      <c r="A51" s="38" t="s">
        <v>41</v>
      </c>
      <c r="B51" s="623"/>
      <c r="C51" s="675"/>
      <c r="D51" s="378"/>
      <c r="E51" s="351"/>
      <c r="F51" s="355">
        <f>-C51</f>
        <v>0</v>
      </c>
      <c r="G51" s="356"/>
      <c r="H51" s="396"/>
      <c r="I51" s="393"/>
      <c r="J51" s="702" t="s">
        <v>36</v>
      </c>
      <c r="K51" s="703"/>
    </row>
    <row r="52" spans="1:15" ht="12" customHeight="1" thickBot="1" x14ac:dyDescent="0.25">
      <c r="A52" s="38" t="s">
        <v>42</v>
      </c>
      <c r="B52" s="673">
        <f>+D87</f>
        <v>940</v>
      </c>
      <c r="C52" s="674"/>
      <c r="D52" s="377">
        <f>-B52</f>
        <v>-940</v>
      </c>
      <c r="E52" s="351"/>
      <c r="F52" s="355"/>
      <c r="G52" s="356"/>
      <c r="H52" s="396"/>
      <c r="I52" s="393"/>
      <c r="J52" s="704"/>
      <c r="K52" s="705"/>
    </row>
    <row r="53" spans="1:15" ht="12" customHeight="1" thickBot="1" x14ac:dyDescent="0.25">
      <c r="A53" s="38" t="s">
        <v>43</v>
      </c>
      <c r="B53" s="671">
        <f>+D98</f>
        <v>290</v>
      </c>
      <c r="C53" s="672"/>
      <c r="D53" s="379"/>
      <c r="E53" s="380"/>
      <c r="F53" s="381">
        <f>-B53</f>
        <v>-290</v>
      </c>
      <c r="G53" s="382"/>
      <c r="H53" s="397"/>
      <c r="I53" s="398"/>
    </row>
    <row r="54" spans="1:15" ht="12" customHeight="1" thickBot="1" x14ac:dyDescent="0.25">
      <c r="B54" s="670" t="s">
        <v>44</v>
      </c>
      <c r="C54" s="651"/>
      <c r="D54" s="201">
        <f>+SUM(D14:D53)</f>
        <v>-170325.88240210002</v>
      </c>
      <c r="E54" s="458"/>
      <c r="F54" s="459">
        <f>+SUM(F14:F53)</f>
        <v>-156818.02999999991</v>
      </c>
      <c r="G54" s="458"/>
      <c r="H54" s="460">
        <f>SUM(H15:H53)</f>
        <v>-1493.6555672131149</v>
      </c>
      <c r="I54" s="461">
        <f>SUM(I15:I53)+H10</f>
        <v>1403.137813114754</v>
      </c>
    </row>
    <row r="55" spans="1:15" ht="12" customHeight="1" thickBot="1" x14ac:dyDescent="0.25">
      <c r="A55" s="39"/>
      <c r="B55" s="684" t="s">
        <v>45</v>
      </c>
      <c r="C55" s="685"/>
      <c r="D55" s="685"/>
      <c r="E55" s="143">
        <f>+SUM(D10:E53)</f>
        <v>30966.117597900007</v>
      </c>
      <c r="F55" s="713">
        <f>+SUM(F10:G53)</f>
        <v>141435.76000000024</v>
      </c>
      <c r="G55" s="714"/>
      <c r="H55" s="141"/>
      <c r="I55" s="145">
        <f>+SUM(H54:I54)</f>
        <v>-90.517754098360911</v>
      </c>
      <c r="O55" s="112"/>
    </row>
    <row r="56" spans="1:15" ht="12" customHeight="1" x14ac:dyDescent="0.2">
      <c r="A56" s="39"/>
      <c r="B56" s="39"/>
      <c r="D56" s="39"/>
      <c r="E56" s="751" t="s">
        <v>46</v>
      </c>
      <c r="F56" s="752"/>
      <c r="G56" s="140">
        <f>SUM(E55:G55)</f>
        <v>172401.87759790025</v>
      </c>
      <c r="H56" s="141"/>
      <c r="I56" s="142"/>
      <c r="J56" s="734" t="s">
        <v>47</v>
      </c>
      <c r="K56" s="749" t="s">
        <v>48</v>
      </c>
      <c r="O56" s="112"/>
    </row>
    <row r="57" spans="1:15" ht="12" customHeight="1" thickBot="1" x14ac:dyDescent="0.25">
      <c r="A57" s="39"/>
      <c r="B57" s="39"/>
      <c r="E57" s="751" t="s">
        <v>49</v>
      </c>
      <c r="F57" s="752"/>
      <c r="G57" s="752"/>
      <c r="H57" s="462">
        <f>IF(OR(R3=2,R3=3),IF(R3=2,C50,60),0)</f>
        <v>60</v>
      </c>
      <c r="I57" s="202">
        <f>IF(OR(R3=2,R3=3),+H57*I55,0)</f>
        <v>-5431.0652459016546</v>
      </c>
      <c r="J57" s="735"/>
      <c r="K57" s="750"/>
    </row>
    <row r="58" spans="1:15" ht="12" customHeight="1" thickBot="1" x14ac:dyDescent="0.25">
      <c r="A58" s="39"/>
      <c r="B58" s="39"/>
      <c r="E58" s="144"/>
      <c r="F58" s="736" t="s">
        <v>633</v>
      </c>
      <c r="G58" s="737"/>
      <c r="H58" s="128"/>
      <c r="I58" s="128">
        <f>+I57+G56</f>
        <v>166970.81235199861</v>
      </c>
      <c r="J58" s="129">
        <f>$B$25*$I$58</f>
        <v>0</v>
      </c>
      <c r="K58" s="130">
        <f>+$I$58-J58</f>
        <v>166970.81235199861</v>
      </c>
    </row>
    <row r="59" spans="1:15" ht="12" customHeight="1" thickTop="1" thickBot="1" x14ac:dyDescent="0.3">
      <c r="A59" s="131" t="s">
        <v>50</v>
      </c>
      <c r="B59" s="682">
        <f>IF(OR(C1="Hold",D1="slow flip"),0.15,0)</f>
        <v>0.15</v>
      </c>
      <c r="C59" s="683"/>
      <c r="D59" s="131"/>
      <c r="E59" s="131"/>
      <c r="H59" s="336"/>
      <c r="I59" s="337" t="s">
        <v>619</v>
      </c>
      <c r="J59" s="140">
        <f>-I81</f>
        <v>0</v>
      </c>
      <c r="K59" s="176">
        <f>+I81</f>
        <v>0</v>
      </c>
    </row>
    <row r="60" spans="1:15" ht="12" customHeight="1" thickTop="1" thickBot="1" x14ac:dyDescent="0.3">
      <c r="A60" s="38" t="s">
        <v>52</v>
      </c>
      <c r="B60" s="678">
        <v>0.1</v>
      </c>
      <c r="C60" s="679">
        <v>0.15</v>
      </c>
      <c r="D60" s="680">
        <f>+K62*B60</f>
        <v>14192.519049919883</v>
      </c>
      <c r="E60" s="681"/>
      <c r="H60" s="743" t="s">
        <v>51</v>
      </c>
      <c r="I60" s="744"/>
      <c r="J60" s="433" t="s">
        <v>474</v>
      </c>
      <c r="K60" s="176">
        <f>IF(B59="",0,-$B$59*SUM(K58:K59))</f>
        <v>-25045.621852799792</v>
      </c>
    </row>
    <row r="61" spans="1:15" ht="12" customHeight="1" x14ac:dyDescent="0.2">
      <c r="G61" s="39"/>
      <c r="H61" s="743" t="s">
        <v>583</v>
      </c>
      <c r="I61" s="744"/>
      <c r="J61" s="129">
        <f>SUM(J58:J60)</f>
        <v>0</v>
      </c>
      <c r="K61" s="130">
        <f>SUM(K58:K60)</f>
        <v>141925.19049919883</v>
      </c>
    </row>
    <row r="62" spans="1:15" ht="12" customHeight="1" thickBot="1" x14ac:dyDescent="0.25">
      <c r="A62" s="116"/>
      <c r="C62" s="38"/>
      <c r="D62" s="38"/>
      <c r="E62" s="38"/>
      <c r="H62" s="736" t="s">
        <v>634</v>
      </c>
      <c r="I62" s="737"/>
      <c r="J62" s="134"/>
      <c r="K62" s="329">
        <f>SUM(J61:K61)</f>
        <v>141925.19049919883</v>
      </c>
    </row>
    <row r="63" spans="1:15" ht="12" customHeight="1" thickTop="1" x14ac:dyDescent="0.2">
      <c r="A63" s="120" t="s">
        <v>53</v>
      </c>
    </row>
    <row r="64" spans="1:15" ht="12" customHeight="1" thickBot="1" x14ac:dyDescent="0.25">
      <c r="A64" s="38" t="s">
        <v>54</v>
      </c>
      <c r="B64" s="694">
        <f>+'Gnatt Chart'!J5</f>
        <v>25446.674910999998</v>
      </c>
      <c r="C64" s="694"/>
      <c r="D64" s="694">
        <f>-B64</f>
        <v>-25446.674910999998</v>
      </c>
      <c r="E64" s="694"/>
    </row>
    <row r="65" spans="1:11" ht="12" customHeight="1" thickBot="1" x14ac:dyDescent="0.25">
      <c r="A65" s="38" t="s">
        <v>55</v>
      </c>
      <c r="B65" s="132">
        <v>0.1</v>
      </c>
      <c r="D65" s="694"/>
      <c r="E65" s="694"/>
      <c r="G65" s="644" t="s">
        <v>56</v>
      </c>
      <c r="H65" s="745"/>
      <c r="I65" s="745"/>
      <c r="J65" s="641"/>
    </row>
    <row r="66" spans="1:11" ht="12" customHeight="1" thickBot="1" x14ac:dyDescent="0.25">
      <c r="A66" s="38" t="s">
        <v>57</v>
      </c>
      <c r="B66" s="706">
        <f>IF(Q12&lt;&gt;"Yes",+B65*SUM(B64:C64),0)</f>
        <v>2544.6674911</v>
      </c>
      <c r="C66" s="706"/>
      <c r="D66" s="706">
        <f>-B66</f>
        <v>-2544.6674911</v>
      </c>
      <c r="E66" s="706"/>
      <c r="G66" s="746"/>
      <c r="H66" s="747"/>
      <c r="I66" s="747"/>
      <c r="J66" s="748"/>
    </row>
    <row r="67" spans="1:11" ht="12" customHeight="1" thickBot="1" x14ac:dyDescent="0.25">
      <c r="A67" s="38" t="s">
        <v>58</v>
      </c>
      <c r="D67" s="698">
        <f>+SUM(D64:E66)</f>
        <v>-27991.342402099999</v>
      </c>
      <c r="E67" s="699"/>
      <c r="G67" s="731" t="s">
        <v>569</v>
      </c>
      <c r="H67" s="732"/>
      <c r="I67" s="732"/>
      <c r="J67" s="733"/>
    </row>
    <row r="68" spans="1:11" ht="12" customHeight="1" thickTop="1" thickBot="1" x14ac:dyDescent="0.25">
      <c r="A68" s="133" t="s">
        <v>59</v>
      </c>
      <c r="B68" s="131"/>
      <c r="C68" s="131"/>
      <c r="D68" s="38"/>
      <c r="E68" s="38"/>
      <c r="G68" s="728"/>
      <c r="H68" s="729"/>
      <c r="I68" s="729"/>
      <c r="J68" s="730"/>
    </row>
    <row r="69" spans="1:11" ht="12" customHeight="1" x14ac:dyDescent="0.2">
      <c r="A69" s="38" t="s">
        <v>60</v>
      </c>
      <c r="B69" s="692">
        <v>350</v>
      </c>
      <c r="C69" s="693"/>
      <c r="D69" s="694"/>
      <c r="E69" s="694"/>
      <c r="H69" s="37"/>
      <c r="I69" s="37"/>
    </row>
    <row r="70" spans="1:11" ht="12" customHeight="1" thickBot="1" x14ac:dyDescent="0.25">
      <c r="A70" s="38" t="s">
        <v>61</v>
      </c>
      <c r="B70" s="668">
        <v>0</v>
      </c>
      <c r="C70" s="669"/>
      <c r="D70" s="694"/>
      <c r="E70" s="694"/>
      <c r="H70" s="37"/>
      <c r="I70" s="37"/>
    </row>
    <row r="71" spans="1:11" ht="12" customHeight="1" thickBot="1" x14ac:dyDescent="0.25">
      <c r="A71" s="38" t="s">
        <v>62</v>
      </c>
      <c r="B71" s="668">
        <v>250</v>
      </c>
      <c r="C71" s="669"/>
      <c r="F71" s="724" t="s">
        <v>483</v>
      </c>
      <c r="G71" s="725"/>
      <c r="H71" s="725" t="s">
        <v>215</v>
      </c>
      <c r="I71" s="725"/>
      <c r="J71" s="312" t="s">
        <v>484</v>
      </c>
    </row>
    <row r="72" spans="1:11" ht="12" customHeight="1" thickBot="1" x14ac:dyDescent="0.3">
      <c r="A72" s="38" t="s">
        <v>62</v>
      </c>
      <c r="B72" s="668"/>
      <c r="C72" s="669"/>
      <c r="F72" s="755">
        <f>_xlfn.DAYS(J72,H72)</f>
        <v>183</v>
      </c>
      <c r="G72" s="756"/>
      <c r="H72" s="757">
        <v>45748</v>
      </c>
      <c r="I72" s="667"/>
      <c r="J72" s="514">
        <v>45931</v>
      </c>
    </row>
    <row r="73" spans="1:11" ht="12" customHeight="1" x14ac:dyDescent="0.2">
      <c r="A73" s="38" t="s">
        <v>63</v>
      </c>
      <c r="B73" s="668"/>
      <c r="C73" s="669"/>
      <c r="D73" s="122"/>
      <c r="E73" s="114"/>
      <c r="F73" s="114"/>
      <c r="G73" s="114"/>
      <c r="H73" s="313"/>
      <c r="I73" s="314"/>
      <c r="J73" s="114"/>
      <c r="K73" s="738" t="s">
        <v>567</v>
      </c>
    </row>
    <row r="74" spans="1:11" ht="12" customHeight="1" x14ac:dyDescent="0.2">
      <c r="A74" s="38" t="s">
        <v>63</v>
      </c>
      <c r="B74" s="668"/>
      <c r="C74" s="669"/>
      <c r="D74" s="315"/>
      <c r="G74" s="741" t="s">
        <v>485</v>
      </c>
      <c r="H74" s="741" t="s">
        <v>486</v>
      </c>
      <c r="I74" s="741" t="s">
        <v>487</v>
      </c>
      <c r="J74" s="741" t="s">
        <v>488</v>
      </c>
      <c r="K74" s="739"/>
    </row>
    <row r="75" spans="1:11" ht="12" customHeight="1" thickBot="1" x14ac:dyDescent="0.25">
      <c r="A75" s="38" t="s">
        <v>64</v>
      </c>
      <c r="B75" s="668"/>
      <c r="C75" s="669"/>
      <c r="D75" s="115" t="s">
        <v>256</v>
      </c>
      <c r="E75" s="633" t="s">
        <v>489</v>
      </c>
      <c r="F75" s="633"/>
      <c r="G75" s="742"/>
      <c r="H75" s="742"/>
      <c r="I75" s="742"/>
      <c r="J75" s="742"/>
      <c r="K75" s="740"/>
    </row>
    <row r="76" spans="1:11" ht="12" customHeight="1" x14ac:dyDescent="0.25">
      <c r="A76" s="38" t="s">
        <v>65</v>
      </c>
      <c r="B76" s="668"/>
      <c r="C76" s="669"/>
      <c r="D76" s="386">
        <v>45397</v>
      </c>
      <c r="E76" s="707" t="s">
        <v>622</v>
      </c>
      <c r="F76" s="708"/>
      <c r="G76" s="387"/>
      <c r="H76" s="388">
        <f>+G76/$G$82</f>
        <v>0</v>
      </c>
      <c r="I76" s="389">
        <f>+$J$58*H76</f>
        <v>0</v>
      </c>
      <c r="J76" s="390">
        <f>+G76+I76</f>
        <v>0</v>
      </c>
      <c r="K76" s="391">
        <f>IF(G76="",0,+I76/G76*365/_xlfn.DAYS($J$72,D76))</f>
        <v>0</v>
      </c>
    </row>
    <row r="77" spans="1:11" ht="12" customHeight="1" x14ac:dyDescent="0.25">
      <c r="A77" s="38" t="s">
        <v>66</v>
      </c>
      <c r="B77" s="668"/>
      <c r="C77" s="669"/>
      <c r="D77" s="386">
        <f>+D76+90</f>
        <v>45487</v>
      </c>
      <c r="E77" s="707" t="str">
        <f>+E76</f>
        <v>unknown</v>
      </c>
      <c r="F77" s="708"/>
      <c r="G77" s="387"/>
      <c r="H77" s="388">
        <f>+G77/$G$82</f>
        <v>0</v>
      </c>
      <c r="I77" s="389">
        <f>+$J$58*H77</f>
        <v>0</v>
      </c>
      <c r="J77" s="390">
        <f>+G77+I77</f>
        <v>0</v>
      </c>
      <c r="K77" s="391">
        <f>IF(G77="",0,+I77/G77*365/_xlfn.DAYS($J$72,D77))</f>
        <v>0</v>
      </c>
    </row>
    <row r="78" spans="1:11" ht="12" customHeight="1" x14ac:dyDescent="0.25">
      <c r="A78" s="38" t="s">
        <v>67</v>
      </c>
      <c r="B78" s="668"/>
      <c r="C78" s="669"/>
      <c r="D78" s="386">
        <f>+D77+270</f>
        <v>45757</v>
      </c>
      <c r="E78" s="707" t="str">
        <f>+E77</f>
        <v>unknown</v>
      </c>
      <c r="F78" s="708"/>
      <c r="G78" s="387"/>
      <c r="H78" s="388">
        <f>+G78/$G$82</f>
        <v>0</v>
      </c>
      <c r="I78" s="389">
        <f>+$J$58*H78</f>
        <v>0</v>
      </c>
      <c r="J78" s="390">
        <f>+G78+I78</f>
        <v>0</v>
      </c>
      <c r="K78" s="391">
        <f>IF(G78="",0,+I78/G78*365/_xlfn.DAYS($J$72,D78))</f>
        <v>0</v>
      </c>
    </row>
    <row r="79" spans="1:11" ht="12" customHeight="1" thickBot="1" x14ac:dyDescent="0.3">
      <c r="A79" s="38" t="s">
        <v>68</v>
      </c>
      <c r="B79" s="668"/>
      <c r="C79" s="669"/>
      <c r="D79" s="386">
        <f>+J72-120</f>
        <v>45811</v>
      </c>
      <c r="E79" s="707" t="str">
        <f>+E78</f>
        <v>unknown</v>
      </c>
      <c r="F79" s="708"/>
      <c r="G79" s="387"/>
      <c r="H79" s="388">
        <f>+G79/$G$82</f>
        <v>0</v>
      </c>
      <c r="I79" s="389">
        <f>+$J$58*H79</f>
        <v>0</v>
      </c>
      <c r="J79" s="390">
        <f>+G79+I79</f>
        <v>0</v>
      </c>
      <c r="K79" s="391">
        <f>IF(G79="",0,+I79/G79*365/_xlfn.DAYS($J$72,D79))</f>
        <v>0</v>
      </c>
    </row>
    <row r="80" spans="1:11" ht="12" customHeight="1" thickBot="1" x14ac:dyDescent="0.3">
      <c r="A80" s="38" t="s">
        <v>69</v>
      </c>
      <c r="B80" s="668">
        <v>200</v>
      </c>
      <c r="C80" s="669"/>
      <c r="D80" s="359">
        <v>45422</v>
      </c>
      <c r="E80" s="709" t="str">
        <f>+F1</f>
        <v>Heritage Management</v>
      </c>
      <c r="F80" s="710"/>
      <c r="G80" s="360">
        <f>-D54-SUM(G75:G78)</f>
        <v>170325.88240210002</v>
      </c>
      <c r="H80" s="361">
        <f>+G80/$G$82</f>
        <v>1</v>
      </c>
      <c r="I80" s="360">
        <f>+$J$58*H80</f>
        <v>0</v>
      </c>
      <c r="J80" s="362">
        <f>+G80+I80</f>
        <v>170325.88240210002</v>
      </c>
      <c r="K80" s="363" t="e">
        <f>IF(G80=0,0,+I80/G80*$F$72/_xlfn.DAYS(J71,H71))</f>
        <v>#VALUE!</v>
      </c>
    </row>
    <row r="81" spans="1:11" ht="12" customHeight="1" thickBot="1" x14ac:dyDescent="0.3">
      <c r="A81" s="38" t="s">
        <v>70</v>
      </c>
      <c r="B81" s="668"/>
      <c r="C81" s="669"/>
      <c r="D81" s="364" t="str">
        <f>+J71</f>
        <v>End Date</v>
      </c>
      <c r="E81" s="753" t="s">
        <v>620</v>
      </c>
      <c r="F81" s="754"/>
      <c r="G81" s="365">
        <f>+SUM(G75:G78)</f>
        <v>0</v>
      </c>
      <c r="H81" s="366">
        <f>+SUM(H75:H78)</f>
        <v>0</v>
      </c>
      <c r="I81" s="365">
        <f>+SUM(I75:I78)</f>
        <v>0</v>
      </c>
      <c r="J81" s="365">
        <f>+SUM(J75:J78)</f>
        <v>0</v>
      </c>
      <c r="K81" s="367">
        <f>AVERAGE(K75:K78)</f>
        <v>0</v>
      </c>
    </row>
    <row r="82" spans="1:11" ht="12" customHeight="1" thickBot="1" x14ac:dyDescent="0.3">
      <c r="A82" s="38" t="s">
        <v>71</v>
      </c>
      <c r="B82" s="668"/>
      <c r="C82" s="669"/>
      <c r="D82" s="368"/>
      <c r="E82" s="369" t="s">
        <v>621</v>
      </c>
      <c r="F82" s="370"/>
      <c r="G82" s="371">
        <f>SUM(G75:G78)+G80</f>
        <v>170325.88240210002</v>
      </c>
      <c r="H82" s="372">
        <f>SUM(H75:H78)+H80</f>
        <v>1</v>
      </c>
      <c r="I82" s="371">
        <f>SUM(I78:I81)</f>
        <v>0</v>
      </c>
      <c r="J82" s="373">
        <f>SUM(J75:J78)</f>
        <v>0</v>
      </c>
      <c r="K82" s="374" t="e">
        <f>AVERAGE(K75:K81)</f>
        <v>#VALUE!</v>
      </c>
    </row>
    <row r="83" spans="1:11" ht="12" customHeight="1" x14ac:dyDescent="0.2">
      <c r="A83" s="38" t="s">
        <v>72</v>
      </c>
      <c r="B83" s="668">
        <v>90</v>
      </c>
      <c r="C83" s="669"/>
      <c r="D83" s="694"/>
      <c r="E83" s="694"/>
    </row>
    <row r="84" spans="1:11" ht="12" customHeight="1" x14ac:dyDescent="0.2">
      <c r="A84" s="38" t="s">
        <v>568</v>
      </c>
      <c r="B84" s="668">
        <v>20</v>
      </c>
      <c r="C84" s="669"/>
      <c r="D84" s="694"/>
      <c r="E84" s="694"/>
    </row>
    <row r="85" spans="1:11" ht="12" customHeight="1" x14ac:dyDescent="0.2">
      <c r="A85" s="38" t="s">
        <v>73</v>
      </c>
      <c r="B85" s="668">
        <v>30</v>
      </c>
      <c r="C85" s="669"/>
      <c r="D85" s="694"/>
      <c r="E85" s="694"/>
    </row>
    <row r="86" spans="1:11" ht="12" customHeight="1" thickBot="1" x14ac:dyDescent="0.25">
      <c r="A86" s="38" t="s">
        <v>74</v>
      </c>
      <c r="B86" s="695"/>
      <c r="C86" s="696"/>
      <c r="D86" s="697"/>
      <c r="E86" s="631"/>
    </row>
    <row r="87" spans="1:11" ht="12" customHeight="1" thickBot="1" x14ac:dyDescent="0.25">
      <c r="D87" s="698">
        <f>+SUM(B69:C86)</f>
        <v>940</v>
      </c>
      <c r="E87" s="699"/>
      <c r="G87" s="702" t="s">
        <v>75</v>
      </c>
      <c r="H87" s="726"/>
      <c r="I87" s="726"/>
      <c r="J87" s="727"/>
    </row>
    <row r="88" spans="1:11" ht="12" customHeight="1" thickBot="1" x14ac:dyDescent="0.25">
      <c r="G88" s="728"/>
      <c r="H88" s="729"/>
      <c r="I88" s="729"/>
      <c r="J88" s="730"/>
    </row>
    <row r="89" spans="1:11" ht="12" customHeight="1" thickTop="1" thickBot="1" x14ac:dyDescent="0.25">
      <c r="A89" s="133" t="s">
        <v>76</v>
      </c>
      <c r="B89" s="131"/>
      <c r="C89" s="131"/>
      <c r="D89" s="131"/>
      <c r="E89" s="131"/>
    </row>
    <row r="90" spans="1:11" ht="12" customHeight="1" x14ac:dyDescent="0.2">
      <c r="A90" s="38" t="s">
        <v>60</v>
      </c>
      <c r="B90" s="692"/>
      <c r="C90" s="693"/>
      <c r="D90" s="694"/>
      <c r="E90" s="694"/>
    </row>
    <row r="91" spans="1:11" ht="12" customHeight="1" x14ac:dyDescent="0.2">
      <c r="A91" s="38" t="s">
        <v>62</v>
      </c>
      <c r="B91" s="668">
        <v>250</v>
      </c>
      <c r="C91" s="669"/>
      <c r="D91" s="694"/>
      <c r="E91" s="694"/>
    </row>
    <row r="92" spans="1:11" ht="12" customHeight="1" x14ac:dyDescent="0.2">
      <c r="A92" s="38" t="s">
        <v>77</v>
      </c>
      <c r="B92" s="668">
        <v>0</v>
      </c>
      <c r="C92" s="669"/>
      <c r="D92" s="694"/>
      <c r="E92" s="694"/>
    </row>
    <row r="93" spans="1:11" ht="12" customHeight="1" x14ac:dyDescent="0.2">
      <c r="A93" s="38" t="s">
        <v>78</v>
      </c>
      <c r="B93" s="668"/>
      <c r="C93" s="669"/>
      <c r="D93" s="694"/>
      <c r="E93" s="694"/>
    </row>
    <row r="94" spans="1:11" ht="12" customHeight="1" x14ac:dyDescent="0.2">
      <c r="A94" s="38" t="s">
        <v>72</v>
      </c>
      <c r="B94" s="668"/>
      <c r="C94" s="669"/>
      <c r="D94" s="694"/>
      <c r="E94" s="694"/>
    </row>
    <row r="95" spans="1:11" ht="12" customHeight="1" x14ac:dyDescent="0.2">
      <c r="A95" s="38" t="s">
        <v>79</v>
      </c>
      <c r="B95" s="668">
        <v>40</v>
      </c>
      <c r="C95" s="669"/>
      <c r="D95" s="694"/>
      <c r="E95" s="694"/>
    </row>
    <row r="96" spans="1:11" ht="12" customHeight="1" x14ac:dyDescent="0.2">
      <c r="A96" s="38" t="s">
        <v>80</v>
      </c>
      <c r="B96" s="668"/>
      <c r="C96" s="669"/>
      <c r="D96" s="694"/>
      <c r="E96" s="694"/>
    </row>
    <row r="97" spans="1:10" ht="12" customHeight="1" thickBot="1" x14ac:dyDescent="0.25">
      <c r="A97" s="38" t="s">
        <v>74</v>
      </c>
      <c r="B97" s="700"/>
      <c r="C97" s="701"/>
      <c r="D97" s="697"/>
      <c r="E97" s="631"/>
    </row>
    <row r="98" spans="1:10" ht="12" customHeight="1" thickTop="1" thickBot="1" x14ac:dyDescent="0.25">
      <c r="D98" s="698">
        <f>+SUM(B90:C97)</f>
        <v>290</v>
      </c>
      <c r="E98" s="699"/>
      <c r="G98" s="702" t="s">
        <v>81</v>
      </c>
      <c r="H98" s="726"/>
      <c r="I98" s="726"/>
      <c r="J98" s="727"/>
    </row>
    <row r="99" spans="1:10" ht="12" customHeight="1" thickBot="1" x14ac:dyDescent="0.25">
      <c r="G99" s="728"/>
      <c r="H99" s="729"/>
      <c r="I99" s="729"/>
      <c r="J99" s="730"/>
    </row>
    <row r="100" spans="1:10" ht="12" customHeight="1" x14ac:dyDescent="0.2"/>
    <row r="101" spans="1:10" ht="12" customHeight="1" x14ac:dyDescent="0.2"/>
    <row r="102" spans="1:10" ht="12" customHeight="1" x14ac:dyDescent="0.2"/>
    <row r="103" spans="1:10" ht="12" customHeight="1" x14ac:dyDescent="0.2"/>
    <row r="104" spans="1:10" ht="12" customHeight="1" x14ac:dyDescent="0.2"/>
    <row r="105" spans="1:10" ht="12" customHeight="1" x14ac:dyDescent="0.2"/>
    <row r="106" spans="1:10" ht="12" customHeight="1" x14ac:dyDescent="0.2"/>
    <row r="107" spans="1:10" ht="12" customHeight="1" x14ac:dyDescent="0.2"/>
    <row r="108" spans="1:10" ht="12" customHeight="1" x14ac:dyDescent="0.2"/>
    <row r="109" spans="1:10" ht="12" customHeight="1" x14ac:dyDescent="0.2"/>
    <row r="110" spans="1:10" ht="12" customHeight="1" x14ac:dyDescent="0.2"/>
    <row r="111" spans="1:10" ht="12" customHeight="1" x14ac:dyDescent="0.2"/>
    <row r="112" spans="1:10"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sheetData>
  <mergeCells count="123">
    <mergeCell ref="G98:J99"/>
    <mergeCell ref="G67:J68"/>
    <mergeCell ref="J56:J57"/>
    <mergeCell ref="F58:G58"/>
    <mergeCell ref="K73:K75"/>
    <mergeCell ref="G74:G75"/>
    <mergeCell ref="H74:H75"/>
    <mergeCell ref="I74:I75"/>
    <mergeCell ref="J74:J75"/>
    <mergeCell ref="G87:J88"/>
    <mergeCell ref="H62:I62"/>
    <mergeCell ref="H60:I60"/>
    <mergeCell ref="G65:J66"/>
    <mergeCell ref="K56:K57"/>
    <mergeCell ref="E56:F56"/>
    <mergeCell ref="E57:G57"/>
    <mergeCell ref="H61:I61"/>
    <mergeCell ref="D98:E98"/>
    <mergeCell ref="D83:E83"/>
    <mergeCell ref="D92:E92"/>
    <mergeCell ref="E81:F81"/>
    <mergeCell ref="H71:I71"/>
    <mergeCell ref="F72:G72"/>
    <mergeCell ref="H72:I72"/>
    <mergeCell ref="B94:C94"/>
    <mergeCell ref="D94:E94"/>
    <mergeCell ref="B95:C95"/>
    <mergeCell ref="D95:E95"/>
    <mergeCell ref="B93:C93"/>
    <mergeCell ref="D93:E93"/>
    <mergeCell ref="K2:K3"/>
    <mergeCell ref="F10:G10"/>
    <mergeCell ref="F55:G55"/>
    <mergeCell ref="K9:K10"/>
    <mergeCell ref="J22:K22"/>
    <mergeCell ref="F11:I11"/>
    <mergeCell ref="E2:F2"/>
    <mergeCell ref="B2:D2"/>
    <mergeCell ref="B75:C75"/>
    <mergeCell ref="B92:C92"/>
    <mergeCell ref="B73:C73"/>
    <mergeCell ref="F71:G71"/>
    <mergeCell ref="B69:C69"/>
    <mergeCell ref="D65:E65"/>
    <mergeCell ref="D64:E64"/>
    <mergeCell ref="B64:C64"/>
    <mergeCell ref="B66:C66"/>
    <mergeCell ref="B81:C81"/>
    <mergeCell ref="B97:C97"/>
    <mergeCell ref="D97:E97"/>
    <mergeCell ref="J51:K52"/>
    <mergeCell ref="J49:J50"/>
    <mergeCell ref="B70:C70"/>
    <mergeCell ref="D69:E69"/>
    <mergeCell ref="D67:E67"/>
    <mergeCell ref="D66:E66"/>
    <mergeCell ref="B80:C80"/>
    <mergeCell ref="B72:C72"/>
    <mergeCell ref="E75:F75"/>
    <mergeCell ref="E76:F76"/>
    <mergeCell ref="E77:F77"/>
    <mergeCell ref="E78:F78"/>
    <mergeCell ref="E79:F79"/>
    <mergeCell ref="E80:F80"/>
    <mergeCell ref="D70:E70"/>
    <mergeCell ref="B76:C76"/>
    <mergeCell ref="B77:C77"/>
    <mergeCell ref="B78:C78"/>
    <mergeCell ref="B79:C79"/>
    <mergeCell ref="B74:C74"/>
    <mergeCell ref="B96:C96"/>
    <mergeCell ref="D96:E96"/>
    <mergeCell ref="B90:C90"/>
    <mergeCell ref="D90:E90"/>
    <mergeCell ref="B91:C91"/>
    <mergeCell ref="D91:E91"/>
    <mergeCell ref="B86:C86"/>
    <mergeCell ref="D86:E86"/>
    <mergeCell ref="B82:C82"/>
    <mergeCell ref="B83:C83"/>
    <mergeCell ref="B85:C85"/>
    <mergeCell ref="D87:E87"/>
    <mergeCell ref="D85:E85"/>
    <mergeCell ref="B84:C84"/>
    <mergeCell ref="D84:E84"/>
    <mergeCell ref="B71:C71"/>
    <mergeCell ref="B54:C54"/>
    <mergeCell ref="B53:C53"/>
    <mergeCell ref="B52:C52"/>
    <mergeCell ref="B51:C51"/>
    <mergeCell ref="J23:K23"/>
    <mergeCell ref="B60:C60"/>
    <mergeCell ref="D60:E60"/>
    <mergeCell ref="B59:C59"/>
    <mergeCell ref="B55:D55"/>
    <mergeCell ref="K49:K50"/>
    <mergeCell ref="B42:C42"/>
    <mergeCell ref="J41:J42"/>
    <mergeCell ref="K41:K42"/>
    <mergeCell ref="J44:J45"/>
    <mergeCell ref="K44:K45"/>
    <mergeCell ref="K7:K8"/>
    <mergeCell ref="J29:K30"/>
    <mergeCell ref="J14:K17"/>
    <mergeCell ref="J7:J8"/>
    <mergeCell ref="J9:J10"/>
    <mergeCell ref="C10:D10"/>
    <mergeCell ref="K47:K48"/>
    <mergeCell ref="J47:J48"/>
    <mergeCell ref="J31:K34"/>
    <mergeCell ref="H10:I10"/>
    <mergeCell ref="H14:I14"/>
    <mergeCell ref="B24:C24"/>
    <mergeCell ref="F1:H1"/>
    <mergeCell ref="B21:C21"/>
    <mergeCell ref="B9:C9"/>
    <mergeCell ref="B27:C27"/>
    <mergeCell ref="J2:J3"/>
    <mergeCell ref="H2:I3"/>
    <mergeCell ref="D3:E3"/>
    <mergeCell ref="F3:G3"/>
    <mergeCell ref="B4:C4"/>
    <mergeCell ref="B6:C6"/>
  </mergeCells>
  <conditionalFormatting sqref="F19">
    <cfRule type="expression" dxfId="86" priority="30">
      <formula>IF(B1="flip",-C19,0)</formula>
    </cfRule>
  </conditionalFormatting>
  <conditionalFormatting sqref="I9">
    <cfRule type="expression" dxfId="85" priority="28">
      <formula>IF(OR(C1="Hold",D1="Slow Flip"),+B9,"")</formula>
    </cfRule>
  </conditionalFormatting>
  <conditionalFormatting sqref="B59">
    <cfRule type="expression" dxfId="84" priority="25">
      <formula>IF(OR(C1="Hold",D1="slow flip"),0.15,0)</formula>
    </cfRule>
  </conditionalFormatting>
  <conditionalFormatting sqref="I57">
    <cfRule type="expression" dxfId="83" priority="23">
      <formula>+H57*H54</formula>
    </cfRule>
  </conditionalFormatting>
  <conditionalFormatting sqref="F15">
    <cfRule type="expression" dxfId="82" priority="19">
      <formula>IF(R3=3,-C15,0)</formula>
    </cfRule>
  </conditionalFormatting>
  <conditionalFormatting sqref="F49">
    <cfRule type="expression" dxfId="81" priority="15">
      <formula>OR(R3=1,R3=2)</formula>
    </cfRule>
  </conditionalFormatting>
  <conditionalFormatting sqref="F48">
    <cfRule type="expression" dxfId="80" priority="14">
      <formula>OR(R3=1,R3=2)</formula>
    </cfRule>
  </conditionalFormatting>
  <conditionalFormatting sqref="G6">
    <cfRule type="expression" dxfId="79" priority="12">
      <formula>IF(OR(R3=1,R3=2),$B$6,0)</formula>
    </cfRule>
  </conditionalFormatting>
  <conditionalFormatting sqref="G8">
    <cfRule type="expression" dxfId="78" priority="67">
      <formula>R3=2</formula>
    </cfRule>
  </conditionalFormatting>
  <conditionalFormatting sqref="C22">
    <cfRule type="expression" dxfId="77" priority="97">
      <formula>IF(C1="Hold",+B4*B22,0)</formula>
    </cfRule>
  </conditionalFormatting>
  <conditionalFormatting sqref="F22">
    <cfRule type="expression" dxfId="76" priority="98">
      <formula>IF(OR(C1="hold",D1="slow flip"),-C22,"")</formula>
    </cfRule>
  </conditionalFormatting>
  <conditionalFormatting sqref="H22">
    <cfRule type="expression" dxfId="75" priority="99">
      <formula>IF(OR(C1="hold",C4="slow flip"),IPMT(B23/12,1,C23*12,C22),PMT(B23/12,12*C23,C22))</formula>
    </cfRule>
  </conditionalFormatting>
  <conditionalFormatting sqref="E22">
    <cfRule type="expression" dxfId="74" priority="101">
      <formula>IF(C1="hold",C22-C15-C19-C28-B45,0)</formula>
    </cfRule>
  </conditionalFormatting>
  <conditionalFormatting sqref="H57">
    <cfRule type="expression" dxfId="73" priority="102">
      <formula>IF(OR(C1="Hold",D1="slow Flip"),C50,0)</formula>
    </cfRule>
  </conditionalFormatting>
  <conditionalFormatting sqref="K60">
    <cfRule type="expression" dxfId="72" priority="103">
      <formula>IF(C1="Hold",-$B$59*K58,0)</formula>
    </cfRule>
  </conditionalFormatting>
  <conditionalFormatting sqref="E7">
    <cfRule type="expression" dxfId="71" priority="10">
      <formula>$R$3=3</formula>
    </cfRule>
  </conditionalFormatting>
  <conditionalFormatting sqref="A9">
    <cfRule type="expression" dxfId="70" priority="7">
      <formula>"(R3=3)"</formula>
    </cfRule>
  </conditionalFormatting>
  <conditionalFormatting sqref="F17:F18">
    <cfRule type="expression" dxfId="69" priority="5">
      <formula>IF(R5=3,-C17,0)</formula>
    </cfRule>
  </conditionalFormatting>
  <conditionalFormatting sqref="C7">
    <cfRule type="expression" dxfId="68" priority="132">
      <formula>IF(C1048567="Hold",+B1048570*B7,0)</formula>
    </cfRule>
  </conditionalFormatting>
  <conditionalFormatting sqref="D43:D47">
    <cfRule type="expression" dxfId="67" priority="136">
      <formula>IF(OR(R5=1,R5=2),-B43,0)</formula>
    </cfRule>
  </conditionalFormatting>
  <conditionalFormatting sqref="D37">
    <cfRule type="expression" dxfId="66" priority="1">
      <formula>IF(OR(R3=1,R3=2),-B37,0)</formula>
    </cfRule>
  </conditionalFormatting>
  <conditionalFormatting sqref="D38:D42">
    <cfRule type="expression" dxfId="65" priority="2">
      <formula>IF(OR(R5=1,R5=2),-B38,0)</formula>
    </cfRule>
  </conditionalFormatting>
  <pageMargins left="0.25" right="0.25" top="0.75" bottom="0.75" header="0.3" footer="0.3"/>
  <pageSetup orientation="portrait" r:id="rId1"/>
  <rowBreaks count="1" manualBreakCount="1">
    <brk id="62"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10</xdr:col>
                    <xdr:colOff>200025</xdr:colOff>
                    <xdr:row>21</xdr:row>
                    <xdr:rowOff>123825</xdr:rowOff>
                  </from>
                  <to>
                    <xdr:col>10</xdr:col>
                    <xdr:colOff>485775</xdr:colOff>
                    <xdr:row>23</xdr:row>
                    <xdr:rowOff>38100</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238125</xdr:colOff>
                    <xdr:row>0</xdr:row>
                    <xdr:rowOff>47625</xdr:rowOff>
                  </from>
                  <to>
                    <xdr:col>2</xdr:col>
                    <xdr:colOff>19050</xdr:colOff>
                    <xdr:row>0</xdr:row>
                    <xdr:rowOff>238125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352425</xdr:colOff>
                    <xdr:row>0</xdr:row>
                    <xdr:rowOff>47625</xdr:rowOff>
                  </from>
                  <to>
                    <xdr:col>2</xdr:col>
                    <xdr:colOff>619125</xdr:colOff>
                    <xdr:row>0</xdr:row>
                    <xdr:rowOff>257175</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495300</xdr:colOff>
                    <xdr:row>0</xdr:row>
                    <xdr:rowOff>28575</xdr:rowOff>
                  </from>
                  <to>
                    <xdr:col>4</xdr:col>
                    <xdr:colOff>85725</xdr:colOff>
                    <xdr:row>0</xdr:row>
                    <xdr:rowOff>247650</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10</xdr:col>
                    <xdr:colOff>200025</xdr:colOff>
                    <xdr:row>20</xdr:row>
                    <xdr:rowOff>114300</xdr:rowOff>
                  </from>
                  <to>
                    <xdr:col>10</xdr:col>
                    <xdr:colOff>457200</xdr:colOff>
                    <xdr:row>22</xdr:row>
                    <xdr:rowOff>38100</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13</xdr:col>
                    <xdr:colOff>95250</xdr:colOff>
                    <xdr:row>0</xdr:row>
                    <xdr:rowOff>266700</xdr:rowOff>
                  </from>
                  <to>
                    <xdr:col>13</xdr:col>
                    <xdr:colOff>381000</xdr:colOff>
                    <xdr:row>2</xdr:row>
                    <xdr:rowOff>9525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110" id="{0668A8FE-703E-4859-8056-2B7D54A562BA}">
            <xm:f>IF(S3=3,+Amortization!#REF!,0)</xm:f>
            <x14:dxf>
              <fill>
                <patternFill>
                  <bgColor theme="9" tint="0.39994506668294322"/>
                </patternFill>
              </fill>
            </x14:dxf>
          </x14:cfRule>
          <xm:sqref>G11</xm:sqref>
        </x14:conditionalFormatting>
        <x14:conditionalFormatting xmlns:xm="http://schemas.microsoft.com/office/excel/2006/main">
          <x14:cfRule type="expression" priority="112" id="{0668A8FE-703E-4859-8056-2B7D54A562BA}">
            <xm:f>IF(T3=3,+Amortization!#REF!,0)</xm:f>
            <x14:dxf>
              <fill>
                <patternFill>
                  <bgColor theme="9" tint="0.39994506668294322"/>
                </patternFill>
              </fill>
            </x14:dxf>
          </x14:cfRule>
          <xm:sqref>H11</xm:sqref>
        </x14:conditionalFormatting>
        <x14:conditionalFormatting xmlns:xm="http://schemas.microsoft.com/office/excel/2006/main">
          <x14:cfRule type="expression" priority="129" id="{4E27812F-AD97-4DF7-83ED-9E5E91B15EE4}">
            <xm:f>IF(R3=3,+Amortization!AI10,0)</xm:f>
            <x14:dxf>
              <fill>
                <patternFill>
                  <bgColor theme="9" tint="0.39994506668294322"/>
                </patternFill>
              </fill>
            </x14:dxf>
          </x14:cfRule>
          <xm:sqref>G13</xm:sqref>
        </x14:conditionalFormatting>
        <x14:conditionalFormatting xmlns:xm="http://schemas.microsoft.com/office/excel/2006/main">
          <x14:cfRule type="expression" priority="130" id="{0668A8FE-703E-4859-8056-2B7D54A562BA}">
            <xm:f>IF(R3=3,+Amortization!AI10,0)</xm:f>
            <x14:dxf>
              <fill>
                <patternFill>
                  <bgColor theme="9" tint="0.39994506668294322"/>
                </patternFill>
              </fill>
            </x14:dxf>
          </x14:cfRule>
          <xm:sqref>F11</xm:sqref>
        </x14:conditionalFormatting>
        <x14:conditionalFormatting xmlns:xm="http://schemas.microsoft.com/office/excel/2006/main">
          <x14:cfRule type="expression" priority="131" id="{0668A8FE-703E-4859-8056-2B7D54A562BA}">
            <xm:f>IF(U3=3,+Amortization!AP9,0)</xm:f>
            <x14:dxf>
              <fill>
                <patternFill>
                  <bgColor theme="9" tint="0.39994506668294322"/>
                </patternFill>
              </fill>
            </x14:dxf>
          </x14:cfRule>
          <xm:sqref>I11</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3E26EB-1A81-4C77-B1EF-E14D796BA494}">
  <sheetPr codeName="Sheet2">
    <pageSetUpPr fitToPage="1"/>
  </sheetPr>
  <dimension ref="A1:AY782"/>
  <sheetViews>
    <sheetView workbookViewId="0">
      <pane ySplit="14" topLeftCell="A15" activePane="bottomLeft" state="frozen"/>
      <selection pane="bottomLeft" activeCell="P5" sqref="P5"/>
    </sheetView>
  </sheetViews>
  <sheetFormatPr defaultRowHeight="15" x14ac:dyDescent="0.25"/>
  <cols>
    <col min="1" max="1" width="7.42578125" style="503" bestFit="1" customWidth="1"/>
    <col min="2" max="2" width="10.28515625" style="285" customWidth="1"/>
    <col min="3" max="3" width="8.85546875" style="14" bestFit="1" customWidth="1"/>
    <col min="4" max="7" width="6.5703125" style="14" bestFit="1" customWidth="1"/>
    <col min="8" max="8" width="8.140625" style="14" bestFit="1" customWidth="1"/>
    <col min="9" max="10" width="11.140625" style="285" customWidth="1"/>
    <col min="11" max="11" width="7.85546875" style="285" bestFit="1" customWidth="1"/>
    <col min="12" max="12" width="5" style="22" bestFit="1" customWidth="1"/>
    <col min="13" max="13" width="8.7109375" style="22" customWidth="1"/>
    <col min="14" max="14" width="10.28515625" style="285" customWidth="1"/>
    <col min="15" max="15" width="8.85546875" style="14" bestFit="1" customWidth="1"/>
    <col min="16" max="16" width="8.7109375" style="14" customWidth="1"/>
    <col min="17" max="17" width="8.5703125" style="14" customWidth="1"/>
    <col min="18" max="18" width="10" style="14" customWidth="1"/>
    <col min="19" max="19" width="8.28515625" style="14" customWidth="1"/>
    <col min="20" max="20" width="8.85546875" style="14" bestFit="1" customWidth="1"/>
    <col min="21" max="21" width="8.42578125" style="285" customWidth="1"/>
    <col min="22" max="22" width="7.28515625" style="285" customWidth="1"/>
    <col min="23" max="23" width="7.85546875" style="285" bestFit="1" customWidth="1"/>
    <col min="24" max="24" width="8.28515625" style="503" bestFit="1" customWidth="1"/>
    <col min="25" max="25" width="9.140625" style="285" customWidth="1"/>
    <col min="26" max="26" width="7.5703125" style="494" customWidth="1"/>
    <col min="27" max="27" width="8.85546875" style="14" bestFit="1" customWidth="1"/>
    <col min="28" max="28" width="8.7109375" style="14" customWidth="1"/>
    <col min="29" max="29" width="8.5703125" style="14" customWidth="1"/>
    <col min="30" max="30" width="8.140625" style="14" customWidth="1"/>
    <col min="31" max="31" width="8.28515625" style="14" customWidth="1"/>
    <col min="32" max="32" width="8.85546875" style="14" bestFit="1" customWidth="1"/>
    <col min="33" max="34" width="7.5703125" style="285" bestFit="1" customWidth="1"/>
    <col min="35" max="36" width="9.28515625" style="285" bestFit="1" customWidth="1"/>
    <col min="37" max="37" width="8.28515625" style="285" bestFit="1" customWidth="1"/>
    <col min="38" max="38" width="7.85546875" style="285" bestFit="1" customWidth="1"/>
    <col min="39" max="39" width="6.140625" style="22" bestFit="1" customWidth="1"/>
    <col min="40" max="43" width="10.5703125" style="14" customWidth="1"/>
    <col min="44" max="44" width="9" bestFit="1" customWidth="1"/>
    <col min="45" max="45" width="10.140625" style="14" bestFit="1" customWidth="1"/>
    <col min="46" max="46" width="11.42578125" style="14" customWidth="1"/>
    <col min="47" max="47" width="11.7109375" style="285" bestFit="1" customWidth="1"/>
    <col min="48" max="48" width="8.28515625" style="285" bestFit="1" customWidth="1"/>
    <col min="49" max="49" width="11.85546875" style="14" bestFit="1" customWidth="1"/>
    <col min="50" max="50" width="12.42578125" customWidth="1"/>
    <col min="52" max="52" width="12.7109375" customWidth="1"/>
  </cols>
  <sheetData>
    <row r="1" spans="1:51" ht="15.75" thickBot="1" x14ac:dyDescent="0.3">
      <c r="B1" s="342" t="s">
        <v>601</v>
      </c>
      <c r="N1" s="342"/>
      <c r="O1" s="497" t="s">
        <v>658</v>
      </c>
      <c r="P1" s="13">
        <v>2.5000000000000001E-2</v>
      </c>
      <c r="Q1" s="13">
        <v>3.5000000000000003E-2</v>
      </c>
      <c r="R1" s="13">
        <v>3.2500000000000001E-2</v>
      </c>
      <c r="S1" s="13"/>
      <c r="T1" s="13"/>
      <c r="Y1" s="342"/>
      <c r="Z1" s="493"/>
      <c r="AA1" s="497"/>
      <c r="AB1" s="13"/>
      <c r="AC1" s="13"/>
      <c r="AD1" s="13"/>
      <c r="AE1" s="13"/>
      <c r="AF1" s="13"/>
      <c r="AJ1" s="506"/>
      <c r="AK1" s="13"/>
      <c r="AP1"/>
      <c r="AQ1"/>
      <c r="AR1" s="347" t="s">
        <v>610</v>
      </c>
      <c r="AS1" s="347" t="s">
        <v>611</v>
      </c>
      <c r="AT1" s="347" t="s">
        <v>612</v>
      </c>
      <c r="AU1" s="506" t="s">
        <v>613</v>
      </c>
      <c r="AV1" s="14"/>
      <c r="AW1"/>
      <c r="AX1" s="285"/>
      <c r="AY1" s="14"/>
    </row>
    <row r="2" spans="1:51" ht="15.75" thickBot="1" x14ac:dyDescent="0.3">
      <c r="B2" s="343" t="s">
        <v>597</v>
      </c>
      <c r="C2" s="510">
        <f>+Profit!C15</f>
        <v>97228</v>
      </c>
      <c r="N2" s="30" t="s">
        <v>606</v>
      </c>
      <c r="O2" s="498">
        <f>IF($AW$2=1,P2,IF($AW$2=2,Q2,IF($AW$2=3,R2)))</f>
        <v>0.1</v>
      </c>
      <c r="P2" s="499">
        <v>0.1</v>
      </c>
      <c r="Q2" s="499">
        <v>0.15</v>
      </c>
      <c r="R2" s="499">
        <v>0.2</v>
      </c>
      <c r="Y2" s="339"/>
      <c r="Z2" s="30" t="s">
        <v>606</v>
      </c>
      <c r="AA2" s="498">
        <f>IF($AW$2=1,AB2,IF($AW$2=2,AC2,IF($AW$2=3,AD2)))</f>
        <v>0.1</v>
      </c>
      <c r="AB2" s="499">
        <v>0.1</v>
      </c>
      <c r="AC2" s="499">
        <v>0.15</v>
      </c>
      <c r="AD2" s="499">
        <v>0.2</v>
      </c>
      <c r="AJ2" s="14"/>
      <c r="AK2" s="14"/>
      <c r="AP2" s="30" t="s">
        <v>604</v>
      </c>
      <c r="AQ2" s="340">
        <v>0.03</v>
      </c>
      <c r="AS2" s="285"/>
      <c r="AT2" s="285"/>
      <c r="AU2" s="14"/>
      <c r="AV2" s="14"/>
      <c r="AW2">
        <v>1</v>
      </c>
      <c r="AX2" s="285"/>
    </row>
    <row r="3" spans="1:51" ht="15.75" thickBot="1" x14ac:dyDescent="0.3">
      <c r="B3" s="343" t="s">
        <v>596</v>
      </c>
      <c r="C3" s="478">
        <f>+Profit!B15</f>
        <v>3.7499999999999999E-2</v>
      </c>
      <c r="N3" s="483"/>
      <c r="O3" s="411">
        <f>IF($AW$2=1,P3,IF($AW$2=2,Q3,IF($AW$2=3,R3)))</f>
        <v>290640</v>
      </c>
      <c r="P3" s="412">
        <f>+Profit!$B$4*(1+$M$4)</f>
        <v>290640</v>
      </c>
      <c r="Q3" s="413">
        <f>+P3</f>
        <v>290640</v>
      </c>
      <c r="R3" s="414">
        <f>+Q3</f>
        <v>290640</v>
      </c>
      <c r="Y3" s="769" t="s">
        <v>605</v>
      </c>
      <c r="Z3" s="770"/>
      <c r="AA3" s="411">
        <f>IF($AW$2=1,AB3,IF($AW$2=2,AC3,IF($AW$2=3,AD3)))</f>
        <v>360257.4</v>
      </c>
      <c r="AB3" s="412">
        <f>+O3+X5</f>
        <v>360257.4</v>
      </c>
      <c r="AC3" s="413">
        <f>+AB3</f>
        <v>360257.4</v>
      </c>
      <c r="AD3" s="414">
        <f>+AC3</f>
        <v>360257.4</v>
      </c>
      <c r="AJ3" s="14"/>
      <c r="AK3" s="14"/>
      <c r="AP3" s="30" t="s">
        <v>607</v>
      </c>
      <c r="AQ3"/>
      <c r="AR3" s="285">
        <f>_xlfn.XLOOKUP(5,$L:$L,$AT:$AT)</f>
        <v>70297.13</v>
      </c>
      <c r="AS3" s="285">
        <f>_xlfn.XLOOKUP(10,$L:$L,$AT:$AT)</f>
        <v>139914.52999999974</v>
      </c>
      <c r="AT3" s="285">
        <f>_xlfn.XLOOKUP(20,$L:$L,$AT:$AT)</f>
        <v>279149.33000000031</v>
      </c>
      <c r="AU3" s="14">
        <f>_xlfn.XLOOKUP(29,$L:$L,$AT:$AT)</f>
        <v>419319.88999999897</v>
      </c>
      <c r="AV3" s="14"/>
      <c r="AW3"/>
      <c r="AX3" s="285"/>
      <c r="AY3" s="14"/>
    </row>
    <row r="4" spans="1:51" ht="15.75" thickBot="1" x14ac:dyDescent="0.3">
      <c r="B4" s="343" t="s">
        <v>598</v>
      </c>
      <c r="C4" s="509">
        <v>30</v>
      </c>
      <c r="D4" s="14">
        <f>+C4*12</f>
        <v>360</v>
      </c>
      <c r="L4" s="2" t="s">
        <v>660</v>
      </c>
      <c r="M4" s="477">
        <v>0.05</v>
      </c>
      <c r="N4" s="483"/>
      <c r="O4" s="411">
        <f>IF($AW$2=1,P4,IF($AW$2=2,Q4,IF($AW$2=3,R4)))</f>
        <v>29064</v>
      </c>
      <c r="P4" s="412">
        <f t="shared" ref="P4:R4" si="0">+$O$3*P2</f>
        <v>29064</v>
      </c>
      <c r="Q4" s="413">
        <f t="shared" si="0"/>
        <v>43596</v>
      </c>
      <c r="R4" s="414">
        <f t="shared" si="0"/>
        <v>58128</v>
      </c>
      <c r="W4" s="482" t="s">
        <v>724</v>
      </c>
      <c r="Y4" s="769" t="s">
        <v>606</v>
      </c>
      <c r="Z4" s="770"/>
      <c r="AA4" s="411">
        <f>IF($AW$2=1,AB4,IF($AW$2=2,AC4,IF($AW$2=3,AD4)))</f>
        <v>29064</v>
      </c>
      <c r="AB4" s="412">
        <f t="shared" ref="AB4:AD4" si="1">+$O$3*AB2</f>
        <v>29064</v>
      </c>
      <c r="AC4" s="413">
        <f t="shared" si="1"/>
        <v>43596</v>
      </c>
      <c r="AD4" s="414">
        <f t="shared" si="1"/>
        <v>58128</v>
      </c>
      <c r="AJ4" s="14"/>
      <c r="AK4" s="14"/>
      <c r="AP4" s="30" t="s">
        <v>625</v>
      </c>
      <c r="AQ4"/>
      <c r="AR4" s="285">
        <f>_xlfn.XLOOKUP(5,$L:$L,$AW:$AW)</f>
        <v>0</v>
      </c>
      <c r="AS4" s="285">
        <f>_xlfn.XLOOKUP(10,$L:$L,$AW:$AW)</f>
        <v>0</v>
      </c>
      <c r="AT4" s="285">
        <f>_xlfn.XLOOKUP(20,$L:$L,$AW:$AW)</f>
        <v>0</v>
      </c>
      <c r="AU4" s="14">
        <f>_xlfn.XLOOKUP(29,$L:$L,$AW:$AW)</f>
        <v>0</v>
      </c>
      <c r="AV4" s="14"/>
      <c r="AW4"/>
      <c r="AX4" s="285"/>
      <c r="AY4" s="14"/>
    </row>
    <row r="5" spans="1:51" ht="15.75" thickBot="1" x14ac:dyDescent="0.3">
      <c r="B5" s="343" t="s">
        <v>595</v>
      </c>
      <c r="C5" s="14">
        <f>ROUND(PMT($C$3/12,$D$4,-$C$2,0), 2)</f>
        <v>450.28</v>
      </c>
      <c r="N5" s="483"/>
      <c r="O5" s="411">
        <f>IF($AW$2=1,P5,IF($AW$2=2,Q5,IF($AW$2=3,R5)))</f>
        <v>261576</v>
      </c>
      <c r="P5" s="412">
        <f t="shared" ref="P5:R5" si="2">+P3-P4</f>
        <v>261576</v>
      </c>
      <c r="Q5" s="413">
        <f t="shared" si="2"/>
        <v>247044</v>
      </c>
      <c r="R5" s="414">
        <f t="shared" si="2"/>
        <v>232512</v>
      </c>
      <c r="W5" s="2" t="s">
        <v>685</v>
      </c>
      <c r="X5" s="412">
        <f>+AI8</f>
        <v>69617.399999999994</v>
      </c>
      <c r="Y5" s="775" t="s">
        <v>597</v>
      </c>
      <c r="Z5" s="776"/>
      <c r="AA5" s="411">
        <f>IF($AW$2=1,AB5,IF($AW$2=2,AC5,IF($AW$2=3,AD5)))</f>
        <v>331193.40000000002</v>
      </c>
      <c r="AB5" s="412">
        <f t="shared" ref="AB5:AD5" si="3">+AB3-AB4</f>
        <v>331193.40000000002</v>
      </c>
      <c r="AC5" s="413">
        <f t="shared" si="3"/>
        <v>316661.40000000002</v>
      </c>
      <c r="AD5" s="414">
        <f t="shared" si="3"/>
        <v>302129.40000000002</v>
      </c>
      <c r="AJ5" s="21"/>
      <c r="AK5" s="14"/>
      <c r="AP5" s="30" t="s">
        <v>608</v>
      </c>
      <c r="AQ5"/>
      <c r="AR5" s="345">
        <f>_xlfn.XLOOKUP(5,$L:$L,$AV:$AV)</f>
        <v>78407.570065820924</v>
      </c>
      <c r="AS5" s="345">
        <f>_xlfn.XLOOKUP(10,$L:$L,$AV:$AV)</f>
        <v>133354.62044153098</v>
      </c>
      <c r="AT5" s="345">
        <f>_xlfn.XLOOKUP(20,$L:$L,$AV:$AV)</f>
        <v>271325.0335870565</v>
      </c>
      <c r="AU5" s="21">
        <f>_xlfn.XLOOKUP(29,$L:$L,$AV:$AV)</f>
        <v>436270.23883955862</v>
      </c>
      <c r="AV5" s="14"/>
      <c r="AW5"/>
      <c r="AX5" s="285"/>
      <c r="AY5" s="14"/>
    </row>
    <row r="6" spans="1:51" ht="15.75" thickBot="1" x14ac:dyDescent="0.3">
      <c r="N6" s="483"/>
      <c r="O6" s="478">
        <f>IF($AW$2=1,P6,IF($AW$2=2,Q6,IF($AW$2=3,R6)))</f>
        <v>6.25E-2</v>
      </c>
      <c r="P6" s="340">
        <f>+$C$3+P1</f>
        <v>6.25E-2</v>
      </c>
      <c r="Q6" s="465">
        <f>+$C$3+Q1</f>
        <v>7.2500000000000009E-2</v>
      </c>
      <c r="R6" s="466">
        <f>+$C$3+R1</f>
        <v>7.0000000000000007E-2</v>
      </c>
      <c r="AB6" s="340">
        <f>+$C$3+P1</f>
        <v>6.25E-2</v>
      </c>
      <c r="AC6" s="465">
        <f>+$C$3+Q1</f>
        <v>7.2500000000000009E-2</v>
      </c>
      <c r="AD6" s="466">
        <f>+$C$3+R1</f>
        <v>7.0000000000000007E-2</v>
      </c>
      <c r="AH6" s="22"/>
      <c r="AI6" s="14" t="s">
        <v>717</v>
      </c>
      <c r="AJ6" s="14" t="s">
        <v>716</v>
      </c>
      <c r="AK6" s="507"/>
      <c r="AP6" s="30" t="s">
        <v>609</v>
      </c>
      <c r="AQ6"/>
      <c r="AR6" s="346">
        <f>SUM(AR3:AR5)</f>
        <v>148704.70006582094</v>
      </c>
      <c r="AS6" s="346">
        <f>SUM(AS3:AS5)</f>
        <v>273269.15044153074</v>
      </c>
      <c r="AT6" s="346">
        <f>SUM(AT3:AT5)</f>
        <v>550474.36358705675</v>
      </c>
      <c r="AU6" s="507">
        <f>SUM(AU3:AU5)</f>
        <v>855590.12883955752</v>
      </c>
      <c r="AV6" s="14"/>
      <c r="AW6"/>
      <c r="AX6" s="285"/>
      <c r="AY6" s="14"/>
    </row>
    <row r="7" spans="1:51" ht="15.75" thickBot="1" x14ac:dyDescent="0.3">
      <c r="N7" s="483"/>
      <c r="O7" s="500">
        <v>30</v>
      </c>
      <c r="P7" s="498">
        <f>+O7*12</f>
        <v>360</v>
      </c>
      <c r="Z7" s="285"/>
      <c r="AB7" s="500">
        <v>30</v>
      </c>
      <c r="AG7" s="30" t="s">
        <v>627</v>
      </c>
      <c r="AH7"/>
      <c r="AI7" s="285">
        <f>_xlfn.XLOOKUP(12,$M:$M,AS:AS)</f>
        <v>1160.29</v>
      </c>
      <c r="AJ7" s="285">
        <f>_xlfn.XLOOKUP(12,$M:$M,$AP:$AP)</f>
        <v>1083.53</v>
      </c>
      <c r="AK7" s="14"/>
      <c r="AP7" s="285"/>
      <c r="AQ7" s="285"/>
      <c r="AR7" s="285"/>
      <c r="AU7"/>
    </row>
    <row r="8" spans="1:51" ht="15.75" thickBot="1" x14ac:dyDescent="0.3">
      <c r="N8" s="483"/>
      <c r="O8" s="498">
        <f>ROUND(PMT($O$6/12,$P$7,-$O$5,0), 2)</f>
        <v>1610.57</v>
      </c>
      <c r="S8" s="497" t="s">
        <v>661</v>
      </c>
      <c r="T8" s="14">
        <v>134.16999999999999</v>
      </c>
      <c r="Y8" s="482" t="str">
        <f>+"Payment at "&amp;AA8</f>
        <v>Payment at 0.0375</v>
      </c>
      <c r="Z8" s="411">
        <f>ROUND(PMT($AA$8/12,$AC$8,-$AB$8,0), 2)</f>
        <v>1533.81</v>
      </c>
      <c r="AA8" s="478">
        <f>+C3</f>
        <v>3.7499999999999999E-2</v>
      </c>
      <c r="AB8" s="411">
        <f>+AA5</f>
        <v>331193.40000000002</v>
      </c>
      <c r="AC8" s="510">
        <f>+AB7*12</f>
        <v>360</v>
      </c>
      <c r="AG8" s="30" t="s">
        <v>715</v>
      </c>
      <c r="AH8"/>
      <c r="AI8" s="285">
        <f>+AI7*60</f>
        <v>69617.399999999994</v>
      </c>
      <c r="AJ8" s="285">
        <f>+AJ7*60</f>
        <v>65011.799999999996</v>
      </c>
      <c r="AK8" s="507"/>
      <c r="AQ8" s="497" t="s">
        <v>682</v>
      </c>
      <c r="AR8" s="285">
        <f>-_xlfn.XLOOKUP(5,$L:$L,$K:$K)</f>
        <v>-79062.029999999926</v>
      </c>
      <c r="AS8" s="507"/>
      <c r="AU8"/>
    </row>
    <row r="9" spans="1:51" ht="15.75" thickBot="1" x14ac:dyDescent="0.3">
      <c r="N9" s="483"/>
      <c r="O9" s="14">
        <v>45717</v>
      </c>
      <c r="S9" s="497" t="s">
        <v>662</v>
      </c>
      <c r="T9" s="14">
        <v>188.55</v>
      </c>
      <c r="Y9" s="482" t="str">
        <f>+"Payment at "&amp;AA9</f>
        <v>Payment at 0.0625</v>
      </c>
      <c r="Z9" s="411">
        <f>ROUND(PMT($AA$9/12,$AC$9,-$AB$9,0), 2)</f>
        <v>1630.04</v>
      </c>
      <c r="AA9" s="478">
        <f>IF($AW$2=1,AB6,IF($AW$2=2,AC6,IF($AW$2=3,AD6)))</f>
        <v>6.25E-2</v>
      </c>
      <c r="AB9" s="411">
        <v>247099</v>
      </c>
      <c r="AC9" s="510">
        <f>+AC8-60</f>
        <v>300</v>
      </c>
      <c r="AG9" s="30" t="s">
        <v>629</v>
      </c>
      <c r="AH9"/>
      <c r="AI9" s="285">
        <f>-_xlfn.XLOOKUP(5,$L:$L,$K:$K)</f>
        <v>-79062.029999999926</v>
      </c>
      <c r="AJ9" s="285">
        <f>-_xlfn.XLOOKUP(5,$L:$L,$K:$K)</f>
        <v>-79062.029999999926</v>
      </c>
      <c r="AK9" s="14"/>
      <c r="AQ9" s="497" t="s">
        <v>683</v>
      </c>
      <c r="AR9" s="345">
        <f>_xlfn.XLOOKUP(5,$L:$L,$W:$W)</f>
        <v>243808.7600000001</v>
      </c>
    </row>
    <row r="10" spans="1:51" ht="15" customHeight="1" thickBot="1" x14ac:dyDescent="0.3">
      <c r="AB10" s="411">
        <f>_xlfn.XLOOKUP(60,$M:$M,AL:AL)</f>
        <v>298253.79000000015</v>
      </c>
      <c r="AG10" s="30" t="s">
        <v>630</v>
      </c>
      <c r="AH10"/>
      <c r="AI10" s="345">
        <f>_xlfn.XLOOKUP(5,$L:$L,$W:$W)</f>
        <v>243808.7600000001</v>
      </c>
      <c r="AJ10" s="345">
        <f>_xlfn.XLOOKUP(5,$L:$L,$AL:$AL)</f>
        <v>298253.79000000015</v>
      </c>
      <c r="AK10" s="14"/>
      <c r="AQ10" s="497" t="s">
        <v>684</v>
      </c>
      <c r="AR10" s="467">
        <f>SUM(AR8:AR9)</f>
        <v>164746.73000000016</v>
      </c>
    </row>
    <row r="11" spans="1:51" ht="15.75" thickBot="1" x14ac:dyDescent="0.3">
      <c r="Y11" s="771"/>
      <c r="Z11" s="772"/>
      <c r="AC11" s="497"/>
      <c r="AG11" s="30" t="s">
        <v>659</v>
      </c>
      <c r="AH11"/>
      <c r="AI11" s="467">
        <f>SUM(AI8:AI10)</f>
        <v>234364.13000000018</v>
      </c>
      <c r="AJ11" s="467">
        <f>SUM(AJ8:AJ10)</f>
        <v>284203.56000000023</v>
      </c>
      <c r="AK11" s="14"/>
      <c r="AP11" s="467"/>
      <c r="AQ11" s="467"/>
      <c r="AR11" s="285"/>
    </row>
    <row r="12" spans="1:51" ht="15.75" thickBot="1" x14ac:dyDescent="0.3">
      <c r="N12" s="763" t="str">
        <f>"Mortgage Fixed at "&amp; O6</f>
        <v>Mortgage Fixed at 0.0625</v>
      </c>
      <c r="O12" s="764"/>
      <c r="P12" s="764"/>
      <c r="Q12" s="764"/>
      <c r="R12" s="764"/>
      <c r="S12" s="764"/>
      <c r="T12" s="764"/>
      <c r="U12" s="764"/>
      <c r="V12" s="764"/>
      <c r="W12" s="765"/>
      <c r="Y12" s="763" t="str">
        <f>"Mortgage Reduced to "&amp;AA8&amp;"% for 1st 5 years then "&amp;AA9 &amp; "%"</f>
        <v>Mortgage Reduced to 0.0375% for 1st 5 years then 0.0625%</v>
      </c>
      <c r="Z12" s="764"/>
      <c r="AA12" s="764"/>
      <c r="AB12" s="764"/>
      <c r="AC12" s="764"/>
      <c r="AD12" s="764"/>
      <c r="AE12" s="764"/>
      <c r="AF12" s="764"/>
      <c r="AG12" s="764"/>
      <c r="AH12" s="764"/>
      <c r="AI12" s="766"/>
      <c r="AJ12" s="766"/>
      <c r="AK12" s="766"/>
      <c r="AL12" s="622"/>
    </row>
    <row r="13" spans="1:51" ht="15" customHeight="1" thickBot="1" x14ac:dyDescent="0.3">
      <c r="C13" s="759" t="s">
        <v>691</v>
      </c>
      <c r="D13" s="760"/>
      <c r="E13" s="761"/>
      <c r="F13" s="761"/>
      <c r="G13" s="761"/>
      <c r="H13" s="762"/>
      <c r="I13" s="758" t="s">
        <v>687</v>
      </c>
      <c r="J13" s="756"/>
      <c r="N13" s="511"/>
      <c r="U13" s="767" t="s">
        <v>687</v>
      </c>
      <c r="V13" s="768"/>
      <c r="W13" s="511"/>
      <c r="Y13" s="511"/>
      <c r="AA13" s="767" t="s">
        <v>691</v>
      </c>
      <c r="AB13" s="773"/>
      <c r="AC13" s="774"/>
      <c r="AD13" s="774"/>
      <c r="AE13" s="774"/>
      <c r="AF13" s="661"/>
      <c r="AG13" s="767" t="s">
        <v>687</v>
      </c>
      <c r="AH13" s="768"/>
      <c r="AI13" s="767" t="s">
        <v>704</v>
      </c>
      <c r="AJ13" s="773"/>
      <c r="AK13" s="768"/>
      <c r="AL13" s="511"/>
      <c r="AN13" s="758" t="s">
        <v>718</v>
      </c>
      <c r="AO13" s="756"/>
      <c r="AP13" s="758" t="s">
        <v>719</v>
      </c>
      <c r="AQ13" s="756"/>
      <c r="AT13" s="506" t="s">
        <v>687</v>
      </c>
      <c r="AU13" s="758" t="s">
        <v>702</v>
      </c>
      <c r="AV13" s="756"/>
    </row>
    <row r="14" spans="1:51" ht="15" customHeight="1" thickBot="1" x14ac:dyDescent="0.3">
      <c r="A14" s="504" t="s">
        <v>256</v>
      </c>
      <c r="B14" s="344" t="s">
        <v>698</v>
      </c>
      <c r="C14" s="501" t="s">
        <v>203</v>
      </c>
      <c r="D14" s="508" t="s">
        <v>695</v>
      </c>
      <c r="E14" s="501" t="s">
        <v>689</v>
      </c>
      <c r="F14" s="501" t="s">
        <v>700</v>
      </c>
      <c r="G14" s="501" t="s">
        <v>697</v>
      </c>
      <c r="H14" s="501" t="s">
        <v>696</v>
      </c>
      <c r="I14" s="496" t="s">
        <v>695</v>
      </c>
      <c r="J14" s="496" t="s">
        <v>689</v>
      </c>
      <c r="K14" s="424" t="s">
        <v>701</v>
      </c>
      <c r="L14" s="415" t="s">
        <v>626</v>
      </c>
      <c r="M14" s="415" t="s">
        <v>599</v>
      </c>
      <c r="N14" s="344" t="s">
        <v>698</v>
      </c>
      <c r="O14" s="501" t="s">
        <v>203</v>
      </c>
      <c r="P14" s="501" t="s">
        <v>695</v>
      </c>
      <c r="Q14" s="501" t="s">
        <v>689</v>
      </c>
      <c r="R14" s="501" t="s">
        <v>700</v>
      </c>
      <c r="S14" s="501" t="s">
        <v>697</v>
      </c>
      <c r="T14" s="501" t="s">
        <v>686</v>
      </c>
      <c r="U14" s="496" t="s">
        <v>688</v>
      </c>
      <c r="V14" s="496" t="s">
        <v>689</v>
      </c>
      <c r="W14" s="501" t="s">
        <v>701</v>
      </c>
      <c r="X14" s="504" t="s">
        <v>256</v>
      </c>
      <c r="Y14" s="344" t="s">
        <v>698</v>
      </c>
      <c r="Z14" s="501" t="s">
        <v>690</v>
      </c>
      <c r="AA14" s="501" t="s">
        <v>203</v>
      </c>
      <c r="AB14" s="501" t="s">
        <v>695</v>
      </c>
      <c r="AC14" s="501" t="s">
        <v>689</v>
      </c>
      <c r="AD14" s="501" t="s">
        <v>700</v>
      </c>
      <c r="AE14" s="501" t="s">
        <v>697</v>
      </c>
      <c r="AF14" s="501" t="s">
        <v>696</v>
      </c>
      <c r="AG14" s="496" t="s">
        <v>695</v>
      </c>
      <c r="AH14" s="496" t="s">
        <v>689</v>
      </c>
      <c r="AI14" s="496" t="s">
        <v>705</v>
      </c>
      <c r="AJ14" s="496" t="s">
        <v>693</v>
      </c>
      <c r="AK14" s="496" t="s">
        <v>694</v>
      </c>
      <c r="AL14" s="496" t="s">
        <v>699</v>
      </c>
      <c r="AM14" s="415" t="s">
        <v>626</v>
      </c>
      <c r="AN14" s="501" t="s">
        <v>703</v>
      </c>
      <c r="AO14" s="501" t="s">
        <v>600</v>
      </c>
      <c r="AP14" s="501" t="s">
        <v>703</v>
      </c>
      <c r="AQ14" s="501" t="s">
        <v>600</v>
      </c>
      <c r="AR14" s="341" t="s">
        <v>602</v>
      </c>
      <c r="AS14" s="501" t="s">
        <v>603</v>
      </c>
      <c r="AT14" s="501" t="s">
        <v>603</v>
      </c>
      <c r="AU14" s="344" t="s">
        <v>691</v>
      </c>
      <c r="AV14" s="344" t="s">
        <v>692</v>
      </c>
    </row>
    <row r="15" spans="1:51" x14ac:dyDescent="0.25">
      <c r="A15" s="502">
        <v>44409</v>
      </c>
      <c r="B15" s="285">
        <f>+C2</f>
        <v>97228</v>
      </c>
      <c r="C15" s="14">
        <f t="shared" ref="C15:C78" si="4">IF(+$K14&lt;=0,0,$C$5)</f>
        <v>450.28</v>
      </c>
      <c r="D15" s="14">
        <f>+C15-E15</f>
        <v>146.44</v>
      </c>
      <c r="E15" s="14">
        <f t="shared" ref="E15:E78" si="5">ROUND($B15*($C$3/12), 2)</f>
        <v>303.83999999999997</v>
      </c>
      <c r="I15" s="285">
        <f>+C15</f>
        <v>450.28</v>
      </c>
      <c r="J15" s="285">
        <f>+E15</f>
        <v>303.83999999999997</v>
      </c>
      <c r="K15" s="285">
        <f>+B15-D15</f>
        <v>97081.56</v>
      </c>
      <c r="L15" s="425">
        <f t="shared" ref="L15:L78" si="6">IF(MOD(M15,12)=0,M15/12,L14)</f>
        <v>0</v>
      </c>
      <c r="M15" s="425">
        <v>0</v>
      </c>
      <c r="N15" s="285">
        <f>+$O$5</f>
        <v>261576</v>
      </c>
      <c r="O15" s="285">
        <f>IF($O$9&lt;=A15,$O$8,0)</f>
        <v>0</v>
      </c>
      <c r="P15" s="285">
        <f>+O15-Q15</f>
        <v>0</v>
      </c>
      <c r="Q15" s="285">
        <f>IF($O$9&lt;=$A15,ROUND(N15*(O$6/12),2),0)</f>
        <v>0</v>
      </c>
      <c r="R15" s="285">
        <f t="shared" ref="R15:R62" si="7">IF(O15=0,0,$T$8)</f>
        <v>0</v>
      </c>
      <c r="S15" s="285">
        <f t="shared" ref="S15:S61" si="8">IF(P15=0,0,$T$9)</f>
        <v>0</v>
      </c>
      <c r="T15" s="285">
        <f t="shared" ref="T15:T57" si="9">SUM(P15:S15)</f>
        <v>0</v>
      </c>
      <c r="U15" s="285">
        <f>+P15</f>
        <v>0</v>
      </c>
      <c r="V15" s="285">
        <f>+Q15</f>
        <v>0</v>
      </c>
      <c r="W15" s="285">
        <f>+N15-P15</f>
        <v>261576</v>
      </c>
      <c r="X15" s="502">
        <f>+A15</f>
        <v>44409</v>
      </c>
      <c r="Y15" s="285">
        <f>+AA5</f>
        <v>331193.40000000002</v>
      </c>
      <c r="Z15" s="494">
        <f t="shared" ref="Z15:Z78" si="10">IF(L15&gt;4,$AA$9,$AA$8)</f>
        <v>3.7499999999999999E-2</v>
      </c>
      <c r="AA15" s="285">
        <f t="shared" ref="AA15:AA78" si="11">IF($O$9&lt;=$A15,IF(+AL14&lt;=0,0,IF(Z15=$AA$8,$Z$8,$Z$9)),0)</f>
        <v>0</v>
      </c>
      <c r="AB15" s="285">
        <f t="shared" ref="AB15:AB58" si="12">+AA15-AC15</f>
        <v>0</v>
      </c>
      <c r="AC15" s="285">
        <f t="shared" ref="AC15:AC78" si="13">IF($O$9&lt;=$A15,ROUND(Y15*(Z15/12),2),0)</f>
        <v>0</v>
      </c>
      <c r="AD15" s="285">
        <f t="shared" ref="AD15:AD59" si="14">IF(AA15=0,0,$T$8)</f>
        <v>0</v>
      </c>
      <c r="AE15" s="285">
        <f t="shared" ref="AE15:AE59" si="15">IF(AB15=0,0,$T$9)</f>
        <v>0</v>
      </c>
      <c r="AF15" s="285">
        <f t="shared" ref="AF15:AF59" si="16">SUM(AB15:AE15)</f>
        <v>0</v>
      </c>
      <c r="AG15" s="285">
        <v>0</v>
      </c>
      <c r="AH15" s="285">
        <v>0</v>
      </c>
      <c r="AI15" s="512">
        <f>SUM(AB15:AC15)-SUM(P15:Q15)</f>
        <v>0</v>
      </c>
      <c r="AJ15" s="512">
        <f t="shared" ref="AJ15:AJ78" si="17">+W15-AL15</f>
        <v>-69617.400000000023</v>
      </c>
      <c r="AK15" s="512"/>
      <c r="AL15" s="285">
        <f t="shared" ref="AL15" si="18">+Y15-AB15</f>
        <v>331193.40000000002</v>
      </c>
      <c r="AM15" s="425">
        <f>+L15</f>
        <v>0</v>
      </c>
      <c r="AN15" s="14">
        <f t="shared" ref="AN15:AN58" si="19">IF(O15=0,0,+O15-C15)</f>
        <v>0</v>
      </c>
      <c r="AO15" s="14">
        <f>IF(W15&lt;=0,0,+$O$5-$C$2+I15-U15+AV15)</f>
        <v>165452.22</v>
      </c>
      <c r="AP15" s="14">
        <f t="shared" ref="AP15:AP58" si="20">IF($O15=0,0,+AA15-$C15)</f>
        <v>0</v>
      </c>
      <c r="AS15" s="14">
        <f t="shared" ref="AS15:AS78" si="21">+AN15-AR15</f>
        <v>0</v>
      </c>
      <c r="AT15" s="14">
        <f>+AS15</f>
        <v>0</v>
      </c>
      <c r="AU15" s="285">
        <f>+O5*AQ2/12</f>
        <v>653.93999999999994</v>
      </c>
      <c r="AV15" s="285">
        <f>+AU15</f>
        <v>653.93999999999994</v>
      </c>
    </row>
    <row r="16" spans="1:51" x14ac:dyDescent="0.25">
      <c r="A16" s="502">
        <f>IF(K16&lt;=0," ",+A15+30)</f>
        <v>44439</v>
      </c>
      <c r="B16" s="285">
        <f t="shared" ref="B16:B79" si="22">IF(+K15&lt;0,0,+K15)</f>
        <v>97081.56</v>
      </c>
      <c r="C16" s="14">
        <f t="shared" si="4"/>
        <v>450.28</v>
      </c>
      <c r="D16" s="14">
        <f>+C16-E16</f>
        <v>146.89999999999998</v>
      </c>
      <c r="E16" s="14">
        <f t="shared" si="5"/>
        <v>303.38</v>
      </c>
      <c r="I16" s="285">
        <f>$D16+$I15</f>
        <v>597.17999999999995</v>
      </c>
      <c r="J16" s="285">
        <f>$E16+$J15</f>
        <v>607.22</v>
      </c>
      <c r="K16" s="285">
        <f>+B16-D16</f>
        <v>96934.66</v>
      </c>
      <c r="L16" s="425">
        <f t="shared" si="6"/>
        <v>0</v>
      </c>
      <c r="M16" s="425">
        <f t="shared" ref="M16:M79" si="23">IF(N16&lt;&gt;"",IF(N16=$O$5,0,+M15+1),0)</f>
        <v>0</v>
      </c>
      <c r="N16" s="285">
        <f t="shared" ref="N16:N79" si="24">IF(+W15&lt;0,0,+W15)</f>
        <v>261576</v>
      </c>
      <c r="O16" s="285">
        <f t="shared" ref="O16:O57" si="25">IF($O$9&lt;=A16,IF(+$W15&lt;=0,0,$O$8),0)</f>
        <v>0</v>
      </c>
      <c r="P16" s="285">
        <f>+O16-Q16</f>
        <v>0</v>
      </c>
      <c r="Q16" s="285">
        <f t="shared" ref="Q16:Q60" si="26">IF($O$9&lt;=A16,ROUND(N16*($O$6/12),2),0)</f>
        <v>0</v>
      </c>
      <c r="R16" s="285">
        <f t="shared" si="7"/>
        <v>0</v>
      </c>
      <c r="S16" s="285">
        <f t="shared" si="8"/>
        <v>0</v>
      </c>
      <c r="T16" s="285">
        <f t="shared" si="9"/>
        <v>0</v>
      </c>
      <c r="U16" s="285">
        <f>+P16+U15</f>
        <v>0</v>
      </c>
      <c r="V16" s="285">
        <f>+V15+Q16</f>
        <v>0</v>
      </c>
      <c r="W16" s="285">
        <f>+N16-P16</f>
        <v>261576</v>
      </c>
      <c r="X16" s="502">
        <f t="shared" ref="X16:X79" si="27">+A16</f>
        <v>44439</v>
      </c>
      <c r="Y16" s="285">
        <f>IF(+AL15&lt;0,0,+AL15)</f>
        <v>331193.40000000002</v>
      </c>
      <c r="Z16" s="494">
        <f t="shared" si="10"/>
        <v>3.7499999999999999E-2</v>
      </c>
      <c r="AA16" s="285">
        <f t="shared" si="11"/>
        <v>0</v>
      </c>
      <c r="AB16" s="285">
        <f t="shared" si="12"/>
        <v>0</v>
      </c>
      <c r="AC16" s="285">
        <f t="shared" si="13"/>
        <v>0</v>
      </c>
      <c r="AD16" s="285">
        <f t="shared" si="14"/>
        <v>0</v>
      </c>
      <c r="AE16" s="285">
        <f t="shared" si="15"/>
        <v>0</v>
      </c>
      <c r="AF16" s="285">
        <f t="shared" si="16"/>
        <v>0</v>
      </c>
      <c r="AG16" s="285">
        <f>+AB16+AG15</f>
        <v>0</v>
      </c>
      <c r="AH16" s="285">
        <f>+AH15+AC16</f>
        <v>0</v>
      </c>
      <c r="AI16" s="512">
        <f t="shared" ref="AI16:AI58" si="28">O16-AA16+AI15</f>
        <v>0</v>
      </c>
      <c r="AJ16" s="512">
        <f t="shared" si="17"/>
        <v>-69617.400000000023</v>
      </c>
      <c r="AK16" s="512"/>
      <c r="AL16" s="285">
        <f>+Y16-AB16</f>
        <v>331193.40000000002</v>
      </c>
      <c r="AM16" s="425">
        <f t="shared" ref="AM16:AM79" si="29">+L16</f>
        <v>0</v>
      </c>
      <c r="AN16" s="14">
        <f t="shared" si="19"/>
        <v>0</v>
      </c>
      <c r="AO16" s="14">
        <f t="shared" ref="AO16:AO44" si="30">IF(W16&lt;=0,0,+$O$5-$C$2+I16-U16)</f>
        <v>164945.18</v>
      </c>
      <c r="AP16" s="14">
        <f t="shared" si="20"/>
        <v>0</v>
      </c>
      <c r="AS16" s="14">
        <f t="shared" si="21"/>
        <v>0</v>
      </c>
      <c r="AT16" s="14">
        <f t="shared" ref="AT16:AT79" si="31">IF(W16&lt;=0,0,+AS16+AT15)</f>
        <v>0</v>
      </c>
      <c r="AU16" s="285">
        <f t="shared" ref="AU16:AU79" si="32">IF(W16&lt;=0,0,+($O$5+AV15)*$AQ$2/12)</f>
        <v>655.57484999999997</v>
      </c>
      <c r="AV16" s="285">
        <f t="shared" ref="AV16:AV79" si="33">IF(W16&lt;=0,0,+AV15+AU16)</f>
        <v>1309.51485</v>
      </c>
    </row>
    <row r="17" spans="1:48" x14ac:dyDescent="0.25">
      <c r="A17" s="502">
        <f t="shared" ref="A17:A61" si="34">IF(K17&lt;=0," ",+A16+30)</f>
        <v>44469</v>
      </c>
      <c r="B17" s="285">
        <f t="shared" si="22"/>
        <v>96934.66</v>
      </c>
      <c r="C17" s="14">
        <f t="shared" si="4"/>
        <v>450.28</v>
      </c>
      <c r="D17" s="14">
        <f t="shared" ref="D17:D80" si="35">+C17-E17</f>
        <v>147.35999999999996</v>
      </c>
      <c r="E17" s="14">
        <f t="shared" si="5"/>
        <v>302.92</v>
      </c>
      <c r="I17" s="285">
        <f t="shared" ref="I17:I31" si="36">$D17+$I16</f>
        <v>744.54</v>
      </c>
      <c r="J17" s="285">
        <f t="shared" ref="J17:J31" si="37">$E17+$J16</f>
        <v>910.1400000000001</v>
      </c>
      <c r="K17" s="285">
        <f t="shared" ref="K17:K31" si="38">+B17-D17</f>
        <v>96787.3</v>
      </c>
      <c r="L17" s="425">
        <f t="shared" si="6"/>
        <v>0</v>
      </c>
      <c r="M17" s="425">
        <f t="shared" si="23"/>
        <v>0</v>
      </c>
      <c r="N17" s="285">
        <f t="shared" si="24"/>
        <v>261576</v>
      </c>
      <c r="O17" s="285">
        <f t="shared" si="25"/>
        <v>0</v>
      </c>
      <c r="P17" s="285">
        <f t="shared" ref="P17:P80" si="39">+O17-Q17</f>
        <v>0</v>
      </c>
      <c r="Q17" s="285">
        <f t="shared" si="26"/>
        <v>0</v>
      </c>
      <c r="R17" s="285">
        <f t="shared" si="7"/>
        <v>0</v>
      </c>
      <c r="S17" s="285">
        <f t="shared" si="8"/>
        <v>0</v>
      </c>
      <c r="T17" s="285">
        <f t="shared" si="9"/>
        <v>0</v>
      </c>
      <c r="U17" s="285">
        <f t="shared" ref="U17:U80" si="40">+P17+U16</f>
        <v>0</v>
      </c>
      <c r="V17" s="285">
        <f t="shared" ref="V17:V80" si="41">+V16+Q17</f>
        <v>0</v>
      </c>
      <c r="W17" s="285">
        <f t="shared" ref="W17:W61" si="42">+N17-P17</f>
        <v>261576</v>
      </c>
      <c r="X17" s="502">
        <f t="shared" si="27"/>
        <v>44469</v>
      </c>
      <c r="Y17" s="285">
        <f t="shared" ref="Y17:Y58" si="43">IF(+AL16&lt;0,0,+AL16)</f>
        <v>331193.40000000002</v>
      </c>
      <c r="Z17" s="494">
        <f t="shared" si="10"/>
        <v>3.7499999999999999E-2</v>
      </c>
      <c r="AA17" s="285">
        <f t="shared" si="11"/>
        <v>0</v>
      </c>
      <c r="AB17" s="285">
        <f t="shared" si="12"/>
        <v>0</v>
      </c>
      <c r="AC17" s="285">
        <f t="shared" si="13"/>
        <v>0</v>
      </c>
      <c r="AD17" s="285">
        <f t="shared" si="14"/>
        <v>0</v>
      </c>
      <c r="AE17" s="285">
        <f t="shared" si="15"/>
        <v>0</v>
      </c>
      <c r="AF17" s="285">
        <f t="shared" si="16"/>
        <v>0</v>
      </c>
      <c r="AG17" s="285">
        <f t="shared" ref="AG17:AG58" si="44">+AB17+AG16</f>
        <v>0</v>
      </c>
      <c r="AH17" s="285">
        <f t="shared" ref="AH17:AH58" si="45">+AH16+AC17</f>
        <v>0</v>
      </c>
      <c r="AI17" s="512">
        <f t="shared" si="28"/>
        <v>0</v>
      </c>
      <c r="AJ17" s="512">
        <f t="shared" si="17"/>
        <v>-69617.400000000023</v>
      </c>
      <c r="AK17" s="512"/>
      <c r="AL17" s="285">
        <f t="shared" ref="AL17:AL58" si="46">+Y17-AB17</f>
        <v>331193.40000000002</v>
      </c>
      <c r="AM17" s="425">
        <f t="shared" si="29"/>
        <v>0</v>
      </c>
      <c r="AN17" s="14">
        <f t="shared" si="19"/>
        <v>0</v>
      </c>
      <c r="AO17" s="14">
        <f t="shared" si="30"/>
        <v>165092.54</v>
      </c>
      <c r="AP17" s="14">
        <f t="shared" si="20"/>
        <v>0</v>
      </c>
      <c r="AS17" s="14">
        <f t="shared" si="21"/>
        <v>0</v>
      </c>
      <c r="AT17" s="14">
        <f t="shared" si="31"/>
        <v>0</v>
      </c>
      <c r="AU17" s="285">
        <f t="shared" si="32"/>
        <v>657.21378712499995</v>
      </c>
      <c r="AV17" s="285">
        <f t="shared" si="33"/>
        <v>1966.728637125</v>
      </c>
    </row>
    <row r="18" spans="1:48" x14ac:dyDescent="0.25">
      <c r="A18" s="502">
        <f t="shared" si="34"/>
        <v>44499</v>
      </c>
      <c r="B18" s="285">
        <f t="shared" si="22"/>
        <v>96787.3</v>
      </c>
      <c r="C18" s="14">
        <f t="shared" si="4"/>
        <v>450.28</v>
      </c>
      <c r="D18" s="14">
        <f t="shared" si="35"/>
        <v>147.82</v>
      </c>
      <c r="E18" s="14">
        <f t="shared" si="5"/>
        <v>302.45999999999998</v>
      </c>
      <c r="I18" s="285">
        <f t="shared" si="36"/>
        <v>892.3599999999999</v>
      </c>
      <c r="J18" s="285">
        <f t="shared" si="37"/>
        <v>1212.6000000000001</v>
      </c>
      <c r="K18" s="285">
        <f t="shared" si="38"/>
        <v>96639.48</v>
      </c>
      <c r="L18" s="425">
        <f t="shared" si="6"/>
        <v>0</v>
      </c>
      <c r="M18" s="425">
        <f t="shared" si="23"/>
        <v>0</v>
      </c>
      <c r="N18" s="285">
        <f t="shared" si="24"/>
        <v>261576</v>
      </c>
      <c r="O18" s="285">
        <f t="shared" si="25"/>
        <v>0</v>
      </c>
      <c r="P18" s="285">
        <f t="shared" si="39"/>
        <v>0</v>
      </c>
      <c r="Q18" s="285">
        <f t="shared" si="26"/>
        <v>0</v>
      </c>
      <c r="R18" s="285">
        <f t="shared" si="7"/>
        <v>0</v>
      </c>
      <c r="S18" s="285">
        <f t="shared" si="8"/>
        <v>0</v>
      </c>
      <c r="T18" s="285">
        <f t="shared" si="9"/>
        <v>0</v>
      </c>
      <c r="U18" s="285">
        <f t="shared" si="40"/>
        <v>0</v>
      </c>
      <c r="V18" s="285">
        <f t="shared" si="41"/>
        <v>0</v>
      </c>
      <c r="W18" s="285">
        <f t="shared" si="42"/>
        <v>261576</v>
      </c>
      <c r="X18" s="502">
        <f t="shared" si="27"/>
        <v>44499</v>
      </c>
      <c r="Y18" s="285">
        <f t="shared" si="43"/>
        <v>331193.40000000002</v>
      </c>
      <c r="Z18" s="494">
        <f t="shared" si="10"/>
        <v>3.7499999999999999E-2</v>
      </c>
      <c r="AA18" s="285">
        <f t="shared" si="11"/>
        <v>0</v>
      </c>
      <c r="AB18" s="285">
        <f t="shared" si="12"/>
        <v>0</v>
      </c>
      <c r="AC18" s="285">
        <f t="shared" si="13"/>
        <v>0</v>
      </c>
      <c r="AD18" s="285">
        <f t="shared" si="14"/>
        <v>0</v>
      </c>
      <c r="AE18" s="285">
        <f t="shared" si="15"/>
        <v>0</v>
      </c>
      <c r="AF18" s="285">
        <f t="shared" si="16"/>
        <v>0</v>
      </c>
      <c r="AG18" s="285">
        <f t="shared" si="44"/>
        <v>0</v>
      </c>
      <c r="AH18" s="285">
        <f t="shared" si="45"/>
        <v>0</v>
      </c>
      <c r="AI18" s="512">
        <f t="shared" si="28"/>
        <v>0</v>
      </c>
      <c r="AJ18" s="512">
        <f t="shared" si="17"/>
        <v>-69617.400000000023</v>
      </c>
      <c r="AK18" s="512"/>
      <c r="AL18" s="285">
        <f t="shared" si="46"/>
        <v>331193.40000000002</v>
      </c>
      <c r="AM18" s="425">
        <f t="shared" si="29"/>
        <v>0</v>
      </c>
      <c r="AN18" s="14">
        <f t="shared" si="19"/>
        <v>0</v>
      </c>
      <c r="AO18" s="14">
        <f t="shared" si="30"/>
        <v>165240.35999999999</v>
      </c>
      <c r="AP18" s="14">
        <f t="shared" si="20"/>
        <v>0</v>
      </c>
      <c r="AS18" s="14">
        <f t="shared" si="21"/>
        <v>0</v>
      </c>
      <c r="AT18" s="14">
        <f t="shared" si="31"/>
        <v>0</v>
      </c>
      <c r="AU18" s="285">
        <f t="shared" si="32"/>
        <v>658.85682159281248</v>
      </c>
      <c r="AV18" s="285">
        <f t="shared" si="33"/>
        <v>2625.5854587178123</v>
      </c>
    </row>
    <row r="19" spans="1:48" x14ac:dyDescent="0.25">
      <c r="A19" s="502">
        <f t="shared" si="34"/>
        <v>44529</v>
      </c>
      <c r="B19" s="285">
        <f t="shared" si="22"/>
        <v>96639.48</v>
      </c>
      <c r="C19" s="14">
        <f t="shared" si="4"/>
        <v>450.28</v>
      </c>
      <c r="D19" s="14">
        <f t="shared" si="35"/>
        <v>148.27999999999997</v>
      </c>
      <c r="E19" s="14">
        <f t="shared" si="5"/>
        <v>302</v>
      </c>
      <c r="I19" s="285">
        <f t="shared" si="36"/>
        <v>1040.6399999999999</v>
      </c>
      <c r="J19" s="285">
        <f t="shared" si="37"/>
        <v>1514.6000000000001</v>
      </c>
      <c r="K19" s="285">
        <f t="shared" si="38"/>
        <v>96491.199999999997</v>
      </c>
      <c r="L19" s="425">
        <f t="shared" si="6"/>
        <v>0</v>
      </c>
      <c r="M19" s="425">
        <f t="shared" si="23"/>
        <v>0</v>
      </c>
      <c r="N19" s="285">
        <f t="shared" si="24"/>
        <v>261576</v>
      </c>
      <c r="O19" s="285">
        <f t="shared" si="25"/>
        <v>0</v>
      </c>
      <c r="P19" s="285">
        <f t="shared" si="39"/>
        <v>0</v>
      </c>
      <c r="Q19" s="285">
        <f t="shared" si="26"/>
        <v>0</v>
      </c>
      <c r="R19" s="285">
        <f t="shared" si="7"/>
        <v>0</v>
      </c>
      <c r="S19" s="285">
        <f t="shared" si="8"/>
        <v>0</v>
      </c>
      <c r="T19" s="285">
        <f t="shared" si="9"/>
        <v>0</v>
      </c>
      <c r="U19" s="285">
        <f t="shared" si="40"/>
        <v>0</v>
      </c>
      <c r="V19" s="285">
        <f t="shared" si="41"/>
        <v>0</v>
      </c>
      <c r="W19" s="285">
        <f t="shared" si="42"/>
        <v>261576</v>
      </c>
      <c r="X19" s="502">
        <f t="shared" si="27"/>
        <v>44529</v>
      </c>
      <c r="Y19" s="285">
        <f t="shared" si="43"/>
        <v>331193.40000000002</v>
      </c>
      <c r="Z19" s="494">
        <f t="shared" si="10"/>
        <v>3.7499999999999999E-2</v>
      </c>
      <c r="AA19" s="285">
        <f t="shared" si="11"/>
        <v>0</v>
      </c>
      <c r="AB19" s="285">
        <f t="shared" si="12"/>
        <v>0</v>
      </c>
      <c r="AC19" s="285">
        <f t="shared" si="13"/>
        <v>0</v>
      </c>
      <c r="AD19" s="285">
        <f t="shared" si="14"/>
        <v>0</v>
      </c>
      <c r="AE19" s="285">
        <f t="shared" si="15"/>
        <v>0</v>
      </c>
      <c r="AF19" s="285">
        <f t="shared" si="16"/>
        <v>0</v>
      </c>
      <c r="AG19" s="285">
        <f t="shared" si="44"/>
        <v>0</v>
      </c>
      <c r="AH19" s="285">
        <f t="shared" si="45"/>
        <v>0</v>
      </c>
      <c r="AI19" s="512">
        <f t="shared" si="28"/>
        <v>0</v>
      </c>
      <c r="AJ19" s="512">
        <f t="shared" si="17"/>
        <v>-69617.400000000023</v>
      </c>
      <c r="AK19" s="512"/>
      <c r="AL19" s="285">
        <f t="shared" si="46"/>
        <v>331193.40000000002</v>
      </c>
      <c r="AM19" s="425">
        <f t="shared" si="29"/>
        <v>0</v>
      </c>
      <c r="AN19" s="14">
        <f t="shared" si="19"/>
        <v>0</v>
      </c>
      <c r="AO19" s="14">
        <f t="shared" si="30"/>
        <v>165388.64000000001</v>
      </c>
      <c r="AP19" s="14">
        <f t="shared" si="20"/>
        <v>0</v>
      </c>
      <c r="AS19" s="14">
        <f t="shared" si="21"/>
        <v>0</v>
      </c>
      <c r="AT19" s="14">
        <f t="shared" si="31"/>
        <v>0</v>
      </c>
      <c r="AU19" s="285">
        <f t="shared" si="32"/>
        <v>660.50396364679455</v>
      </c>
      <c r="AV19" s="285">
        <f t="shared" si="33"/>
        <v>3286.0894223646069</v>
      </c>
    </row>
    <row r="20" spans="1:48" x14ac:dyDescent="0.25">
      <c r="A20" s="502">
        <f t="shared" si="34"/>
        <v>44559</v>
      </c>
      <c r="B20" s="285">
        <f t="shared" si="22"/>
        <v>96491.199999999997</v>
      </c>
      <c r="C20" s="14">
        <f t="shared" si="4"/>
        <v>450.28</v>
      </c>
      <c r="D20" s="14">
        <f t="shared" si="35"/>
        <v>148.73999999999995</v>
      </c>
      <c r="E20" s="14">
        <f t="shared" si="5"/>
        <v>301.54000000000002</v>
      </c>
      <c r="I20" s="285">
        <f t="shared" si="36"/>
        <v>1189.3799999999999</v>
      </c>
      <c r="J20" s="285">
        <f t="shared" si="37"/>
        <v>1816.14</v>
      </c>
      <c r="K20" s="285">
        <f t="shared" si="38"/>
        <v>96342.459999999992</v>
      </c>
      <c r="L20" s="425">
        <f t="shared" si="6"/>
        <v>0</v>
      </c>
      <c r="M20" s="425">
        <f t="shared" si="23"/>
        <v>0</v>
      </c>
      <c r="N20" s="285">
        <f t="shared" si="24"/>
        <v>261576</v>
      </c>
      <c r="O20" s="285">
        <f t="shared" si="25"/>
        <v>0</v>
      </c>
      <c r="P20" s="285">
        <f t="shared" si="39"/>
        <v>0</v>
      </c>
      <c r="Q20" s="285">
        <f t="shared" si="26"/>
        <v>0</v>
      </c>
      <c r="R20" s="285">
        <f t="shared" si="7"/>
        <v>0</v>
      </c>
      <c r="S20" s="285">
        <f t="shared" si="8"/>
        <v>0</v>
      </c>
      <c r="T20" s="285">
        <f t="shared" si="9"/>
        <v>0</v>
      </c>
      <c r="U20" s="285">
        <f t="shared" si="40"/>
        <v>0</v>
      </c>
      <c r="V20" s="285">
        <f t="shared" si="41"/>
        <v>0</v>
      </c>
      <c r="W20" s="285">
        <f t="shared" si="42"/>
        <v>261576</v>
      </c>
      <c r="X20" s="502">
        <f t="shared" si="27"/>
        <v>44559</v>
      </c>
      <c r="Y20" s="285">
        <f t="shared" si="43"/>
        <v>331193.40000000002</v>
      </c>
      <c r="Z20" s="494">
        <f t="shared" si="10"/>
        <v>3.7499999999999999E-2</v>
      </c>
      <c r="AA20" s="285">
        <f t="shared" si="11"/>
        <v>0</v>
      </c>
      <c r="AB20" s="285">
        <f t="shared" si="12"/>
        <v>0</v>
      </c>
      <c r="AC20" s="285">
        <f t="shared" si="13"/>
        <v>0</v>
      </c>
      <c r="AD20" s="285">
        <f t="shared" si="14"/>
        <v>0</v>
      </c>
      <c r="AE20" s="285">
        <f t="shared" si="15"/>
        <v>0</v>
      </c>
      <c r="AF20" s="285">
        <f t="shared" si="16"/>
        <v>0</v>
      </c>
      <c r="AG20" s="285">
        <f t="shared" si="44"/>
        <v>0</v>
      </c>
      <c r="AH20" s="285">
        <f t="shared" si="45"/>
        <v>0</v>
      </c>
      <c r="AI20" s="512">
        <f t="shared" si="28"/>
        <v>0</v>
      </c>
      <c r="AJ20" s="512">
        <f t="shared" si="17"/>
        <v>-69617.400000000023</v>
      </c>
      <c r="AK20" s="512"/>
      <c r="AL20" s="285">
        <f t="shared" si="46"/>
        <v>331193.40000000002</v>
      </c>
      <c r="AM20" s="425">
        <f t="shared" si="29"/>
        <v>0</v>
      </c>
      <c r="AN20" s="14">
        <f t="shared" si="19"/>
        <v>0</v>
      </c>
      <c r="AO20" s="14">
        <f t="shared" si="30"/>
        <v>165537.38</v>
      </c>
      <c r="AP20" s="14">
        <f t="shared" si="20"/>
        <v>0</v>
      </c>
      <c r="AS20" s="14">
        <f t="shared" si="21"/>
        <v>0</v>
      </c>
      <c r="AT20" s="14">
        <f t="shared" si="31"/>
        <v>0</v>
      </c>
      <c r="AU20" s="285">
        <f t="shared" si="32"/>
        <v>662.15522355591145</v>
      </c>
      <c r="AV20" s="285">
        <f t="shared" si="33"/>
        <v>3948.2446459205185</v>
      </c>
    </row>
    <row r="21" spans="1:48" x14ac:dyDescent="0.25">
      <c r="A21" s="502">
        <f t="shared" si="34"/>
        <v>44589</v>
      </c>
      <c r="B21" s="285">
        <f t="shared" si="22"/>
        <v>96342.459999999992</v>
      </c>
      <c r="C21" s="14">
        <f t="shared" si="4"/>
        <v>450.28</v>
      </c>
      <c r="D21" s="14">
        <f t="shared" si="35"/>
        <v>149.20999999999998</v>
      </c>
      <c r="E21" s="14">
        <f t="shared" si="5"/>
        <v>301.07</v>
      </c>
      <c r="I21" s="285">
        <f t="shared" si="36"/>
        <v>1338.59</v>
      </c>
      <c r="J21" s="285">
        <f t="shared" si="37"/>
        <v>2117.21</v>
      </c>
      <c r="K21" s="285">
        <f t="shared" si="38"/>
        <v>96193.249999999985</v>
      </c>
      <c r="L21" s="425">
        <f t="shared" si="6"/>
        <v>0</v>
      </c>
      <c r="M21" s="425">
        <f t="shared" si="23"/>
        <v>0</v>
      </c>
      <c r="N21" s="285">
        <f t="shared" si="24"/>
        <v>261576</v>
      </c>
      <c r="O21" s="285">
        <f t="shared" si="25"/>
        <v>0</v>
      </c>
      <c r="P21" s="285">
        <f t="shared" si="39"/>
        <v>0</v>
      </c>
      <c r="Q21" s="285">
        <f t="shared" si="26"/>
        <v>0</v>
      </c>
      <c r="R21" s="285">
        <f t="shared" si="7"/>
        <v>0</v>
      </c>
      <c r="S21" s="285">
        <f t="shared" si="8"/>
        <v>0</v>
      </c>
      <c r="T21" s="285">
        <f t="shared" si="9"/>
        <v>0</v>
      </c>
      <c r="U21" s="285">
        <f t="shared" si="40"/>
        <v>0</v>
      </c>
      <c r="V21" s="285">
        <f t="shared" si="41"/>
        <v>0</v>
      </c>
      <c r="W21" s="285">
        <f t="shared" si="42"/>
        <v>261576</v>
      </c>
      <c r="X21" s="502">
        <f t="shared" si="27"/>
        <v>44589</v>
      </c>
      <c r="Y21" s="285">
        <f t="shared" si="43"/>
        <v>331193.40000000002</v>
      </c>
      <c r="Z21" s="494">
        <f t="shared" si="10"/>
        <v>3.7499999999999999E-2</v>
      </c>
      <c r="AA21" s="285">
        <f t="shared" si="11"/>
        <v>0</v>
      </c>
      <c r="AB21" s="285">
        <f t="shared" si="12"/>
        <v>0</v>
      </c>
      <c r="AC21" s="285">
        <f t="shared" si="13"/>
        <v>0</v>
      </c>
      <c r="AD21" s="285">
        <f t="shared" si="14"/>
        <v>0</v>
      </c>
      <c r="AE21" s="285">
        <f t="shared" si="15"/>
        <v>0</v>
      </c>
      <c r="AF21" s="285">
        <f t="shared" si="16"/>
        <v>0</v>
      </c>
      <c r="AG21" s="285">
        <f t="shared" si="44"/>
        <v>0</v>
      </c>
      <c r="AH21" s="285">
        <f t="shared" si="45"/>
        <v>0</v>
      </c>
      <c r="AI21" s="512">
        <f t="shared" si="28"/>
        <v>0</v>
      </c>
      <c r="AJ21" s="512">
        <f t="shared" si="17"/>
        <v>-69617.400000000023</v>
      </c>
      <c r="AK21" s="512"/>
      <c r="AL21" s="285">
        <f t="shared" si="46"/>
        <v>331193.40000000002</v>
      </c>
      <c r="AM21" s="425">
        <f t="shared" si="29"/>
        <v>0</v>
      </c>
      <c r="AN21" s="14">
        <f t="shared" si="19"/>
        <v>0</v>
      </c>
      <c r="AO21" s="14">
        <f t="shared" si="30"/>
        <v>165686.59</v>
      </c>
      <c r="AP21" s="14">
        <f t="shared" si="20"/>
        <v>0</v>
      </c>
      <c r="AS21" s="14">
        <f t="shared" si="21"/>
        <v>0</v>
      </c>
      <c r="AT21" s="14">
        <f t="shared" si="31"/>
        <v>0</v>
      </c>
      <c r="AU21" s="285">
        <f t="shared" si="32"/>
        <v>663.81061161480136</v>
      </c>
      <c r="AV21" s="285">
        <f t="shared" si="33"/>
        <v>4612.0552575353195</v>
      </c>
    </row>
    <row r="22" spans="1:48" x14ac:dyDescent="0.25">
      <c r="A22" s="502">
        <f t="shared" si="34"/>
        <v>44619</v>
      </c>
      <c r="B22" s="285">
        <f t="shared" si="22"/>
        <v>96193.249999999985</v>
      </c>
      <c r="C22" s="14">
        <f t="shared" si="4"/>
        <v>450.28</v>
      </c>
      <c r="D22" s="14">
        <f t="shared" si="35"/>
        <v>149.67999999999995</v>
      </c>
      <c r="E22" s="14">
        <f t="shared" si="5"/>
        <v>300.60000000000002</v>
      </c>
      <c r="I22" s="285">
        <f t="shared" si="36"/>
        <v>1488.27</v>
      </c>
      <c r="J22" s="285">
        <f t="shared" si="37"/>
        <v>2417.81</v>
      </c>
      <c r="K22" s="285">
        <f t="shared" si="38"/>
        <v>96043.569999999992</v>
      </c>
      <c r="L22" s="425">
        <f t="shared" si="6"/>
        <v>0</v>
      </c>
      <c r="M22" s="425">
        <f t="shared" si="23"/>
        <v>0</v>
      </c>
      <c r="N22" s="285">
        <f t="shared" si="24"/>
        <v>261576</v>
      </c>
      <c r="O22" s="285">
        <f t="shared" si="25"/>
        <v>0</v>
      </c>
      <c r="P22" s="285">
        <f t="shared" si="39"/>
        <v>0</v>
      </c>
      <c r="Q22" s="285">
        <f t="shared" si="26"/>
        <v>0</v>
      </c>
      <c r="R22" s="285">
        <f t="shared" si="7"/>
        <v>0</v>
      </c>
      <c r="S22" s="285">
        <f t="shared" si="8"/>
        <v>0</v>
      </c>
      <c r="T22" s="285">
        <f t="shared" si="9"/>
        <v>0</v>
      </c>
      <c r="U22" s="285">
        <f t="shared" si="40"/>
        <v>0</v>
      </c>
      <c r="V22" s="285">
        <f t="shared" si="41"/>
        <v>0</v>
      </c>
      <c r="W22" s="285">
        <f t="shared" si="42"/>
        <v>261576</v>
      </c>
      <c r="X22" s="502">
        <f t="shared" si="27"/>
        <v>44619</v>
      </c>
      <c r="Y22" s="285">
        <f t="shared" si="43"/>
        <v>331193.40000000002</v>
      </c>
      <c r="Z22" s="494">
        <f t="shared" si="10"/>
        <v>3.7499999999999999E-2</v>
      </c>
      <c r="AA22" s="285">
        <f t="shared" si="11"/>
        <v>0</v>
      </c>
      <c r="AB22" s="285">
        <f t="shared" si="12"/>
        <v>0</v>
      </c>
      <c r="AC22" s="285">
        <f t="shared" si="13"/>
        <v>0</v>
      </c>
      <c r="AD22" s="285">
        <f t="shared" si="14"/>
        <v>0</v>
      </c>
      <c r="AE22" s="285">
        <f t="shared" si="15"/>
        <v>0</v>
      </c>
      <c r="AF22" s="285">
        <f t="shared" si="16"/>
        <v>0</v>
      </c>
      <c r="AG22" s="285">
        <f t="shared" si="44"/>
        <v>0</v>
      </c>
      <c r="AH22" s="285">
        <f t="shared" si="45"/>
        <v>0</v>
      </c>
      <c r="AI22" s="512">
        <f t="shared" si="28"/>
        <v>0</v>
      </c>
      <c r="AJ22" s="512">
        <f t="shared" si="17"/>
        <v>-69617.400000000023</v>
      </c>
      <c r="AK22" s="512"/>
      <c r="AL22" s="285">
        <f t="shared" si="46"/>
        <v>331193.40000000002</v>
      </c>
      <c r="AM22" s="425">
        <f t="shared" si="29"/>
        <v>0</v>
      </c>
      <c r="AN22" s="14">
        <f t="shared" si="19"/>
        <v>0</v>
      </c>
      <c r="AO22" s="14">
        <f t="shared" si="30"/>
        <v>165836.26999999999</v>
      </c>
      <c r="AP22" s="14">
        <f t="shared" si="20"/>
        <v>0</v>
      </c>
      <c r="AS22" s="14">
        <f t="shared" si="21"/>
        <v>0</v>
      </c>
      <c r="AT22" s="14">
        <f t="shared" si="31"/>
        <v>0</v>
      </c>
      <c r="AU22" s="285">
        <f t="shared" si="32"/>
        <v>665.4701381438382</v>
      </c>
      <c r="AV22" s="285">
        <f t="shared" si="33"/>
        <v>5277.5253956791576</v>
      </c>
    </row>
    <row r="23" spans="1:48" x14ac:dyDescent="0.25">
      <c r="A23" s="502">
        <f t="shared" si="34"/>
        <v>44649</v>
      </c>
      <c r="B23" s="285">
        <f t="shared" si="22"/>
        <v>96043.569999999992</v>
      </c>
      <c r="C23" s="14">
        <f t="shared" si="4"/>
        <v>450.28</v>
      </c>
      <c r="D23" s="14">
        <f t="shared" si="35"/>
        <v>150.13999999999999</v>
      </c>
      <c r="E23" s="14">
        <f t="shared" si="5"/>
        <v>300.14</v>
      </c>
      <c r="I23" s="285">
        <f t="shared" si="36"/>
        <v>1638.4099999999999</v>
      </c>
      <c r="J23" s="285">
        <f t="shared" si="37"/>
        <v>2717.95</v>
      </c>
      <c r="K23" s="285">
        <f t="shared" si="38"/>
        <v>95893.43</v>
      </c>
      <c r="L23" s="425">
        <f t="shared" si="6"/>
        <v>0</v>
      </c>
      <c r="M23" s="425">
        <f t="shared" si="23"/>
        <v>0</v>
      </c>
      <c r="N23" s="285">
        <f t="shared" si="24"/>
        <v>261576</v>
      </c>
      <c r="O23" s="285">
        <f t="shared" si="25"/>
        <v>0</v>
      </c>
      <c r="P23" s="285">
        <f t="shared" si="39"/>
        <v>0</v>
      </c>
      <c r="Q23" s="285">
        <f t="shared" si="26"/>
        <v>0</v>
      </c>
      <c r="R23" s="285">
        <f t="shared" si="7"/>
        <v>0</v>
      </c>
      <c r="S23" s="285">
        <f t="shared" si="8"/>
        <v>0</v>
      </c>
      <c r="T23" s="285">
        <f t="shared" si="9"/>
        <v>0</v>
      </c>
      <c r="U23" s="285">
        <f t="shared" si="40"/>
        <v>0</v>
      </c>
      <c r="V23" s="285">
        <f t="shared" si="41"/>
        <v>0</v>
      </c>
      <c r="W23" s="285">
        <f t="shared" si="42"/>
        <v>261576</v>
      </c>
      <c r="X23" s="502">
        <f t="shared" si="27"/>
        <v>44649</v>
      </c>
      <c r="Y23" s="285">
        <f t="shared" si="43"/>
        <v>331193.40000000002</v>
      </c>
      <c r="Z23" s="494">
        <f t="shared" si="10"/>
        <v>3.7499999999999999E-2</v>
      </c>
      <c r="AA23" s="285">
        <f t="shared" si="11"/>
        <v>0</v>
      </c>
      <c r="AB23" s="285">
        <f t="shared" si="12"/>
        <v>0</v>
      </c>
      <c r="AC23" s="285">
        <f t="shared" si="13"/>
        <v>0</v>
      </c>
      <c r="AD23" s="285">
        <f t="shared" si="14"/>
        <v>0</v>
      </c>
      <c r="AE23" s="285">
        <f t="shared" si="15"/>
        <v>0</v>
      </c>
      <c r="AF23" s="285">
        <f t="shared" si="16"/>
        <v>0</v>
      </c>
      <c r="AG23" s="285">
        <f t="shared" si="44"/>
        <v>0</v>
      </c>
      <c r="AH23" s="285">
        <f t="shared" si="45"/>
        <v>0</v>
      </c>
      <c r="AI23" s="512">
        <f t="shared" si="28"/>
        <v>0</v>
      </c>
      <c r="AJ23" s="512">
        <f t="shared" si="17"/>
        <v>-69617.400000000023</v>
      </c>
      <c r="AK23" s="512"/>
      <c r="AL23" s="285">
        <f t="shared" si="46"/>
        <v>331193.40000000002</v>
      </c>
      <c r="AM23" s="425">
        <f t="shared" si="29"/>
        <v>0</v>
      </c>
      <c r="AN23" s="14">
        <f t="shared" si="19"/>
        <v>0</v>
      </c>
      <c r="AO23" s="14">
        <f t="shared" si="30"/>
        <v>165986.41</v>
      </c>
      <c r="AP23" s="14">
        <f t="shared" si="20"/>
        <v>0</v>
      </c>
      <c r="AS23" s="14">
        <f t="shared" si="21"/>
        <v>0</v>
      </c>
      <c r="AT23" s="14">
        <f t="shared" si="31"/>
        <v>0</v>
      </c>
      <c r="AU23" s="285">
        <f t="shared" si="32"/>
        <v>667.13381348919791</v>
      </c>
      <c r="AV23" s="285">
        <f t="shared" si="33"/>
        <v>5944.6592091683551</v>
      </c>
    </row>
    <row r="24" spans="1:48" x14ac:dyDescent="0.25">
      <c r="A24" s="502">
        <f t="shared" si="34"/>
        <v>44679</v>
      </c>
      <c r="B24" s="285">
        <f t="shared" si="22"/>
        <v>95893.43</v>
      </c>
      <c r="C24" s="14">
        <f t="shared" si="4"/>
        <v>450.28</v>
      </c>
      <c r="D24" s="14">
        <f t="shared" si="35"/>
        <v>150.60999999999996</v>
      </c>
      <c r="E24" s="14">
        <f t="shared" si="5"/>
        <v>299.67</v>
      </c>
      <c r="I24" s="285">
        <f t="shared" si="36"/>
        <v>1789.0199999999998</v>
      </c>
      <c r="J24" s="285">
        <f t="shared" si="37"/>
        <v>3017.62</v>
      </c>
      <c r="K24" s="285">
        <f t="shared" si="38"/>
        <v>95742.819999999992</v>
      </c>
      <c r="L24" s="425">
        <f t="shared" si="6"/>
        <v>0</v>
      </c>
      <c r="M24" s="425">
        <f t="shared" si="23"/>
        <v>0</v>
      </c>
      <c r="N24" s="285">
        <f t="shared" si="24"/>
        <v>261576</v>
      </c>
      <c r="O24" s="285">
        <f t="shared" si="25"/>
        <v>0</v>
      </c>
      <c r="P24" s="285">
        <f t="shared" si="39"/>
        <v>0</v>
      </c>
      <c r="Q24" s="285">
        <f t="shared" si="26"/>
        <v>0</v>
      </c>
      <c r="R24" s="285">
        <f t="shared" si="7"/>
        <v>0</v>
      </c>
      <c r="S24" s="285">
        <f t="shared" si="8"/>
        <v>0</v>
      </c>
      <c r="T24" s="285">
        <f t="shared" si="9"/>
        <v>0</v>
      </c>
      <c r="U24" s="285">
        <f t="shared" si="40"/>
        <v>0</v>
      </c>
      <c r="V24" s="285">
        <f t="shared" si="41"/>
        <v>0</v>
      </c>
      <c r="W24" s="285">
        <f t="shared" si="42"/>
        <v>261576</v>
      </c>
      <c r="X24" s="502">
        <f t="shared" si="27"/>
        <v>44679</v>
      </c>
      <c r="Y24" s="285">
        <f t="shared" si="43"/>
        <v>331193.40000000002</v>
      </c>
      <c r="Z24" s="494">
        <f t="shared" si="10"/>
        <v>3.7499999999999999E-2</v>
      </c>
      <c r="AA24" s="285">
        <f t="shared" si="11"/>
        <v>0</v>
      </c>
      <c r="AB24" s="285">
        <f t="shared" si="12"/>
        <v>0</v>
      </c>
      <c r="AC24" s="285">
        <f t="shared" si="13"/>
        <v>0</v>
      </c>
      <c r="AD24" s="285">
        <f t="shared" si="14"/>
        <v>0</v>
      </c>
      <c r="AE24" s="285">
        <f t="shared" si="15"/>
        <v>0</v>
      </c>
      <c r="AF24" s="285">
        <f t="shared" si="16"/>
        <v>0</v>
      </c>
      <c r="AG24" s="285">
        <f t="shared" si="44"/>
        <v>0</v>
      </c>
      <c r="AH24" s="285">
        <f t="shared" si="45"/>
        <v>0</v>
      </c>
      <c r="AI24" s="512">
        <f t="shared" si="28"/>
        <v>0</v>
      </c>
      <c r="AJ24" s="512">
        <f t="shared" si="17"/>
        <v>-69617.400000000023</v>
      </c>
      <c r="AK24" s="512"/>
      <c r="AL24" s="285">
        <f t="shared" si="46"/>
        <v>331193.40000000002</v>
      </c>
      <c r="AM24" s="425">
        <f t="shared" si="29"/>
        <v>0</v>
      </c>
      <c r="AN24" s="14">
        <f t="shared" si="19"/>
        <v>0</v>
      </c>
      <c r="AO24" s="14">
        <f t="shared" si="30"/>
        <v>166137.01999999999</v>
      </c>
      <c r="AP24" s="14">
        <f t="shared" si="20"/>
        <v>0</v>
      </c>
      <c r="AS24" s="14">
        <f t="shared" si="21"/>
        <v>0</v>
      </c>
      <c r="AT24" s="14">
        <f t="shared" si="31"/>
        <v>0</v>
      </c>
      <c r="AU24" s="285">
        <f t="shared" si="32"/>
        <v>668.80164802292086</v>
      </c>
      <c r="AV24" s="285">
        <f t="shared" si="33"/>
        <v>6613.4608571912759</v>
      </c>
    </row>
    <row r="25" spans="1:48" x14ac:dyDescent="0.25">
      <c r="A25" s="502">
        <f t="shared" si="34"/>
        <v>44709</v>
      </c>
      <c r="B25" s="285">
        <f t="shared" si="22"/>
        <v>95742.819999999992</v>
      </c>
      <c r="C25" s="14">
        <f t="shared" si="4"/>
        <v>450.28</v>
      </c>
      <c r="D25" s="14">
        <f t="shared" si="35"/>
        <v>151.07999999999998</v>
      </c>
      <c r="E25" s="14">
        <f t="shared" si="5"/>
        <v>299.2</v>
      </c>
      <c r="I25" s="285">
        <f t="shared" si="36"/>
        <v>1940.0999999999997</v>
      </c>
      <c r="J25" s="285">
        <f t="shared" si="37"/>
        <v>3316.8199999999997</v>
      </c>
      <c r="K25" s="285">
        <f t="shared" si="38"/>
        <v>95591.739999999991</v>
      </c>
      <c r="L25" s="425">
        <f t="shared" si="6"/>
        <v>0</v>
      </c>
      <c r="M25" s="425">
        <f t="shared" si="23"/>
        <v>0</v>
      </c>
      <c r="N25" s="285">
        <f t="shared" si="24"/>
        <v>261576</v>
      </c>
      <c r="O25" s="285">
        <f t="shared" si="25"/>
        <v>0</v>
      </c>
      <c r="P25" s="285">
        <f t="shared" si="39"/>
        <v>0</v>
      </c>
      <c r="Q25" s="285">
        <f t="shared" si="26"/>
        <v>0</v>
      </c>
      <c r="R25" s="285">
        <f t="shared" si="7"/>
        <v>0</v>
      </c>
      <c r="S25" s="285">
        <f t="shared" si="8"/>
        <v>0</v>
      </c>
      <c r="T25" s="285">
        <f t="shared" si="9"/>
        <v>0</v>
      </c>
      <c r="U25" s="285">
        <f t="shared" si="40"/>
        <v>0</v>
      </c>
      <c r="V25" s="285">
        <f t="shared" si="41"/>
        <v>0</v>
      </c>
      <c r="W25" s="285">
        <f t="shared" si="42"/>
        <v>261576</v>
      </c>
      <c r="X25" s="502">
        <f t="shared" si="27"/>
        <v>44709</v>
      </c>
      <c r="Y25" s="285">
        <f t="shared" si="43"/>
        <v>331193.40000000002</v>
      </c>
      <c r="Z25" s="494">
        <f t="shared" si="10"/>
        <v>3.7499999999999999E-2</v>
      </c>
      <c r="AA25" s="285">
        <f t="shared" si="11"/>
        <v>0</v>
      </c>
      <c r="AB25" s="285">
        <f t="shared" si="12"/>
        <v>0</v>
      </c>
      <c r="AC25" s="285">
        <f t="shared" si="13"/>
        <v>0</v>
      </c>
      <c r="AD25" s="285">
        <f t="shared" si="14"/>
        <v>0</v>
      </c>
      <c r="AE25" s="285">
        <f t="shared" si="15"/>
        <v>0</v>
      </c>
      <c r="AF25" s="285">
        <f t="shared" si="16"/>
        <v>0</v>
      </c>
      <c r="AG25" s="285">
        <f t="shared" si="44"/>
        <v>0</v>
      </c>
      <c r="AH25" s="285">
        <f t="shared" si="45"/>
        <v>0</v>
      </c>
      <c r="AI25" s="512">
        <f t="shared" si="28"/>
        <v>0</v>
      </c>
      <c r="AJ25" s="512">
        <f t="shared" si="17"/>
        <v>-69617.400000000023</v>
      </c>
      <c r="AK25" s="512"/>
      <c r="AL25" s="285">
        <f t="shared" si="46"/>
        <v>331193.40000000002</v>
      </c>
      <c r="AM25" s="425">
        <f t="shared" si="29"/>
        <v>0</v>
      </c>
      <c r="AN25" s="14">
        <f t="shared" si="19"/>
        <v>0</v>
      </c>
      <c r="AO25" s="14">
        <f t="shared" si="30"/>
        <v>166288.1</v>
      </c>
      <c r="AP25" s="14">
        <f t="shared" si="20"/>
        <v>0</v>
      </c>
      <c r="AS25" s="14">
        <f t="shared" si="21"/>
        <v>0</v>
      </c>
      <c r="AT25" s="14">
        <f t="shared" si="31"/>
        <v>0</v>
      </c>
      <c r="AU25" s="285">
        <f t="shared" si="32"/>
        <v>670.47365214297827</v>
      </c>
      <c r="AV25" s="285">
        <f t="shared" si="33"/>
        <v>7283.9345093342545</v>
      </c>
    </row>
    <row r="26" spans="1:48" ht="15.75" thickBot="1" x14ac:dyDescent="0.3">
      <c r="A26" s="505">
        <f t="shared" si="34"/>
        <v>44739</v>
      </c>
      <c r="B26" s="345">
        <f t="shared" si="22"/>
        <v>95591.739999999991</v>
      </c>
      <c r="C26" s="21">
        <f t="shared" si="4"/>
        <v>450.28</v>
      </c>
      <c r="D26" s="21">
        <f t="shared" si="35"/>
        <v>151.55999999999995</v>
      </c>
      <c r="E26" s="21">
        <f t="shared" si="5"/>
        <v>298.72000000000003</v>
      </c>
      <c r="F26" s="21"/>
      <c r="G26" s="21"/>
      <c r="H26" s="21"/>
      <c r="I26" s="345">
        <f t="shared" si="36"/>
        <v>2091.66</v>
      </c>
      <c r="J26" s="345">
        <f t="shared" si="37"/>
        <v>3615.54</v>
      </c>
      <c r="K26" s="345">
        <f t="shared" si="38"/>
        <v>95440.18</v>
      </c>
      <c r="L26" s="426">
        <f t="shared" si="6"/>
        <v>0</v>
      </c>
      <c r="M26" s="426">
        <f t="shared" si="23"/>
        <v>0</v>
      </c>
      <c r="N26" s="345">
        <f t="shared" si="24"/>
        <v>261576</v>
      </c>
      <c r="O26" s="345">
        <f t="shared" si="25"/>
        <v>0</v>
      </c>
      <c r="P26" s="345">
        <f t="shared" si="39"/>
        <v>0</v>
      </c>
      <c r="Q26" s="345">
        <f t="shared" si="26"/>
        <v>0</v>
      </c>
      <c r="R26" s="345">
        <f t="shared" si="7"/>
        <v>0</v>
      </c>
      <c r="S26" s="345">
        <f t="shared" si="8"/>
        <v>0</v>
      </c>
      <c r="T26" s="345">
        <f t="shared" si="9"/>
        <v>0</v>
      </c>
      <c r="U26" s="345">
        <f t="shared" si="40"/>
        <v>0</v>
      </c>
      <c r="V26" s="345">
        <f t="shared" si="41"/>
        <v>0</v>
      </c>
      <c r="W26" s="345">
        <f t="shared" si="42"/>
        <v>261576</v>
      </c>
      <c r="X26" s="505">
        <f t="shared" si="27"/>
        <v>44739</v>
      </c>
      <c r="Y26" s="345">
        <f t="shared" si="43"/>
        <v>331193.40000000002</v>
      </c>
      <c r="Z26" s="495">
        <f t="shared" si="10"/>
        <v>3.7499999999999999E-2</v>
      </c>
      <c r="AA26" s="345">
        <f t="shared" si="11"/>
        <v>0</v>
      </c>
      <c r="AB26" s="345">
        <f t="shared" si="12"/>
        <v>0</v>
      </c>
      <c r="AC26" s="345">
        <f t="shared" si="13"/>
        <v>0</v>
      </c>
      <c r="AD26" s="345">
        <f t="shared" si="14"/>
        <v>0</v>
      </c>
      <c r="AE26" s="345">
        <f t="shared" si="15"/>
        <v>0</v>
      </c>
      <c r="AF26" s="345">
        <f t="shared" si="16"/>
        <v>0</v>
      </c>
      <c r="AG26" s="345">
        <f t="shared" si="44"/>
        <v>0</v>
      </c>
      <c r="AH26" s="345">
        <f t="shared" si="45"/>
        <v>0</v>
      </c>
      <c r="AI26" s="513">
        <f t="shared" si="28"/>
        <v>0</v>
      </c>
      <c r="AJ26" s="513">
        <f t="shared" si="17"/>
        <v>-69617.400000000023</v>
      </c>
      <c r="AK26" s="513"/>
      <c r="AL26" s="345">
        <f t="shared" si="46"/>
        <v>331193.40000000002</v>
      </c>
      <c r="AM26" s="426">
        <f t="shared" si="29"/>
        <v>0</v>
      </c>
      <c r="AN26" s="21">
        <f t="shared" si="19"/>
        <v>0</v>
      </c>
      <c r="AO26" s="21">
        <f t="shared" si="30"/>
        <v>166439.66</v>
      </c>
      <c r="AP26" s="21">
        <f t="shared" si="20"/>
        <v>0</v>
      </c>
      <c r="AQ26" s="21"/>
      <c r="AR26" s="23"/>
      <c r="AS26" s="21">
        <f t="shared" si="21"/>
        <v>0</v>
      </c>
      <c r="AT26" s="21">
        <f t="shared" si="31"/>
        <v>0</v>
      </c>
      <c r="AU26" s="345">
        <f t="shared" si="32"/>
        <v>672.14983627333561</v>
      </c>
      <c r="AV26" s="285">
        <f t="shared" si="33"/>
        <v>7956.08434560759</v>
      </c>
    </row>
    <row r="27" spans="1:48" x14ac:dyDescent="0.25">
      <c r="A27" s="502">
        <f t="shared" si="34"/>
        <v>44769</v>
      </c>
      <c r="B27" s="285">
        <f t="shared" si="22"/>
        <v>95440.18</v>
      </c>
      <c r="C27" s="14">
        <f t="shared" si="4"/>
        <v>450.28</v>
      </c>
      <c r="D27" s="14">
        <f t="shared" si="35"/>
        <v>152.02999999999997</v>
      </c>
      <c r="E27" s="14">
        <f t="shared" si="5"/>
        <v>298.25</v>
      </c>
      <c r="I27" s="285">
        <f t="shared" si="36"/>
        <v>2243.6899999999996</v>
      </c>
      <c r="J27" s="285">
        <f t="shared" si="37"/>
        <v>3913.79</v>
      </c>
      <c r="K27" s="285">
        <f t="shared" si="38"/>
        <v>95288.15</v>
      </c>
      <c r="L27" s="425">
        <f t="shared" si="6"/>
        <v>0</v>
      </c>
      <c r="M27" s="425">
        <f t="shared" si="23"/>
        <v>0</v>
      </c>
      <c r="N27" s="285">
        <f t="shared" si="24"/>
        <v>261576</v>
      </c>
      <c r="O27" s="285">
        <f t="shared" si="25"/>
        <v>0</v>
      </c>
      <c r="P27" s="285">
        <f t="shared" si="39"/>
        <v>0</v>
      </c>
      <c r="Q27" s="285">
        <f t="shared" si="26"/>
        <v>0</v>
      </c>
      <c r="R27" s="285">
        <f t="shared" si="7"/>
        <v>0</v>
      </c>
      <c r="S27" s="285">
        <f t="shared" si="8"/>
        <v>0</v>
      </c>
      <c r="T27" s="285">
        <f t="shared" si="9"/>
        <v>0</v>
      </c>
      <c r="U27" s="285">
        <f t="shared" si="40"/>
        <v>0</v>
      </c>
      <c r="V27" s="285">
        <f t="shared" si="41"/>
        <v>0</v>
      </c>
      <c r="W27" s="285">
        <f t="shared" si="42"/>
        <v>261576</v>
      </c>
      <c r="X27" s="502">
        <f t="shared" si="27"/>
        <v>44769</v>
      </c>
      <c r="Y27" s="285">
        <f t="shared" si="43"/>
        <v>331193.40000000002</v>
      </c>
      <c r="Z27" s="494">
        <f t="shared" si="10"/>
        <v>3.7499999999999999E-2</v>
      </c>
      <c r="AA27" s="285">
        <f t="shared" si="11"/>
        <v>0</v>
      </c>
      <c r="AB27" s="285">
        <f t="shared" si="12"/>
        <v>0</v>
      </c>
      <c r="AC27" s="285">
        <f t="shared" si="13"/>
        <v>0</v>
      </c>
      <c r="AD27" s="285">
        <f t="shared" si="14"/>
        <v>0</v>
      </c>
      <c r="AE27" s="285">
        <f t="shared" si="15"/>
        <v>0</v>
      </c>
      <c r="AF27" s="285">
        <f t="shared" si="16"/>
        <v>0</v>
      </c>
      <c r="AG27" s="285">
        <f t="shared" si="44"/>
        <v>0</v>
      </c>
      <c r="AH27" s="285">
        <f t="shared" si="45"/>
        <v>0</v>
      </c>
      <c r="AI27" s="512">
        <f t="shared" si="28"/>
        <v>0</v>
      </c>
      <c r="AJ27" s="512">
        <f t="shared" si="17"/>
        <v>-69617.400000000023</v>
      </c>
      <c r="AK27" s="512"/>
      <c r="AL27" s="285">
        <f t="shared" si="46"/>
        <v>331193.40000000002</v>
      </c>
      <c r="AM27" s="425">
        <f t="shared" si="29"/>
        <v>0</v>
      </c>
      <c r="AN27" s="14">
        <f t="shared" si="19"/>
        <v>0</v>
      </c>
      <c r="AO27" s="14">
        <f t="shared" si="30"/>
        <v>166591.69</v>
      </c>
      <c r="AP27" s="14">
        <f t="shared" si="20"/>
        <v>0</v>
      </c>
      <c r="AS27" s="14">
        <f t="shared" si="21"/>
        <v>0</v>
      </c>
      <c r="AT27" s="14">
        <f t="shared" si="31"/>
        <v>0</v>
      </c>
      <c r="AU27" s="285">
        <f t="shared" si="32"/>
        <v>673.83021086401902</v>
      </c>
      <c r="AV27" s="285">
        <f t="shared" si="33"/>
        <v>8629.9145564716091</v>
      </c>
    </row>
    <row r="28" spans="1:48" x14ac:dyDescent="0.25">
      <c r="A28" s="502">
        <f t="shared" si="34"/>
        <v>44799</v>
      </c>
      <c r="B28" s="285">
        <f t="shared" si="22"/>
        <v>95288.15</v>
      </c>
      <c r="C28" s="14">
        <f t="shared" si="4"/>
        <v>450.28</v>
      </c>
      <c r="D28" s="14">
        <f t="shared" si="35"/>
        <v>152.5</v>
      </c>
      <c r="E28" s="14">
        <f t="shared" si="5"/>
        <v>297.77999999999997</v>
      </c>
      <c r="I28" s="285">
        <f t="shared" si="36"/>
        <v>2396.1899999999996</v>
      </c>
      <c r="J28" s="285">
        <f t="shared" si="37"/>
        <v>4211.57</v>
      </c>
      <c r="K28" s="285">
        <f t="shared" si="38"/>
        <v>95135.65</v>
      </c>
      <c r="L28" s="425">
        <f t="shared" si="6"/>
        <v>0</v>
      </c>
      <c r="M28" s="425">
        <f t="shared" si="23"/>
        <v>0</v>
      </c>
      <c r="N28" s="285">
        <f t="shared" si="24"/>
        <v>261576</v>
      </c>
      <c r="O28" s="285">
        <f t="shared" si="25"/>
        <v>0</v>
      </c>
      <c r="P28" s="285">
        <f t="shared" si="39"/>
        <v>0</v>
      </c>
      <c r="Q28" s="285">
        <f t="shared" si="26"/>
        <v>0</v>
      </c>
      <c r="R28" s="285">
        <f t="shared" si="7"/>
        <v>0</v>
      </c>
      <c r="S28" s="285">
        <f t="shared" si="8"/>
        <v>0</v>
      </c>
      <c r="T28" s="285">
        <f t="shared" si="9"/>
        <v>0</v>
      </c>
      <c r="U28" s="285">
        <f t="shared" si="40"/>
        <v>0</v>
      </c>
      <c r="V28" s="285">
        <f t="shared" si="41"/>
        <v>0</v>
      </c>
      <c r="W28" s="285">
        <f t="shared" si="42"/>
        <v>261576</v>
      </c>
      <c r="X28" s="502">
        <f t="shared" si="27"/>
        <v>44799</v>
      </c>
      <c r="Y28" s="285">
        <f t="shared" si="43"/>
        <v>331193.40000000002</v>
      </c>
      <c r="Z28" s="494">
        <f t="shared" si="10"/>
        <v>3.7499999999999999E-2</v>
      </c>
      <c r="AA28" s="285">
        <f t="shared" si="11"/>
        <v>0</v>
      </c>
      <c r="AB28" s="285">
        <f t="shared" si="12"/>
        <v>0</v>
      </c>
      <c r="AC28" s="285">
        <f t="shared" si="13"/>
        <v>0</v>
      </c>
      <c r="AD28" s="285">
        <f t="shared" si="14"/>
        <v>0</v>
      </c>
      <c r="AE28" s="285">
        <f t="shared" si="15"/>
        <v>0</v>
      </c>
      <c r="AF28" s="285">
        <f t="shared" si="16"/>
        <v>0</v>
      </c>
      <c r="AG28" s="285">
        <f t="shared" si="44"/>
        <v>0</v>
      </c>
      <c r="AH28" s="285">
        <f t="shared" si="45"/>
        <v>0</v>
      </c>
      <c r="AI28" s="512">
        <f t="shared" si="28"/>
        <v>0</v>
      </c>
      <c r="AJ28" s="512">
        <f t="shared" si="17"/>
        <v>-69617.400000000023</v>
      </c>
      <c r="AK28" s="512"/>
      <c r="AL28" s="285">
        <f t="shared" si="46"/>
        <v>331193.40000000002</v>
      </c>
      <c r="AM28" s="425">
        <f t="shared" si="29"/>
        <v>0</v>
      </c>
      <c r="AN28" s="14">
        <f t="shared" si="19"/>
        <v>0</v>
      </c>
      <c r="AO28" s="14">
        <f t="shared" si="30"/>
        <v>166744.19</v>
      </c>
      <c r="AP28" s="14">
        <f t="shared" si="20"/>
        <v>0</v>
      </c>
      <c r="AS28" s="14">
        <f t="shared" si="21"/>
        <v>0</v>
      </c>
      <c r="AT28" s="14">
        <f t="shared" si="31"/>
        <v>0</v>
      </c>
      <c r="AU28" s="285">
        <f t="shared" si="32"/>
        <v>675.51478639117909</v>
      </c>
      <c r="AV28" s="285">
        <f t="shared" si="33"/>
        <v>9305.429342862788</v>
      </c>
    </row>
    <row r="29" spans="1:48" x14ac:dyDescent="0.25">
      <c r="A29" s="502">
        <f t="shared" si="34"/>
        <v>44829</v>
      </c>
      <c r="B29" s="285">
        <f t="shared" si="22"/>
        <v>95135.65</v>
      </c>
      <c r="C29" s="14">
        <f t="shared" si="4"/>
        <v>450.28</v>
      </c>
      <c r="D29" s="14">
        <f t="shared" si="35"/>
        <v>152.97999999999996</v>
      </c>
      <c r="E29" s="14">
        <f t="shared" si="5"/>
        <v>297.3</v>
      </c>
      <c r="I29" s="285">
        <f t="shared" si="36"/>
        <v>2549.1699999999996</v>
      </c>
      <c r="J29" s="285">
        <f t="shared" si="37"/>
        <v>4508.87</v>
      </c>
      <c r="K29" s="285">
        <f t="shared" si="38"/>
        <v>94982.67</v>
      </c>
      <c r="L29" s="425">
        <f t="shared" si="6"/>
        <v>0</v>
      </c>
      <c r="M29" s="425">
        <f t="shared" si="23"/>
        <v>0</v>
      </c>
      <c r="N29" s="285">
        <f t="shared" si="24"/>
        <v>261576</v>
      </c>
      <c r="O29" s="285">
        <f t="shared" si="25"/>
        <v>0</v>
      </c>
      <c r="P29" s="285">
        <f t="shared" si="39"/>
        <v>0</v>
      </c>
      <c r="Q29" s="285">
        <f t="shared" si="26"/>
        <v>0</v>
      </c>
      <c r="R29" s="285">
        <f t="shared" si="7"/>
        <v>0</v>
      </c>
      <c r="S29" s="285">
        <f t="shared" si="8"/>
        <v>0</v>
      </c>
      <c r="T29" s="285">
        <f t="shared" si="9"/>
        <v>0</v>
      </c>
      <c r="U29" s="285">
        <f t="shared" si="40"/>
        <v>0</v>
      </c>
      <c r="V29" s="285">
        <f t="shared" si="41"/>
        <v>0</v>
      </c>
      <c r="W29" s="285">
        <f t="shared" si="42"/>
        <v>261576</v>
      </c>
      <c r="X29" s="502">
        <f t="shared" si="27"/>
        <v>44829</v>
      </c>
      <c r="Y29" s="285">
        <f t="shared" si="43"/>
        <v>331193.40000000002</v>
      </c>
      <c r="Z29" s="494">
        <f t="shared" si="10"/>
        <v>3.7499999999999999E-2</v>
      </c>
      <c r="AA29" s="285">
        <f t="shared" si="11"/>
        <v>0</v>
      </c>
      <c r="AB29" s="285">
        <f t="shared" si="12"/>
        <v>0</v>
      </c>
      <c r="AC29" s="285">
        <f t="shared" si="13"/>
        <v>0</v>
      </c>
      <c r="AD29" s="285">
        <f t="shared" si="14"/>
        <v>0</v>
      </c>
      <c r="AE29" s="285">
        <f t="shared" si="15"/>
        <v>0</v>
      </c>
      <c r="AF29" s="285">
        <f t="shared" si="16"/>
        <v>0</v>
      </c>
      <c r="AG29" s="285">
        <f t="shared" si="44"/>
        <v>0</v>
      </c>
      <c r="AH29" s="285">
        <f t="shared" si="45"/>
        <v>0</v>
      </c>
      <c r="AI29" s="512">
        <f t="shared" si="28"/>
        <v>0</v>
      </c>
      <c r="AJ29" s="512">
        <f t="shared" si="17"/>
        <v>-69617.400000000023</v>
      </c>
      <c r="AK29" s="512"/>
      <c r="AL29" s="285">
        <f t="shared" si="46"/>
        <v>331193.40000000002</v>
      </c>
      <c r="AM29" s="425">
        <f t="shared" si="29"/>
        <v>0</v>
      </c>
      <c r="AN29" s="14">
        <f t="shared" si="19"/>
        <v>0</v>
      </c>
      <c r="AO29" s="14">
        <f t="shared" si="30"/>
        <v>166897.17000000001</v>
      </c>
      <c r="AP29" s="14">
        <f t="shared" si="20"/>
        <v>0</v>
      </c>
      <c r="AS29" s="14">
        <f t="shared" si="21"/>
        <v>0</v>
      </c>
      <c r="AT29" s="14">
        <f t="shared" si="31"/>
        <v>0</v>
      </c>
      <c r="AU29" s="285">
        <f t="shared" si="32"/>
        <v>677.20357335715698</v>
      </c>
      <c r="AV29" s="285">
        <f t="shared" si="33"/>
        <v>9982.6329162199454</v>
      </c>
    </row>
    <row r="30" spans="1:48" x14ac:dyDescent="0.25">
      <c r="A30" s="502">
        <f t="shared" si="34"/>
        <v>44859</v>
      </c>
      <c r="B30" s="285">
        <f t="shared" si="22"/>
        <v>94982.67</v>
      </c>
      <c r="C30" s="14">
        <f t="shared" si="4"/>
        <v>450.28</v>
      </c>
      <c r="D30" s="14">
        <f t="shared" si="35"/>
        <v>153.45999999999998</v>
      </c>
      <c r="E30" s="14">
        <f t="shared" si="5"/>
        <v>296.82</v>
      </c>
      <c r="I30" s="285">
        <f t="shared" si="36"/>
        <v>2702.6299999999997</v>
      </c>
      <c r="J30" s="285">
        <f t="shared" si="37"/>
        <v>4805.6899999999996</v>
      </c>
      <c r="K30" s="285">
        <f t="shared" si="38"/>
        <v>94829.209999999992</v>
      </c>
      <c r="L30" s="425">
        <f t="shared" si="6"/>
        <v>0</v>
      </c>
      <c r="M30" s="425">
        <f t="shared" si="23"/>
        <v>0</v>
      </c>
      <c r="N30" s="285">
        <f t="shared" si="24"/>
        <v>261576</v>
      </c>
      <c r="O30" s="285">
        <f t="shared" si="25"/>
        <v>0</v>
      </c>
      <c r="P30" s="285">
        <f t="shared" si="39"/>
        <v>0</v>
      </c>
      <c r="Q30" s="285">
        <f t="shared" si="26"/>
        <v>0</v>
      </c>
      <c r="R30" s="285">
        <f t="shared" si="7"/>
        <v>0</v>
      </c>
      <c r="S30" s="285">
        <f t="shared" si="8"/>
        <v>0</v>
      </c>
      <c r="T30" s="285">
        <f t="shared" si="9"/>
        <v>0</v>
      </c>
      <c r="U30" s="285">
        <f t="shared" si="40"/>
        <v>0</v>
      </c>
      <c r="V30" s="285">
        <f t="shared" si="41"/>
        <v>0</v>
      </c>
      <c r="W30" s="285">
        <f t="shared" si="42"/>
        <v>261576</v>
      </c>
      <c r="X30" s="502">
        <f t="shared" si="27"/>
        <v>44859</v>
      </c>
      <c r="Y30" s="285">
        <f t="shared" si="43"/>
        <v>331193.40000000002</v>
      </c>
      <c r="Z30" s="494">
        <f t="shared" si="10"/>
        <v>3.7499999999999999E-2</v>
      </c>
      <c r="AA30" s="285">
        <f t="shared" si="11"/>
        <v>0</v>
      </c>
      <c r="AB30" s="285">
        <f t="shared" si="12"/>
        <v>0</v>
      </c>
      <c r="AC30" s="285">
        <f t="shared" si="13"/>
        <v>0</v>
      </c>
      <c r="AD30" s="285">
        <f t="shared" si="14"/>
        <v>0</v>
      </c>
      <c r="AE30" s="285">
        <f t="shared" si="15"/>
        <v>0</v>
      </c>
      <c r="AF30" s="285">
        <f t="shared" si="16"/>
        <v>0</v>
      </c>
      <c r="AG30" s="285">
        <f t="shared" si="44"/>
        <v>0</v>
      </c>
      <c r="AH30" s="285">
        <f t="shared" si="45"/>
        <v>0</v>
      </c>
      <c r="AI30" s="512">
        <f t="shared" si="28"/>
        <v>0</v>
      </c>
      <c r="AJ30" s="512">
        <f t="shared" si="17"/>
        <v>-69617.400000000023</v>
      </c>
      <c r="AK30" s="512"/>
      <c r="AL30" s="285">
        <f t="shared" si="46"/>
        <v>331193.40000000002</v>
      </c>
      <c r="AM30" s="425">
        <f t="shared" si="29"/>
        <v>0</v>
      </c>
      <c r="AN30" s="14">
        <f t="shared" si="19"/>
        <v>0</v>
      </c>
      <c r="AO30" s="14">
        <f t="shared" si="30"/>
        <v>167050.63</v>
      </c>
      <c r="AP30" s="14">
        <f t="shared" si="20"/>
        <v>0</v>
      </c>
      <c r="AS30" s="14">
        <f t="shared" si="21"/>
        <v>0</v>
      </c>
      <c r="AT30" s="14">
        <f t="shared" si="31"/>
        <v>0</v>
      </c>
      <c r="AU30" s="285">
        <f t="shared" si="32"/>
        <v>678.89658229054987</v>
      </c>
      <c r="AV30" s="285">
        <f t="shared" si="33"/>
        <v>10661.529498510496</v>
      </c>
    </row>
    <row r="31" spans="1:48" x14ac:dyDescent="0.25">
      <c r="A31" s="502">
        <f t="shared" si="34"/>
        <v>44889</v>
      </c>
      <c r="B31" s="285">
        <f t="shared" si="22"/>
        <v>94829.209999999992</v>
      </c>
      <c r="C31" s="14">
        <f t="shared" si="4"/>
        <v>450.28</v>
      </c>
      <c r="D31" s="14">
        <f t="shared" si="35"/>
        <v>153.94</v>
      </c>
      <c r="E31" s="14">
        <f t="shared" si="5"/>
        <v>296.33999999999997</v>
      </c>
      <c r="I31" s="285">
        <f t="shared" si="36"/>
        <v>2856.5699999999997</v>
      </c>
      <c r="J31" s="285">
        <f t="shared" si="37"/>
        <v>5102.03</v>
      </c>
      <c r="K31" s="285">
        <f t="shared" si="38"/>
        <v>94675.26999999999</v>
      </c>
      <c r="L31" s="425">
        <f t="shared" si="6"/>
        <v>0</v>
      </c>
      <c r="M31" s="425">
        <f t="shared" si="23"/>
        <v>0</v>
      </c>
      <c r="N31" s="285">
        <f t="shared" si="24"/>
        <v>261576</v>
      </c>
      <c r="O31" s="285">
        <f t="shared" si="25"/>
        <v>0</v>
      </c>
      <c r="P31" s="285">
        <f t="shared" si="39"/>
        <v>0</v>
      </c>
      <c r="Q31" s="285">
        <f t="shared" si="26"/>
        <v>0</v>
      </c>
      <c r="R31" s="285">
        <f t="shared" si="7"/>
        <v>0</v>
      </c>
      <c r="S31" s="285">
        <f t="shared" si="8"/>
        <v>0</v>
      </c>
      <c r="T31" s="285">
        <f t="shared" si="9"/>
        <v>0</v>
      </c>
      <c r="U31" s="285">
        <f t="shared" si="40"/>
        <v>0</v>
      </c>
      <c r="V31" s="285">
        <f t="shared" si="41"/>
        <v>0</v>
      </c>
      <c r="W31" s="285">
        <f t="shared" si="42"/>
        <v>261576</v>
      </c>
      <c r="X31" s="502">
        <f t="shared" si="27"/>
        <v>44889</v>
      </c>
      <c r="Y31" s="285">
        <f t="shared" si="43"/>
        <v>331193.40000000002</v>
      </c>
      <c r="Z31" s="494">
        <f t="shared" si="10"/>
        <v>3.7499999999999999E-2</v>
      </c>
      <c r="AA31" s="285">
        <f t="shared" si="11"/>
        <v>0</v>
      </c>
      <c r="AB31" s="285">
        <f t="shared" si="12"/>
        <v>0</v>
      </c>
      <c r="AC31" s="285">
        <f t="shared" si="13"/>
        <v>0</v>
      </c>
      <c r="AD31" s="285">
        <f t="shared" si="14"/>
        <v>0</v>
      </c>
      <c r="AE31" s="285">
        <f t="shared" si="15"/>
        <v>0</v>
      </c>
      <c r="AF31" s="285">
        <f t="shared" si="16"/>
        <v>0</v>
      </c>
      <c r="AG31" s="285">
        <f t="shared" si="44"/>
        <v>0</v>
      </c>
      <c r="AH31" s="285">
        <f t="shared" si="45"/>
        <v>0</v>
      </c>
      <c r="AI31" s="512">
        <f t="shared" si="28"/>
        <v>0</v>
      </c>
      <c r="AJ31" s="512">
        <f t="shared" si="17"/>
        <v>-69617.400000000023</v>
      </c>
      <c r="AK31" s="512"/>
      <c r="AL31" s="285">
        <f t="shared" si="46"/>
        <v>331193.40000000002</v>
      </c>
      <c r="AM31" s="425">
        <f t="shared" si="29"/>
        <v>0</v>
      </c>
      <c r="AN31" s="14">
        <f t="shared" si="19"/>
        <v>0</v>
      </c>
      <c r="AO31" s="14">
        <f t="shared" si="30"/>
        <v>167204.57</v>
      </c>
      <c r="AP31" s="14">
        <f t="shared" si="20"/>
        <v>0</v>
      </c>
      <c r="AS31" s="14">
        <f t="shared" si="21"/>
        <v>0</v>
      </c>
      <c r="AT31" s="14">
        <f t="shared" si="31"/>
        <v>0</v>
      </c>
      <c r="AU31" s="285">
        <f t="shared" si="32"/>
        <v>680.59382374627614</v>
      </c>
      <c r="AV31" s="285">
        <f t="shared" si="33"/>
        <v>11342.123322256772</v>
      </c>
    </row>
    <row r="32" spans="1:48" x14ac:dyDescent="0.25">
      <c r="A32" s="502">
        <f t="shared" si="34"/>
        <v>44919</v>
      </c>
      <c r="B32" s="285">
        <f t="shared" si="22"/>
        <v>94675.26999999999</v>
      </c>
      <c r="C32" s="14">
        <f t="shared" si="4"/>
        <v>450.28</v>
      </c>
      <c r="D32" s="14">
        <f t="shared" si="35"/>
        <v>154.41999999999996</v>
      </c>
      <c r="E32" s="14">
        <f t="shared" si="5"/>
        <v>295.86</v>
      </c>
      <c r="I32" s="285">
        <f t="shared" ref="I32:I61" si="47">$D32+$I31</f>
        <v>3010.99</v>
      </c>
      <c r="J32" s="285">
        <f t="shared" ref="J32:J61" si="48">$E32+$J31</f>
        <v>5397.8899999999994</v>
      </c>
      <c r="K32" s="285">
        <f t="shared" ref="K32:K61" si="49">+B32-D32</f>
        <v>94520.849999999991</v>
      </c>
      <c r="L32" s="425">
        <f t="shared" si="6"/>
        <v>0</v>
      </c>
      <c r="M32" s="425">
        <f t="shared" si="23"/>
        <v>0</v>
      </c>
      <c r="N32" s="285">
        <f t="shared" si="24"/>
        <v>261576</v>
      </c>
      <c r="O32" s="285">
        <f t="shared" si="25"/>
        <v>0</v>
      </c>
      <c r="P32" s="285">
        <f t="shared" si="39"/>
        <v>0</v>
      </c>
      <c r="Q32" s="285">
        <f t="shared" si="26"/>
        <v>0</v>
      </c>
      <c r="R32" s="285">
        <f t="shared" si="7"/>
        <v>0</v>
      </c>
      <c r="S32" s="285">
        <f t="shared" si="8"/>
        <v>0</v>
      </c>
      <c r="T32" s="285">
        <f t="shared" si="9"/>
        <v>0</v>
      </c>
      <c r="U32" s="285">
        <f t="shared" si="40"/>
        <v>0</v>
      </c>
      <c r="V32" s="285">
        <f t="shared" si="41"/>
        <v>0</v>
      </c>
      <c r="W32" s="285">
        <f t="shared" si="42"/>
        <v>261576</v>
      </c>
      <c r="X32" s="502">
        <f t="shared" si="27"/>
        <v>44919</v>
      </c>
      <c r="Y32" s="285">
        <f t="shared" si="43"/>
        <v>331193.40000000002</v>
      </c>
      <c r="Z32" s="494">
        <f t="shared" si="10"/>
        <v>3.7499999999999999E-2</v>
      </c>
      <c r="AA32" s="285">
        <f t="shared" si="11"/>
        <v>0</v>
      </c>
      <c r="AB32" s="285">
        <f t="shared" si="12"/>
        <v>0</v>
      </c>
      <c r="AC32" s="285">
        <f t="shared" si="13"/>
        <v>0</v>
      </c>
      <c r="AD32" s="285">
        <f t="shared" si="14"/>
        <v>0</v>
      </c>
      <c r="AE32" s="285">
        <f t="shared" si="15"/>
        <v>0</v>
      </c>
      <c r="AF32" s="285">
        <f t="shared" si="16"/>
        <v>0</v>
      </c>
      <c r="AG32" s="285">
        <f t="shared" si="44"/>
        <v>0</v>
      </c>
      <c r="AH32" s="285">
        <f t="shared" si="45"/>
        <v>0</v>
      </c>
      <c r="AI32" s="512">
        <f t="shared" si="28"/>
        <v>0</v>
      </c>
      <c r="AJ32" s="512">
        <f t="shared" si="17"/>
        <v>-69617.400000000023</v>
      </c>
      <c r="AK32" s="512"/>
      <c r="AL32" s="285">
        <f t="shared" si="46"/>
        <v>331193.40000000002</v>
      </c>
      <c r="AM32" s="425">
        <f t="shared" si="29"/>
        <v>0</v>
      </c>
      <c r="AN32" s="14">
        <f t="shared" si="19"/>
        <v>0</v>
      </c>
      <c r="AO32" s="14">
        <f t="shared" si="30"/>
        <v>167358.99</v>
      </c>
      <c r="AP32" s="14">
        <f t="shared" si="20"/>
        <v>0</v>
      </c>
      <c r="AS32" s="14">
        <f t="shared" si="21"/>
        <v>0</v>
      </c>
      <c r="AT32" s="14">
        <f t="shared" si="31"/>
        <v>0</v>
      </c>
      <c r="AU32" s="285">
        <f t="shared" si="32"/>
        <v>682.29530830564192</v>
      </c>
      <c r="AV32" s="285">
        <f t="shared" si="33"/>
        <v>12024.418630562413</v>
      </c>
    </row>
    <row r="33" spans="1:48" x14ac:dyDescent="0.25">
      <c r="A33" s="502">
        <f t="shared" si="34"/>
        <v>44949</v>
      </c>
      <c r="B33" s="285">
        <f t="shared" si="22"/>
        <v>94520.849999999991</v>
      </c>
      <c r="C33" s="14">
        <f t="shared" si="4"/>
        <v>450.28</v>
      </c>
      <c r="D33" s="14">
        <f t="shared" si="35"/>
        <v>154.89999999999998</v>
      </c>
      <c r="E33" s="14">
        <f t="shared" si="5"/>
        <v>295.38</v>
      </c>
      <c r="I33" s="285">
        <f t="shared" si="47"/>
        <v>3165.89</v>
      </c>
      <c r="J33" s="285">
        <f t="shared" si="48"/>
        <v>5693.2699999999995</v>
      </c>
      <c r="K33" s="285">
        <f t="shared" si="49"/>
        <v>94365.95</v>
      </c>
      <c r="L33" s="425">
        <f t="shared" si="6"/>
        <v>0</v>
      </c>
      <c r="M33" s="425">
        <f t="shared" si="23"/>
        <v>0</v>
      </c>
      <c r="N33" s="285">
        <f t="shared" si="24"/>
        <v>261576</v>
      </c>
      <c r="O33" s="285">
        <f t="shared" si="25"/>
        <v>0</v>
      </c>
      <c r="P33" s="285">
        <f t="shared" si="39"/>
        <v>0</v>
      </c>
      <c r="Q33" s="285">
        <f t="shared" si="26"/>
        <v>0</v>
      </c>
      <c r="R33" s="285">
        <f t="shared" si="7"/>
        <v>0</v>
      </c>
      <c r="S33" s="285">
        <f t="shared" si="8"/>
        <v>0</v>
      </c>
      <c r="T33" s="285">
        <f t="shared" si="9"/>
        <v>0</v>
      </c>
      <c r="U33" s="285">
        <f t="shared" si="40"/>
        <v>0</v>
      </c>
      <c r="V33" s="285">
        <f t="shared" si="41"/>
        <v>0</v>
      </c>
      <c r="W33" s="285">
        <f t="shared" si="42"/>
        <v>261576</v>
      </c>
      <c r="X33" s="502">
        <f t="shared" si="27"/>
        <v>44949</v>
      </c>
      <c r="Y33" s="285">
        <f t="shared" si="43"/>
        <v>331193.40000000002</v>
      </c>
      <c r="Z33" s="494">
        <f t="shared" si="10"/>
        <v>3.7499999999999999E-2</v>
      </c>
      <c r="AA33" s="285">
        <f t="shared" si="11"/>
        <v>0</v>
      </c>
      <c r="AB33" s="285">
        <f t="shared" si="12"/>
        <v>0</v>
      </c>
      <c r="AC33" s="285">
        <f t="shared" si="13"/>
        <v>0</v>
      </c>
      <c r="AD33" s="285">
        <f t="shared" si="14"/>
        <v>0</v>
      </c>
      <c r="AE33" s="285">
        <f t="shared" si="15"/>
        <v>0</v>
      </c>
      <c r="AF33" s="285">
        <f t="shared" si="16"/>
        <v>0</v>
      </c>
      <c r="AG33" s="285">
        <f t="shared" si="44"/>
        <v>0</v>
      </c>
      <c r="AH33" s="285">
        <f t="shared" si="45"/>
        <v>0</v>
      </c>
      <c r="AI33" s="512">
        <f t="shared" si="28"/>
        <v>0</v>
      </c>
      <c r="AJ33" s="512">
        <f t="shared" si="17"/>
        <v>-69617.400000000023</v>
      </c>
      <c r="AK33" s="512"/>
      <c r="AL33" s="285">
        <f t="shared" si="46"/>
        <v>331193.40000000002</v>
      </c>
      <c r="AM33" s="425">
        <f t="shared" si="29"/>
        <v>0</v>
      </c>
      <c r="AN33" s="14">
        <f t="shared" si="19"/>
        <v>0</v>
      </c>
      <c r="AO33" s="14">
        <f t="shared" si="30"/>
        <v>167513.89000000001</v>
      </c>
      <c r="AP33" s="14">
        <f t="shared" si="20"/>
        <v>0</v>
      </c>
      <c r="AS33" s="14">
        <f t="shared" si="21"/>
        <v>0</v>
      </c>
      <c r="AT33" s="14">
        <f t="shared" si="31"/>
        <v>0</v>
      </c>
      <c r="AU33" s="285">
        <f t="shared" si="32"/>
        <v>684.00104657640611</v>
      </c>
      <c r="AV33" s="285">
        <f t="shared" si="33"/>
        <v>12708.41967713882</v>
      </c>
    </row>
    <row r="34" spans="1:48" x14ac:dyDescent="0.25">
      <c r="A34" s="502">
        <f t="shared" si="34"/>
        <v>44979</v>
      </c>
      <c r="B34" s="285">
        <f t="shared" si="22"/>
        <v>94365.95</v>
      </c>
      <c r="C34" s="14">
        <f t="shared" si="4"/>
        <v>450.28</v>
      </c>
      <c r="D34" s="14">
        <f t="shared" si="35"/>
        <v>155.38999999999999</v>
      </c>
      <c r="E34" s="14">
        <f t="shared" si="5"/>
        <v>294.89</v>
      </c>
      <c r="I34" s="285">
        <f t="shared" si="47"/>
        <v>3321.2799999999997</v>
      </c>
      <c r="J34" s="285">
        <f t="shared" si="48"/>
        <v>5988.16</v>
      </c>
      <c r="K34" s="285">
        <f t="shared" si="49"/>
        <v>94210.559999999998</v>
      </c>
      <c r="L34" s="425">
        <f t="shared" si="6"/>
        <v>0</v>
      </c>
      <c r="M34" s="425">
        <f t="shared" si="23"/>
        <v>0</v>
      </c>
      <c r="N34" s="285">
        <f t="shared" si="24"/>
        <v>261576</v>
      </c>
      <c r="O34" s="285">
        <f t="shared" si="25"/>
        <v>0</v>
      </c>
      <c r="P34" s="285">
        <f t="shared" si="39"/>
        <v>0</v>
      </c>
      <c r="Q34" s="285">
        <f t="shared" si="26"/>
        <v>0</v>
      </c>
      <c r="R34" s="285">
        <f t="shared" si="7"/>
        <v>0</v>
      </c>
      <c r="S34" s="285">
        <f t="shared" si="8"/>
        <v>0</v>
      </c>
      <c r="T34" s="285">
        <f t="shared" si="9"/>
        <v>0</v>
      </c>
      <c r="U34" s="285">
        <f t="shared" si="40"/>
        <v>0</v>
      </c>
      <c r="V34" s="285">
        <f t="shared" si="41"/>
        <v>0</v>
      </c>
      <c r="W34" s="285">
        <f t="shared" si="42"/>
        <v>261576</v>
      </c>
      <c r="X34" s="502">
        <f t="shared" si="27"/>
        <v>44979</v>
      </c>
      <c r="Y34" s="285">
        <f t="shared" si="43"/>
        <v>331193.40000000002</v>
      </c>
      <c r="Z34" s="494">
        <f t="shared" si="10"/>
        <v>3.7499999999999999E-2</v>
      </c>
      <c r="AA34" s="285">
        <f t="shared" si="11"/>
        <v>0</v>
      </c>
      <c r="AB34" s="285">
        <f t="shared" si="12"/>
        <v>0</v>
      </c>
      <c r="AC34" s="285">
        <f t="shared" si="13"/>
        <v>0</v>
      </c>
      <c r="AD34" s="285">
        <f t="shared" si="14"/>
        <v>0</v>
      </c>
      <c r="AE34" s="285">
        <f t="shared" si="15"/>
        <v>0</v>
      </c>
      <c r="AF34" s="285">
        <f t="shared" si="16"/>
        <v>0</v>
      </c>
      <c r="AG34" s="285">
        <f t="shared" si="44"/>
        <v>0</v>
      </c>
      <c r="AH34" s="285">
        <f t="shared" si="45"/>
        <v>0</v>
      </c>
      <c r="AI34" s="512">
        <f t="shared" si="28"/>
        <v>0</v>
      </c>
      <c r="AJ34" s="512">
        <f t="shared" si="17"/>
        <v>-69617.400000000023</v>
      </c>
      <c r="AK34" s="512"/>
      <c r="AL34" s="285">
        <f t="shared" si="46"/>
        <v>331193.40000000002</v>
      </c>
      <c r="AM34" s="425">
        <f t="shared" si="29"/>
        <v>0</v>
      </c>
      <c r="AN34" s="14">
        <f t="shared" si="19"/>
        <v>0</v>
      </c>
      <c r="AO34" s="14">
        <f t="shared" si="30"/>
        <v>167669.28</v>
      </c>
      <c r="AP34" s="14">
        <f t="shared" si="20"/>
        <v>0</v>
      </c>
      <c r="AS34" s="14">
        <f t="shared" si="21"/>
        <v>0</v>
      </c>
      <c r="AT34" s="14">
        <f t="shared" si="31"/>
        <v>0</v>
      </c>
      <c r="AU34" s="285">
        <f t="shared" si="32"/>
        <v>685.71104919284699</v>
      </c>
      <c r="AV34" s="285">
        <f t="shared" si="33"/>
        <v>13394.130726331667</v>
      </c>
    </row>
    <row r="35" spans="1:48" x14ac:dyDescent="0.25">
      <c r="A35" s="502">
        <f t="shared" si="34"/>
        <v>45009</v>
      </c>
      <c r="B35" s="285">
        <f t="shared" si="22"/>
        <v>94210.559999999998</v>
      </c>
      <c r="C35" s="14">
        <f t="shared" si="4"/>
        <v>450.28</v>
      </c>
      <c r="D35" s="14">
        <f t="shared" si="35"/>
        <v>155.86999999999995</v>
      </c>
      <c r="E35" s="14">
        <f t="shared" si="5"/>
        <v>294.41000000000003</v>
      </c>
      <c r="I35" s="285">
        <f t="shared" si="47"/>
        <v>3477.1499999999996</v>
      </c>
      <c r="J35" s="285">
        <f t="shared" si="48"/>
        <v>6282.57</v>
      </c>
      <c r="K35" s="285">
        <f t="shared" si="49"/>
        <v>94054.69</v>
      </c>
      <c r="L35" s="425">
        <f t="shared" si="6"/>
        <v>0</v>
      </c>
      <c r="M35" s="425">
        <f t="shared" si="23"/>
        <v>0</v>
      </c>
      <c r="N35" s="285">
        <f t="shared" si="24"/>
        <v>261576</v>
      </c>
      <c r="O35" s="285">
        <f t="shared" si="25"/>
        <v>0</v>
      </c>
      <c r="P35" s="285">
        <f t="shared" si="39"/>
        <v>0</v>
      </c>
      <c r="Q35" s="285">
        <f t="shared" si="26"/>
        <v>0</v>
      </c>
      <c r="R35" s="285">
        <f t="shared" si="7"/>
        <v>0</v>
      </c>
      <c r="S35" s="285">
        <f t="shared" si="8"/>
        <v>0</v>
      </c>
      <c r="T35" s="285">
        <f t="shared" si="9"/>
        <v>0</v>
      </c>
      <c r="U35" s="285">
        <f t="shared" si="40"/>
        <v>0</v>
      </c>
      <c r="V35" s="285">
        <f t="shared" si="41"/>
        <v>0</v>
      </c>
      <c r="W35" s="285">
        <f t="shared" si="42"/>
        <v>261576</v>
      </c>
      <c r="X35" s="502">
        <f t="shared" si="27"/>
        <v>45009</v>
      </c>
      <c r="Y35" s="285">
        <f t="shared" si="43"/>
        <v>331193.40000000002</v>
      </c>
      <c r="Z35" s="494">
        <f t="shared" si="10"/>
        <v>3.7499999999999999E-2</v>
      </c>
      <c r="AA35" s="285">
        <f t="shared" si="11"/>
        <v>0</v>
      </c>
      <c r="AB35" s="285">
        <f t="shared" si="12"/>
        <v>0</v>
      </c>
      <c r="AC35" s="285">
        <f t="shared" si="13"/>
        <v>0</v>
      </c>
      <c r="AD35" s="285">
        <f t="shared" si="14"/>
        <v>0</v>
      </c>
      <c r="AE35" s="285">
        <f t="shared" si="15"/>
        <v>0</v>
      </c>
      <c r="AF35" s="285">
        <f t="shared" si="16"/>
        <v>0</v>
      </c>
      <c r="AG35" s="285">
        <f t="shared" si="44"/>
        <v>0</v>
      </c>
      <c r="AH35" s="285">
        <f t="shared" si="45"/>
        <v>0</v>
      </c>
      <c r="AI35" s="512">
        <f t="shared" si="28"/>
        <v>0</v>
      </c>
      <c r="AJ35" s="512">
        <f t="shared" si="17"/>
        <v>-69617.400000000023</v>
      </c>
      <c r="AK35" s="512"/>
      <c r="AL35" s="285">
        <f t="shared" si="46"/>
        <v>331193.40000000002</v>
      </c>
      <c r="AM35" s="425">
        <f t="shared" si="29"/>
        <v>0</v>
      </c>
      <c r="AN35" s="14">
        <f t="shared" si="19"/>
        <v>0</v>
      </c>
      <c r="AO35" s="14">
        <f t="shared" si="30"/>
        <v>167825.15</v>
      </c>
      <c r="AP35" s="14">
        <f t="shared" si="20"/>
        <v>0</v>
      </c>
      <c r="AS35" s="14">
        <f t="shared" si="21"/>
        <v>0</v>
      </c>
      <c r="AT35" s="14">
        <f t="shared" si="31"/>
        <v>0</v>
      </c>
      <c r="AU35" s="285">
        <f t="shared" si="32"/>
        <v>687.42532681582918</v>
      </c>
      <c r="AV35" s="285">
        <f t="shared" si="33"/>
        <v>14081.556053147497</v>
      </c>
    </row>
    <row r="36" spans="1:48" x14ac:dyDescent="0.25">
      <c r="A36" s="502">
        <f t="shared" si="34"/>
        <v>45039</v>
      </c>
      <c r="B36" s="285">
        <f t="shared" si="22"/>
        <v>94054.69</v>
      </c>
      <c r="C36" s="14">
        <f t="shared" si="4"/>
        <v>450.28</v>
      </c>
      <c r="D36" s="14">
        <f t="shared" si="35"/>
        <v>156.35999999999996</v>
      </c>
      <c r="E36" s="14">
        <f t="shared" si="5"/>
        <v>293.92</v>
      </c>
      <c r="I36" s="285">
        <f t="shared" si="47"/>
        <v>3633.5099999999998</v>
      </c>
      <c r="J36" s="285">
        <f t="shared" si="48"/>
        <v>6576.49</v>
      </c>
      <c r="K36" s="285">
        <f t="shared" si="49"/>
        <v>93898.33</v>
      </c>
      <c r="L36" s="425">
        <f t="shared" si="6"/>
        <v>0</v>
      </c>
      <c r="M36" s="425">
        <f t="shared" si="23"/>
        <v>0</v>
      </c>
      <c r="N36" s="285">
        <f t="shared" si="24"/>
        <v>261576</v>
      </c>
      <c r="O36" s="285">
        <f t="shared" si="25"/>
        <v>0</v>
      </c>
      <c r="P36" s="285">
        <f t="shared" si="39"/>
        <v>0</v>
      </c>
      <c r="Q36" s="285">
        <f t="shared" si="26"/>
        <v>0</v>
      </c>
      <c r="R36" s="285">
        <f t="shared" si="7"/>
        <v>0</v>
      </c>
      <c r="S36" s="285">
        <f t="shared" si="8"/>
        <v>0</v>
      </c>
      <c r="T36" s="285">
        <f t="shared" si="9"/>
        <v>0</v>
      </c>
      <c r="U36" s="285">
        <f t="shared" si="40"/>
        <v>0</v>
      </c>
      <c r="V36" s="285">
        <f t="shared" si="41"/>
        <v>0</v>
      </c>
      <c r="W36" s="285">
        <f t="shared" si="42"/>
        <v>261576</v>
      </c>
      <c r="X36" s="502">
        <f t="shared" si="27"/>
        <v>45039</v>
      </c>
      <c r="Y36" s="285">
        <f t="shared" si="43"/>
        <v>331193.40000000002</v>
      </c>
      <c r="Z36" s="494">
        <f t="shared" si="10"/>
        <v>3.7499999999999999E-2</v>
      </c>
      <c r="AA36" s="285">
        <f t="shared" si="11"/>
        <v>0</v>
      </c>
      <c r="AB36" s="285">
        <f t="shared" si="12"/>
        <v>0</v>
      </c>
      <c r="AC36" s="285">
        <f t="shared" si="13"/>
        <v>0</v>
      </c>
      <c r="AD36" s="285">
        <f t="shared" si="14"/>
        <v>0</v>
      </c>
      <c r="AE36" s="285">
        <f t="shared" si="15"/>
        <v>0</v>
      </c>
      <c r="AF36" s="285">
        <f t="shared" si="16"/>
        <v>0</v>
      </c>
      <c r="AG36" s="285">
        <f t="shared" si="44"/>
        <v>0</v>
      </c>
      <c r="AH36" s="285">
        <f t="shared" si="45"/>
        <v>0</v>
      </c>
      <c r="AI36" s="512">
        <f t="shared" si="28"/>
        <v>0</v>
      </c>
      <c r="AJ36" s="512">
        <f t="shared" si="17"/>
        <v>-69617.400000000023</v>
      </c>
      <c r="AK36" s="512"/>
      <c r="AL36" s="285">
        <f t="shared" si="46"/>
        <v>331193.40000000002</v>
      </c>
      <c r="AM36" s="425">
        <f t="shared" si="29"/>
        <v>0</v>
      </c>
      <c r="AN36" s="14">
        <f t="shared" si="19"/>
        <v>0</v>
      </c>
      <c r="AO36" s="14">
        <f t="shared" si="30"/>
        <v>167981.51</v>
      </c>
      <c r="AP36" s="14">
        <f t="shared" si="20"/>
        <v>0</v>
      </c>
      <c r="AS36" s="14">
        <f t="shared" si="21"/>
        <v>0</v>
      </c>
      <c r="AT36" s="14">
        <f t="shared" si="31"/>
        <v>0</v>
      </c>
      <c r="AU36" s="285">
        <f t="shared" si="32"/>
        <v>689.14389013286871</v>
      </c>
      <c r="AV36" s="285">
        <f t="shared" si="33"/>
        <v>14770.699943280366</v>
      </c>
    </row>
    <row r="37" spans="1:48" x14ac:dyDescent="0.25">
      <c r="A37" s="502">
        <f t="shared" si="34"/>
        <v>45069</v>
      </c>
      <c r="B37" s="285">
        <f t="shared" si="22"/>
        <v>93898.33</v>
      </c>
      <c r="C37" s="14">
        <f t="shared" si="4"/>
        <v>450.28</v>
      </c>
      <c r="D37" s="14">
        <f t="shared" si="35"/>
        <v>156.84999999999997</v>
      </c>
      <c r="E37" s="14">
        <f t="shared" si="5"/>
        <v>293.43</v>
      </c>
      <c r="I37" s="285">
        <f t="shared" si="47"/>
        <v>3790.3599999999997</v>
      </c>
      <c r="J37" s="285">
        <f t="shared" si="48"/>
        <v>6869.92</v>
      </c>
      <c r="K37" s="285">
        <f t="shared" si="49"/>
        <v>93741.48</v>
      </c>
      <c r="L37" s="425">
        <f t="shared" si="6"/>
        <v>0</v>
      </c>
      <c r="M37" s="425">
        <f t="shared" si="23"/>
        <v>0</v>
      </c>
      <c r="N37" s="285">
        <f t="shared" si="24"/>
        <v>261576</v>
      </c>
      <c r="O37" s="285">
        <f t="shared" si="25"/>
        <v>0</v>
      </c>
      <c r="P37" s="285">
        <f t="shared" si="39"/>
        <v>0</v>
      </c>
      <c r="Q37" s="285">
        <f t="shared" si="26"/>
        <v>0</v>
      </c>
      <c r="R37" s="285">
        <f t="shared" si="7"/>
        <v>0</v>
      </c>
      <c r="S37" s="285">
        <f t="shared" si="8"/>
        <v>0</v>
      </c>
      <c r="T37" s="285">
        <f t="shared" si="9"/>
        <v>0</v>
      </c>
      <c r="U37" s="285">
        <f t="shared" si="40"/>
        <v>0</v>
      </c>
      <c r="V37" s="285">
        <f t="shared" si="41"/>
        <v>0</v>
      </c>
      <c r="W37" s="285">
        <f t="shared" si="42"/>
        <v>261576</v>
      </c>
      <c r="X37" s="502">
        <f t="shared" si="27"/>
        <v>45069</v>
      </c>
      <c r="Y37" s="285">
        <f t="shared" si="43"/>
        <v>331193.40000000002</v>
      </c>
      <c r="Z37" s="494">
        <f t="shared" si="10"/>
        <v>3.7499999999999999E-2</v>
      </c>
      <c r="AA37" s="285">
        <f t="shared" si="11"/>
        <v>0</v>
      </c>
      <c r="AB37" s="285">
        <f t="shared" si="12"/>
        <v>0</v>
      </c>
      <c r="AC37" s="285">
        <f t="shared" si="13"/>
        <v>0</v>
      </c>
      <c r="AD37" s="285">
        <f t="shared" si="14"/>
        <v>0</v>
      </c>
      <c r="AE37" s="285">
        <f t="shared" si="15"/>
        <v>0</v>
      </c>
      <c r="AF37" s="285">
        <f t="shared" si="16"/>
        <v>0</v>
      </c>
      <c r="AG37" s="285">
        <f t="shared" si="44"/>
        <v>0</v>
      </c>
      <c r="AH37" s="285">
        <f t="shared" si="45"/>
        <v>0</v>
      </c>
      <c r="AI37" s="512">
        <f t="shared" si="28"/>
        <v>0</v>
      </c>
      <c r="AJ37" s="512">
        <f t="shared" si="17"/>
        <v>-69617.400000000023</v>
      </c>
      <c r="AK37" s="512"/>
      <c r="AL37" s="285">
        <f t="shared" si="46"/>
        <v>331193.40000000002</v>
      </c>
      <c r="AM37" s="425">
        <f t="shared" si="29"/>
        <v>0</v>
      </c>
      <c r="AN37" s="14">
        <f t="shared" si="19"/>
        <v>0</v>
      </c>
      <c r="AO37" s="14">
        <f t="shared" si="30"/>
        <v>168138.36</v>
      </c>
      <c r="AP37" s="14">
        <f t="shared" si="20"/>
        <v>0</v>
      </c>
      <c r="AS37" s="14">
        <f t="shared" si="21"/>
        <v>0</v>
      </c>
      <c r="AT37" s="14">
        <f t="shared" si="31"/>
        <v>0</v>
      </c>
      <c r="AU37" s="285">
        <f t="shared" si="32"/>
        <v>690.86674985820093</v>
      </c>
      <c r="AV37" s="285">
        <f t="shared" si="33"/>
        <v>15461.566693138568</v>
      </c>
    </row>
    <row r="38" spans="1:48" ht="15.75" thickBot="1" x14ac:dyDescent="0.3">
      <c r="A38" s="505">
        <f t="shared" si="34"/>
        <v>45099</v>
      </c>
      <c r="B38" s="345">
        <f t="shared" si="22"/>
        <v>93741.48</v>
      </c>
      <c r="C38" s="21">
        <f t="shared" si="4"/>
        <v>450.28</v>
      </c>
      <c r="D38" s="21">
        <f t="shared" si="35"/>
        <v>157.33999999999997</v>
      </c>
      <c r="E38" s="21">
        <f t="shared" si="5"/>
        <v>292.94</v>
      </c>
      <c r="F38" s="21"/>
      <c r="G38" s="21"/>
      <c r="H38" s="21"/>
      <c r="I38" s="345">
        <f t="shared" si="47"/>
        <v>3947.7</v>
      </c>
      <c r="J38" s="345">
        <f t="shared" si="48"/>
        <v>7162.86</v>
      </c>
      <c r="K38" s="345">
        <f t="shared" si="49"/>
        <v>93584.14</v>
      </c>
      <c r="L38" s="426">
        <f t="shared" si="6"/>
        <v>0</v>
      </c>
      <c r="M38" s="426">
        <f t="shared" si="23"/>
        <v>0</v>
      </c>
      <c r="N38" s="345">
        <f t="shared" si="24"/>
        <v>261576</v>
      </c>
      <c r="O38" s="345">
        <f t="shared" si="25"/>
        <v>0</v>
      </c>
      <c r="P38" s="345">
        <f t="shared" si="39"/>
        <v>0</v>
      </c>
      <c r="Q38" s="345">
        <f t="shared" si="26"/>
        <v>0</v>
      </c>
      <c r="R38" s="345">
        <f t="shared" si="7"/>
        <v>0</v>
      </c>
      <c r="S38" s="345">
        <f t="shared" si="8"/>
        <v>0</v>
      </c>
      <c r="T38" s="345">
        <f t="shared" si="9"/>
        <v>0</v>
      </c>
      <c r="U38" s="345">
        <f t="shared" si="40"/>
        <v>0</v>
      </c>
      <c r="V38" s="345">
        <f t="shared" si="41"/>
        <v>0</v>
      </c>
      <c r="W38" s="345">
        <f t="shared" si="42"/>
        <v>261576</v>
      </c>
      <c r="X38" s="505">
        <f t="shared" si="27"/>
        <v>45099</v>
      </c>
      <c r="Y38" s="345">
        <f t="shared" si="43"/>
        <v>331193.40000000002</v>
      </c>
      <c r="Z38" s="495">
        <f t="shared" si="10"/>
        <v>3.7499999999999999E-2</v>
      </c>
      <c r="AA38" s="345">
        <f t="shared" si="11"/>
        <v>0</v>
      </c>
      <c r="AB38" s="345">
        <f t="shared" si="12"/>
        <v>0</v>
      </c>
      <c r="AC38" s="345">
        <f t="shared" si="13"/>
        <v>0</v>
      </c>
      <c r="AD38" s="345">
        <f t="shared" si="14"/>
        <v>0</v>
      </c>
      <c r="AE38" s="345">
        <f t="shared" si="15"/>
        <v>0</v>
      </c>
      <c r="AF38" s="345">
        <f t="shared" si="16"/>
        <v>0</v>
      </c>
      <c r="AG38" s="345">
        <f t="shared" si="44"/>
        <v>0</v>
      </c>
      <c r="AH38" s="345">
        <f t="shared" si="45"/>
        <v>0</v>
      </c>
      <c r="AI38" s="513">
        <f t="shared" si="28"/>
        <v>0</v>
      </c>
      <c r="AJ38" s="513">
        <f t="shared" si="17"/>
        <v>-69617.400000000023</v>
      </c>
      <c r="AK38" s="513"/>
      <c r="AL38" s="345">
        <f t="shared" si="46"/>
        <v>331193.40000000002</v>
      </c>
      <c r="AM38" s="426">
        <f t="shared" si="29"/>
        <v>0</v>
      </c>
      <c r="AN38" s="21">
        <f t="shared" si="19"/>
        <v>0</v>
      </c>
      <c r="AO38" s="21">
        <f t="shared" si="30"/>
        <v>168295.7</v>
      </c>
      <c r="AP38" s="21">
        <f t="shared" si="20"/>
        <v>0</v>
      </c>
      <c r="AQ38" s="21"/>
      <c r="AR38" s="23"/>
      <c r="AS38" s="21">
        <f t="shared" si="21"/>
        <v>0</v>
      </c>
      <c r="AT38" s="21">
        <f t="shared" si="31"/>
        <v>0</v>
      </c>
      <c r="AU38" s="345">
        <f t="shared" si="32"/>
        <v>692.59391673284642</v>
      </c>
      <c r="AV38" s="345">
        <f t="shared" si="33"/>
        <v>16154.160609871415</v>
      </c>
    </row>
    <row r="39" spans="1:48" x14ac:dyDescent="0.25">
      <c r="A39" s="502">
        <f t="shared" si="34"/>
        <v>45129</v>
      </c>
      <c r="B39" s="285">
        <f t="shared" si="22"/>
        <v>93584.14</v>
      </c>
      <c r="C39" s="14">
        <f t="shared" si="4"/>
        <v>450.28</v>
      </c>
      <c r="D39" s="14">
        <f t="shared" si="35"/>
        <v>157.82999999999998</v>
      </c>
      <c r="E39" s="14">
        <f t="shared" si="5"/>
        <v>292.45</v>
      </c>
      <c r="I39" s="285">
        <f t="shared" si="47"/>
        <v>4105.53</v>
      </c>
      <c r="J39" s="285">
        <f t="shared" si="48"/>
        <v>7455.3099999999995</v>
      </c>
      <c r="K39" s="285">
        <f t="shared" si="49"/>
        <v>93426.31</v>
      </c>
      <c r="L39" s="425">
        <f t="shared" si="6"/>
        <v>0</v>
      </c>
      <c r="M39" s="425">
        <f t="shared" si="23"/>
        <v>0</v>
      </c>
      <c r="N39" s="285">
        <f t="shared" si="24"/>
        <v>261576</v>
      </c>
      <c r="O39" s="285">
        <f t="shared" si="25"/>
        <v>0</v>
      </c>
      <c r="P39" s="285">
        <f t="shared" si="39"/>
        <v>0</v>
      </c>
      <c r="Q39" s="285">
        <f t="shared" si="26"/>
        <v>0</v>
      </c>
      <c r="R39" s="285">
        <f t="shared" si="7"/>
        <v>0</v>
      </c>
      <c r="S39" s="285">
        <f t="shared" si="8"/>
        <v>0</v>
      </c>
      <c r="T39" s="285">
        <f t="shared" si="9"/>
        <v>0</v>
      </c>
      <c r="U39" s="285">
        <f t="shared" si="40"/>
        <v>0</v>
      </c>
      <c r="V39" s="285">
        <f t="shared" si="41"/>
        <v>0</v>
      </c>
      <c r="W39" s="285">
        <f t="shared" si="42"/>
        <v>261576</v>
      </c>
      <c r="X39" s="502">
        <f t="shared" si="27"/>
        <v>45129</v>
      </c>
      <c r="Y39" s="285">
        <f t="shared" si="43"/>
        <v>331193.40000000002</v>
      </c>
      <c r="Z39" s="494">
        <f t="shared" si="10"/>
        <v>3.7499999999999999E-2</v>
      </c>
      <c r="AA39" s="285">
        <f t="shared" si="11"/>
        <v>0</v>
      </c>
      <c r="AB39" s="285">
        <f t="shared" si="12"/>
        <v>0</v>
      </c>
      <c r="AC39" s="285">
        <f t="shared" si="13"/>
        <v>0</v>
      </c>
      <c r="AD39" s="285">
        <f t="shared" si="14"/>
        <v>0</v>
      </c>
      <c r="AE39" s="285">
        <f t="shared" si="15"/>
        <v>0</v>
      </c>
      <c r="AF39" s="285">
        <f t="shared" si="16"/>
        <v>0</v>
      </c>
      <c r="AG39" s="285">
        <f t="shared" si="44"/>
        <v>0</v>
      </c>
      <c r="AH39" s="285">
        <f t="shared" si="45"/>
        <v>0</v>
      </c>
      <c r="AI39" s="512">
        <f t="shared" si="28"/>
        <v>0</v>
      </c>
      <c r="AJ39" s="512">
        <f t="shared" si="17"/>
        <v>-69617.400000000023</v>
      </c>
      <c r="AK39" s="512"/>
      <c r="AL39" s="285">
        <f t="shared" si="46"/>
        <v>331193.40000000002</v>
      </c>
      <c r="AM39" s="425">
        <f t="shared" si="29"/>
        <v>0</v>
      </c>
      <c r="AN39" s="14">
        <f t="shared" si="19"/>
        <v>0</v>
      </c>
      <c r="AO39" s="14">
        <f t="shared" si="30"/>
        <v>168453.53</v>
      </c>
      <c r="AP39" s="14">
        <f t="shared" si="20"/>
        <v>0</v>
      </c>
      <c r="AS39" s="14">
        <f t="shared" si="21"/>
        <v>0</v>
      </c>
      <c r="AT39" s="14">
        <f t="shared" si="31"/>
        <v>0</v>
      </c>
      <c r="AU39" s="285">
        <f t="shared" si="32"/>
        <v>694.32540152467857</v>
      </c>
      <c r="AV39" s="285">
        <f t="shared" si="33"/>
        <v>16848.486011396093</v>
      </c>
    </row>
    <row r="40" spans="1:48" x14ac:dyDescent="0.25">
      <c r="A40" s="502">
        <f t="shared" si="34"/>
        <v>45159</v>
      </c>
      <c r="B40" s="285">
        <f t="shared" si="22"/>
        <v>93426.31</v>
      </c>
      <c r="C40" s="14">
        <f t="shared" si="4"/>
        <v>450.28</v>
      </c>
      <c r="D40" s="14">
        <f t="shared" si="35"/>
        <v>158.32</v>
      </c>
      <c r="E40" s="14">
        <f t="shared" si="5"/>
        <v>291.95999999999998</v>
      </c>
      <c r="I40" s="285">
        <f t="shared" si="47"/>
        <v>4263.8499999999995</v>
      </c>
      <c r="J40" s="285">
        <f t="shared" si="48"/>
        <v>7747.2699999999995</v>
      </c>
      <c r="K40" s="285">
        <f t="shared" si="49"/>
        <v>93267.989999999991</v>
      </c>
      <c r="L40" s="425">
        <f t="shared" si="6"/>
        <v>0</v>
      </c>
      <c r="M40" s="425">
        <f t="shared" si="23"/>
        <v>0</v>
      </c>
      <c r="N40" s="285">
        <f t="shared" si="24"/>
        <v>261576</v>
      </c>
      <c r="O40" s="285">
        <f t="shared" si="25"/>
        <v>0</v>
      </c>
      <c r="P40" s="285">
        <f t="shared" si="39"/>
        <v>0</v>
      </c>
      <c r="Q40" s="285">
        <f t="shared" si="26"/>
        <v>0</v>
      </c>
      <c r="R40" s="285">
        <f t="shared" si="7"/>
        <v>0</v>
      </c>
      <c r="S40" s="285">
        <f t="shared" si="8"/>
        <v>0</v>
      </c>
      <c r="T40" s="285">
        <f t="shared" si="9"/>
        <v>0</v>
      </c>
      <c r="U40" s="285">
        <f t="shared" si="40"/>
        <v>0</v>
      </c>
      <c r="V40" s="285">
        <f t="shared" si="41"/>
        <v>0</v>
      </c>
      <c r="W40" s="285">
        <f t="shared" si="42"/>
        <v>261576</v>
      </c>
      <c r="X40" s="502">
        <f t="shared" si="27"/>
        <v>45159</v>
      </c>
      <c r="Y40" s="285">
        <f t="shared" si="43"/>
        <v>331193.40000000002</v>
      </c>
      <c r="Z40" s="494">
        <f t="shared" si="10"/>
        <v>3.7499999999999999E-2</v>
      </c>
      <c r="AA40" s="285">
        <f t="shared" si="11"/>
        <v>0</v>
      </c>
      <c r="AB40" s="285">
        <f t="shared" si="12"/>
        <v>0</v>
      </c>
      <c r="AC40" s="285">
        <f t="shared" si="13"/>
        <v>0</v>
      </c>
      <c r="AD40" s="285">
        <f t="shared" si="14"/>
        <v>0</v>
      </c>
      <c r="AE40" s="285">
        <f t="shared" si="15"/>
        <v>0</v>
      </c>
      <c r="AF40" s="285">
        <f t="shared" si="16"/>
        <v>0</v>
      </c>
      <c r="AG40" s="285">
        <f t="shared" si="44"/>
        <v>0</v>
      </c>
      <c r="AH40" s="285">
        <f t="shared" si="45"/>
        <v>0</v>
      </c>
      <c r="AI40" s="512">
        <f t="shared" si="28"/>
        <v>0</v>
      </c>
      <c r="AJ40" s="512">
        <f t="shared" si="17"/>
        <v>-69617.400000000023</v>
      </c>
      <c r="AK40" s="512"/>
      <c r="AL40" s="285">
        <f t="shared" si="46"/>
        <v>331193.40000000002</v>
      </c>
      <c r="AM40" s="425">
        <f t="shared" si="29"/>
        <v>0</v>
      </c>
      <c r="AN40" s="14">
        <f t="shared" si="19"/>
        <v>0</v>
      </c>
      <c r="AO40" s="14">
        <f t="shared" si="30"/>
        <v>168611.85</v>
      </c>
      <c r="AP40" s="14">
        <f t="shared" si="20"/>
        <v>0</v>
      </c>
      <c r="AS40" s="14">
        <f t="shared" si="21"/>
        <v>0</v>
      </c>
      <c r="AT40" s="14">
        <f t="shared" si="31"/>
        <v>0</v>
      </c>
      <c r="AU40" s="285">
        <f t="shared" si="32"/>
        <v>696.06121502849021</v>
      </c>
      <c r="AV40" s="285">
        <f t="shared" si="33"/>
        <v>17544.547226424584</v>
      </c>
    </row>
    <row r="41" spans="1:48" x14ac:dyDescent="0.25">
      <c r="A41" s="502">
        <f t="shared" si="34"/>
        <v>45189</v>
      </c>
      <c r="B41" s="285">
        <f t="shared" si="22"/>
        <v>93267.989999999991</v>
      </c>
      <c r="C41" s="14">
        <f t="shared" si="4"/>
        <v>450.28</v>
      </c>
      <c r="D41" s="14">
        <f t="shared" si="35"/>
        <v>158.82</v>
      </c>
      <c r="E41" s="14">
        <f t="shared" si="5"/>
        <v>291.45999999999998</v>
      </c>
      <c r="I41" s="285">
        <f t="shared" si="47"/>
        <v>4422.6699999999992</v>
      </c>
      <c r="J41" s="285">
        <f t="shared" si="48"/>
        <v>8038.73</v>
      </c>
      <c r="K41" s="285">
        <f t="shared" si="49"/>
        <v>93109.169999999984</v>
      </c>
      <c r="L41" s="425">
        <f t="shared" si="6"/>
        <v>0</v>
      </c>
      <c r="M41" s="425">
        <f t="shared" si="23"/>
        <v>0</v>
      </c>
      <c r="N41" s="285">
        <f t="shared" si="24"/>
        <v>261576</v>
      </c>
      <c r="O41" s="285">
        <f t="shared" si="25"/>
        <v>0</v>
      </c>
      <c r="P41" s="285">
        <f t="shared" si="39"/>
        <v>0</v>
      </c>
      <c r="Q41" s="285">
        <f t="shared" si="26"/>
        <v>0</v>
      </c>
      <c r="R41" s="285">
        <f t="shared" si="7"/>
        <v>0</v>
      </c>
      <c r="S41" s="285">
        <f t="shared" si="8"/>
        <v>0</v>
      </c>
      <c r="T41" s="285">
        <f t="shared" si="9"/>
        <v>0</v>
      </c>
      <c r="U41" s="285">
        <f t="shared" si="40"/>
        <v>0</v>
      </c>
      <c r="V41" s="285">
        <f t="shared" si="41"/>
        <v>0</v>
      </c>
      <c r="W41" s="285">
        <f t="shared" si="42"/>
        <v>261576</v>
      </c>
      <c r="X41" s="502">
        <f t="shared" si="27"/>
        <v>45189</v>
      </c>
      <c r="Y41" s="285">
        <f t="shared" si="43"/>
        <v>331193.40000000002</v>
      </c>
      <c r="Z41" s="494">
        <f t="shared" si="10"/>
        <v>3.7499999999999999E-2</v>
      </c>
      <c r="AA41" s="285">
        <f t="shared" si="11"/>
        <v>0</v>
      </c>
      <c r="AB41" s="285">
        <f t="shared" si="12"/>
        <v>0</v>
      </c>
      <c r="AC41" s="285">
        <f t="shared" si="13"/>
        <v>0</v>
      </c>
      <c r="AD41" s="285">
        <f t="shared" si="14"/>
        <v>0</v>
      </c>
      <c r="AE41" s="285">
        <f t="shared" si="15"/>
        <v>0</v>
      </c>
      <c r="AF41" s="285">
        <f t="shared" si="16"/>
        <v>0</v>
      </c>
      <c r="AG41" s="285">
        <f t="shared" si="44"/>
        <v>0</v>
      </c>
      <c r="AH41" s="285">
        <f t="shared" si="45"/>
        <v>0</v>
      </c>
      <c r="AI41" s="512">
        <f t="shared" si="28"/>
        <v>0</v>
      </c>
      <c r="AJ41" s="512">
        <f t="shared" si="17"/>
        <v>-69617.400000000023</v>
      </c>
      <c r="AK41" s="512"/>
      <c r="AL41" s="285">
        <f t="shared" si="46"/>
        <v>331193.40000000002</v>
      </c>
      <c r="AM41" s="425">
        <f t="shared" si="29"/>
        <v>0</v>
      </c>
      <c r="AN41" s="14">
        <f t="shared" si="19"/>
        <v>0</v>
      </c>
      <c r="AO41" s="14">
        <f t="shared" si="30"/>
        <v>168770.67</v>
      </c>
      <c r="AP41" s="14">
        <f t="shared" si="20"/>
        <v>0</v>
      </c>
      <c r="AS41" s="14">
        <f t="shared" si="21"/>
        <v>0</v>
      </c>
      <c r="AT41" s="14">
        <f t="shared" si="31"/>
        <v>0</v>
      </c>
      <c r="AU41" s="285">
        <f t="shared" si="32"/>
        <v>697.8013680660614</v>
      </c>
      <c r="AV41" s="285">
        <f t="shared" si="33"/>
        <v>18242.348594490646</v>
      </c>
    </row>
    <row r="42" spans="1:48" x14ac:dyDescent="0.25">
      <c r="A42" s="502">
        <f t="shared" si="34"/>
        <v>45219</v>
      </c>
      <c r="B42" s="285">
        <f t="shared" si="22"/>
        <v>93109.169999999984</v>
      </c>
      <c r="C42" s="14">
        <f t="shared" si="4"/>
        <v>450.28</v>
      </c>
      <c r="D42" s="14">
        <f t="shared" si="35"/>
        <v>159.30999999999995</v>
      </c>
      <c r="E42" s="14">
        <f t="shared" si="5"/>
        <v>290.97000000000003</v>
      </c>
      <c r="I42" s="285">
        <f t="shared" si="47"/>
        <v>4581.9799999999996</v>
      </c>
      <c r="J42" s="285">
        <f t="shared" si="48"/>
        <v>8329.6999999999989</v>
      </c>
      <c r="K42" s="285">
        <f t="shared" si="49"/>
        <v>92949.859999999986</v>
      </c>
      <c r="L42" s="425">
        <f t="shared" si="6"/>
        <v>0</v>
      </c>
      <c r="M42" s="425">
        <f t="shared" si="23"/>
        <v>0</v>
      </c>
      <c r="N42" s="285">
        <f t="shared" si="24"/>
        <v>261576</v>
      </c>
      <c r="O42" s="285">
        <f t="shared" si="25"/>
        <v>0</v>
      </c>
      <c r="P42" s="285">
        <f t="shared" si="39"/>
        <v>0</v>
      </c>
      <c r="Q42" s="285">
        <f t="shared" si="26"/>
        <v>0</v>
      </c>
      <c r="R42" s="285">
        <f t="shared" si="7"/>
        <v>0</v>
      </c>
      <c r="S42" s="285">
        <f t="shared" si="8"/>
        <v>0</v>
      </c>
      <c r="T42" s="285">
        <f t="shared" si="9"/>
        <v>0</v>
      </c>
      <c r="U42" s="285">
        <f t="shared" si="40"/>
        <v>0</v>
      </c>
      <c r="V42" s="285">
        <f t="shared" si="41"/>
        <v>0</v>
      </c>
      <c r="W42" s="285">
        <f t="shared" si="42"/>
        <v>261576</v>
      </c>
      <c r="X42" s="502">
        <f t="shared" si="27"/>
        <v>45219</v>
      </c>
      <c r="Y42" s="285">
        <f t="shared" si="43"/>
        <v>331193.40000000002</v>
      </c>
      <c r="Z42" s="494">
        <f t="shared" si="10"/>
        <v>3.7499999999999999E-2</v>
      </c>
      <c r="AA42" s="285">
        <f t="shared" si="11"/>
        <v>0</v>
      </c>
      <c r="AB42" s="285">
        <f t="shared" si="12"/>
        <v>0</v>
      </c>
      <c r="AC42" s="285">
        <f t="shared" si="13"/>
        <v>0</v>
      </c>
      <c r="AD42" s="285">
        <f t="shared" si="14"/>
        <v>0</v>
      </c>
      <c r="AE42" s="285">
        <f t="shared" si="15"/>
        <v>0</v>
      </c>
      <c r="AF42" s="285">
        <f t="shared" si="16"/>
        <v>0</v>
      </c>
      <c r="AG42" s="285">
        <f t="shared" si="44"/>
        <v>0</v>
      </c>
      <c r="AH42" s="285">
        <f t="shared" si="45"/>
        <v>0</v>
      </c>
      <c r="AI42" s="512">
        <f t="shared" si="28"/>
        <v>0</v>
      </c>
      <c r="AJ42" s="512">
        <f t="shared" si="17"/>
        <v>-69617.400000000023</v>
      </c>
      <c r="AK42" s="512"/>
      <c r="AL42" s="285">
        <f t="shared" si="46"/>
        <v>331193.40000000002</v>
      </c>
      <c r="AM42" s="425">
        <f t="shared" si="29"/>
        <v>0</v>
      </c>
      <c r="AN42" s="14">
        <f t="shared" si="19"/>
        <v>0</v>
      </c>
      <c r="AO42" s="14">
        <f t="shared" si="30"/>
        <v>168929.98</v>
      </c>
      <c r="AP42" s="14">
        <f t="shared" si="20"/>
        <v>0</v>
      </c>
      <c r="AS42" s="14">
        <f t="shared" si="21"/>
        <v>0</v>
      </c>
      <c r="AT42" s="14">
        <f t="shared" si="31"/>
        <v>0</v>
      </c>
      <c r="AU42" s="285">
        <f t="shared" si="32"/>
        <v>699.54587148622659</v>
      </c>
      <c r="AV42" s="285">
        <f t="shared" si="33"/>
        <v>18941.894465976871</v>
      </c>
    </row>
    <row r="43" spans="1:48" x14ac:dyDescent="0.25">
      <c r="A43" s="502">
        <f t="shared" si="34"/>
        <v>45249</v>
      </c>
      <c r="B43" s="285">
        <f t="shared" si="22"/>
        <v>92949.859999999986</v>
      </c>
      <c r="C43" s="14">
        <f t="shared" si="4"/>
        <v>450.28</v>
      </c>
      <c r="D43" s="14">
        <f t="shared" si="35"/>
        <v>159.80999999999995</v>
      </c>
      <c r="E43" s="14">
        <f t="shared" si="5"/>
        <v>290.47000000000003</v>
      </c>
      <c r="I43" s="285">
        <f t="shared" si="47"/>
        <v>4741.7899999999991</v>
      </c>
      <c r="J43" s="285">
        <f t="shared" si="48"/>
        <v>8620.1699999999983</v>
      </c>
      <c r="K43" s="285">
        <f t="shared" si="49"/>
        <v>92790.049999999988</v>
      </c>
      <c r="L43" s="425">
        <f t="shared" si="6"/>
        <v>0</v>
      </c>
      <c r="M43" s="425">
        <f t="shared" si="23"/>
        <v>0</v>
      </c>
      <c r="N43" s="285">
        <f t="shared" si="24"/>
        <v>261576</v>
      </c>
      <c r="O43" s="285">
        <f t="shared" si="25"/>
        <v>0</v>
      </c>
      <c r="P43" s="285">
        <f t="shared" si="39"/>
        <v>0</v>
      </c>
      <c r="Q43" s="285">
        <f t="shared" si="26"/>
        <v>0</v>
      </c>
      <c r="R43" s="285">
        <f t="shared" si="7"/>
        <v>0</v>
      </c>
      <c r="S43" s="285">
        <f t="shared" si="8"/>
        <v>0</v>
      </c>
      <c r="T43" s="285">
        <f t="shared" si="9"/>
        <v>0</v>
      </c>
      <c r="U43" s="285">
        <f t="shared" si="40"/>
        <v>0</v>
      </c>
      <c r="V43" s="285">
        <f t="shared" si="41"/>
        <v>0</v>
      </c>
      <c r="W43" s="285">
        <f t="shared" si="42"/>
        <v>261576</v>
      </c>
      <c r="X43" s="502">
        <f t="shared" si="27"/>
        <v>45249</v>
      </c>
      <c r="Y43" s="285">
        <f t="shared" si="43"/>
        <v>331193.40000000002</v>
      </c>
      <c r="Z43" s="494">
        <f t="shared" si="10"/>
        <v>3.7499999999999999E-2</v>
      </c>
      <c r="AA43" s="285">
        <f t="shared" si="11"/>
        <v>0</v>
      </c>
      <c r="AB43" s="285">
        <f t="shared" si="12"/>
        <v>0</v>
      </c>
      <c r="AC43" s="285">
        <f t="shared" si="13"/>
        <v>0</v>
      </c>
      <c r="AD43" s="285">
        <f t="shared" si="14"/>
        <v>0</v>
      </c>
      <c r="AE43" s="285">
        <f t="shared" si="15"/>
        <v>0</v>
      </c>
      <c r="AF43" s="285">
        <f t="shared" si="16"/>
        <v>0</v>
      </c>
      <c r="AG43" s="285">
        <f t="shared" si="44"/>
        <v>0</v>
      </c>
      <c r="AH43" s="285">
        <f t="shared" si="45"/>
        <v>0</v>
      </c>
      <c r="AI43" s="512">
        <f t="shared" si="28"/>
        <v>0</v>
      </c>
      <c r="AJ43" s="512">
        <f t="shared" si="17"/>
        <v>-69617.400000000023</v>
      </c>
      <c r="AK43" s="512"/>
      <c r="AL43" s="285">
        <f t="shared" si="46"/>
        <v>331193.40000000002</v>
      </c>
      <c r="AM43" s="425">
        <f t="shared" si="29"/>
        <v>0</v>
      </c>
      <c r="AN43" s="14">
        <f t="shared" si="19"/>
        <v>0</v>
      </c>
      <c r="AO43" s="14">
        <f t="shared" si="30"/>
        <v>169089.79</v>
      </c>
      <c r="AP43" s="14">
        <f t="shared" si="20"/>
        <v>0</v>
      </c>
      <c r="AS43" s="14">
        <f t="shared" si="21"/>
        <v>0</v>
      </c>
      <c r="AT43" s="14">
        <f t="shared" si="31"/>
        <v>0</v>
      </c>
      <c r="AU43" s="285">
        <f t="shared" si="32"/>
        <v>701.29473616494215</v>
      </c>
      <c r="AV43" s="285">
        <f t="shared" si="33"/>
        <v>19643.189202141813</v>
      </c>
    </row>
    <row r="44" spans="1:48" x14ac:dyDescent="0.25">
      <c r="A44" s="502">
        <f t="shared" si="34"/>
        <v>45279</v>
      </c>
      <c r="B44" s="285">
        <f t="shared" si="22"/>
        <v>92790.049999999988</v>
      </c>
      <c r="C44" s="14">
        <f t="shared" si="4"/>
        <v>450.28</v>
      </c>
      <c r="D44" s="14">
        <f t="shared" si="35"/>
        <v>160.30999999999995</v>
      </c>
      <c r="E44" s="14">
        <f t="shared" si="5"/>
        <v>289.97000000000003</v>
      </c>
      <c r="I44" s="285">
        <f t="shared" si="47"/>
        <v>4902.0999999999985</v>
      </c>
      <c r="J44" s="285">
        <f t="shared" si="48"/>
        <v>8910.1399999999976</v>
      </c>
      <c r="K44" s="285">
        <f t="shared" si="49"/>
        <v>92629.739999999991</v>
      </c>
      <c r="L44" s="425">
        <f t="shared" si="6"/>
        <v>0</v>
      </c>
      <c r="M44" s="425">
        <f t="shared" si="23"/>
        <v>0</v>
      </c>
      <c r="N44" s="285">
        <f t="shared" si="24"/>
        <v>261576</v>
      </c>
      <c r="O44" s="285">
        <f t="shared" si="25"/>
        <v>0</v>
      </c>
      <c r="P44" s="285">
        <f t="shared" si="39"/>
        <v>0</v>
      </c>
      <c r="Q44" s="285">
        <f t="shared" si="26"/>
        <v>0</v>
      </c>
      <c r="R44" s="285">
        <f t="shared" si="7"/>
        <v>0</v>
      </c>
      <c r="S44" s="285">
        <f t="shared" si="8"/>
        <v>0</v>
      </c>
      <c r="T44" s="285">
        <f t="shared" si="9"/>
        <v>0</v>
      </c>
      <c r="U44" s="285">
        <f t="shared" si="40"/>
        <v>0</v>
      </c>
      <c r="V44" s="285">
        <f t="shared" si="41"/>
        <v>0</v>
      </c>
      <c r="W44" s="285">
        <f t="shared" si="42"/>
        <v>261576</v>
      </c>
      <c r="X44" s="502">
        <f t="shared" si="27"/>
        <v>45279</v>
      </c>
      <c r="Y44" s="285">
        <f t="shared" si="43"/>
        <v>331193.40000000002</v>
      </c>
      <c r="Z44" s="494">
        <f t="shared" si="10"/>
        <v>3.7499999999999999E-2</v>
      </c>
      <c r="AA44" s="285">
        <f t="shared" si="11"/>
        <v>0</v>
      </c>
      <c r="AB44" s="285">
        <f t="shared" si="12"/>
        <v>0</v>
      </c>
      <c r="AC44" s="285">
        <f t="shared" si="13"/>
        <v>0</v>
      </c>
      <c r="AD44" s="285">
        <f t="shared" si="14"/>
        <v>0</v>
      </c>
      <c r="AE44" s="285">
        <f t="shared" si="15"/>
        <v>0</v>
      </c>
      <c r="AF44" s="285">
        <f t="shared" si="16"/>
        <v>0</v>
      </c>
      <c r="AG44" s="285">
        <f t="shared" si="44"/>
        <v>0</v>
      </c>
      <c r="AH44" s="285">
        <f t="shared" si="45"/>
        <v>0</v>
      </c>
      <c r="AI44" s="512">
        <f t="shared" si="28"/>
        <v>0</v>
      </c>
      <c r="AJ44" s="512">
        <f t="shared" si="17"/>
        <v>-69617.400000000023</v>
      </c>
      <c r="AK44" s="512"/>
      <c r="AL44" s="285">
        <f t="shared" si="46"/>
        <v>331193.40000000002</v>
      </c>
      <c r="AM44" s="425">
        <f t="shared" si="29"/>
        <v>0</v>
      </c>
      <c r="AN44" s="14">
        <f t="shared" si="19"/>
        <v>0</v>
      </c>
      <c r="AO44" s="14">
        <f t="shared" si="30"/>
        <v>169250.1</v>
      </c>
      <c r="AP44" s="14">
        <f t="shared" si="20"/>
        <v>0</v>
      </c>
      <c r="AS44" s="14">
        <f t="shared" si="21"/>
        <v>0</v>
      </c>
      <c r="AT44" s="14">
        <f t="shared" si="31"/>
        <v>0</v>
      </c>
      <c r="AU44" s="285">
        <f t="shared" si="32"/>
        <v>703.04797300535449</v>
      </c>
      <c r="AV44" s="285">
        <f t="shared" si="33"/>
        <v>20346.237175147169</v>
      </c>
    </row>
    <row r="45" spans="1:48" x14ac:dyDescent="0.25">
      <c r="A45" s="502">
        <f t="shared" si="34"/>
        <v>45309</v>
      </c>
      <c r="B45" s="285">
        <f t="shared" si="22"/>
        <v>92629.739999999991</v>
      </c>
      <c r="C45" s="14">
        <f t="shared" si="4"/>
        <v>450.28</v>
      </c>
      <c r="D45" s="14">
        <f t="shared" si="35"/>
        <v>160.80999999999995</v>
      </c>
      <c r="E45" s="14">
        <f t="shared" si="5"/>
        <v>289.47000000000003</v>
      </c>
      <c r="I45" s="285">
        <f t="shared" si="47"/>
        <v>5062.909999999998</v>
      </c>
      <c r="J45" s="285">
        <f t="shared" si="48"/>
        <v>9199.6099999999969</v>
      </c>
      <c r="K45" s="285">
        <f t="shared" si="49"/>
        <v>92468.93</v>
      </c>
      <c r="L45" s="425">
        <f t="shared" si="6"/>
        <v>0</v>
      </c>
      <c r="M45" s="425">
        <f t="shared" si="23"/>
        <v>0</v>
      </c>
      <c r="N45" s="285">
        <f t="shared" si="24"/>
        <v>261576</v>
      </c>
      <c r="O45" s="285">
        <f t="shared" si="25"/>
        <v>0</v>
      </c>
      <c r="P45" s="285">
        <f t="shared" si="39"/>
        <v>0</v>
      </c>
      <c r="Q45" s="285">
        <f t="shared" si="26"/>
        <v>0</v>
      </c>
      <c r="R45" s="285">
        <f t="shared" si="7"/>
        <v>0</v>
      </c>
      <c r="S45" s="285">
        <f t="shared" si="8"/>
        <v>0</v>
      </c>
      <c r="T45" s="285">
        <f t="shared" si="9"/>
        <v>0</v>
      </c>
      <c r="U45" s="285">
        <f t="shared" si="40"/>
        <v>0</v>
      </c>
      <c r="V45" s="285">
        <f t="shared" si="41"/>
        <v>0</v>
      </c>
      <c r="W45" s="285">
        <f t="shared" si="42"/>
        <v>261576</v>
      </c>
      <c r="X45" s="502">
        <f t="shared" si="27"/>
        <v>45309</v>
      </c>
      <c r="Y45" s="285">
        <f t="shared" si="43"/>
        <v>331193.40000000002</v>
      </c>
      <c r="Z45" s="494">
        <f t="shared" si="10"/>
        <v>3.7499999999999999E-2</v>
      </c>
      <c r="AA45" s="285">
        <f t="shared" si="11"/>
        <v>0</v>
      </c>
      <c r="AB45" s="285">
        <f t="shared" si="12"/>
        <v>0</v>
      </c>
      <c r="AC45" s="285">
        <f t="shared" si="13"/>
        <v>0</v>
      </c>
      <c r="AD45" s="285">
        <f t="shared" si="14"/>
        <v>0</v>
      </c>
      <c r="AE45" s="285">
        <f t="shared" si="15"/>
        <v>0</v>
      </c>
      <c r="AF45" s="285">
        <f t="shared" si="16"/>
        <v>0</v>
      </c>
      <c r="AG45" s="285">
        <f t="shared" si="44"/>
        <v>0</v>
      </c>
      <c r="AH45" s="285">
        <f t="shared" si="45"/>
        <v>0</v>
      </c>
      <c r="AI45" s="512">
        <f t="shared" si="28"/>
        <v>0</v>
      </c>
      <c r="AJ45" s="512">
        <f t="shared" si="17"/>
        <v>-69617.400000000023</v>
      </c>
      <c r="AK45" s="512"/>
      <c r="AL45" s="285">
        <f t="shared" si="46"/>
        <v>331193.40000000002</v>
      </c>
      <c r="AM45" s="425">
        <f t="shared" si="29"/>
        <v>0</v>
      </c>
      <c r="AN45" s="14">
        <f t="shared" si="19"/>
        <v>0</v>
      </c>
      <c r="AO45" s="14">
        <f t="shared" ref="AO45:AO108" si="50">IF(W45&lt;=0,0,+$AA$5-$C$2+I45-U45)</f>
        <v>239028.31000000003</v>
      </c>
      <c r="AP45" s="14">
        <f t="shared" si="20"/>
        <v>0</v>
      </c>
      <c r="AS45" s="14">
        <f t="shared" si="21"/>
        <v>0</v>
      </c>
      <c r="AT45" s="14">
        <f t="shared" si="31"/>
        <v>0</v>
      </c>
      <c r="AU45" s="285">
        <f t="shared" si="32"/>
        <v>704.80559293786791</v>
      </c>
      <c r="AV45" s="285">
        <f t="shared" si="33"/>
        <v>21051.042768085037</v>
      </c>
    </row>
    <row r="46" spans="1:48" x14ac:dyDescent="0.25">
      <c r="A46" s="502">
        <f t="shared" si="34"/>
        <v>45339</v>
      </c>
      <c r="B46" s="285">
        <f t="shared" si="22"/>
        <v>92468.93</v>
      </c>
      <c r="C46" s="14">
        <f t="shared" si="4"/>
        <v>450.28</v>
      </c>
      <c r="D46" s="14">
        <f t="shared" si="35"/>
        <v>161.30999999999995</v>
      </c>
      <c r="E46" s="14">
        <f t="shared" si="5"/>
        <v>288.97000000000003</v>
      </c>
      <c r="I46" s="285">
        <f t="shared" si="47"/>
        <v>5224.2199999999975</v>
      </c>
      <c r="J46" s="285">
        <f t="shared" si="48"/>
        <v>9488.5799999999963</v>
      </c>
      <c r="K46" s="285">
        <f t="shared" si="49"/>
        <v>92307.62</v>
      </c>
      <c r="L46" s="425">
        <f t="shared" si="6"/>
        <v>0</v>
      </c>
      <c r="M46" s="425">
        <f t="shared" si="23"/>
        <v>0</v>
      </c>
      <c r="N46" s="285">
        <f t="shared" si="24"/>
        <v>261576</v>
      </c>
      <c r="O46" s="285">
        <f t="shared" si="25"/>
        <v>0</v>
      </c>
      <c r="P46" s="285">
        <f t="shared" si="39"/>
        <v>0</v>
      </c>
      <c r="Q46" s="285">
        <f t="shared" si="26"/>
        <v>0</v>
      </c>
      <c r="R46" s="285">
        <f t="shared" si="7"/>
        <v>0</v>
      </c>
      <c r="S46" s="285">
        <f t="shared" si="8"/>
        <v>0</v>
      </c>
      <c r="T46" s="285">
        <f t="shared" si="9"/>
        <v>0</v>
      </c>
      <c r="U46" s="285">
        <f t="shared" si="40"/>
        <v>0</v>
      </c>
      <c r="V46" s="285">
        <f t="shared" si="41"/>
        <v>0</v>
      </c>
      <c r="W46" s="285">
        <f t="shared" si="42"/>
        <v>261576</v>
      </c>
      <c r="X46" s="502">
        <f t="shared" si="27"/>
        <v>45339</v>
      </c>
      <c r="Y46" s="285">
        <f t="shared" si="43"/>
        <v>331193.40000000002</v>
      </c>
      <c r="Z46" s="494">
        <f t="shared" si="10"/>
        <v>3.7499999999999999E-2</v>
      </c>
      <c r="AA46" s="285">
        <f t="shared" si="11"/>
        <v>0</v>
      </c>
      <c r="AB46" s="285">
        <f t="shared" si="12"/>
        <v>0</v>
      </c>
      <c r="AC46" s="285">
        <f t="shared" si="13"/>
        <v>0</v>
      </c>
      <c r="AD46" s="285">
        <f t="shared" si="14"/>
        <v>0</v>
      </c>
      <c r="AE46" s="285">
        <f t="shared" si="15"/>
        <v>0</v>
      </c>
      <c r="AF46" s="285">
        <f t="shared" si="16"/>
        <v>0</v>
      </c>
      <c r="AG46" s="285">
        <f t="shared" si="44"/>
        <v>0</v>
      </c>
      <c r="AH46" s="285">
        <f t="shared" si="45"/>
        <v>0</v>
      </c>
      <c r="AI46" s="512">
        <f t="shared" si="28"/>
        <v>0</v>
      </c>
      <c r="AJ46" s="512">
        <f t="shared" si="17"/>
        <v>-69617.400000000023</v>
      </c>
      <c r="AK46" s="512"/>
      <c r="AL46" s="285">
        <f t="shared" si="46"/>
        <v>331193.40000000002</v>
      </c>
      <c r="AM46" s="425">
        <f t="shared" si="29"/>
        <v>0</v>
      </c>
      <c r="AN46" s="14">
        <f t="shared" si="19"/>
        <v>0</v>
      </c>
      <c r="AO46" s="14">
        <f t="shared" si="50"/>
        <v>239189.62000000002</v>
      </c>
      <c r="AP46" s="14">
        <f t="shared" si="20"/>
        <v>0</v>
      </c>
      <c r="AS46" s="14">
        <f t="shared" si="21"/>
        <v>0</v>
      </c>
      <c r="AT46" s="14">
        <f t="shared" si="31"/>
        <v>0</v>
      </c>
      <c r="AU46" s="285">
        <f t="shared" si="32"/>
        <v>706.5676069202126</v>
      </c>
      <c r="AV46" s="285">
        <f t="shared" si="33"/>
        <v>21757.61037500525</v>
      </c>
    </row>
    <row r="47" spans="1:48" x14ac:dyDescent="0.25">
      <c r="A47" s="502">
        <f t="shared" si="34"/>
        <v>45369</v>
      </c>
      <c r="B47" s="285">
        <f t="shared" si="22"/>
        <v>92307.62</v>
      </c>
      <c r="C47" s="14">
        <f t="shared" si="4"/>
        <v>450.28</v>
      </c>
      <c r="D47" s="14">
        <f t="shared" si="35"/>
        <v>161.82</v>
      </c>
      <c r="E47" s="14">
        <f t="shared" si="5"/>
        <v>288.45999999999998</v>
      </c>
      <c r="I47" s="285">
        <f t="shared" si="47"/>
        <v>5386.0399999999972</v>
      </c>
      <c r="J47" s="285">
        <f t="shared" si="48"/>
        <v>9777.0399999999954</v>
      </c>
      <c r="K47" s="285">
        <f t="shared" si="49"/>
        <v>92145.799999999988</v>
      </c>
      <c r="L47" s="425">
        <f t="shared" si="6"/>
        <v>0</v>
      </c>
      <c r="M47" s="425">
        <f t="shared" si="23"/>
        <v>0</v>
      </c>
      <c r="N47" s="285">
        <f t="shared" si="24"/>
        <v>261576</v>
      </c>
      <c r="O47" s="285">
        <f t="shared" si="25"/>
        <v>0</v>
      </c>
      <c r="P47" s="285">
        <f t="shared" si="39"/>
        <v>0</v>
      </c>
      <c r="Q47" s="285">
        <f t="shared" si="26"/>
        <v>0</v>
      </c>
      <c r="R47" s="285">
        <f t="shared" si="7"/>
        <v>0</v>
      </c>
      <c r="S47" s="285">
        <f t="shared" si="8"/>
        <v>0</v>
      </c>
      <c r="T47" s="285">
        <f t="shared" si="9"/>
        <v>0</v>
      </c>
      <c r="U47" s="285">
        <f t="shared" si="40"/>
        <v>0</v>
      </c>
      <c r="V47" s="285">
        <f t="shared" si="41"/>
        <v>0</v>
      </c>
      <c r="W47" s="285">
        <f t="shared" si="42"/>
        <v>261576</v>
      </c>
      <c r="X47" s="502">
        <f t="shared" si="27"/>
        <v>45369</v>
      </c>
      <c r="Y47" s="285">
        <f t="shared" si="43"/>
        <v>331193.40000000002</v>
      </c>
      <c r="Z47" s="494">
        <f t="shared" si="10"/>
        <v>3.7499999999999999E-2</v>
      </c>
      <c r="AA47" s="285">
        <f t="shared" si="11"/>
        <v>0</v>
      </c>
      <c r="AB47" s="285">
        <f t="shared" si="12"/>
        <v>0</v>
      </c>
      <c r="AC47" s="285">
        <f t="shared" si="13"/>
        <v>0</v>
      </c>
      <c r="AD47" s="285">
        <f t="shared" si="14"/>
        <v>0</v>
      </c>
      <c r="AE47" s="285">
        <f t="shared" si="15"/>
        <v>0</v>
      </c>
      <c r="AF47" s="285">
        <f t="shared" si="16"/>
        <v>0</v>
      </c>
      <c r="AG47" s="285">
        <f t="shared" si="44"/>
        <v>0</v>
      </c>
      <c r="AH47" s="285">
        <f t="shared" si="45"/>
        <v>0</v>
      </c>
      <c r="AI47" s="512">
        <f t="shared" si="28"/>
        <v>0</v>
      </c>
      <c r="AJ47" s="512">
        <f t="shared" si="17"/>
        <v>-69617.400000000023</v>
      </c>
      <c r="AK47" s="512"/>
      <c r="AL47" s="285">
        <f t="shared" si="46"/>
        <v>331193.40000000002</v>
      </c>
      <c r="AM47" s="425">
        <f t="shared" si="29"/>
        <v>0</v>
      </c>
      <c r="AN47" s="14">
        <f t="shared" si="19"/>
        <v>0</v>
      </c>
      <c r="AO47" s="14">
        <f t="shared" si="50"/>
        <v>239351.44000000003</v>
      </c>
      <c r="AP47" s="14">
        <f t="shared" si="20"/>
        <v>0</v>
      </c>
      <c r="AS47" s="14">
        <f t="shared" si="21"/>
        <v>0</v>
      </c>
      <c r="AT47" s="14">
        <f t="shared" si="31"/>
        <v>0</v>
      </c>
      <c r="AU47" s="285">
        <f t="shared" si="32"/>
        <v>708.33402593751305</v>
      </c>
      <c r="AV47" s="285">
        <f t="shared" si="33"/>
        <v>22465.944400942764</v>
      </c>
    </row>
    <row r="48" spans="1:48" x14ac:dyDescent="0.25">
      <c r="A48" s="502">
        <f t="shared" si="34"/>
        <v>45399</v>
      </c>
      <c r="B48" s="285">
        <f t="shared" si="22"/>
        <v>92145.799999999988</v>
      </c>
      <c r="C48" s="14">
        <f t="shared" si="4"/>
        <v>450.28</v>
      </c>
      <c r="D48" s="14">
        <f t="shared" si="35"/>
        <v>162.32</v>
      </c>
      <c r="E48" s="14">
        <f t="shared" si="5"/>
        <v>287.95999999999998</v>
      </c>
      <c r="I48" s="285">
        <f t="shared" si="47"/>
        <v>5548.3599999999969</v>
      </c>
      <c r="J48" s="285">
        <f t="shared" si="48"/>
        <v>10064.999999999995</v>
      </c>
      <c r="K48" s="285">
        <f t="shared" si="49"/>
        <v>91983.479999999981</v>
      </c>
      <c r="L48" s="425">
        <f t="shared" si="6"/>
        <v>0</v>
      </c>
      <c r="M48" s="425">
        <f t="shared" si="23"/>
        <v>0</v>
      </c>
      <c r="N48" s="285">
        <f t="shared" si="24"/>
        <v>261576</v>
      </c>
      <c r="O48" s="285">
        <f t="shared" si="25"/>
        <v>0</v>
      </c>
      <c r="P48" s="285">
        <f t="shared" si="39"/>
        <v>0</v>
      </c>
      <c r="Q48" s="285">
        <f t="shared" si="26"/>
        <v>0</v>
      </c>
      <c r="R48" s="285">
        <f t="shared" si="7"/>
        <v>0</v>
      </c>
      <c r="S48" s="285">
        <f t="shared" si="8"/>
        <v>0</v>
      </c>
      <c r="T48" s="285">
        <f t="shared" si="9"/>
        <v>0</v>
      </c>
      <c r="U48" s="285">
        <f t="shared" si="40"/>
        <v>0</v>
      </c>
      <c r="V48" s="285">
        <f t="shared" si="41"/>
        <v>0</v>
      </c>
      <c r="W48" s="285">
        <f t="shared" si="42"/>
        <v>261576</v>
      </c>
      <c r="X48" s="502">
        <f t="shared" si="27"/>
        <v>45399</v>
      </c>
      <c r="Y48" s="285">
        <f t="shared" si="43"/>
        <v>331193.40000000002</v>
      </c>
      <c r="Z48" s="494">
        <f t="shared" si="10"/>
        <v>3.7499999999999999E-2</v>
      </c>
      <c r="AA48" s="285">
        <f t="shared" si="11"/>
        <v>0</v>
      </c>
      <c r="AB48" s="285">
        <f t="shared" si="12"/>
        <v>0</v>
      </c>
      <c r="AC48" s="285">
        <f t="shared" si="13"/>
        <v>0</v>
      </c>
      <c r="AD48" s="285">
        <f t="shared" si="14"/>
        <v>0</v>
      </c>
      <c r="AE48" s="285">
        <f t="shared" si="15"/>
        <v>0</v>
      </c>
      <c r="AF48" s="285">
        <f t="shared" si="16"/>
        <v>0</v>
      </c>
      <c r="AG48" s="285">
        <f t="shared" si="44"/>
        <v>0</v>
      </c>
      <c r="AH48" s="285">
        <f t="shared" si="45"/>
        <v>0</v>
      </c>
      <c r="AI48" s="512">
        <f t="shared" si="28"/>
        <v>0</v>
      </c>
      <c r="AJ48" s="512">
        <f t="shared" si="17"/>
        <v>-69617.400000000023</v>
      </c>
      <c r="AK48" s="512"/>
      <c r="AL48" s="285">
        <f t="shared" si="46"/>
        <v>331193.40000000002</v>
      </c>
      <c r="AM48" s="425">
        <f t="shared" si="29"/>
        <v>0</v>
      </c>
      <c r="AN48" s="14">
        <f t="shared" si="19"/>
        <v>0</v>
      </c>
      <c r="AO48" s="14">
        <f t="shared" si="50"/>
        <v>239513.76</v>
      </c>
      <c r="AP48" s="14">
        <f t="shared" si="20"/>
        <v>0</v>
      </c>
      <c r="AS48" s="14">
        <f t="shared" si="21"/>
        <v>0</v>
      </c>
      <c r="AT48" s="14">
        <f t="shared" si="31"/>
        <v>0</v>
      </c>
      <c r="AU48" s="285">
        <f t="shared" si="32"/>
        <v>710.10486100235687</v>
      </c>
      <c r="AV48" s="285">
        <f t="shared" si="33"/>
        <v>23176.049261945122</v>
      </c>
    </row>
    <row r="49" spans="1:50" x14ac:dyDescent="0.25">
      <c r="A49" s="502">
        <f t="shared" si="34"/>
        <v>45429</v>
      </c>
      <c r="B49" s="285">
        <f t="shared" si="22"/>
        <v>91983.479999999981</v>
      </c>
      <c r="C49" s="14">
        <f t="shared" si="4"/>
        <v>450.28</v>
      </c>
      <c r="D49" s="14">
        <f t="shared" si="35"/>
        <v>162.82999999999998</v>
      </c>
      <c r="E49" s="14">
        <f t="shared" si="5"/>
        <v>287.45</v>
      </c>
      <c r="I49" s="285">
        <f t="shared" si="47"/>
        <v>5711.1899999999969</v>
      </c>
      <c r="J49" s="285">
        <f t="shared" si="48"/>
        <v>10352.449999999995</v>
      </c>
      <c r="K49" s="285">
        <f t="shared" si="49"/>
        <v>91820.64999999998</v>
      </c>
      <c r="L49" s="425">
        <f t="shared" si="6"/>
        <v>0</v>
      </c>
      <c r="M49" s="425">
        <f t="shared" si="23"/>
        <v>0</v>
      </c>
      <c r="N49" s="285">
        <f t="shared" si="24"/>
        <v>261576</v>
      </c>
      <c r="O49" s="285">
        <f t="shared" si="25"/>
        <v>0</v>
      </c>
      <c r="P49" s="285">
        <f t="shared" si="39"/>
        <v>0</v>
      </c>
      <c r="Q49" s="285">
        <f t="shared" si="26"/>
        <v>0</v>
      </c>
      <c r="R49" s="285">
        <f t="shared" si="7"/>
        <v>0</v>
      </c>
      <c r="S49" s="285">
        <f t="shared" si="8"/>
        <v>0</v>
      </c>
      <c r="T49" s="285">
        <f t="shared" si="9"/>
        <v>0</v>
      </c>
      <c r="U49" s="285">
        <f t="shared" si="40"/>
        <v>0</v>
      </c>
      <c r="V49" s="285">
        <f t="shared" si="41"/>
        <v>0</v>
      </c>
      <c r="W49" s="285">
        <f t="shared" si="42"/>
        <v>261576</v>
      </c>
      <c r="X49" s="502">
        <f t="shared" si="27"/>
        <v>45429</v>
      </c>
      <c r="Y49" s="285">
        <f t="shared" si="43"/>
        <v>331193.40000000002</v>
      </c>
      <c r="Z49" s="494">
        <f t="shared" si="10"/>
        <v>3.7499999999999999E-2</v>
      </c>
      <c r="AA49" s="285">
        <f t="shared" si="11"/>
        <v>0</v>
      </c>
      <c r="AB49" s="285">
        <f t="shared" si="12"/>
        <v>0</v>
      </c>
      <c r="AC49" s="285">
        <f t="shared" si="13"/>
        <v>0</v>
      </c>
      <c r="AD49" s="285">
        <f t="shared" si="14"/>
        <v>0</v>
      </c>
      <c r="AE49" s="285">
        <f t="shared" si="15"/>
        <v>0</v>
      </c>
      <c r="AF49" s="285">
        <f t="shared" si="16"/>
        <v>0</v>
      </c>
      <c r="AG49" s="285">
        <f t="shared" si="44"/>
        <v>0</v>
      </c>
      <c r="AH49" s="285">
        <f t="shared" si="45"/>
        <v>0</v>
      </c>
      <c r="AI49" s="512">
        <f t="shared" si="28"/>
        <v>0</v>
      </c>
      <c r="AJ49" s="512">
        <f t="shared" si="17"/>
        <v>-69617.400000000023</v>
      </c>
      <c r="AK49" s="512"/>
      <c r="AL49" s="285">
        <f t="shared" si="46"/>
        <v>331193.40000000002</v>
      </c>
      <c r="AM49" s="425">
        <f t="shared" si="29"/>
        <v>0</v>
      </c>
      <c r="AN49" s="14">
        <f t="shared" si="19"/>
        <v>0</v>
      </c>
      <c r="AO49" s="14">
        <f t="shared" si="50"/>
        <v>239676.59000000003</v>
      </c>
      <c r="AP49" s="14">
        <f t="shared" si="20"/>
        <v>0</v>
      </c>
      <c r="AS49" s="14">
        <f t="shared" si="21"/>
        <v>0</v>
      </c>
      <c r="AT49" s="14">
        <f t="shared" si="31"/>
        <v>0</v>
      </c>
      <c r="AU49" s="285">
        <f t="shared" si="32"/>
        <v>711.88012315486276</v>
      </c>
      <c r="AV49" s="285">
        <f t="shared" si="33"/>
        <v>23887.929385099986</v>
      </c>
    </row>
    <row r="50" spans="1:50" ht="15.75" thickBot="1" x14ac:dyDescent="0.3">
      <c r="A50" s="505">
        <f t="shared" si="34"/>
        <v>45459</v>
      </c>
      <c r="B50" s="345">
        <f t="shared" si="22"/>
        <v>91820.64999999998</v>
      </c>
      <c r="C50" s="21">
        <f t="shared" si="4"/>
        <v>450.28</v>
      </c>
      <c r="D50" s="21">
        <f t="shared" si="35"/>
        <v>163.33999999999997</v>
      </c>
      <c r="E50" s="21">
        <f t="shared" si="5"/>
        <v>286.94</v>
      </c>
      <c r="F50" s="21"/>
      <c r="G50" s="21"/>
      <c r="H50" s="21"/>
      <c r="I50" s="345">
        <f t="shared" si="47"/>
        <v>5874.529999999997</v>
      </c>
      <c r="J50" s="345">
        <f t="shared" si="48"/>
        <v>10639.389999999996</v>
      </c>
      <c r="K50" s="345">
        <f t="shared" si="49"/>
        <v>91657.309999999983</v>
      </c>
      <c r="L50" s="426">
        <f t="shared" si="6"/>
        <v>0</v>
      </c>
      <c r="M50" s="426">
        <f t="shared" si="23"/>
        <v>0</v>
      </c>
      <c r="N50" s="345">
        <f t="shared" si="24"/>
        <v>261576</v>
      </c>
      <c r="O50" s="345">
        <f t="shared" si="25"/>
        <v>0</v>
      </c>
      <c r="P50" s="345">
        <f t="shared" si="39"/>
        <v>0</v>
      </c>
      <c r="Q50" s="345">
        <f t="shared" si="26"/>
        <v>0</v>
      </c>
      <c r="R50" s="345">
        <f t="shared" si="7"/>
        <v>0</v>
      </c>
      <c r="S50" s="345">
        <f t="shared" si="8"/>
        <v>0</v>
      </c>
      <c r="T50" s="345">
        <f t="shared" si="9"/>
        <v>0</v>
      </c>
      <c r="U50" s="345">
        <f t="shared" si="40"/>
        <v>0</v>
      </c>
      <c r="V50" s="345">
        <f t="shared" si="41"/>
        <v>0</v>
      </c>
      <c r="W50" s="345">
        <f t="shared" si="42"/>
        <v>261576</v>
      </c>
      <c r="X50" s="505">
        <f t="shared" si="27"/>
        <v>45459</v>
      </c>
      <c r="Y50" s="345">
        <f t="shared" si="43"/>
        <v>331193.40000000002</v>
      </c>
      <c r="Z50" s="495">
        <f t="shared" si="10"/>
        <v>3.7499999999999999E-2</v>
      </c>
      <c r="AA50" s="345">
        <f t="shared" si="11"/>
        <v>0</v>
      </c>
      <c r="AB50" s="345">
        <f t="shared" si="12"/>
        <v>0</v>
      </c>
      <c r="AC50" s="345">
        <f t="shared" si="13"/>
        <v>0</v>
      </c>
      <c r="AD50" s="345">
        <f t="shared" si="14"/>
        <v>0</v>
      </c>
      <c r="AE50" s="345">
        <f t="shared" si="15"/>
        <v>0</v>
      </c>
      <c r="AF50" s="345">
        <f t="shared" si="16"/>
        <v>0</v>
      </c>
      <c r="AG50" s="345">
        <f t="shared" si="44"/>
        <v>0</v>
      </c>
      <c r="AH50" s="345">
        <f t="shared" si="45"/>
        <v>0</v>
      </c>
      <c r="AI50" s="513">
        <f t="shared" si="28"/>
        <v>0</v>
      </c>
      <c r="AJ50" s="513">
        <f t="shared" si="17"/>
        <v>-69617.400000000023</v>
      </c>
      <c r="AK50" s="513"/>
      <c r="AL50" s="345">
        <f t="shared" si="46"/>
        <v>331193.40000000002</v>
      </c>
      <c r="AM50" s="426">
        <f t="shared" si="29"/>
        <v>0</v>
      </c>
      <c r="AN50" s="21">
        <f t="shared" si="19"/>
        <v>0</v>
      </c>
      <c r="AO50" s="21">
        <f t="shared" si="50"/>
        <v>239839.93000000002</v>
      </c>
      <c r="AP50" s="21">
        <f t="shared" si="20"/>
        <v>0</v>
      </c>
      <c r="AQ50" s="21"/>
      <c r="AR50" s="23"/>
      <c r="AS50" s="21">
        <f t="shared" si="21"/>
        <v>0</v>
      </c>
      <c r="AT50" s="21">
        <f t="shared" si="31"/>
        <v>0</v>
      </c>
      <c r="AU50" s="345">
        <f t="shared" si="32"/>
        <v>713.65982346274996</v>
      </c>
      <c r="AV50" s="345">
        <f t="shared" si="33"/>
        <v>24601.589208562735</v>
      </c>
    </row>
    <row r="51" spans="1:50" x14ac:dyDescent="0.25">
      <c r="A51" s="502">
        <f t="shared" si="34"/>
        <v>45489</v>
      </c>
      <c r="B51" s="285">
        <f t="shared" si="22"/>
        <v>91657.309999999983</v>
      </c>
      <c r="C51" s="14">
        <f t="shared" si="4"/>
        <v>450.28</v>
      </c>
      <c r="D51" s="14">
        <f t="shared" si="35"/>
        <v>163.84999999999997</v>
      </c>
      <c r="E51" s="14">
        <f t="shared" si="5"/>
        <v>286.43</v>
      </c>
      <c r="I51" s="285">
        <f t="shared" si="47"/>
        <v>6038.3799999999974</v>
      </c>
      <c r="J51" s="285">
        <f t="shared" si="48"/>
        <v>10925.819999999996</v>
      </c>
      <c r="K51" s="285">
        <f t="shared" si="49"/>
        <v>91493.459999999977</v>
      </c>
      <c r="L51" s="425">
        <f t="shared" si="6"/>
        <v>0</v>
      </c>
      <c r="M51" s="425">
        <f t="shared" si="23"/>
        <v>0</v>
      </c>
      <c r="N51" s="285">
        <f t="shared" si="24"/>
        <v>261576</v>
      </c>
      <c r="O51" s="285">
        <f t="shared" si="25"/>
        <v>0</v>
      </c>
      <c r="P51" s="285">
        <f t="shared" si="39"/>
        <v>0</v>
      </c>
      <c r="Q51" s="285">
        <f t="shared" si="26"/>
        <v>0</v>
      </c>
      <c r="R51" s="285">
        <f t="shared" si="7"/>
        <v>0</v>
      </c>
      <c r="S51" s="285">
        <f t="shared" si="8"/>
        <v>0</v>
      </c>
      <c r="T51" s="285">
        <f t="shared" si="9"/>
        <v>0</v>
      </c>
      <c r="U51" s="285">
        <f t="shared" si="40"/>
        <v>0</v>
      </c>
      <c r="V51" s="285">
        <f t="shared" si="41"/>
        <v>0</v>
      </c>
      <c r="W51" s="285">
        <f t="shared" si="42"/>
        <v>261576</v>
      </c>
      <c r="X51" s="502">
        <f t="shared" si="27"/>
        <v>45489</v>
      </c>
      <c r="Y51" s="285">
        <f t="shared" si="43"/>
        <v>331193.40000000002</v>
      </c>
      <c r="Z51" s="494">
        <f t="shared" si="10"/>
        <v>3.7499999999999999E-2</v>
      </c>
      <c r="AA51" s="285">
        <f t="shared" si="11"/>
        <v>0</v>
      </c>
      <c r="AB51" s="285">
        <f t="shared" si="12"/>
        <v>0</v>
      </c>
      <c r="AC51" s="285">
        <f t="shared" si="13"/>
        <v>0</v>
      </c>
      <c r="AD51" s="285">
        <f t="shared" si="14"/>
        <v>0</v>
      </c>
      <c r="AE51" s="285">
        <f t="shared" si="15"/>
        <v>0</v>
      </c>
      <c r="AF51" s="285">
        <f t="shared" si="16"/>
        <v>0</v>
      </c>
      <c r="AG51" s="285">
        <f t="shared" si="44"/>
        <v>0</v>
      </c>
      <c r="AH51" s="285">
        <f t="shared" si="45"/>
        <v>0</v>
      </c>
      <c r="AI51" s="512">
        <f t="shared" si="28"/>
        <v>0</v>
      </c>
      <c r="AJ51" s="512">
        <f t="shared" si="17"/>
        <v>-69617.400000000023</v>
      </c>
      <c r="AK51" s="512"/>
      <c r="AL51" s="285">
        <f t="shared" si="46"/>
        <v>331193.40000000002</v>
      </c>
      <c r="AM51" s="425">
        <f t="shared" si="29"/>
        <v>0</v>
      </c>
      <c r="AN51" s="14">
        <f t="shared" si="19"/>
        <v>0</v>
      </c>
      <c r="AO51" s="14">
        <f t="shared" si="50"/>
        <v>240003.78000000003</v>
      </c>
      <c r="AP51" s="14">
        <f t="shared" si="20"/>
        <v>0</v>
      </c>
      <c r="AS51" s="14">
        <f t="shared" si="21"/>
        <v>0</v>
      </c>
      <c r="AT51" s="14">
        <f t="shared" si="31"/>
        <v>0</v>
      </c>
      <c r="AU51" s="285">
        <f t="shared" si="32"/>
        <v>715.4439730214068</v>
      </c>
      <c r="AV51" s="285">
        <f t="shared" si="33"/>
        <v>25317.033181584142</v>
      </c>
    </row>
    <row r="52" spans="1:50" x14ac:dyDescent="0.25">
      <c r="A52" s="502">
        <f t="shared" si="34"/>
        <v>45519</v>
      </c>
      <c r="B52" s="285">
        <f t="shared" si="22"/>
        <v>91493.459999999977</v>
      </c>
      <c r="C52" s="14">
        <f t="shared" si="4"/>
        <v>450.28</v>
      </c>
      <c r="D52" s="14">
        <f t="shared" si="35"/>
        <v>164.35999999999996</v>
      </c>
      <c r="E52" s="14">
        <f t="shared" si="5"/>
        <v>285.92</v>
      </c>
      <c r="I52" s="285">
        <f t="shared" si="47"/>
        <v>6202.7399999999971</v>
      </c>
      <c r="J52" s="285">
        <f t="shared" si="48"/>
        <v>11211.739999999996</v>
      </c>
      <c r="K52" s="285">
        <f t="shared" si="49"/>
        <v>91329.099999999977</v>
      </c>
      <c r="L52" s="425">
        <f t="shared" si="6"/>
        <v>0</v>
      </c>
      <c r="M52" s="425">
        <f t="shared" si="23"/>
        <v>0</v>
      </c>
      <c r="N52" s="285">
        <f t="shared" si="24"/>
        <v>261576</v>
      </c>
      <c r="O52" s="285">
        <f t="shared" si="25"/>
        <v>0</v>
      </c>
      <c r="P52" s="285">
        <f t="shared" si="39"/>
        <v>0</v>
      </c>
      <c r="Q52" s="285">
        <f t="shared" si="26"/>
        <v>0</v>
      </c>
      <c r="R52" s="285">
        <f t="shared" si="7"/>
        <v>0</v>
      </c>
      <c r="S52" s="285">
        <f t="shared" si="8"/>
        <v>0</v>
      </c>
      <c r="T52" s="285">
        <f t="shared" si="9"/>
        <v>0</v>
      </c>
      <c r="U52" s="285">
        <f t="shared" si="40"/>
        <v>0</v>
      </c>
      <c r="V52" s="285">
        <f t="shared" si="41"/>
        <v>0</v>
      </c>
      <c r="W52" s="285">
        <f t="shared" si="42"/>
        <v>261576</v>
      </c>
      <c r="X52" s="502">
        <f t="shared" si="27"/>
        <v>45519</v>
      </c>
      <c r="Y52" s="285">
        <f t="shared" si="43"/>
        <v>331193.40000000002</v>
      </c>
      <c r="Z52" s="494">
        <f t="shared" si="10"/>
        <v>3.7499999999999999E-2</v>
      </c>
      <c r="AA52" s="285">
        <f t="shared" si="11"/>
        <v>0</v>
      </c>
      <c r="AB52" s="285">
        <f t="shared" si="12"/>
        <v>0</v>
      </c>
      <c r="AC52" s="285">
        <f t="shared" si="13"/>
        <v>0</v>
      </c>
      <c r="AD52" s="285">
        <f t="shared" si="14"/>
        <v>0</v>
      </c>
      <c r="AE52" s="285">
        <f t="shared" si="15"/>
        <v>0</v>
      </c>
      <c r="AF52" s="285">
        <f t="shared" si="16"/>
        <v>0</v>
      </c>
      <c r="AG52" s="285">
        <f t="shared" si="44"/>
        <v>0</v>
      </c>
      <c r="AH52" s="285">
        <f t="shared" si="45"/>
        <v>0</v>
      </c>
      <c r="AI52" s="512">
        <f t="shared" si="28"/>
        <v>0</v>
      </c>
      <c r="AJ52" s="512">
        <f t="shared" si="17"/>
        <v>-69617.400000000023</v>
      </c>
      <c r="AK52" s="512"/>
      <c r="AL52" s="285">
        <f t="shared" si="46"/>
        <v>331193.40000000002</v>
      </c>
      <c r="AM52" s="425">
        <f t="shared" si="29"/>
        <v>0</v>
      </c>
      <c r="AN52" s="14">
        <f t="shared" si="19"/>
        <v>0</v>
      </c>
      <c r="AO52" s="14">
        <f t="shared" si="50"/>
        <v>240168.14</v>
      </c>
      <c r="AP52" s="14">
        <f t="shared" si="20"/>
        <v>0</v>
      </c>
      <c r="AS52" s="14">
        <f t="shared" si="21"/>
        <v>0</v>
      </c>
      <c r="AT52" s="14">
        <f t="shared" si="31"/>
        <v>0</v>
      </c>
      <c r="AU52" s="285">
        <f t="shared" si="32"/>
        <v>717.23258295396033</v>
      </c>
      <c r="AV52" s="285">
        <f t="shared" si="33"/>
        <v>26034.2657645381</v>
      </c>
    </row>
    <row r="53" spans="1:50" x14ac:dyDescent="0.25">
      <c r="A53" s="502">
        <f t="shared" si="34"/>
        <v>45549</v>
      </c>
      <c r="B53" s="285">
        <f t="shared" si="22"/>
        <v>91329.099999999977</v>
      </c>
      <c r="C53" s="14">
        <f t="shared" si="4"/>
        <v>450.28</v>
      </c>
      <c r="D53" s="14">
        <f t="shared" si="35"/>
        <v>164.88</v>
      </c>
      <c r="E53" s="14">
        <f t="shared" si="5"/>
        <v>285.39999999999998</v>
      </c>
      <c r="I53" s="285">
        <f t="shared" si="47"/>
        <v>6367.6199999999972</v>
      </c>
      <c r="J53" s="285">
        <f t="shared" si="48"/>
        <v>11497.139999999996</v>
      </c>
      <c r="K53" s="285">
        <f t="shared" si="49"/>
        <v>91164.219999999972</v>
      </c>
      <c r="L53" s="425">
        <f t="shared" si="6"/>
        <v>0</v>
      </c>
      <c r="M53" s="425">
        <f t="shared" si="23"/>
        <v>0</v>
      </c>
      <c r="N53" s="285">
        <f t="shared" si="24"/>
        <v>261576</v>
      </c>
      <c r="O53" s="285">
        <f t="shared" si="25"/>
        <v>0</v>
      </c>
      <c r="P53" s="285">
        <f t="shared" si="39"/>
        <v>0</v>
      </c>
      <c r="Q53" s="285">
        <f t="shared" si="26"/>
        <v>0</v>
      </c>
      <c r="R53" s="285">
        <f t="shared" si="7"/>
        <v>0</v>
      </c>
      <c r="S53" s="285">
        <f t="shared" si="8"/>
        <v>0</v>
      </c>
      <c r="T53" s="285">
        <f t="shared" si="9"/>
        <v>0</v>
      </c>
      <c r="U53" s="285">
        <f t="shared" si="40"/>
        <v>0</v>
      </c>
      <c r="V53" s="285">
        <f t="shared" si="41"/>
        <v>0</v>
      </c>
      <c r="W53" s="285">
        <f t="shared" si="42"/>
        <v>261576</v>
      </c>
      <c r="X53" s="502">
        <f t="shared" si="27"/>
        <v>45549</v>
      </c>
      <c r="Y53" s="285">
        <f t="shared" si="43"/>
        <v>331193.40000000002</v>
      </c>
      <c r="Z53" s="494">
        <f t="shared" si="10"/>
        <v>3.7499999999999999E-2</v>
      </c>
      <c r="AA53" s="285">
        <f t="shared" si="11"/>
        <v>0</v>
      </c>
      <c r="AB53" s="285">
        <f t="shared" si="12"/>
        <v>0</v>
      </c>
      <c r="AC53" s="285">
        <f t="shared" si="13"/>
        <v>0</v>
      </c>
      <c r="AD53" s="285">
        <f t="shared" si="14"/>
        <v>0</v>
      </c>
      <c r="AE53" s="285">
        <f t="shared" si="15"/>
        <v>0</v>
      </c>
      <c r="AF53" s="285">
        <f t="shared" si="16"/>
        <v>0</v>
      </c>
      <c r="AG53" s="285">
        <f t="shared" si="44"/>
        <v>0</v>
      </c>
      <c r="AH53" s="285">
        <f t="shared" si="45"/>
        <v>0</v>
      </c>
      <c r="AI53" s="512">
        <f t="shared" si="28"/>
        <v>0</v>
      </c>
      <c r="AJ53" s="512">
        <f t="shared" si="17"/>
        <v>-69617.400000000023</v>
      </c>
      <c r="AK53" s="512"/>
      <c r="AL53" s="285">
        <f t="shared" si="46"/>
        <v>331193.40000000002</v>
      </c>
      <c r="AM53" s="425">
        <f t="shared" si="29"/>
        <v>0</v>
      </c>
      <c r="AN53" s="14">
        <f t="shared" si="19"/>
        <v>0</v>
      </c>
      <c r="AO53" s="14">
        <f t="shared" si="50"/>
        <v>240333.02000000002</v>
      </c>
      <c r="AP53" s="14">
        <f t="shared" si="20"/>
        <v>0</v>
      </c>
      <c r="AS53" s="14">
        <f t="shared" si="21"/>
        <v>0</v>
      </c>
      <c r="AT53" s="14">
        <f t="shared" si="31"/>
        <v>0</v>
      </c>
      <c r="AU53" s="285">
        <f t="shared" si="32"/>
        <v>719.02566441134513</v>
      </c>
      <c r="AV53" s="285">
        <f t="shared" si="33"/>
        <v>26753.291428949444</v>
      </c>
    </row>
    <row r="54" spans="1:50" x14ac:dyDescent="0.25">
      <c r="A54" s="502">
        <f t="shared" si="34"/>
        <v>45579</v>
      </c>
      <c r="B54" s="285">
        <f t="shared" si="22"/>
        <v>91164.219999999972</v>
      </c>
      <c r="C54" s="14">
        <f t="shared" si="4"/>
        <v>450.28</v>
      </c>
      <c r="D54" s="14">
        <f t="shared" si="35"/>
        <v>165.39</v>
      </c>
      <c r="E54" s="14">
        <f t="shared" si="5"/>
        <v>284.89</v>
      </c>
      <c r="I54" s="285">
        <f t="shared" si="47"/>
        <v>6533.0099999999975</v>
      </c>
      <c r="J54" s="285">
        <f t="shared" si="48"/>
        <v>11782.029999999995</v>
      </c>
      <c r="K54" s="285">
        <f t="shared" si="49"/>
        <v>90998.829999999973</v>
      </c>
      <c r="L54" s="425">
        <f t="shared" si="6"/>
        <v>0</v>
      </c>
      <c r="M54" s="425">
        <f t="shared" si="23"/>
        <v>0</v>
      </c>
      <c r="N54" s="285">
        <f t="shared" si="24"/>
        <v>261576</v>
      </c>
      <c r="O54" s="285">
        <f t="shared" si="25"/>
        <v>0</v>
      </c>
      <c r="P54" s="285">
        <f t="shared" si="39"/>
        <v>0</v>
      </c>
      <c r="Q54" s="285">
        <f t="shared" si="26"/>
        <v>0</v>
      </c>
      <c r="R54" s="285">
        <f t="shared" si="7"/>
        <v>0</v>
      </c>
      <c r="S54" s="285">
        <f t="shared" si="8"/>
        <v>0</v>
      </c>
      <c r="T54" s="285">
        <f t="shared" si="9"/>
        <v>0</v>
      </c>
      <c r="U54" s="285">
        <f t="shared" si="40"/>
        <v>0</v>
      </c>
      <c r="V54" s="285">
        <f t="shared" si="41"/>
        <v>0</v>
      </c>
      <c r="W54" s="285">
        <f t="shared" si="42"/>
        <v>261576</v>
      </c>
      <c r="X54" s="502">
        <f t="shared" si="27"/>
        <v>45579</v>
      </c>
      <c r="Y54" s="285">
        <f t="shared" si="43"/>
        <v>331193.40000000002</v>
      </c>
      <c r="Z54" s="494">
        <f t="shared" si="10"/>
        <v>3.7499999999999999E-2</v>
      </c>
      <c r="AA54" s="285">
        <f t="shared" si="11"/>
        <v>0</v>
      </c>
      <c r="AB54" s="285">
        <f t="shared" si="12"/>
        <v>0</v>
      </c>
      <c r="AC54" s="285">
        <f t="shared" si="13"/>
        <v>0</v>
      </c>
      <c r="AD54" s="285">
        <f t="shared" si="14"/>
        <v>0</v>
      </c>
      <c r="AE54" s="285">
        <f t="shared" si="15"/>
        <v>0</v>
      </c>
      <c r="AF54" s="285">
        <f t="shared" si="16"/>
        <v>0</v>
      </c>
      <c r="AG54" s="285">
        <f t="shared" si="44"/>
        <v>0</v>
      </c>
      <c r="AH54" s="285">
        <f t="shared" si="45"/>
        <v>0</v>
      </c>
      <c r="AI54" s="512">
        <f t="shared" si="28"/>
        <v>0</v>
      </c>
      <c r="AJ54" s="512">
        <f t="shared" si="17"/>
        <v>-69617.400000000023</v>
      </c>
      <c r="AK54" s="512"/>
      <c r="AL54" s="285">
        <f t="shared" si="46"/>
        <v>331193.40000000002</v>
      </c>
      <c r="AM54" s="425">
        <f t="shared" si="29"/>
        <v>0</v>
      </c>
      <c r="AN54" s="14">
        <f t="shared" si="19"/>
        <v>0</v>
      </c>
      <c r="AO54" s="14">
        <f t="shared" si="50"/>
        <v>240498.41000000003</v>
      </c>
      <c r="AP54" s="14">
        <f t="shared" si="20"/>
        <v>0</v>
      </c>
      <c r="AS54" s="14">
        <f t="shared" si="21"/>
        <v>0</v>
      </c>
      <c r="AT54" s="14">
        <f t="shared" si="31"/>
        <v>0</v>
      </c>
      <c r="AU54" s="285">
        <f t="shared" si="32"/>
        <v>720.82322857237352</v>
      </c>
      <c r="AV54" s="285">
        <f t="shared" si="33"/>
        <v>27474.114657521819</v>
      </c>
    </row>
    <row r="55" spans="1:50" x14ac:dyDescent="0.25">
      <c r="A55" s="502">
        <f t="shared" si="34"/>
        <v>45609</v>
      </c>
      <c r="B55" s="285">
        <f t="shared" si="22"/>
        <v>90998.829999999973</v>
      </c>
      <c r="C55" s="14">
        <f t="shared" si="4"/>
        <v>450.28</v>
      </c>
      <c r="D55" s="14">
        <f t="shared" si="35"/>
        <v>165.90999999999997</v>
      </c>
      <c r="E55" s="14">
        <f t="shared" si="5"/>
        <v>284.37</v>
      </c>
      <c r="I55" s="285">
        <f t="shared" si="47"/>
        <v>6698.9199999999973</v>
      </c>
      <c r="J55" s="285">
        <f t="shared" si="48"/>
        <v>12066.399999999996</v>
      </c>
      <c r="K55" s="285">
        <f t="shared" si="49"/>
        <v>90832.919999999969</v>
      </c>
      <c r="L55" s="425">
        <f t="shared" si="6"/>
        <v>0</v>
      </c>
      <c r="M55" s="425">
        <f t="shared" si="23"/>
        <v>0</v>
      </c>
      <c r="N55" s="285">
        <f t="shared" si="24"/>
        <v>261576</v>
      </c>
      <c r="O55" s="285">
        <f t="shared" si="25"/>
        <v>0</v>
      </c>
      <c r="P55" s="285">
        <f t="shared" si="39"/>
        <v>0</v>
      </c>
      <c r="Q55" s="285">
        <f t="shared" si="26"/>
        <v>0</v>
      </c>
      <c r="R55" s="285">
        <f t="shared" si="7"/>
        <v>0</v>
      </c>
      <c r="S55" s="285">
        <f t="shared" si="8"/>
        <v>0</v>
      </c>
      <c r="T55" s="285">
        <f t="shared" si="9"/>
        <v>0</v>
      </c>
      <c r="U55" s="285">
        <f t="shared" si="40"/>
        <v>0</v>
      </c>
      <c r="V55" s="285">
        <f t="shared" si="41"/>
        <v>0</v>
      </c>
      <c r="W55" s="285">
        <f t="shared" si="42"/>
        <v>261576</v>
      </c>
      <c r="X55" s="502">
        <f t="shared" si="27"/>
        <v>45609</v>
      </c>
      <c r="Y55" s="285">
        <f t="shared" si="43"/>
        <v>331193.40000000002</v>
      </c>
      <c r="Z55" s="494">
        <f t="shared" si="10"/>
        <v>3.7499999999999999E-2</v>
      </c>
      <c r="AA55" s="285">
        <f t="shared" si="11"/>
        <v>0</v>
      </c>
      <c r="AB55" s="285">
        <f t="shared" si="12"/>
        <v>0</v>
      </c>
      <c r="AC55" s="285">
        <f t="shared" si="13"/>
        <v>0</v>
      </c>
      <c r="AD55" s="285">
        <f t="shared" si="14"/>
        <v>0</v>
      </c>
      <c r="AE55" s="285">
        <f t="shared" si="15"/>
        <v>0</v>
      </c>
      <c r="AF55" s="285">
        <f t="shared" si="16"/>
        <v>0</v>
      </c>
      <c r="AG55" s="285">
        <f t="shared" si="44"/>
        <v>0</v>
      </c>
      <c r="AH55" s="285">
        <f t="shared" si="45"/>
        <v>0</v>
      </c>
      <c r="AI55" s="512">
        <f t="shared" si="28"/>
        <v>0</v>
      </c>
      <c r="AJ55" s="512">
        <f t="shared" si="17"/>
        <v>-69617.400000000023</v>
      </c>
      <c r="AK55" s="512"/>
      <c r="AL55" s="285">
        <f t="shared" si="46"/>
        <v>331193.40000000002</v>
      </c>
      <c r="AM55" s="425">
        <f t="shared" si="29"/>
        <v>0</v>
      </c>
      <c r="AN55" s="14">
        <f t="shared" si="19"/>
        <v>0</v>
      </c>
      <c r="AO55" s="14">
        <f t="shared" si="50"/>
        <v>240664.32000000001</v>
      </c>
      <c r="AP55" s="14">
        <f t="shared" si="20"/>
        <v>0</v>
      </c>
      <c r="AS55" s="14">
        <f t="shared" si="21"/>
        <v>0</v>
      </c>
      <c r="AT55" s="14">
        <f t="shared" si="31"/>
        <v>0</v>
      </c>
      <c r="AU55" s="285">
        <f t="shared" si="32"/>
        <v>722.62528664380454</v>
      </c>
      <c r="AV55" s="285">
        <f t="shared" si="33"/>
        <v>28196.739944165623</v>
      </c>
    </row>
    <row r="56" spans="1:50" x14ac:dyDescent="0.25">
      <c r="A56" s="502">
        <f t="shared" si="34"/>
        <v>45639</v>
      </c>
      <c r="B56" s="285">
        <f t="shared" si="22"/>
        <v>90832.919999999969</v>
      </c>
      <c r="C56" s="14">
        <f t="shared" si="4"/>
        <v>450.28</v>
      </c>
      <c r="D56" s="14">
        <f t="shared" si="35"/>
        <v>166.42999999999995</v>
      </c>
      <c r="E56" s="14">
        <f t="shared" si="5"/>
        <v>283.85000000000002</v>
      </c>
      <c r="I56" s="285">
        <f t="shared" si="47"/>
        <v>6865.3499999999976</v>
      </c>
      <c r="J56" s="285">
        <f t="shared" si="48"/>
        <v>12350.249999999996</v>
      </c>
      <c r="K56" s="285">
        <f t="shared" si="49"/>
        <v>90666.489999999976</v>
      </c>
      <c r="L56" s="425">
        <f t="shared" si="6"/>
        <v>0</v>
      </c>
      <c r="M56" s="425">
        <f t="shared" si="23"/>
        <v>0</v>
      </c>
      <c r="N56" s="285">
        <f t="shared" si="24"/>
        <v>261576</v>
      </c>
      <c r="O56" s="285">
        <f t="shared" si="25"/>
        <v>0</v>
      </c>
      <c r="P56" s="285">
        <f t="shared" si="39"/>
        <v>0</v>
      </c>
      <c r="Q56" s="285">
        <f t="shared" si="26"/>
        <v>0</v>
      </c>
      <c r="R56" s="285">
        <f t="shared" si="7"/>
        <v>0</v>
      </c>
      <c r="S56" s="285">
        <f t="shared" si="8"/>
        <v>0</v>
      </c>
      <c r="T56" s="285">
        <f t="shared" si="9"/>
        <v>0</v>
      </c>
      <c r="U56" s="285">
        <f t="shared" si="40"/>
        <v>0</v>
      </c>
      <c r="V56" s="285">
        <f t="shared" si="41"/>
        <v>0</v>
      </c>
      <c r="W56" s="285">
        <f t="shared" si="42"/>
        <v>261576</v>
      </c>
      <c r="X56" s="502">
        <f t="shared" si="27"/>
        <v>45639</v>
      </c>
      <c r="Y56" s="285">
        <f t="shared" si="43"/>
        <v>331193.40000000002</v>
      </c>
      <c r="Z56" s="494">
        <f t="shared" si="10"/>
        <v>3.7499999999999999E-2</v>
      </c>
      <c r="AA56" s="285">
        <f t="shared" si="11"/>
        <v>0</v>
      </c>
      <c r="AB56" s="285">
        <f t="shared" si="12"/>
        <v>0</v>
      </c>
      <c r="AC56" s="285">
        <f t="shared" si="13"/>
        <v>0</v>
      </c>
      <c r="AD56" s="285">
        <f t="shared" si="14"/>
        <v>0</v>
      </c>
      <c r="AE56" s="285">
        <f t="shared" si="15"/>
        <v>0</v>
      </c>
      <c r="AF56" s="285">
        <f t="shared" si="16"/>
        <v>0</v>
      </c>
      <c r="AG56" s="285">
        <f t="shared" si="44"/>
        <v>0</v>
      </c>
      <c r="AH56" s="285">
        <f t="shared" si="45"/>
        <v>0</v>
      </c>
      <c r="AI56" s="512">
        <f t="shared" si="28"/>
        <v>0</v>
      </c>
      <c r="AJ56" s="512">
        <f t="shared" si="17"/>
        <v>-69617.400000000023</v>
      </c>
      <c r="AK56" s="512"/>
      <c r="AL56" s="285">
        <f t="shared" si="46"/>
        <v>331193.40000000002</v>
      </c>
      <c r="AM56" s="425">
        <f t="shared" si="29"/>
        <v>0</v>
      </c>
      <c r="AN56" s="14">
        <f t="shared" si="19"/>
        <v>0</v>
      </c>
      <c r="AO56" s="14">
        <f t="shared" si="50"/>
        <v>240830.75000000003</v>
      </c>
      <c r="AP56" s="14">
        <f t="shared" si="20"/>
        <v>0</v>
      </c>
      <c r="AS56" s="14">
        <f t="shared" si="21"/>
        <v>0</v>
      </c>
      <c r="AT56" s="14">
        <f t="shared" si="31"/>
        <v>0</v>
      </c>
      <c r="AU56" s="285">
        <f t="shared" si="32"/>
        <v>724.43184986041399</v>
      </c>
      <c r="AV56" s="285">
        <f t="shared" si="33"/>
        <v>28921.171794026039</v>
      </c>
    </row>
    <row r="57" spans="1:50" x14ac:dyDescent="0.25">
      <c r="A57" s="502">
        <f t="shared" si="34"/>
        <v>45669</v>
      </c>
      <c r="B57" s="285">
        <f t="shared" si="22"/>
        <v>90666.489999999976</v>
      </c>
      <c r="C57" s="14">
        <f t="shared" si="4"/>
        <v>450.28</v>
      </c>
      <c r="D57" s="14">
        <f t="shared" si="35"/>
        <v>166.95</v>
      </c>
      <c r="E57" s="14">
        <f t="shared" si="5"/>
        <v>283.33</v>
      </c>
      <c r="F57" s="14">
        <f>IF(C57=0,0,$T$8)</f>
        <v>134.16999999999999</v>
      </c>
      <c r="G57" s="14">
        <f>IF(D57=0,0,$T$9)</f>
        <v>188.55</v>
      </c>
      <c r="H57" s="14">
        <f>SUM(D57:G57)</f>
        <v>773</v>
      </c>
      <c r="I57" s="285">
        <f t="shared" si="47"/>
        <v>7032.2999999999975</v>
      </c>
      <c r="J57" s="285">
        <f t="shared" si="48"/>
        <v>12633.579999999996</v>
      </c>
      <c r="K57" s="285">
        <f t="shared" si="49"/>
        <v>90499.539999999979</v>
      </c>
      <c r="L57" s="425">
        <f t="shared" si="6"/>
        <v>0</v>
      </c>
      <c r="M57" s="425">
        <f t="shared" si="23"/>
        <v>0</v>
      </c>
      <c r="N57" s="285">
        <f t="shared" si="24"/>
        <v>261576</v>
      </c>
      <c r="O57" s="285">
        <f t="shared" si="25"/>
        <v>0</v>
      </c>
      <c r="P57" s="285">
        <f t="shared" si="39"/>
        <v>0</v>
      </c>
      <c r="Q57" s="285">
        <f t="shared" si="26"/>
        <v>0</v>
      </c>
      <c r="R57" s="285">
        <f t="shared" si="7"/>
        <v>0</v>
      </c>
      <c r="S57" s="285">
        <f t="shared" si="8"/>
        <v>0</v>
      </c>
      <c r="T57" s="285">
        <f t="shared" si="9"/>
        <v>0</v>
      </c>
      <c r="U57" s="285">
        <f t="shared" si="40"/>
        <v>0</v>
      </c>
      <c r="V57" s="285">
        <f t="shared" si="41"/>
        <v>0</v>
      </c>
      <c r="W57" s="285">
        <f t="shared" si="42"/>
        <v>261576</v>
      </c>
      <c r="X57" s="502">
        <f t="shared" si="27"/>
        <v>45669</v>
      </c>
      <c r="Y57" s="285">
        <f t="shared" si="43"/>
        <v>331193.40000000002</v>
      </c>
      <c r="Z57" s="494">
        <f t="shared" si="10"/>
        <v>3.7499999999999999E-2</v>
      </c>
      <c r="AA57" s="285">
        <f t="shared" si="11"/>
        <v>0</v>
      </c>
      <c r="AB57" s="285">
        <f t="shared" si="12"/>
        <v>0</v>
      </c>
      <c r="AC57" s="285">
        <f t="shared" si="13"/>
        <v>0</v>
      </c>
      <c r="AD57" s="285">
        <f t="shared" si="14"/>
        <v>0</v>
      </c>
      <c r="AE57" s="285">
        <f t="shared" si="15"/>
        <v>0</v>
      </c>
      <c r="AF57" s="285">
        <f t="shared" si="16"/>
        <v>0</v>
      </c>
      <c r="AG57" s="285">
        <f t="shared" si="44"/>
        <v>0</v>
      </c>
      <c r="AH57" s="285">
        <f t="shared" si="45"/>
        <v>0</v>
      </c>
      <c r="AI57" s="512">
        <f t="shared" si="28"/>
        <v>0</v>
      </c>
      <c r="AJ57" s="512">
        <f t="shared" si="17"/>
        <v>-69617.400000000023</v>
      </c>
      <c r="AK57" s="512"/>
      <c r="AL57" s="285">
        <f t="shared" si="46"/>
        <v>331193.40000000002</v>
      </c>
      <c r="AM57" s="425">
        <f t="shared" si="29"/>
        <v>0</v>
      </c>
      <c r="AN57" s="14">
        <f t="shared" si="19"/>
        <v>0</v>
      </c>
      <c r="AO57" s="14">
        <f t="shared" si="50"/>
        <v>240997.7</v>
      </c>
      <c r="AP57" s="14">
        <f t="shared" si="20"/>
        <v>0</v>
      </c>
      <c r="AS57" s="14">
        <f t="shared" si="21"/>
        <v>0</v>
      </c>
      <c r="AT57" s="14">
        <f t="shared" si="31"/>
        <v>0</v>
      </c>
      <c r="AU57" s="285">
        <f t="shared" si="32"/>
        <v>726.24292948506502</v>
      </c>
      <c r="AV57" s="285">
        <f t="shared" si="33"/>
        <v>29647.414723511105</v>
      </c>
    </row>
    <row r="58" spans="1:50" x14ac:dyDescent="0.25">
      <c r="A58" s="502">
        <f t="shared" si="34"/>
        <v>45699</v>
      </c>
      <c r="B58" s="285">
        <f t="shared" si="22"/>
        <v>90499.539999999979</v>
      </c>
      <c r="C58" s="14">
        <f t="shared" si="4"/>
        <v>450.28</v>
      </c>
      <c r="D58" s="14">
        <f t="shared" si="35"/>
        <v>167.46999999999997</v>
      </c>
      <c r="E58" s="14">
        <f t="shared" si="5"/>
        <v>282.81</v>
      </c>
      <c r="F58" s="14">
        <f t="shared" ref="F58:F122" si="51">+F57</f>
        <v>134.16999999999999</v>
      </c>
      <c r="G58" s="14">
        <f t="shared" ref="G58:G121" si="52">+G57</f>
        <v>188.55</v>
      </c>
      <c r="H58" s="14">
        <f t="shared" ref="H58" si="53">+H57</f>
        <v>773</v>
      </c>
      <c r="I58" s="285">
        <f t="shared" si="47"/>
        <v>7199.7699999999977</v>
      </c>
      <c r="J58" s="285">
        <f t="shared" si="48"/>
        <v>12916.389999999996</v>
      </c>
      <c r="K58" s="285">
        <f t="shared" si="49"/>
        <v>90332.069999999978</v>
      </c>
      <c r="L58" s="425">
        <f t="shared" si="6"/>
        <v>0</v>
      </c>
      <c r="M58" s="425">
        <f t="shared" si="23"/>
        <v>0</v>
      </c>
      <c r="N58" s="285">
        <f t="shared" si="24"/>
        <v>261576</v>
      </c>
      <c r="O58" s="285">
        <f>IF($O$9&lt;=$A58,IF(+$W57&lt;=0,0,$O$8),0)</f>
        <v>0</v>
      </c>
      <c r="P58" s="285">
        <f t="shared" si="39"/>
        <v>0</v>
      </c>
      <c r="Q58" s="285">
        <f t="shared" si="26"/>
        <v>0</v>
      </c>
      <c r="R58" s="285">
        <f t="shared" si="7"/>
        <v>0</v>
      </c>
      <c r="S58" s="285">
        <f t="shared" si="8"/>
        <v>0</v>
      </c>
      <c r="T58" s="285">
        <f>SUM(P58:S58)</f>
        <v>0</v>
      </c>
      <c r="U58" s="285">
        <f t="shared" si="40"/>
        <v>0</v>
      </c>
      <c r="V58" s="285">
        <f t="shared" si="41"/>
        <v>0</v>
      </c>
      <c r="W58" s="285">
        <f t="shared" si="42"/>
        <v>261576</v>
      </c>
      <c r="X58" s="502">
        <f t="shared" si="27"/>
        <v>45699</v>
      </c>
      <c r="Y58" s="285">
        <f t="shared" si="43"/>
        <v>331193.40000000002</v>
      </c>
      <c r="Z58" s="494">
        <f t="shared" si="10"/>
        <v>3.7499999999999999E-2</v>
      </c>
      <c r="AA58" s="285">
        <f t="shared" si="11"/>
        <v>0</v>
      </c>
      <c r="AB58" s="285">
        <f t="shared" si="12"/>
        <v>0</v>
      </c>
      <c r="AC58" s="285">
        <f t="shared" si="13"/>
        <v>0</v>
      </c>
      <c r="AD58" s="285">
        <f t="shared" si="14"/>
        <v>0</v>
      </c>
      <c r="AE58" s="285">
        <f t="shared" si="15"/>
        <v>0</v>
      </c>
      <c r="AF58" s="285">
        <f t="shared" si="16"/>
        <v>0</v>
      </c>
      <c r="AG58" s="285">
        <f t="shared" si="44"/>
        <v>0</v>
      </c>
      <c r="AH58" s="285">
        <f t="shared" si="45"/>
        <v>0</v>
      </c>
      <c r="AI58" s="512">
        <f t="shared" si="28"/>
        <v>0</v>
      </c>
      <c r="AJ58" s="512">
        <f t="shared" si="17"/>
        <v>-69617.400000000023</v>
      </c>
      <c r="AK58" s="512"/>
      <c r="AL58" s="285">
        <f t="shared" si="46"/>
        <v>331193.40000000002</v>
      </c>
      <c r="AM58" s="425">
        <f t="shared" si="29"/>
        <v>0</v>
      </c>
      <c r="AN58" s="14">
        <f t="shared" si="19"/>
        <v>0</v>
      </c>
      <c r="AO58" s="14">
        <f t="shared" si="50"/>
        <v>241165.17</v>
      </c>
      <c r="AP58" s="14">
        <f t="shared" si="20"/>
        <v>0</v>
      </c>
      <c r="AS58" s="14">
        <f t="shared" si="21"/>
        <v>0</v>
      </c>
      <c r="AT58" s="14">
        <f t="shared" si="31"/>
        <v>0</v>
      </c>
      <c r="AU58" s="285">
        <f t="shared" si="32"/>
        <v>728.05853680877772</v>
      </c>
      <c r="AV58" s="285">
        <f t="shared" si="33"/>
        <v>30375.473260319883</v>
      </c>
    </row>
    <row r="59" spans="1:50" x14ac:dyDescent="0.25">
      <c r="A59" s="502">
        <f t="shared" si="34"/>
        <v>45729</v>
      </c>
      <c r="B59" s="285">
        <f t="shared" si="22"/>
        <v>90332.069999999978</v>
      </c>
      <c r="C59" s="14">
        <f t="shared" si="4"/>
        <v>450.28</v>
      </c>
      <c r="D59" s="14">
        <f t="shared" si="35"/>
        <v>167.98999999999995</v>
      </c>
      <c r="E59" s="14">
        <f t="shared" si="5"/>
        <v>282.29000000000002</v>
      </c>
      <c r="F59" s="14">
        <f t="shared" si="51"/>
        <v>134.16999999999999</v>
      </c>
      <c r="G59" s="14">
        <f t="shared" si="52"/>
        <v>188.55</v>
      </c>
      <c r="H59" s="14">
        <f t="shared" ref="H59:H121" si="54">SUM(D59:G59)</f>
        <v>773</v>
      </c>
      <c r="I59" s="285">
        <f t="shared" si="47"/>
        <v>7367.7599999999975</v>
      </c>
      <c r="J59" s="285">
        <f t="shared" si="48"/>
        <v>13198.679999999997</v>
      </c>
      <c r="K59" s="285">
        <f t="shared" si="49"/>
        <v>90164.079999999973</v>
      </c>
      <c r="L59" s="425">
        <f t="shared" si="6"/>
        <v>0</v>
      </c>
      <c r="M59" s="425">
        <f t="shared" si="23"/>
        <v>0</v>
      </c>
      <c r="N59" s="285">
        <f t="shared" si="24"/>
        <v>261576</v>
      </c>
      <c r="O59" s="285">
        <f>IF($O$9&lt;=A59,IF(+$W58&lt;=0,0,$O$8),0)</f>
        <v>1610.57</v>
      </c>
      <c r="P59" s="285">
        <f t="shared" si="39"/>
        <v>248.18999999999983</v>
      </c>
      <c r="Q59" s="285">
        <f t="shared" si="26"/>
        <v>1362.38</v>
      </c>
      <c r="R59" s="285">
        <f t="shared" si="7"/>
        <v>134.16999999999999</v>
      </c>
      <c r="S59" s="285">
        <f t="shared" si="8"/>
        <v>188.55</v>
      </c>
      <c r="T59" s="285">
        <f t="shared" ref="T59" si="55">SUM(P59:S59)</f>
        <v>1933.29</v>
      </c>
      <c r="U59" s="285">
        <f t="shared" si="40"/>
        <v>248.18999999999983</v>
      </c>
      <c r="V59" s="285">
        <f t="shared" si="41"/>
        <v>1362.38</v>
      </c>
      <c r="W59" s="285">
        <f t="shared" si="42"/>
        <v>261327.81</v>
      </c>
      <c r="X59" s="502">
        <f t="shared" si="27"/>
        <v>45729</v>
      </c>
      <c r="Y59" s="285">
        <f>IF(+AL58&lt;0,0,+AL58)</f>
        <v>331193.40000000002</v>
      </c>
      <c r="Z59" s="494">
        <f t="shared" si="10"/>
        <v>3.7499999999999999E-2</v>
      </c>
      <c r="AA59" s="285">
        <f t="shared" si="11"/>
        <v>1533.81</v>
      </c>
      <c r="AB59" s="285">
        <f t="shared" ref="AB59:AB60" si="56">+AA59-AC59</f>
        <v>498.82999999999993</v>
      </c>
      <c r="AC59" s="285">
        <f t="shared" si="13"/>
        <v>1034.98</v>
      </c>
      <c r="AD59" s="285">
        <f t="shared" si="14"/>
        <v>134.16999999999999</v>
      </c>
      <c r="AE59" s="285">
        <f t="shared" si="15"/>
        <v>188.55</v>
      </c>
      <c r="AF59" s="285">
        <f t="shared" si="16"/>
        <v>1856.53</v>
      </c>
      <c r="AG59" s="285">
        <f t="shared" ref="AG59" si="57">+AB59+AG58</f>
        <v>498.82999999999993</v>
      </c>
      <c r="AH59" s="285">
        <f t="shared" ref="AH59" si="58">+AH58+AC59</f>
        <v>1034.98</v>
      </c>
      <c r="AI59" s="512">
        <f>O59-AA59+AI58</f>
        <v>76.759999999999991</v>
      </c>
      <c r="AJ59" s="512">
        <f t="shared" si="17"/>
        <v>-69366.760000000009</v>
      </c>
      <c r="AK59" s="512">
        <f>SUM(AI59:AJ59)</f>
        <v>-69290.000000000015</v>
      </c>
      <c r="AL59" s="285">
        <f>+Y59-AB59</f>
        <v>330694.57</v>
      </c>
      <c r="AM59" s="425">
        <f t="shared" si="29"/>
        <v>0</v>
      </c>
      <c r="AN59" s="14">
        <f>IF($O59=0,0,+$O59-$C59)</f>
        <v>1160.29</v>
      </c>
      <c r="AO59" s="14">
        <f t="shared" si="50"/>
        <v>241084.97000000003</v>
      </c>
      <c r="AP59" s="14">
        <f>IF($O59=0,0,+AA59-$C59)</f>
        <v>1083.53</v>
      </c>
      <c r="AR59">
        <v>120.14</v>
      </c>
      <c r="AS59" s="14">
        <f t="shared" si="21"/>
        <v>1040.1499999999999</v>
      </c>
      <c r="AT59" s="14">
        <f t="shared" si="31"/>
        <v>1040.1499999999999</v>
      </c>
      <c r="AU59" s="285">
        <f t="shared" si="32"/>
        <v>729.8786831507997</v>
      </c>
      <c r="AV59" s="285">
        <f t="shared" si="33"/>
        <v>31105.351943470683</v>
      </c>
      <c r="AX59" s="479"/>
    </row>
    <row r="60" spans="1:50" x14ac:dyDescent="0.25">
      <c r="A60" s="502">
        <f t="shared" si="34"/>
        <v>45759</v>
      </c>
      <c r="B60" s="285">
        <f t="shared" si="22"/>
        <v>90164.079999999973</v>
      </c>
      <c r="C60" s="14">
        <f t="shared" si="4"/>
        <v>450.28</v>
      </c>
      <c r="D60" s="14">
        <f t="shared" si="35"/>
        <v>168.51999999999998</v>
      </c>
      <c r="E60" s="14">
        <f t="shared" si="5"/>
        <v>281.76</v>
      </c>
      <c r="F60" s="14">
        <f t="shared" si="51"/>
        <v>134.16999999999999</v>
      </c>
      <c r="G60" s="14">
        <f t="shared" si="52"/>
        <v>188.55</v>
      </c>
      <c r="H60" s="14">
        <f t="shared" si="54"/>
        <v>773</v>
      </c>
      <c r="I60" s="285">
        <f t="shared" si="47"/>
        <v>7536.279999999997</v>
      </c>
      <c r="J60" s="285">
        <f t="shared" si="48"/>
        <v>13480.439999999997</v>
      </c>
      <c r="K60" s="285">
        <f t="shared" si="49"/>
        <v>89995.559999999969</v>
      </c>
      <c r="L60" s="425">
        <f t="shared" si="6"/>
        <v>0</v>
      </c>
      <c r="M60" s="425">
        <f t="shared" si="23"/>
        <v>1</v>
      </c>
      <c r="N60" s="285">
        <f t="shared" si="24"/>
        <v>261327.81</v>
      </c>
      <c r="O60" s="285">
        <f>IF($O$9&lt;=A60,IF(+$W59&lt;=0,0,$O$8),0)</f>
        <v>1610.57</v>
      </c>
      <c r="P60" s="285">
        <f t="shared" si="39"/>
        <v>249.49</v>
      </c>
      <c r="Q60" s="285">
        <f t="shared" si="26"/>
        <v>1361.08</v>
      </c>
      <c r="R60" s="285">
        <f t="shared" si="7"/>
        <v>134.16999999999999</v>
      </c>
      <c r="S60" s="285">
        <f t="shared" si="8"/>
        <v>188.55</v>
      </c>
      <c r="T60" s="285">
        <f t="shared" ref="T60:T122" si="59">SUM(P60:S60)</f>
        <v>1933.29</v>
      </c>
      <c r="U60" s="285">
        <f t="shared" si="40"/>
        <v>497.67999999999984</v>
      </c>
      <c r="V60" s="285">
        <f t="shared" si="41"/>
        <v>2723.46</v>
      </c>
      <c r="W60" s="285">
        <f t="shared" si="42"/>
        <v>261078.32</v>
      </c>
      <c r="X60" s="502">
        <f t="shared" si="27"/>
        <v>45759</v>
      </c>
      <c r="Y60" s="285">
        <f>IF(+AL59&lt;0,0,+AL59)</f>
        <v>330694.57</v>
      </c>
      <c r="Z60" s="494">
        <f t="shared" si="10"/>
        <v>3.7499999999999999E-2</v>
      </c>
      <c r="AA60" s="285">
        <f t="shared" si="11"/>
        <v>1533.81</v>
      </c>
      <c r="AB60" s="285">
        <f t="shared" si="56"/>
        <v>500.38999999999987</v>
      </c>
      <c r="AC60" s="285">
        <f t="shared" si="13"/>
        <v>1033.42</v>
      </c>
      <c r="AD60" s="285">
        <f t="shared" ref="AD60:AE61" si="60">+AD59</f>
        <v>134.16999999999999</v>
      </c>
      <c r="AE60" s="285">
        <f t="shared" si="60"/>
        <v>188.55</v>
      </c>
      <c r="AF60" s="285">
        <f t="shared" ref="AF60:AF61" si="61">SUM(AB60:AE60)</f>
        <v>1856.53</v>
      </c>
      <c r="AG60" s="285">
        <f t="shared" ref="AG60:AG61" si="62">+AB60+AG59</f>
        <v>999.2199999999998</v>
      </c>
      <c r="AH60" s="285">
        <f t="shared" ref="AH60:AH61" si="63">+AH59+AC60</f>
        <v>2068.4</v>
      </c>
      <c r="AI60" s="512">
        <f t="shared" ref="AI60:AI123" si="64">O60-AA60+AI59</f>
        <v>153.51999999999998</v>
      </c>
      <c r="AJ60" s="512">
        <f t="shared" si="17"/>
        <v>-69115.859999999986</v>
      </c>
      <c r="AK60" s="512">
        <f t="shared" ref="AK60:AK123" si="65">SUM(AI60:AJ60)</f>
        <v>-68962.339999999982</v>
      </c>
      <c r="AL60" s="285">
        <f>+Y60-AB60</f>
        <v>330194.18</v>
      </c>
      <c r="AM60" s="425">
        <f t="shared" si="29"/>
        <v>0</v>
      </c>
      <c r="AN60" s="14">
        <f t="shared" ref="AN60:AN123" si="66">IF(O60=0,0,+O60-C60)</f>
        <v>1160.29</v>
      </c>
      <c r="AO60" s="14">
        <f t="shared" si="50"/>
        <v>241004.00000000003</v>
      </c>
      <c r="AP60" s="14">
        <f t="shared" ref="AP60:AP123" si="67">IF($O60=0,0,+AA60-$C60)</f>
        <v>1083.53</v>
      </c>
      <c r="AR60">
        <v>120.14</v>
      </c>
      <c r="AS60" s="14">
        <f t="shared" si="21"/>
        <v>1040.1499999999999</v>
      </c>
      <c r="AT60" s="14">
        <f t="shared" si="31"/>
        <v>2080.2999999999997</v>
      </c>
      <c r="AU60" s="285">
        <f t="shared" si="32"/>
        <v>731.70337985867661</v>
      </c>
      <c r="AV60" s="285">
        <f t="shared" si="33"/>
        <v>31837.055323329361</v>
      </c>
    </row>
    <row r="61" spans="1:50" x14ac:dyDescent="0.25">
      <c r="A61" s="502">
        <f t="shared" si="34"/>
        <v>45789</v>
      </c>
      <c r="B61" s="285">
        <f t="shared" si="22"/>
        <v>89995.559999999969</v>
      </c>
      <c r="C61" s="14">
        <f t="shared" si="4"/>
        <v>450.28</v>
      </c>
      <c r="D61" s="14">
        <f t="shared" si="35"/>
        <v>169.03999999999996</v>
      </c>
      <c r="E61" s="14">
        <f t="shared" si="5"/>
        <v>281.24</v>
      </c>
      <c r="F61" s="14">
        <f t="shared" si="51"/>
        <v>134.16999999999999</v>
      </c>
      <c r="G61" s="14">
        <f t="shared" si="52"/>
        <v>188.55</v>
      </c>
      <c r="H61" s="14">
        <f t="shared" si="54"/>
        <v>773</v>
      </c>
      <c r="I61" s="285">
        <f t="shared" si="47"/>
        <v>7705.319999999997</v>
      </c>
      <c r="J61" s="285">
        <f t="shared" si="48"/>
        <v>13761.679999999997</v>
      </c>
      <c r="K61" s="285">
        <f t="shared" si="49"/>
        <v>89826.519999999975</v>
      </c>
      <c r="L61" s="425">
        <f t="shared" si="6"/>
        <v>0</v>
      </c>
      <c r="M61" s="425">
        <f t="shared" si="23"/>
        <v>2</v>
      </c>
      <c r="N61" s="285">
        <f t="shared" si="24"/>
        <v>261078.32</v>
      </c>
      <c r="O61" s="285">
        <f>IF($O9&lt;=$A61,IF(+W60&lt;=0,0,O$8),0)</f>
        <v>1610.57</v>
      </c>
      <c r="P61" s="285">
        <f t="shared" si="39"/>
        <v>250.78999999999996</v>
      </c>
      <c r="Q61" s="285">
        <f>IF($O$9&lt;=$A61,ROUND(N61*(O$6/12),2),0)</f>
        <v>1359.78</v>
      </c>
      <c r="R61" s="285">
        <f t="shared" si="7"/>
        <v>134.16999999999999</v>
      </c>
      <c r="S61" s="285">
        <f t="shared" si="8"/>
        <v>188.55</v>
      </c>
      <c r="T61" s="285">
        <f t="shared" si="59"/>
        <v>1933.29</v>
      </c>
      <c r="U61" s="285">
        <f t="shared" si="40"/>
        <v>748.4699999999998</v>
      </c>
      <c r="V61" s="285">
        <f t="shared" si="41"/>
        <v>4083.24</v>
      </c>
      <c r="W61" s="285">
        <f t="shared" si="42"/>
        <v>260827.53</v>
      </c>
      <c r="X61" s="502">
        <f t="shared" si="27"/>
        <v>45789</v>
      </c>
      <c r="Y61" s="285">
        <f>IF(+AL60&lt;0,0,+AL60)</f>
        <v>330194.18</v>
      </c>
      <c r="Z61" s="494">
        <f t="shared" si="10"/>
        <v>3.7499999999999999E-2</v>
      </c>
      <c r="AA61" s="285">
        <f t="shared" si="11"/>
        <v>1533.81</v>
      </c>
      <c r="AB61" s="285">
        <f t="shared" ref="AB61" si="68">+AA61-AC61</f>
        <v>501.95000000000005</v>
      </c>
      <c r="AC61" s="285">
        <f t="shared" si="13"/>
        <v>1031.8599999999999</v>
      </c>
      <c r="AD61" s="285">
        <f t="shared" si="60"/>
        <v>134.16999999999999</v>
      </c>
      <c r="AE61" s="285">
        <f t="shared" si="60"/>
        <v>188.55</v>
      </c>
      <c r="AF61" s="285">
        <f t="shared" si="61"/>
        <v>1856.53</v>
      </c>
      <c r="AG61" s="285">
        <f t="shared" si="62"/>
        <v>1501.1699999999998</v>
      </c>
      <c r="AH61" s="285">
        <f t="shared" si="63"/>
        <v>3100.26</v>
      </c>
      <c r="AI61" s="512">
        <f t="shared" si="64"/>
        <v>230.27999999999997</v>
      </c>
      <c r="AJ61" s="512">
        <f t="shared" si="17"/>
        <v>-68864.699999999983</v>
      </c>
      <c r="AK61" s="512">
        <f t="shared" si="65"/>
        <v>-68634.419999999984</v>
      </c>
      <c r="AL61" s="285">
        <f>+Y61-AB61</f>
        <v>329692.23</v>
      </c>
      <c r="AM61" s="425">
        <f t="shared" si="29"/>
        <v>0</v>
      </c>
      <c r="AN61" s="14">
        <f>IF(O61=0,0,+O61-C61)</f>
        <v>1160.29</v>
      </c>
      <c r="AO61" s="14">
        <f t="shared" si="50"/>
        <v>240922.25000000003</v>
      </c>
      <c r="AP61" s="14">
        <f t="shared" si="67"/>
        <v>1083.53</v>
      </c>
      <c r="AR61">
        <v>120.14</v>
      </c>
      <c r="AS61" s="14">
        <f t="shared" si="21"/>
        <v>1040.1499999999999</v>
      </c>
      <c r="AT61" s="14">
        <f t="shared" si="31"/>
        <v>3120.45</v>
      </c>
      <c r="AU61" s="285">
        <f t="shared" si="32"/>
        <v>733.53263830832338</v>
      </c>
      <c r="AV61" s="285">
        <f t="shared" si="33"/>
        <v>32570.587961637684</v>
      </c>
    </row>
    <row r="62" spans="1:50" ht="15.75" thickBot="1" x14ac:dyDescent="0.3">
      <c r="A62" s="505">
        <f t="shared" ref="A62:A125" si="69">IF(K62&lt;=0," ",+A61+30)</f>
        <v>45819</v>
      </c>
      <c r="B62" s="345">
        <f t="shared" si="22"/>
        <v>89826.519999999975</v>
      </c>
      <c r="C62" s="21">
        <f t="shared" si="4"/>
        <v>450.28</v>
      </c>
      <c r="D62" s="21">
        <f t="shared" si="35"/>
        <v>169.57</v>
      </c>
      <c r="E62" s="21">
        <f t="shared" si="5"/>
        <v>280.70999999999998</v>
      </c>
      <c r="F62" s="21">
        <f t="shared" si="51"/>
        <v>134.16999999999999</v>
      </c>
      <c r="G62" s="21">
        <f t="shared" si="52"/>
        <v>188.55</v>
      </c>
      <c r="H62" s="21">
        <f t="shared" si="54"/>
        <v>773</v>
      </c>
      <c r="I62" s="345">
        <f t="shared" ref="I62:I125" si="70">$D62+$I61</f>
        <v>7874.8899999999967</v>
      </c>
      <c r="J62" s="345">
        <f t="shared" ref="J62:J125" si="71">$E62+$J61</f>
        <v>14042.389999999996</v>
      </c>
      <c r="K62" s="345">
        <f t="shared" ref="K62:K125" si="72">+B62-D62</f>
        <v>89656.949999999968</v>
      </c>
      <c r="L62" s="426">
        <f t="shared" si="6"/>
        <v>0</v>
      </c>
      <c r="M62" s="426">
        <f t="shared" si="23"/>
        <v>3</v>
      </c>
      <c r="N62" s="345">
        <f t="shared" si="24"/>
        <v>260827.53</v>
      </c>
      <c r="O62" s="345">
        <f t="shared" ref="O62:O125" si="73">IF($O$9&lt;=A62,IF(+$W61&lt;=0,0,$O$8),0)</f>
        <v>1610.57</v>
      </c>
      <c r="P62" s="345">
        <f t="shared" si="39"/>
        <v>252.08999999999992</v>
      </c>
      <c r="Q62" s="345">
        <f t="shared" ref="Q62:Q125" si="74">IF($O$9&lt;=A62,ROUND(N62*($O$6/12),2),0)</f>
        <v>1358.48</v>
      </c>
      <c r="R62" s="345">
        <f t="shared" si="7"/>
        <v>134.16999999999999</v>
      </c>
      <c r="S62" s="345">
        <f t="shared" ref="S62:S123" si="75">+S61</f>
        <v>188.55</v>
      </c>
      <c r="T62" s="345">
        <f t="shared" si="59"/>
        <v>1933.29</v>
      </c>
      <c r="U62" s="345">
        <f t="shared" si="40"/>
        <v>1000.5599999999997</v>
      </c>
      <c r="V62" s="345">
        <f t="shared" si="41"/>
        <v>5441.7199999999993</v>
      </c>
      <c r="W62" s="345">
        <f t="shared" ref="W62:W125" si="76">+N62-P62</f>
        <v>260575.44</v>
      </c>
      <c r="X62" s="505">
        <f t="shared" si="27"/>
        <v>45819</v>
      </c>
      <c r="Y62" s="345">
        <f t="shared" ref="Y62:Y125" si="77">IF(+AL61&lt;0,0,+AL61)</f>
        <v>329692.23</v>
      </c>
      <c r="Z62" s="495">
        <f t="shared" si="10"/>
        <v>3.7499999999999999E-2</v>
      </c>
      <c r="AA62" s="345">
        <f t="shared" si="11"/>
        <v>1533.81</v>
      </c>
      <c r="AB62" s="345">
        <f t="shared" ref="AB62:AB125" si="78">+AA62-AC62</f>
        <v>503.52</v>
      </c>
      <c r="AC62" s="345">
        <f t="shared" si="13"/>
        <v>1030.29</v>
      </c>
      <c r="AD62" s="345">
        <f t="shared" ref="AD62:AE62" si="79">+AD61</f>
        <v>134.16999999999999</v>
      </c>
      <c r="AE62" s="345">
        <f t="shared" si="79"/>
        <v>188.55</v>
      </c>
      <c r="AF62" s="345">
        <f t="shared" ref="AF62:AF125" si="80">SUM(AB62:AE62)</f>
        <v>1856.53</v>
      </c>
      <c r="AG62" s="345">
        <f t="shared" ref="AG62:AG125" si="81">+AB62+AG61</f>
        <v>2004.6899999999998</v>
      </c>
      <c r="AH62" s="345">
        <f t="shared" ref="AH62:AH125" si="82">+AH61+AC62</f>
        <v>4130.55</v>
      </c>
      <c r="AI62" s="513">
        <f t="shared" si="64"/>
        <v>307.03999999999996</v>
      </c>
      <c r="AJ62" s="513">
        <f t="shared" si="17"/>
        <v>-68613.26999999996</v>
      </c>
      <c r="AK62" s="513">
        <f t="shared" si="65"/>
        <v>-68306.229999999967</v>
      </c>
      <c r="AL62" s="345">
        <f t="shared" ref="AL62:AL125" si="83">+Y62-AB62</f>
        <v>329188.70999999996</v>
      </c>
      <c r="AM62" s="426">
        <f t="shared" si="29"/>
        <v>0</v>
      </c>
      <c r="AN62" s="21">
        <f t="shared" si="66"/>
        <v>1160.29</v>
      </c>
      <c r="AO62" s="21">
        <f t="shared" si="50"/>
        <v>240839.73</v>
      </c>
      <c r="AP62" s="21">
        <f t="shared" si="67"/>
        <v>1083.53</v>
      </c>
      <c r="AR62">
        <v>120.14</v>
      </c>
      <c r="AS62" s="21">
        <f t="shared" si="21"/>
        <v>1040.1499999999999</v>
      </c>
      <c r="AT62" s="21">
        <f t="shared" si="31"/>
        <v>4160.5999999999995</v>
      </c>
      <c r="AU62" s="345">
        <f t="shared" si="32"/>
        <v>735.36646990409417</v>
      </c>
      <c r="AV62" s="345">
        <f t="shared" si="33"/>
        <v>33305.954431541781</v>
      </c>
    </row>
    <row r="63" spans="1:50" x14ac:dyDescent="0.25">
      <c r="A63" s="502">
        <f t="shared" si="69"/>
        <v>45849</v>
      </c>
      <c r="B63" s="285">
        <f t="shared" si="22"/>
        <v>89656.949999999968</v>
      </c>
      <c r="C63" s="14">
        <f t="shared" si="4"/>
        <v>450.28</v>
      </c>
      <c r="D63" s="14">
        <f t="shared" si="35"/>
        <v>170.09999999999997</v>
      </c>
      <c r="E63" s="14">
        <f t="shared" si="5"/>
        <v>280.18</v>
      </c>
      <c r="F63" s="14">
        <f t="shared" si="51"/>
        <v>134.16999999999999</v>
      </c>
      <c r="G63" s="14">
        <f t="shared" si="52"/>
        <v>188.55</v>
      </c>
      <c r="H63" s="14">
        <f t="shared" si="54"/>
        <v>773</v>
      </c>
      <c r="I63" s="285">
        <f t="shared" si="70"/>
        <v>8044.9899999999971</v>
      </c>
      <c r="J63" s="285">
        <f t="shared" si="71"/>
        <v>14322.569999999996</v>
      </c>
      <c r="K63" s="285">
        <f t="shared" si="72"/>
        <v>89486.849999999962</v>
      </c>
      <c r="L63" s="425">
        <f t="shared" si="6"/>
        <v>0</v>
      </c>
      <c r="M63" s="425">
        <f t="shared" si="23"/>
        <v>4</v>
      </c>
      <c r="N63" s="285">
        <f t="shared" si="24"/>
        <v>260575.44</v>
      </c>
      <c r="O63" s="285">
        <f t="shared" si="73"/>
        <v>1610.57</v>
      </c>
      <c r="P63" s="285">
        <f t="shared" si="39"/>
        <v>253.40999999999985</v>
      </c>
      <c r="Q63" s="285">
        <f t="shared" si="74"/>
        <v>1357.16</v>
      </c>
      <c r="R63" s="285">
        <f t="shared" ref="R63:R123" si="84">+R62</f>
        <v>134.16999999999999</v>
      </c>
      <c r="S63" s="285">
        <f t="shared" si="75"/>
        <v>188.55</v>
      </c>
      <c r="T63" s="285">
        <f t="shared" si="59"/>
        <v>1933.29</v>
      </c>
      <c r="U63" s="285">
        <f t="shared" si="40"/>
        <v>1253.9699999999996</v>
      </c>
      <c r="V63" s="285">
        <f t="shared" si="41"/>
        <v>6798.8799999999992</v>
      </c>
      <c r="W63" s="285">
        <f t="shared" si="76"/>
        <v>260322.03</v>
      </c>
      <c r="X63" s="502">
        <f t="shared" si="27"/>
        <v>45849</v>
      </c>
      <c r="Y63" s="285">
        <f t="shared" si="77"/>
        <v>329188.70999999996</v>
      </c>
      <c r="Z63" s="494">
        <f t="shared" si="10"/>
        <v>3.7499999999999999E-2</v>
      </c>
      <c r="AA63" s="285">
        <f t="shared" si="11"/>
        <v>1533.81</v>
      </c>
      <c r="AB63" s="285">
        <f t="shared" si="78"/>
        <v>505.09999999999991</v>
      </c>
      <c r="AC63" s="285">
        <f t="shared" si="13"/>
        <v>1028.71</v>
      </c>
      <c r="AD63" s="285">
        <f t="shared" ref="AD63:AE63" si="85">+AD62</f>
        <v>134.16999999999999</v>
      </c>
      <c r="AE63" s="285">
        <f t="shared" si="85"/>
        <v>188.55</v>
      </c>
      <c r="AF63" s="285">
        <f t="shared" si="80"/>
        <v>1856.53</v>
      </c>
      <c r="AG63" s="285">
        <f t="shared" si="81"/>
        <v>2509.79</v>
      </c>
      <c r="AH63" s="285">
        <f t="shared" si="82"/>
        <v>5159.26</v>
      </c>
      <c r="AI63" s="512">
        <f t="shared" si="64"/>
        <v>383.79999999999995</v>
      </c>
      <c r="AJ63" s="512">
        <f t="shared" si="17"/>
        <v>-68361.579999999987</v>
      </c>
      <c r="AK63" s="512">
        <f t="shared" si="65"/>
        <v>-67977.779999999984</v>
      </c>
      <c r="AL63" s="285">
        <f t="shared" si="83"/>
        <v>328683.61</v>
      </c>
      <c r="AM63" s="425">
        <f t="shared" si="29"/>
        <v>0</v>
      </c>
      <c r="AN63" s="14">
        <f t="shared" si="66"/>
        <v>1160.29</v>
      </c>
      <c r="AO63" s="14">
        <f t="shared" si="50"/>
        <v>240756.42</v>
      </c>
      <c r="AP63" s="14">
        <f t="shared" si="67"/>
        <v>1083.53</v>
      </c>
      <c r="AS63" s="14">
        <f t="shared" si="21"/>
        <v>1160.29</v>
      </c>
      <c r="AT63" s="14">
        <f t="shared" si="31"/>
        <v>5320.8899999999994</v>
      </c>
      <c r="AU63" s="285">
        <f t="shared" si="32"/>
        <v>737.20488607885443</v>
      </c>
      <c r="AV63" s="285">
        <f t="shared" si="33"/>
        <v>34043.159317620637</v>
      </c>
    </row>
    <row r="64" spans="1:50" x14ac:dyDescent="0.25">
      <c r="A64" s="502">
        <f t="shared" si="69"/>
        <v>45879</v>
      </c>
      <c r="B64" s="285">
        <f t="shared" si="22"/>
        <v>89486.849999999962</v>
      </c>
      <c r="C64" s="14">
        <f t="shared" si="4"/>
        <v>450.28</v>
      </c>
      <c r="D64" s="14">
        <f t="shared" si="35"/>
        <v>170.63</v>
      </c>
      <c r="E64" s="14">
        <f t="shared" si="5"/>
        <v>279.64999999999998</v>
      </c>
      <c r="F64" s="14">
        <f t="shared" si="51"/>
        <v>134.16999999999999</v>
      </c>
      <c r="G64" s="14">
        <f t="shared" si="52"/>
        <v>188.55</v>
      </c>
      <c r="H64" s="14">
        <f t="shared" si="54"/>
        <v>773</v>
      </c>
      <c r="I64" s="285">
        <f t="shared" si="70"/>
        <v>8215.6199999999972</v>
      </c>
      <c r="J64" s="285">
        <f t="shared" si="71"/>
        <v>14602.219999999996</v>
      </c>
      <c r="K64" s="285">
        <f t="shared" si="72"/>
        <v>89316.219999999958</v>
      </c>
      <c r="L64" s="425">
        <f t="shared" si="6"/>
        <v>0</v>
      </c>
      <c r="M64" s="425">
        <f t="shared" si="23"/>
        <v>5</v>
      </c>
      <c r="N64" s="285">
        <f t="shared" si="24"/>
        <v>260322.03</v>
      </c>
      <c r="O64" s="285">
        <f t="shared" si="73"/>
        <v>1610.57</v>
      </c>
      <c r="P64" s="285">
        <f t="shared" si="39"/>
        <v>254.73000000000002</v>
      </c>
      <c r="Q64" s="285">
        <f t="shared" si="74"/>
        <v>1355.84</v>
      </c>
      <c r="R64" s="285">
        <f t="shared" si="84"/>
        <v>134.16999999999999</v>
      </c>
      <c r="S64" s="285">
        <f t="shared" si="75"/>
        <v>188.55</v>
      </c>
      <c r="T64" s="285">
        <f t="shared" si="59"/>
        <v>1933.29</v>
      </c>
      <c r="U64" s="285">
        <f t="shared" si="40"/>
        <v>1508.6999999999996</v>
      </c>
      <c r="V64" s="285">
        <f t="shared" si="41"/>
        <v>8154.7199999999993</v>
      </c>
      <c r="W64" s="285">
        <f t="shared" si="76"/>
        <v>260067.3</v>
      </c>
      <c r="X64" s="502">
        <f t="shared" si="27"/>
        <v>45879</v>
      </c>
      <c r="Y64" s="285">
        <f t="shared" si="77"/>
        <v>328683.61</v>
      </c>
      <c r="Z64" s="494">
        <f t="shared" si="10"/>
        <v>3.7499999999999999E-2</v>
      </c>
      <c r="AA64" s="285">
        <f t="shared" si="11"/>
        <v>1533.81</v>
      </c>
      <c r="AB64" s="285">
        <f t="shared" si="78"/>
        <v>506.66999999999985</v>
      </c>
      <c r="AC64" s="285">
        <f t="shared" si="13"/>
        <v>1027.1400000000001</v>
      </c>
      <c r="AD64" s="285">
        <f t="shared" ref="AD64:AE64" si="86">+AD63</f>
        <v>134.16999999999999</v>
      </c>
      <c r="AE64" s="285">
        <f t="shared" si="86"/>
        <v>188.55</v>
      </c>
      <c r="AF64" s="285">
        <f t="shared" si="80"/>
        <v>1856.53</v>
      </c>
      <c r="AG64" s="285">
        <f t="shared" si="81"/>
        <v>3016.46</v>
      </c>
      <c r="AH64" s="285">
        <f t="shared" si="82"/>
        <v>6186.4000000000005</v>
      </c>
      <c r="AI64" s="512">
        <f t="shared" si="64"/>
        <v>460.55999999999995</v>
      </c>
      <c r="AJ64" s="512">
        <f t="shared" si="17"/>
        <v>-68109.640000000014</v>
      </c>
      <c r="AK64" s="512">
        <f t="shared" si="65"/>
        <v>-67649.080000000016</v>
      </c>
      <c r="AL64" s="285">
        <f t="shared" si="83"/>
        <v>328176.94</v>
      </c>
      <c r="AM64" s="425">
        <f t="shared" si="29"/>
        <v>0</v>
      </c>
      <c r="AN64" s="14">
        <f t="shared" si="66"/>
        <v>1160.29</v>
      </c>
      <c r="AO64" s="14">
        <f t="shared" si="50"/>
        <v>240672.32</v>
      </c>
      <c r="AP64" s="14">
        <f t="shared" si="67"/>
        <v>1083.53</v>
      </c>
      <c r="AS64" s="14">
        <f t="shared" si="21"/>
        <v>1160.29</v>
      </c>
      <c r="AT64" s="14">
        <f t="shared" si="31"/>
        <v>6481.1799999999994</v>
      </c>
      <c r="AU64" s="285">
        <f t="shared" si="32"/>
        <v>739.04789829405161</v>
      </c>
      <c r="AV64" s="285">
        <f t="shared" si="33"/>
        <v>34782.207215914692</v>
      </c>
    </row>
    <row r="65" spans="1:50" x14ac:dyDescent="0.25">
      <c r="A65" s="502">
        <f t="shared" si="69"/>
        <v>45909</v>
      </c>
      <c r="B65" s="285">
        <f t="shared" si="22"/>
        <v>89316.219999999958</v>
      </c>
      <c r="C65" s="14">
        <f t="shared" si="4"/>
        <v>450.28</v>
      </c>
      <c r="D65" s="14">
        <f t="shared" si="35"/>
        <v>171.16999999999996</v>
      </c>
      <c r="E65" s="14">
        <f t="shared" si="5"/>
        <v>279.11</v>
      </c>
      <c r="F65" s="14">
        <f t="shared" si="51"/>
        <v>134.16999999999999</v>
      </c>
      <c r="G65" s="14">
        <f t="shared" si="52"/>
        <v>188.55</v>
      </c>
      <c r="H65" s="14">
        <f t="shared" si="54"/>
        <v>773</v>
      </c>
      <c r="I65" s="285">
        <f t="shared" si="70"/>
        <v>8386.7899999999972</v>
      </c>
      <c r="J65" s="285">
        <f t="shared" si="71"/>
        <v>14881.329999999996</v>
      </c>
      <c r="K65" s="285">
        <f t="shared" si="72"/>
        <v>89145.049999999959</v>
      </c>
      <c r="L65" s="425">
        <f t="shared" si="6"/>
        <v>0</v>
      </c>
      <c r="M65" s="425">
        <f t="shared" si="23"/>
        <v>6</v>
      </c>
      <c r="N65" s="285">
        <f t="shared" si="24"/>
        <v>260067.3</v>
      </c>
      <c r="O65" s="285">
        <f t="shared" si="73"/>
        <v>1610.57</v>
      </c>
      <c r="P65" s="285">
        <f t="shared" si="39"/>
        <v>256.04999999999995</v>
      </c>
      <c r="Q65" s="285">
        <f t="shared" si="74"/>
        <v>1354.52</v>
      </c>
      <c r="R65" s="285">
        <f t="shared" si="84"/>
        <v>134.16999999999999</v>
      </c>
      <c r="S65" s="285">
        <f t="shared" si="75"/>
        <v>188.55</v>
      </c>
      <c r="T65" s="285">
        <f t="shared" si="59"/>
        <v>1933.29</v>
      </c>
      <c r="U65" s="285">
        <f t="shared" si="40"/>
        <v>1764.7499999999995</v>
      </c>
      <c r="V65" s="285">
        <f t="shared" si="41"/>
        <v>9509.24</v>
      </c>
      <c r="W65" s="285">
        <f t="shared" si="76"/>
        <v>259811.25</v>
      </c>
      <c r="X65" s="502">
        <f t="shared" si="27"/>
        <v>45909</v>
      </c>
      <c r="Y65" s="285">
        <f t="shared" si="77"/>
        <v>328176.94</v>
      </c>
      <c r="Z65" s="494">
        <f t="shared" si="10"/>
        <v>3.7499999999999999E-2</v>
      </c>
      <c r="AA65" s="285">
        <f t="shared" si="11"/>
        <v>1533.81</v>
      </c>
      <c r="AB65" s="285">
        <f t="shared" si="78"/>
        <v>508.26</v>
      </c>
      <c r="AC65" s="285">
        <f t="shared" si="13"/>
        <v>1025.55</v>
      </c>
      <c r="AD65" s="285">
        <f t="shared" ref="AD65:AE65" si="87">+AD64</f>
        <v>134.16999999999999</v>
      </c>
      <c r="AE65" s="285">
        <f t="shared" si="87"/>
        <v>188.55</v>
      </c>
      <c r="AF65" s="285">
        <f t="shared" si="80"/>
        <v>1856.53</v>
      </c>
      <c r="AG65" s="285">
        <f t="shared" si="81"/>
        <v>3524.7200000000003</v>
      </c>
      <c r="AH65" s="285">
        <f t="shared" si="82"/>
        <v>7211.9500000000007</v>
      </c>
      <c r="AI65" s="512">
        <f t="shared" si="64"/>
        <v>537.31999999999994</v>
      </c>
      <c r="AJ65" s="512">
        <f t="shared" si="17"/>
        <v>-67857.429999999993</v>
      </c>
      <c r="AK65" s="512">
        <f t="shared" si="65"/>
        <v>-67320.109999999986</v>
      </c>
      <c r="AL65" s="285">
        <f t="shared" si="83"/>
        <v>327668.68</v>
      </c>
      <c r="AM65" s="425">
        <f t="shared" si="29"/>
        <v>0</v>
      </c>
      <c r="AN65" s="14">
        <f t="shared" si="66"/>
        <v>1160.29</v>
      </c>
      <c r="AO65" s="14">
        <f t="shared" si="50"/>
        <v>240587.44000000003</v>
      </c>
      <c r="AP65" s="14">
        <f t="shared" si="67"/>
        <v>1083.53</v>
      </c>
      <c r="AS65" s="14">
        <f t="shared" si="21"/>
        <v>1160.29</v>
      </c>
      <c r="AT65" s="14">
        <f t="shared" si="31"/>
        <v>7641.4699999999993</v>
      </c>
      <c r="AU65" s="285">
        <f t="shared" si="32"/>
        <v>740.89551803978668</v>
      </c>
      <c r="AV65" s="285">
        <f t="shared" si="33"/>
        <v>35523.102733954482</v>
      </c>
    </row>
    <row r="66" spans="1:50" x14ac:dyDescent="0.25">
      <c r="A66" s="502">
        <f t="shared" si="69"/>
        <v>45939</v>
      </c>
      <c r="B66" s="285">
        <f t="shared" si="22"/>
        <v>89145.049999999959</v>
      </c>
      <c r="C66" s="14">
        <f t="shared" si="4"/>
        <v>450.28</v>
      </c>
      <c r="D66" s="14">
        <f t="shared" si="35"/>
        <v>171.7</v>
      </c>
      <c r="E66" s="14">
        <f t="shared" si="5"/>
        <v>278.58</v>
      </c>
      <c r="F66" s="14">
        <f t="shared" si="51"/>
        <v>134.16999999999999</v>
      </c>
      <c r="G66" s="14">
        <f t="shared" si="52"/>
        <v>188.55</v>
      </c>
      <c r="H66" s="14">
        <f t="shared" si="54"/>
        <v>773</v>
      </c>
      <c r="I66" s="285">
        <f t="shared" si="70"/>
        <v>8558.489999999998</v>
      </c>
      <c r="J66" s="285">
        <f t="shared" si="71"/>
        <v>15159.909999999996</v>
      </c>
      <c r="K66" s="285">
        <f t="shared" si="72"/>
        <v>88973.349999999962</v>
      </c>
      <c r="L66" s="425">
        <f t="shared" si="6"/>
        <v>0</v>
      </c>
      <c r="M66" s="425">
        <f t="shared" si="23"/>
        <v>7</v>
      </c>
      <c r="N66" s="285">
        <f t="shared" si="24"/>
        <v>259811.25</v>
      </c>
      <c r="O66" s="285">
        <f t="shared" si="73"/>
        <v>1610.57</v>
      </c>
      <c r="P66" s="285">
        <f t="shared" si="39"/>
        <v>257.38999999999987</v>
      </c>
      <c r="Q66" s="285">
        <f t="shared" si="74"/>
        <v>1353.18</v>
      </c>
      <c r="R66" s="285">
        <f t="shared" si="84"/>
        <v>134.16999999999999</v>
      </c>
      <c r="S66" s="285">
        <f t="shared" si="75"/>
        <v>188.55</v>
      </c>
      <c r="T66" s="285">
        <f t="shared" si="59"/>
        <v>1933.29</v>
      </c>
      <c r="U66" s="285">
        <f t="shared" si="40"/>
        <v>2022.1399999999994</v>
      </c>
      <c r="V66" s="285">
        <f t="shared" si="41"/>
        <v>10862.42</v>
      </c>
      <c r="W66" s="285">
        <f t="shared" si="76"/>
        <v>259553.86</v>
      </c>
      <c r="X66" s="502">
        <f t="shared" si="27"/>
        <v>45939</v>
      </c>
      <c r="Y66" s="285">
        <f t="shared" si="77"/>
        <v>327668.68</v>
      </c>
      <c r="Z66" s="494">
        <f t="shared" si="10"/>
        <v>3.7499999999999999E-2</v>
      </c>
      <c r="AA66" s="285">
        <f t="shared" si="11"/>
        <v>1533.81</v>
      </c>
      <c r="AB66" s="285">
        <f t="shared" si="78"/>
        <v>509.84999999999991</v>
      </c>
      <c r="AC66" s="285">
        <f t="shared" si="13"/>
        <v>1023.96</v>
      </c>
      <c r="AD66" s="285">
        <f t="shared" ref="AD66:AE66" si="88">+AD65</f>
        <v>134.16999999999999</v>
      </c>
      <c r="AE66" s="285">
        <f t="shared" si="88"/>
        <v>188.55</v>
      </c>
      <c r="AF66" s="285">
        <f t="shared" si="80"/>
        <v>1856.53</v>
      </c>
      <c r="AG66" s="285">
        <f t="shared" si="81"/>
        <v>4034.57</v>
      </c>
      <c r="AH66" s="285">
        <f t="shared" si="82"/>
        <v>8235.91</v>
      </c>
      <c r="AI66" s="512">
        <f t="shared" si="64"/>
        <v>614.07999999999993</v>
      </c>
      <c r="AJ66" s="512">
        <f t="shared" si="17"/>
        <v>-67604.97000000003</v>
      </c>
      <c r="AK66" s="512">
        <f t="shared" si="65"/>
        <v>-66990.890000000029</v>
      </c>
      <c r="AL66" s="285">
        <f t="shared" si="83"/>
        <v>327158.83</v>
      </c>
      <c r="AM66" s="425">
        <f t="shared" si="29"/>
        <v>0</v>
      </c>
      <c r="AN66" s="14">
        <f t="shared" si="66"/>
        <v>1160.29</v>
      </c>
      <c r="AO66" s="14">
        <f t="shared" si="50"/>
        <v>240501.75</v>
      </c>
      <c r="AP66" s="14">
        <f t="shared" si="67"/>
        <v>1083.53</v>
      </c>
      <c r="AS66" s="14">
        <f t="shared" si="21"/>
        <v>1160.29</v>
      </c>
      <c r="AT66" s="14">
        <f t="shared" si="31"/>
        <v>8801.7599999999984</v>
      </c>
      <c r="AU66" s="285">
        <f t="shared" si="32"/>
        <v>742.74775683488622</v>
      </c>
      <c r="AV66" s="285">
        <f t="shared" si="33"/>
        <v>36265.850490789366</v>
      </c>
    </row>
    <row r="67" spans="1:50" x14ac:dyDescent="0.25">
      <c r="A67" s="502">
        <f t="shared" si="69"/>
        <v>45969</v>
      </c>
      <c r="B67" s="285">
        <f t="shared" si="22"/>
        <v>88973.349999999962</v>
      </c>
      <c r="C67" s="14">
        <f t="shared" si="4"/>
        <v>450.28</v>
      </c>
      <c r="D67" s="14">
        <f t="shared" si="35"/>
        <v>172.23999999999995</v>
      </c>
      <c r="E67" s="14">
        <f t="shared" si="5"/>
        <v>278.04000000000002</v>
      </c>
      <c r="F67" s="14">
        <f t="shared" si="51"/>
        <v>134.16999999999999</v>
      </c>
      <c r="G67" s="14">
        <f t="shared" si="52"/>
        <v>188.55</v>
      </c>
      <c r="H67" s="14">
        <f t="shared" si="54"/>
        <v>773</v>
      </c>
      <c r="I67" s="285">
        <f t="shared" si="70"/>
        <v>8730.7299999999977</v>
      </c>
      <c r="J67" s="285">
        <f t="shared" si="71"/>
        <v>15437.949999999997</v>
      </c>
      <c r="K67" s="285">
        <f t="shared" si="72"/>
        <v>88801.109999999957</v>
      </c>
      <c r="L67" s="425">
        <f t="shared" si="6"/>
        <v>0</v>
      </c>
      <c r="M67" s="425">
        <f t="shared" si="23"/>
        <v>8</v>
      </c>
      <c r="N67" s="285">
        <f t="shared" si="24"/>
        <v>259553.86</v>
      </c>
      <c r="O67" s="285">
        <f t="shared" si="73"/>
        <v>1610.57</v>
      </c>
      <c r="P67" s="285">
        <f t="shared" si="39"/>
        <v>258.73</v>
      </c>
      <c r="Q67" s="285">
        <f t="shared" si="74"/>
        <v>1351.84</v>
      </c>
      <c r="R67" s="285">
        <f t="shared" si="84"/>
        <v>134.16999999999999</v>
      </c>
      <c r="S67" s="285">
        <f t="shared" si="75"/>
        <v>188.55</v>
      </c>
      <c r="T67" s="285">
        <f t="shared" si="59"/>
        <v>1933.29</v>
      </c>
      <c r="U67" s="285">
        <f t="shared" si="40"/>
        <v>2280.8699999999994</v>
      </c>
      <c r="V67" s="285">
        <f t="shared" si="41"/>
        <v>12214.26</v>
      </c>
      <c r="W67" s="285">
        <f t="shared" si="76"/>
        <v>259295.12999999998</v>
      </c>
      <c r="X67" s="502">
        <f t="shared" si="27"/>
        <v>45969</v>
      </c>
      <c r="Y67" s="285">
        <f t="shared" si="77"/>
        <v>327158.83</v>
      </c>
      <c r="Z67" s="494">
        <f t="shared" si="10"/>
        <v>3.7499999999999999E-2</v>
      </c>
      <c r="AA67" s="285">
        <f t="shared" si="11"/>
        <v>1533.81</v>
      </c>
      <c r="AB67" s="285">
        <f t="shared" si="78"/>
        <v>511.43999999999994</v>
      </c>
      <c r="AC67" s="285">
        <f t="shared" si="13"/>
        <v>1022.37</v>
      </c>
      <c r="AD67" s="285">
        <f t="shared" ref="AD67:AE67" si="89">+AD66</f>
        <v>134.16999999999999</v>
      </c>
      <c r="AE67" s="285">
        <f t="shared" si="89"/>
        <v>188.55</v>
      </c>
      <c r="AF67" s="285">
        <f t="shared" si="80"/>
        <v>1856.53</v>
      </c>
      <c r="AG67" s="285">
        <f t="shared" si="81"/>
        <v>4546.01</v>
      </c>
      <c r="AH67" s="285">
        <f t="shared" si="82"/>
        <v>9258.2800000000007</v>
      </c>
      <c r="AI67" s="512">
        <f t="shared" si="64"/>
        <v>690.83999999999992</v>
      </c>
      <c r="AJ67" s="512">
        <f t="shared" si="17"/>
        <v>-67352.260000000038</v>
      </c>
      <c r="AK67" s="512">
        <f t="shared" si="65"/>
        <v>-66661.420000000042</v>
      </c>
      <c r="AL67" s="285">
        <f t="shared" si="83"/>
        <v>326647.39</v>
      </c>
      <c r="AM67" s="425">
        <f t="shared" si="29"/>
        <v>0</v>
      </c>
      <c r="AN67" s="14">
        <f t="shared" si="66"/>
        <v>1160.29</v>
      </c>
      <c r="AO67" s="14">
        <f t="shared" si="50"/>
        <v>240415.26000000004</v>
      </c>
      <c r="AP67" s="14">
        <f t="shared" si="67"/>
        <v>1083.53</v>
      </c>
      <c r="AS67" s="14">
        <f t="shared" si="21"/>
        <v>1160.29</v>
      </c>
      <c r="AT67" s="14">
        <f t="shared" si="31"/>
        <v>9962.0499999999993</v>
      </c>
      <c r="AU67" s="285">
        <f t="shared" si="32"/>
        <v>744.60462622697344</v>
      </c>
      <c r="AV67" s="285">
        <f t="shared" si="33"/>
        <v>37010.455117016339</v>
      </c>
    </row>
    <row r="68" spans="1:50" x14ac:dyDescent="0.25">
      <c r="A68" s="502">
        <f t="shared" si="69"/>
        <v>45999</v>
      </c>
      <c r="B68" s="285">
        <f t="shared" si="22"/>
        <v>88801.109999999957</v>
      </c>
      <c r="C68" s="14">
        <f t="shared" si="4"/>
        <v>450.28</v>
      </c>
      <c r="D68" s="14">
        <f t="shared" si="35"/>
        <v>172.77999999999997</v>
      </c>
      <c r="E68" s="14">
        <f t="shared" si="5"/>
        <v>277.5</v>
      </c>
      <c r="F68" s="14">
        <f t="shared" si="51"/>
        <v>134.16999999999999</v>
      </c>
      <c r="G68" s="14">
        <f t="shared" si="52"/>
        <v>188.55</v>
      </c>
      <c r="H68" s="14">
        <f t="shared" si="54"/>
        <v>773</v>
      </c>
      <c r="I68" s="285">
        <f t="shared" si="70"/>
        <v>8903.5099999999984</v>
      </c>
      <c r="J68" s="285">
        <f t="shared" si="71"/>
        <v>15715.449999999997</v>
      </c>
      <c r="K68" s="285">
        <f t="shared" si="72"/>
        <v>88628.329999999958</v>
      </c>
      <c r="L68" s="425">
        <f t="shared" si="6"/>
        <v>0</v>
      </c>
      <c r="M68" s="425">
        <f t="shared" si="23"/>
        <v>9</v>
      </c>
      <c r="N68" s="285">
        <f t="shared" si="24"/>
        <v>259295.12999999998</v>
      </c>
      <c r="O68" s="285">
        <f t="shared" si="73"/>
        <v>1610.57</v>
      </c>
      <c r="P68" s="285">
        <f t="shared" si="39"/>
        <v>260.06999999999994</v>
      </c>
      <c r="Q68" s="285">
        <f t="shared" si="74"/>
        <v>1350.5</v>
      </c>
      <c r="R68" s="285">
        <f t="shared" si="84"/>
        <v>134.16999999999999</v>
      </c>
      <c r="S68" s="285">
        <f t="shared" si="75"/>
        <v>188.55</v>
      </c>
      <c r="T68" s="285">
        <f t="shared" si="59"/>
        <v>1933.29</v>
      </c>
      <c r="U68" s="285">
        <f t="shared" si="40"/>
        <v>2540.9399999999996</v>
      </c>
      <c r="V68" s="285">
        <f t="shared" si="41"/>
        <v>13564.76</v>
      </c>
      <c r="W68" s="285">
        <f t="shared" si="76"/>
        <v>259035.05999999997</v>
      </c>
      <c r="X68" s="502">
        <f t="shared" si="27"/>
        <v>45999</v>
      </c>
      <c r="Y68" s="285">
        <f t="shared" si="77"/>
        <v>326647.39</v>
      </c>
      <c r="Z68" s="494">
        <f t="shared" si="10"/>
        <v>3.7499999999999999E-2</v>
      </c>
      <c r="AA68" s="285">
        <f t="shared" si="11"/>
        <v>1533.81</v>
      </c>
      <c r="AB68" s="285">
        <f t="shared" si="78"/>
        <v>513.04</v>
      </c>
      <c r="AC68" s="285">
        <f t="shared" si="13"/>
        <v>1020.77</v>
      </c>
      <c r="AD68" s="285">
        <f t="shared" ref="AD68:AE68" si="90">+AD67</f>
        <v>134.16999999999999</v>
      </c>
      <c r="AE68" s="285">
        <f t="shared" si="90"/>
        <v>188.55</v>
      </c>
      <c r="AF68" s="285">
        <f t="shared" si="80"/>
        <v>1856.53</v>
      </c>
      <c r="AG68" s="285">
        <f t="shared" si="81"/>
        <v>5059.05</v>
      </c>
      <c r="AH68" s="285">
        <f t="shared" si="82"/>
        <v>10279.050000000001</v>
      </c>
      <c r="AI68" s="512">
        <f t="shared" si="64"/>
        <v>767.59999999999991</v>
      </c>
      <c r="AJ68" s="512">
        <f t="shared" si="17"/>
        <v>-67099.290000000066</v>
      </c>
      <c r="AK68" s="512">
        <f t="shared" si="65"/>
        <v>-66331.690000000061</v>
      </c>
      <c r="AL68" s="285">
        <f t="shared" si="83"/>
        <v>326134.35000000003</v>
      </c>
      <c r="AM68" s="425">
        <f t="shared" si="29"/>
        <v>0</v>
      </c>
      <c r="AN68" s="14">
        <f t="shared" si="66"/>
        <v>1160.29</v>
      </c>
      <c r="AO68" s="14">
        <f t="shared" si="50"/>
        <v>240327.97000000003</v>
      </c>
      <c r="AP68" s="14">
        <f t="shared" si="67"/>
        <v>1083.53</v>
      </c>
      <c r="AS68" s="14">
        <f t="shared" si="21"/>
        <v>1160.29</v>
      </c>
      <c r="AT68" s="14">
        <f t="shared" si="31"/>
        <v>11122.34</v>
      </c>
      <c r="AU68" s="285">
        <f t="shared" si="32"/>
        <v>746.46613779254085</v>
      </c>
      <c r="AV68" s="285">
        <f t="shared" si="33"/>
        <v>37756.921254808884</v>
      </c>
    </row>
    <row r="69" spans="1:50" x14ac:dyDescent="0.25">
      <c r="A69" s="502">
        <f t="shared" si="69"/>
        <v>46029</v>
      </c>
      <c r="B69" s="285">
        <f t="shared" si="22"/>
        <v>88628.329999999958</v>
      </c>
      <c r="C69" s="14">
        <f t="shared" si="4"/>
        <v>450.28</v>
      </c>
      <c r="D69" s="14">
        <f t="shared" si="35"/>
        <v>173.32</v>
      </c>
      <c r="E69" s="14">
        <f t="shared" si="5"/>
        <v>276.95999999999998</v>
      </c>
      <c r="F69" s="14">
        <f t="shared" si="51"/>
        <v>134.16999999999999</v>
      </c>
      <c r="G69" s="14">
        <f t="shared" si="52"/>
        <v>188.55</v>
      </c>
      <c r="H69" s="14">
        <f t="shared" si="54"/>
        <v>773</v>
      </c>
      <c r="I69" s="285">
        <f t="shared" si="70"/>
        <v>9076.8299999999981</v>
      </c>
      <c r="J69" s="285">
        <f t="shared" si="71"/>
        <v>15992.409999999996</v>
      </c>
      <c r="K69" s="285">
        <f t="shared" si="72"/>
        <v>88455.009999999951</v>
      </c>
      <c r="L69" s="425">
        <f t="shared" si="6"/>
        <v>0</v>
      </c>
      <c r="M69" s="425">
        <f t="shared" si="23"/>
        <v>10</v>
      </c>
      <c r="N69" s="285">
        <f t="shared" si="24"/>
        <v>259035.05999999997</v>
      </c>
      <c r="O69" s="285">
        <f t="shared" si="73"/>
        <v>1610.57</v>
      </c>
      <c r="P69" s="285">
        <f t="shared" si="39"/>
        <v>261.42999999999984</v>
      </c>
      <c r="Q69" s="285">
        <f t="shared" si="74"/>
        <v>1349.14</v>
      </c>
      <c r="R69" s="285">
        <f t="shared" si="84"/>
        <v>134.16999999999999</v>
      </c>
      <c r="S69" s="285">
        <f t="shared" si="75"/>
        <v>188.55</v>
      </c>
      <c r="T69" s="285">
        <f t="shared" si="59"/>
        <v>1933.29</v>
      </c>
      <c r="U69" s="285">
        <f t="shared" si="40"/>
        <v>2802.3699999999994</v>
      </c>
      <c r="V69" s="285">
        <f t="shared" si="41"/>
        <v>14913.9</v>
      </c>
      <c r="W69" s="285">
        <f t="shared" si="76"/>
        <v>258773.62999999998</v>
      </c>
      <c r="X69" s="502">
        <f t="shared" si="27"/>
        <v>46029</v>
      </c>
      <c r="Y69" s="285">
        <f t="shared" si="77"/>
        <v>326134.35000000003</v>
      </c>
      <c r="Z69" s="494">
        <f t="shared" si="10"/>
        <v>3.7499999999999999E-2</v>
      </c>
      <c r="AA69" s="285">
        <f t="shared" si="11"/>
        <v>1533.81</v>
      </c>
      <c r="AB69" s="285">
        <f t="shared" si="78"/>
        <v>514.64</v>
      </c>
      <c r="AC69" s="285">
        <f t="shared" si="13"/>
        <v>1019.17</v>
      </c>
      <c r="AD69" s="285">
        <f t="shared" ref="AD69:AE69" si="91">+AD68</f>
        <v>134.16999999999999</v>
      </c>
      <c r="AE69" s="285">
        <f t="shared" si="91"/>
        <v>188.55</v>
      </c>
      <c r="AF69" s="285">
        <f t="shared" si="80"/>
        <v>1856.53</v>
      </c>
      <c r="AG69" s="285">
        <f t="shared" si="81"/>
        <v>5573.6900000000005</v>
      </c>
      <c r="AH69" s="285">
        <f t="shared" si="82"/>
        <v>11298.220000000001</v>
      </c>
      <c r="AI69" s="512">
        <f t="shared" si="64"/>
        <v>844.3599999999999</v>
      </c>
      <c r="AJ69" s="512">
        <f t="shared" si="17"/>
        <v>-66846.080000000045</v>
      </c>
      <c r="AK69" s="512">
        <f t="shared" si="65"/>
        <v>-66001.720000000045</v>
      </c>
      <c r="AL69" s="285">
        <f t="shared" si="83"/>
        <v>325619.71000000002</v>
      </c>
      <c r="AM69" s="425">
        <f t="shared" si="29"/>
        <v>0</v>
      </c>
      <c r="AN69" s="14">
        <f t="shared" si="66"/>
        <v>1160.29</v>
      </c>
      <c r="AO69" s="14">
        <f t="shared" si="50"/>
        <v>240239.86000000002</v>
      </c>
      <c r="AP69" s="14">
        <f t="shared" si="67"/>
        <v>1083.53</v>
      </c>
      <c r="AS69" s="14">
        <f t="shared" si="21"/>
        <v>1160.29</v>
      </c>
      <c r="AT69" s="14">
        <f t="shared" si="31"/>
        <v>12282.630000000001</v>
      </c>
      <c r="AU69" s="285">
        <f t="shared" si="32"/>
        <v>748.33230313702222</v>
      </c>
      <c r="AV69" s="285">
        <f t="shared" si="33"/>
        <v>38505.253557945907</v>
      </c>
    </row>
    <row r="70" spans="1:50" x14ac:dyDescent="0.25">
      <c r="A70" s="502">
        <f t="shared" si="69"/>
        <v>46059</v>
      </c>
      <c r="B70" s="285">
        <f t="shared" si="22"/>
        <v>88455.009999999951</v>
      </c>
      <c r="C70" s="14">
        <f t="shared" si="4"/>
        <v>450.28</v>
      </c>
      <c r="D70" s="14">
        <f t="shared" si="35"/>
        <v>173.85999999999996</v>
      </c>
      <c r="E70" s="14">
        <f t="shared" si="5"/>
        <v>276.42</v>
      </c>
      <c r="F70" s="14">
        <f t="shared" si="51"/>
        <v>134.16999999999999</v>
      </c>
      <c r="G70" s="14">
        <f t="shared" si="52"/>
        <v>188.55</v>
      </c>
      <c r="H70" s="14">
        <f t="shared" si="54"/>
        <v>773</v>
      </c>
      <c r="I70" s="285">
        <f t="shared" si="70"/>
        <v>9250.6899999999987</v>
      </c>
      <c r="J70" s="285">
        <f t="shared" si="71"/>
        <v>16268.829999999996</v>
      </c>
      <c r="K70" s="285">
        <f t="shared" si="72"/>
        <v>88281.149999999951</v>
      </c>
      <c r="L70" s="425">
        <f t="shared" si="6"/>
        <v>0</v>
      </c>
      <c r="M70" s="425">
        <f t="shared" si="23"/>
        <v>11</v>
      </c>
      <c r="N70" s="285">
        <f t="shared" si="24"/>
        <v>258773.62999999998</v>
      </c>
      <c r="O70" s="285">
        <f t="shared" si="73"/>
        <v>1610.57</v>
      </c>
      <c r="P70" s="285">
        <f t="shared" si="39"/>
        <v>262.78999999999996</v>
      </c>
      <c r="Q70" s="285">
        <f t="shared" si="74"/>
        <v>1347.78</v>
      </c>
      <c r="R70" s="285">
        <f t="shared" si="84"/>
        <v>134.16999999999999</v>
      </c>
      <c r="S70" s="285">
        <f t="shared" si="75"/>
        <v>188.55</v>
      </c>
      <c r="T70" s="285">
        <f t="shared" si="59"/>
        <v>1933.29</v>
      </c>
      <c r="U70" s="285">
        <f t="shared" si="40"/>
        <v>3065.1599999999994</v>
      </c>
      <c r="V70" s="285">
        <f t="shared" si="41"/>
        <v>16261.68</v>
      </c>
      <c r="W70" s="285">
        <f t="shared" si="76"/>
        <v>258510.83999999997</v>
      </c>
      <c r="X70" s="502">
        <f t="shared" si="27"/>
        <v>46059</v>
      </c>
      <c r="Y70" s="285">
        <f t="shared" si="77"/>
        <v>325619.71000000002</v>
      </c>
      <c r="Z70" s="494">
        <f t="shared" si="10"/>
        <v>3.7499999999999999E-2</v>
      </c>
      <c r="AA70" s="285">
        <f t="shared" si="11"/>
        <v>1533.81</v>
      </c>
      <c r="AB70" s="285">
        <f t="shared" si="78"/>
        <v>516.25</v>
      </c>
      <c r="AC70" s="285">
        <f t="shared" si="13"/>
        <v>1017.56</v>
      </c>
      <c r="AD70" s="285">
        <f t="shared" ref="AD70:AE70" si="92">+AD69</f>
        <v>134.16999999999999</v>
      </c>
      <c r="AE70" s="285">
        <f t="shared" si="92"/>
        <v>188.55</v>
      </c>
      <c r="AF70" s="285">
        <f t="shared" si="80"/>
        <v>1856.53</v>
      </c>
      <c r="AG70" s="285">
        <f t="shared" si="81"/>
        <v>6089.9400000000005</v>
      </c>
      <c r="AH70" s="285">
        <f t="shared" si="82"/>
        <v>12315.78</v>
      </c>
      <c r="AI70" s="512">
        <f t="shared" si="64"/>
        <v>921.11999999999989</v>
      </c>
      <c r="AJ70" s="512">
        <f t="shared" si="17"/>
        <v>-66592.620000000054</v>
      </c>
      <c r="AK70" s="512">
        <f t="shared" si="65"/>
        <v>-65671.500000000058</v>
      </c>
      <c r="AL70" s="285">
        <f t="shared" si="83"/>
        <v>325103.46000000002</v>
      </c>
      <c r="AM70" s="425">
        <f t="shared" si="29"/>
        <v>0</v>
      </c>
      <c r="AN70" s="14">
        <f t="shared" si="66"/>
        <v>1160.29</v>
      </c>
      <c r="AO70" s="14">
        <f t="shared" si="50"/>
        <v>240150.93000000002</v>
      </c>
      <c r="AP70" s="14">
        <f t="shared" si="67"/>
        <v>1083.53</v>
      </c>
      <c r="AS70" s="14">
        <f t="shared" si="21"/>
        <v>1160.29</v>
      </c>
      <c r="AT70" s="14">
        <f t="shared" si="31"/>
        <v>13442.920000000002</v>
      </c>
      <c r="AU70" s="285">
        <f t="shared" si="32"/>
        <v>750.20313389486466</v>
      </c>
      <c r="AV70" s="285">
        <f t="shared" si="33"/>
        <v>39255.456691840773</v>
      </c>
    </row>
    <row r="71" spans="1:50" x14ac:dyDescent="0.25">
      <c r="A71" s="502">
        <f t="shared" si="69"/>
        <v>46089</v>
      </c>
      <c r="B71" s="285">
        <f t="shared" si="22"/>
        <v>88281.149999999951</v>
      </c>
      <c r="C71" s="14">
        <f t="shared" si="4"/>
        <v>450.28</v>
      </c>
      <c r="D71" s="14">
        <f t="shared" si="35"/>
        <v>174.39999999999998</v>
      </c>
      <c r="E71" s="14">
        <f t="shared" si="5"/>
        <v>275.88</v>
      </c>
      <c r="F71" s="14">
        <f t="shared" si="51"/>
        <v>134.16999999999999</v>
      </c>
      <c r="G71" s="14">
        <f t="shared" si="52"/>
        <v>188.55</v>
      </c>
      <c r="H71" s="14">
        <f t="shared" si="54"/>
        <v>773</v>
      </c>
      <c r="I71" s="285">
        <f t="shared" si="70"/>
        <v>9425.0899999999983</v>
      </c>
      <c r="J71" s="285">
        <f t="shared" si="71"/>
        <v>16544.709999999995</v>
      </c>
      <c r="K71" s="285">
        <f t="shared" si="72"/>
        <v>88106.749999999956</v>
      </c>
      <c r="L71" s="425">
        <f t="shared" si="6"/>
        <v>1</v>
      </c>
      <c r="M71" s="425">
        <f t="shared" si="23"/>
        <v>12</v>
      </c>
      <c r="N71" s="285">
        <f t="shared" si="24"/>
        <v>258510.83999999997</v>
      </c>
      <c r="O71" s="285">
        <f t="shared" si="73"/>
        <v>1610.57</v>
      </c>
      <c r="P71" s="285">
        <f t="shared" si="39"/>
        <v>264.15999999999985</v>
      </c>
      <c r="Q71" s="285">
        <f t="shared" si="74"/>
        <v>1346.41</v>
      </c>
      <c r="R71" s="285">
        <f t="shared" si="84"/>
        <v>134.16999999999999</v>
      </c>
      <c r="S71" s="285">
        <f t="shared" si="75"/>
        <v>188.55</v>
      </c>
      <c r="T71" s="285">
        <f t="shared" si="59"/>
        <v>1933.29</v>
      </c>
      <c r="U71" s="285">
        <f t="shared" si="40"/>
        <v>3329.3199999999993</v>
      </c>
      <c r="V71" s="285">
        <f t="shared" si="41"/>
        <v>17608.09</v>
      </c>
      <c r="W71" s="285">
        <f t="shared" si="76"/>
        <v>258246.67999999996</v>
      </c>
      <c r="X71" s="502">
        <f t="shared" si="27"/>
        <v>46089</v>
      </c>
      <c r="Y71" s="285">
        <f t="shared" si="77"/>
        <v>325103.46000000002</v>
      </c>
      <c r="Z71" s="494">
        <f t="shared" si="10"/>
        <v>3.7499999999999999E-2</v>
      </c>
      <c r="AA71" s="285">
        <f t="shared" si="11"/>
        <v>1533.81</v>
      </c>
      <c r="AB71" s="285">
        <f t="shared" si="78"/>
        <v>517.8599999999999</v>
      </c>
      <c r="AC71" s="285">
        <f t="shared" si="13"/>
        <v>1015.95</v>
      </c>
      <c r="AD71" s="285">
        <f t="shared" ref="AD71:AE71" si="93">+AD70</f>
        <v>134.16999999999999</v>
      </c>
      <c r="AE71" s="285">
        <f t="shared" si="93"/>
        <v>188.55</v>
      </c>
      <c r="AF71" s="285">
        <f t="shared" si="80"/>
        <v>1856.53</v>
      </c>
      <c r="AG71" s="285">
        <f t="shared" si="81"/>
        <v>6607.8</v>
      </c>
      <c r="AH71" s="285">
        <f t="shared" si="82"/>
        <v>13331.730000000001</v>
      </c>
      <c r="AI71" s="512">
        <f t="shared" si="64"/>
        <v>997.87999999999988</v>
      </c>
      <c r="AJ71" s="512">
        <f t="shared" si="17"/>
        <v>-66338.920000000071</v>
      </c>
      <c r="AK71" s="512">
        <f t="shared" si="65"/>
        <v>-65341.040000000074</v>
      </c>
      <c r="AL71" s="285">
        <f t="shared" si="83"/>
        <v>324585.60000000003</v>
      </c>
      <c r="AM71" s="425">
        <f t="shared" si="29"/>
        <v>1</v>
      </c>
      <c r="AN71" s="14">
        <f t="shared" si="66"/>
        <v>1160.29</v>
      </c>
      <c r="AO71" s="14">
        <f t="shared" si="50"/>
        <v>240061.17</v>
      </c>
      <c r="AP71" s="14">
        <f t="shared" si="67"/>
        <v>1083.53</v>
      </c>
      <c r="AS71" s="14">
        <f t="shared" si="21"/>
        <v>1160.29</v>
      </c>
      <c r="AT71" s="14">
        <f t="shared" si="31"/>
        <v>14603.210000000003</v>
      </c>
      <c r="AU71" s="285">
        <f t="shared" si="32"/>
        <v>752.07864172960183</v>
      </c>
      <c r="AV71" s="285">
        <f t="shared" si="33"/>
        <v>40007.535333570377</v>
      </c>
      <c r="AX71" s="479"/>
    </row>
    <row r="72" spans="1:50" x14ac:dyDescent="0.25">
      <c r="A72" s="502">
        <f t="shared" si="69"/>
        <v>46119</v>
      </c>
      <c r="B72" s="285">
        <f t="shared" si="22"/>
        <v>88106.749999999956</v>
      </c>
      <c r="C72" s="14">
        <f t="shared" si="4"/>
        <v>450.28</v>
      </c>
      <c r="D72" s="14">
        <f t="shared" si="35"/>
        <v>174.95</v>
      </c>
      <c r="E72" s="14">
        <f t="shared" si="5"/>
        <v>275.33</v>
      </c>
      <c r="F72" s="14">
        <f t="shared" si="51"/>
        <v>134.16999999999999</v>
      </c>
      <c r="G72" s="14">
        <f t="shared" si="52"/>
        <v>188.55</v>
      </c>
      <c r="H72" s="14">
        <f t="shared" si="54"/>
        <v>773</v>
      </c>
      <c r="I72" s="285">
        <f t="shared" si="70"/>
        <v>9600.0399999999991</v>
      </c>
      <c r="J72" s="285">
        <f t="shared" si="71"/>
        <v>16820.039999999997</v>
      </c>
      <c r="K72" s="285">
        <f t="shared" si="72"/>
        <v>87931.799999999959</v>
      </c>
      <c r="L72" s="425">
        <f t="shared" si="6"/>
        <v>1</v>
      </c>
      <c r="M72" s="425">
        <f t="shared" si="23"/>
        <v>13</v>
      </c>
      <c r="N72" s="285">
        <f t="shared" si="24"/>
        <v>258246.67999999996</v>
      </c>
      <c r="O72" s="285">
        <f t="shared" si="73"/>
        <v>1610.57</v>
      </c>
      <c r="P72" s="285">
        <f t="shared" si="39"/>
        <v>265.53999999999996</v>
      </c>
      <c r="Q72" s="285">
        <f t="shared" si="74"/>
        <v>1345.03</v>
      </c>
      <c r="R72" s="285">
        <f t="shared" si="84"/>
        <v>134.16999999999999</v>
      </c>
      <c r="S72" s="285">
        <f t="shared" si="75"/>
        <v>188.55</v>
      </c>
      <c r="T72" s="285">
        <f t="shared" si="59"/>
        <v>1933.29</v>
      </c>
      <c r="U72" s="285">
        <f t="shared" si="40"/>
        <v>3594.8599999999992</v>
      </c>
      <c r="V72" s="285">
        <f t="shared" si="41"/>
        <v>18953.12</v>
      </c>
      <c r="W72" s="285">
        <f t="shared" si="76"/>
        <v>257981.13999999996</v>
      </c>
      <c r="X72" s="502">
        <f t="shared" si="27"/>
        <v>46119</v>
      </c>
      <c r="Y72" s="285">
        <f t="shared" si="77"/>
        <v>324585.60000000003</v>
      </c>
      <c r="Z72" s="494">
        <f t="shared" si="10"/>
        <v>3.7499999999999999E-2</v>
      </c>
      <c r="AA72" s="285">
        <f t="shared" si="11"/>
        <v>1533.81</v>
      </c>
      <c r="AB72" s="285">
        <f t="shared" si="78"/>
        <v>519.4799999999999</v>
      </c>
      <c r="AC72" s="285">
        <f t="shared" si="13"/>
        <v>1014.33</v>
      </c>
      <c r="AD72" s="285">
        <f t="shared" ref="AD72:AE72" si="94">+AD71</f>
        <v>134.16999999999999</v>
      </c>
      <c r="AE72" s="285">
        <f t="shared" si="94"/>
        <v>188.55</v>
      </c>
      <c r="AF72" s="285">
        <f t="shared" si="80"/>
        <v>1856.53</v>
      </c>
      <c r="AG72" s="285">
        <f t="shared" si="81"/>
        <v>7127.28</v>
      </c>
      <c r="AH72" s="285">
        <f t="shared" si="82"/>
        <v>14346.060000000001</v>
      </c>
      <c r="AI72" s="512">
        <f t="shared" si="64"/>
        <v>1074.6399999999999</v>
      </c>
      <c r="AJ72" s="512">
        <f t="shared" si="17"/>
        <v>-66084.980000000098</v>
      </c>
      <c r="AK72" s="512">
        <f t="shared" si="65"/>
        <v>-65010.340000000098</v>
      </c>
      <c r="AL72" s="285">
        <f t="shared" si="83"/>
        <v>324066.12000000005</v>
      </c>
      <c r="AM72" s="425">
        <f t="shared" si="29"/>
        <v>1</v>
      </c>
      <c r="AN72" s="14">
        <f t="shared" si="66"/>
        <v>1160.29</v>
      </c>
      <c r="AO72" s="14">
        <f t="shared" si="50"/>
        <v>239970.58000000005</v>
      </c>
      <c r="AP72" s="14">
        <f t="shared" si="67"/>
        <v>1083.53</v>
      </c>
      <c r="AS72" s="14">
        <f t="shared" si="21"/>
        <v>1160.29</v>
      </c>
      <c r="AT72" s="14">
        <f t="shared" si="31"/>
        <v>15763.500000000004</v>
      </c>
      <c r="AU72" s="285">
        <f t="shared" si="32"/>
        <v>753.958838333926</v>
      </c>
      <c r="AV72" s="285">
        <f t="shared" si="33"/>
        <v>40761.494171904305</v>
      </c>
      <c r="AX72" s="479"/>
    </row>
    <row r="73" spans="1:50" x14ac:dyDescent="0.25">
      <c r="A73" s="502">
        <f t="shared" si="69"/>
        <v>46149</v>
      </c>
      <c r="B73" s="285">
        <f t="shared" si="22"/>
        <v>87931.799999999959</v>
      </c>
      <c r="C73" s="14">
        <f t="shared" si="4"/>
        <v>450.28</v>
      </c>
      <c r="D73" s="14">
        <f t="shared" si="35"/>
        <v>175.48999999999995</v>
      </c>
      <c r="E73" s="14">
        <f t="shared" si="5"/>
        <v>274.79000000000002</v>
      </c>
      <c r="F73" s="14">
        <f t="shared" si="51"/>
        <v>134.16999999999999</v>
      </c>
      <c r="G73" s="14">
        <f t="shared" si="52"/>
        <v>188.55</v>
      </c>
      <c r="H73" s="14">
        <f t="shared" si="54"/>
        <v>773</v>
      </c>
      <c r="I73" s="285">
        <f t="shared" si="70"/>
        <v>9775.5299999999988</v>
      </c>
      <c r="J73" s="285">
        <f t="shared" si="71"/>
        <v>17094.829999999998</v>
      </c>
      <c r="K73" s="285">
        <f t="shared" si="72"/>
        <v>87756.309999999954</v>
      </c>
      <c r="L73" s="425">
        <f t="shared" si="6"/>
        <v>1</v>
      </c>
      <c r="M73" s="425">
        <f t="shared" si="23"/>
        <v>14</v>
      </c>
      <c r="N73" s="285">
        <f t="shared" si="24"/>
        <v>257981.13999999996</v>
      </c>
      <c r="O73" s="285">
        <f t="shared" si="73"/>
        <v>1610.57</v>
      </c>
      <c r="P73" s="285">
        <f t="shared" si="39"/>
        <v>266.91999999999985</v>
      </c>
      <c r="Q73" s="285">
        <f t="shared" si="74"/>
        <v>1343.65</v>
      </c>
      <c r="R73" s="285">
        <f t="shared" si="84"/>
        <v>134.16999999999999</v>
      </c>
      <c r="S73" s="285">
        <f t="shared" si="75"/>
        <v>188.55</v>
      </c>
      <c r="T73" s="285">
        <f t="shared" si="59"/>
        <v>1933.29</v>
      </c>
      <c r="U73" s="285">
        <f t="shared" si="40"/>
        <v>3861.7799999999988</v>
      </c>
      <c r="V73" s="285">
        <f t="shared" si="41"/>
        <v>20296.77</v>
      </c>
      <c r="W73" s="285">
        <f t="shared" si="76"/>
        <v>257714.21999999994</v>
      </c>
      <c r="X73" s="502">
        <f t="shared" si="27"/>
        <v>46149</v>
      </c>
      <c r="Y73" s="285">
        <f t="shared" si="77"/>
        <v>324066.12000000005</v>
      </c>
      <c r="Z73" s="494">
        <f t="shared" si="10"/>
        <v>3.7499999999999999E-2</v>
      </c>
      <c r="AA73" s="285">
        <f t="shared" si="11"/>
        <v>1533.81</v>
      </c>
      <c r="AB73" s="285">
        <f t="shared" si="78"/>
        <v>521.09999999999991</v>
      </c>
      <c r="AC73" s="285">
        <f t="shared" si="13"/>
        <v>1012.71</v>
      </c>
      <c r="AD73" s="285">
        <f t="shared" ref="AD73:AE73" si="95">+AD72</f>
        <v>134.16999999999999</v>
      </c>
      <c r="AE73" s="285">
        <f t="shared" si="95"/>
        <v>188.55</v>
      </c>
      <c r="AF73" s="285">
        <f t="shared" si="80"/>
        <v>1856.53</v>
      </c>
      <c r="AG73" s="285">
        <f t="shared" si="81"/>
        <v>7648.3799999999992</v>
      </c>
      <c r="AH73" s="285">
        <f t="shared" si="82"/>
        <v>15358.77</v>
      </c>
      <c r="AI73" s="512">
        <f t="shared" si="64"/>
        <v>1151.3999999999999</v>
      </c>
      <c r="AJ73" s="512">
        <f t="shared" si="17"/>
        <v>-65830.800000000134</v>
      </c>
      <c r="AK73" s="512">
        <f t="shared" si="65"/>
        <v>-64679.400000000132</v>
      </c>
      <c r="AL73" s="285">
        <f t="shared" si="83"/>
        <v>323545.02000000008</v>
      </c>
      <c r="AM73" s="425">
        <f t="shared" si="29"/>
        <v>1</v>
      </c>
      <c r="AN73" s="14">
        <f t="shared" si="66"/>
        <v>1160.29</v>
      </c>
      <c r="AO73" s="14">
        <f t="shared" si="50"/>
        <v>239879.15000000002</v>
      </c>
      <c r="AP73" s="14">
        <f t="shared" si="67"/>
        <v>1083.53</v>
      </c>
      <c r="AS73" s="14">
        <f t="shared" si="21"/>
        <v>1160.29</v>
      </c>
      <c r="AT73" s="14">
        <f t="shared" si="31"/>
        <v>16923.790000000005</v>
      </c>
      <c r="AU73" s="285">
        <f t="shared" si="32"/>
        <v>755.84373542976073</v>
      </c>
      <c r="AV73" s="285">
        <f t="shared" si="33"/>
        <v>41517.337907334069</v>
      </c>
    </row>
    <row r="74" spans="1:50" ht="15.75" thickBot="1" x14ac:dyDescent="0.3">
      <c r="A74" s="505">
        <f t="shared" si="69"/>
        <v>46179</v>
      </c>
      <c r="B74" s="345">
        <f t="shared" si="22"/>
        <v>87756.309999999954</v>
      </c>
      <c r="C74" s="21">
        <f t="shared" si="4"/>
        <v>450.28</v>
      </c>
      <c r="D74" s="21">
        <f t="shared" si="35"/>
        <v>176.03999999999996</v>
      </c>
      <c r="E74" s="21">
        <f t="shared" si="5"/>
        <v>274.24</v>
      </c>
      <c r="F74" s="21">
        <f t="shared" si="51"/>
        <v>134.16999999999999</v>
      </c>
      <c r="G74" s="21">
        <f t="shared" si="52"/>
        <v>188.55</v>
      </c>
      <c r="H74" s="21">
        <f t="shared" si="54"/>
        <v>773</v>
      </c>
      <c r="I74" s="345">
        <f t="shared" si="70"/>
        <v>9951.57</v>
      </c>
      <c r="J74" s="345">
        <f t="shared" si="71"/>
        <v>17369.07</v>
      </c>
      <c r="K74" s="345">
        <f t="shared" si="72"/>
        <v>87580.26999999996</v>
      </c>
      <c r="L74" s="426">
        <f t="shared" si="6"/>
        <v>1</v>
      </c>
      <c r="M74" s="426">
        <f t="shared" si="23"/>
        <v>15</v>
      </c>
      <c r="N74" s="345">
        <f t="shared" si="24"/>
        <v>257714.21999999994</v>
      </c>
      <c r="O74" s="345">
        <f t="shared" si="73"/>
        <v>1610.57</v>
      </c>
      <c r="P74" s="345">
        <f t="shared" si="39"/>
        <v>268.30999999999995</v>
      </c>
      <c r="Q74" s="345">
        <f t="shared" si="74"/>
        <v>1342.26</v>
      </c>
      <c r="R74" s="345">
        <f t="shared" si="84"/>
        <v>134.16999999999999</v>
      </c>
      <c r="S74" s="345">
        <f t="shared" si="75"/>
        <v>188.55</v>
      </c>
      <c r="T74" s="345">
        <f t="shared" si="59"/>
        <v>1933.29</v>
      </c>
      <c r="U74" s="345">
        <f t="shared" si="40"/>
        <v>4130.0899999999983</v>
      </c>
      <c r="V74" s="345">
        <f t="shared" si="41"/>
        <v>21639.03</v>
      </c>
      <c r="W74" s="345">
        <f t="shared" si="76"/>
        <v>257445.90999999995</v>
      </c>
      <c r="X74" s="505">
        <f t="shared" si="27"/>
        <v>46179</v>
      </c>
      <c r="Y74" s="345">
        <f t="shared" si="77"/>
        <v>323545.02000000008</v>
      </c>
      <c r="Z74" s="495">
        <f t="shared" si="10"/>
        <v>3.7499999999999999E-2</v>
      </c>
      <c r="AA74" s="345">
        <f t="shared" si="11"/>
        <v>1533.81</v>
      </c>
      <c r="AB74" s="345">
        <f t="shared" si="78"/>
        <v>522.7299999999999</v>
      </c>
      <c r="AC74" s="345">
        <f t="shared" si="13"/>
        <v>1011.08</v>
      </c>
      <c r="AD74" s="345">
        <f t="shared" ref="AD74:AE74" si="96">+AD73</f>
        <v>134.16999999999999</v>
      </c>
      <c r="AE74" s="345">
        <f t="shared" si="96"/>
        <v>188.55</v>
      </c>
      <c r="AF74" s="345">
        <f t="shared" si="80"/>
        <v>1856.53</v>
      </c>
      <c r="AG74" s="345">
        <f t="shared" si="81"/>
        <v>8171.1099999999988</v>
      </c>
      <c r="AH74" s="345">
        <f t="shared" si="82"/>
        <v>16369.85</v>
      </c>
      <c r="AI74" s="513">
        <f t="shared" si="64"/>
        <v>1228.1599999999999</v>
      </c>
      <c r="AJ74" s="513">
        <f t="shared" si="17"/>
        <v>-65576.38000000015</v>
      </c>
      <c r="AK74" s="513">
        <f t="shared" si="65"/>
        <v>-64348.220000000147</v>
      </c>
      <c r="AL74" s="345">
        <f t="shared" si="83"/>
        <v>323022.2900000001</v>
      </c>
      <c r="AM74" s="426">
        <f t="shared" si="29"/>
        <v>1</v>
      </c>
      <c r="AN74" s="21">
        <f t="shared" si="66"/>
        <v>1160.29</v>
      </c>
      <c r="AO74" s="21">
        <f t="shared" si="50"/>
        <v>239786.88000000003</v>
      </c>
      <c r="AP74" s="21">
        <f t="shared" si="67"/>
        <v>1083.53</v>
      </c>
      <c r="AQ74" s="21"/>
      <c r="AR74" s="23"/>
      <c r="AS74" s="21">
        <f t="shared" si="21"/>
        <v>1160.29</v>
      </c>
      <c r="AT74" s="21">
        <f t="shared" si="31"/>
        <v>18084.080000000005</v>
      </c>
      <c r="AU74" s="345">
        <f t="shared" si="32"/>
        <v>757.73334476833509</v>
      </c>
      <c r="AV74" s="345">
        <f t="shared" si="33"/>
        <v>42275.071252102403</v>
      </c>
    </row>
    <row r="75" spans="1:50" x14ac:dyDescent="0.25">
      <c r="A75" s="502">
        <f t="shared" si="69"/>
        <v>46209</v>
      </c>
      <c r="B75" s="285">
        <f t="shared" si="22"/>
        <v>87580.26999999996</v>
      </c>
      <c r="C75" s="14">
        <f t="shared" si="4"/>
        <v>450.28</v>
      </c>
      <c r="D75" s="14">
        <f t="shared" si="35"/>
        <v>176.58999999999997</v>
      </c>
      <c r="E75" s="14">
        <f t="shared" si="5"/>
        <v>273.69</v>
      </c>
      <c r="F75" s="14">
        <f t="shared" si="51"/>
        <v>134.16999999999999</v>
      </c>
      <c r="G75" s="14">
        <f t="shared" si="52"/>
        <v>188.55</v>
      </c>
      <c r="H75" s="14">
        <f t="shared" si="54"/>
        <v>773</v>
      </c>
      <c r="I75" s="285">
        <f t="shared" si="70"/>
        <v>10128.16</v>
      </c>
      <c r="J75" s="285">
        <f t="shared" si="71"/>
        <v>17642.759999999998</v>
      </c>
      <c r="K75" s="285">
        <f t="shared" si="72"/>
        <v>87403.679999999964</v>
      </c>
      <c r="L75" s="425">
        <f t="shared" si="6"/>
        <v>1</v>
      </c>
      <c r="M75" s="425">
        <f t="shared" si="23"/>
        <v>16</v>
      </c>
      <c r="N75" s="285">
        <f t="shared" si="24"/>
        <v>257445.90999999995</v>
      </c>
      <c r="O75" s="285">
        <f t="shared" si="73"/>
        <v>1610.57</v>
      </c>
      <c r="P75" s="285">
        <f t="shared" si="39"/>
        <v>269.71000000000004</v>
      </c>
      <c r="Q75" s="285">
        <f t="shared" si="74"/>
        <v>1340.86</v>
      </c>
      <c r="R75" s="285">
        <f t="shared" si="84"/>
        <v>134.16999999999999</v>
      </c>
      <c r="S75" s="285">
        <f t="shared" si="75"/>
        <v>188.55</v>
      </c>
      <c r="T75" s="285">
        <f t="shared" si="59"/>
        <v>1933.29</v>
      </c>
      <c r="U75" s="285">
        <f t="shared" si="40"/>
        <v>4399.7999999999984</v>
      </c>
      <c r="V75" s="285">
        <f t="shared" si="41"/>
        <v>22979.89</v>
      </c>
      <c r="W75" s="285">
        <f t="shared" si="76"/>
        <v>257176.19999999995</v>
      </c>
      <c r="X75" s="502">
        <f t="shared" si="27"/>
        <v>46209</v>
      </c>
      <c r="Y75" s="285">
        <f t="shared" si="77"/>
        <v>323022.2900000001</v>
      </c>
      <c r="Z75" s="494">
        <f t="shared" si="10"/>
        <v>3.7499999999999999E-2</v>
      </c>
      <c r="AA75" s="285">
        <f t="shared" si="11"/>
        <v>1533.81</v>
      </c>
      <c r="AB75" s="285">
        <f t="shared" si="78"/>
        <v>524.36999999999989</v>
      </c>
      <c r="AC75" s="285">
        <f t="shared" si="13"/>
        <v>1009.44</v>
      </c>
      <c r="AD75" s="285">
        <f t="shared" ref="AD75:AE75" si="97">+AD74</f>
        <v>134.16999999999999</v>
      </c>
      <c r="AE75" s="285">
        <f t="shared" si="97"/>
        <v>188.55</v>
      </c>
      <c r="AF75" s="285">
        <f t="shared" si="80"/>
        <v>1856.53</v>
      </c>
      <c r="AG75" s="285">
        <f t="shared" si="81"/>
        <v>8695.48</v>
      </c>
      <c r="AH75" s="285">
        <f t="shared" si="82"/>
        <v>17379.29</v>
      </c>
      <c r="AI75" s="512">
        <f t="shared" si="64"/>
        <v>1304.9199999999998</v>
      </c>
      <c r="AJ75" s="512">
        <f t="shared" si="17"/>
        <v>-65321.720000000147</v>
      </c>
      <c r="AK75" s="512">
        <f t="shared" si="65"/>
        <v>-64016.800000000148</v>
      </c>
      <c r="AL75" s="285">
        <f t="shared" si="83"/>
        <v>322497.9200000001</v>
      </c>
      <c r="AM75" s="425">
        <f t="shared" si="29"/>
        <v>1</v>
      </c>
      <c r="AN75" s="14">
        <f t="shared" si="66"/>
        <v>1160.29</v>
      </c>
      <c r="AO75" s="14">
        <f t="shared" si="50"/>
        <v>239693.76000000004</v>
      </c>
      <c r="AP75" s="14">
        <f t="shared" si="67"/>
        <v>1083.53</v>
      </c>
      <c r="AS75" s="14">
        <f t="shared" si="21"/>
        <v>1160.29</v>
      </c>
      <c r="AT75" s="14">
        <f t="shared" si="31"/>
        <v>19244.370000000006</v>
      </c>
      <c r="AU75" s="285">
        <f t="shared" si="32"/>
        <v>759.62767813025596</v>
      </c>
      <c r="AV75" s="285">
        <f t="shared" si="33"/>
        <v>43034.698930232662</v>
      </c>
    </row>
    <row r="76" spans="1:50" x14ac:dyDescent="0.25">
      <c r="A76" s="502">
        <f t="shared" si="69"/>
        <v>46239</v>
      </c>
      <c r="B76" s="285">
        <f t="shared" si="22"/>
        <v>87403.679999999964</v>
      </c>
      <c r="C76" s="14">
        <f t="shared" si="4"/>
        <v>450.28</v>
      </c>
      <c r="D76" s="14">
        <f t="shared" si="35"/>
        <v>177.14</v>
      </c>
      <c r="E76" s="14">
        <f t="shared" si="5"/>
        <v>273.14</v>
      </c>
      <c r="F76" s="14">
        <f t="shared" si="51"/>
        <v>134.16999999999999</v>
      </c>
      <c r="G76" s="14">
        <f t="shared" si="52"/>
        <v>188.55</v>
      </c>
      <c r="H76" s="14">
        <f t="shared" si="54"/>
        <v>773</v>
      </c>
      <c r="I76" s="285">
        <f t="shared" si="70"/>
        <v>10305.299999999999</v>
      </c>
      <c r="J76" s="285">
        <f t="shared" si="71"/>
        <v>17915.899999999998</v>
      </c>
      <c r="K76" s="285">
        <f t="shared" si="72"/>
        <v>87226.539999999964</v>
      </c>
      <c r="L76" s="425">
        <f t="shared" si="6"/>
        <v>1</v>
      </c>
      <c r="M76" s="425">
        <f t="shared" si="23"/>
        <v>17</v>
      </c>
      <c r="N76" s="285">
        <f t="shared" si="24"/>
        <v>257176.19999999995</v>
      </c>
      <c r="O76" s="285">
        <f t="shared" si="73"/>
        <v>1610.57</v>
      </c>
      <c r="P76" s="285">
        <f t="shared" si="39"/>
        <v>271.1099999999999</v>
      </c>
      <c r="Q76" s="285">
        <f t="shared" si="74"/>
        <v>1339.46</v>
      </c>
      <c r="R76" s="285">
        <f t="shared" si="84"/>
        <v>134.16999999999999</v>
      </c>
      <c r="S76" s="285">
        <f t="shared" si="75"/>
        <v>188.55</v>
      </c>
      <c r="T76" s="285">
        <f t="shared" si="59"/>
        <v>1933.29</v>
      </c>
      <c r="U76" s="285">
        <f t="shared" si="40"/>
        <v>4670.909999999998</v>
      </c>
      <c r="V76" s="285">
        <f t="shared" si="41"/>
        <v>24319.35</v>
      </c>
      <c r="W76" s="285">
        <f t="shared" si="76"/>
        <v>256905.08999999997</v>
      </c>
      <c r="X76" s="502">
        <f t="shared" si="27"/>
        <v>46239</v>
      </c>
      <c r="Y76" s="285">
        <f t="shared" si="77"/>
        <v>322497.9200000001</v>
      </c>
      <c r="Z76" s="494">
        <f t="shared" si="10"/>
        <v>3.7499999999999999E-2</v>
      </c>
      <c r="AA76" s="285">
        <f t="shared" si="11"/>
        <v>1533.81</v>
      </c>
      <c r="AB76" s="285">
        <f t="shared" si="78"/>
        <v>526</v>
      </c>
      <c r="AC76" s="285">
        <f t="shared" si="13"/>
        <v>1007.81</v>
      </c>
      <c r="AD76" s="285">
        <f t="shared" ref="AD76:AE76" si="98">+AD75</f>
        <v>134.16999999999999</v>
      </c>
      <c r="AE76" s="285">
        <f t="shared" si="98"/>
        <v>188.55</v>
      </c>
      <c r="AF76" s="285">
        <f t="shared" si="80"/>
        <v>1856.53</v>
      </c>
      <c r="AG76" s="285">
        <f t="shared" si="81"/>
        <v>9221.48</v>
      </c>
      <c r="AH76" s="285">
        <f t="shared" si="82"/>
        <v>18387.100000000002</v>
      </c>
      <c r="AI76" s="512">
        <f t="shared" si="64"/>
        <v>1381.6799999999998</v>
      </c>
      <c r="AJ76" s="512">
        <f t="shared" si="17"/>
        <v>-65066.830000000133</v>
      </c>
      <c r="AK76" s="512">
        <f t="shared" si="65"/>
        <v>-63685.150000000132</v>
      </c>
      <c r="AL76" s="285">
        <f t="shared" si="83"/>
        <v>321971.9200000001</v>
      </c>
      <c r="AM76" s="425">
        <f t="shared" si="29"/>
        <v>1</v>
      </c>
      <c r="AN76" s="14">
        <f t="shared" si="66"/>
        <v>1160.29</v>
      </c>
      <c r="AO76" s="14">
        <f t="shared" si="50"/>
        <v>239599.79</v>
      </c>
      <c r="AP76" s="14">
        <f t="shared" si="67"/>
        <v>1083.53</v>
      </c>
      <c r="AS76" s="14">
        <f t="shared" si="21"/>
        <v>1160.29</v>
      </c>
      <c r="AT76" s="14">
        <f t="shared" si="31"/>
        <v>20404.660000000007</v>
      </c>
      <c r="AU76" s="285">
        <f t="shared" si="32"/>
        <v>761.52674732558171</v>
      </c>
      <c r="AV76" s="285">
        <f t="shared" si="33"/>
        <v>43796.225677558243</v>
      </c>
    </row>
    <row r="77" spans="1:50" x14ac:dyDescent="0.25">
      <c r="A77" s="502">
        <f t="shared" si="69"/>
        <v>46269</v>
      </c>
      <c r="B77" s="285">
        <f t="shared" si="22"/>
        <v>87226.539999999964</v>
      </c>
      <c r="C77" s="14">
        <f t="shared" si="4"/>
        <v>450.28</v>
      </c>
      <c r="D77" s="14">
        <f t="shared" si="35"/>
        <v>177.7</v>
      </c>
      <c r="E77" s="14">
        <f t="shared" si="5"/>
        <v>272.58</v>
      </c>
      <c r="F77" s="14">
        <f t="shared" si="51"/>
        <v>134.16999999999999</v>
      </c>
      <c r="G77" s="14">
        <f t="shared" si="52"/>
        <v>188.55</v>
      </c>
      <c r="H77" s="14">
        <f t="shared" si="54"/>
        <v>773</v>
      </c>
      <c r="I77" s="285">
        <f t="shared" si="70"/>
        <v>10483</v>
      </c>
      <c r="J77" s="285">
        <f t="shared" si="71"/>
        <v>18188.48</v>
      </c>
      <c r="K77" s="285">
        <f t="shared" si="72"/>
        <v>87048.839999999967</v>
      </c>
      <c r="L77" s="425">
        <f t="shared" si="6"/>
        <v>1</v>
      </c>
      <c r="M77" s="425">
        <f t="shared" si="23"/>
        <v>18</v>
      </c>
      <c r="N77" s="285">
        <f t="shared" si="24"/>
        <v>256905.08999999997</v>
      </c>
      <c r="O77" s="285">
        <f t="shared" si="73"/>
        <v>1610.57</v>
      </c>
      <c r="P77" s="285">
        <f t="shared" si="39"/>
        <v>272.52</v>
      </c>
      <c r="Q77" s="285">
        <f t="shared" si="74"/>
        <v>1338.05</v>
      </c>
      <c r="R77" s="285">
        <f t="shared" si="84"/>
        <v>134.16999999999999</v>
      </c>
      <c r="S77" s="285">
        <f t="shared" si="75"/>
        <v>188.55</v>
      </c>
      <c r="T77" s="285">
        <f t="shared" si="59"/>
        <v>1933.29</v>
      </c>
      <c r="U77" s="285">
        <f t="shared" si="40"/>
        <v>4943.4299999999985</v>
      </c>
      <c r="V77" s="285">
        <f t="shared" si="41"/>
        <v>25657.399999999998</v>
      </c>
      <c r="W77" s="285">
        <f t="shared" si="76"/>
        <v>256632.56999999998</v>
      </c>
      <c r="X77" s="502">
        <f t="shared" si="27"/>
        <v>46269</v>
      </c>
      <c r="Y77" s="285">
        <f t="shared" si="77"/>
        <v>321971.9200000001</v>
      </c>
      <c r="Z77" s="494">
        <f t="shared" si="10"/>
        <v>3.7499999999999999E-2</v>
      </c>
      <c r="AA77" s="285">
        <f t="shared" si="11"/>
        <v>1533.81</v>
      </c>
      <c r="AB77" s="285">
        <f t="shared" si="78"/>
        <v>527.65</v>
      </c>
      <c r="AC77" s="285">
        <f t="shared" si="13"/>
        <v>1006.16</v>
      </c>
      <c r="AD77" s="285">
        <f t="shared" ref="AD77:AE77" si="99">+AD76</f>
        <v>134.16999999999999</v>
      </c>
      <c r="AE77" s="285">
        <f t="shared" si="99"/>
        <v>188.55</v>
      </c>
      <c r="AF77" s="285">
        <f t="shared" si="80"/>
        <v>1856.53</v>
      </c>
      <c r="AG77" s="285">
        <f t="shared" si="81"/>
        <v>9749.1299999999992</v>
      </c>
      <c r="AH77" s="285">
        <f t="shared" si="82"/>
        <v>19393.260000000002</v>
      </c>
      <c r="AI77" s="512">
        <f t="shared" si="64"/>
        <v>1458.4399999999998</v>
      </c>
      <c r="AJ77" s="512">
        <f t="shared" si="17"/>
        <v>-64811.700000000099</v>
      </c>
      <c r="AK77" s="512">
        <f t="shared" si="65"/>
        <v>-63353.260000000097</v>
      </c>
      <c r="AL77" s="285">
        <f t="shared" si="83"/>
        <v>321444.27000000008</v>
      </c>
      <c r="AM77" s="425">
        <f t="shared" si="29"/>
        <v>1</v>
      </c>
      <c r="AN77" s="14">
        <f t="shared" si="66"/>
        <v>1160.29</v>
      </c>
      <c r="AO77" s="14">
        <f t="shared" si="50"/>
        <v>239504.97000000003</v>
      </c>
      <c r="AP77" s="14">
        <f t="shared" si="67"/>
        <v>1083.53</v>
      </c>
      <c r="AS77" s="14">
        <f t="shared" si="21"/>
        <v>1160.29</v>
      </c>
      <c r="AT77" s="14">
        <f t="shared" si="31"/>
        <v>21564.950000000008</v>
      </c>
      <c r="AU77" s="285">
        <f t="shared" si="32"/>
        <v>763.43056419389552</v>
      </c>
      <c r="AV77" s="285">
        <f t="shared" si="33"/>
        <v>44559.656241752142</v>
      </c>
    </row>
    <row r="78" spans="1:50" x14ac:dyDescent="0.25">
      <c r="A78" s="502">
        <f t="shared" si="69"/>
        <v>46299</v>
      </c>
      <c r="B78" s="285">
        <f t="shared" si="22"/>
        <v>87048.839999999967</v>
      </c>
      <c r="C78" s="14">
        <f t="shared" si="4"/>
        <v>450.28</v>
      </c>
      <c r="D78" s="14">
        <f t="shared" si="35"/>
        <v>178.25</v>
      </c>
      <c r="E78" s="14">
        <f t="shared" si="5"/>
        <v>272.02999999999997</v>
      </c>
      <c r="F78" s="14">
        <f t="shared" si="51"/>
        <v>134.16999999999999</v>
      </c>
      <c r="G78" s="14">
        <f t="shared" si="52"/>
        <v>188.55</v>
      </c>
      <c r="H78" s="14">
        <f t="shared" si="54"/>
        <v>773</v>
      </c>
      <c r="I78" s="285">
        <f t="shared" si="70"/>
        <v>10661.25</v>
      </c>
      <c r="J78" s="285">
        <f t="shared" si="71"/>
        <v>18460.509999999998</v>
      </c>
      <c r="K78" s="285">
        <f t="shared" si="72"/>
        <v>86870.589999999967</v>
      </c>
      <c r="L78" s="425">
        <f t="shared" si="6"/>
        <v>1</v>
      </c>
      <c r="M78" s="425">
        <f t="shared" si="23"/>
        <v>19</v>
      </c>
      <c r="N78" s="285">
        <f t="shared" si="24"/>
        <v>256632.56999999998</v>
      </c>
      <c r="O78" s="285">
        <f t="shared" si="73"/>
        <v>1610.57</v>
      </c>
      <c r="P78" s="285">
        <f t="shared" si="39"/>
        <v>273.93999999999983</v>
      </c>
      <c r="Q78" s="285">
        <f t="shared" si="74"/>
        <v>1336.63</v>
      </c>
      <c r="R78" s="285">
        <f t="shared" si="84"/>
        <v>134.16999999999999</v>
      </c>
      <c r="S78" s="285">
        <f t="shared" si="75"/>
        <v>188.55</v>
      </c>
      <c r="T78" s="285">
        <f t="shared" si="59"/>
        <v>1933.29</v>
      </c>
      <c r="U78" s="285">
        <f t="shared" si="40"/>
        <v>5217.3699999999981</v>
      </c>
      <c r="V78" s="285">
        <f t="shared" si="41"/>
        <v>26994.03</v>
      </c>
      <c r="W78" s="285">
        <f t="shared" si="76"/>
        <v>256358.62999999998</v>
      </c>
      <c r="X78" s="502">
        <f t="shared" si="27"/>
        <v>46299</v>
      </c>
      <c r="Y78" s="285">
        <f t="shared" si="77"/>
        <v>321444.27000000008</v>
      </c>
      <c r="Z78" s="494">
        <f t="shared" si="10"/>
        <v>3.7499999999999999E-2</v>
      </c>
      <c r="AA78" s="285">
        <f t="shared" si="11"/>
        <v>1533.81</v>
      </c>
      <c r="AB78" s="285">
        <f t="shared" si="78"/>
        <v>529.29999999999995</v>
      </c>
      <c r="AC78" s="285">
        <f t="shared" si="13"/>
        <v>1004.51</v>
      </c>
      <c r="AD78" s="285">
        <f t="shared" ref="AD78:AE78" si="100">+AD77</f>
        <v>134.16999999999999</v>
      </c>
      <c r="AE78" s="285">
        <f t="shared" si="100"/>
        <v>188.55</v>
      </c>
      <c r="AF78" s="285">
        <f t="shared" si="80"/>
        <v>1856.53</v>
      </c>
      <c r="AG78" s="285">
        <f t="shared" si="81"/>
        <v>10278.429999999998</v>
      </c>
      <c r="AH78" s="285">
        <f t="shared" si="82"/>
        <v>20397.77</v>
      </c>
      <c r="AI78" s="512">
        <f t="shared" si="64"/>
        <v>1535.1999999999998</v>
      </c>
      <c r="AJ78" s="512">
        <f t="shared" si="17"/>
        <v>-64556.340000000113</v>
      </c>
      <c r="AK78" s="512">
        <f t="shared" si="65"/>
        <v>-63021.140000000116</v>
      </c>
      <c r="AL78" s="285">
        <f t="shared" si="83"/>
        <v>320914.97000000009</v>
      </c>
      <c r="AM78" s="425">
        <f t="shared" si="29"/>
        <v>1</v>
      </c>
      <c r="AN78" s="14">
        <f t="shared" si="66"/>
        <v>1160.29</v>
      </c>
      <c r="AO78" s="14">
        <f t="shared" si="50"/>
        <v>239409.28000000003</v>
      </c>
      <c r="AP78" s="14">
        <f t="shared" si="67"/>
        <v>1083.53</v>
      </c>
      <c r="AS78" s="14">
        <f t="shared" si="21"/>
        <v>1160.29</v>
      </c>
      <c r="AT78" s="14">
        <f t="shared" si="31"/>
        <v>22725.240000000009</v>
      </c>
      <c r="AU78" s="285">
        <f t="shared" si="32"/>
        <v>765.3391406043803</v>
      </c>
      <c r="AV78" s="285">
        <f t="shared" si="33"/>
        <v>45324.995382356523</v>
      </c>
    </row>
    <row r="79" spans="1:50" x14ac:dyDescent="0.25">
      <c r="A79" s="502">
        <f t="shared" si="69"/>
        <v>46329</v>
      </c>
      <c r="B79" s="285">
        <f t="shared" si="22"/>
        <v>86870.589999999967</v>
      </c>
      <c r="C79" s="14">
        <f t="shared" ref="C79:C142" si="101">IF(+$K78&lt;=0,0,$C$5)</f>
        <v>450.28</v>
      </c>
      <c r="D79" s="14">
        <f t="shared" si="35"/>
        <v>178.80999999999995</v>
      </c>
      <c r="E79" s="14">
        <f t="shared" ref="E79:E142" si="102">ROUND($B79*($C$3/12), 2)</f>
        <v>271.47000000000003</v>
      </c>
      <c r="F79" s="14">
        <f t="shared" si="51"/>
        <v>134.16999999999999</v>
      </c>
      <c r="G79" s="14">
        <f t="shared" si="52"/>
        <v>188.55</v>
      </c>
      <c r="H79" s="14">
        <f t="shared" si="54"/>
        <v>773</v>
      </c>
      <c r="I79" s="285">
        <f t="shared" si="70"/>
        <v>10840.06</v>
      </c>
      <c r="J79" s="285">
        <f t="shared" si="71"/>
        <v>18731.98</v>
      </c>
      <c r="K79" s="285">
        <f t="shared" si="72"/>
        <v>86691.77999999997</v>
      </c>
      <c r="L79" s="425">
        <f t="shared" ref="L79:L107" si="103">IF(MOD(M79,12)=0,M79/12,L78)</f>
        <v>1</v>
      </c>
      <c r="M79" s="425">
        <f t="shared" si="23"/>
        <v>20</v>
      </c>
      <c r="N79" s="285">
        <f t="shared" si="24"/>
        <v>256358.62999999998</v>
      </c>
      <c r="O79" s="285">
        <f t="shared" si="73"/>
        <v>1610.57</v>
      </c>
      <c r="P79" s="285">
        <f t="shared" si="39"/>
        <v>275.36999999999989</v>
      </c>
      <c r="Q79" s="285">
        <f t="shared" si="74"/>
        <v>1335.2</v>
      </c>
      <c r="R79" s="285">
        <f t="shared" si="84"/>
        <v>134.16999999999999</v>
      </c>
      <c r="S79" s="285">
        <f t="shared" si="75"/>
        <v>188.55</v>
      </c>
      <c r="T79" s="285">
        <f t="shared" si="59"/>
        <v>1933.29</v>
      </c>
      <c r="U79" s="285">
        <f t="shared" si="40"/>
        <v>5492.739999999998</v>
      </c>
      <c r="V79" s="285">
        <f t="shared" si="41"/>
        <v>28329.23</v>
      </c>
      <c r="W79" s="285">
        <f t="shared" si="76"/>
        <v>256083.25999999998</v>
      </c>
      <c r="X79" s="502">
        <f t="shared" si="27"/>
        <v>46329</v>
      </c>
      <c r="Y79" s="285">
        <f t="shared" si="77"/>
        <v>320914.97000000009</v>
      </c>
      <c r="Z79" s="494">
        <f t="shared" ref="Z79:Z142" si="104">IF(L79&gt;4,$AA$9,$AA$8)</f>
        <v>3.7499999999999999E-2</v>
      </c>
      <c r="AA79" s="285">
        <f t="shared" ref="AA79:AA142" si="105">IF($O$9&lt;=$A79,IF(+AL78&lt;=0,0,IF(Z79=$AA$8,$Z$8,$Z$9)),0)</f>
        <v>1533.81</v>
      </c>
      <c r="AB79" s="285">
        <f t="shared" si="78"/>
        <v>530.94999999999993</v>
      </c>
      <c r="AC79" s="285">
        <f t="shared" ref="AC79:AC142" si="106">IF($O$9&lt;=$A79,ROUND(Y79*(Z79/12),2),0)</f>
        <v>1002.86</v>
      </c>
      <c r="AD79" s="285">
        <f t="shared" ref="AD79:AE79" si="107">+AD78</f>
        <v>134.16999999999999</v>
      </c>
      <c r="AE79" s="285">
        <f t="shared" si="107"/>
        <v>188.55</v>
      </c>
      <c r="AF79" s="285">
        <f t="shared" si="80"/>
        <v>1856.53</v>
      </c>
      <c r="AG79" s="285">
        <f t="shared" si="81"/>
        <v>10809.38</v>
      </c>
      <c r="AH79" s="285">
        <f t="shared" si="82"/>
        <v>21400.63</v>
      </c>
      <c r="AI79" s="512">
        <f t="shared" si="64"/>
        <v>1611.9599999999998</v>
      </c>
      <c r="AJ79" s="512">
        <f t="shared" ref="AJ79:AJ89" si="108">+W79-AL79</f>
        <v>-64300.760000000097</v>
      </c>
      <c r="AK79" s="512">
        <f t="shared" si="65"/>
        <v>-62688.800000000097</v>
      </c>
      <c r="AL79" s="285">
        <f t="shared" si="83"/>
        <v>320384.02000000008</v>
      </c>
      <c r="AM79" s="425">
        <f t="shared" si="29"/>
        <v>1</v>
      </c>
      <c r="AN79" s="14">
        <f t="shared" si="66"/>
        <v>1160.29</v>
      </c>
      <c r="AO79" s="14">
        <f t="shared" si="50"/>
        <v>239312.72000000003</v>
      </c>
      <c r="AP79" s="14">
        <f t="shared" si="67"/>
        <v>1083.53</v>
      </c>
      <c r="AS79" s="14">
        <f t="shared" ref="AS79:AS142" si="109">+AN79-AR79</f>
        <v>1160.29</v>
      </c>
      <c r="AT79" s="14">
        <f t="shared" si="31"/>
        <v>23885.53000000001</v>
      </c>
      <c r="AU79" s="285">
        <f t="shared" si="32"/>
        <v>767.25248845589124</v>
      </c>
      <c r="AV79" s="285">
        <f t="shared" si="33"/>
        <v>46092.247870812411</v>
      </c>
    </row>
    <row r="80" spans="1:50" x14ac:dyDescent="0.25">
      <c r="A80" s="502">
        <f t="shared" si="69"/>
        <v>46359</v>
      </c>
      <c r="B80" s="285">
        <f t="shared" ref="B80:B143" si="110">IF(+K79&lt;0,0,+K79)</f>
        <v>86691.77999999997</v>
      </c>
      <c r="C80" s="14">
        <f t="shared" si="101"/>
        <v>450.28</v>
      </c>
      <c r="D80" s="14">
        <f t="shared" si="35"/>
        <v>179.36999999999995</v>
      </c>
      <c r="E80" s="14">
        <f t="shared" si="102"/>
        <v>270.91000000000003</v>
      </c>
      <c r="F80" s="14">
        <f t="shared" si="51"/>
        <v>134.16999999999999</v>
      </c>
      <c r="G80" s="14">
        <f t="shared" si="52"/>
        <v>188.55</v>
      </c>
      <c r="H80" s="14">
        <f t="shared" si="54"/>
        <v>773</v>
      </c>
      <c r="I80" s="285">
        <f t="shared" si="70"/>
        <v>11019.43</v>
      </c>
      <c r="J80" s="285">
        <f t="shared" si="71"/>
        <v>19002.89</v>
      </c>
      <c r="K80" s="285">
        <f t="shared" si="72"/>
        <v>86512.409999999974</v>
      </c>
      <c r="L80" s="425">
        <f t="shared" si="103"/>
        <v>1</v>
      </c>
      <c r="M80" s="425">
        <f t="shared" ref="M80:M143" si="111">IF(N80&lt;&gt;"",IF(N80=$O$5,0,+M79+1),0)</f>
        <v>21</v>
      </c>
      <c r="N80" s="285">
        <f t="shared" ref="N80:N143" si="112">IF(+W79&lt;0,0,+W79)</f>
        <v>256083.25999999998</v>
      </c>
      <c r="O80" s="285">
        <f t="shared" si="73"/>
        <v>1610.57</v>
      </c>
      <c r="P80" s="285">
        <f t="shared" si="39"/>
        <v>276.79999999999995</v>
      </c>
      <c r="Q80" s="285">
        <f t="shared" si="74"/>
        <v>1333.77</v>
      </c>
      <c r="R80" s="285">
        <f t="shared" si="84"/>
        <v>134.16999999999999</v>
      </c>
      <c r="S80" s="285">
        <f t="shared" si="75"/>
        <v>188.55</v>
      </c>
      <c r="T80" s="285">
        <f t="shared" si="59"/>
        <v>1933.29</v>
      </c>
      <c r="U80" s="285">
        <f t="shared" si="40"/>
        <v>5769.5399999999981</v>
      </c>
      <c r="V80" s="285">
        <f t="shared" si="41"/>
        <v>29663</v>
      </c>
      <c r="W80" s="285">
        <f t="shared" si="76"/>
        <v>255806.46</v>
      </c>
      <c r="X80" s="502">
        <f t="shared" ref="X80:X143" si="113">+A80</f>
        <v>46359</v>
      </c>
      <c r="Y80" s="285">
        <f t="shared" si="77"/>
        <v>320384.02000000008</v>
      </c>
      <c r="Z80" s="494">
        <f t="shared" si="104"/>
        <v>3.7499999999999999E-2</v>
      </c>
      <c r="AA80" s="285">
        <f t="shared" si="105"/>
        <v>1533.81</v>
      </c>
      <c r="AB80" s="285">
        <f t="shared" si="78"/>
        <v>532.6099999999999</v>
      </c>
      <c r="AC80" s="285">
        <f t="shared" si="106"/>
        <v>1001.2</v>
      </c>
      <c r="AD80" s="285">
        <f t="shared" ref="AD80:AE80" si="114">+AD79</f>
        <v>134.16999999999999</v>
      </c>
      <c r="AE80" s="285">
        <f t="shared" si="114"/>
        <v>188.55</v>
      </c>
      <c r="AF80" s="285">
        <f t="shared" si="80"/>
        <v>1856.53</v>
      </c>
      <c r="AG80" s="285">
        <f t="shared" si="81"/>
        <v>11341.99</v>
      </c>
      <c r="AH80" s="285">
        <f t="shared" si="82"/>
        <v>22401.83</v>
      </c>
      <c r="AI80" s="512">
        <f t="shared" si="64"/>
        <v>1688.7199999999998</v>
      </c>
      <c r="AJ80" s="512">
        <f t="shared" si="108"/>
        <v>-64044.950000000099</v>
      </c>
      <c r="AK80" s="512">
        <f t="shared" si="65"/>
        <v>-62356.230000000098</v>
      </c>
      <c r="AL80" s="285">
        <f t="shared" si="83"/>
        <v>319851.41000000009</v>
      </c>
      <c r="AM80" s="425">
        <f t="shared" ref="AM80:AM143" si="115">+L80</f>
        <v>1</v>
      </c>
      <c r="AN80" s="14">
        <f t="shared" si="66"/>
        <v>1160.29</v>
      </c>
      <c r="AO80" s="14">
        <f t="shared" si="50"/>
        <v>239215.29</v>
      </c>
      <c r="AP80" s="14">
        <f t="shared" si="67"/>
        <v>1083.53</v>
      </c>
      <c r="AS80" s="14">
        <f t="shared" si="109"/>
        <v>1160.29</v>
      </c>
      <c r="AT80" s="14">
        <f t="shared" ref="AT80:AT143" si="116">IF(W80&lt;=0,0,+AS80+AT79)</f>
        <v>25045.820000000011</v>
      </c>
      <c r="AU80" s="285">
        <f t="shared" ref="AU80:AU143" si="117">IF(W80&lt;=0,0,+($O$5+AV79)*$AQ$2/12)</f>
        <v>769.17061967703103</v>
      </c>
      <c r="AV80" s="285">
        <f t="shared" ref="AV80:AV143" si="118">IF(W80&lt;=0,0,+AV79+AU80)</f>
        <v>46861.418490489443</v>
      </c>
    </row>
    <row r="81" spans="1:50" x14ac:dyDescent="0.25">
      <c r="A81" s="502">
        <f t="shared" si="69"/>
        <v>46389</v>
      </c>
      <c r="B81" s="285">
        <f t="shared" si="110"/>
        <v>86512.409999999974</v>
      </c>
      <c r="C81" s="14">
        <f t="shared" si="101"/>
        <v>450.28</v>
      </c>
      <c r="D81" s="14">
        <f t="shared" ref="D81:D144" si="119">+C81-E81</f>
        <v>179.92999999999995</v>
      </c>
      <c r="E81" s="14">
        <f t="shared" si="102"/>
        <v>270.35000000000002</v>
      </c>
      <c r="F81" s="14">
        <f t="shared" si="51"/>
        <v>134.16999999999999</v>
      </c>
      <c r="G81" s="14">
        <f t="shared" si="52"/>
        <v>188.55</v>
      </c>
      <c r="H81" s="14">
        <f t="shared" si="54"/>
        <v>773</v>
      </c>
      <c r="I81" s="285">
        <f t="shared" si="70"/>
        <v>11199.36</v>
      </c>
      <c r="J81" s="285">
        <f t="shared" si="71"/>
        <v>19273.239999999998</v>
      </c>
      <c r="K81" s="285">
        <f t="shared" si="72"/>
        <v>86332.479999999981</v>
      </c>
      <c r="L81" s="425">
        <f t="shared" si="103"/>
        <v>1</v>
      </c>
      <c r="M81" s="425">
        <f t="shared" si="111"/>
        <v>22</v>
      </c>
      <c r="N81" s="285">
        <f t="shared" si="112"/>
        <v>255806.46</v>
      </c>
      <c r="O81" s="285">
        <f t="shared" si="73"/>
        <v>1610.57</v>
      </c>
      <c r="P81" s="285">
        <f t="shared" ref="P81:P144" si="120">+O81-Q81</f>
        <v>278.24</v>
      </c>
      <c r="Q81" s="285">
        <f t="shared" si="74"/>
        <v>1332.33</v>
      </c>
      <c r="R81" s="285">
        <f t="shared" si="84"/>
        <v>134.16999999999999</v>
      </c>
      <c r="S81" s="285">
        <f t="shared" si="75"/>
        <v>188.55</v>
      </c>
      <c r="T81" s="285">
        <f t="shared" si="59"/>
        <v>1933.29</v>
      </c>
      <c r="U81" s="285">
        <f t="shared" ref="U81:U144" si="121">+P81+U80</f>
        <v>6047.7799999999979</v>
      </c>
      <c r="V81" s="285">
        <f t="shared" ref="V81:V144" si="122">+V80+Q81</f>
        <v>30995.33</v>
      </c>
      <c r="W81" s="285">
        <f t="shared" si="76"/>
        <v>255528.22</v>
      </c>
      <c r="X81" s="502">
        <f t="shared" si="113"/>
        <v>46389</v>
      </c>
      <c r="Y81" s="285">
        <f t="shared" si="77"/>
        <v>319851.41000000009</v>
      </c>
      <c r="Z81" s="494">
        <f t="shared" si="104"/>
        <v>3.7499999999999999E-2</v>
      </c>
      <c r="AA81" s="285">
        <f t="shared" si="105"/>
        <v>1533.81</v>
      </c>
      <c r="AB81" s="285">
        <f t="shared" si="78"/>
        <v>534.27</v>
      </c>
      <c r="AC81" s="285">
        <f t="shared" si="106"/>
        <v>999.54</v>
      </c>
      <c r="AD81" s="285">
        <f t="shared" ref="AD81:AE81" si="123">+AD80</f>
        <v>134.16999999999999</v>
      </c>
      <c r="AE81" s="285">
        <f t="shared" si="123"/>
        <v>188.55</v>
      </c>
      <c r="AF81" s="285">
        <f t="shared" si="80"/>
        <v>1856.53</v>
      </c>
      <c r="AG81" s="285">
        <f t="shared" si="81"/>
        <v>11876.26</v>
      </c>
      <c r="AH81" s="285">
        <f t="shared" si="82"/>
        <v>23401.370000000003</v>
      </c>
      <c r="AI81" s="512">
        <f t="shared" si="64"/>
        <v>1765.4799999999998</v>
      </c>
      <c r="AJ81" s="512">
        <f t="shared" si="108"/>
        <v>-63788.920000000071</v>
      </c>
      <c r="AK81" s="512">
        <f t="shared" si="65"/>
        <v>-62023.440000000068</v>
      </c>
      <c r="AL81" s="285">
        <f t="shared" si="83"/>
        <v>319317.14000000007</v>
      </c>
      <c r="AM81" s="425">
        <f t="shared" si="115"/>
        <v>1</v>
      </c>
      <c r="AN81" s="14">
        <f t="shared" si="66"/>
        <v>1160.29</v>
      </c>
      <c r="AO81" s="14">
        <f t="shared" si="50"/>
        <v>239116.98</v>
      </c>
      <c r="AP81" s="14">
        <f t="shared" si="67"/>
        <v>1083.53</v>
      </c>
      <c r="AS81" s="14">
        <f t="shared" si="109"/>
        <v>1160.29</v>
      </c>
      <c r="AT81" s="14">
        <f t="shared" si="116"/>
        <v>26206.110000000011</v>
      </c>
      <c r="AU81" s="285">
        <f t="shared" si="117"/>
        <v>771.09354622622357</v>
      </c>
      <c r="AV81" s="285">
        <f t="shared" si="118"/>
        <v>47632.512036715663</v>
      </c>
    </row>
    <row r="82" spans="1:50" x14ac:dyDescent="0.25">
      <c r="A82" s="502">
        <f t="shared" si="69"/>
        <v>46419</v>
      </c>
      <c r="B82" s="285">
        <f t="shared" si="110"/>
        <v>86332.479999999981</v>
      </c>
      <c r="C82" s="14">
        <f t="shared" si="101"/>
        <v>450.28</v>
      </c>
      <c r="D82" s="14">
        <f t="shared" si="119"/>
        <v>180.48999999999995</v>
      </c>
      <c r="E82" s="14">
        <f t="shared" si="102"/>
        <v>269.79000000000002</v>
      </c>
      <c r="F82" s="14">
        <f t="shared" si="51"/>
        <v>134.16999999999999</v>
      </c>
      <c r="G82" s="14">
        <f t="shared" si="52"/>
        <v>188.55</v>
      </c>
      <c r="H82" s="14">
        <f t="shared" si="54"/>
        <v>773</v>
      </c>
      <c r="I82" s="285">
        <f t="shared" si="70"/>
        <v>11379.85</v>
      </c>
      <c r="J82" s="285">
        <f t="shared" si="71"/>
        <v>19543.03</v>
      </c>
      <c r="K82" s="285">
        <f t="shared" si="72"/>
        <v>86151.989999999976</v>
      </c>
      <c r="L82" s="425">
        <f t="shared" si="103"/>
        <v>1</v>
      </c>
      <c r="M82" s="425">
        <f t="shared" si="111"/>
        <v>23</v>
      </c>
      <c r="N82" s="285">
        <f t="shared" si="112"/>
        <v>255528.22</v>
      </c>
      <c r="O82" s="285">
        <f t="shared" si="73"/>
        <v>1610.57</v>
      </c>
      <c r="P82" s="285">
        <f t="shared" si="120"/>
        <v>279.68999999999983</v>
      </c>
      <c r="Q82" s="285">
        <f t="shared" si="74"/>
        <v>1330.88</v>
      </c>
      <c r="R82" s="285">
        <f t="shared" si="84"/>
        <v>134.16999999999999</v>
      </c>
      <c r="S82" s="285">
        <f t="shared" si="75"/>
        <v>188.55</v>
      </c>
      <c r="T82" s="285">
        <f t="shared" si="59"/>
        <v>1933.29</v>
      </c>
      <c r="U82" s="285">
        <f t="shared" si="121"/>
        <v>6327.4699999999975</v>
      </c>
      <c r="V82" s="285">
        <f t="shared" si="122"/>
        <v>32326.210000000003</v>
      </c>
      <c r="W82" s="285">
        <f t="shared" si="76"/>
        <v>255248.53</v>
      </c>
      <c r="X82" s="502">
        <f t="shared" si="113"/>
        <v>46419</v>
      </c>
      <c r="Y82" s="285">
        <f t="shared" si="77"/>
        <v>319317.14000000007</v>
      </c>
      <c r="Z82" s="494">
        <f t="shared" si="104"/>
        <v>3.7499999999999999E-2</v>
      </c>
      <c r="AA82" s="285">
        <f t="shared" si="105"/>
        <v>1533.81</v>
      </c>
      <c r="AB82" s="285">
        <f t="shared" si="78"/>
        <v>535.93999999999994</v>
      </c>
      <c r="AC82" s="285">
        <f t="shared" si="106"/>
        <v>997.87</v>
      </c>
      <c r="AD82" s="285">
        <f t="shared" ref="AD82:AE82" si="124">+AD81</f>
        <v>134.16999999999999</v>
      </c>
      <c r="AE82" s="285">
        <f t="shared" si="124"/>
        <v>188.55</v>
      </c>
      <c r="AF82" s="285">
        <f t="shared" si="80"/>
        <v>1856.53</v>
      </c>
      <c r="AG82" s="285">
        <f t="shared" si="81"/>
        <v>12412.2</v>
      </c>
      <c r="AH82" s="285">
        <f t="shared" si="82"/>
        <v>24399.24</v>
      </c>
      <c r="AI82" s="512">
        <f t="shared" si="64"/>
        <v>1842.2399999999998</v>
      </c>
      <c r="AJ82" s="512">
        <f t="shared" si="108"/>
        <v>-63532.670000000071</v>
      </c>
      <c r="AK82" s="512">
        <f t="shared" si="65"/>
        <v>-61690.430000000073</v>
      </c>
      <c r="AL82" s="285">
        <f t="shared" si="83"/>
        <v>318781.20000000007</v>
      </c>
      <c r="AM82" s="425">
        <f t="shared" si="115"/>
        <v>1</v>
      </c>
      <c r="AN82" s="14">
        <f t="shared" si="66"/>
        <v>1160.29</v>
      </c>
      <c r="AO82" s="14">
        <f t="shared" si="50"/>
        <v>239017.78000000003</v>
      </c>
      <c r="AP82" s="14">
        <f t="shared" si="67"/>
        <v>1083.53</v>
      </c>
      <c r="AS82" s="14">
        <f t="shared" si="109"/>
        <v>1160.29</v>
      </c>
      <c r="AT82" s="14">
        <f t="shared" si="116"/>
        <v>27366.400000000012</v>
      </c>
      <c r="AU82" s="285">
        <f t="shared" si="117"/>
        <v>773.02128009178898</v>
      </c>
      <c r="AV82" s="285">
        <f t="shared" si="118"/>
        <v>48405.53331680745</v>
      </c>
    </row>
    <row r="83" spans="1:50" x14ac:dyDescent="0.25">
      <c r="A83" s="502">
        <f t="shared" si="69"/>
        <v>46449</v>
      </c>
      <c r="B83" s="285">
        <f t="shared" si="110"/>
        <v>86151.989999999976</v>
      </c>
      <c r="C83" s="14">
        <f t="shared" si="101"/>
        <v>450.28</v>
      </c>
      <c r="D83" s="14">
        <f t="shared" si="119"/>
        <v>181.05999999999995</v>
      </c>
      <c r="E83" s="14">
        <f t="shared" si="102"/>
        <v>269.22000000000003</v>
      </c>
      <c r="F83" s="14">
        <f t="shared" si="51"/>
        <v>134.16999999999999</v>
      </c>
      <c r="G83" s="14">
        <f t="shared" si="52"/>
        <v>188.55</v>
      </c>
      <c r="H83" s="14">
        <f t="shared" si="54"/>
        <v>773</v>
      </c>
      <c r="I83" s="285">
        <f t="shared" si="70"/>
        <v>11560.91</v>
      </c>
      <c r="J83" s="285">
        <f t="shared" si="71"/>
        <v>19812.25</v>
      </c>
      <c r="K83" s="285">
        <f t="shared" si="72"/>
        <v>85970.929999999978</v>
      </c>
      <c r="L83" s="425">
        <f t="shared" si="103"/>
        <v>2</v>
      </c>
      <c r="M83" s="425">
        <f t="shared" si="111"/>
        <v>24</v>
      </c>
      <c r="N83" s="285">
        <f t="shared" si="112"/>
        <v>255248.53</v>
      </c>
      <c r="O83" s="285">
        <f t="shared" si="73"/>
        <v>1610.57</v>
      </c>
      <c r="P83" s="285">
        <f t="shared" si="120"/>
        <v>281.14999999999986</v>
      </c>
      <c r="Q83" s="285">
        <f t="shared" si="74"/>
        <v>1329.42</v>
      </c>
      <c r="R83" s="285">
        <f t="shared" si="84"/>
        <v>134.16999999999999</v>
      </c>
      <c r="S83" s="285">
        <f t="shared" si="75"/>
        <v>188.55</v>
      </c>
      <c r="T83" s="285">
        <f t="shared" si="59"/>
        <v>1933.29</v>
      </c>
      <c r="U83" s="285">
        <f t="shared" si="121"/>
        <v>6608.6199999999972</v>
      </c>
      <c r="V83" s="285">
        <f t="shared" si="122"/>
        <v>33655.630000000005</v>
      </c>
      <c r="W83" s="285">
        <f t="shared" si="76"/>
        <v>254967.38</v>
      </c>
      <c r="X83" s="502">
        <f t="shared" si="113"/>
        <v>46449</v>
      </c>
      <c r="Y83" s="285">
        <f t="shared" si="77"/>
        <v>318781.20000000007</v>
      </c>
      <c r="Z83" s="494">
        <f t="shared" si="104"/>
        <v>3.7499999999999999E-2</v>
      </c>
      <c r="AA83" s="285">
        <f t="shared" si="105"/>
        <v>1533.81</v>
      </c>
      <c r="AB83" s="285">
        <f t="shared" si="78"/>
        <v>537.61999999999989</v>
      </c>
      <c r="AC83" s="285">
        <f t="shared" si="106"/>
        <v>996.19</v>
      </c>
      <c r="AD83" s="285">
        <f t="shared" ref="AD83:AE83" si="125">+AD82</f>
        <v>134.16999999999999</v>
      </c>
      <c r="AE83" s="285">
        <f t="shared" si="125"/>
        <v>188.55</v>
      </c>
      <c r="AF83" s="285">
        <f t="shared" si="80"/>
        <v>1856.53</v>
      </c>
      <c r="AG83" s="285">
        <f t="shared" si="81"/>
        <v>12949.82</v>
      </c>
      <c r="AH83" s="285">
        <f t="shared" si="82"/>
        <v>25395.43</v>
      </c>
      <c r="AI83" s="512">
        <f t="shared" si="64"/>
        <v>1918.9999999999998</v>
      </c>
      <c r="AJ83" s="512">
        <f t="shared" si="108"/>
        <v>-63276.20000000007</v>
      </c>
      <c r="AK83" s="512">
        <f t="shared" si="65"/>
        <v>-61357.20000000007</v>
      </c>
      <c r="AL83" s="285">
        <f t="shared" si="83"/>
        <v>318243.58000000007</v>
      </c>
      <c r="AM83" s="425">
        <f t="shared" si="115"/>
        <v>2</v>
      </c>
      <c r="AN83" s="14">
        <f t="shared" si="66"/>
        <v>1160.29</v>
      </c>
      <c r="AO83" s="14">
        <f t="shared" si="50"/>
        <v>238917.69000000003</v>
      </c>
      <c r="AP83" s="14">
        <f t="shared" si="67"/>
        <v>1083.53</v>
      </c>
      <c r="AS83" s="14">
        <f t="shared" si="109"/>
        <v>1160.29</v>
      </c>
      <c r="AT83" s="14">
        <f t="shared" si="116"/>
        <v>28526.690000000013</v>
      </c>
      <c r="AU83" s="285">
        <f t="shared" si="117"/>
        <v>774.95383329201866</v>
      </c>
      <c r="AV83" s="285">
        <f t="shared" si="118"/>
        <v>49180.48715009947</v>
      </c>
      <c r="AX83" s="479"/>
    </row>
    <row r="84" spans="1:50" x14ac:dyDescent="0.25">
      <c r="A84" s="502">
        <f t="shared" si="69"/>
        <v>46479</v>
      </c>
      <c r="B84" s="285">
        <f t="shared" si="110"/>
        <v>85970.929999999978</v>
      </c>
      <c r="C84" s="14">
        <f t="shared" si="101"/>
        <v>450.28</v>
      </c>
      <c r="D84" s="14">
        <f t="shared" si="119"/>
        <v>181.61999999999995</v>
      </c>
      <c r="E84" s="14">
        <f t="shared" si="102"/>
        <v>268.66000000000003</v>
      </c>
      <c r="F84" s="14">
        <f t="shared" si="51"/>
        <v>134.16999999999999</v>
      </c>
      <c r="G84" s="14">
        <f t="shared" si="52"/>
        <v>188.55</v>
      </c>
      <c r="H84" s="14">
        <f t="shared" si="54"/>
        <v>773</v>
      </c>
      <c r="I84" s="285">
        <f t="shared" si="70"/>
        <v>11742.53</v>
      </c>
      <c r="J84" s="285">
        <f t="shared" si="71"/>
        <v>20080.91</v>
      </c>
      <c r="K84" s="285">
        <f t="shared" si="72"/>
        <v>85789.309999999983</v>
      </c>
      <c r="L84" s="425">
        <f t="shared" si="103"/>
        <v>2</v>
      </c>
      <c r="M84" s="425">
        <f t="shared" si="111"/>
        <v>25</v>
      </c>
      <c r="N84" s="285">
        <f t="shared" si="112"/>
        <v>254967.38</v>
      </c>
      <c r="O84" s="285">
        <f t="shared" si="73"/>
        <v>1610.57</v>
      </c>
      <c r="P84" s="285">
        <f t="shared" si="120"/>
        <v>282.6099999999999</v>
      </c>
      <c r="Q84" s="285">
        <f t="shared" si="74"/>
        <v>1327.96</v>
      </c>
      <c r="R84" s="285">
        <f t="shared" si="84"/>
        <v>134.16999999999999</v>
      </c>
      <c r="S84" s="285">
        <f t="shared" si="75"/>
        <v>188.55</v>
      </c>
      <c r="T84" s="285">
        <f t="shared" si="59"/>
        <v>1933.29</v>
      </c>
      <c r="U84" s="285">
        <f t="shared" si="121"/>
        <v>6891.2299999999968</v>
      </c>
      <c r="V84" s="285">
        <f t="shared" si="122"/>
        <v>34983.590000000004</v>
      </c>
      <c r="W84" s="285">
        <f t="shared" si="76"/>
        <v>254684.77000000002</v>
      </c>
      <c r="X84" s="502">
        <f t="shared" si="113"/>
        <v>46479</v>
      </c>
      <c r="Y84" s="285">
        <f t="shared" si="77"/>
        <v>318243.58000000007</v>
      </c>
      <c r="Z84" s="494">
        <f t="shared" si="104"/>
        <v>3.7499999999999999E-2</v>
      </c>
      <c r="AA84" s="285">
        <f t="shared" si="105"/>
        <v>1533.81</v>
      </c>
      <c r="AB84" s="285">
        <f t="shared" si="78"/>
        <v>539.29999999999995</v>
      </c>
      <c r="AC84" s="285">
        <f t="shared" si="106"/>
        <v>994.51</v>
      </c>
      <c r="AD84" s="285">
        <f t="shared" ref="AD84:AE84" si="126">+AD83</f>
        <v>134.16999999999999</v>
      </c>
      <c r="AE84" s="285">
        <f t="shared" si="126"/>
        <v>188.55</v>
      </c>
      <c r="AF84" s="285">
        <f t="shared" si="80"/>
        <v>1856.53</v>
      </c>
      <c r="AG84" s="285">
        <f t="shared" si="81"/>
        <v>13489.119999999999</v>
      </c>
      <c r="AH84" s="285">
        <f t="shared" si="82"/>
        <v>26389.94</v>
      </c>
      <c r="AI84" s="512">
        <f t="shared" si="64"/>
        <v>1995.7599999999998</v>
      </c>
      <c r="AJ84" s="512">
        <f t="shared" si="108"/>
        <v>-63019.510000000068</v>
      </c>
      <c r="AK84" s="512">
        <f t="shared" si="65"/>
        <v>-61023.750000000065</v>
      </c>
      <c r="AL84" s="285">
        <f t="shared" si="83"/>
        <v>317704.28000000009</v>
      </c>
      <c r="AM84" s="425">
        <f t="shared" si="115"/>
        <v>2</v>
      </c>
      <c r="AN84" s="14">
        <f t="shared" si="66"/>
        <v>1160.29</v>
      </c>
      <c r="AO84" s="14">
        <f t="shared" si="50"/>
        <v>238816.7</v>
      </c>
      <c r="AP84" s="14">
        <f t="shared" si="67"/>
        <v>1083.53</v>
      </c>
      <c r="AS84" s="14">
        <f t="shared" si="109"/>
        <v>1160.29</v>
      </c>
      <c r="AT84" s="14">
        <f t="shared" si="116"/>
        <v>29686.980000000014</v>
      </c>
      <c r="AU84" s="285">
        <f t="shared" si="117"/>
        <v>776.89121787524857</v>
      </c>
      <c r="AV84" s="285">
        <f t="shared" si="118"/>
        <v>49957.378367974721</v>
      </c>
      <c r="AX84" s="479"/>
    </row>
    <row r="85" spans="1:50" x14ac:dyDescent="0.25">
      <c r="A85" s="502">
        <f t="shared" si="69"/>
        <v>46509</v>
      </c>
      <c r="B85" s="285">
        <f t="shared" si="110"/>
        <v>85789.309999999983</v>
      </c>
      <c r="C85" s="14">
        <f t="shared" si="101"/>
        <v>450.28</v>
      </c>
      <c r="D85" s="14">
        <f t="shared" si="119"/>
        <v>182.19</v>
      </c>
      <c r="E85" s="14">
        <f t="shared" si="102"/>
        <v>268.08999999999997</v>
      </c>
      <c r="F85" s="14">
        <f t="shared" si="51"/>
        <v>134.16999999999999</v>
      </c>
      <c r="G85" s="14">
        <f t="shared" si="52"/>
        <v>188.55</v>
      </c>
      <c r="H85" s="14">
        <f t="shared" si="54"/>
        <v>773</v>
      </c>
      <c r="I85" s="285">
        <f t="shared" si="70"/>
        <v>11924.720000000001</v>
      </c>
      <c r="J85" s="285">
        <f t="shared" si="71"/>
        <v>20349</v>
      </c>
      <c r="K85" s="285">
        <f t="shared" si="72"/>
        <v>85607.119999999981</v>
      </c>
      <c r="L85" s="425">
        <f t="shared" si="103"/>
        <v>2</v>
      </c>
      <c r="M85" s="425">
        <f t="shared" si="111"/>
        <v>26</v>
      </c>
      <c r="N85" s="285">
        <f t="shared" si="112"/>
        <v>254684.77000000002</v>
      </c>
      <c r="O85" s="285">
        <f t="shared" si="73"/>
        <v>1610.57</v>
      </c>
      <c r="P85" s="285">
        <f t="shared" si="120"/>
        <v>284.08999999999992</v>
      </c>
      <c r="Q85" s="285">
        <f t="shared" si="74"/>
        <v>1326.48</v>
      </c>
      <c r="R85" s="285">
        <f t="shared" si="84"/>
        <v>134.16999999999999</v>
      </c>
      <c r="S85" s="285">
        <f t="shared" si="75"/>
        <v>188.55</v>
      </c>
      <c r="T85" s="285">
        <f t="shared" si="59"/>
        <v>1933.29</v>
      </c>
      <c r="U85" s="285">
        <f t="shared" si="121"/>
        <v>7175.319999999997</v>
      </c>
      <c r="V85" s="285">
        <f t="shared" si="122"/>
        <v>36310.070000000007</v>
      </c>
      <c r="W85" s="285">
        <f t="shared" si="76"/>
        <v>254400.68000000002</v>
      </c>
      <c r="X85" s="502">
        <f t="shared" si="113"/>
        <v>46509</v>
      </c>
      <c r="Y85" s="285">
        <f t="shared" si="77"/>
        <v>317704.28000000009</v>
      </c>
      <c r="Z85" s="494">
        <f t="shared" si="104"/>
        <v>3.7499999999999999E-2</v>
      </c>
      <c r="AA85" s="285">
        <f t="shared" si="105"/>
        <v>1533.81</v>
      </c>
      <c r="AB85" s="285">
        <f t="shared" si="78"/>
        <v>540.9799999999999</v>
      </c>
      <c r="AC85" s="285">
        <f t="shared" si="106"/>
        <v>992.83</v>
      </c>
      <c r="AD85" s="285">
        <f t="shared" ref="AD85:AE85" si="127">+AD84</f>
        <v>134.16999999999999</v>
      </c>
      <c r="AE85" s="285">
        <f t="shared" si="127"/>
        <v>188.55</v>
      </c>
      <c r="AF85" s="285">
        <f t="shared" si="80"/>
        <v>1856.53</v>
      </c>
      <c r="AG85" s="285">
        <f t="shared" si="81"/>
        <v>14030.099999999999</v>
      </c>
      <c r="AH85" s="285">
        <f t="shared" si="82"/>
        <v>27382.77</v>
      </c>
      <c r="AI85" s="512">
        <f t="shared" si="64"/>
        <v>2072.5199999999995</v>
      </c>
      <c r="AJ85" s="512">
        <f t="shared" si="108"/>
        <v>-62762.620000000083</v>
      </c>
      <c r="AK85" s="512">
        <f t="shared" si="65"/>
        <v>-60690.100000000086</v>
      </c>
      <c r="AL85" s="285">
        <f t="shared" si="83"/>
        <v>317163.3000000001</v>
      </c>
      <c r="AM85" s="425">
        <f t="shared" si="115"/>
        <v>2</v>
      </c>
      <c r="AN85" s="14">
        <f t="shared" si="66"/>
        <v>1160.29</v>
      </c>
      <c r="AO85" s="14">
        <f t="shared" si="50"/>
        <v>238714.80000000002</v>
      </c>
      <c r="AP85" s="14">
        <f t="shared" si="67"/>
        <v>1083.53</v>
      </c>
      <c r="AS85" s="14">
        <f t="shared" si="109"/>
        <v>1160.29</v>
      </c>
      <c r="AT85" s="14">
        <f t="shared" si="116"/>
        <v>30847.270000000015</v>
      </c>
      <c r="AU85" s="285">
        <f t="shared" si="117"/>
        <v>778.83344591993682</v>
      </c>
      <c r="AV85" s="285">
        <f t="shared" si="118"/>
        <v>50736.211813894661</v>
      </c>
    </row>
    <row r="86" spans="1:50" ht="15.75" thickBot="1" x14ac:dyDescent="0.3">
      <c r="A86" s="505">
        <f t="shared" si="69"/>
        <v>46539</v>
      </c>
      <c r="B86" s="345">
        <f t="shared" si="110"/>
        <v>85607.119999999981</v>
      </c>
      <c r="C86" s="21">
        <f t="shared" si="101"/>
        <v>450.28</v>
      </c>
      <c r="D86" s="21">
        <f t="shared" si="119"/>
        <v>182.76</v>
      </c>
      <c r="E86" s="21">
        <f t="shared" si="102"/>
        <v>267.52</v>
      </c>
      <c r="F86" s="21">
        <f t="shared" si="51"/>
        <v>134.16999999999999</v>
      </c>
      <c r="G86" s="21">
        <f t="shared" si="52"/>
        <v>188.55</v>
      </c>
      <c r="H86" s="21">
        <f t="shared" si="54"/>
        <v>773</v>
      </c>
      <c r="I86" s="345">
        <f t="shared" si="70"/>
        <v>12107.480000000001</v>
      </c>
      <c r="J86" s="345">
        <f t="shared" si="71"/>
        <v>20616.52</v>
      </c>
      <c r="K86" s="345">
        <f t="shared" si="72"/>
        <v>85424.359999999986</v>
      </c>
      <c r="L86" s="426">
        <f t="shared" si="103"/>
        <v>2</v>
      </c>
      <c r="M86" s="426">
        <f t="shared" si="111"/>
        <v>27</v>
      </c>
      <c r="N86" s="345">
        <f t="shared" si="112"/>
        <v>254400.68000000002</v>
      </c>
      <c r="O86" s="345">
        <f t="shared" si="73"/>
        <v>1610.57</v>
      </c>
      <c r="P86" s="345">
        <f t="shared" si="120"/>
        <v>285.56999999999994</v>
      </c>
      <c r="Q86" s="345">
        <f t="shared" si="74"/>
        <v>1325</v>
      </c>
      <c r="R86" s="345">
        <f t="shared" si="84"/>
        <v>134.16999999999999</v>
      </c>
      <c r="S86" s="345">
        <f t="shared" si="75"/>
        <v>188.55</v>
      </c>
      <c r="T86" s="345">
        <f t="shared" si="59"/>
        <v>1933.29</v>
      </c>
      <c r="U86" s="345">
        <f t="shared" si="121"/>
        <v>7460.8899999999967</v>
      </c>
      <c r="V86" s="345">
        <f t="shared" si="122"/>
        <v>37635.070000000007</v>
      </c>
      <c r="W86" s="345">
        <f t="shared" si="76"/>
        <v>254115.11000000002</v>
      </c>
      <c r="X86" s="505">
        <f t="shared" si="113"/>
        <v>46539</v>
      </c>
      <c r="Y86" s="345">
        <f t="shared" si="77"/>
        <v>317163.3000000001</v>
      </c>
      <c r="Z86" s="495">
        <f t="shared" si="104"/>
        <v>3.7499999999999999E-2</v>
      </c>
      <c r="AA86" s="345">
        <f t="shared" si="105"/>
        <v>1533.81</v>
      </c>
      <c r="AB86" s="345">
        <f t="shared" si="78"/>
        <v>542.66999999999996</v>
      </c>
      <c r="AC86" s="345">
        <f t="shared" si="106"/>
        <v>991.14</v>
      </c>
      <c r="AD86" s="345">
        <f t="shared" ref="AD86:AE86" si="128">+AD85</f>
        <v>134.16999999999999</v>
      </c>
      <c r="AE86" s="345">
        <f t="shared" si="128"/>
        <v>188.55</v>
      </c>
      <c r="AF86" s="345">
        <f t="shared" si="80"/>
        <v>1856.53</v>
      </c>
      <c r="AG86" s="345">
        <f t="shared" si="81"/>
        <v>14572.769999999999</v>
      </c>
      <c r="AH86" s="345">
        <f t="shared" si="82"/>
        <v>28373.91</v>
      </c>
      <c r="AI86" s="513">
        <f t="shared" si="64"/>
        <v>2149.2799999999997</v>
      </c>
      <c r="AJ86" s="513">
        <f t="shared" si="108"/>
        <v>-62505.520000000106</v>
      </c>
      <c r="AK86" s="513">
        <f t="shared" si="65"/>
        <v>-60356.240000000107</v>
      </c>
      <c r="AL86" s="345">
        <f t="shared" si="83"/>
        <v>316620.63000000012</v>
      </c>
      <c r="AM86" s="426">
        <f t="shared" si="115"/>
        <v>2</v>
      </c>
      <c r="AN86" s="21">
        <f t="shared" si="66"/>
        <v>1160.29</v>
      </c>
      <c r="AO86" s="21">
        <f t="shared" si="50"/>
        <v>238611.99000000005</v>
      </c>
      <c r="AP86" s="21">
        <f t="shared" si="67"/>
        <v>1083.53</v>
      </c>
      <c r="AQ86" s="21"/>
      <c r="AR86" s="23"/>
      <c r="AS86" s="21">
        <f t="shared" si="109"/>
        <v>1160.29</v>
      </c>
      <c r="AT86" s="21">
        <f t="shared" si="116"/>
        <v>32007.560000000016</v>
      </c>
      <c r="AU86" s="345">
        <f t="shared" si="117"/>
        <v>780.78052953473662</v>
      </c>
      <c r="AV86" s="345">
        <f t="shared" si="118"/>
        <v>51516.992343429396</v>
      </c>
    </row>
    <row r="87" spans="1:50" x14ac:dyDescent="0.25">
      <c r="A87" s="502">
        <f t="shared" si="69"/>
        <v>46569</v>
      </c>
      <c r="B87" s="285">
        <f t="shared" si="110"/>
        <v>85424.359999999986</v>
      </c>
      <c r="C87" s="14">
        <f t="shared" si="101"/>
        <v>450.28</v>
      </c>
      <c r="D87" s="14">
        <f t="shared" si="119"/>
        <v>183.32999999999998</v>
      </c>
      <c r="E87" s="14">
        <f t="shared" si="102"/>
        <v>266.95</v>
      </c>
      <c r="F87" s="14">
        <f t="shared" si="51"/>
        <v>134.16999999999999</v>
      </c>
      <c r="G87" s="14">
        <f t="shared" si="52"/>
        <v>188.55</v>
      </c>
      <c r="H87" s="14">
        <f t="shared" si="54"/>
        <v>773</v>
      </c>
      <c r="I87" s="285">
        <f t="shared" si="70"/>
        <v>12290.810000000001</v>
      </c>
      <c r="J87" s="285">
        <f t="shared" si="71"/>
        <v>20883.47</v>
      </c>
      <c r="K87" s="285">
        <f t="shared" si="72"/>
        <v>85241.029999999984</v>
      </c>
      <c r="L87" s="425">
        <f t="shared" si="103"/>
        <v>2</v>
      </c>
      <c r="M87" s="425">
        <f t="shared" si="111"/>
        <v>28</v>
      </c>
      <c r="N87" s="285">
        <f t="shared" si="112"/>
        <v>254115.11000000002</v>
      </c>
      <c r="O87" s="285">
        <f t="shared" si="73"/>
        <v>1610.57</v>
      </c>
      <c r="P87" s="285">
        <f t="shared" si="120"/>
        <v>287.04999999999995</v>
      </c>
      <c r="Q87" s="285">
        <f t="shared" si="74"/>
        <v>1323.52</v>
      </c>
      <c r="R87" s="285">
        <f t="shared" si="84"/>
        <v>134.16999999999999</v>
      </c>
      <c r="S87" s="285">
        <f t="shared" si="75"/>
        <v>188.55</v>
      </c>
      <c r="T87" s="285">
        <f t="shared" si="59"/>
        <v>1933.29</v>
      </c>
      <c r="U87" s="285">
        <f t="shared" si="121"/>
        <v>7747.9399999999969</v>
      </c>
      <c r="V87" s="285">
        <f t="shared" si="122"/>
        <v>38958.590000000004</v>
      </c>
      <c r="W87" s="285">
        <f t="shared" si="76"/>
        <v>253828.06000000003</v>
      </c>
      <c r="X87" s="502">
        <f t="shared" si="113"/>
        <v>46569</v>
      </c>
      <c r="Y87" s="285">
        <f t="shared" si="77"/>
        <v>316620.63000000012</v>
      </c>
      <c r="Z87" s="494">
        <f t="shared" si="104"/>
        <v>3.7499999999999999E-2</v>
      </c>
      <c r="AA87" s="285">
        <f t="shared" si="105"/>
        <v>1533.81</v>
      </c>
      <c r="AB87" s="285">
        <f t="shared" si="78"/>
        <v>544.36999999999989</v>
      </c>
      <c r="AC87" s="285">
        <f t="shared" si="106"/>
        <v>989.44</v>
      </c>
      <c r="AD87" s="285">
        <f t="shared" ref="AD87:AE87" si="129">+AD86</f>
        <v>134.16999999999999</v>
      </c>
      <c r="AE87" s="285">
        <f t="shared" si="129"/>
        <v>188.55</v>
      </c>
      <c r="AF87" s="285">
        <f t="shared" si="80"/>
        <v>1856.53</v>
      </c>
      <c r="AG87" s="285">
        <f t="shared" si="81"/>
        <v>15117.14</v>
      </c>
      <c r="AH87" s="285">
        <f t="shared" si="82"/>
        <v>29363.35</v>
      </c>
      <c r="AI87" s="512">
        <f t="shared" si="64"/>
        <v>2226.04</v>
      </c>
      <c r="AJ87" s="512">
        <f t="shared" si="108"/>
        <v>-62248.200000000099</v>
      </c>
      <c r="AK87" s="512">
        <f t="shared" si="65"/>
        <v>-60022.160000000098</v>
      </c>
      <c r="AL87" s="285">
        <f t="shared" si="83"/>
        <v>316076.26000000013</v>
      </c>
      <c r="AM87" s="425">
        <f t="shared" si="115"/>
        <v>2</v>
      </c>
      <c r="AN87" s="14">
        <f t="shared" si="66"/>
        <v>1160.29</v>
      </c>
      <c r="AO87" s="14">
        <f t="shared" si="50"/>
        <v>238508.27000000002</v>
      </c>
      <c r="AP87" s="14">
        <f t="shared" si="67"/>
        <v>1083.53</v>
      </c>
      <c r="AS87" s="14">
        <f t="shared" si="109"/>
        <v>1160.29</v>
      </c>
      <c r="AT87" s="14">
        <f t="shared" si="116"/>
        <v>33167.850000000013</v>
      </c>
      <c r="AU87" s="285">
        <f t="shared" si="117"/>
        <v>782.73248085857358</v>
      </c>
      <c r="AV87" s="285">
        <f t="shared" si="118"/>
        <v>52299.724824287972</v>
      </c>
    </row>
    <row r="88" spans="1:50" x14ac:dyDescent="0.25">
      <c r="A88" s="502">
        <f t="shared" si="69"/>
        <v>46599</v>
      </c>
      <c r="B88" s="285">
        <f t="shared" si="110"/>
        <v>85241.029999999984</v>
      </c>
      <c r="C88" s="14">
        <f t="shared" si="101"/>
        <v>450.28</v>
      </c>
      <c r="D88" s="14">
        <f t="shared" si="119"/>
        <v>183.89999999999998</v>
      </c>
      <c r="E88" s="14">
        <f t="shared" si="102"/>
        <v>266.38</v>
      </c>
      <c r="F88" s="14">
        <f t="shared" si="51"/>
        <v>134.16999999999999</v>
      </c>
      <c r="G88" s="14">
        <f t="shared" si="52"/>
        <v>188.55</v>
      </c>
      <c r="H88" s="14">
        <f t="shared" si="54"/>
        <v>773</v>
      </c>
      <c r="I88" s="285">
        <f t="shared" si="70"/>
        <v>12474.710000000001</v>
      </c>
      <c r="J88" s="285">
        <f t="shared" si="71"/>
        <v>21149.850000000002</v>
      </c>
      <c r="K88" s="285">
        <f t="shared" si="72"/>
        <v>85057.12999999999</v>
      </c>
      <c r="L88" s="425">
        <f t="shared" si="103"/>
        <v>2</v>
      </c>
      <c r="M88" s="425">
        <f t="shared" si="111"/>
        <v>29</v>
      </c>
      <c r="N88" s="285">
        <f t="shared" si="112"/>
        <v>253828.06000000003</v>
      </c>
      <c r="O88" s="285">
        <f t="shared" si="73"/>
        <v>1610.57</v>
      </c>
      <c r="P88" s="285">
        <f t="shared" si="120"/>
        <v>288.54999999999995</v>
      </c>
      <c r="Q88" s="285">
        <f t="shared" si="74"/>
        <v>1322.02</v>
      </c>
      <c r="R88" s="285">
        <f t="shared" si="84"/>
        <v>134.16999999999999</v>
      </c>
      <c r="S88" s="285">
        <f t="shared" si="75"/>
        <v>188.55</v>
      </c>
      <c r="T88" s="285">
        <f t="shared" si="59"/>
        <v>1933.29</v>
      </c>
      <c r="U88" s="285">
        <f t="shared" si="121"/>
        <v>8036.4899999999971</v>
      </c>
      <c r="V88" s="285">
        <f t="shared" si="122"/>
        <v>40280.61</v>
      </c>
      <c r="W88" s="285">
        <f t="shared" si="76"/>
        <v>253539.51000000004</v>
      </c>
      <c r="X88" s="502">
        <f t="shared" si="113"/>
        <v>46599</v>
      </c>
      <c r="Y88" s="285">
        <f t="shared" si="77"/>
        <v>316076.26000000013</v>
      </c>
      <c r="Z88" s="494">
        <f t="shared" si="104"/>
        <v>3.7499999999999999E-2</v>
      </c>
      <c r="AA88" s="285">
        <f t="shared" si="105"/>
        <v>1533.81</v>
      </c>
      <c r="AB88" s="285">
        <f t="shared" si="78"/>
        <v>546.06999999999994</v>
      </c>
      <c r="AC88" s="285">
        <f t="shared" si="106"/>
        <v>987.74</v>
      </c>
      <c r="AD88" s="285">
        <f t="shared" ref="AD88:AE88" si="130">+AD87</f>
        <v>134.16999999999999</v>
      </c>
      <c r="AE88" s="285">
        <f t="shared" si="130"/>
        <v>188.55</v>
      </c>
      <c r="AF88" s="285">
        <f t="shared" si="80"/>
        <v>1856.53</v>
      </c>
      <c r="AG88" s="285">
        <f t="shared" si="81"/>
        <v>15663.21</v>
      </c>
      <c r="AH88" s="285">
        <f t="shared" si="82"/>
        <v>30351.09</v>
      </c>
      <c r="AI88" s="512">
        <f t="shared" si="64"/>
        <v>2302.8000000000002</v>
      </c>
      <c r="AJ88" s="512">
        <f t="shared" si="108"/>
        <v>-61990.68000000008</v>
      </c>
      <c r="AK88" s="512">
        <f t="shared" si="65"/>
        <v>-59687.880000000077</v>
      </c>
      <c r="AL88" s="285">
        <f t="shared" si="83"/>
        <v>315530.19000000012</v>
      </c>
      <c r="AM88" s="425">
        <f t="shared" si="115"/>
        <v>2</v>
      </c>
      <c r="AN88" s="14">
        <f t="shared" si="66"/>
        <v>1160.29</v>
      </c>
      <c r="AO88" s="14">
        <f t="shared" si="50"/>
        <v>238403.62000000002</v>
      </c>
      <c r="AP88" s="14">
        <f t="shared" si="67"/>
        <v>1083.53</v>
      </c>
      <c r="AS88" s="14">
        <f t="shared" si="109"/>
        <v>1160.29</v>
      </c>
      <c r="AT88" s="14">
        <f t="shared" si="116"/>
        <v>34328.140000000014</v>
      </c>
      <c r="AU88" s="285">
        <f t="shared" si="117"/>
        <v>784.68931206072</v>
      </c>
      <c r="AV88" s="285">
        <f t="shared" si="118"/>
        <v>53084.414136348692</v>
      </c>
    </row>
    <row r="89" spans="1:50" x14ac:dyDescent="0.25">
      <c r="A89" s="502">
        <f t="shared" si="69"/>
        <v>46629</v>
      </c>
      <c r="B89" s="285">
        <f t="shared" si="110"/>
        <v>85057.12999999999</v>
      </c>
      <c r="C89" s="14">
        <f t="shared" si="101"/>
        <v>450.28</v>
      </c>
      <c r="D89" s="14">
        <f t="shared" si="119"/>
        <v>184.47999999999996</v>
      </c>
      <c r="E89" s="14">
        <f t="shared" si="102"/>
        <v>265.8</v>
      </c>
      <c r="F89" s="14">
        <f t="shared" si="51"/>
        <v>134.16999999999999</v>
      </c>
      <c r="G89" s="14">
        <f t="shared" si="52"/>
        <v>188.55</v>
      </c>
      <c r="H89" s="14">
        <f t="shared" si="54"/>
        <v>773</v>
      </c>
      <c r="I89" s="285">
        <f t="shared" si="70"/>
        <v>12659.19</v>
      </c>
      <c r="J89" s="285">
        <f t="shared" si="71"/>
        <v>21415.65</v>
      </c>
      <c r="K89" s="285">
        <f t="shared" si="72"/>
        <v>84872.65</v>
      </c>
      <c r="L89" s="425">
        <f t="shared" si="103"/>
        <v>2</v>
      </c>
      <c r="M89" s="425">
        <f t="shared" si="111"/>
        <v>30</v>
      </c>
      <c r="N89" s="285">
        <f t="shared" si="112"/>
        <v>253539.51000000004</v>
      </c>
      <c r="O89" s="285">
        <f t="shared" si="73"/>
        <v>1610.57</v>
      </c>
      <c r="P89" s="285">
        <f t="shared" si="120"/>
        <v>290.04999999999995</v>
      </c>
      <c r="Q89" s="285">
        <f t="shared" si="74"/>
        <v>1320.52</v>
      </c>
      <c r="R89" s="285">
        <f t="shared" si="84"/>
        <v>134.16999999999999</v>
      </c>
      <c r="S89" s="285">
        <f t="shared" si="75"/>
        <v>188.55</v>
      </c>
      <c r="T89" s="285">
        <f t="shared" si="59"/>
        <v>1933.29</v>
      </c>
      <c r="U89" s="285">
        <f t="shared" si="121"/>
        <v>8326.5399999999972</v>
      </c>
      <c r="V89" s="285">
        <f t="shared" si="122"/>
        <v>41601.129999999997</v>
      </c>
      <c r="W89" s="285">
        <f t="shared" si="76"/>
        <v>253249.46000000005</v>
      </c>
      <c r="X89" s="502">
        <f t="shared" si="113"/>
        <v>46629</v>
      </c>
      <c r="Y89" s="285">
        <f t="shared" si="77"/>
        <v>315530.19000000012</v>
      </c>
      <c r="Z89" s="494">
        <f t="shared" si="104"/>
        <v>3.7499999999999999E-2</v>
      </c>
      <c r="AA89" s="285">
        <f t="shared" si="105"/>
        <v>1533.81</v>
      </c>
      <c r="AB89" s="285">
        <f t="shared" si="78"/>
        <v>547.78</v>
      </c>
      <c r="AC89" s="285">
        <f t="shared" si="106"/>
        <v>986.03</v>
      </c>
      <c r="AD89" s="285">
        <f t="shared" ref="AD89:AE89" si="131">+AD88</f>
        <v>134.16999999999999</v>
      </c>
      <c r="AE89" s="285">
        <f t="shared" si="131"/>
        <v>188.55</v>
      </c>
      <c r="AF89" s="285">
        <f t="shared" si="80"/>
        <v>1856.53</v>
      </c>
      <c r="AG89" s="285">
        <f t="shared" si="81"/>
        <v>16210.99</v>
      </c>
      <c r="AH89" s="285">
        <f t="shared" si="82"/>
        <v>31337.119999999999</v>
      </c>
      <c r="AI89" s="512">
        <f t="shared" si="64"/>
        <v>2379.5600000000004</v>
      </c>
      <c r="AJ89" s="512">
        <f t="shared" si="108"/>
        <v>-61732.950000000041</v>
      </c>
      <c r="AK89" s="512">
        <f t="shared" si="65"/>
        <v>-59353.390000000043</v>
      </c>
      <c r="AL89" s="285">
        <f t="shared" si="83"/>
        <v>314982.41000000009</v>
      </c>
      <c r="AM89" s="425">
        <f t="shared" si="115"/>
        <v>2</v>
      </c>
      <c r="AN89" s="14">
        <f t="shared" si="66"/>
        <v>1160.29</v>
      </c>
      <c r="AO89" s="14">
        <f t="shared" si="50"/>
        <v>238298.05000000002</v>
      </c>
      <c r="AP89" s="14">
        <f t="shared" si="67"/>
        <v>1083.53</v>
      </c>
      <c r="AS89" s="14">
        <f t="shared" si="109"/>
        <v>1160.29</v>
      </c>
      <c r="AT89" s="14">
        <f t="shared" si="116"/>
        <v>35488.430000000015</v>
      </c>
      <c r="AU89" s="285">
        <f t="shared" si="117"/>
        <v>786.65103534087166</v>
      </c>
      <c r="AV89" s="285">
        <f t="shared" si="118"/>
        <v>53871.065171689566</v>
      </c>
    </row>
    <row r="90" spans="1:50" x14ac:dyDescent="0.25">
      <c r="A90" s="502">
        <f t="shared" si="69"/>
        <v>46659</v>
      </c>
      <c r="B90" s="285">
        <f t="shared" si="110"/>
        <v>84872.65</v>
      </c>
      <c r="C90" s="14">
        <f t="shared" si="101"/>
        <v>450.28</v>
      </c>
      <c r="D90" s="14">
        <f t="shared" si="119"/>
        <v>185.04999999999995</v>
      </c>
      <c r="E90" s="14">
        <f t="shared" si="102"/>
        <v>265.23</v>
      </c>
      <c r="F90" s="14">
        <f t="shared" si="51"/>
        <v>134.16999999999999</v>
      </c>
      <c r="G90" s="14">
        <f t="shared" si="52"/>
        <v>188.55</v>
      </c>
      <c r="H90" s="14">
        <f t="shared" si="54"/>
        <v>773</v>
      </c>
      <c r="I90" s="285">
        <f t="shared" si="70"/>
        <v>12844.24</v>
      </c>
      <c r="J90" s="285">
        <f t="shared" si="71"/>
        <v>21680.880000000001</v>
      </c>
      <c r="K90" s="285">
        <f t="shared" si="72"/>
        <v>84687.599999999991</v>
      </c>
      <c r="L90" s="425">
        <f t="shared" si="103"/>
        <v>2</v>
      </c>
      <c r="M90" s="425">
        <f t="shared" si="111"/>
        <v>31</v>
      </c>
      <c r="N90" s="285">
        <f t="shared" si="112"/>
        <v>253249.46000000005</v>
      </c>
      <c r="O90" s="285">
        <f t="shared" si="73"/>
        <v>1610.57</v>
      </c>
      <c r="P90" s="285">
        <f t="shared" si="120"/>
        <v>291.55999999999995</v>
      </c>
      <c r="Q90" s="285">
        <f t="shared" si="74"/>
        <v>1319.01</v>
      </c>
      <c r="R90" s="285">
        <f t="shared" si="84"/>
        <v>134.16999999999999</v>
      </c>
      <c r="S90" s="285">
        <f t="shared" si="75"/>
        <v>188.55</v>
      </c>
      <c r="T90" s="285">
        <f t="shared" si="59"/>
        <v>1933.29</v>
      </c>
      <c r="U90" s="285">
        <f t="shared" si="121"/>
        <v>8618.0999999999967</v>
      </c>
      <c r="V90" s="285">
        <f t="shared" si="122"/>
        <v>42920.14</v>
      </c>
      <c r="W90" s="285">
        <f t="shared" si="76"/>
        <v>252957.90000000005</v>
      </c>
      <c r="X90" s="502">
        <f t="shared" si="113"/>
        <v>46659</v>
      </c>
      <c r="Y90" s="285">
        <f t="shared" si="77"/>
        <v>314982.41000000009</v>
      </c>
      <c r="Z90" s="494">
        <f t="shared" si="104"/>
        <v>3.7499999999999999E-2</v>
      </c>
      <c r="AA90" s="285">
        <f t="shared" si="105"/>
        <v>1533.81</v>
      </c>
      <c r="AB90" s="285">
        <f t="shared" si="78"/>
        <v>549.4899999999999</v>
      </c>
      <c r="AC90" s="285">
        <f t="shared" si="106"/>
        <v>984.32</v>
      </c>
      <c r="AD90" s="285">
        <f t="shared" ref="AD90:AE90" si="132">+AD89</f>
        <v>134.16999999999999</v>
      </c>
      <c r="AE90" s="285">
        <f t="shared" si="132"/>
        <v>188.55</v>
      </c>
      <c r="AF90" s="285">
        <f t="shared" si="80"/>
        <v>1856.53</v>
      </c>
      <c r="AG90" s="285">
        <f t="shared" si="81"/>
        <v>16760.48</v>
      </c>
      <c r="AH90" s="285">
        <f t="shared" si="82"/>
        <v>32321.439999999999</v>
      </c>
      <c r="AI90" s="512">
        <f t="shared" si="64"/>
        <v>2456.3200000000006</v>
      </c>
      <c r="AJ90" s="512">
        <f>+W90-AL90</f>
        <v>-61475.020000000048</v>
      </c>
      <c r="AK90" s="512">
        <f t="shared" si="65"/>
        <v>-59018.700000000048</v>
      </c>
      <c r="AL90" s="285">
        <f t="shared" si="83"/>
        <v>314432.9200000001</v>
      </c>
      <c r="AM90" s="425">
        <f t="shared" si="115"/>
        <v>2</v>
      </c>
      <c r="AN90" s="14">
        <f t="shared" si="66"/>
        <v>1160.29</v>
      </c>
      <c r="AO90" s="14">
        <f t="shared" si="50"/>
        <v>238191.54</v>
      </c>
      <c r="AP90" s="14">
        <f t="shared" si="67"/>
        <v>1083.53</v>
      </c>
      <c r="AS90" s="14">
        <f t="shared" si="109"/>
        <v>1160.29</v>
      </c>
      <c r="AT90" s="14">
        <f t="shared" si="116"/>
        <v>36648.720000000016</v>
      </c>
      <c r="AU90" s="285">
        <f t="shared" si="117"/>
        <v>788.61766292922391</v>
      </c>
      <c r="AV90" s="285">
        <f t="shared" si="118"/>
        <v>54659.68283461879</v>
      </c>
    </row>
    <row r="91" spans="1:50" x14ac:dyDescent="0.25">
      <c r="A91" s="502">
        <f t="shared" si="69"/>
        <v>46689</v>
      </c>
      <c r="B91" s="285">
        <f t="shared" si="110"/>
        <v>84687.599999999991</v>
      </c>
      <c r="C91" s="14">
        <f t="shared" si="101"/>
        <v>450.28</v>
      </c>
      <c r="D91" s="14">
        <f t="shared" si="119"/>
        <v>185.63</v>
      </c>
      <c r="E91" s="14">
        <f t="shared" si="102"/>
        <v>264.64999999999998</v>
      </c>
      <c r="F91" s="14">
        <f t="shared" si="51"/>
        <v>134.16999999999999</v>
      </c>
      <c r="G91" s="14">
        <f t="shared" si="52"/>
        <v>188.55</v>
      </c>
      <c r="H91" s="14">
        <f t="shared" si="54"/>
        <v>773</v>
      </c>
      <c r="I91" s="285">
        <f t="shared" si="70"/>
        <v>13029.869999999999</v>
      </c>
      <c r="J91" s="285">
        <f t="shared" si="71"/>
        <v>21945.530000000002</v>
      </c>
      <c r="K91" s="285">
        <f t="shared" si="72"/>
        <v>84501.969999999987</v>
      </c>
      <c r="L91" s="425">
        <f t="shared" si="103"/>
        <v>2</v>
      </c>
      <c r="M91" s="425">
        <f t="shared" si="111"/>
        <v>32</v>
      </c>
      <c r="N91" s="285">
        <f t="shared" si="112"/>
        <v>252957.90000000005</v>
      </c>
      <c r="O91" s="285">
        <f t="shared" si="73"/>
        <v>1610.57</v>
      </c>
      <c r="P91" s="285">
        <f t="shared" si="120"/>
        <v>293.07999999999993</v>
      </c>
      <c r="Q91" s="285">
        <f t="shared" si="74"/>
        <v>1317.49</v>
      </c>
      <c r="R91" s="285">
        <f t="shared" si="84"/>
        <v>134.16999999999999</v>
      </c>
      <c r="S91" s="285">
        <f t="shared" si="75"/>
        <v>188.55</v>
      </c>
      <c r="T91" s="285">
        <f t="shared" si="59"/>
        <v>1933.29</v>
      </c>
      <c r="U91" s="285">
        <f t="shared" si="121"/>
        <v>8911.1799999999967</v>
      </c>
      <c r="V91" s="285">
        <f t="shared" si="122"/>
        <v>44237.63</v>
      </c>
      <c r="W91" s="285">
        <f t="shared" si="76"/>
        <v>252664.82000000007</v>
      </c>
      <c r="X91" s="502">
        <f t="shared" si="113"/>
        <v>46689</v>
      </c>
      <c r="Y91" s="285">
        <f t="shared" si="77"/>
        <v>314432.9200000001</v>
      </c>
      <c r="Z91" s="494">
        <f t="shared" si="104"/>
        <v>3.7499999999999999E-2</v>
      </c>
      <c r="AA91" s="285">
        <f t="shared" si="105"/>
        <v>1533.81</v>
      </c>
      <c r="AB91" s="285">
        <f t="shared" si="78"/>
        <v>551.20999999999992</v>
      </c>
      <c r="AC91" s="285">
        <f t="shared" si="106"/>
        <v>982.6</v>
      </c>
      <c r="AD91" s="285">
        <f t="shared" ref="AD91:AE91" si="133">+AD90</f>
        <v>134.16999999999999</v>
      </c>
      <c r="AE91" s="285">
        <f t="shared" si="133"/>
        <v>188.55</v>
      </c>
      <c r="AF91" s="285">
        <f t="shared" si="80"/>
        <v>1856.53</v>
      </c>
      <c r="AG91" s="285">
        <f t="shared" si="81"/>
        <v>17311.689999999999</v>
      </c>
      <c r="AH91" s="285">
        <f t="shared" si="82"/>
        <v>33304.04</v>
      </c>
      <c r="AI91" s="512">
        <f t="shared" si="64"/>
        <v>2533.0800000000008</v>
      </c>
      <c r="AJ91" s="512">
        <f t="shared" ref="AJ91:AJ154" si="134">+W91-AL91</f>
        <v>-61216.890000000014</v>
      </c>
      <c r="AK91" s="512">
        <f t="shared" si="65"/>
        <v>-58683.810000000012</v>
      </c>
      <c r="AL91" s="285">
        <f t="shared" si="83"/>
        <v>313881.71000000008</v>
      </c>
      <c r="AM91" s="425">
        <f t="shared" si="115"/>
        <v>2</v>
      </c>
      <c r="AN91" s="14">
        <f t="shared" si="66"/>
        <v>1160.29</v>
      </c>
      <c r="AO91" s="14">
        <f t="shared" si="50"/>
        <v>238084.09000000003</v>
      </c>
      <c r="AP91" s="14">
        <f t="shared" si="67"/>
        <v>1083.53</v>
      </c>
      <c r="AS91" s="14">
        <f t="shared" si="109"/>
        <v>1160.29</v>
      </c>
      <c r="AT91" s="14">
        <f t="shared" si="116"/>
        <v>37809.010000000017</v>
      </c>
      <c r="AU91" s="285">
        <f t="shared" si="117"/>
        <v>790.58920708654693</v>
      </c>
      <c r="AV91" s="285">
        <f t="shared" si="118"/>
        <v>55450.272041705335</v>
      </c>
    </row>
    <row r="92" spans="1:50" x14ac:dyDescent="0.25">
      <c r="A92" s="502">
        <f t="shared" si="69"/>
        <v>46719</v>
      </c>
      <c r="B92" s="285">
        <f t="shared" si="110"/>
        <v>84501.969999999987</v>
      </c>
      <c r="C92" s="14">
        <f t="shared" si="101"/>
        <v>450.28</v>
      </c>
      <c r="D92" s="14">
        <f t="shared" si="119"/>
        <v>186.20999999999998</v>
      </c>
      <c r="E92" s="14">
        <f t="shared" si="102"/>
        <v>264.07</v>
      </c>
      <c r="F92" s="14">
        <f t="shared" si="51"/>
        <v>134.16999999999999</v>
      </c>
      <c r="G92" s="14">
        <f t="shared" si="52"/>
        <v>188.55</v>
      </c>
      <c r="H92" s="14">
        <f t="shared" si="54"/>
        <v>773</v>
      </c>
      <c r="I92" s="285">
        <f t="shared" si="70"/>
        <v>13216.079999999998</v>
      </c>
      <c r="J92" s="285">
        <f t="shared" si="71"/>
        <v>22209.600000000002</v>
      </c>
      <c r="K92" s="285">
        <f t="shared" si="72"/>
        <v>84315.75999999998</v>
      </c>
      <c r="L92" s="425">
        <f t="shared" si="103"/>
        <v>2</v>
      </c>
      <c r="M92" s="425">
        <f t="shared" si="111"/>
        <v>33</v>
      </c>
      <c r="N92" s="285">
        <f t="shared" si="112"/>
        <v>252664.82000000007</v>
      </c>
      <c r="O92" s="285">
        <f t="shared" si="73"/>
        <v>1610.57</v>
      </c>
      <c r="P92" s="285">
        <f t="shared" si="120"/>
        <v>294.6099999999999</v>
      </c>
      <c r="Q92" s="285">
        <f t="shared" si="74"/>
        <v>1315.96</v>
      </c>
      <c r="R92" s="285">
        <f t="shared" si="84"/>
        <v>134.16999999999999</v>
      </c>
      <c r="S92" s="285">
        <f t="shared" si="75"/>
        <v>188.55</v>
      </c>
      <c r="T92" s="285">
        <f t="shared" si="59"/>
        <v>1933.29</v>
      </c>
      <c r="U92" s="285">
        <f t="shared" si="121"/>
        <v>9205.7899999999972</v>
      </c>
      <c r="V92" s="285">
        <f t="shared" si="122"/>
        <v>45553.59</v>
      </c>
      <c r="W92" s="285">
        <f t="shared" si="76"/>
        <v>252370.21000000008</v>
      </c>
      <c r="X92" s="502">
        <f t="shared" si="113"/>
        <v>46719</v>
      </c>
      <c r="Y92" s="285">
        <f t="shared" si="77"/>
        <v>313881.71000000008</v>
      </c>
      <c r="Z92" s="494">
        <f t="shared" si="104"/>
        <v>3.7499999999999999E-2</v>
      </c>
      <c r="AA92" s="285">
        <f t="shared" si="105"/>
        <v>1533.81</v>
      </c>
      <c r="AB92" s="285">
        <f t="shared" si="78"/>
        <v>552.92999999999995</v>
      </c>
      <c r="AC92" s="285">
        <f t="shared" si="106"/>
        <v>980.88</v>
      </c>
      <c r="AD92" s="285">
        <f t="shared" ref="AD92:AE92" si="135">+AD91</f>
        <v>134.16999999999999</v>
      </c>
      <c r="AE92" s="285">
        <f t="shared" si="135"/>
        <v>188.55</v>
      </c>
      <c r="AF92" s="285">
        <f t="shared" si="80"/>
        <v>1856.53</v>
      </c>
      <c r="AG92" s="285">
        <f t="shared" si="81"/>
        <v>17864.62</v>
      </c>
      <c r="AH92" s="285">
        <f t="shared" si="82"/>
        <v>34284.92</v>
      </c>
      <c r="AI92" s="512">
        <f t="shared" si="64"/>
        <v>2609.8400000000011</v>
      </c>
      <c r="AJ92" s="512">
        <f t="shared" si="134"/>
        <v>-60958.570000000007</v>
      </c>
      <c r="AK92" s="512">
        <f t="shared" si="65"/>
        <v>-58348.73</v>
      </c>
      <c r="AL92" s="285">
        <f t="shared" si="83"/>
        <v>313328.78000000009</v>
      </c>
      <c r="AM92" s="425">
        <f t="shared" si="115"/>
        <v>2</v>
      </c>
      <c r="AN92" s="14">
        <f t="shared" si="66"/>
        <v>1160.29</v>
      </c>
      <c r="AO92" s="14">
        <f t="shared" si="50"/>
        <v>237975.69</v>
      </c>
      <c r="AP92" s="14">
        <f t="shared" si="67"/>
        <v>1083.53</v>
      </c>
      <c r="AS92" s="14">
        <f t="shared" si="109"/>
        <v>1160.29</v>
      </c>
      <c r="AT92" s="14">
        <f t="shared" si="116"/>
        <v>38969.300000000017</v>
      </c>
      <c r="AU92" s="285">
        <f t="shared" si="117"/>
        <v>792.56568010426327</v>
      </c>
      <c r="AV92" s="285">
        <f t="shared" si="118"/>
        <v>56242.837721809599</v>
      </c>
    </row>
    <row r="93" spans="1:50" x14ac:dyDescent="0.25">
      <c r="A93" s="502">
        <f t="shared" si="69"/>
        <v>46749</v>
      </c>
      <c r="B93" s="285">
        <f t="shared" si="110"/>
        <v>84315.75999999998</v>
      </c>
      <c r="C93" s="14">
        <f t="shared" si="101"/>
        <v>450.28</v>
      </c>
      <c r="D93" s="14">
        <f t="shared" si="119"/>
        <v>186.78999999999996</v>
      </c>
      <c r="E93" s="14">
        <f t="shared" si="102"/>
        <v>263.49</v>
      </c>
      <c r="F93" s="14">
        <f t="shared" si="51"/>
        <v>134.16999999999999</v>
      </c>
      <c r="G93" s="14">
        <f t="shared" si="52"/>
        <v>188.55</v>
      </c>
      <c r="H93" s="14">
        <f t="shared" si="54"/>
        <v>773</v>
      </c>
      <c r="I93" s="285">
        <f t="shared" si="70"/>
        <v>13402.869999999999</v>
      </c>
      <c r="J93" s="285">
        <f t="shared" si="71"/>
        <v>22473.090000000004</v>
      </c>
      <c r="K93" s="285">
        <f t="shared" si="72"/>
        <v>84128.969999999987</v>
      </c>
      <c r="L93" s="425">
        <f t="shared" si="103"/>
        <v>2</v>
      </c>
      <c r="M93" s="425">
        <f t="shared" si="111"/>
        <v>34</v>
      </c>
      <c r="N93" s="285">
        <f t="shared" si="112"/>
        <v>252370.21000000008</v>
      </c>
      <c r="O93" s="285">
        <f t="shared" si="73"/>
        <v>1610.57</v>
      </c>
      <c r="P93" s="285">
        <f t="shared" si="120"/>
        <v>296.13999999999987</v>
      </c>
      <c r="Q93" s="285">
        <f t="shared" si="74"/>
        <v>1314.43</v>
      </c>
      <c r="R93" s="285">
        <f t="shared" si="84"/>
        <v>134.16999999999999</v>
      </c>
      <c r="S93" s="285">
        <f t="shared" si="75"/>
        <v>188.55</v>
      </c>
      <c r="T93" s="285">
        <f t="shared" si="59"/>
        <v>1933.29</v>
      </c>
      <c r="U93" s="285">
        <f t="shared" si="121"/>
        <v>9501.9299999999967</v>
      </c>
      <c r="V93" s="285">
        <f t="shared" si="122"/>
        <v>46868.02</v>
      </c>
      <c r="W93" s="285">
        <f t="shared" si="76"/>
        <v>252074.07000000007</v>
      </c>
      <c r="X93" s="502">
        <f t="shared" si="113"/>
        <v>46749</v>
      </c>
      <c r="Y93" s="285">
        <f t="shared" si="77"/>
        <v>313328.78000000009</v>
      </c>
      <c r="Z93" s="494">
        <f t="shared" si="104"/>
        <v>3.7499999999999999E-2</v>
      </c>
      <c r="AA93" s="285">
        <f t="shared" si="105"/>
        <v>1533.81</v>
      </c>
      <c r="AB93" s="285">
        <f t="shared" si="78"/>
        <v>554.66</v>
      </c>
      <c r="AC93" s="285">
        <f t="shared" si="106"/>
        <v>979.15</v>
      </c>
      <c r="AD93" s="285">
        <f t="shared" ref="AD93:AE93" si="136">+AD92</f>
        <v>134.16999999999999</v>
      </c>
      <c r="AE93" s="285">
        <f t="shared" si="136"/>
        <v>188.55</v>
      </c>
      <c r="AF93" s="285">
        <f t="shared" si="80"/>
        <v>1856.53</v>
      </c>
      <c r="AG93" s="285">
        <f t="shared" si="81"/>
        <v>18419.28</v>
      </c>
      <c r="AH93" s="285">
        <f t="shared" si="82"/>
        <v>35264.07</v>
      </c>
      <c r="AI93" s="512">
        <f t="shared" si="64"/>
        <v>2686.6000000000013</v>
      </c>
      <c r="AJ93" s="512">
        <f t="shared" si="134"/>
        <v>-60700.050000000047</v>
      </c>
      <c r="AK93" s="512">
        <f t="shared" si="65"/>
        <v>-58013.450000000048</v>
      </c>
      <c r="AL93" s="285">
        <f t="shared" si="83"/>
        <v>312774.12000000011</v>
      </c>
      <c r="AM93" s="425">
        <f t="shared" si="115"/>
        <v>2</v>
      </c>
      <c r="AN93" s="14">
        <f t="shared" si="66"/>
        <v>1160.29</v>
      </c>
      <c r="AO93" s="14">
        <f t="shared" si="50"/>
        <v>237866.34000000003</v>
      </c>
      <c r="AP93" s="14">
        <f t="shared" si="67"/>
        <v>1083.53</v>
      </c>
      <c r="AS93" s="14">
        <f t="shared" si="109"/>
        <v>1160.29</v>
      </c>
      <c r="AT93" s="14">
        <f t="shared" si="116"/>
        <v>40129.590000000018</v>
      </c>
      <c r="AU93" s="285">
        <f t="shared" si="117"/>
        <v>794.54709430452397</v>
      </c>
      <c r="AV93" s="285">
        <f t="shared" si="118"/>
        <v>57037.384816114121</v>
      </c>
    </row>
    <row r="94" spans="1:50" x14ac:dyDescent="0.25">
      <c r="A94" s="502">
        <f t="shared" si="69"/>
        <v>46779</v>
      </c>
      <c r="B94" s="285">
        <f t="shared" si="110"/>
        <v>84128.969999999987</v>
      </c>
      <c r="C94" s="14">
        <f t="shared" si="101"/>
        <v>450.28</v>
      </c>
      <c r="D94" s="14">
        <f t="shared" si="119"/>
        <v>187.38</v>
      </c>
      <c r="E94" s="14">
        <f t="shared" si="102"/>
        <v>262.89999999999998</v>
      </c>
      <c r="F94" s="14">
        <f t="shared" si="51"/>
        <v>134.16999999999999</v>
      </c>
      <c r="G94" s="14">
        <f t="shared" si="52"/>
        <v>188.55</v>
      </c>
      <c r="H94" s="14">
        <f t="shared" si="54"/>
        <v>773</v>
      </c>
      <c r="I94" s="285">
        <f t="shared" si="70"/>
        <v>13590.249999999998</v>
      </c>
      <c r="J94" s="285">
        <f t="shared" si="71"/>
        <v>22735.990000000005</v>
      </c>
      <c r="K94" s="285">
        <f t="shared" si="72"/>
        <v>83941.589999999982</v>
      </c>
      <c r="L94" s="425">
        <f t="shared" si="103"/>
        <v>2</v>
      </c>
      <c r="M94" s="425">
        <f t="shared" si="111"/>
        <v>35</v>
      </c>
      <c r="N94" s="285">
        <f t="shared" si="112"/>
        <v>252074.07000000007</v>
      </c>
      <c r="O94" s="285">
        <f t="shared" si="73"/>
        <v>1610.57</v>
      </c>
      <c r="P94" s="285">
        <f t="shared" si="120"/>
        <v>297.67999999999984</v>
      </c>
      <c r="Q94" s="285">
        <f t="shared" si="74"/>
        <v>1312.89</v>
      </c>
      <c r="R94" s="285">
        <f t="shared" si="84"/>
        <v>134.16999999999999</v>
      </c>
      <c r="S94" s="285">
        <f t="shared" si="75"/>
        <v>188.55</v>
      </c>
      <c r="T94" s="285">
        <f t="shared" si="59"/>
        <v>1933.29</v>
      </c>
      <c r="U94" s="285">
        <f t="shared" si="121"/>
        <v>9799.6099999999969</v>
      </c>
      <c r="V94" s="285">
        <f t="shared" si="122"/>
        <v>48180.909999999996</v>
      </c>
      <c r="W94" s="285">
        <f t="shared" si="76"/>
        <v>251776.39000000007</v>
      </c>
      <c r="X94" s="502">
        <f t="shared" si="113"/>
        <v>46779</v>
      </c>
      <c r="Y94" s="285">
        <f t="shared" si="77"/>
        <v>312774.12000000011</v>
      </c>
      <c r="Z94" s="494">
        <f t="shared" si="104"/>
        <v>3.7499999999999999E-2</v>
      </c>
      <c r="AA94" s="285">
        <f t="shared" si="105"/>
        <v>1533.81</v>
      </c>
      <c r="AB94" s="285">
        <f t="shared" si="78"/>
        <v>556.39</v>
      </c>
      <c r="AC94" s="285">
        <f t="shared" si="106"/>
        <v>977.42</v>
      </c>
      <c r="AD94" s="285">
        <f t="shared" ref="AD94:AE94" si="137">+AD93</f>
        <v>134.16999999999999</v>
      </c>
      <c r="AE94" s="285">
        <f t="shared" si="137"/>
        <v>188.55</v>
      </c>
      <c r="AF94" s="285">
        <f t="shared" si="80"/>
        <v>1856.53</v>
      </c>
      <c r="AG94" s="285">
        <f t="shared" si="81"/>
        <v>18975.669999999998</v>
      </c>
      <c r="AH94" s="285">
        <f t="shared" si="82"/>
        <v>36241.49</v>
      </c>
      <c r="AI94" s="512">
        <f t="shared" si="64"/>
        <v>2763.3600000000015</v>
      </c>
      <c r="AJ94" s="512">
        <f t="shared" si="134"/>
        <v>-60441.340000000026</v>
      </c>
      <c r="AK94" s="512">
        <f t="shared" si="65"/>
        <v>-57677.980000000025</v>
      </c>
      <c r="AL94" s="285">
        <f t="shared" si="83"/>
        <v>312217.7300000001</v>
      </c>
      <c r="AM94" s="425">
        <f t="shared" si="115"/>
        <v>2</v>
      </c>
      <c r="AN94" s="14">
        <f t="shared" si="66"/>
        <v>1160.29</v>
      </c>
      <c r="AO94" s="14">
        <f t="shared" si="50"/>
        <v>237756.04000000004</v>
      </c>
      <c r="AP94" s="14">
        <f t="shared" si="67"/>
        <v>1083.53</v>
      </c>
      <c r="AS94" s="14">
        <f t="shared" si="109"/>
        <v>1160.29</v>
      </c>
      <c r="AT94" s="14">
        <f t="shared" si="116"/>
        <v>41289.880000000019</v>
      </c>
      <c r="AU94" s="285">
        <f t="shared" si="117"/>
        <v>796.53346204028514</v>
      </c>
      <c r="AV94" s="285">
        <f t="shared" si="118"/>
        <v>57833.918278154408</v>
      </c>
    </row>
    <row r="95" spans="1:50" x14ac:dyDescent="0.25">
      <c r="A95" s="502">
        <f t="shared" si="69"/>
        <v>46809</v>
      </c>
      <c r="B95" s="285">
        <f t="shared" si="110"/>
        <v>83941.589999999982</v>
      </c>
      <c r="C95" s="14">
        <f t="shared" si="101"/>
        <v>450.28</v>
      </c>
      <c r="D95" s="14">
        <f t="shared" si="119"/>
        <v>187.95999999999998</v>
      </c>
      <c r="E95" s="14">
        <f t="shared" si="102"/>
        <v>262.32</v>
      </c>
      <c r="F95" s="14">
        <f t="shared" si="51"/>
        <v>134.16999999999999</v>
      </c>
      <c r="G95" s="14">
        <f t="shared" si="52"/>
        <v>188.55</v>
      </c>
      <c r="H95" s="14">
        <f t="shared" si="54"/>
        <v>773</v>
      </c>
      <c r="I95" s="285">
        <f t="shared" si="70"/>
        <v>13778.209999999997</v>
      </c>
      <c r="J95" s="285">
        <f t="shared" si="71"/>
        <v>22998.310000000005</v>
      </c>
      <c r="K95" s="285">
        <f t="shared" si="72"/>
        <v>83753.629999999976</v>
      </c>
      <c r="L95" s="425">
        <f t="shared" si="103"/>
        <v>3</v>
      </c>
      <c r="M95" s="425">
        <f t="shared" si="111"/>
        <v>36</v>
      </c>
      <c r="N95" s="285">
        <f t="shared" si="112"/>
        <v>251776.39000000007</v>
      </c>
      <c r="O95" s="285">
        <f t="shared" si="73"/>
        <v>1610.57</v>
      </c>
      <c r="P95" s="285">
        <f t="shared" si="120"/>
        <v>299.23</v>
      </c>
      <c r="Q95" s="285">
        <f t="shared" si="74"/>
        <v>1311.34</v>
      </c>
      <c r="R95" s="285">
        <f t="shared" si="84"/>
        <v>134.16999999999999</v>
      </c>
      <c r="S95" s="285">
        <f t="shared" si="75"/>
        <v>188.55</v>
      </c>
      <c r="T95" s="285">
        <f t="shared" si="59"/>
        <v>1933.29</v>
      </c>
      <c r="U95" s="285">
        <f t="shared" si="121"/>
        <v>10098.839999999997</v>
      </c>
      <c r="V95" s="285">
        <f t="shared" si="122"/>
        <v>49492.249999999993</v>
      </c>
      <c r="W95" s="285">
        <f t="shared" si="76"/>
        <v>251477.16000000006</v>
      </c>
      <c r="X95" s="502">
        <f t="shared" si="113"/>
        <v>46809</v>
      </c>
      <c r="Y95" s="285">
        <f t="shared" si="77"/>
        <v>312217.7300000001</v>
      </c>
      <c r="Z95" s="494">
        <f t="shared" si="104"/>
        <v>3.7499999999999999E-2</v>
      </c>
      <c r="AA95" s="285">
        <f t="shared" si="105"/>
        <v>1533.81</v>
      </c>
      <c r="AB95" s="285">
        <f t="shared" si="78"/>
        <v>558.13</v>
      </c>
      <c r="AC95" s="285">
        <f t="shared" si="106"/>
        <v>975.68</v>
      </c>
      <c r="AD95" s="285">
        <f t="shared" ref="AD95:AE95" si="138">+AD94</f>
        <v>134.16999999999999</v>
      </c>
      <c r="AE95" s="285">
        <f t="shared" si="138"/>
        <v>188.55</v>
      </c>
      <c r="AF95" s="285">
        <f t="shared" si="80"/>
        <v>1856.53</v>
      </c>
      <c r="AG95" s="285">
        <f t="shared" si="81"/>
        <v>19533.8</v>
      </c>
      <c r="AH95" s="285">
        <f t="shared" si="82"/>
        <v>37217.17</v>
      </c>
      <c r="AI95" s="512">
        <f t="shared" si="64"/>
        <v>2840.1200000000017</v>
      </c>
      <c r="AJ95" s="512">
        <f t="shared" si="134"/>
        <v>-60182.440000000031</v>
      </c>
      <c r="AK95" s="512">
        <f t="shared" si="65"/>
        <v>-57342.320000000029</v>
      </c>
      <c r="AL95" s="285">
        <f t="shared" si="83"/>
        <v>311659.60000000009</v>
      </c>
      <c r="AM95" s="425">
        <f t="shared" si="115"/>
        <v>3</v>
      </c>
      <c r="AN95" s="14">
        <f t="shared" si="66"/>
        <v>1160.29</v>
      </c>
      <c r="AO95" s="14">
        <f t="shared" si="50"/>
        <v>237644.77000000002</v>
      </c>
      <c r="AP95" s="14">
        <f t="shared" si="67"/>
        <v>1083.53</v>
      </c>
      <c r="AS95" s="14">
        <f t="shared" si="109"/>
        <v>1160.29</v>
      </c>
      <c r="AT95" s="14">
        <f t="shared" si="116"/>
        <v>42450.17000000002</v>
      </c>
      <c r="AU95" s="285">
        <f t="shared" si="117"/>
        <v>798.52479569538593</v>
      </c>
      <c r="AV95" s="285">
        <f t="shared" si="118"/>
        <v>58632.44307384979</v>
      </c>
      <c r="AX95" s="479"/>
    </row>
    <row r="96" spans="1:50" x14ac:dyDescent="0.25">
      <c r="A96" s="502">
        <f t="shared" si="69"/>
        <v>46839</v>
      </c>
      <c r="B96" s="285">
        <f t="shared" si="110"/>
        <v>83753.629999999976</v>
      </c>
      <c r="C96" s="14">
        <f t="shared" si="101"/>
        <v>450.28</v>
      </c>
      <c r="D96" s="14">
        <f t="shared" si="119"/>
        <v>188.54999999999995</v>
      </c>
      <c r="E96" s="14">
        <f t="shared" si="102"/>
        <v>261.73</v>
      </c>
      <c r="F96" s="14">
        <f t="shared" si="51"/>
        <v>134.16999999999999</v>
      </c>
      <c r="G96" s="14">
        <f t="shared" si="52"/>
        <v>188.55</v>
      </c>
      <c r="H96" s="14">
        <f t="shared" si="54"/>
        <v>773</v>
      </c>
      <c r="I96" s="285">
        <f t="shared" si="70"/>
        <v>13966.759999999997</v>
      </c>
      <c r="J96" s="285">
        <f t="shared" si="71"/>
        <v>23260.040000000005</v>
      </c>
      <c r="K96" s="285">
        <f t="shared" si="72"/>
        <v>83565.079999999973</v>
      </c>
      <c r="L96" s="425">
        <f t="shared" si="103"/>
        <v>3</v>
      </c>
      <c r="M96" s="425">
        <f t="shared" si="111"/>
        <v>37</v>
      </c>
      <c r="N96" s="285">
        <f t="shared" si="112"/>
        <v>251477.16000000006</v>
      </c>
      <c r="O96" s="285">
        <f t="shared" si="73"/>
        <v>1610.57</v>
      </c>
      <c r="P96" s="285">
        <f t="shared" si="120"/>
        <v>300.78999999999996</v>
      </c>
      <c r="Q96" s="285">
        <f t="shared" si="74"/>
        <v>1309.78</v>
      </c>
      <c r="R96" s="285">
        <f t="shared" si="84"/>
        <v>134.16999999999999</v>
      </c>
      <c r="S96" s="285">
        <f t="shared" si="75"/>
        <v>188.55</v>
      </c>
      <c r="T96" s="285">
        <f t="shared" si="59"/>
        <v>1933.29</v>
      </c>
      <c r="U96" s="285">
        <f t="shared" si="121"/>
        <v>10399.629999999997</v>
      </c>
      <c r="V96" s="285">
        <f t="shared" si="122"/>
        <v>50802.029999999992</v>
      </c>
      <c r="W96" s="285">
        <f t="shared" si="76"/>
        <v>251176.37000000005</v>
      </c>
      <c r="X96" s="502">
        <f t="shared" si="113"/>
        <v>46839</v>
      </c>
      <c r="Y96" s="285">
        <f t="shared" si="77"/>
        <v>311659.60000000009</v>
      </c>
      <c r="Z96" s="494">
        <f t="shared" si="104"/>
        <v>3.7499999999999999E-2</v>
      </c>
      <c r="AA96" s="285">
        <f t="shared" si="105"/>
        <v>1533.81</v>
      </c>
      <c r="AB96" s="285">
        <f t="shared" si="78"/>
        <v>559.86999999999989</v>
      </c>
      <c r="AC96" s="285">
        <f t="shared" si="106"/>
        <v>973.94</v>
      </c>
      <c r="AD96" s="285">
        <f t="shared" ref="AD96:AE96" si="139">+AD95</f>
        <v>134.16999999999999</v>
      </c>
      <c r="AE96" s="285">
        <f t="shared" si="139"/>
        <v>188.55</v>
      </c>
      <c r="AF96" s="285">
        <f t="shared" si="80"/>
        <v>1856.53</v>
      </c>
      <c r="AG96" s="285">
        <f t="shared" si="81"/>
        <v>20093.669999999998</v>
      </c>
      <c r="AH96" s="285">
        <f t="shared" si="82"/>
        <v>38191.11</v>
      </c>
      <c r="AI96" s="512">
        <f t="shared" si="64"/>
        <v>2916.8800000000019</v>
      </c>
      <c r="AJ96" s="512">
        <f t="shared" si="134"/>
        <v>-59923.360000000044</v>
      </c>
      <c r="AK96" s="512">
        <f t="shared" si="65"/>
        <v>-57006.48000000004</v>
      </c>
      <c r="AL96" s="285">
        <f t="shared" si="83"/>
        <v>311099.7300000001</v>
      </c>
      <c r="AM96" s="425">
        <f t="shared" si="115"/>
        <v>3</v>
      </c>
      <c r="AN96" s="14">
        <f t="shared" si="66"/>
        <v>1160.29</v>
      </c>
      <c r="AO96" s="14">
        <f t="shared" si="50"/>
        <v>237532.53000000003</v>
      </c>
      <c r="AP96" s="14">
        <f t="shared" si="67"/>
        <v>1083.53</v>
      </c>
      <c r="AS96" s="14">
        <f t="shared" si="109"/>
        <v>1160.29</v>
      </c>
      <c r="AT96" s="14">
        <f t="shared" si="116"/>
        <v>43610.460000000021</v>
      </c>
      <c r="AU96" s="285">
        <f t="shared" si="117"/>
        <v>800.52110768462444</v>
      </c>
      <c r="AV96" s="285">
        <f t="shared" si="118"/>
        <v>59432.964181534415</v>
      </c>
      <c r="AX96" s="479"/>
    </row>
    <row r="97" spans="1:50" x14ac:dyDescent="0.25">
      <c r="A97" s="502">
        <f t="shared" si="69"/>
        <v>46869</v>
      </c>
      <c r="B97" s="285">
        <f t="shared" si="110"/>
        <v>83565.079999999973</v>
      </c>
      <c r="C97" s="14">
        <f t="shared" si="101"/>
        <v>450.28</v>
      </c>
      <c r="D97" s="14">
        <f t="shared" si="119"/>
        <v>189.14</v>
      </c>
      <c r="E97" s="14">
        <f t="shared" si="102"/>
        <v>261.14</v>
      </c>
      <c r="F97" s="14">
        <f t="shared" si="51"/>
        <v>134.16999999999999</v>
      </c>
      <c r="G97" s="14">
        <f t="shared" si="52"/>
        <v>188.55</v>
      </c>
      <c r="H97" s="14">
        <f t="shared" si="54"/>
        <v>773</v>
      </c>
      <c r="I97" s="285">
        <f t="shared" si="70"/>
        <v>14155.899999999996</v>
      </c>
      <c r="J97" s="285">
        <f t="shared" si="71"/>
        <v>23521.180000000004</v>
      </c>
      <c r="K97" s="285">
        <f t="shared" si="72"/>
        <v>83375.939999999973</v>
      </c>
      <c r="L97" s="425">
        <f t="shared" si="103"/>
        <v>3</v>
      </c>
      <c r="M97" s="425">
        <f t="shared" si="111"/>
        <v>38</v>
      </c>
      <c r="N97" s="285">
        <f t="shared" si="112"/>
        <v>251176.37000000005</v>
      </c>
      <c r="O97" s="285">
        <f t="shared" si="73"/>
        <v>1610.57</v>
      </c>
      <c r="P97" s="285">
        <f t="shared" si="120"/>
        <v>302.3599999999999</v>
      </c>
      <c r="Q97" s="285">
        <f t="shared" si="74"/>
        <v>1308.21</v>
      </c>
      <c r="R97" s="285">
        <f t="shared" si="84"/>
        <v>134.16999999999999</v>
      </c>
      <c r="S97" s="285">
        <f t="shared" si="75"/>
        <v>188.55</v>
      </c>
      <c r="T97" s="285">
        <f t="shared" si="59"/>
        <v>1933.29</v>
      </c>
      <c r="U97" s="285">
        <f t="shared" si="121"/>
        <v>10701.989999999998</v>
      </c>
      <c r="V97" s="285">
        <f t="shared" si="122"/>
        <v>52110.239999999991</v>
      </c>
      <c r="W97" s="285">
        <f t="shared" si="76"/>
        <v>250874.01000000007</v>
      </c>
      <c r="X97" s="502">
        <f t="shared" si="113"/>
        <v>46869</v>
      </c>
      <c r="Y97" s="285">
        <f t="shared" si="77"/>
        <v>311099.7300000001</v>
      </c>
      <c r="Z97" s="494">
        <f t="shared" si="104"/>
        <v>3.7499999999999999E-2</v>
      </c>
      <c r="AA97" s="285">
        <f t="shared" si="105"/>
        <v>1533.81</v>
      </c>
      <c r="AB97" s="285">
        <f t="shared" si="78"/>
        <v>561.61999999999989</v>
      </c>
      <c r="AC97" s="285">
        <f t="shared" si="106"/>
        <v>972.19</v>
      </c>
      <c r="AD97" s="285">
        <f t="shared" ref="AD97:AE97" si="140">+AD96</f>
        <v>134.16999999999999</v>
      </c>
      <c r="AE97" s="285">
        <f t="shared" si="140"/>
        <v>188.55</v>
      </c>
      <c r="AF97" s="285">
        <f t="shared" si="80"/>
        <v>1856.53</v>
      </c>
      <c r="AG97" s="285">
        <f t="shared" si="81"/>
        <v>20655.289999999997</v>
      </c>
      <c r="AH97" s="285">
        <f t="shared" si="82"/>
        <v>39163.300000000003</v>
      </c>
      <c r="AI97" s="512">
        <f t="shared" si="64"/>
        <v>2993.6400000000021</v>
      </c>
      <c r="AJ97" s="512">
        <f t="shared" si="134"/>
        <v>-59664.100000000035</v>
      </c>
      <c r="AK97" s="512">
        <f t="shared" si="65"/>
        <v>-56670.460000000036</v>
      </c>
      <c r="AL97" s="285">
        <f t="shared" si="83"/>
        <v>310538.1100000001</v>
      </c>
      <c r="AM97" s="425">
        <f t="shared" si="115"/>
        <v>3</v>
      </c>
      <c r="AN97" s="14">
        <f t="shared" si="66"/>
        <v>1160.29</v>
      </c>
      <c r="AO97" s="14">
        <f t="shared" si="50"/>
        <v>237419.31000000003</v>
      </c>
      <c r="AP97" s="14">
        <f t="shared" si="67"/>
        <v>1083.53</v>
      </c>
      <c r="AS97" s="14">
        <f t="shared" si="109"/>
        <v>1160.29</v>
      </c>
      <c r="AT97" s="14">
        <f t="shared" si="116"/>
        <v>44770.750000000022</v>
      </c>
      <c r="AU97" s="285">
        <f t="shared" si="117"/>
        <v>802.52241045383607</v>
      </c>
      <c r="AV97" s="285">
        <f t="shared" si="118"/>
        <v>60235.48659198825</v>
      </c>
    </row>
    <row r="98" spans="1:50" ht="15.75" thickBot="1" x14ac:dyDescent="0.3">
      <c r="A98" s="505">
        <f t="shared" si="69"/>
        <v>46899</v>
      </c>
      <c r="B98" s="345">
        <f t="shared" si="110"/>
        <v>83375.939999999973</v>
      </c>
      <c r="C98" s="21">
        <f t="shared" si="101"/>
        <v>450.28</v>
      </c>
      <c r="D98" s="21">
        <f t="shared" si="119"/>
        <v>189.72999999999996</v>
      </c>
      <c r="E98" s="21">
        <f t="shared" si="102"/>
        <v>260.55</v>
      </c>
      <c r="F98" s="21">
        <f t="shared" si="51"/>
        <v>134.16999999999999</v>
      </c>
      <c r="G98" s="21">
        <f t="shared" si="52"/>
        <v>188.55</v>
      </c>
      <c r="H98" s="21">
        <f t="shared" si="54"/>
        <v>773</v>
      </c>
      <c r="I98" s="345">
        <f t="shared" si="70"/>
        <v>14345.629999999996</v>
      </c>
      <c r="J98" s="345">
        <f t="shared" si="71"/>
        <v>23781.730000000003</v>
      </c>
      <c r="K98" s="345">
        <f t="shared" si="72"/>
        <v>83186.209999999977</v>
      </c>
      <c r="L98" s="426">
        <f t="shared" si="103"/>
        <v>3</v>
      </c>
      <c r="M98" s="426">
        <f t="shared" si="111"/>
        <v>39</v>
      </c>
      <c r="N98" s="345">
        <f t="shared" si="112"/>
        <v>250874.01000000007</v>
      </c>
      <c r="O98" s="345">
        <f t="shared" si="73"/>
        <v>1610.57</v>
      </c>
      <c r="P98" s="345">
        <f t="shared" si="120"/>
        <v>303.92999999999984</v>
      </c>
      <c r="Q98" s="345">
        <f t="shared" si="74"/>
        <v>1306.6400000000001</v>
      </c>
      <c r="R98" s="345">
        <f t="shared" si="84"/>
        <v>134.16999999999999</v>
      </c>
      <c r="S98" s="345">
        <f t="shared" si="75"/>
        <v>188.55</v>
      </c>
      <c r="T98" s="345">
        <f t="shared" si="59"/>
        <v>1933.29</v>
      </c>
      <c r="U98" s="345">
        <f t="shared" si="121"/>
        <v>11005.919999999998</v>
      </c>
      <c r="V98" s="345">
        <f t="shared" si="122"/>
        <v>53416.87999999999</v>
      </c>
      <c r="W98" s="345">
        <f t="shared" si="76"/>
        <v>250570.08000000007</v>
      </c>
      <c r="X98" s="505">
        <f t="shared" si="113"/>
        <v>46899</v>
      </c>
      <c r="Y98" s="345">
        <f t="shared" si="77"/>
        <v>310538.1100000001</v>
      </c>
      <c r="Z98" s="495">
        <f t="shared" si="104"/>
        <v>3.7499999999999999E-2</v>
      </c>
      <c r="AA98" s="345">
        <f t="shared" si="105"/>
        <v>1533.81</v>
      </c>
      <c r="AB98" s="345">
        <f t="shared" si="78"/>
        <v>563.38</v>
      </c>
      <c r="AC98" s="345">
        <f t="shared" si="106"/>
        <v>970.43</v>
      </c>
      <c r="AD98" s="345">
        <f t="shared" ref="AD98:AE98" si="141">+AD97</f>
        <v>134.16999999999999</v>
      </c>
      <c r="AE98" s="345">
        <f t="shared" si="141"/>
        <v>188.55</v>
      </c>
      <c r="AF98" s="345">
        <f t="shared" si="80"/>
        <v>1856.53</v>
      </c>
      <c r="AG98" s="345">
        <f t="shared" si="81"/>
        <v>21218.67</v>
      </c>
      <c r="AH98" s="345">
        <f t="shared" si="82"/>
        <v>40133.730000000003</v>
      </c>
      <c r="AI98" s="513">
        <f t="shared" si="64"/>
        <v>3070.4000000000024</v>
      </c>
      <c r="AJ98" s="513">
        <f t="shared" si="134"/>
        <v>-59404.650000000023</v>
      </c>
      <c r="AK98" s="513">
        <f t="shared" si="65"/>
        <v>-56334.250000000022</v>
      </c>
      <c r="AL98" s="345">
        <f t="shared" si="83"/>
        <v>309974.7300000001</v>
      </c>
      <c r="AM98" s="426">
        <f t="shared" si="115"/>
        <v>3</v>
      </c>
      <c r="AN98" s="21">
        <f t="shared" si="66"/>
        <v>1160.29</v>
      </c>
      <c r="AO98" s="21">
        <f t="shared" si="50"/>
        <v>237305.11000000004</v>
      </c>
      <c r="AP98" s="21">
        <f t="shared" si="67"/>
        <v>1083.53</v>
      </c>
      <c r="AQ98" s="21"/>
      <c r="AR98" s="23"/>
      <c r="AS98" s="21">
        <f t="shared" si="109"/>
        <v>1160.29</v>
      </c>
      <c r="AT98" s="21">
        <f t="shared" si="116"/>
        <v>45931.040000000023</v>
      </c>
      <c r="AU98" s="345">
        <f t="shared" si="117"/>
        <v>804.52871647997063</v>
      </c>
      <c r="AV98" s="345">
        <f t="shared" si="118"/>
        <v>61040.015308468224</v>
      </c>
    </row>
    <row r="99" spans="1:50" x14ac:dyDescent="0.25">
      <c r="A99" s="502">
        <f t="shared" si="69"/>
        <v>46929</v>
      </c>
      <c r="B99" s="285">
        <f t="shared" si="110"/>
        <v>83186.209999999977</v>
      </c>
      <c r="C99" s="14">
        <f t="shared" si="101"/>
        <v>450.28</v>
      </c>
      <c r="D99" s="14">
        <f t="shared" si="119"/>
        <v>190.32</v>
      </c>
      <c r="E99" s="14">
        <f t="shared" si="102"/>
        <v>259.95999999999998</v>
      </c>
      <c r="F99" s="14">
        <f t="shared" si="51"/>
        <v>134.16999999999999</v>
      </c>
      <c r="G99" s="14">
        <f t="shared" si="52"/>
        <v>188.55</v>
      </c>
      <c r="H99" s="14">
        <f t="shared" si="54"/>
        <v>773</v>
      </c>
      <c r="I99" s="285">
        <f t="shared" si="70"/>
        <v>14535.949999999995</v>
      </c>
      <c r="J99" s="285">
        <f t="shared" si="71"/>
        <v>24041.690000000002</v>
      </c>
      <c r="K99" s="285">
        <f t="shared" si="72"/>
        <v>82995.88999999997</v>
      </c>
      <c r="L99" s="425">
        <f t="shared" si="103"/>
        <v>3</v>
      </c>
      <c r="M99" s="425">
        <f t="shared" si="111"/>
        <v>40</v>
      </c>
      <c r="N99" s="285">
        <f t="shared" si="112"/>
        <v>250570.08000000007</v>
      </c>
      <c r="O99" s="285">
        <f t="shared" si="73"/>
        <v>1610.57</v>
      </c>
      <c r="P99" s="285">
        <f t="shared" si="120"/>
        <v>305.52</v>
      </c>
      <c r="Q99" s="285">
        <f t="shared" si="74"/>
        <v>1305.05</v>
      </c>
      <c r="R99" s="285">
        <f t="shared" si="84"/>
        <v>134.16999999999999</v>
      </c>
      <c r="S99" s="285">
        <f t="shared" si="75"/>
        <v>188.55</v>
      </c>
      <c r="T99" s="285">
        <f t="shared" si="59"/>
        <v>1933.29</v>
      </c>
      <c r="U99" s="285">
        <f t="shared" si="121"/>
        <v>11311.439999999999</v>
      </c>
      <c r="V99" s="285">
        <f t="shared" si="122"/>
        <v>54721.929999999993</v>
      </c>
      <c r="W99" s="285">
        <f t="shared" si="76"/>
        <v>250264.56000000008</v>
      </c>
      <c r="X99" s="502">
        <f t="shared" si="113"/>
        <v>46929</v>
      </c>
      <c r="Y99" s="285">
        <f t="shared" si="77"/>
        <v>309974.7300000001</v>
      </c>
      <c r="Z99" s="494">
        <f t="shared" si="104"/>
        <v>3.7499999999999999E-2</v>
      </c>
      <c r="AA99" s="285">
        <f t="shared" si="105"/>
        <v>1533.81</v>
      </c>
      <c r="AB99" s="285">
        <f t="shared" si="78"/>
        <v>565.14</v>
      </c>
      <c r="AC99" s="285">
        <f t="shared" si="106"/>
        <v>968.67</v>
      </c>
      <c r="AD99" s="285">
        <f t="shared" ref="AD99:AE99" si="142">+AD98</f>
        <v>134.16999999999999</v>
      </c>
      <c r="AE99" s="285">
        <f t="shared" si="142"/>
        <v>188.55</v>
      </c>
      <c r="AF99" s="285">
        <f t="shared" si="80"/>
        <v>1856.53</v>
      </c>
      <c r="AG99" s="285">
        <f t="shared" si="81"/>
        <v>21783.809999999998</v>
      </c>
      <c r="AH99" s="285">
        <f t="shared" si="82"/>
        <v>41102.400000000001</v>
      </c>
      <c r="AI99" s="512">
        <f t="shared" si="64"/>
        <v>3147.1600000000026</v>
      </c>
      <c r="AJ99" s="512">
        <f t="shared" si="134"/>
        <v>-59145.03</v>
      </c>
      <c r="AK99" s="512">
        <f t="shared" si="65"/>
        <v>-55997.869999999995</v>
      </c>
      <c r="AL99" s="285">
        <f t="shared" si="83"/>
        <v>309409.59000000008</v>
      </c>
      <c r="AM99" s="425">
        <f t="shared" si="115"/>
        <v>3</v>
      </c>
      <c r="AN99" s="14">
        <f t="shared" si="66"/>
        <v>1160.29</v>
      </c>
      <c r="AO99" s="14">
        <f t="shared" si="50"/>
        <v>237189.91</v>
      </c>
      <c r="AP99" s="14">
        <f t="shared" si="67"/>
        <v>1083.53</v>
      </c>
      <c r="AS99" s="14">
        <f t="shared" si="109"/>
        <v>1160.29</v>
      </c>
      <c r="AT99" s="14">
        <f t="shared" si="116"/>
        <v>47091.330000000024</v>
      </c>
      <c r="AU99" s="285">
        <f t="shared" si="117"/>
        <v>806.5400382711706</v>
      </c>
      <c r="AV99" s="285">
        <f t="shared" si="118"/>
        <v>61846.555346739398</v>
      </c>
    </row>
    <row r="100" spans="1:50" x14ac:dyDescent="0.25">
      <c r="A100" s="502">
        <f t="shared" si="69"/>
        <v>46959</v>
      </c>
      <c r="B100" s="285">
        <f t="shared" si="110"/>
        <v>82995.88999999997</v>
      </c>
      <c r="C100" s="14">
        <f t="shared" si="101"/>
        <v>450.28</v>
      </c>
      <c r="D100" s="14">
        <f t="shared" si="119"/>
        <v>190.91999999999996</v>
      </c>
      <c r="E100" s="14">
        <f t="shared" si="102"/>
        <v>259.36</v>
      </c>
      <c r="F100" s="14">
        <f t="shared" si="51"/>
        <v>134.16999999999999</v>
      </c>
      <c r="G100" s="14">
        <f t="shared" si="52"/>
        <v>188.55</v>
      </c>
      <c r="H100" s="14">
        <f t="shared" si="54"/>
        <v>773</v>
      </c>
      <c r="I100" s="285">
        <f t="shared" si="70"/>
        <v>14726.869999999995</v>
      </c>
      <c r="J100" s="285">
        <f t="shared" si="71"/>
        <v>24301.050000000003</v>
      </c>
      <c r="K100" s="285">
        <f t="shared" si="72"/>
        <v>82804.969999999972</v>
      </c>
      <c r="L100" s="425">
        <f t="shared" si="103"/>
        <v>3</v>
      </c>
      <c r="M100" s="425">
        <f t="shared" si="111"/>
        <v>41</v>
      </c>
      <c r="N100" s="285">
        <f t="shared" si="112"/>
        <v>250264.56000000008</v>
      </c>
      <c r="O100" s="285">
        <f t="shared" si="73"/>
        <v>1610.57</v>
      </c>
      <c r="P100" s="285">
        <f t="shared" si="120"/>
        <v>307.1099999999999</v>
      </c>
      <c r="Q100" s="285">
        <f t="shared" si="74"/>
        <v>1303.46</v>
      </c>
      <c r="R100" s="285">
        <f t="shared" si="84"/>
        <v>134.16999999999999</v>
      </c>
      <c r="S100" s="285">
        <f t="shared" si="75"/>
        <v>188.55</v>
      </c>
      <c r="T100" s="285">
        <f t="shared" si="59"/>
        <v>1933.29</v>
      </c>
      <c r="U100" s="285">
        <f t="shared" si="121"/>
        <v>11618.55</v>
      </c>
      <c r="V100" s="285">
        <f t="shared" si="122"/>
        <v>56025.389999999992</v>
      </c>
      <c r="W100" s="285">
        <f t="shared" si="76"/>
        <v>249957.4500000001</v>
      </c>
      <c r="X100" s="502">
        <f t="shared" si="113"/>
        <v>46959</v>
      </c>
      <c r="Y100" s="285">
        <f t="shared" si="77"/>
        <v>309409.59000000008</v>
      </c>
      <c r="Z100" s="494">
        <f t="shared" si="104"/>
        <v>3.7499999999999999E-2</v>
      </c>
      <c r="AA100" s="285">
        <f t="shared" si="105"/>
        <v>1533.81</v>
      </c>
      <c r="AB100" s="285">
        <f t="shared" si="78"/>
        <v>566.91</v>
      </c>
      <c r="AC100" s="285">
        <f t="shared" si="106"/>
        <v>966.9</v>
      </c>
      <c r="AD100" s="285">
        <f t="shared" ref="AD100:AE100" si="143">+AD99</f>
        <v>134.16999999999999</v>
      </c>
      <c r="AE100" s="285">
        <f t="shared" si="143"/>
        <v>188.55</v>
      </c>
      <c r="AF100" s="285">
        <f t="shared" si="80"/>
        <v>1856.53</v>
      </c>
      <c r="AG100" s="285">
        <f t="shared" si="81"/>
        <v>22350.719999999998</v>
      </c>
      <c r="AH100" s="285">
        <f t="shared" si="82"/>
        <v>42069.3</v>
      </c>
      <c r="AI100" s="512">
        <f t="shared" si="64"/>
        <v>3223.9200000000028</v>
      </c>
      <c r="AJ100" s="512">
        <f t="shared" si="134"/>
        <v>-58885.23000000001</v>
      </c>
      <c r="AK100" s="512">
        <f t="shared" si="65"/>
        <v>-55661.310000000005</v>
      </c>
      <c r="AL100" s="285">
        <f t="shared" si="83"/>
        <v>308842.68000000011</v>
      </c>
      <c r="AM100" s="425">
        <f t="shared" si="115"/>
        <v>3</v>
      </c>
      <c r="AN100" s="14">
        <f t="shared" si="66"/>
        <v>1160.29</v>
      </c>
      <c r="AO100" s="14">
        <f t="shared" si="50"/>
        <v>237073.72000000003</v>
      </c>
      <c r="AP100" s="14">
        <f t="shared" si="67"/>
        <v>1083.53</v>
      </c>
      <c r="AS100" s="14">
        <f t="shared" si="109"/>
        <v>1160.29</v>
      </c>
      <c r="AT100" s="14">
        <f t="shared" si="116"/>
        <v>48251.620000000024</v>
      </c>
      <c r="AU100" s="285">
        <f t="shared" si="117"/>
        <v>808.55638836684841</v>
      </c>
      <c r="AV100" s="285">
        <f t="shared" si="118"/>
        <v>62655.111735106249</v>
      </c>
    </row>
    <row r="101" spans="1:50" x14ac:dyDescent="0.25">
      <c r="A101" s="502">
        <f t="shared" si="69"/>
        <v>46989</v>
      </c>
      <c r="B101" s="285">
        <f t="shared" si="110"/>
        <v>82804.969999999972</v>
      </c>
      <c r="C101" s="14">
        <f t="shared" si="101"/>
        <v>450.28</v>
      </c>
      <c r="D101" s="14">
        <f t="shared" si="119"/>
        <v>191.51</v>
      </c>
      <c r="E101" s="14">
        <f t="shared" si="102"/>
        <v>258.77</v>
      </c>
      <c r="F101" s="14">
        <f t="shared" si="51"/>
        <v>134.16999999999999</v>
      </c>
      <c r="G101" s="14">
        <f t="shared" si="52"/>
        <v>188.55</v>
      </c>
      <c r="H101" s="14">
        <f t="shared" si="54"/>
        <v>773</v>
      </c>
      <c r="I101" s="285">
        <f t="shared" si="70"/>
        <v>14918.379999999996</v>
      </c>
      <c r="J101" s="285">
        <f t="shared" si="71"/>
        <v>24559.820000000003</v>
      </c>
      <c r="K101" s="285">
        <f t="shared" si="72"/>
        <v>82613.459999999977</v>
      </c>
      <c r="L101" s="425">
        <f t="shared" si="103"/>
        <v>3</v>
      </c>
      <c r="M101" s="425">
        <f t="shared" si="111"/>
        <v>42</v>
      </c>
      <c r="N101" s="285">
        <f t="shared" si="112"/>
        <v>249957.4500000001</v>
      </c>
      <c r="O101" s="285">
        <f t="shared" si="73"/>
        <v>1610.57</v>
      </c>
      <c r="P101" s="285">
        <f t="shared" si="120"/>
        <v>308.71000000000004</v>
      </c>
      <c r="Q101" s="285">
        <f t="shared" si="74"/>
        <v>1301.8599999999999</v>
      </c>
      <c r="R101" s="285">
        <f t="shared" si="84"/>
        <v>134.16999999999999</v>
      </c>
      <c r="S101" s="285">
        <f t="shared" si="75"/>
        <v>188.55</v>
      </c>
      <c r="T101" s="285">
        <f t="shared" si="59"/>
        <v>1933.29</v>
      </c>
      <c r="U101" s="285">
        <f t="shared" si="121"/>
        <v>11927.259999999998</v>
      </c>
      <c r="V101" s="285">
        <f t="shared" si="122"/>
        <v>57327.249999999993</v>
      </c>
      <c r="W101" s="285">
        <f t="shared" si="76"/>
        <v>249648.74000000011</v>
      </c>
      <c r="X101" s="502">
        <f t="shared" si="113"/>
        <v>46989</v>
      </c>
      <c r="Y101" s="285">
        <f t="shared" si="77"/>
        <v>308842.68000000011</v>
      </c>
      <c r="Z101" s="494">
        <f t="shared" si="104"/>
        <v>3.7499999999999999E-2</v>
      </c>
      <c r="AA101" s="285">
        <f t="shared" si="105"/>
        <v>1533.81</v>
      </c>
      <c r="AB101" s="285">
        <f t="shared" si="78"/>
        <v>568.67999999999995</v>
      </c>
      <c r="AC101" s="285">
        <f t="shared" si="106"/>
        <v>965.13</v>
      </c>
      <c r="AD101" s="285">
        <f t="shared" ref="AD101:AE101" si="144">+AD100</f>
        <v>134.16999999999999</v>
      </c>
      <c r="AE101" s="285">
        <f t="shared" si="144"/>
        <v>188.55</v>
      </c>
      <c r="AF101" s="285">
        <f t="shared" si="80"/>
        <v>1856.53</v>
      </c>
      <c r="AG101" s="285">
        <f t="shared" si="81"/>
        <v>22919.399999999998</v>
      </c>
      <c r="AH101" s="285">
        <f t="shared" si="82"/>
        <v>43034.43</v>
      </c>
      <c r="AI101" s="512">
        <f t="shared" si="64"/>
        <v>3300.680000000003</v>
      </c>
      <c r="AJ101" s="512">
        <f t="shared" si="134"/>
        <v>-58625.260000000009</v>
      </c>
      <c r="AK101" s="512">
        <f t="shared" si="65"/>
        <v>-55324.580000000009</v>
      </c>
      <c r="AL101" s="285">
        <f t="shared" si="83"/>
        <v>308274.00000000012</v>
      </c>
      <c r="AM101" s="425">
        <f t="shared" si="115"/>
        <v>3</v>
      </c>
      <c r="AN101" s="14">
        <f t="shared" si="66"/>
        <v>1160.29</v>
      </c>
      <c r="AO101" s="14">
        <f t="shared" si="50"/>
        <v>236956.52000000002</v>
      </c>
      <c r="AP101" s="14">
        <f t="shared" si="67"/>
        <v>1083.53</v>
      </c>
      <c r="AS101" s="14">
        <f t="shared" si="109"/>
        <v>1160.29</v>
      </c>
      <c r="AT101" s="14">
        <f t="shared" si="116"/>
        <v>49411.910000000025</v>
      </c>
      <c r="AU101" s="285">
        <f t="shared" si="117"/>
        <v>810.57777933776561</v>
      </c>
      <c r="AV101" s="285">
        <f t="shared" si="118"/>
        <v>63465.689514444013</v>
      </c>
    </row>
    <row r="102" spans="1:50" x14ac:dyDescent="0.25">
      <c r="A102" s="502">
        <f t="shared" si="69"/>
        <v>47019</v>
      </c>
      <c r="B102" s="285">
        <f t="shared" si="110"/>
        <v>82613.459999999977</v>
      </c>
      <c r="C102" s="14">
        <f t="shared" si="101"/>
        <v>450.28</v>
      </c>
      <c r="D102" s="14">
        <f t="shared" si="119"/>
        <v>192.10999999999996</v>
      </c>
      <c r="E102" s="14">
        <f t="shared" si="102"/>
        <v>258.17</v>
      </c>
      <c r="F102" s="14">
        <f t="shared" si="51"/>
        <v>134.16999999999999</v>
      </c>
      <c r="G102" s="14">
        <f t="shared" si="52"/>
        <v>188.55</v>
      </c>
      <c r="H102" s="14">
        <f t="shared" si="54"/>
        <v>773</v>
      </c>
      <c r="I102" s="285">
        <f t="shared" si="70"/>
        <v>15110.489999999996</v>
      </c>
      <c r="J102" s="285">
        <f t="shared" si="71"/>
        <v>24817.99</v>
      </c>
      <c r="K102" s="285">
        <f t="shared" si="72"/>
        <v>82421.349999999977</v>
      </c>
      <c r="L102" s="425">
        <f t="shared" si="103"/>
        <v>3</v>
      </c>
      <c r="M102" s="425">
        <f t="shared" si="111"/>
        <v>43</v>
      </c>
      <c r="N102" s="285">
        <f t="shared" si="112"/>
        <v>249648.74000000011</v>
      </c>
      <c r="O102" s="285">
        <f t="shared" si="73"/>
        <v>1610.57</v>
      </c>
      <c r="P102" s="285">
        <f t="shared" si="120"/>
        <v>310.31999999999994</v>
      </c>
      <c r="Q102" s="285">
        <f t="shared" si="74"/>
        <v>1300.25</v>
      </c>
      <c r="R102" s="285">
        <f t="shared" si="84"/>
        <v>134.16999999999999</v>
      </c>
      <c r="S102" s="285">
        <f t="shared" si="75"/>
        <v>188.55</v>
      </c>
      <c r="T102" s="285">
        <f t="shared" si="59"/>
        <v>1933.29</v>
      </c>
      <c r="U102" s="285">
        <f t="shared" si="121"/>
        <v>12237.579999999998</v>
      </c>
      <c r="V102" s="285">
        <f t="shared" si="122"/>
        <v>58627.499999999993</v>
      </c>
      <c r="W102" s="285">
        <f t="shared" si="76"/>
        <v>249338.4200000001</v>
      </c>
      <c r="X102" s="502">
        <f t="shared" si="113"/>
        <v>47019</v>
      </c>
      <c r="Y102" s="285">
        <f t="shared" si="77"/>
        <v>308274.00000000012</v>
      </c>
      <c r="Z102" s="494">
        <f t="shared" si="104"/>
        <v>3.7499999999999999E-2</v>
      </c>
      <c r="AA102" s="285">
        <f t="shared" si="105"/>
        <v>1533.81</v>
      </c>
      <c r="AB102" s="285">
        <f t="shared" si="78"/>
        <v>570.44999999999993</v>
      </c>
      <c r="AC102" s="285">
        <f t="shared" si="106"/>
        <v>963.36</v>
      </c>
      <c r="AD102" s="285">
        <f t="shared" ref="AD102:AE102" si="145">+AD101</f>
        <v>134.16999999999999</v>
      </c>
      <c r="AE102" s="285">
        <f t="shared" si="145"/>
        <v>188.55</v>
      </c>
      <c r="AF102" s="285">
        <f t="shared" si="80"/>
        <v>1856.53</v>
      </c>
      <c r="AG102" s="285">
        <f t="shared" si="81"/>
        <v>23489.85</v>
      </c>
      <c r="AH102" s="285">
        <f t="shared" si="82"/>
        <v>43997.79</v>
      </c>
      <c r="AI102" s="512">
        <f t="shared" si="64"/>
        <v>3377.4400000000032</v>
      </c>
      <c r="AJ102" s="512">
        <f t="shared" si="134"/>
        <v>-58365.130000000005</v>
      </c>
      <c r="AK102" s="512">
        <f t="shared" si="65"/>
        <v>-54987.69</v>
      </c>
      <c r="AL102" s="285">
        <f t="shared" si="83"/>
        <v>307703.5500000001</v>
      </c>
      <c r="AM102" s="425">
        <f t="shared" si="115"/>
        <v>3</v>
      </c>
      <c r="AN102" s="14">
        <f t="shared" si="66"/>
        <v>1160.29</v>
      </c>
      <c r="AO102" s="14">
        <f t="shared" si="50"/>
        <v>236838.31000000003</v>
      </c>
      <c r="AP102" s="14">
        <f t="shared" si="67"/>
        <v>1083.53</v>
      </c>
      <c r="AS102" s="14">
        <f t="shared" si="109"/>
        <v>1160.29</v>
      </c>
      <c r="AT102" s="14">
        <f t="shared" si="116"/>
        <v>50572.200000000026</v>
      </c>
      <c r="AU102" s="285">
        <f t="shared" si="117"/>
        <v>812.60422378611008</v>
      </c>
      <c r="AV102" s="285">
        <f t="shared" si="118"/>
        <v>64278.293738230124</v>
      </c>
    </row>
    <row r="103" spans="1:50" x14ac:dyDescent="0.25">
      <c r="A103" s="502">
        <f t="shared" si="69"/>
        <v>47049</v>
      </c>
      <c r="B103" s="285">
        <f t="shared" si="110"/>
        <v>82421.349999999977</v>
      </c>
      <c r="C103" s="14">
        <f t="shared" si="101"/>
        <v>450.28</v>
      </c>
      <c r="D103" s="14">
        <f t="shared" si="119"/>
        <v>192.70999999999998</v>
      </c>
      <c r="E103" s="14">
        <f t="shared" si="102"/>
        <v>257.57</v>
      </c>
      <c r="F103" s="14">
        <f t="shared" si="51"/>
        <v>134.16999999999999</v>
      </c>
      <c r="G103" s="14">
        <f t="shared" si="52"/>
        <v>188.55</v>
      </c>
      <c r="H103" s="14">
        <f t="shared" si="54"/>
        <v>773</v>
      </c>
      <c r="I103" s="285">
        <f t="shared" si="70"/>
        <v>15303.199999999995</v>
      </c>
      <c r="J103" s="285">
        <f t="shared" si="71"/>
        <v>25075.56</v>
      </c>
      <c r="K103" s="285">
        <f t="shared" si="72"/>
        <v>82228.63999999997</v>
      </c>
      <c r="L103" s="425">
        <f t="shared" si="103"/>
        <v>3</v>
      </c>
      <c r="M103" s="425">
        <f t="shared" si="111"/>
        <v>44</v>
      </c>
      <c r="N103" s="285">
        <f t="shared" si="112"/>
        <v>249338.4200000001</v>
      </c>
      <c r="O103" s="285">
        <f t="shared" si="73"/>
        <v>1610.57</v>
      </c>
      <c r="P103" s="285">
        <f t="shared" si="120"/>
        <v>311.92999999999984</v>
      </c>
      <c r="Q103" s="285">
        <f t="shared" si="74"/>
        <v>1298.6400000000001</v>
      </c>
      <c r="R103" s="285">
        <f t="shared" si="84"/>
        <v>134.16999999999999</v>
      </c>
      <c r="S103" s="285">
        <f t="shared" si="75"/>
        <v>188.55</v>
      </c>
      <c r="T103" s="285">
        <f t="shared" si="59"/>
        <v>1933.29</v>
      </c>
      <c r="U103" s="285">
        <f t="shared" si="121"/>
        <v>12549.509999999998</v>
      </c>
      <c r="V103" s="285">
        <f t="shared" si="122"/>
        <v>59926.139999999992</v>
      </c>
      <c r="W103" s="285">
        <f t="shared" si="76"/>
        <v>249026.49000000011</v>
      </c>
      <c r="X103" s="502">
        <f t="shared" si="113"/>
        <v>47049</v>
      </c>
      <c r="Y103" s="285">
        <f t="shared" si="77"/>
        <v>307703.5500000001</v>
      </c>
      <c r="Z103" s="494">
        <f t="shared" si="104"/>
        <v>3.7499999999999999E-2</v>
      </c>
      <c r="AA103" s="285">
        <f t="shared" si="105"/>
        <v>1533.81</v>
      </c>
      <c r="AB103" s="285">
        <f t="shared" si="78"/>
        <v>572.2399999999999</v>
      </c>
      <c r="AC103" s="285">
        <f t="shared" si="106"/>
        <v>961.57</v>
      </c>
      <c r="AD103" s="285">
        <f t="shared" ref="AD103:AE103" si="146">+AD102</f>
        <v>134.16999999999999</v>
      </c>
      <c r="AE103" s="285">
        <f t="shared" si="146"/>
        <v>188.55</v>
      </c>
      <c r="AF103" s="285">
        <f t="shared" si="80"/>
        <v>1856.53</v>
      </c>
      <c r="AG103" s="285">
        <f t="shared" si="81"/>
        <v>24062.09</v>
      </c>
      <c r="AH103" s="285">
        <f t="shared" si="82"/>
        <v>44959.360000000001</v>
      </c>
      <c r="AI103" s="512">
        <f t="shared" si="64"/>
        <v>3454.2000000000035</v>
      </c>
      <c r="AJ103" s="512">
        <f t="shared" si="134"/>
        <v>-58104.820000000007</v>
      </c>
      <c r="AK103" s="512">
        <f t="shared" si="65"/>
        <v>-54650.62</v>
      </c>
      <c r="AL103" s="285">
        <f t="shared" si="83"/>
        <v>307131.31000000011</v>
      </c>
      <c r="AM103" s="425">
        <f t="shared" si="115"/>
        <v>3</v>
      </c>
      <c r="AN103" s="14">
        <f t="shared" si="66"/>
        <v>1160.29</v>
      </c>
      <c r="AO103" s="14">
        <f t="shared" si="50"/>
        <v>236719.09</v>
      </c>
      <c r="AP103" s="14">
        <f t="shared" si="67"/>
        <v>1083.53</v>
      </c>
      <c r="AS103" s="14">
        <f t="shared" si="109"/>
        <v>1160.29</v>
      </c>
      <c r="AT103" s="14">
        <f t="shared" si="116"/>
        <v>51732.490000000027</v>
      </c>
      <c r="AU103" s="285">
        <f t="shared" si="117"/>
        <v>814.63573434557532</v>
      </c>
      <c r="AV103" s="285">
        <f t="shared" si="118"/>
        <v>65092.929472575699</v>
      </c>
    </row>
    <row r="104" spans="1:50" x14ac:dyDescent="0.25">
      <c r="A104" s="502">
        <f t="shared" si="69"/>
        <v>47079</v>
      </c>
      <c r="B104" s="285">
        <f t="shared" si="110"/>
        <v>82228.63999999997</v>
      </c>
      <c r="C104" s="14">
        <f t="shared" si="101"/>
        <v>450.28</v>
      </c>
      <c r="D104" s="14">
        <f t="shared" si="119"/>
        <v>193.32</v>
      </c>
      <c r="E104" s="14">
        <f t="shared" si="102"/>
        <v>256.95999999999998</v>
      </c>
      <c r="F104" s="14">
        <f t="shared" si="51"/>
        <v>134.16999999999999</v>
      </c>
      <c r="G104" s="14">
        <f t="shared" si="52"/>
        <v>188.55</v>
      </c>
      <c r="H104" s="14">
        <f t="shared" si="54"/>
        <v>773</v>
      </c>
      <c r="I104" s="285">
        <f t="shared" si="70"/>
        <v>15496.519999999995</v>
      </c>
      <c r="J104" s="285">
        <f t="shared" si="71"/>
        <v>25332.52</v>
      </c>
      <c r="K104" s="285">
        <f t="shared" si="72"/>
        <v>82035.319999999963</v>
      </c>
      <c r="L104" s="425">
        <f t="shared" si="103"/>
        <v>3</v>
      </c>
      <c r="M104" s="425">
        <f t="shared" si="111"/>
        <v>45</v>
      </c>
      <c r="N104" s="285">
        <f t="shared" si="112"/>
        <v>249026.49000000011</v>
      </c>
      <c r="O104" s="285">
        <f t="shared" si="73"/>
        <v>1610.57</v>
      </c>
      <c r="P104" s="285">
        <f t="shared" si="120"/>
        <v>313.55999999999995</v>
      </c>
      <c r="Q104" s="285">
        <f t="shared" si="74"/>
        <v>1297.01</v>
      </c>
      <c r="R104" s="285">
        <f t="shared" si="84"/>
        <v>134.16999999999999</v>
      </c>
      <c r="S104" s="285">
        <f t="shared" si="75"/>
        <v>188.55</v>
      </c>
      <c r="T104" s="285">
        <f t="shared" si="59"/>
        <v>1933.29</v>
      </c>
      <c r="U104" s="285">
        <f t="shared" si="121"/>
        <v>12863.069999999998</v>
      </c>
      <c r="V104" s="285">
        <f t="shared" si="122"/>
        <v>61223.149999999994</v>
      </c>
      <c r="W104" s="285">
        <f t="shared" si="76"/>
        <v>248712.93000000011</v>
      </c>
      <c r="X104" s="502">
        <f t="shared" si="113"/>
        <v>47079</v>
      </c>
      <c r="Y104" s="285">
        <f t="shared" si="77"/>
        <v>307131.31000000011</v>
      </c>
      <c r="Z104" s="494">
        <f t="shared" si="104"/>
        <v>3.7499999999999999E-2</v>
      </c>
      <c r="AA104" s="285">
        <f t="shared" si="105"/>
        <v>1533.81</v>
      </c>
      <c r="AB104" s="285">
        <f t="shared" si="78"/>
        <v>574.02</v>
      </c>
      <c r="AC104" s="285">
        <f t="shared" si="106"/>
        <v>959.79</v>
      </c>
      <c r="AD104" s="285">
        <f t="shared" ref="AD104:AE104" si="147">+AD103</f>
        <v>134.16999999999999</v>
      </c>
      <c r="AE104" s="285">
        <f t="shared" si="147"/>
        <v>188.55</v>
      </c>
      <c r="AF104" s="285">
        <f t="shared" si="80"/>
        <v>1856.53</v>
      </c>
      <c r="AG104" s="285">
        <f t="shared" si="81"/>
        <v>24636.11</v>
      </c>
      <c r="AH104" s="285">
        <f t="shared" si="82"/>
        <v>45919.15</v>
      </c>
      <c r="AI104" s="512">
        <f t="shared" si="64"/>
        <v>3530.9600000000037</v>
      </c>
      <c r="AJ104" s="512">
        <f t="shared" si="134"/>
        <v>-57844.359999999986</v>
      </c>
      <c r="AK104" s="512">
        <f t="shared" si="65"/>
        <v>-54313.39999999998</v>
      </c>
      <c r="AL104" s="285">
        <f t="shared" si="83"/>
        <v>306557.2900000001</v>
      </c>
      <c r="AM104" s="425">
        <f t="shared" si="115"/>
        <v>3</v>
      </c>
      <c r="AN104" s="14">
        <f t="shared" si="66"/>
        <v>1160.29</v>
      </c>
      <c r="AO104" s="14">
        <f t="shared" si="50"/>
        <v>236598.85</v>
      </c>
      <c r="AP104" s="14">
        <f t="shared" si="67"/>
        <v>1083.53</v>
      </c>
      <c r="AS104" s="14">
        <f t="shared" si="109"/>
        <v>1160.29</v>
      </c>
      <c r="AT104" s="14">
        <f t="shared" si="116"/>
        <v>52892.780000000028</v>
      </c>
      <c r="AU104" s="285">
        <f t="shared" si="117"/>
        <v>816.67232368143925</v>
      </c>
      <c r="AV104" s="285">
        <f t="shared" si="118"/>
        <v>65909.601796257135</v>
      </c>
    </row>
    <row r="105" spans="1:50" x14ac:dyDescent="0.25">
      <c r="A105" s="502">
        <f t="shared" si="69"/>
        <v>47109</v>
      </c>
      <c r="B105" s="285">
        <f t="shared" si="110"/>
        <v>82035.319999999963</v>
      </c>
      <c r="C105" s="14">
        <f t="shared" si="101"/>
        <v>450.28</v>
      </c>
      <c r="D105" s="14">
        <f t="shared" si="119"/>
        <v>193.91999999999996</v>
      </c>
      <c r="E105" s="14">
        <f t="shared" si="102"/>
        <v>256.36</v>
      </c>
      <c r="F105" s="14">
        <f t="shared" si="51"/>
        <v>134.16999999999999</v>
      </c>
      <c r="G105" s="14">
        <f t="shared" si="52"/>
        <v>188.55</v>
      </c>
      <c r="H105" s="14">
        <f t="shared" si="54"/>
        <v>773</v>
      </c>
      <c r="I105" s="285">
        <f t="shared" si="70"/>
        <v>15690.439999999995</v>
      </c>
      <c r="J105" s="285">
        <f t="shared" si="71"/>
        <v>25588.880000000001</v>
      </c>
      <c r="K105" s="285">
        <f t="shared" si="72"/>
        <v>81841.399999999965</v>
      </c>
      <c r="L105" s="425">
        <f t="shared" si="103"/>
        <v>3</v>
      </c>
      <c r="M105" s="425">
        <f t="shared" si="111"/>
        <v>46</v>
      </c>
      <c r="N105" s="285">
        <f t="shared" si="112"/>
        <v>248712.93000000011</v>
      </c>
      <c r="O105" s="285">
        <f t="shared" si="73"/>
        <v>1610.57</v>
      </c>
      <c r="P105" s="285">
        <f t="shared" si="120"/>
        <v>315.18999999999983</v>
      </c>
      <c r="Q105" s="285">
        <f t="shared" si="74"/>
        <v>1295.3800000000001</v>
      </c>
      <c r="R105" s="285">
        <f t="shared" si="84"/>
        <v>134.16999999999999</v>
      </c>
      <c r="S105" s="285">
        <f t="shared" si="75"/>
        <v>188.55</v>
      </c>
      <c r="T105" s="285">
        <f t="shared" si="59"/>
        <v>1933.29</v>
      </c>
      <c r="U105" s="285">
        <f t="shared" si="121"/>
        <v>13178.259999999998</v>
      </c>
      <c r="V105" s="285">
        <f t="shared" si="122"/>
        <v>62518.529999999992</v>
      </c>
      <c r="W105" s="285">
        <f t="shared" si="76"/>
        <v>248397.74000000011</v>
      </c>
      <c r="X105" s="502">
        <f t="shared" si="113"/>
        <v>47109</v>
      </c>
      <c r="Y105" s="285">
        <f t="shared" si="77"/>
        <v>306557.2900000001</v>
      </c>
      <c r="Z105" s="494">
        <f t="shared" si="104"/>
        <v>3.7499999999999999E-2</v>
      </c>
      <c r="AA105" s="285">
        <f t="shared" si="105"/>
        <v>1533.81</v>
      </c>
      <c r="AB105" s="285">
        <f t="shared" si="78"/>
        <v>575.81999999999994</v>
      </c>
      <c r="AC105" s="285">
        <f t="shared" si="106"/>
        <v>957.99</v>
      </c>
      <c r="AD105" s="285">
        <f t="shared" ref="AD105:AE105" si="148">+AD104</f>
        <v>134.16999999999999</v>
      </c>
      <c r="AE105" s="285">
        <f t="shared" si="148"/>
        <v>188.55</v>
      </c>
      <c r="AF105" s="285">
        <f t="shared" si="80"/>
        <v>1856.53</v>
      </c>
      <c r="AG105" s="285">
        <f t="shared" si="81"/>
        <v>25211.93</v>
      </c>
      <c r="AH105" s="285">
        <f t="shared" si="82"/>
        <v>46877.14</v>
      </c>
      <c r="AI105" s="512">
        <f t="shared" si="64"/>
        <v>3607.7200000000039</v>
      </c>
      <c r="AJ105" s="512">
        <f t="shared" si="134"/>
        <v>-57583.729999999981</v>
      </c>
      <c r="AK105" s="512">
        <f t="shared" si="65"/>
        <v>-53976.00999999998</v>
      </c>
      <c r="AL105" s="285">
        <f t="shared" si="83"/>
        <v>305981.47000000009</v>
      </c>
      <c r="AM105" s="425">
        <f t="shared" si="115"/>
        <v>3</v>
      </c>
      <c r="AN105" s="14">
        <f t="shared" si="66"/>
        <v>1160.29</v>
      </c>
      <c r="AO105" s="14">
        <f t="shared" si="50"/>
        <v>236477.58000000002</v>
      </c>
      <c r="AP105" s="14">
        <f t="shared" si="67"/>
        <v>1083.53</v>
      </c>
      <c r="AS105" s="14">
        <f t="shared" si="109"/>
        <v>1160.29</v>
      </c>
      <c r="AT105" s="14">
        <f t="shared" si="116"/>
        <v>54053.070000000029</v>
      </c>
      <c r="AU105" s="285">
        <f t="shared" si="117"/>
        <v>818.71400449064276</v>
      </c>
      <c r="AV105" s="285">
        <f t="shared" si="118"/>
        <v>66728.315800747776</v>
      </c>
    </row>
    <row r="106" spans="1:50" x14ac:dyDescent="0.25">
      <c r="A106" s="502">
        <f t="shared" si="69"/>
        <v>47139</v>
      </c>
      <c r="B106" s="285">
        <f t="shared" si="110"/>
        <v>81841.399999999965</v>
      </c>
      <c r="C106" s="14">
        <f t="shared" si="101"/>
        <v>450.28</v>
      </c>
      <c r="D106" s="14">
        <f t="shared" si="119"/>
        <v>194.52999999999997</v>
      </c>
      <c r="E106" s="14">
        <f t="shared" si="102"/>
        <v>255.75</v>
      </c>
      <c r="F106" s="14">
        <f t="shared" si="51"/>
        <v>134.16999999999999</v>
      </c>
      <c r="G106" s="14">
        <f t="shared" si="52"/>
        <v>188.55</v>
      </c>
      <c r="H106" s="14">
        <f t="shared" si="54"/>
        <v>773</v>
      </c>
      <c r="I106" s="285">
        <f t="shared" si="70"/>
        <v>15884.969999999996</v>
      </c>
      <c r="J106" s="285">
        <f t="shared" si="71"/>
        <v>25844.63</v>
      </c>
      <c r="K106" s="285">
        <f t="shared" si="72"/>
        <v>81646.869999999966</v>
      </c>
      <c r="L106" s="425">
        <f t="shared" si="103"/>
        <v>3</v>
      </c>
      <c r="M106" s="425">
        <f t="shared" si="111"/>
        <v>47</v>
      </c>
      <c r="N106" s="285">
        <f t="shared" si="112"/>
        <v>248397.74000000011</v>
      </c>
      <c r="O106" s="285">
        <f t="shared" si="73"/>
        <v>1610.57</v>
      </c>
      <c r="P106" s="285">
        <f t="shared" si="120"/>
        <v>316.82999999999993</v>
      </c>
      <c r="Q106" s="285">
        <f t="shared" si="74"/>
        <v>1293.74</v>
      </c>
      <c r="R106" s="285">
        <f t="shared" si="84"/>
        <v>134.16999999999999</v>
      </c>
      <c r="S106" s="285">
        <f t="shared" si="75"/>
        <v>188.55</v>
      </c>
      <c r="T106" s="285">
        <f t="shared" si="59"/>
        <v>1933.29</v>
      </c>
      <c r="U106" s="285">
        <f t="shared" si="121"/>
        <v>13495.089999999998</v>
      </c>
      <c r="V106" s="285">
        <f t="shared" si="122"/>
        <v>63812.26999999999</v>
      </c>
      <c r="W106" s="285">
        <f t="shared" si="76"/>
        <v>248080.91000000012</v>
      </c>
      <c r="X106" s="502">
        <f t="shared" si="113"/>
        <v>47139</v>
      </c>
      <c r="Y106" s="285">
        <f t="shared" si="77"/>
        <v>305981.47000000009</v>
      </c>
      <c r="Z106" s="494">
        <f t="shared" si="104"/>
        <v>3.7499999999999999E-2</v>
      </c>
      <c r="AA106" s="285">
        <f t="shared" si="105"/>
        <v>1533.81</v>
      </c>
      <c r="AB106" s="285">
        <f t="shared" si="78"/>
        <v>577.61999999999989</v>
      </c>
      <c r="AC106" s="285">
        <f t="shared" si="106"/>
        <v>956.19</v>
      </c>
      <c r="AD106" s="285">
        <f t="shared" ref="AD106:AE106" si="149">+AD105</f>
        <v>134.16999999999999</v>
      </c>
      <c r="AE106" s="285">
        <f t="shared" si="149"/>
        <v>188.55</v>
      </c>
      <c r="AF106" s="285">
        <f t="shared" si="80"/>
        <v>1856.53</v>
      </c>
      <c r="AG106" s="285">
        <f t="shared" si="81"/>
        <v>25789.55</v>
      </c>
      <c r="AH106" s="285">
        <f t="shared" si="82"/>
        <v>47833.33</v>
      </c>
      <c r="AI106" s="512">
        <f t="shared" si="64"/>
        <v>3684.4800000000041</v>
      </c>
      <c r="AJ106" s="512">
        <f t="shared" si="134"/>
        <v>-57322.939999999973</v>
      </c>
      <c r="AK106" s="512">
        <f t="shared" si="65"/>
        <v>-53638.45999999997</v>
      </c>
      <c r="AL106" s="285">
        <f t="shared" si="83"/>
        <v>305403.85000000009</v>
      </c>
      <c r="AM106" s="425">
        <f t="shared" si="115"/>
        <v>3</v>
      </c>
      <c r="AN106" s="14">
        <f t="shared" si="66"/>
        <v>1160.29</v>
      </c>
      <c r="AO106" s="14">
        <f t="shared" si="50"/>
        <v>236355.28000000003</v>
      </c>
      <c r="AP106" s="14">
        <f t="shared" si="67"/>
        <v>1083.53</v>
      </c>
      <c r="AS106" s="14">
        <f t="shared" si="109"/>
        <v>1160.29</v>
      </c>
      <c r="AT106" s="14">
        <f t="shared" si="116"/>
        <v>55213.36000000003</v>
      </c>
      <c r="AU106" s="285">
        <f t="shared" si="117"/>
        <v>820.76078950186945</v>
      </c>
      <c r="AV106" s="285">
        <f t="shared" si="118"/>
        <v>67549.07659024965</v>
      </c>
    </row>
    <row r="107" spans="1:50" x14ac:dyDescent="0.25">
      <c r="A107" s="502">
        <f t="shared" si="69"/>
        <v>47169</v>
      </c>
      <c r="B107" s="285">
        <f t="shared" si="110"/>
        <v>81646.869999999966</v>
      </c>
      <c r="C107" s="14">
        <f t="shared" si="101"/>
        <v>450.28</v>
      </c>
      <c r="D107" s="14">
        <f t="shared" si="119"/>
        <v>195.12999999999997</v>
      </c>
      <c r="E107" s="14">
        <f t="shared" si="102"/>
        <v>255.15</v>
      </c>
      <c r="F107" s="14">
        <f t="shared" si="51"/>
        <v>134.16999999999999</v>
      </c>
      <c r="G107" s="14">
        <f t="shared" si="52"/>
        <v>188.55</v>
      </c>
      <c r="H107" s="14">
        <f t="shared" si="54"/>
        <v>773</v>
      </c>
      <c r="I107" s="285">
        <f t="shared" si="70"/>
        <v>16080.099999999995</v>
      </c>
      <c r="J107" s="285">
        <f t="shared" si="71"/>
        <v>26099.780000000002</v>
      </c>
      <c r="K107" s="285">
        <f t="shared" si="72"/>
        <v>81451.739999999962</v>
      </c>
      <c r="L107" s="425">
        <f t="shared" si="103"/>
        <v>4</v>
      </c>
      <c r="M107" s="425">
        <f t="shared" si="111"/>
        <v>48</v>
      </c>
      <c r="N107" s="285">
        <f t="shared" si="112"/>
        <v>248080.91000000012</v>
      </c>
      <c r="O107" s="285">
        <f t="shared" si="73"/>
        <v>1610.57</v>
      </c>
      <c r="P107" s="285">
        <f t="shared" si="120"/>
        <v>318.48</v>
      </c>
      <c r="Q107" s="285">
        <f t="shared" si="74"/>
        <v>1292.0899999999999</v>
      </c>
      <c r="R107" s="285">
        <f t="shared" si="84"/>
        <v>134.16999999999999</v>
      </c>
      <c r="S107" s="285">
        <f t="shared" si="75"/>
        <v>188.55</v>
      </c>
      <c r="T107" s="285">
        <f t="shared" si="59"/>
        <v>1933.29</v>
      </c>
      <c r="U107" s="285">
        <f t="shared" si="121"/>
        <v>13813.569999999998</v>
      </c>
      <c r="V107" s="285">
        <f t="shared" si="122"/>
        <v>65104.359999999986</v>
      </c>
      <c r="W107" s="285">
        <f t="shared" si="76"/>
        <v>247762.43000000011</v>
      </c>
      <c r="X107" s="502">
        <f t="shared" si="113"/>
        <v>47169</v>
      </c>
      <c r="Y107" s="285">
        <f t="shared" si="77"/>
        <v>305403.85000000009</v>
      </c>
      <c r="Z107" s="494">
        <f t="shared" si="104"/>
        <v>3.7499999999999999E-2</v>
      </c>
      <c r="AA107" s="285">
        <f t="shared" si="105"/>
        <v>1533.81</v>
      </c>
      <c r="AB107" s="285">
        <f t="shared" si="78"/>
        <v>579.41999999999996</v>
      </c>
      <c r="AC107" s="285">
        <f t="shared" si="106"/>
        <v>954.39</v>
      </c>
      <c r="AD107" s="285">
        <f t="shared" ref="AD107:AE107" si="150">+AD106</f>
        <v>134.16999999999999</v>
      </c>
      <c r="AE107" s="285">
        <f t="shared" si="150"/>
        <v>188.55</v>
      </c>
      <c r="AF107" s="285">
        <f t="shared" si="80"/>
        <v>1856.53</v>
      </c>
      <c r="AG107" s="285">
        <f t="shared" si="81"/>
        <v>26368.969999999998</v>
      </c>
      <c r="AH107" s="285">
        <f t="shared" si="82"/>
        <v>48787.72</v>
      </c>
      <c r="AI107" s="512">
        <f t="shared" si="64"/>
        <v>3761.2400000000043</v>
      </c>
      <c r="AJ107" s="512">
        <f t="shared" si="134"/>
        <v>-57062</v>
      </c>
      <c r="AK107" s="512">
        <f t="shared" si="65"/>
        <v>-53300.759999999995</v>
      </c>
      <c r="AL107" s="285">
        <f t="shared" si="83"/>
        <v>304824.43000000011</v>
      </c>
      <c r="AM107" s="425">
        <f t="shared" si="115"/>
        <v>4</v>
      </c>
      <c r="AN107" s="14">
        <f t="shared" si="66"/>
        <v>1160.29</v>
      </c>
      <c r="AO107" s="14">
        <f t="shared" si="50"/>
        <v>236231.93000000002</v>
      </c>
      <c r="AP107" s="14">
        <f t="shared" si="67"/>
        <v>1083.53</v>
      </c>
      <c r="AS107" s="14">
        <f t="shared" si="109"/>
        <v>1160.29</v>
      </c>
      <c r="AT107" s="14">
        <f t="shared" si="116"/>
        <v>56373.650000000031</v>
      </c>
      <c r="AU107" s="285">
        <f t="shared" si="117"/>
        <v>822.81269147562409</v>
      </c>
      <c r="AV107" s="285">
        <f t="shared" si="118"/>
        <v>68371.889281725278</v>
      </c>
      <c r="AX107" s="479"/>
    </row>
    <row r="108" spans="1:50" x14ac:dyDescent="0.25">
      <c r="A108" s="502">
        <f t="shared" si="69"/>
        <v>47199</v>
      </c>
      <c r="B108" s="285">
        <f t="shared" si="110"/>
        <v>81451.739999999962</v>
      </c>
      <c r="C108" s="14">
        <f t="shared" si="101"/>
        <v>450.28</v>
      </c>
      <c r="D108" s="14">
        <f t="shared" si="119"/>
        <v>195.73999999999998</v>
      </c>
      <c r="E108" s="14">
        <f t="shared" si="102"/>
        <v>254.54</v>
      </c>
      <c r="F108" s="14">
        <f t="shared" si="51"/>
        <v>134.16999999999999</v>
      </c>
      <c r="G108" s="14">
        <f t="shared" si="52"/>
        <v>188.55</v>
      </c>
      <c r="H108" s="14">
        <f t="shared" si="54"/>
        <v>773</v>
      </c>
      <c r="I108" s="285">
        <f t="shared" si="70"/>
        <v>16275.839999999995</v>
      </c>
      <c r="J108" s="285">
        <f t="shared" si="71"/>
        <v>26354.320000000003</v>
      </c>
      <c r="K108" s="285">
        <f t="shared" si="72"/>
        <v>81255.999999999956</v>
      </c>
      <c r="L108" s="425">
        <f>IF(MOD(M108,12)=0,M108/12,L107)</f>
        <v>4</v>
      </c>
      <c r="M108" s="425">
        <f t="shared" si="111"/>
        <v>49</v>
      </c>
      <c r="N108" s="285">
        <f t="shared" si="112"/>
        <v>247762.43000000011</v>
      </c>
      <c r="O108" s="285">
        <f t="shared" si="73"/>
        <v>1610.57</v>
      </c>
      <c r="P108" s="285">
        <f t="shared" si="120"/>
        <v>320.13999999999987</v>
      </c>
      <c r="Q108" s="285">
        <f t="shared" si="74"/>
        <v>1290.43</v>
      </c>
      <c r="R108" s="285">
        <f t="shared" si="84"/>
        <v>134.16999999999999</v>
      </c>
      <c r="S108" s="285">
        <f t="shared" si="75"/>
        <v>188.55</v>
      </c>
      <c r="T108" s="285">
        <f t="shared" si="59"/>
        <v>1933.29</v>
      </c>
      <c r="U108" s="285">
        <f t="shared" si="121"/>
        <v>14133.709999999997</v>
      </c>
      <c r="V108" s="285">
        <f t="shared" si="122"/>
        <v>66394.789999999979</v>
      </c>
      <c r="W108" s="285">
        <f t="shared" si="76"/>
        <v>247442.2900000001</v>
      </c>
      <c r="X108" s="502">
        <f t="shared" si="113"/>
        <v>47199</v>
      </c>
      <c r="Y108" s="285">
        <f t="shared" si="77"/>
        <v>304824.43000000011</v>
      </c>
      <c r="Z108" s="494">
        <f t="shared" si="104"/>
        <v>3.7499999999999999E-2</v>
      </c>
      <c r="AA108" s="285">
        <f t="shared" si="105"/>
        <v>1533.81</v>
      </c>
      <c r="AB108" s="285">
        <f t="shared" si="78"/>
        <v>581.2299999999999</v>
      </c>
      <c r="AC108" s="285">
        <f t="shared" si="106"/>
        <v>952.58</v>
      </c>
      <c r="AD108" s="285">
        <f t="shared" ref="AD108:AE108" si="151">+AD107</f>
        <v>134.16999999999999</v>
      </c>
      <c r="AE108" s="285">
        <f t="shared" si="151"/>
        <v>188.55</v>
      </c>
      <c r="AF108" s="285">
        <f t="shared" si="80"/>
        <v>1856.53</v>
      </c>
      <c r="AG108" s="285">
        <f t="shared" si="81"/>
        <v>26950.199999999997</v>
      </c>
      <c r="AH108" s="285">
        <f t="shared" si="82"/>
        <v>49740.3</v>
      </c>
      <c r="AI108" s="512">
        <f t="shared" si="64"/>
        <v>3838.0000000000045</v>
      </c>
      <c r="AJ108" s="512">
        <f t="shared" si="134"/>
        <v>-56800.910000000033</v>
      </c>
      <c r="AK108" s="512">
        <f t="shared" si="65"/>
        <v>-52962.910000000025</v>
      </c>
      <c r="AL108" s="285">
        <f t="shared" si="83"/>
        <v>304243.20000000013</v>
      </c>
      <c r="AM108" s="425">
        <f t="shared" si="115"/>
        <v>4</v>
      </c>
      <c r="AN108" s="14">
        <f t="shared" si="66"/>
        <v>1160.29</v>
      </c>
      <c r="AO108" s="14">
        <f t="shared" si="50"/>
        <v>236107.53000000003</v>
      </c>
      <c r="AP108" s="14">
        <f t="shared" si="67"/>
        <v>1083.53</v>
      </c>
      <c r="AS108" s="14">
        <f t="shared" si="109"/>
        <v>1160.29</v>
      </c>
      <c r="AT108" s="14">
        <f t="shared" si="116"/>
        <v>57533.940000000031</v>
      </c>
      <c r="AU108" s="285">
        <f t="shared" si="117"/>
        <v>824.86972320431323</v>
      </c>
      <c r="AV108" s="285">
        <f t="shared" si="118"/>
        <v>69196.759004929598</v>
      </c>
      <c r="AX108" s="479"/>
    </row>
    <row r="109" spans="1:50" x14ac:dyDescent="0.25">
      <c r="A109" s="502">
        <f t="shared" si="69"/>
        <v>47229</v>
      </c>
      <c r="B109" s="285">
        <f t="shared" si="110"/>
        <v>81255.999999999956</v>
      </c>
      <c r="C109" s="14">
        <f t="shared" si="101"/>
        <v>450.28</v>
      </c>
      <c r="D109" s="14">
        <f t="shared" si="119"/>
        <v>196.34999999999997</v>
      </c>
      <c r="E109" s="14">
        <f t="shared" si="102"/>
        <v>253.93</v>
      </c>
      <c r="F109" s="14">
        <f t="shared" si="51"/>
        <v>134.16999999999999</v>
      </c>
      <c r="G109" s="14">
        <f t="shared" si="52"/>
        <v>188.55</v>
      </c>
      <c r="H109" s="14">
        <f t="shared" si="54"/>
        <v>773</v>
      </c>
      <c r="I109" s="285">
        <f t="shared" si="70"/>
        <v>16472.189999999995</v>
      </c>
      <c r="J109" s="285">
        <f t="shared" si="71"/>
        <v>26608.250000000004</v>
      </c>
      <c r="K109" s="285">
        <f t="shared" si="72"/>
        <v>81059.649999999951</v>
      </c>
      <c r="L109" s="425">
        <f>IF(MOD(M109,12)=0,M109/12,L108)</f>
        <v>4</v>
      </c>
      <c r="M109" s="425">
        <f t="shared" si="111"/>
        <v>50</v>
      </c>
      <c r="N109" s="285">
        <f t="shared" si="112"/>
        <v>247442.2900000001</v>
      </c>
      <c r="O109" s="285">
        <f t="shared" si="73"/>
        <v>1610.57</v>
      </c>
      <c r="P109" s="285">
        <f t="shared" si="120"/>
        <v>321.80999999999995</v>
      </c>
      <c r="Q109" s="285">
        <f t="shared" si="74"/>
        <v>1288.76</v>
      </c>
      <c r="R109" s="285">
        <f t="shared" si="84"/>
        <v>134.16999999999999</v>
      </c>
      <c r="S109" s="285">
        <f t="shared" si="75"/>
        <v>188.55</v>
      </c>
      <c r="T109" s="285">
        <f t="shared" si="59"/>
        <v>1933.29</v>
      </c>
      <c r="U109" s="285">
        <f t="shared" si="121"/>
        <v>14455.519999999997</v>
      </c>
      <c r="V109" s="285">
        <f t="shared" si="122"/>
        <v>67683.549999999974</v>
      </c>
      <c r="W109" s="285">
        <f t="shared" si="76"/>
        <v>247120.4800000001</v>
      </c>
      <c r="X109" s="502">
        <f t="shared" si="113"/>
        <v>47229</v>
      </c>
      <c r="Y109" s="285">
        <f t="shared" si="77"/>
        <v>304243.20000000013</v>
      </c>
      <c r="Z109" s="494">
        <f t="shared" si="104"/>
        <v>3.7499999999999999E-2</v>
      </c>
      <c r="AA109" s="285">
        <f t="shared" si="105"/>
        <v>1533.81</v>
      </c>
      <c r="AB109" s="285">
        <f t="shared" si="78"/>
        <v>583.04999999999995</v>
      </c>
      <c r="AC109" s="285">
        <f t="shared" si="106"/>
        <v>950.76</v>
      </c>
      <c r="AD109" s="285">
        <f t="shared" ref="AD109:AE109" si="152">+AD108</f>
        <v>134.16999999999999</v>
      </c>
      <c r="AE109" s="285">
        <f t="shared" si="152"/>
        <v>188.55</v>
      </c>
      <c r="AF109" s="285">
        <f t="shared" si="80"/>
        <v>1856.53</v>
      </c>
      <c r="AG109" s="285">
        <f t="shared" si="81"/>
        <v>27533.249999999996</v>
      </c>
      <c r="AH109" s="285">
        <f t="shared" si="82"/>
        <v>50691.060000000005</v>
      </c>
      <c r="AI109" s="512">
        <f t="shared" si="64"/>
        <v>3914.7600000000048</v>
      </c>
      <c r="AJ109" s="512">
        <f t="shared" si="134"/>
        <v>-56539.670000000042</v>
      </c>
      <c r="AK109" s="512">
        <f t="shared" si="65"/>
        <v>-52624.91000000004</v>
      </c>
      <c r="AL109" s="285">
        <f t="shared" si="83"/>
        <v>303660.15000000014</v>
      </c>
      <c r="AM109" s="425">
        <f t="shared" si="115"/>
        <v>4</v>
      </c>
      <c r="AN109" s="14">
        <f t="shared" si="66"/>
        <v>1160.29</v>
      </c>
      <c r="AO109" s="14">
        <f t="shared" ref="AO109:AO172" si="153">IF(W109&lt;=0,0,+$AA$5-$C$2+I109-U109)</f>
        <v>235982.07000000004</v>
      </c>
      <c r="AP109" s="14">
        <f t="shared" si="67"/>
        <v>1083.53</v>
      </c>
      <c r="AS109" s="14">
        <f t="shared" si="109"/>
        <v>1160.29</v>
      </c>
      <c r="AT109" s="14">
        <f t="shared" si="116"/>
        <v>58694.230000000032</v>
      </c>
      <c r="AU109" s="285">
        <f t="shared" si="117"/>
        <v>826.93189751232387</v>
      </c>
      <c r="AV109" s="285">
        <f t="shared" si="118"/>
        <v>70023.690902441915</v>
      </c>
    </row>
    <row r="110" spans="1:50" ht="15.75" thickBot="1" x14ac:dyDescent="0.3">
      <c r="A110" s="505">
        <f t="shared" si="69"/>
        <v>47259</v>
      </c>
      <c r="B110" s="345">
        <f t="shared" si="110"/>
        <v>81059.649999999951</v>
      </c>
      <c r="C110" s="21">
        <f t="shared" si="101"/>
        <v>450.28</v>
      </c>
      <c r="D110" s="21">
        <f t="shared" si="119"/>
        <v>196.96999999999997</v>
      </c>
      <c r="E110" s="21">
        <f t="shared" si="102"/>
        <v>253.31</v>
      </c>
      <c r="F110" s="21">
        <f t="shared" si="51"/>
        <v>134.16999999999999</v>
      </c>
      <c r="G110" s="21">
        <f t="shared" si="52"/>
        <v>188.55</v>
      </c>
      <c r="H110" s="21">
        <f t="shared" si="54"/>
        <v>773</v>
      </c>
      <c r="I110" s="345">
        <f t="shared" si="70"/>
        <v>16669.159999999996</v>
      </c>
      <c r="J110" s="345">
        <f t="shared" si="71"/>
        <v>26861.560000000005</v>
      </c>
      <c r="K110" s="345">
        <f t="shared" si="72"/>
        <v>80862.679999999949</v>
      </c>
      <c r="L110" s="426">
        <f>IF(MOD(M110,12)=0,M110/12,L109)</f>
        <v>4</v>
      </c>
      <c r="M110" s="426">
        <f t="shared" si="111"/>
        <v>51</v>
      </c>
      <c r="N110" s="345">
        <f t="shared" si="112"/>
        <v>247120.4800000001</v>
      </c>
      <c r="O110" s="345">
        <f t="shared" si="73"/>
        <v>1610.57</v>
      </c>
      <c r="P110" s="345">
        <f t="shared" si="120"/>
        <v>323.48</v>
      </c>
      <c r="Q110" s="345">
        <f t="shared" si="74"/>
        <v>1287.0899999999999</v>
      </c>
      <c r="R110" s="345">
        <f t="shared" si="84"/>
        <v>134.16999999999999</v>
      </c>
      <c r="S110" s="345">
        <f t="shared" si="75"/>
        <v>188.55</v>
      </c>
      <c r="T110" s="345">
        <f t="shared" si="59"/>
        <v>1933.29</v>
      </c>
      <c r="U110" s="345">
        <f t="shared" si="121"/>
        <v>14778.999999999996</v>
      </c>
      <c r="V110" s="345">
        <f t="shared" si="122"/>
        <v>68970.63999999997</v>
      </c>
      <c r="W110" s="345">
        <f t="shared" si="76"/>
        <v>246797.00000000009</v>
      </c>
      <c r="X110" s="505">
        <f t="shared" si="113"/>
        <v>47259</v>
      </c>
      <c r="Y110" s="345">
        <f t="shared" si="77"/>
        <v>303660.15000000014</v>
      </c>
      <c r="Z110" s="495">
        <f t="shared" si="104"/>
        <v>3.7499999999999999E-2</v>
      </c>
      <c r="AA110" s="345">
        <f t="shared" si="105"/>
        <v>1533.81</v>
      </c>
      <c r="AB110" s="345">
        <f t="shared" si="78"/>
        <v>584.86999999999989</v>
      </c>
      <c r="AC110" s="345">
        <f t="shared" si="106"/>
        <v>948.94</v>
      </c>
      <c r="AD110" s="345">
        <f t="shared" ref="AD110:AE110" si="154">+AD109</f>
        <v>134.16999999999999</v>
      </c>
      <c r="AE110" s="345">
        <f t="shared" si="154"/>
        <v>188.55</v>
      </c>
      <c r="AF110" s="345">
        <f t="shared" si="80"/>
        <v>1856.53</v>
      </c>
      <c r="AG110" s="345">
        <f t="shared" si="81"/>
        <v>28118.119999999995</v>
      </c>
      <c r="AH110" s="345">
        <f t="shared" si="82"/>
        <v>51640.000000000007</v>
      </c>
      <c r="AI110" s="513">
        <f t="shared" si="64"/>
        <v>3991.520000000005</v>
      </c>
      <c r="AJ110" s="513">
        <f t="shared" si="134"/>
        <v>-56278.280000000057</v>
      </c>
      <c r="AK110" s="513">
        <f t="shared" si="65"/>
        <v>-52286.760000000053</v>
      </c>
      <c r="AL110" s="345">
        <f t="shared" si="83"/>
        <v>303075.28000000014</v>
      </c>
      <c r="AM110" s="426">
        <f t="shared" si="115"/>
        <v>4</v>
      </c>
      <c r="AN110" s="21">
        <f t="shared" si="66"/>
        <v>1160.29</v>
      </c>
      <c r="AO110" s="21">
        <f t="shared" si="153"/>
        <v>235855.56000000003</v>
      </c>
      <c r="AP110" s="21">
        <f t="shared" si="67"/>
        <v>1083.53</v>
      </c>
      <c r="AQ110" s="21"/>
      <c r="AR110" s="23"/>
      <c r="AS110" s="21">
        <f t="shared" si="109"/>
        <v>1160.29</v>
      </c>
      <c r="AT110" s="21">
        <f t="shared" si="116"/>
        <v>59854.520000000033</v>
      </c>
      <c r="AU110" s="345">
        <f t="shared" si="117"/>
        <v>828.99922725610475</v>
      </c>
      <c r="AV110" s="345">
        <f t="shared" si="118"/>
        <v>70852.690129698021</v>
      </c>
      <c r="AX110" s="479"/>
    </row>
    <row r="111" spans="1:50" x14ac:dyDescent="0.25">
      <c r="A111" s="502">
        <f t="shared" si="69"/>
        <v>47289</v>
      </c>
      <c r="B111" s="285">
        <f t="shared" si="110"/>
        <v>80862.679999999949</v>
      </c>
      <c r="C111" s="14">
        <f t="shared" si="101"/>
        <v>450.28</v>
      </c>
      <c r="D111" s="14">
        <f t="shared" si="119"/>
        <v>197.57999999999998</v>
      </c>
      <c r="E111" s="14">
        <f t="shared" si="102"/>
        <v>252.7</v>
      </c>
      <c r="F111" s="14">
        <f t="shared" si="51"/>
        <v>134.16999999999999</v>
      </c>
      <c r="G111" s="14">
        <f t="shared" si="52"/>
        <v>188.55</v>
      </c>
      <c r="H111" s="14">
        <f t="shared" si="54"/>
        <v>773</v>
      </c>
      <c r="I111" s="285">
        <f t="shared" si="70"/>
        <v>16866.739999999998</v>
      </c>
      <c r="J111" s="285">
        <f t="shared" si="71"/>
        <v>27114.260000000006</v>
      </c>
      <c r="K111" s="285">
        <f t="shared" si="72"/>
        <v>80665.099999999948</v>
      </c>
      <c r="L111" s="425">
        <f t="shared" ref="L111:L174" si="155">IF(MOD(M111,12)=0,M111/12,L110)</f>
        <v>4</v>
      </c>
      <c r="M111" s="425">
        <f t="shared" si="111"/>
        <v>52</v>
      </c>
      <c r="N111" s="285">
        <f t="shared" si="112"/>
        <v>246797.00000000009</v>
      </c>
      <c r="O111" s="285">
        <f t="shared" si="73"/>
        <v>1610.57</v>
      </c>
      <c r="P111" s="285">
        <f t="shared" si="120"/>
        <v>325.16999999999985</v>
      </c>
      <c r="Q111" s="285">
        <f t="shared" si="74"/>
        <v>1285.4000000000001</v>
      </c>
      <c r="R111" s="285">
        <f t="shared" si="84"/>
        <v>134.16999999999999</v>
      </c>
      <c r="S111" s="285">
        <f t="shared" si="75"/>
        <v>188.55</v>
      </c>
      <c r="T111" s="285">
        <f t="shared" si="59"/>
        <v>1933.29</v>
      </c>
      <c r="U111" s="285">
        <f t="shared" si="121"/>
        <v>15104.169999999996</v>
      </c>
      <c r="V111" s="285">
        <f t="shared" si="122"/>
        <v>70256.039999999964</v>
      </c>
      <c r="W111" s="285">
        <f t="shared" si="76"/>
        <v>246471.83000000007</v>
      </c>
      <c r="X111" s="502">
        <f t="shared" si="113"/>
        <v>47289</v>
      </c>
      <c r="Y111" s="285">
        <f t="shared" si="77"/>
        <v>303075.28000000014</v>
      </c>
      <c r="Z111" s="494">
        <f t="shared" si="104"/>
        <v>3.7499999999999999E-2</v>
      </c>
      <c r="AA111" s="285">
        <f t="shared" si="105"/>
        <v>1533.81</v>
      </c>
      <c r="AB111" s="285">
        <f t="shared" si="78"/>
        <v>586.69999999999993</v>
      </c>
      <c r="AC111" s="285">
        <f t="shared" si="106"/>
        <v>947.11</v>
      </c>
      <c r="AD111" s="285">
        <f t="shared" ref="AD111:AE111" si="156">+AD110</f>
        <v>134.16999999999999</v>
      </c>
      <c r="AE111" s="285">
        <f t="shared" si="156"/>
        <v>188.55</v>
      </c>
      <c r="AF111" s="285">
        <f t="shared" si="80"/>
        <v>1856.53</v>
      </c>
      <c r="AG111" s="285">
        <f t="shared" si="81"/>
        <v>28704.819999999996</v>
      </c>
      <c r="AH111" s="285">
        <f t="shared" si="82"/>
        <v>52587.110000000008</v>
      </c>
      <c r="AI111" s="512">
        <f t="shared" si="64"/>
        <v>4068.2800000000052</v>
      </c>
      <c r="AJ111" s="512">
        <f t="shared" si="134"/>
        <v>-56016.750000000058</v>
      </c>
      <c r="AK111" s="512">
        <f t="shared" si="65"/>
        <v>-51948.470000000052</v>
      </c>
      <c r="AL111" s="285">
        <f t="shared" si="83"/>
        <v>302488.58000000013</v>
      </c>
      <c r="AM111" s="425">
        <f t="shared" si="115"/>
        <v>4</v>
      </c>
      <c r="AN111" s="14">
        <f t="shared" si="66"/>
        <v>1160.29</v>
      </c>
      <c r="AO111" s="14">
        <f t="shared" si="153"/>
        <v>235727.97000000003</v>
      </c>
      <c r="AP111" s="14">
        <f t="shared" si="67"/>
        <v>1083.53</v>
      </c>
      <c r="AS111" s="14">
        <f t="shared" si="109"/>
        <v>1160.29</v>
      </c>
      <c r="AT111" s="14">
        <f t="shared" si="116"/>
        <v>61014.810000000034</v>
      </c>
      <c r="AU111" s="285">
        <f t="shared" si="117"/>
        <v>831.07172532424499</v>
      </c>
      <c r="AV111" s="285">
        <f t="shared" si="118"/>
        <v>71683.761855022269</v>
      </c>
    </row>
    <row r="112" spans="1:50" x14ac:dyDescent="0.25">
      <c r="A112" s="502">
        <f t="shared" si="69"/>
        <v>47319</v>
      </c>
      <c r="B112" s="285">
        <f t="shared" si="110"/>
        <v>80665.099999999948</v>
      </c>
      <c r="C112" s="14">
        <f t="shared" si="101"/>
        <v>450.28</v>
      </c>
      <c r="D112" s="14">
        <f t="shared" si="119"/>
        <v>198.19999999999996</v>
      </c>
      <c r="E112" s="14">
        <f t="shared" si="102"/>
        <v>252.08</v>
      </c>
      <c r="F112" s="14">
        <f t="shared" si="51"/>
        <v>134.16999999999999</v>
      </c>
      <c r="G112" s="14">
        <f t="shared" si="52"/>
        <v>188.55</v>
      </c>
      <c r="H112" s="14">
        <f t="shared" si="54"/>
        <v>773</v>
      </c>
      <c r="I112" s="285">
        <f t="shared" si="70"/>
        <v>17064.939999999999</v>
      </c>
      <c r="J112" s="285">
        <f t="shared" si="71"/>
        <v>27366.340000000007</v>
      </c>
      <c r="K112" s="285">
        <f t="shared" si="72"/>
        <v>80466.899999999951</v>
      </c>
      <c r="L112" s="425">
        <f t="shared" si="155"/>
        <v>4</v>
      </c>
      <c r="M112" s="425">
        <f t="shared" si="111"/>
        <v>53</v>
      </c>
      <c r="N112" s="285">
        <f t="shared" si="112"/>
        <v>246471.83000000007</v>
      </c>
      <c r="O112" s="285">
        <f t="shared" si="73"/>
        <v>1610.57</v>
      </c>
      <c r="P112" s="285">
        <f t="shared" si="120"/>
        <v>326.8599999999999</v>
      </c>
      <c r="Q112" s="285">
        <f t="shared" si="74"/>
        <v>1283.71</v>
      </c>
      <c r="R112" s="285">
        <f t="shared" si="84"/>
        <v>134.16999999999999</v>
      </c>
      <c r="S112" s="285">
        <f t="shared" si="75"/>
        <v>188.55</v>
      </c>
      <c r="T112" s="285">
        <f t="shared" si="59"/>
        <v>1933.29</v>
      </c>
      <c r="U112" s="285">
        <f t="shared" si="121"/>
        <v>15431.029999999997</v>
      </c>
      <c r="V112" s="285">
        <f t="shared" si="122"/>
        <v>71539.749999999971</v>
      </c>
      <c r="W112" s="285">
        <f t="shared" si="76"/>
        <v>246144.97000000009</v>
      </c>
      <c r="X112" s="502">
        <f t="shared" si="113"/>
        <v>47319</v>
      </c>
      <c r="Y112" s="285">
        <f t="shared" si="77"/>
        <v>302488.58000000013</v>
      </c>
      <c r="Z112" s="494">
        <f t="shared" si="104"/>
        <v>3.7499999999999999E-2</v>
      </c>
      <c r="AA112" s="285">
        <f t="shared" si="105"/>
        <v>1533.81</v>
      </c>
      <c r="AB112" s="285">
        <f t="shared" si="78"/>
        <v>588.53</v>
      </c>
      <c r="AC112" s="285">
        <f t="shared" si="106"/>
        <v>945.28</v>
      </c>
      <c r="AD112" s="285">
        <f t="shared" ref="AD112:AE112" si="157">+AD111</f>
        <v>134.16999999999999</v>
      </c>
      <c r="AE112" s="285">
        <f t="shared" si="157"/>
        <v>188.55</v>
      </c>
      <c r="AF112" s="285">
        <f t="shared" si="80"/>
        <v>1856.53</v>
      </c>
      <c r="AG112" s="285">
        <f t="shared" si="81"/>
        <v>29293.349999999995</v>
      </c>
      <c r="AH112" s="285">
        <f t="shared" si="82"/>
        <v>53532.390000000007</v>
      </c>
      <c r="AI112" s="512">
        <f t="shared" si="64"/>
        <v>4145.0400000000054</v>
      </c>
      <c r="AJ112" s="512">
        <f t="shared" si="134"/>
        <v>-55755.080000000016</v>
      </c>
      <c r="AK112" s="512">
        <f t="shared" si="65"/>
        <v>-51610.040000000008</v>
      </c>
      <c r="AL112" s="285">
        <f t="shared" si="83"/>
        <v>301900.0500000001</v>
      </c>
      <c r="AM112" s="425">
        <f t="shared" si="115"/>
        <v>4</v>
      </c>
      <c r="AN112" s="14">
        <f t="shared" si="66"/>
        <v>1160.29</v>
      </c>
      <c r="AO112" s="14">
        <f t="shared" si="153"/>
        <v>235599.31000000003</v>
      </c>
      <c r="AP112" s="14">
        <f t="shared" si="67"/>
        <v>1083.53</v>
      </c>
      <c r="AS112" s="14">
        <f t="shared" si="109"/>
        <v>1160.29</v>
      </c>
      <c r="AT112" s="14">
        <f t="shared" si="116"/>
        <v>62175.100000000035</v>
      </c>
      <c r="AU112" s="285">
        <f t="shared" si="117"/>
        <v>833.14940463755568</v>
      </c>
      <c r="AV112" s="285">
        <f t="shared" si="118"/>
        <v>72516.911259659828</v>
      </c>
    </row>
    <row r="113" spans="1:50" x14ac:dyDescent="0.25">
      <c r="A113" s="502">
        <f t="shared" si="69"/>
        <v>47349</v>
      </c>
      <c r="B113" s="285">
        <f t="shared" si="110"/>
        <v>80466.899999999951</v>
      </c>
      <c r="C113" s="14">
        <f t="shared" si="101"/>
        <v>450.28</v>
      </c>
      <c r="D113" s="14">
        <f t="shared" si="119"/>
        <v>198.81999999999996</v>
      </c>
      <c r="E113" s="14">
        <f t="shared" si="102"/>
        <v>251.46</v>
      </c>
      <c r="F113" s="14">
        <f t="shared" si="51"/>
        <v>134.16999999999999</v>
      </c>
      <c r="G113" s="14">
        <f t="shared" si="52"/>
        <v>188.55</v>
      </c>
      <c r="H113" s="14">
        <f t="shared" si="54"/>
        <v>773</v>
      </c>
      <c r="I113" s="285">
        <f t="shared" si="70"/>
        <v>17263.759999999998</v>
      </c>
      <c r="J113" s="285">
        <f t="shared" si="71"/>
        <v>27617.800000000007</v>
      </c>
      <c r="K113" s="285">
        <f t="shared" si="72"/>
        <v>80268.079999999944</v>
      </c>
      <c r="L113" s="425">
        <f t="shared" si="155"/>
        <v>4</v>
      </c>
      <c r="M113" s="425">
        <f t="shared" si="111"/>
        <v>54</v>
      </c>
      <c r="N113" s="285">
        <f t="shared" si="112"/>
        <v>246144.97000000009</v>
      </c>
      <c r="O113" s="285">
        <f t="shared" si="73"/>
        <v>1610.57</v>
      </c>
      <c r="P113" s="285">
        <f t="shared" si="120"/>
        <v>328.55999999999995</v>
      </c>
      <c r="Q113" s="285">
        <f t="shared" si="74"/>
        <v>1282.01</v>
      </c>
      <c r="R113" s="285">
        <f t="shared" si="84"/>
        <v>134.16999999999999</v>
      </c>
      <c r="S113" s="285">
        <f t="shared" si="75"/>
        <v>188.55</v>
      </c>
      <c r="T113" s="285">
        <f t="shared" si="59"/>
        <v>1933.29</v>
      </c>
      <c r="U113" s="285">
        <f t="shared" si="121"/>
        <v>15759.589999999997</v>
      </c>
      <c r="V113" s="285">
        <f t="shared" si="122"/>
        <v>72821.759999999966</v>
      </c>
      <c r="W113" s="285">
        <f t="shared" si="76"/>
        <v>245816.41000000009</v>
      </c>
      <c r="X113" s="502">
        <f t="shared" si="113"/>
        <v>47349</v>
      </c>
      <c r="Y113" s="285">
        <f t="shared" si="77"/>
        <v>301900.0500000001</v>
      </c>
      <c r="Z113" s="494">
        <f t="shared" si="104"/>
        <v>3.7499999999999999E-2</v>
      </c>
      <c r="AA113" s="285">
        <f t="shared" si="105"/>
        <v>1533.81</v>
      </c>
      <c r="AB113" s="285">
        <f t="shared" si="78"/>
        <v>590.36999999999989</v>
      </c>
      <c r="AC113" s="285">
        <f t="shared" si="106"/>
        <v>943.44</v>
      </c>
      <c r="AD113" s="285">
        <f t="shared" ref="AD113:AE113" si="158">+AD112</f>
        <v>134.16999999999999</v>
      </c>
      <c r="AE113" s="285">
        <f t="shared" si="158"/>
        <v>188.55</v>
      </c>
      <c r="AF113" s="285">
        <f t="shared" si="80"/>
        <v>1856.53</v>
      </c>
      <c r="AG113" s="285">
        <f t="shared" si="81"/>
        <v>29883.719999999994</v>
      </c>
      <c r="AH113" s="285">
        <f t="shared" si="82"/>
        <v>54475.830000000009</v>
      </c>
      <c r="AI113" s="512">
        <f t="shared" si="64"/>
        <v>4221.8000000000056</v>
      </c>
      <c r="AJ113" s="512">
        <f t="shared" si="134"/>
        <v>-55493.270000000019</v>
      </c>
      <c r="AK113" s="512">
        <f t="shared" si="65"/>
        <v>-51271.470000000016</v>
      </c>
      <c r="AL113" s="285">
        <f t="shared" si="83"/>
        <v>301309.68000000011</v>
      </c>
      <c r="AM113" s="425">
        <f t="shared" si="115"/>
        <v>4</v>
      </c>
      <c r="AN113" s="14">
        <f t="shared" si="66"/>
        <v>1160.29</v>
      </c>
      <c r="AO113" s="14">
        <f t="shared" si="153"/>
        <v>235469.57000000004</v>
      </c>
      <c r="AP113" s="14">
        <f t="shared" si="67"/>
        <v>1083.53</v>
      </c>
      <c r="AS113" s="14">
        <f t="shared" si="109"/>
        <v>1160.29</v>
      </c>
      <c r="AT113" s="14">
        <f t="shared" si="116"/>
        <v>63335.390000000036</v>
      </c>
      <c r="AU113" s="285">
        <f t="shared" si="117"/>
        <v>835.23227814914947</v>
      </c>
      <c r="AV113" s="285">
        <f t="shared" si="118"/>
        <v>73352.143537808981</v>
      </c>
    </row>
    <row r="114" spans="1:50" x14ac:dyDescent="0.25">
      <c r="A114" s="502">
        <f t="shared" si="69"/>
        <v>47379</v>
      </c>
      <c r="B114" s="285">
        <f t="shared" si="110"/>
        <v>80268.079999999944</v>
      </c>
      <c r="C114" s="14">
        <f t="shared" si="101"/>
        <v>450.28</v>
      </c>
      <c r="D114" s="14">
        <f t="shared" si="119"/>
        <v>199.43999999999997</v>
      </c>
      <c r="E114" s="14">
        <f t="shared" si="102"/>
        <v>250.84</v>
      </c>
      <c r="F114" s="14">
        <f t="shared" si="51"/>
        <v>134.16999999999999</v>
      </c>
      <c r="G114" s="14">
        <f t="shared" si="52"/>
        <v>188.55</v>
      </c>
      <c r="H114" s="14">
        <f t="shared" si="54"/>
        <v>773</v>
      </c>
      <c r="I114" s="285">
        <f t="shared" si="70"/>
        <v>17463.199999999997</v>
      </c>
      <c r="J114" s="285">
        <f t="shared" si="71"/>
        <v>27868.640000000007</v>
      </c>
      <c r="K114" s="285">
        <f t="shared" si="72"/>
        <v>80068.639999999941</v>
      </c>
      <c r="L114" s="425">
        <f t="shared" si="155"/>
        <v>4</v>
      </c>
      <c r="M114" s="425">
        <f t="shared" si="111"/>
        <v>55</v>
      </c>
      <c r="N114" s="285">
        <f t="shared" si="112"/>
        <v>245816.41000000009</v>
      </c>
      <c r="O114" s="285">
        <f t="shared" si="73"/>
        <v>1610.57</v>
      </c>
      <c r="P114" s="285">
        <f t="shared" si="120"/>
        <v>330.28</v>
      </c>
      <c r="Q114" s="285">
        <f t="shared" si="74"/>
        <v>1280.29</v>
      </c>
      <c r="R114" s="285">
        <f t="shared" si="84"/>
        <v>134.16999999999999</v>
      </c>
      <c r="S114" s="285">
        <f t="shared" si="75"/>
        <v>188.55</v>
      </c>
      <c r="T114" s="285">
        <f t="shared" si="59"/>
        <v>1933.29</v>
      </c>
      <c r="U114" s="285">
        <f t="shared" si="121"/>
        <v>16089.869999999997</v>
      </c>
      <c r="V114" s="285">
        <f t="shared" si="122"/>
        <v>74102.049999999959</v>
      </c>
      <c r="W114" s="285">
        <f t="shared" si="76"/>
        <v>245486.13000000009</v>
      </c>
      <c r="X114" s="502">
        <f t="shared" si="113"/>
        <v>47379</v>
      </c>
      <c r="Y114" s="285">
        <f t="shared" si="77"/>
        <v>301309.68000000011</v>
      </c>
      <c r="Z114" s="494">
        <f t="shared" si="104"/>
        <v>3.7499999999999999E-2</v>
      </c>
      <c r="AA114" s="285">
        <f t="shared" si="105"/>
        <v>1533.81</v>
      </c>
      <c r="AB114" s="285">
        <f t="shared" si="78"/>
        <v>592.21999999999991</v>
      </c>
      <c r="AC114" s="285">
        <f t="shared" si="106"/>
        <v>941.59</v>
      </c>
      <c r="AD114" s="285">
        <f t="shared" ref="AD114:AE114" si="159">+AD113</f>
        <v>134.16999999999999</v>
      </c>
      <c r="AE114" s="285">
        <f t="shared" si="159"/>
        <v>188.55</v>
      </c>
      <c r="AF114" s="285">
        <f t="shared" si="80"/>
        <v>1856.53</v>
      </c>
      <c r="AG114" s="285">
        <f t="shared" si="81"/>
        <v>30475.939999999995</v>
      </c>
      <c r="AH114" s="285">
        <f t="shared" si="82"/>
        <v>55417.420000000006</v>
      </c>
      <c r="AI114" s="512">
        <f t="shared" si="64"/>
        <v>4298.5600000000059</v>
      </c>
      <c r="AJ114" s="512">
        <f t="shared" si="134"/>
        <v>-55231.330000000045</v>
      </c>
      <c r="AK114" s="512">
        <f t="shared" si="65"/>
        <v>-50932.77000000004</v>
      </c>
      <c r="AL114" s="285">
        <f t="shared" si="83"/>
        <v>300717.46000000014</v>
      </c>
      <c r="AM114" s="425">
        <f t="shared" si="115"/>
        <v>4</v>
      </c>
      <c r="AN114" s="14">
        <f t="shared" si="66"/>
        <v>1160.29</v>
      </c>
      <c r="AO114" s="14">
        <f t="shared" si="153"/>
        <v>235338.73000000004</v>
      </c>
      <c r="AP114" s="14">
        <f t="shared" si="67"/>
        <v>1083.53</v>
      </c>
      <c r="AS114" s="14">
        <f t="shared" si="109"/>
        <v>1160.29</v>
      </c>
      <c r="AT114" s="14">
        <f t="shared" si="116"/>
        <v>64495.680000000037</v>
      </c>
      <c r="AU114" s="285">
        <f t="shared" si="117"/>
        <v>837.32035884452227</v>
      </c>
      <c r="AV114" s="285">
        <f t="shared" si="118"/>
        <v>74189.463896653499</v>
      </c>
    </row>
    <row r="115" spans="1:50" x14ac:dyDescent="0.25">
      <c r="A115" s="502">
        <f t="shared" si="69"/>
        <v>47409</v>
      </c>
      <c r="B115" s="285">
        <f t="shared" si="110"/>
        <v>80068.639999999941</v>
      </c>
      <c r="C115" s="14">
        <f t="shared" si="101"/>
        <v>450.28</v>
      </c>
      <c r="D115" s="14">
        <f t="shared" si="119"/>
        <v>200.06999999999996</v>
      </c>
      <c r="E115" s="14">
        <f t="shared" si="102"/>
        <v>250.21</v>
      </c>
      <c r="F115" s="14">
        <f t="shared" si="51"/>
        <v>134.16999999999999</v>
      </c>
      <c r="G115" s="14">
        <f t="shared" si="52"/>
        <v>188.55</v>
      </c>
      <c r="H115" s="14">
        <f t="shared" si="54"/>
        <v>773</v>
      </c>
      <c r="I115" s="285">
        <f t="shared" si="70"/>
        <v>17663.269999999997</v>
      </c>
      <c r="J115" s="285">
        <f t="shared" si="71"/>
        <v>28118.850000000006</v>
      </c>
      <c r="K115" s="285">
        <f t="shared" si="72"/>
        <v>79868.569999999934</v>
      </c>
      <c r="L115" s="425">
        <f t="shared" si="155"/>
        <v>4</v>
      </c>
      <c r="M115" s="425">
        <f t="shared" si="111"/>
        <v>56</v>
      </c>
      <c r="N115" s="285">
        <f t="shared" si="112"/>
        <v>245486.13000000009</v>
      </c>
      <c r="O115" s="285">
        <f t="shared" si="73"/>
        <v>1610.57</v>
      </c>
      <c r="P115" s="285">
        <f t="shared" si="120"/>
        <v>332</v>
      </c>
      <c r="Q115" s="285">
        <f t="shared" si="74"/>
        <v>1278.57</v>
      </c>
      <c r="R115" s="285">
        <f t="shared" si="84"/>
        <v>134.16999999999999</v>
      </c>
      <c r="S115" s="285">
        <f t="shared" si="75"/>
        <v>188.55</v>
      </c>
      <c r="T115" s="285">
        <f t="shared" si="59"/>
        <v>1933.29</v>
      </c>
      <c r="U115" s="285">
        <f t="shared" si="121"/>
        <v>16421.869999999995</v>
      </c>
      <c r="V115" s="285">
        <f t="shared" si="122"/>
        <v>75380.619999999966</v>
      </c>
      <c r="W115" s="285">
        <f t="shared" si="76"/>
        <v>245154.13000000009</v>
      </c>
      <c r="X115" s="502">
        <f t="shared" si="113"/>
        <v>47409</v>
      </c>
      <c r="Y115" s="285">
        <f t="shared" si="77"/>
        <v>300717.46000000014</v>
      </c>
      <c r="Z115" s="494">
        <f t="shared" si="104"/>
        <v>3.7499999999999999E-2</v>
      </c>
      <c r="AA115" s="285">
        <f t="shared" si="105"/>
        <v>1533.81</v>
      </c>
      <c r="AB115" s="285">
        <f t="shared" si="78"/>
        <v>594.06999999999994</v>
      </c>
      <c r="AC115" s="285">
        <f t="shared" si="106"/>
        <v>939.74</v>
      </c>
      <c r="AD115" s="285">
        <f t="shared" ref="AD115:AE115" si="160">+AD114</f>
        <v>134.16999999999999</v>
      </c>
      <c r="AE115" s="285">
        <f t="shared" si="160"/>
        <v>188.55</v>
      </c>
      <c r="AF115" s="285">
        <f t="shared" si="80"/>
        <v>1856.53</v>
      </c>
      <c r="AG115" s="285">
        <f t="shared" si="81"/>
        <v>31070.009999999995</v>
      </c>
      <c r="AH115" s="285">
        <f t="shared" si="82"/>
        <v>56357.16</v>
      </c>
      <c r="AI115" s="512">
        <f t="shared" si="64"/>
        <v>4375.3200000000061</v>
      </c>
      <c r="AJ115" s="512">
        <f t="shared" si="134"/>
        <v>-54969.260000000038</v>
      </c>
      <c r="AK115" s="512">
        <f t="shared" si="65"/>
        <v>-50593.940000000031</v>
      </c>
      <c r="AL115" s="285">
        <f t="shared" si="83"/>
        <v>300123.39000000013</v>
      </c>
      <c r="AM115" s="425">
        <f t="shared" si="115"/>
        <v>4</v>
      </c>
      <c r="AN115" s="14">
        <f t="shared" si="66"/>
        <v>1160.29</v>
      </c>
      <c r="AO115" s="14">
        <f t="shared" si="153"/>
        <v>235206.80000000002</v>
      </c>
      <c r="AP115" s="14">
        <f t="shared" si="67"/>
        <v>1083.53</v>
      </c>
      <c r="AS115" s="14">
        <f t="shared" si="109"/>
        <v>1160.29</v>
      </c>
      <c r="AT115" s="14">
        <f t="shared" si="116"/>
        <v>65655.97000000003</v>
      </c>
      <c r="AU115" s="285">
        <f t="shared" si="117"/>
        <v>839.41365974163375</v>
      </c>
      <c r="AV115" s="285">
        <f t="shared" si="118"/>
        <v>75028.877556395135</v>
      </c>
    </row>
    <row r="116" spans="1:50" x14ac:dyDescent="0.25">
      <c r="A116" s="502">
        <f t="shared" si="69"/>
        <v>47439</v>
      </c>
      <c r="B116" s="285">
        <f t="shared" si="110"/>
        <v>79868.569999999934</v>
      </c>
      <c r="C116" s="14">
        <f t="shared" si="101"/>
        <v>450.28</v>
      </c>
      <c r="D116" s="14">
        <f t="shared" si="119"/>
        <v>200.68999999999997</v>
      </c>
      <c r="E116" s="14">
        <f t="shared" si="102"/>
        <v>249.59</v>
      </c>
      <c r="F116" s="14">
        <f t="shared" si="51"/>
        <v>134.16999999999999</v>
      </c>
      <c r="G116" s="14">
        <f t="shared" si="52"/>
        <v>188.55</v>
      </c>
      <c r="H116" s="14">
        <f t="shared" si="54"/>
        <v>773</v>
      </c>
      <c r="I116" s="285">
        <f t="shared" si="70"/>
        <v>17863.959999999995</v>
      </c>
      <c r="J116" s="285">
        <f t="shared" si="71"/>
        <v>28368.440000000006</v>
      </c>
      <c r="K116" s="285">
        <f t="shared" si="72"/>
        <v>79667.879999999932</v>
      </c>
      <c r="L116" s="425">
        <f t="shared" si="155"/>
        <v>4</v>
      </c>
      <c r="M116" s="425">
        <f t="shared" si="111"/>
        <v>57</v>
      </c>
      <c r="N116" s="285">
        <f t="shared" si="112"/>
        <v>245154.13000000009</v>
      </c>
      <c r="O116" s="285">
        <f t="shared" si="73"/>
        <v>1610.57</v>
      </c>
      <c r="P116" s="285">
        <f t="shared" si="120"/>
        <v>333.73</v>
      </c>
      <c r="Q116" s="285">
        <f t="shared" si="74"/>
        <v>1276.8399999999999</v>
      </c>
      <c r="R116" s="285">
        <f t="shared" si="84"/>
        <v>134.16999999999999</v>
      </c>
      <c r="S116" s="285">
        <f t="shared" si="75"/>
        <v>188.55</v>
      </c>
      <c r="T116" s="285">
        <f t="shared" si="59"/>
        <v>1933.29</v>
      </c>
      <c r="U116" s="285">
        <f t="shared" si="121"/>
        <v>16755.599999999995</v>
      </c>
      <c r="V116" s="285">
        <f t="shared" si="122"/>
        <v>76657.459999999963</v>
      </c>
      <c r="W116" s="285">
        <f t="shared" si="76"/>
        <v>244820.40000000008</v>
      </c>
      <c r="X116" s="502">
        <f t="shared" si="113"/>
        <v>47439</v>
      </c>
      <c r="Y116" s="285">
        <f t="shared" si="77"/>
        <v>300123.39000000013</v>
      </c>
      <c r="Z116" s="494">
        <f t="shared" si="104"/>
        <v>3.7499999999999999E-2</v>
      </c>
      <c r="AA116" s="285">
        <f t="shared" si="105"/>
        <v>1533.81</v>
      </c>
      <c r="AB116" s="285">
        <f t="shared" si="78"/>
        <v>595.91999999999996</v>
      </c>
      <c r="AC116" s="285">
        <f t="shared" si="106"/>
        <v>937.89</v>
      </c>
      <c r="AD116" s="285">
        <f t="shared" ref="AD116:AE116" si="161">+AD115</f>
        <v>134.16999999999999</v>
      </c>
      <c r="AE116" s="285">
        <f t="shared" si="161"/>
        <v>188.55</v>
      </c>
      <c r="AF116" s="285">
        <f t="shared" si="80"/>
        <v>1856.53</v>
      </c>
      <c r="AG116" s="285">
        <f t="shared" si="81"/>
        <v>31665.929999999993</v>
      </c>
      <c r="AH116" s="285">
        <f t="shared" si="82"/>
        <v>57295.05</v>
      </c>
      <c r="AI116" s="512">
        <f t="shared" si="64"/>
        <v>4452.0800000000063</v>
      </c>
      <c r="AJ116" s="512">
        <f t="shared" si="134"/>
        <v>-54707.070000000065</v>
      </c>
      <c r="AK116" s="512">
        <f t="shared" si="65"/>
        <v>-50254.990000000056</v>
      </c>
      <c r="AL116" s="285">
        <f t="shared" si="83"/>
        <v>299527.47000000015</v>
      </c>
      <c r="AM116" s="425">
        <f t="shared" si="115"/>
        <v>4</v>
      </c>
      <c r="AN116" s="14">
        <f t="shared" si="66"/>
        <v>1160.29</v>
      </c>
      <c r="AO116" s="14">
        <f t="shared" si="153"/>
        <v>235073.76</v>
      </c>
      <c r="AP116" s="14">
        <f t="shared" si="67"/>
        <v>1083.53</v>
      </c>
      <c r="AS116" s="14">
        <f t="shared" si="109"/>
        <v>1160.29</v>
      </c>
      <c r="AT116" s="14">
        <f t="shared" si="116"/>
        <v>66816.260000000024</v>
      </c>
      <c r="AU116" s="285">
        <f t="shared" si="117"/>
        <v>841.51219389098787</v>
      </c>
      <c r="AV116" s="285">
        <f t="shared" si="118"/>
        <v>75870.389750286122</v>
      </c>
    </row>
    <row r="117" spans="1:50" x14ac:dyDescent="0.25">
      <c r="A117" s="502">
        <f t="shared" si="69"/>
        <v>47469</v>
      </c>
      <c r="B117" s="285">
        <f t="shared" si="110"/>
        <v>79667.879999999932</v>
      </c>
      <c r="C117" s="14">
        <f t="shared" si="101"/>
        <v>450.28</v>
      </c>
      <c r="D117" s="14">
        <f t="shared" si="119"/>
        <v>201.31999999999996</v>
      </c>
      <c r="E117" s="14">
        <f t="shared" si="102"/>
        <v>248.96</v>
      </c>
      <c r="F117" s="14">
        <f t="shared" si="51"/>
        <v>134.16999999999999</v>
      </c>
      <c r="G117" s="14">
        <f t="shared" si="52"/>
        <v>188.55</v>
      </c>
      <c r="H117" s="14">
        <f t="shared" si="54"/>
        <v>773</v>
      </c>
      <c r="I117" s="285">
        <f t="shared" si="70"/>
        <v>18065.279999999995</v>
      </c>
      <c r="J117" s="285">
        <f t="shared" si="71"/>
        <v>28617.400000000005</v>
      </c>
      <c r="K117" s="285">
        <f t="shared" si="72"/>
        <v>79466.559999999925</v>
      </c>
      <c r="L117" s="425">
        <f t="shared" si="155"/>
        <v>4</v>
      </c>
      <c r="M117" s="425">
        <f t="shared" si="111"/>
        <v>58</v>
      </c>
      <c r="N117" s="285">
        <f t="shared" si="112"/>
        <v>244820.40000000008</v>
      </c>
      <c r="O117" s="285">
        <f t="shared" si="73"/>
        <v>1610.57</v>
      </c>
      <c r="P117" s="285">
        <f t="shared" si="120"/>
        <v>335.46000000000004</v>
      </c>
      <c r="Q117" s="285">
        <f t="shared" si="74"/>
        <v>1275.1099999999999</v>
      </c>
      <c r="R117" s="285">
        <f t="shared" si="84"/>
        <v>134.16999999999999</v>
      </c>
      <c r="S117" s="285">
        <f t="shared" si="75"/>
        <v>188.55</v>
      </c>
      <c r="T117" s="285">
        <f t="shared" si="59"/>
        <v>1933.29</v>
      </c>
      <c r="U117" s="285">
        <f t="shared" si="121"/>
        <v>17091.059999999994</v>
      </c>
      <c r="V117" s="285">
        <f t="shared" si="122"/>
        <v>77932.569999999963</v>
      </c>
      <c r="W117" s="285">
        <f t="shared" si="76"/>
        <v>244484.94000000009</v>
      </c>
      <c r="X117" s="502">
        <f t="shared" si="113"/>
        <v>47469</v>
      </c>
      <c r="Y117" s="285">
        <f t="shared" si="77"/>
        <v>299527.47000000015</v>
      </c>
      <c r="Z117" s="494">
        <f t="shared" si="104"/>
        <v>3.7499999999999999E-2</v>
      </c>
      <c r="AA117" s="285">
        <f t="shared" si="105"/>
        <v>1533.81</v>
      </c>
      <c r="AB117" s="285">
        <f t="shared" si="78"/>
        <v>597.79</v>
      </c>
      <c r="AC117" s="285">
        <f t="shared" si="106"/>
        <v>936.02</v>
      </c>
      <c r="AD117" s="285">
        <f t="shared" ref="AD117:AE117" si="162">+AD116</f>
        <v>134.16999999999999</v>
      </c>
      <c r="AE117" s="285">
        <f t="shared" si="162"/>
        <v>188.55</v>
      </c>
      <c r="AF117" s="285">
        <f t="shared" si="80"/>
        <v>1856.53</v>
      </c>
      <c r="AG117" s="285">
        <f t="shared" si="81"/>
        <v>32263.719999999994</v>
      </c>
      <c r="AH117" s="285">
        <f t="shared" si="82"/>
        <v>58231.07</v>
      </c>
      <c r="AI117" s="512">
        <f t="shared" si="64"/>
        <v>4528.8400000000065</v>
      </c>
      <c r="AJ117" s="512">
        <f t="shared" si="134"/>
        <v>-54444.740000000078</v>
      </c>
      <c r="AK117" s="512">
        <f t="shared" si="65"/>
        <v>-49915.900000000074</v>
      </c>
      <c r="AL117" s="285">
        <f t="shared" si="83"/>
        <v>298929.68000000017</v>
      </c>
      <c r="AM117" s="425">
        <f t="shared" si="115"/>
        <v>4</v>
      </c>
      <c r="AN117" s="14">
        <f t="shared" si="66"/>
        <v>1160.29</v>
      </c>
      <c r="AO117" s="14">
        <f t="shared" si="153"/>
        <v>234939.62000000002</v>
      </c>
      <c r="AP117" s="14">
        <f t="shared" si="67"/>
        <v>1083.53</v>
      </c>
      <c r="AS117" s="14">
        <f t="shared" si="109"/>
        <v>1160.29</v>
      </c>
      <c r="AT117" s="14">
        <f t="shared" si="116"/>
        <v>67976.550000000017</v>
      </c>
      <c r="AU117" s="285">
        <f t="shared" si="117"/>
        <v>843.61597437571527</v>
      </c>
      <c r="AV117" s="285">
        <f t="shared" si="118"/>
        <v>76714.005724661838</v>
      </c>
      <c r="AX117" s="479"/>
    </row>
    <row r="118" spans="1:50" x14ac:dyDescent="0.25">
      <c r="A118" s="502">
        <f t="shared" si="69"/>
        <v>47499</v>
      </c>
      <c r="B118" s="285">
        <f t="shared" si="110"/>
        <v>79466.559999999925</v>
      </c>
      <c r="C118" s="14">
        <f t="shared" si="101"/>
        <v>450.28</v>
      </c>
      <c r="D118" s="14">
        <f t="shared" si="119"/>
        <v>201.94999999999996</v>
      </c>
      <c r="E118" s="14">
        <f t="shared" si="102"/>
        <v>248.33</v>
      </c>
      <c r="F118" s="14">
        <f t="shared" si="51"/>
        <v>134.16999999999999</v>
      </c>
      <c r="G118" s="14">
        <f t="shared" si="52"/>
        <v>188.55</v>
      </c>
      <c r="H118" s="14">
        <f t="shared" si="54"/>
        <v>773</v>
      </c>
      <c r="I118" s="285">
        <f t="shared" si="70"/>
        <v>18267.229999999996</v>
      </c>
      <c r="J118" s="285">
        <f t="shared" si="71"/>
        <v>28865.730000000007</v>
      </c>
      <c r="K118" s="285">
        <f t="shared" si="72"/>
        <v>79264.609999999928</v>
      </c>
      <c r="L118" s="425">
        <f t="shared" si="155"/>
        <v>4</v>
      </c>
      <c r="M118" s="425">
        <f t="shared" si="111"/>
        <v>59</v>
      </c>
      <c r="N118" s="285">
        <f t="shared" si="112"/>
        <v>244484.94000000009</v>
      </c>
      <c r="O118" s="285">
        <f t="shared" si="73"/>
        <v>1610.57</v>
      </c>
      <c r="P118" s="285">
        <f t="shared" si="120"/>
        <v>337.21000000000004</v>
      </c>
      <c r="Q118" s="285">
        <f t="shared" si="74"/>
        <v>1273.3599999999999</v>
      </c>
      <c r="R118" s="285">
        <f t="shared" si="84"/>
        <v>134.16999999999999</v>
      </c>
      <c r="S118" s="285">
        <f t="shared" si="75"/>
        <v>188.55</v>
      </c>
      <c r="T118" s="285">
        <f t="shared" si="59"/>
        <v>1933.29</v>
      </c>
      <c r="U118" s="285">
        <f t="shared" si="121"/>
        <v>17428.269999999993</v>
      </c>
      <c r="V118" s="285">
        <f t="shared" si="122"/>
        <v>79205.929999999964</v>
      </c>
      <c r="W118" s="285">
        <f t="shared" si="76"/>
        <v>244147.7300000001</v>
      </c>
      <c r="X118" s="502">
        <f t="shared" si="113"/>
        <v>47499</v>
      </c>
      <c r="Y118" s="285">
        <f t="shared" si="77"/>
        <v>298929.68000000017</v>
      </c>
      <c r="Z118" s="494">
        <f t="shared" si="104"/>
        <v>3.7499999999999999E-2</v>
      </c>
      <c r="AA118" s="285">
        <f t="shared" si="105"/>
        <v>1533.81</v>
      </c>
      <c r="AB118" s="285">
        <f t="shared" si="78"/>
        <v>599.65</v>
      </c>
      <c r="AC118" s="285">
        <f t="shared" si="106"/>
        <v>934.16</v>
      </c>
      <c r="AD118" s="285">
        <f t="shared" ref="AD118:AE118" si="163">+AD117</f>
        <v>134.16999999999999</v>
      </c>
      <c r="AE118" s="285">
        <f t="shared" si="163"/>
        <v>188.55</v>
      </c>
      <c r="AF118" s="285">
        <f t="shared" si="80"/>
        <v>1856.53</v>
      </c>
      <c r="AG118" s="285">
        <f t="shared" si="81"/>
        <v>32863.369999999995</v>
      </c>
      <c r="AH118" s="285">
        <f t="shared" si="82"/>
        <v>59165.23</v>
      </c>
      <c r="AI118" s="512">
        <f t="shared" si="64"/>
        <v>4605.6000000000067</v>
      </c>
      <c r="AJ118" s="512">
        <f t="shared" si="134"/>
        <v>-54182.300000000047</v>
      </c>
      <c r="AK118" s="512">
        <f t="shared" si="65"/>
        <v>-49576.700000000041</v>
      </c>
      <c r="AL118" s="285">
        <f t="shared" si="83"/>
        <v>298330.03000000014</v>
      </c>
      <c r="AM118" s="425">
        <f t="shared" si="115"/>
        <v>4</v>
      </c>
      <c r="AN118" s="14">
        <f t="shared" si="66"/>
        <v>1160.29</v>
      </c>
      <c r="AO118" s="14">
        <f t="shared" si="153"/>
        <v>234804.36000000002</v>
      </c>
      <c r="AP118" s="14">
        <f t="shared" si="67"/>
        <v>1083.53</v>
      </c>
      <c r="AS118" s="14">
        <f t="shared" si="109"/>
        <v>1160.29</v>
      </c>
      <c r="AT118" s="14">
        <f t="shared" si="116"/>
        <v>69136.840000000011</v>
      </c>
      <c r="AU118" s="285">
        <f t="shared" si="117"/>
        <v>845.72501431165472</v>
      </c>
      <c r="AV118" s="285">
        <f t="shared" si="118"/>
        <v>77559.730738973492</v>
      </c>
      <c r="AX118" s="479"/>
    </row>
    <row r="119" spans="1:50" x14ac:dyDescent="0.25">
      <c r="A119" s="502">
        <f t="shared" si="69"/>
        <v>47529</v>
      </c>
      <c r="B119" s="285">
        <f t="shared" si="110"/>
        <v>79264.609999999928</v>
      </c>
      <c r="C119" s="14">
        <f t="shared" si="101"/>
        <v>450.28</v>
      </c>
      <c r="D119" s="14">
        <f t="shared" si="119"/>
        <v>202.57999999999998</v>
      </c>
      <c r="E119" s="14">
        <f t="shared" si="102"/>
        <v>247.7</v>
      </c>
      <c r="F119" s="14">
        <f t="shared" si="51"/>
        <v>134.16999999999999</v>
      </c>
      <c r="G119" s="14">
        <f t="shared" si="52"/>
        <v>188.55</v>
      </c>
      <c r="H119" s="14">
        <f t="shared" si="54"/>
        <v>773</v>
      </c>
      <c r="I119" s="285">
        <f t="shared" si="70"/>
        <v>18469.809999999998</v>
      </c>
      <c r="J119" s="285">
        <f t="shared" si="71"/>
        <v>29113.430000000008</v>
      </c>
      <c r="K119" s="285">
        <f t="shared" si="72"/>
        <v>79062.029999999926</v>
      </c>
      <c r="L119" s="425">
        <f t="shared" si="155"/>
        <v>5</v>
      </c>
      <c r="M119" s="425">
        <f t="shared" si="111"/>
        <v>60</v>
      </c>
      <c r="N119" s="285">
        <f t="shared" si="112"/>
        <v>244147.7300000001</v>
      </c>
      <c r="O119" s="285">
        <f t="shared" si="73"/>
        <v>1610.57</v>
      </c>
      <c r="P119" s="285">
        <f t="shared" si="120"/>
        <v>338.97</v>
      </c>
      <c r="Q119" s="285">
        <f t="shared" si="74"/>
        <v>1271.5999999999999</v>
      </c>
      <c r="R119" s="285">
        <f t="shared" si="84"/>
        <v>134.16999999999999</v>
      </c>
      <c r="S119" s="285">
        <f t="shared" si="75"/>
        <v>188.55</v>
      </c>
      <c r="T119" s="285">
        <f t="shared" si="59"/>
        <v>1933.29</v>
      </c>
      <c r="U119" s="285">
        <f t="shared" si="121"/>
        <v>17767.239999999994</v>
      </c>
      <c r="V119" s="285">
        <f t="shared" si="122"/>
        <v>80477.52999999997</v>
      </c>
      <c r="W119" s="285">
        <f t="shared" si="76"/>
        <v>243808.7600000001</v>
      </c>
      <c r="X119" s="502">
        <f t="shared" si="113"/>
        <v>47529</v>
      </c>
      <c r="Y119" s="285">
        <f t="shared" si="77"/>
        <v>298330.03000000014</v>
      </c>
      <c r="Z119" s="494">
        <f t="shared" si="104"/>
        <v>6.25E-2</v>
      </c>
      <c r="AA119" s="285">
        <f t="shared" si="105"/>
        <v>1630.04</v>
      </c>
      <c r="AB119" s="285">
        <f t="shared" si="78"/>
        <v>76.240000000000009</v>
      </c>
      <c r="AC119" s="285">
        <f t="shared" si="106"/>
        <v>1553.8</v>
      </c>
      <c r="AD119" s="285">
        <f t="shared" ref="AD119:AE119" si="164">+AD118</f>
        <v>134.16999999999999</v>
      </c>
      <c r="AE119" s="285">
        <f t="shared" si="164"/>
        <v>188.55</v>
      </c>
      <c r="AF119" s="285">
        <f t="shared" si="80"/>
        <v>1952.76</v>
      </c>
      <c r="AG119" s="285">
        <f t="shared" si="81"/>
        <v>32939.609999999993</v>
      </c>
      <c r="AH119" s="285">
        <f t="shared" si="82"/>
        <v>60719.030000000006</v>
      </c>
      <c r="AI119" s="512">
        <f t="shared" si="64"/>
        <v>4586.1300000000065</v>
      </c>
      <c r="AJ119" s="512">
        <f t="shared" si="134"/>
        <v>-54445.030000000057</v>
      </c>
      <c r="AK119" s="512">
        <f t="shared" si="65"/>
        <v>-49858.900000000052</v>
      </c>
      <c r="AL119" s="285">
        <f t="shared" si="83"/>
        <v>298253.79000000015</v>
      </c>
      <c r="AM119" s="425">
        <f t="shared" si="115"/>
        <v>5</v>
      </c>
      <c r="AN119" s="14">
        <f t="shared" si="66"/>
        <v>1160.29</v>
      </c>
      <c r="AO119" s="14">
        <f t="shared" si="153"/>
        <v>234667.97000000003</v>
      </c>
      <c r="AP119" s="14">
        <f t="shared" si="67"/>
        <v>1179.76</v>
      </c>
      <c r="AS119" s="14">
        <f t="shared" si="109"/>
        <v>1160.29</v>
      </c>
      <c r="AT119" s="14">
        <f t="shared" si="116"/>
        <v>70297.13</v>
      </c>
      <c r="AU119" s="285">
        <f t="shared" si="117"/>
        <v>847.83932684743365</v>
      </c>
      <c r="AV119" s="285">
        <f t="shared" si="118"/>
        <v>78407.570065820924</v>
      </c>
      <c r="AX119" s="479"/>
    </row>
    <row r="120" spans="1:50" x14ac:dyDescent="0.25">
      <c r="A120" s="502">
        <f t="shared" si="69"/>
        <v>47559</v>
      </c>
      <c r="B120" s="285">
        <f t="shared" si="110"/>
        <v>79062.029999999926</v>
      </c>
      <c r="C120" s="14">
        <f t="shared" si="101"/>
        <v>450.28</v>
      </c>
      <c r="D120" s="14">
        <f t="shared" si="119"/>
        <v>203.20999999999998</v>
      </c>
      <c r="E120" s="14">
        <f t="shared" si="102"/>
        <v>247.07</v>
      </c>
      <c r="F120" s="14">
        <f t="shared" si="51"/>
        <v>134.16999999999999</v>
      </c>
      <c r="G120" s="14">
        <f t="shared" si="52"/>
        <v>188.55</v>
      </c>
      <c r="H120" s="14">
        <f t="shared" si="54"/>
        <v>773</v>
      </c>
      <c r="I120" s="285">
        <f t="shared" si="70"/>
        <v>18673.019999999997</v>
      </c>
      <c r="J120" s="285">
        <f t="shared" si="71"/>
        <v>29360.500000000007</v>
      </c>
      <c r="K120" s="285">
        <f t="shared" si="72"/>
        <v>78858.81999999992</v>
      </c>
      <c r="L120" s="425">
        <f t="shared" si="155"/>
        <v>5</v>
      </c>
      <c r="M120" s="425">
        <f t="shared" si="111"/>
        <v>61</v>
      </c>
      <c r="N120" s="285">
        <f t="shared" si="112"/>
        <v>243808.7600000001</v>
      </c>
      <c r="O120" s="285">
        <f t="shared" si="73"/>
        <v>1610.57</v>
      </c>
      <c r="P120" s="285">
        <f t="shared" si="120"/>
        <v>340.73</v>
      </c>
      <c r="Q120" s="285">
        <f t="shared" si="74"/>
        <v>1269.8399999999999</v>
      </c>
      <c r="R120" s="285">
        <f t="shared" si="84"/>
        <v>134.16999999999999</v>
      </c>
      <c r="S120" s="285">
        <f t="shared" si="75"/>
        <v>188.55</v>
      </c>
      <c r="T120" s="285">
        <f t="shared" si="59"/>
        <v>1933.29</v>
      </c>
      <c r="U120" s="285">
        <f t="shared" si="121"/>
        <v>18107.969999999994</v>
      </c>
      <c r="V120" s="285">
        <f t="shared" si="122"/>
        <v>81747.369999999966</v>
      </c>
      <c r="W120" s="285">
        <f t="shared" si="76"/>
        <v>243468.03000000009</v>
      </c>
      <c r="X120" s="502">
        <f t="shared" si="113"/>
        <v>47559</v>
      </c>
      <c r="Y120" s="285">
        <f t="shared" si="77"/>
        <v>298253.79000000015</v>
      </c>
      <c r="Z120" s="494">
        <f t="shared" si="104"/>
        <v>6.25E-2</v>
      </c>
      <c r="AA120" s="285">
        <f t="shared" si="105"/>
        <v>1630.04</v>
      </c>
      <c r="AB120" s="285">
        <f t="shared" si="78"/>
        <v>76.629999999999882</v>
      </c>
      <c r="AC120" s="285">
        <f t="shared" si="106"/>
        <v>1553.41</v>
      </c>
      <c r="AD120" s="285">
        <f t="shared" ref="AD120:AE120" si="165">+AD119</f>
        <v>134.16999999999999</v>
      </c>
      <c r="AE120" s="285">
        <f t="shared" si="165"/>
        <v>188.55</v>
      </c>
      <c r="AF120" s="285">
        <f t="shared" si="80"/>
        <v>1952.76</v>
      </c>
      <c r="AG120" s="285">
        <f t="shared" si="81"/>
        <v>33016.239999999991</v>
      </c>
      <c r="AH120" s="285">
        <f t="shared" si="82"/>
        <v>62272.44000000001</v>
      </c>
      <c r="AI120" s="512">
        <f t="shared" si="64"/>
        <v>4566.6600000000062</v>
      </c>
      <c r="AJ120" s="512">
        <f t="shared" si="134"/>
        <v>-54709.130000000063</v>
      </c>
      <c r="AK120" s="512">
        <f t="shared" si="65"/>
        <v>-50142.470000000059</v>
      </c>
      <c r="AL120" s="285">
        <f t="shared" si="83"/>
        <v>298177.16000000015</v>
      </c>
      <c r="AM120" s="425">
        <f t="shared" si="115"/>
        <v>5</v>
      </c>
      <c r="AN120" s="14">
        <f t="shared" si="66"/>
        <v>1160.29</v>
      </c>
      <c r="AO120" s="14">
        <f t="shared" si="153"/>
        <v>234530.45</v>
      </c>
      <c r="AP120" s="14">
        <f t="shared" si="67"/>
        <v>1179.76</v>
      </c>
      <c r="AS120" s="14">
        <f t="shared" si="109"/>
        <v>1160.29</v>
      </c>
      <c r="AT120" s="14">
        <f t="shared" si="116"/>
        <v>71457.42</v>
      </c>
      <c r="AU120" s="285">
        <f t="shared" si="117"/>
        <v>849.9589251645524</v>
      </c>
      <c r="AV120" s="285">
        <f t="shared" si="118"/>
        <v>79257.528990985476</v>
      </c>
    </row>
    <row r="121" spans="1:50" x14ac:dyDescent="0.25">
      <c r="A121" s="502">
        <f t="shared" si="69"/>
        <v>47589</v>
      </c>
      <c r="B121" s="285">
        <f t="shared" si="110"/>
        <v>78858.81999999992</v>
      </c>
      <c r="C121" s="14">
        <f t="shared" si="101"/>
        <v>450.28</v>
      </c>
      <c r="D121" s="14">
        <f t="shared" si="119"/>
        <v>203.84999999999997</v>
      </c>
      <c r="E121" s="14">
        <f t="shared" si="102"/>
        <v>246.43</v>
      </c>
      <c r="F121" s="14">
        <f t="shared" si="51"/>
        <v>134.16999999999999</v>
      </c>
      <c r="G121" s="14">
        <f t="shared" si="52"/>
        <v>188.55</v>
      </c>
      <c r="H121" s="14">
        <f t="shared" si="54"/>
        <v>773</v>
      </c>
      <c r="I121" s="285">
        <f t="shared" si="70"/>
        <v>18876.869999999995</v>
      </c>
      <c r="J121" s="285">
        <f t="shared" si="71"/>
        <v>29606.930000000008</v>
      </c>
      <c r="K121" s="285">
        <f t="shared" si="72"/>
        <v>78654.969999999914</v>
      </c>
      <c r="L121" s="425">
        <f t="shared" si="155"/>
        <v>5</v>
      </c>
      <c r="M121" s="425">
        <f t="shared" si="111"/>
        <v>62</v>
      </c>
      <c r="N121" s="285">
        <f t="shared" si="112"/>
        <v>243468.03000000009</v>
      </c>
      <c r="O121" s="285">
        <f t="shared" si="73"/>
        <v>1610.57</v>
      </c>
      <c r="P121" s="285">
        <f>+O121-Q121</f>
        <v>342.51</v>
      </c>
      <c r="Q121" s="285">
        <f t="shared" si="74"/>
        <v>1268.06</v>
      </c>
      <c r="R121" s="285">
        <f t="shared" si="84"/>
        <v>134.16999999999999</v>
      </c>
      <c r="S121" s="285">
        <f t="shared" si="75"/>
        <v>188.55</v>
      </c>
      <c r="T121" s="285">
        <f t="shared" si="59"/>
        <v>1933.29</v>
      </c>
      <c r="U121" s="285">
        <f t="shared" si="121"/>
        <v>18450.479999999992</v>
      </c>
      <c r="V121" s="285">
        <f t="shared" si="122"/>
        <v>83015.429999999964</v>
      </c>
      <c r="W121" s="285">
        <f t="shared" si="76"/>
        <v>243125.52000000008</v>
      </c>
      <c r="X121" s="502">
        <f t="shared" si="113"/>
        <v>47589</v>
      </c>
      <c r="Y121" s="285">
        <f t="shared" si="77"/>
        <v>298177.16000000015</v>
      </c>
      <c r="Z121" s="494">
        <f t="shared" si="104"/>
        <v>6.25E-2</v>
      </c>
      <c r="AA121" s="285">
        <f t="shared" si="105"/>
        <v>1630.04</v>
      </c>
      <c r="AB121" s="285">
        <f t="shared" si="78"/>
        <v>77.029999999999973</v>
      </c>
      <c r="AC121" s="285">
        <f t="shared" si="106"/>
        <v>1553.01</v>
      </c>
      <c r="AD121" s="285">
        <f t="shared" ref="AD121:AE121" si="166">+AD120</f>
        <v>134.16999999999999</v>
      </c>
      <c r="AE121" s="285">
        <f t="shared" si="166"/>
        <v>188.55</v>
      </c>
      <c r="AF121" s="285">
        <f t="shared" si="80"/>
        <v>1952.76</v>
      </c>
      <c r="AG121" s="285">
        <f t="shared" si="81"/>
        <v>33093.26999999999</v>
      </c>
      <c r="AH121" s="285">
        <f t="shared" si="82"/>
        <v>63825.450000000012</v>
      </c>
      <c r="AI121" s="512">
        <f t="shared" si="64"/>
        <v>4547.190000000006</v>
      </c>
      <c r="AJ121" s="512">
        <f t="shared" si="134"/>
        <v>-54974.610000000044</v>
      </c>
      <c r="AK121" s="512">
        <f t="shared" si="65"/>
        <v>-50427.420000000042</v>
      </c>
      <c r="AL121" s="285">
        <f t="shared" si="83"/>
        <v>298100.13000000012</v>
      </c>
      <c r="AM121" s="425">
        <f t="shared" si="115"/>
        <v>5</v>
      </c>
      <c r="AN121" s="14">
        <f t="shared" si="66"/>
        <v>1160.29</v>
      </c>
      <c r="AO121" s="14">
        <f t="shared" si="153"/>
        <v>234391.79000000004</v>
      </c>
      <c r="AP121" s="14">
        <f t="shared" si="67"/>
        <v>1179.76</v>
      </c>
      <c r="AS121" s="14">
        <f t="shared" si="109"/>
        <v>1160.29</v>
      </c>
      <c r="AT121" s="14">
        <f t="shared" si="116"/>
        <v>72617.709999999992</v>
      </c>
      <c r="AU121" s="285">
        <f t="shared" si="117"/>
        <v>852.08382247746374</v>
      </c>
      <c r="AV121" s="285">
        <f t="shared" si="118"/>
        <v>80109.61281346294</v>
      </c>
    </row>
    <row r="122" spans="1:50" ht="15.75" thickBot="1" x14ac:dyDescent="0.3">
      <c r="A122" s="505">
        <f t="shared" si="69"/>
        <v>47619</v>
      </c>
      <c r="B122" s="345">
        <f t="shared" si="110"/>
        <v>78654.969999999914</v>
      </c>
      <c r="C122" s="21">
        <f t="shared" si="101"/>
        <v>450.28</v>
      </c>
      <c r="D122" s="21">
        <f t="shared" si="119"/>
        <v>204.47999999999996</v>
      </c>
      <c r="E122" s="21">
        <f t="shared" si="102"/>
        <v>245.8</v>
      </c>
      <c r="F122" s="21">
        <f t="shared" si="51"/>
        <v>134.16999999999999</v>
      </c>
      <c r="G122" s="21">
        <f t="shared" ref="G122:G185" si="167">+G121</f>
        <v>188.55</v>
      </c>
      <c r="H122" s="21">
        <f t="shared" ref="H122:H185" si="168">SUM(D122:G122)</f>
        <v>773</v>
      </c>
      <c r="I122" s="345">
        <f t="shared" si="70"/>
        <v>19081.349999999995</v>
      </c>
      <c r="J122" s="345">
        <f t="shared" si="71"/>
        <v>29852.730000000007</v>
      </c>
      <c r="K122" s="345">
        <f t="shared" si="72"/>
        <v>78450.489999999918</v>
      </c>
      <c r="L122" s="426">
        <f t="shared" si="155"/>
        <v>5</v>
      </c>
      <c r="M122" s="426">
        <f t="shared" si="111"/>
        <v>63</v>
      </c>
      <c r="N122" s="345">
        <f t="shared" si="112"/>
        <v>243125.52000000008</v>
      </c>
      <c r="O122" s="345">
        <f t="shared" si="73"/>
        <v>1610.57</v>
      </c>
      <c r="P122" s="345">
        <f t="shared" si="120"/>
        <v>344.28999999999996</v>
      </c>
      <c r="Q122" s="345">
        <f t="shared" si="74"/>
        <v>1266.28</v>
      </c>
      <c r="R122" s="345">
        <f t="shared" si="84"/>
        <v>134.16999999999999</v>
      </c>
      <c r="S122" s="345">
        <f t="shared" si="75"/>
        <v>188.55</v>
      </c>
      <c r="T122" s="345">
        <f t="shared" si="59"/>
        <v>1933.29</v>
      </c>
      <c r="U122" s="345">
        <f t="shared" si="121"/>
        <v>18794.769999999993</v>
      </c>
      <c r="V122" s="345">
        <f t="shared" si="122"/>
        <v>84281.709999999963</v>
      </c>
      <c r="W122" s="345">
        <f t="shared" si="76"/>
        <v>242781.23000000007</v>
      </c>
      <c r="X122" s="505">
        <f t="shared" si="113"/>
        <v>47619</v>
      </c>
      <c r="Y122" s="345">
        <f t="shared" si="77"/>
        <v>298100.13000000012</v>
      </c>
      <c r="Z122" s="495">
        <f t="shared" si="104"/>
        <v>6.25E-2</v>
      </c>
      <c r="AA122" s="345">
        <f t="shared" si="105"/>
        <v>1630.04</v>
      </c>
      <c r="AB122" s="345">
        <f t="shared" si="78"/>
        <v>77.440000000000055</v>
      </c>
      <c r="AC122" s="345">
        <f t="shared" si="106"/>
        <v>1552.6</v>
      </c>
      <c r="AD122" s="345">
        <f t="shared" ref="AD122:AE122" si="169">+AD121</f>
        <v>134.16999999999999</v>
      </c>
      <c r="AE122" s="345">
        <f t="shared" si="169"/>
        <v>188.55</v>
      </c>
      <c r="AF122" s="345">
        <f t="shared" si="80"/>
        <v>1952.76</v>
      </c>
      <c r="AG122" s="345">
        <f t="shared" si="81"/>
        <v>33170.709999999992</v>
      </c>
      <c r="AH122" s="345">
        <f t="shared" si="82"/>
        <v>65378.05000000001</v>
      </c>
      <c r="AI122" s="513">
        <f t="shared" si="64"/>
        <v>4527.7200000000057</v>
      </c>
      <c r="AJ122" s="513">
        <f t="shared" si="134"/>
        <v>-55241.46000000005</v>
      </c>
      <c r="AK122" s="513">
        <f t="shared" si="65"/>
        <v>-50713.740000000042</v>
      </c>
      <c r="AL122" s="345">
        <f t="shared" si="83"/>
        <v>298022.69000000012</v>
      </c>
      <c r="AM122" s="426">
        <f t="shared" si="115"/>
        <v>5</v>
      </c>
      <c r="AN122" s="21">
        <f t="shared" si="66"/>
        <v>1160.29</v>
      </c>
      <c r="AO122" s="21">
        <f t="shared" si="153"/>
        <v>234251.98000000004</v>
      </c>
      <c r="AP122" s="21">
        <f t="shared" si="67"/>
        <v>1179.76</v>
      </c>
      <c r="AQ122" s="21"/>
      <c r="AR122" s="23"/>
      <c r="AS122" s="21">
        <f t="shared" si="109"/>
        <v>1160.29</v>
      </c>
      <c r="AT122" s="21">
        <f t="shared" si="116"/>
        <v>73777.999999999985</v>
      </c>
      <c r="AU122" s="345">
        <f t="shared" si="117"/>
        <v>854.21403203365742</v>
      </c>
      <c r="AV122" s="345">
        <f t="shared" si="118"/>
        <v>80963.826845496602</v>
      </c>
    </row>
    <row r="123" spans="1:50" x14ac:dyDescent="0.25">
      <c r="A123" s="502">
        <f t="shared" si="69"/>
        <v>47649</v>
      </c>
      <c r="B123" s="285">
        <f t="shared" si="110"/>
        <v>78450.489999999918</v>
      </c>
      <c r="C123" s="14">
        <f t="shared" si="101"/>
        <v>450.28</v>
      </c>
      <c r="D123" s="14">
        <f t="shared" si="119"/>
        <v>205.11999999999998</v>
      </c>
      <c r="E123" s="14">
        <f t="shared" si="102"/>
        <v>245.16</v>
      </c>
      <c r="F123" s="14">
        <f t="shared" ref="F123:F186" si="170">+F122</f>
        <v>134.16999999999999</v>
      </c>
      <c r="G123" s="14">
        <f t="shared" si="167"/>
        <v>188.55</v>
      </c>
      <c r="H123" s="14">
        <f t="shared" si="168"/>
        <v>773</v>
      </c>
      <c r="I123" s="285">
        <f t="shared" si="70"/>
        <v>19286.469999999994</v>
      </c>
      <c r="J123" s="285">
        <f t="shared" si="71"/>
        <v>30097.890000000007</v>
      </c>
      <c r="K123" s="285">
        <f t="shared" si="72"/>
        <v>78245.369999999923</v>
      </c>
      <c r="L123" s="425">
        <f t="shared" si="155"/>
        <v>5</v>
      </c>
      <c r="M123" s="425">
        <f t="shared" si="111"/>
        <v>64</v>
      </c>
      <c r="N123" s="285">
        <f t="shared" si="112"/>
        <v>242781.23000000007</v>
      </c>
      <c r="O123" s="285">
        <f t="shared" si="73"/>
        <v>1610.57</v>
      </c>
      <c r="P123" s="285">
        <f t="shared" si="120"/>
        <v>346.07999999999993</v>
      </c>
      <c r="Q123" s="285">
        <f t="shared" si="74"/>
        <v>1264.49</v>
      </c>
      <c r="R123" s="285">
        <f t="shared" si="84"/>
        <v>134.16999999999999</v>
      </c>
      <c r="S123" s="285">
        <f t="shared" si="75"/>
        <v>188.55</v>
      </c>
      <c r="T123" s="285">
        <f t="shared" ref="T123:T186" si="171">SUM(P123:S123)</f>
        <v>1933.29</v>
      </c>
      <c r="U123" s="285">
        <f t="shared" si="121"/>
        <v>19140.849999999991</v>
      </c>
      <c r="V123" s="285">
        <f t="shared" si="122"/>
        <v>85546.199999999968</v>
      </c>
      <c r="W123" s="285">
        <f t="shared" si="76"/>
        <v>242435.15000000008</v>
      </c>
      <c r="X123" s="502">
        <f t="shared" si="113"/>
        <v>47649</v>
      </c>
      <c r="Y123" s="285">
        <f t="shared" si="77"/>
        <v>298022.69000000012</v>
      </c>
      <c r="Z123" s="494">
        <f t="shared" si="104"/>
        <v>6.25E-2</v>
      </c>
      <c r="AA123" s="285">
        <f t="shared" si="105"/>
        <v>1630.04</v>
      </c>
      <c r="AB123" s="285">
        <f t="shared" si="78"/>
        <v>77.839999999999918</v>
      </c>
      <c r="AC123" s="285">
        <f t="shared" si="106"/>
        <v>1552.2</v>
      </c>
      <c r="AD123" s="285">
        <f t="shared" ref="AD123:AE123" si="172">+AD122</f>
        <v>134.16999999999999</v>
      </c>
      <c r="AE123" s="285">
        <f t="shared" si="172"/>
        <v>188.55</v>
      </c>
      <c r="AF123" s="285">
        <f t="shared" si="80"/>
        <v>1952.76</v>
      </c>
      <c r="AG123" s="285">
        <f t="shared" si="81"/>
        <v>33248.549999999988</v>
      </c>
      <c r="AH123" s="285">
        <f t="shared" si="82"/>
        <v>66930.250000000015</v>
      </c>
      <c r="AI123" s="512">
        <f t="shared" si="64"/>
        <v>4508.2500000000055</v>
      </c>
      <c r="AJ123" s="512">
        <f t="shared" si="134"/>
        <v>-55509.700000000012</v>
      </c>
      <c r="AK123" s="512">
        <f t="shared" si="65"/>
        <v>-51001.450000000004</v>
      </c>
      <c r="AL123" s="285">
        <f t="shared" si="83"/>
        <v>297944.85000000009</v>
      </c>
      <c r="AM123" s="425">
        <f t="shared" si="115"/>
        <v>5</v>
      </c>
      <c r="AN123" s="14">
        <f t="shared" si="66"/>
        <v>1160.29</v>
      </c>
      <c r="AO123" s="14">
        <f t="shared" si="153"/>
        <v>234111.02000000002</v>
      </c>
      <c r="AP123" s="14">
        <f t="shared" si="67"/>
        <v>1179.76</v>
      </c>
      <c r="AS123" s="14">
        <f t="shared" si="109"/>
        <v>1160.29</v>
      </c>
      <c r="AT123" s="14">
        <f t="shared" si="116"/>
        <v>74938.289999999979</v>
      </c>
      <c r="AU123" s="285">
        <f t="shared" si="117"/>
        <v>856.3495671137415</v>
      </c>
      <c r="AV123" s="285">
        <f t="shared" si="118"/>
        <v>81820.176412610337</v>
      </c>
    </row>
    <row r="124" spans="1:50" x14ac:dyDescent="0.25">
      <c r="A124" s="502">
        <f t="shared" si="69"/>
        <v>47679</v>
      </c>
      <c r="B124" s="285">
        <f t="shared" si="110"/>
        <v>78245.369999999923</v>
      </c>
      <c r="C124" s="14">
        <f t="shared" si="101"/>
        <v>450.28</v>
      </c>
      <c r="D124" s="14">
        <f t="shared" si="119"/>
        <v>205.75999999999996</v>
      </c>
      <c r="E124" s="14">
        <f t="shared" si="102"/>
        <v>244.52</v>
      </c>
      <c r="F124" s="14">
        <f t="shared" si="170"/>
        <v>134.16999999999999</v>
      </c>
      <c r="G124" s="14">
        <f t="shared" si="167"/>
        <v>188.55</v>
      </c>
      <c r="H124" s="14">
        <f t="shared" si="168"/>
        <v>773</v>
      </c>
      <c r="I124" s="285">
        <f t="shared" si="70"/>
        <v>19492.229999999992</v>
      </c>
      <c r="J124" s="285">
        <f t="shared" si="71"/>
        <v>30342.410000000007</v>
      </c>
      <c r="K124" s="285">
        <f t="shared" si="72"/>
        <v>78039.609999999928</v>
      </c>
      <c r="L124" s="425">
        <f t="shared" si="155"/>
        <v>5</v>
      </c>
      <c r="M124" s="425">
        <f t="shared" si="111"/>
        <v>65</v>
      </c>
      <c r="N124" s="285">
        <f t="shared" si="112"/>
        <v>242435.15000000008</v>
      </c>
      <c r="O124" s="285">
        <f t="shared" si="73"/>
        <v>1610.57</v>
      </c>
      <c r="P124" s="285">
        <f t="shared" si="120"/>
        <v>347.88999999999987</v>
      </c>
      <c r="Q124" s="285">
        <f t="shared" si="74"/>
        <v>1262.68</v>
      </c>
      <c r="R124" s="285">
        <f t="shared" ref="R124:R187" si="173">+R123</f>
        <v>134.16999999999999</v>
      </c>
      <c r="S124" s="285">
        <f t="shared" ref="S124:S187" si="174">+S123</f>
        <v>188.55</v>
      </c>
      <c r="T124" s="285">
        <f t="shared" si="171"/>
        <v>1933.29</v>
      </c>
      <c r="U124" s="285">
        <f t="shared" si="121"/>
        <v>19488.739999999991</v>
      </c>
      <c r="V124" s="285">
        <f t="shared" si="122"/>
        <v>86808.879999999961</v>
      </c>
      <c r="W124" s="285">
        <f t="shared" si="76"/>
        <v>242087.26000000007</v>
      </c>
      <c r="X124" s="502">
        <f t="shared" si="113"/>
        <v>47679</v>
      </c>
      <c r="Y124" s="285">
        <f t="shared" si="77"/>
        <v>297944.85000000009</v>
      </c>
      <c r="Z124" s="494">
        <f t="shared" si="104"/>
        <v>6.25E-2</v>
      </c>
      <c r="AA124" s="285">
        <f t="shared" si="105"/>
        <v>1630.04</v>
      </c>
      <c r="AB124" s="285">
        <f t="shared" si="78"/>
        <v>78.240000000000009</v>
      </c>
      <c r="AC124" s="285">
        <f t="shared" si="106"/>
        <v>1551.8</v>
      </c>
      <c r="AD124" s="285">
        <f t="shared" ref="AD124:AE124" si="175">+AD123</f>
        <v>134.16999999999999</v>
      </c>
      <c r="AE124" s="285">
        <f t="shared" si="175"/>
        <v>188.55</v>
      </c>
      <c r="AF124" s="285">
        <f t="shared" si="80"/>
        <v>1952.76</v>
      </c>
      <c r="AG124" s="285">
        <f t="shared" si="81"/>
        <v>33326.789999999986</v>
      </c>
      <c r="AH124" s="285">
        <f t="shared" si="82"/>
        <v>68482.050000000017</v>
      </c>
      <c r="AI124" s="512">
        <f t="shared" ref="AI124:AI187" si="176">O124-AA124+AI123</f>
        <v>4488.7800000000052</v>
      </c>
      <c r="AJ124" s="512">
        <f t="shared" si="134"/>
        <v>-55779.350000000035</v>
      </c>
      <c r="AK124" s="512">
        <f t="shared" ref="AK124:AK187" si="177">SUM(AI124:AJ124)</f>
        <v>-51290.570000000029</v>
      </c>
      <c r="AL124" s="285">
        <f t="shared" si="83"/>
        <v>297866.6100000001</v>
      </c>
      <c r="AM124" s="425">
        <f t="shared" si="115"/>
        <v>5</v>
      </c>
      <c r="AN124" s="14">
        <f t="shared" ref="AN124:AN187" si="178">IF(O124=0,0,+O124-C124)</f>
        <v>1160.29</v>
      </c>
      <c r="AO124" s="14">
        <f t="shared" si="153"/>
        <v>233968.89</v>
      </c>
      <c r="AP124" s="14">
        <f t="shared" ref="AP124:AP187" si="179">IF($O124=0,0,+AA124-$C124)</f>
        <v>1179.76</v>
      </c>
      <c r="AS124" s="14">
        <f t="shared" si="109"/>
        <v>1160.29</v>
      </c>
      <c r="AT124" s="14">
        <f t="shared" si="116"/>
        <v>76098.579999999973</v>
      </c>
      <c r="AU124" s="285">
        <f t="shared" si="117"/>
        <v>858.49044103152585</v>
      </c>
      <c r="AV124" s="285">
        <f t="shared" si="118"/>
        <v>82678.666853641858</v>
      </c>
    </row>
    <row r="125" spans="1:50" x14ac:dyDescent="0.25">
      <c r="A125" s="502">
        <f t="shared" si="69"/>
        <v>47709</v>
      </c>
      <c r="B125" s="285">
        <f t="shared" si="110"/>
        <v>78039.609999999928</v>
      </c>
      <c r="C125" s="14">
        <f t="shared" si="101"/>
        <v>450.28</v>
      </c>
      <c r="D125" s="14">
        <f t="shared" si="119"/>
        <v>206.40999999999997</v>
      </c>
      <c r="E125" s="14">
        <f t="shared" si="102"/>
        <v>243.87</v>
      </c>
      <c r="F125" s="14">
        <f t="shared" si="170"/>
        <v>134.16999999999999</v>
      </c>
      <c r="G125" s="14">
        <f t="shared" si="167"/>
        <v>188.55</v>
      </c>
      <c r="H125" s="14">
        <f t="shared" si="168"/>
        <v>773</v>
      </c>
      <c r="I125" s="285">
        <f t="shared" si="70"/>
        <v>19698.639999999992</v>
      </c>
      <c r="J125" s="285">
        <f t="shared" si="71"/>
        <v>30586.280000000006</v>
      </c>
      <c r="K125" s="285">
        <f t="shared" si="72"/>
        <v>77833.199999999924</v>
      </c>
      <c r="L125" s="425">
        <f t="shared" si="155"/>
        <v>5</v>
      </c>
      <c r="M125" s="425">
        <f t="shared" si="111"/>
        <v>66</v>
      </c>
      <c r="N125" s="285">
        <f t="shared" si="112"/>
        <v>242087.26000000007</v>
      </c>
      <c r="O125" s="285">
        <f t="shared" si="73"/>
        <v>1610.57</v>
      </c>
      <c r="P125" s="285">
        <f t="shared" si="120"/>
        <v>349.70000000000005</v>
      </c>
      <c r="Q125" s="285">
        <f t="shared" si="74"/>
        <v>1260.8699999999999</v>
      </c>
      <c r="R125" s="285">
        <f t="shared" si="173"/>
        <v>134.16999999999999</v>
      </c>
      <c r="S125" s="285">
        <f t="shared" si="174"/>
        <v>188.55</v>
      </c>
      <c r="T125" s="285">
        <f t="shared" si="171"/>
        <v>1933.29</v>
      </c>
      <c r="U125" s="285">
        <f t="shared" si="121"/>
        <v>19838.439999999991</v>
      </c>
      <c r="V125" s="285">
        <f t="shared" si="122"/>
        <v>88069.749999999956</v>
      </c>
      <c r="W125" s="285">
        <f t="shared" si="76"/>
        <v>241737.56000000006</v>
      </c>
      <c r="X125" s="502">
        <f t="shared" si="113"/>
        <v>47709</v>
      </c>
      <c r="Y125" s="285">
        <f t="shared" si="77"/>
        <v>297866.6100000001</v>
      </c>
      <c r="Z125" s="494">
        <f t="shared" si="104"/>
        <v>6.25E-2</v>
      </c>
      <c r="AA125" s="285">
        <f t="shared" si="105"/>
        <v>1630.04</v>
      </c>
      <c r="AB125" s="285">
        <f t="shared" si="78"/>
        <v>78.649999999999864</v>
      </c>
      <c r="AC125" s="285">
        <f t="shared" si="106"/>
        <v>1551.39</v>
      </c>
      <c r="AD125" s="285">
        <f t="shared" ref="AD125:AE125" si="180">+AD124</f>
        <v>134.16999999999999</v>
      </c>
      <c r="AE125" s="285">
        <f t="shared" si="180"/>
        <v>188.55</v>
      </c>
      <c r="AF125" s="285">
        <f t="shared" si="80"/>
        <v>1952.76</v>
      </c>
      <c r="AG125" s="285">
        <f t="shared" si="81"/>
        <v>33405.439999999988</v>
      </c>
      <c r="AH125" s="285">
        <f t="shared" si="82"/>
        <v>70033.440000000017</v>
      </c>
      <c r="AI125" s="512">
        <f t="shared" si="176"/>
        <v>4469.3100000000049</v>
      </c>
      <c r="AJ125" s="512">
        <f t="shared" si="134"/>
        <v>-56050.400000000023</v>
      </c>
      <c r="AK125" s="512">
        <f t="shared" si="177"/>
        <v>-51581.090000000018</v>
      </c>
      <c r="AL125" s="285">
        <f t="shared" si="83"/>
        <v>297787.96000000008</v>
      </c>
      <c r="AM125" s="425">
        <f t="shared" si="115"/>
        <v>5</v>
      </c>
      <c r="AN125" s="14">
        <f t="shared" si="178"/>
        <v>1160.29</v>
      </c>
      <c r="AO125" s="14">
        <f t="shared" si="153"/>
        <v>233825.6</v>
      </c>
      <c r="AP125" s="14">
        <f t="shared" si="179"/>
        <v>1179.76</v>
      </c>
      <c r="AS125" s="14">
        <f t="shared" si="109"/>
        <v>1160.29</v>
      </c>
      <c r="AT125" s="14">
        <f t="shared" si="116"/>
        <v>77258.869999999966</v>
      </c>
      <c r="AU125" s="285">
        <f t="shared" si="117"/>
        <v>860.63666713410464</v>
      </c>
      <c r="AV125" s="285">
        <f t="shared" si="118"/>
        <v>83539.303520775968</v>
      </c>
    </row>
    <row r="126" spans="1:50" x14ac:dyDescent="0.25">
      <c r="A126" s="502">
        <f t="shared" ref="A126:A189" si="181">IF(K126&lt;=0," ",+A125+30)</f>
        <v>47739</v>
      </c>
      <c r="B126" s="285">
        <f t="shared" si="110"/>
        <v>77833.199999999924</v>
      </c>
      <c r="C126" s="14">
        <f t="shared" si="101"/>
        <v>450.28</v>
      </c>
      <c r="D126" s="14">
        <f t="shared" si="119"/>
        <v>207.04999999999998</v>
      </c>
      <c r="E126" s="14">
        <f t="shared" si="102"/>
        <v>243.23</v>
      </c>
      <c r="F126" s="14">
        <f t="shared" si="170"/>
        <v>134.16999999999999</v>
      </c>
      <c r="G126" s="14">
        <f t="shared" si="167"/>
        <v>188.55</v>
      </c>
      <c r="H126" s="14">
        <f t="shared" si="168"/>
        <v>773</v>
      </c>
      <c r="I126" s="285">
        <f t="shared" ref="I126:I189" si="182">$D126+$I125</f>
        <v>19905.689999999991</v>
      </c>
      <c r="J126" s="285">
        <f t="shared" ref="J126:J189" si="183">$E126+$J125</f>
        <v>30829.510000000006</v>
      </c>
      <c r="K126" s="285">
        <f t="shared" ref="K126:K189" si="184">+B126-D126</f>
        <v>77626.149999999921</v>
      </c>
      <c r="L126" s="425">
        <f t="shared" si="155"/>
        <v>5</v>
      </c>
      <c r="M126" s="425">
        <f t="shared" si="111"/>
        <v>67</v>
      </c>
      <c r="N126" s="285">
        <f t="shared" si="112"/>
        <v>241737.56000000006</v>
      </c>
      <c r="O126" s="285">
        <f t="shared" ref="O126:O189" si="185">IF($O$9&lt;=A126,IF(+$W125&lt;=0,0,$O$8),0)</f>
        <v>1610.57</v>
      </c>
      <c r="P126" s="285">
        <f t="shared" si="120"/>
        <v>351.52</v>
      </c>
      <c r="Q126" s="285">
        <f t="shared" ref="Q126:Q189" si="186">IF($O$9&lt;=A126,ROUND(N126*($O$6/12),2),0)</f>
        <v>1259.05</v>
      </c>
      <c r="R126" s="285">
        <f t="shared" si="173"/>
        <v>134.16999999999999</v>
      </c>
      <c r="S126" s="285">
        <f t="shared" si="174"/>
        <v>188.55</v>
      </c>
      <c r="T126" s="285">
        <f t="shared" si="171"/>
        <v>1933.29</v>
      </c>
      <c r="U126" s="285">
        <f t="shared" si="121"/>
        <v>20189.959999999992</v>
      </c>
      <c r="V126" s="285">
        <f t="shared" si="122"/>
        <v>89328.799999999959</v>
      </c>
      <c r="W126" s="285">
        <f t="shared" ref="W126:W189" si="187">+N126-P126</f>
        <v>241386.04000000007</v>
      </c>
      <c r="X126" s="502">
        <f t="shared" si="113"/>
        <v>47739</v>
      </c>
      <c r="Y126" s="285">
        <f t="shared" ref="Y126:Y189" si="188">IF(+AL125&lt;0,0,+AL125)</f>
        <v>297787.96000000008</v>
      </c>
      <c r="Z126" s="494">
        <f t="shared" si="104"/>
        <v>6.25E-2</v>
      </c>
      <c r="AA126" s="285">
        <f t="shared" si="105"/>
        <v>1630.04</v>
      </c>
      <c r="AB126" s="285">
        <f t="shared" ref="AB126:AB189" si="189">+AA126-AC126</f>
        <v>79.059999999999945</v>
      </c>
      <c r="AC126" s="285">
        <f t="shared" si="106"/>
        <v>1550.98</v>
      </c>
      <c r="AD126" s="285">
        <f t="shared" ref="AD126:AE126" si="190">+AD125</f>
        <v>134.16999999999999</v>
      </c>
      <c r="AE126" s="285">
        <f t="shared" si="190"/>
        <v>188.55</v>
      </c>
      <c r="AF126" s="285">
        <f t="shared" ref="AF126:AF189" si="191">SUM(AB126:AE126)</f>
        <v>1952.76</v>
      </c>
      <c r="AG126" s="285">
        <f t="shared" ref="AG126:AG189" si="192">+AB126+AG125</f>
        <v>33484.499999999985</v>
      </c>
      <c r="AH126" s="285">
        <f t="shared" ref="AH126:AH189" si="193">+AH125+AC126</f>
        <v>71584.420000000013</v>
      </c>
      <c r="AI126" s="512">
        <f t="shared" si="176"/>
        <v>4449.8400000000047</v>
      </c>
      <c r="AJ126" s="512">
        <f t="shared" si="134"/>
        <v>-56322.860000000015</v>
      </c>
      <c r="AK126" s="512">
        <f t="shared" si="177"/>
        <v>-51873.020000000011</v>
      </c>
      <c r="AL126" s="285">
        <f t="shared" ref="AL126:AL189" si="194">+Y126-AB126</f>
        <v>297708.90000000008</v>
      </c>
      <c r="AM126" s="425">
        <f t="shared" si="115"/>
        <v>5</v>
      </c>
      <c r="AN126" s="14">
        <f t="shared" si="178"/>
        <v>1160.29</v>
      </c>
      <c r="AO126" s="14">
        <f t="shared" si="153"/>
        <v>233681.13000000003</v>
      </c>
      <c r="AP126" s="14">
        <f t="shared" si="179"/>
        <v>1179.76</v>
      </c>
      <c r="AS126" s="14">
        <f t="shared" si="109"/>
        <v>1160.29</v>
      </c>
      <c r="AT126" s="14">
        <f t="shared" si="116"/>
        <v>78419.15999999996</v>
      </c>
      <c r="AU126" s="285">
        <f t="shared" si="117"/>
        <v>862.78825880193983</v>
      </c>
      <c r="AV126" s="285">
        <f t="shared" si="118"/>
        <v>84402.09177957791</v>
      </c>
    </row>
    <row r="127" spans="1:50" x14ac:dyDescent="0.25">
      <c r="A127" s="502">
        <f t="shared" si="181"/>
        <v>47769</v>
      </c>
      <c r="B127" s="285">
        <f t="shared" si="110"/>
        <v>77626.149999999921</v>
      </c>
      <c r="C127" s="14">
        <f t="shared" si="101"/>
        <v>450.28</v>
      </c>
      <c r="D127" s="14">
        <f t="shared" si="119"/>
        <v>207.69999999999996</v>
      </c>
      <c r="E127" s="14">
        <f t="shared" si="102"/>
        <v>242.58</v>
      </c>
      <c r="F127" s="14">
        <f t="shared" si="170"/>
        <v>134.16999999999999</v>
      </c>
      <c r="G127" s="14">
        <f t="shared" si="167"/>
        <v>188.55</v>
      </c>
      <c r="H127" s="14">
        <f t="shared" si="168"/>
        <v>773</v>
      </c>
      <c r="I127" s="285">
        <f t="shared" si="182"/>
        <v>20113.389999999992</v>
      </c>
      <c r="J127" s="285">
        <f t="shared" si="183"/>
        <v>31072.090000000007</v>
      </c>
      <c r="K127" s="285">
        <f t="shared" si="184"/>
        <v>77418.449999999924</v>
      </c>
      <c r="L127" s="425">
        <f t="shared" si="155"/>
        <v>5</v>
      </c>
      <c r="M127" s="425">
        <f t="shared" si="111"/>
        <v>68</v>
      </c>
      <c r="N127" s="285">
        <f t="shared" si="112"/>
        <v>241386.04000000007</v>
      </c>
      <c r="O127" s="285">
        <f t="shared" si="185"/>
        <v>1610.57</v>
      </c>
      <c r="P127" s="285">
        <f t="shared" si="120"/>
        <v>353.34999999999991</v>
      </c>
      <c r="Q127" s="285">
        <f t="shared" si="186"/>
        <v>1257.22</v>
      </c>
      <c r="R127" s="285">
        <f t="shared" si="173"/>
        <v>134.16999999999999</v>
      </c>
      <c r="S127" s="285">
        <f t="shared" si="174"/>
        <v>188.55</v>
      </c>
      <c r="T127" s="285">
        <f t="shared" si="171"/>
        <v>1933.29</v>
      </c>
      <c r="U127" s="285">
        <f t="shared" si="121"/>
        <v>20543.30999999999</v>
      </c>
      <c r="V127" s="285">
        <f t="shared" si="122"/>
        <v>90586.01999999996</v>
      </c>
      <c r="W127" s="285">
        <f t="shared" si="187"/>
        <v>241032.69000000006</v>
      </c>
      <c r="X127" s="502">
        <f t="shared" si="113"/>
        <v>47769</v>
      </c>
      <c r="Y127" s="285">
        <f t="shared" si="188"/>
        <v>297708.90000000008</v>
      </c>
      <c r="Z127" s="494">
        <f t="shared" si="104"/>
        <v>6.25E-2</v>
      </c>
      <c r="AA127" s="285">
        <f t="shared" si="105"/>
        <v>1630.04</v>
      </c>
      <c r="AB127" s="285">
        <f t="shared" si="189"/>
        <v>79.470000000000027</v>
      </c>
      <c r="AC127" s="285">
        <f t="shared" si="106"/>
        <v>1550.57</v>
      </c>
      <c r="AD127" s="285">
        <f t="shared" ref="AD127:AE127" si="195">+AD126</f>
        <v>134.16999999999999</v>
      </c>
      <c r="AE127" s="285">
        <f t="shared" si="195"/>
        <v>188.55</v>
      </c>
      <c r="AF127" s="285">
        <f t="shared" si="191"/>
        <v>1952.76</v>
      </c>
      <c r="AG127" s="285">
        <f t="shared" si="192"/>
        <v>33563.969999999987</v>
      </c>
      <c r="AH127" s="285">
        <f t="shared" si="193"/>
        <v>73134.99000000002</v>
      </c>
      <c r="AI127" s="512">
        <f t="shared" si="176"/>
        <v>4430.3700000000044</v>
      </c>
      <c r="AJ127" s="512">
        <f t="shared" si="134"/>
        <v>-56596.740000000049</v>
      </c>
      <c r="AK127" s="512">
        <f t="shared" si="177"/>
        <v>-52166.370000000046</v>
      </c>
      <c r="AL127" s="285">
        <f t="shared" si="194"/>
        <v>297629.43000000011</v>
      </c>
      <c r="AM127" s="425">
        <f t="shared" si="115"/>
        <v>5</v>
      </c>
      <c r="AN127" s="14">
        <f t="shared" si="178"/>
        <v>1160.29</v>
      </c>
      <c r="AO127" s="14">
        <f t="shared" si="153"/>
        <v>233535.48</v>
      </c>
      <c r="AP127" s="14">
        <f t="shared" si="179"/>
        <v>1179.76</v>
      </c>
      <c r="AS127" s="14">
        <f t="shared" si="109"/>
        <v>1160.29</v>
      </c>
      <c r="AT127" s="14">
        <f t="shared" si="116"/>
        <v>79579.449999999953</v>
      </c>
      <c r="AU127" s="285">
        <f t="shared" si="117"/>
        <v>864.9452294489447</v>
      </c>
      <c r="AV127" s="285">
        <f t="shared" si="118"/>
        <v>85267.037009026855</v>
      </c>
    </row>
    <row r="128" spans="1:50" x14ac:dyDescent="0.25">
      <c r="A128" s="502">
        <f t="shared" si="181"/>
        <v>47799</v>
      </c>
      <c r="B128" s="285">
        <f t="shared" si="110"/>
        <v>77418.449999999924</v>
      </c>
      <c r="C128" s="14">
        <f t="shared" si="101"/>
        <v>450.28</v>
      </c>
      <c r="D128" s="14">
        <f t="shared" si="119"/>
        <v>208.34999999999997</v>
      </c>
      <c r="E128" s="14">
        <f t="shared" si="102"/>
        <v>241.93</v>
      </c>
      <c r="F128" s="14">
        <f t="shared" si="170"/>
        <v>134.16999999999999</v>
      </c>
      <c r="G128" s="14">
        <f t="shared" si="167"/>
        <v>188.55</v>
      </c>
      <c r="H128" s="14">
        <f t="shared" si="168"/>
        <v>773</v>
      </c>
      <c r="I128" s="285">
        <f t="shared" si="182"/>
        <v>20321.739999999991</v>
      </c>
      <c r="J128" s="285">
        <f t="shared" si="183"/>
        <v>31314.020000000008</v>
      </c>
      <c r="K128" s="285">
        <f t="shared" si="184"/>
        <v>77210.099999999919</v>
      </c>
      <c r="L128" s="425">
        <f t="shared" si="155"/>
        <v>5</v>
      </c>
      <c r="M128" s="425">
        <f t="shared" si="111"/>
        <v>69</v>
      </c>
      <c r="N128" s="285">
        <f t="shared" si="112"/>
        <v>241032.69000000006</v>
      </c>
      <c r="O128" s="285">
        <f t="shared" si="185"/>
        <v>1610.57</v>
      </c>
      <c r="P128" s="285">
        <f t="shared" si="120"/>
        <v>355.18999999999983</v>
      </c>
      <c r="Q128" s="285">
        <f t="shared" si="186"/>
        <v>1255.3800000000001</v>
      </c>
      <c r="R128" s="285">
        <f t="shared" si="173"/>
        <v>134.16999999999999</v>
      </c>
      <c r="S128" s="285">
        <f t="shared" si="174"/>
        <v>188.55</v>
      </c>
      <c r="T128" s="285">
        <f t="shared" si="171"/>
        <v>1933.29</v>
      </c>
      <c r="U128" s="285">
        <f t="shared" si="121"/>
        <v>20898.499999999989</v>
      </c>
      <c r="V128" s="285">
        <f t="shared" si="122"/>
        <v>91841.399999999965</v>
      </c>
      <c r="W128" s="285">
        <f t="shared" si="187"/>
        <v>240677.50000000006</v>
      </c>
      <c r="X128" s="502">
        <f t="shared" si="113"/>
        <v>47799</v>
      </c>
      <c r="Y128" s="285">
        <f t="shared" si="188"/>
        <v>297629.43000000011</v>
      </c>
      <c r="Z128" s="494">
        <f t="shared" si="104"/>
        <v>6.25E-2</v>
      </c>
      <c r="AA128" s="285">
        <f t="shared" si="105"/>
        <v>1630.04</v>
      </c>
      <c r="AB128" s="285">
        <f t="shared" si="189"/>
        <v>79.889999999999873</v>
      </c>
      <c r="AC128" s="285">
        <f t="shared" si="106"/>
        <v>1550.15</v>
      </c>
      <c r="AD128" s="285">
        <f t="shared" ref="AD128:AE128" si="196">+AD127</f>
        <v>134.16999999999999</v>
      </c>
      <c r="AE128" s="285">
        <f t="shared" si="196"/>
        <v>188.55</v>
      </c>
      <c r="AF128" s="285">
        <f t="shared" si="191"/>
        <v>1952.76</v>
      </c>
      <c r="AG128" s="285">
        <f t="shared" si="192"/>
        <v>33643.859999999986</v>
      </c>
      <c r="AH128" s="285">
        <f t="shared" si="193"/>
        <v>74685.140000000014</v>
      </c>
      <c r="AI128" s="512">
        <f t="shared" si="176"/>
        <v>4410.9000000000042</v>
      </c>
      <c r="AJ128" s="512">
        <f t="shared" si="134"/>
        <v>-56872.040000000037</v>
      </c>
      <c r="AK128" s="512">
        <f t="shared" si="177"/>
        <v>-52461.140000000036</v>
      </c>
      <c r="AL128" s="285">
        <f t="shared" si="194"/>
        <v>297549.5400000001</v>
      </c>
      <c r="AM128" s="425">
        <f t="shared" si="115"/>
        <v>5</v>
      </c>
      <c r="AN128" s="14">
        <f t="shared" si="178"/>
        <v>1160.29</v>
      </c>
      <c r="AO128" s="14">
        <f t="shared" si="153"/>
        <v>233388.64</v>
      </c>
      <c r="AP128" s="14">
        <f t="shared" si="179"/>
        <v>1179.76</v>
      </c>
      <c r="AS128" s="14">
        <f t="shared" si="109"/>
        <v>1160.29</v>
      </c>
      <c r="AT128" s="14">
        <f t="shared" si="116"/>
        <v>80739.739999999947</v>
      </c>
      <c r="AU128" s="285">
        <f t="shared" si="117"/>
        <v>867.10759252256719</v>
      </c>
      <c r="AV128" s="285">
        <f t="shared" si="118"/>
        <v>86134.144601549429</v>
      </c>
    </row>
    <row r="129" spans="1:48" x14ac:dyDescent="0.25">
      <c r="A129" s="502">
        <f t="shared" si="181"/>
        <v>47829</v>
      </c>
      <c r="B129" s="285">
        <f t="shared" si="110"/>
        <v>77210.099999999919</v>
      </c>
      <c r="C129" s="14">
        <f t="shared" si="101"/>
        <v>450.28</v>
      </c>
      <c r="D129" s="14">
        <f t="shared" si="119"/>
        <v>208.99999999999997</v>
      </c>
      <c r="E129" s="14">
        <f t="shared" si="102"/>
        <v>241.28</v>
      </c>
      <c r="F129" s="14">
        <f t="shared" si="170"/>
        <v>134.16999999999999</v>
      </c>
      <c r="G129" s="14">
        <f t="shared" si="167"/>
        <v>188.55</v>
      </c>
      <c r="H129" s="14">
        <f t="shared" si="168"/>
        <v>773</v>
      </c>
      <c r="I129" s="285">
        <f t="shared" si="182"/>
        <v>20530.739999999991</v>
      </c>
      <c r="J129" s="285">
        <f t="shared" si="183"/>
        <v>31555.300000000007</v>
      </c>
      <c r="K129" s="285">
        <f t="shared" si="184"/>
        <v>77001.099999999919</v>
      </c>
      <c r="L129" s="425">
        <f t="shared" si="155"/>
        <v>5</v>
      </c>
      <c r="M129" s="425">
        <f t="shared" si="111"/>
        <v>70</v>
      </c>
      <c r="N129" s="285">
        <f t="shared" si="112"/>
        <v>240677.50000000006</v>
      </c>
      <c r="O129" s="285">
        <f t="shared" si="185"/>
        <v>1610.57</v>
      </c>
      <c r="P129" s="285">
        <f t="shared" si="120"/>
        <v>357.03999999999996</v>
      </c>
      <c r="Q129" s="285">
        <f t="shared" si="186"/>
        <v>1253.53</v>
      </c>
      <c r="R129" s="285">
        <f t="shared" si="173"/>
        <v>134.16999999999999</v>
      </c>
      <c r="S129" s="285">
        <f t="shared" si="174"/>
        <v>188.55</v>
      </c>
      <c r="T129" s="285">
        <f t="shared" si="171"/>
        <v>1933.29</v>
      </c>
      <c r="U129" s="285">
        <f t="shared" si="121"/>
        <v>21255.53999999999</v>
      </c>
      <c r="V129" s="285">
        <f t="shared" si="122"/>
        <v>93094.929999999964</v>
      </c>
      <c r="W129" s="285">
        <f t="shared" si="187"/>
        <v>240320.46000000005</v>
      </c>
      <c r="X129" s="502">
        <f t="shared" si="113"/>
        <v>47829</v>
      </c>
      <c r="Y129" s="285">
        <f t="shared" si="188"/>
        <v>297549.5400000001</v>
      </c>
      <c r="Z129" s="494">
        <f t="shared" si="104"/>
        <v>6.25E-2</v>
      </c>
      <c r="AA129" s="285">
        <f t="shared" si="105"/>
        <v>1630.04</v>
      </c>
      <c r="AB129" s="285">
        <f t="shared" si="189"/>
        <v>80.299999999999955</v>
      </c>
      <c r="AC129" s="285">
        <f t="shared" si="106"/>
        <v>1549.74</v>
      </c>
      <c r="AD129" s="285">
        <f t="shared" ref="AD129:AE129" si="197">+AD128</f>
        <v>134.16999999999999</v>
      </c>
      <c r="AE129" s="285">
        <f t="shared" si="197"/>
        <v>188.55</v>
      </c>
      <c r="AF129" s="285">
        <f t="shared" si="191"/>
        <v>1952.76</v>
      </c>
      <c r="AG129" s="285">
        <f t="shared" si="192"/>
        <v>33724.159999999989</v>
      </c>
      <c r="AH129" s="285">
        <f t="shared" si="193"/>
        <v>76234.880000000019</v>
      </c>
      <c r="AI129" s="512">
        <f t="shared" si="176"/>
        <v>4391.4300000000039</v>
      </c>
      <c r="AJ129" s="512">
        <f t="shared" si="134"/>
        <v>-57148.780000000057</v>
      </c>
      <c r="AK129" s="512">
        <f t="shared" si="177"/>
        <v>-52757.350000000049</v>
      </c>
      <c r="AL129" s="285">
        <f t="shared" si="194"/>
        <v>297469.24000000011</v>
      </c>
      <c r="AM129" s="425">
        <f t="shared" si="115"/>
        <v>5</v>
      </c>
      <c r="AN129" s="14">
        <f t="shared" si="178"/>
        <v>1160.29</v>
      </c>
      <c r="AO129" s="14">
        <f t="shared" si="153"/>
        <v>233240.60000000003</v>
      </c>
      <c r="AP129" s="14">
        <f t="shared" si="179"/>
        <v>1179.76</v>
      </c>
      <c r="AS129" s="14">
        <f t="shared" si="109"/>
        <v>1160.29</v>
      </c>
      <c r="AT129" s="14">
        <f t="shared" si="116"/>
        <v>81900.029999999941</v>
      </c>
      <c r="AU129" s="285">
        <f t="shared" si="117"/>
        <v>869.27536150387357</v>
      </c>
      <c r="AV129" s="285">
        <f t="shared" si="118"/>
        <v>87003.419963053297</v>
      </c>
    </row>
    <row r="130" spans="1:48" x14ac:dyDescent="0.25">
      <c r="A130" s="502">
        <f t="shared" si="181"/>
        <v>47859</v>
      </c>
      <c r="B130" s="285">
        <f t="shared" si="110"/>
        <v>77001.099999999919</v>
      </c>
      <c r="C130" s="14">
        <f t="shared" si="101"/>
        <v>450.28</v>
      </c>
      <c r="D130" s="14">
        <f t="shared" si="119"/>
        <v>209.64999999999998</v>
      </c>
      <c r="E130" s="14">
        <f t="shared" si="102"/>
        <v>240.63</v>
      </c>
      <c r="F130" s="14">
        <f t="shared" si="170"/>
        <v>134.16999999999999</v>
      </c>
      <c r="G130" s="14">
        <f t="shared" si="167"/>
        <v>188.55</v>
      </c>
      <c r="H130" s="14">
        <f t="shared" si="168"/>
        <v>773</v>
      </c>
      <c r="I130" s="285">
        <f t="shared" si="182"/>
        <v>20740.389999999992</v>
      </c>
      <c r="J130" s="285">
        <f t="shared" si="183"/>
        <v>31795.930000000008</v>
      </c>
      <c r="K130" s="285">
        <f t="shared" si="184"/>
        <v>76791.449999999924</v>
      </c>
      <c r="L130" s="425">
        <f t="shared" si="155"/>
        <v>5</v>
      </c>
      <c r="M130" s="425">
        <f t="shared" si="111"/>
        <v>71</v>
      </c>
      <c r="N130" s="285">
        <f t="shared" si="112"/>
        <v>240320.46000000005</v>
      </c>
      <c r="O130" s="285">
        <f t="shared" si="185"/>
        <v>1610.57</v>
      </c>
      <c r="P130" s="285">
        <f t="shared" si="120"/>
        <v>358.89999999999986</v>
      </c>
      <c r="Q130" s="285">
        <f t="shared" si="186"/>
        <v>1251.67</v>
      </c>
      <c r="R130" s="285">
        <f t="shared" si="173"/>
        <v>134.16999999999999</v>
      </c>
      <c r="S130" s="285">
        <f t="shared" si="174"/>
        <v>188.55</v>
      </c>
      <c r="T130" s="285">
        <f t="shared" si="171"/>
        <v>1933.29</v>
      </c>
      <c r="U130" s="285">
        <f t="shared" si="121"/>
        <v>21614.439999999991</v>
      </c>
      <c r="V130" s="285">
        <f t="shared" si="122"/>
        <v>94346.599999999962</v>
      </c>
      <c r="W130" s="285">
        <f t="shared" si="187"/>
        <v>239961.56000000006</v>
      </c>
      <c r="X130" s="502">
        <f t="shared" si="113"/>
        <v>47859</v>
      </c>
      <c r="Y130" s="285">
        <f t="shared" si="188"/>
        <v>297469.24000000011</v>
      </c>
      <c r="Z130" s="494">
        <f t="shared" si="104"/>
        <v>6.25E-2</v>
      </c>
      <c r="AA130" s="285">
        <f t="shared" si="105"/>
        <v>1630.04</v>
      </c>
      <c r="AB130" s="285">
        <f t="shared" si="189"/>
        <v>80.720000000000027</v>
      </c>
      <c r="AC130" s="285">
        <f t="shared" si="106"/>
        <v>1549.32</v>
      </c>
      <c r="AD130" s="285">
        <f t="shared" ref="AD130:AE130" si="198">+AD129</f>
        <v>134.16999999999999</v>
      </c>
      <c r="AE130" s="285">
        <f t="shared" si="198"/>
        <v>188.55</v>
      </c>
      <c r="AF130" s="285">
        <f t="shared" si="191"/>
        <v>1952.76</v>
      </c>
      <c r="AG130" s="285">
        <f t="shared" si="192"/>
        <v>33804.87999999999</v>
      </c>
      <c r="AH130" s="285">
        <f t="shared" si="193"/>
        <v>77784.200000000026</v>
      </c>
      <c r="AI130" s="512">
        <f t="shared" si="176"/>
        <v>4371.9600000000037</v>
      </c>
      <c r="AJ130" s="512">
        <f t="shared" si="134"/>
        <v>-57426.960000000079</v>
      </c>
      <c r="AK130" s="512">
        <f t="shared" si="177"/>
        <v>-53055.000000000073</v>
      </c>
      <c r="AL130" s="285">
        <f t="shared" si="194"/>
        <v>297388.52000000014</v>
      </c>
      <c r="AM130" s="425">
        <f t="shared" si="115"/>
        <v>5</v>
      </c>
      <c r="AN130" s="14">
        <f t="shared" si="178"/>
        <v>1160.29</v>
      </c>
      <c r="AO130" s="14">
        <f t="shared" si="153"/>
        <v>233091.35</v>
      </c>
      <c r="AP130" s="14">
        <f t="shared" si="179"/>
        <v>1179.76</v>
      </c>
      <c r="AS130" s="14">
        <f t="shared" si="109"/>
        <v>1160.29</v>
      </c>
      <c r="AT130" s="14">
        <f t="shared" si="116"/>
        <v>83060.319999999934</v>
      </c>
      <c r="AU130" s="285">
        <f t="shared" si="117"/>
        <v>871.44854990763326</v>
      </c>
      <c r="AV130" s="285">
        <f t="shared" si="118"/>
        <v>87874.868512960937</v>
      </c>
    </row>
    <row r="131" spans="1:48" x14ac:dyDescent="0.25">
      <c r="A131" s="502">
        <f t="shared" si="181"/>
        <v>47889</v>
      </c>
      <c r="B131" s="285">
        <f t="shared" si="110"/>
        <v>76791.449999999924</v>
      </c>
      <c r="C131" s="14">
        <f t="shared" si="101"/>
        <v>450.28</v>
      </c>
      <c r="D131" s="14">
        <f t="shared" si="119"/>
        <v>210.30999999999997</v>
      </c>
      <c r="E131" s="14">
        <f t="shared" si="102"/>
        <v>239.97</v>
      </c>
      <c r="F131" s="14">
        <f t="shared" si="170"/>
        <v>134.16999999999999</v>
      </c>
      <c r="G131" s="14">
        <f t="shared" si="167"/>
        <v>188.55</v>
      </c>
      <c r="H131" s="14">
        <f t="shared" si="168"/>
        <v>773</v>
      </c>
      <c r="I131" s="285">
        <f t="shared" si="182"/>
        <v>20950.699999999993</v>
      </c>
      <c r="J131" s="285">
        <f t="shared" si="183"/>
        <v>32035.900000000009</v>
      </c>
      <c r="K131" s="285">
        <f t="shared" si="184"/>
        <v>76581.139999999927</v>
      </c>
      <c r="L131" s="425">
        <f t="shared" si="155"/>
        <v>6</v>
      </c>
      <c r="M131" s="425">
        <f t="shared" si="111"/>
        <v>72</v>
      </c>
      <c r="N131" s="285">
        <f t="shared" si="112"/>
        <v>239961.56000000006</v>
      </c>
      <c r="O131" s="285">
        <f t="shared" si="185"/>
        <v>1610.57</v>
      </c>
      <c r="P131" s="285">
        <f t="shared" si="120"/>
        <v>360.77</v>
      </c>
      <c r="Q131" s="285">
        <f t="shared" si="186"/>
        <v>1249.8</v>
      </c>
      <c r="R131" s="285">
        <f t="shared" si="173"/>
        <v>134.16999999999999</v>
      </c>
      <c r="S131" s="285">
        <f t="shared" si="174"/>
        <v>188.55</v>
      </c>
      <c r="T131" s="285">
        <f t="shared" si="171"/>
        <v>1933.29</v>
      </c>
      <c r="U131" s="285">
        <f t="shared" si="121"/>
        <v>21975.209999999992</v>
      </c>
      <c r="V131" s="285">
        <f t="shared" si="122"/>
        <v>95596.399999999965</v>
      </c>
      <c r="W131" s="285">
        <f t="shared" si="187"/>
        <v>239600.79000000007</v>
      </c>
      <c r="X131" s="502">
        <f t="shared" si="113"/>
        <v>47889</v>
      </c>
      <c r="Y131" s="285">
        <f t="shared" si="188"/>
        <v>297388.52000000014</v>
      </c>
      <c r="Z131" s="494">
        <f t="shared" si="104"/>
        <v>6.25E-2</v>
      </c>
      <c r="AA131" s="285">
        <f t="shared" si="105"/>
        <v>1630.04</v>
      </c>
      <c r="AB131" s="285">
        <f t="shared" si="189"/>
        <v>81.139999999999873</v>
      </c>
      <c r="AC131" s="285">
        <f t="shared" si="106"/>
        <v>1548.9</v>
      </c>
      <c r="AD131" s="285">
        <f t="shared" ref="AD131:AE131" si="199">+AD130</f>
        <v>134.16999999999999</v>
      </c>
      <c r="AE131" s="285">
        <f t="shared" si="199"/>
        <v>188.55</v>
      </c>
      <c r="AF131" s="285">
        <f t="shared" si="191"/>
        <v>1952.76</v>
      </c>
      <c r="AG131" s="285">
        <f t="shared" si="192"/>
        <v>33886.01999999999</v>
      </c>
      <c r="AH131" s="285">
        <f t="shared" si="193"/>
        <v>79333.10000000002</v>
      </c>
      <c r="AI131" s="512">
        <f t="shared" si="176"/>
        <v>4352.4900000000034</v>
      </c>
      <c r="AJ131" s="512">
        <f t="shared" si="134"/>
        <v>-57706.590000000055</v>
      </c>
      <c r="AK131" s="512">
        <f t="shared" si="177"/>
        <v>-53354.100000000049</v>
      </c>
      <c r="AL131" s="285">
        <f t="shared" si="194"/>
        <v>297307.38000000012</v>
      </c>
      <c r="AM131" s="425">
        <f t="shared" si="115"/>
        <v>6</v>
      </c>
      <c r="AN131" s="14">
        <f t="shared" si="178"/>
        <v>1160.29</v>
      </c>
      <c r="AO131" s="14">
        <f t="shared" si="153"/>
        <v>232940.89</v>
      </c>
      <c r="AP131" s="14">
        <f t="shared" si="179"/>
        <v>1179.76</v>
      </c>
      <c r="AS131" s="14">
        <f t="shared" si="109"/>
        <v>1160.29</v>
      </c>
      <c r="AT131" s="14">
        <f t="shared" si="116"/>
        <v>84220.609999999928</v>
      </c>
      <c r="AU131" s="285">
        <f t="shared" si="117"/>
        <v>873.6271712824024</v>
      </c>
      <c r="AV131" s="285">
        <f t="shared" si="118"/>
        <v>88748.495684243346</v>
      </c>
    </row>
    <row r="132" spans="1:48" x14ac:dyDescent="0.25">
      <c r="A132" s="502">
        <f t="shared" si="181"/>
        <v>47919</v>
      </c>
      <c r="B132" s="285">
        <f t="shared" si="110"/>
        <v>76581.139999999927</v>
      </c>
      <c r="C132" s="14">
        <f t="shared" si="101"/>
        <v>450.28</v>
      </c>
      <c r="D132" s="14">
        <f t="shared" si="119"/>
        <v>210.95999999999998</v>
      </c>
      <c r="E132" s="14">
        <f t="shared" si="102"/>
        <v>239.32</v>
      </c>
      <c r="F132" s="14">
        <f t="shared" si="170"/>
        <v>134.16999999999999</v>
      </c>
      <c r="G132" s="14">
        <f t="shared" si="167"/>
        <v>188.55</v>
      </c>
      <c r="H132" s="14">
        <f t="shared" si="168"/>
        <v>773</v>
      </c>
      <c r="I132" s="285">
        <f t="shared" si="182"/>
        <v>21161.659999999993</v>
      </c>
      <c r="J132" s="285">
        <f t="shared" si="183"/>
        <v>32275.220000000008</v>
      </c>
      <c r="K132" s="285">
        <f t="shared" si="184"/>
        <v>76370.17999999992</v>
      </c>
      <c r="L132" s="425">
        <f t="shared" si="155"/>
        <v>6</v>
      </c>
      <c r="M132" s="425">
        <f t="shared" si="111"/>
        <v>73</v>
      </c>
      <c r="N132" s="285">
        <f t="shared" si="112"/>
        <v>239600.79000000007</v>
      </c>
      <c r="O132" s="285">
        <f t="shared" si="185"/>
        <v>1610.57</v>
      </c>
      <c r="P132" s="285">
        <f t="shared" si="120"/>
        <v>362.64999999999986</v>
      </c>
      <c r="Q132" s="285">
        <f t="shared" si="186"/>
        <v>1247.92</v>
      </c>
      <c r="R132" s="285">
        <f t="shared" si="173"/>
        <v>134.16999999999999</v>
      </c>
      <c r="S132" s="285">
        <f t="shared" si="174"/>
        <v>188.55</v>
      </c>
      <c r="T132" s="285">
        <f t="shared" si="171"/>
        <v>1933.29</v>
      </c>
      <c r="U132" s="285">
        <f t="shared" si="121"/>
        <v>22337.859999999993</v>
      </c>
      <c r="V132" s="285">
        <f t="shared" si="122"/>
        <v>96844.319999999963</v>
      </c>
      <c r="W132" s="285">
        <f t="shared" si="187"/>
        <v>239238.14000000007</v>
      </c>
      <c r="X132" s="502">
        <f t="shared" si="113"/>
        <v>47919</v>
      </c>
      <c r="Y132" s="285">
        <f t="shared" si="188"/>
        <v>297307.38000000012</v>
      </c>
      <c r="Z132" s="494">
        <f t="shared" si="104"/>
        <v>6.25E-2</v>
      </c>
      <c r="AA132" s="285">
        <f t="shared" si="105"/>
        <v>1630.04</v>
      </c>
      <c r="AB132" s="285">
        <f t="shared" si="189"/>
        <v>81.559999999999945</v>
      </c>
      <c r="AC132" s="285">
        <f t="shared" si="106"/>
        <v>1548.48</v>
      </c>
      <c r="AD132" s="285">
        <f t="shared" ref="AD132:AE132" si="200">+AD131</f>
        <v>134.16999999999999</v>
      </c>
      <c r="AE132" s="285">
        <f t="shared" si="200"/>
        <v>188.55</v>
      </c>
      <c r="AF132" s="285">
        <f t="shared" si="191"/>
        <v>1952.76</v>
      </c>
      <c r="AG132" s="285">
        <f t="shared" si="192"/>
        <v>33967.579999999987</v>
      </c>
      <c r="AH132" s="285">
        <f t="shared" si="193"/>
        <v>80881.580000000016</v>
      </c>
      <c r="AI132" s="512">
        <f t="shared" si="176"/>
        <v>4333.0200000000032</v>
      </c>
      <c r="AJ132" s="512">
        <f t="shared" si="134"/>
        <v>-57987.680000000051</v>
      </c>
      <c r="AK132" s="512">
        <f t="shared" si="177"/>
        <v>-53654.660000000047</v>
      </c>
      <c r="AL132" s="285">
        <f t="shared" si="194"/>
        <v>297225.82000000012</v>
      </c>
      <c r="AM132" s="425">
        <f t="shared" si="115"/>
        <v>6</v>
      </c>
      <c r="AN132" s="14">
        <f t="shared" si="178"/>
        <v>1160.29</v>
      </c>
      <c r="AO132" s="14">
        <f t="shared" si="153"/>
        <v>232789.20000000004</v>
      </c>
      <c r="AP132" s="14">
        <f t="shared" si="179"/>
        <v>1179.76</v>
      </c>
      <c r="AS132" s="14">
        <f t="shared" si="109"/>
        <v>1160.29</v>
      </c>
      <c r="AT132" s="14">
        <f t="shared" si="116"/>
        <v>85380.899999999921</v>
      </c>
      <c r="AU132" s="285">
        <f t="shared" si="117"/>
        <v>875.81123921060828</v>
      </c>
      <c r="AV132" s="285">
        <f t="shared" si="118"/>
        <v>89624.306923453958</v>
      </c>
    </row>
    <row r="133" spans="1:48" x14ac:dyDescent="0.25">
      <c r="A133" s="502">
        <f t="shared" si="181"/>
        <v>47949</v>
      </c>
      <c r="B133" s="285">
        <f t="shared" si="110"/>
        <v>76370.17999999992</v>
      </c>
      <c r="C133" s="14">
        <f t="shared" si="101"/>
        <v>450.28</v>
      </c>
      <c r="D133" s="14">
        <f t="shared" si="119"/>
        <v>211.61999999999998</v>
      </c>
      <c r="E133" s="14">
        <f t="shared" si="102"/>
        <v>238.66</v>
      </c>
      <c r="F133" s="14">
        <f t="shared" si="170"/>
        <v>134.16999999999999</v>
      </c>
      <c r="G133" s="14">
        <f t="shared" si="167"/>
        <v>188.55</v>
      </c>
      <c r="H133" s="14">
        <f t="shared" si="168"/>
        <v>773</v>
      </c>
      <c r="I133" s="285">
        <f t="shared" si="182"/>
        <v>21373.279999999992</v>
      </c>
      <c r="J133" s="285">
        <f t="shared" si="183"/>
        <v>32513.880000000008</v>
      </c>
      <c r="K133" s="285">
        <f t="shared" si="184"/>
        <v>76158.559999999925</v>
      </c>
      <c r="L133" s="425">
        <f t="shared" si="155"/>
        <v>6</v>
      </c>
      <c r="M133" s="425">
        <f t="shared" si="111"/>
        <v>74</v>
      </c>
      <c r="N133" s="285">
        <f t="shared" si="112"/>
        <v>239238.14000000007</v>
      </c>
      <c r="O133" s="285">
        <f t="shared" si="185"/>
        <v>1610.57</v>
      </c>
      <c r="P133" s="285">
        <f t="shared" si="120"/>
        <v>364.53999999999996</v>
      </c>
      <c r="Q133" s="285">
        <f t="shared" si="186"/>
        <v>1246.03</v>
      </c>
      <c r="R133" s="285">
        <f t="shared" si="173"/>
        <v>134.16999999999999</v>
      </c>
      <c r="S133" s="285">
        <f t="shared" si="174"/>
        <v>188.55</v>
      </c>
      <c r="T133" s="285">
        <f t="shared" si="171"/>
        <v>1933.29</v>
      </c>
      <c r="U133" s="285">
        <f t="shared" si="121"/>
        <v>22702.399999999994</v>
      </c>
      <c r="V133" s="285">
        <f t="shared" si="122"/>
        <v>98090.349999999962</v>
      </c>
      <c r="W133" s="285">
        <f t="shared" si="187"/>
        <v>238873.60000000006</v>
      </c>
      <c r="X133" s="502">
        <f t="shared" si="113"/>
        <v>47949</v>
      </c>
      <c r="Y133" s="285">
        <f t="shared" si="188"/>
        <v>297225.82000000012</v>
      </c>
      <c r="Z133" s="494">
        <f t="shared" si="104"/>
        <v>6.25E-2</v>
      </c>
      <c r="AA133" s="285">
        <f t="shared" si="105"/>
        <v>1630.04</v>
      </c>
      <c r="AB133" s="285">
        <f t="shared" si="189"/>
        <v>81.990000000000009</v>
      </c>
      <c r="AC133" s="285">
        <f t="shared" si="106"/>
        <v>1548.05</v>
      </c>
      <c r="AD133" s="285">
        <f t="shared" ref="AD133:AE133" si="201">+AD132</f>
        <v>134.16999999999999</v>
      </c>
      <c r="AE133" s="285">
        <f t="shared" si="201"/>
        <v>188.55</v>
      </c>
      <c r="AF133" s="285">
        <f t="shared" si="191"/>
        <v>1952.76</v>
      </c>
      <c r="AG133" s="285">
        <f t="shared" si="192"/>
        <v>34049.569999999985</v>
      </c>
      <c r="AH133" s="285">
        <f t="shared" si="193"/>
        <v>82429.630000000019</v>
      </c>
      <c r="AI133" s="512">
        <f t="shared" si="176"/>
        <v>4313.5500000000029</v>
      </c>
      <c r="AJ133" s="512">
        <f t="shared" si="134"/>
        <v>-58270.230000000069</v>
      </c>
      <c r="AK133" s="512">
        <f t="shared" si="177"/>
        <v>-53956.680000000066</v>
      </c>
      <c r="AL133" s="285">
        <f t="shared" si="194"/>
        <v>297143.83000000013</v>
      </c>
      <c r="AM133" s="425">
        <f t="shared" si="115"/>
        <v>6</v>
      </c>
      <c r="AN133" s="14">
        <f t="shared" si="178"/>
        <v>1160.29</v>
      </c>
      <c r="AO133" s="14">
        <f t="shared" si="153"/>
        <v>232636.28000000003</v>
      </c>
      <c r="AP133" s="14">
        <f t="shared" si="179"/>
        <v>1179.76</v>
      </c>
      <c r="AS133" s="14">
        <f t="shared" si="109"/>
        <v>1160.29</v>
      </c>
      <c r="AT133" s="14">
        <f t="shared" si="116"/>
        <v>86541.189999999915</v>
      </c>
      <c r="AU133" s="285">
        <f t="shared" si="117"/>
        <v>878.00076730863475</v>
      </c>
      <c r="AV133" s="285">
        <f t="shared" si="118"/>
        <v>90502.307690762595</v>
      </c>
    </row>
    <row r="134" spans="1:48" ht="15.75" thickBot="1" x14ac:dyDescent="0.3">
      <c r="A134" s="505">
        <f t="shared" si="181"/>
        <v>47979</v>
      </c>
      <c r="B134" s="345">
        <f t="shared" si="110"/>
        <v>76158.559999999925</v>
      </c>
      <c r="C134" s="21">
        <f t="shared" si="101"/>
        <v>450.28</v>
      </c>
      <c r="D134" s="21">
        <f t="shared" si="119"/>
        <v>212.27999999999997</v>
      </c>
      <c r="E134" s="21">
        <f t="shared" si="102"/>
        <v>238</v>
      </c>
      <c r="F134" s="21">
        <f t="shared" si="170"/>
        <v>134.16999999999999</v>
      </c>
      <c r="G134" s="21">
        <f t="shared" si="167"/>
        <v>188.55</v>
      </c>
      <c r="H134" s="21">
        <f t="shared" si="168"/>
        <v>773</v>
      </c>
      <c r="I134" s="345">
        <f t="shared" si="182"/>
        <v>21585.55999999999</v>
      </c>
      <c r="J134" s="345">
        <f t="shared" si="183"/>
        <v>32751.880000000008</v>
      </c>
      <c r="K134" s="345">
        <f t="shared" si="184"/>
        <v>75946.279999999926</v>
      </c>
      <c r="L134" s="426">
        <f t="shared" si="155"/>
        <v>6</v>
      </c>
      <c r="M134" s="426">
        <f t="shared" si="111"/>
        <v>75</v>
      </c>
      <c r="N134" s="345">
        <f t="shared" si="112"/>
        <v>238873.60000000006</v>
      </c>
      <c r="O134" s="345">
        <f t="shared" si="185"/>
        <v>1610.57</v>
      </c>
      <c r="P134" s="345">
        <f t="shared" si="120"/>
        <v>366.43999999999983</v>
      </c>
      <c r="Q134" s="345">
        <f t="shared" si="186"/>
        <v>1244.1300000000001</v>
      </c>
      <c r="R134" s="345">
        <f t="shared" si="173"/>
        <v>134.16999999999999</v>
      </c>
      <c r="S134" s="345">
        <f t="shared" si="174"/>
        <v>188.55</v>
      </c>
      <c r="T134" s="345">
        <f t="shared" si="171"/>
        <v>1933.29</v>
      </c>
      <c r="U134" s="345">
        <f t="shared" si="121"/>
        <v>23068.839999999993</v>
      </c>
      <c r="V134" s="345">
        <f t="shared" si="122"/>
        <v>99334.479999999967</v>
      </c>
      <c r="W134" s="345">
        <f t="shared" si="187"/>
        <v>238507.16000000006</v>
      </c>
      <c r="X134" s="505">
        <f t="shared" si="113"/>
        <v>47979</v>
      </c>
      <c r="Y134" s="345">
        <f t="shared" si="188"/>
        <v>297143.83000000013</v>
      </c>
      <c r="Z134" s="495">
        <f t="shared" si="104"/>
        <v>6.25E-2</v>
      </c>
      <c r="AA134" s="345">
        <f t="shared" si="105"/>
        <v>1630.04</v>
      </c>
      <c r="AB134" s="345">
        <f t="shared" si="189"/>
        <v>82.420000000000073</v>
      </c>
      <c r="AC134" s="345">
        <f t="shared" si="106"/>
        <v>1547.62</v>
      </c>
      <c r="AD134" s="345">
        <f t="shared" ref="AD134:AE134" si="202">+AD133</f>
        <v>134.16999999999999</v>
      </c>
      <c r="AE134" s="345">
        <f t="shared" si="202"/>
        <v>188.55</v>
      </c>
      <c r="AF134" s="345">
        <f t="shared" si="191"/>
        <v>1952.76</v>
      </c>
      <c r="AG134" s="345">
        <f t="shared" si="192"/>
        <v>34131.989999999983</v>
      </c>
      <c r="AH134" s="345">
        <f t="shared" si="193"/>
        <v>83977.250000000015</v>
      </c>
      <c r="AI134" s="513">
        <f t="shared" si="176"/>
        <v>4294.0800000000027</v>
      </c>
      <c r="AJ134" s="513">
        <f t="shared" si="134"/>
        <v>-58554.250000000087</v>
      </c>
      <c r="AK134" s="513">
        <f t="shared" si="177"/>
        <v>-54260.170000000086</v>
      </c>
      <c r="AL134" s="345">
        <f t="shared" si="194"/>
        <v>297061.41000000015</v>
      </c>
      <c r="AM134" s="426">
        <f t="shared" si="115"/>
        <v>6</v>
      </c>
      <c r="AN134" s="21">
        <f t="shared" si="178"/>
        <v>1160.29</v>
      </c>
      <c r="AO134" s="21">
        <f t="shared" si="153"/>
        <v>232482.12000000002</v>
      </c>
      <c r="AP134" s="21">
        <f t="shared" si="179"/>
        <v>1179.76</v>
      </c>
      <c r="AQ134" s="21"/>
      <c r="AR134" s="23"/>
      <c r="AS134" s="21">
        <f t="shared" si="109"/>
        <v>1160.29</v>
      </c>
      <c r="AT134" s="21">
        <f t="shared" si="116"/>
        <v>87701.479999999909</v>
      </c>
      <c r="AU134" s="345">
        <f t="shared" si="117"/>
        <v>880.19576922690646</v>
      </c>
      <c r="AV134" s="345">
        <f t="shared" si="118"/>
        <v>91382.503459989501</v>
      </c>
    </row>
    <row r="135" spans="1:48" x14ac:dyDescent="0.25">
      <c r="A135" s="502">
        <f t="shared" si="181"/>
        <v>48009</v>
      </c>
      <c r="B135" s="285">
        <f t="shared" si="110"/>
        <v>75946.279999999926</v>
      </c>
      <c r="C135" s="14">
        <f t="shared" si="101"/>
        <v>450.28</v>
      </c>
      <c r="D135" s="14">
        <f t="shared" si="119"/>
        <v>212.94999999999996</v>
      </c>
      <c r="E135" s="14">
        <f t="shared" si="102"/>
        <v>237.33</v>
      </c>
      <c r="F135" s="14">
        <f t="shared" si="170"/>
        <v>134.16999999999999</v>
      </c>
      <c r="G135" s="14">
        <f t="shared" si="167"/>
        <v>188.55</v>
      </c>
      <c r="H135" s="14">
        <f t="shared" si="168"/>
        <v>773</v>
      </c>
      <c r="I135" s="285">
        <f t="shared" si="182"/>
        <v>21798.509999999991</v>
      </c>
      <c r="J135" s="285">
        <f t="shared" si="183"/>
        <v>32989.210000000006</v>
      </c>
      <c r="K135" s="285">
        <f t="shared" si="184"/>
        <v>75733.329999999929</v>
      </c>
      <c r="L135" s="425">
        <f t="shared" si="155"/>
        <v>6</v>
      </c>
      <c r="M135" s="425">
        <f t="shared" si="111"/>
        <v>76</v>
      </c>
      <c r="N135" s="285">
        <f t="shared" si="112"/>
        <v>238507.16000000006</v>
      </c>
      <c r="O135" s="285">
        <f t="shared" si="185"/>
        <v>1610.57</v>
      </c>
      <c r="P135" s="285">
        <f t="shared" si="120"/>
        <v>368.34999999999991</v>
      </c>
      <c r="Q135" s="285">
        <f t="shared" si="186"/>
        <v>1242.22</v>
      </c>
      <c r="R135" s="285">
        <f t="shared" si="173"/>
        <v>134.16999999999999</v>
      </c>
      <c r="S135" s="285">
        <f t="shared" si="174"/>
        <v>188.55</v>
      </c>
      <c r="T135" s="285">
        <f t="shared" si="171"/>
        <v>1933.29</v>
      </c>
      <c r="U135" s="285">
        <f t="shared" si="121"/>
        <v>23437.189999999991</v>
      </c>
      <c r="V135" s="285">
        <f t="shared" si="122"/>
        <v>100576.69999999997</v>
      </c>
      <c r="W135" s="285">
        <f t="shared" si="187"/>
        <v>238138.81000000006</v>
      </c>
      <c r="X135" s="502">
        <f t="shared" si="113"/>
        <v>48009</v>
      </c>
      <c r="Y135" s="285">
        <f t="shared" si="188"/>
        <v>297061.41000000015</v>
      </c>
      <c r="Z135" s="494">
        <f t="shared" si="104"/>
        <v>6.25E-2</v>
      </c>
      <c r="AA135" s="285">
        <f t="shared" si="105"/>
        <v>1630.04</v>
      </c>
      <c r="AB135" s="285">
        <f t="shared" si="189"/>
        <v>82.849999999999909</v>
      </c>
      <c r="AC135" s="285">
        <f t="shared" si="106"/>
        <v>1547.19</v>
      </c>
      <c r="AD135" s="285">
        <f t="shared" ref="AD135:AE135" si="203">+AD134</f>
        <v>134.16999999999999</v>
      </c>
      <c r="AE135" s="285">
        <f t="shared" si="203"/>
        <v>188.55</v>
      </c>
      <c r="AF135" s="285">
        <f t="shared" si="191"/>
        <v>1952.76</v>
      </c>
      <c r="AG135" s="285">
        <f t="shared" si="192"/>
        <v>34214.839999999982</v>
      </c>
      <c r="AH135" s="285">
        <f t="shared" si="193"/>
        <v>85524.440000000017</v>
      </c>
      <c r="AI135" s="512">
        <f t="shared" si="176"/>
        <v>4274.6100000000024</v>
      </c>
      <c r="AJ135" s="512">
        <f t="shared" si="134"/>
        <v>-58839.750000000116</v>
      </c>
      <c r="AK135" s="512">
        <f t="shared" si="177"/>
        <v>-54565.140000000116</v>
      </c>
      <c r="AL135" s="285">
        <f t="shared" si="194"/>
        <v>296978.56000000017</v>
      </c>
      <c r="AM135" s="425">
        <f t="shared" si="115"/>
        <v>6</v>
      </c>
      <c r="AN135" s="14">
        <f t="shared" si="178"/>
        <v>1160.29</v>
      </c>
      <c r="AO135" s="14">
        <f t="shared" si="153"/>
        <v>232326.72</v>
      </c>
      <c r="AP135" s="14">
        <f t="shared" si="179"/>
        <v>1179.76</v>
      </c>
      <c r="AS135" s="14">
        <f t="shared" si="109"/>
        <v>1160.29</v>
      </c>
      <c r="AT135" s="14">
        <f t="shared" si="116"/>
        <v>88861.769999999902</v>
      </c>
      <c r="AU135" s="285">
        <f t="shared" si="117"/>
        <v>882.39625864997379</v>
      </c>
      <c r="AV135" s="285">
        <f t="shared" si="118"/>
        <v>92264.89971863947</v>
      </c>
    </row>
    <row r="136" spans="1:48" x14ac:dyDescent="0.25">
      <c r="A136" s="502">
        <f t="shared" si="181"/>
        <v>48039</v>
      </c>
      <c r="B136" s="285">
        <f t="shared" si="110"/>
        <v>75733.329999999929</v>
      </c>
      <c r="C136" s="14">
        <f t="shared" si="101"/>
        <v>450.28</v>
      </c>
      <c r="D136" s="14">
        <f t="shared" si="119"/>
        <v>213.60999999999999</v>
      </c>
      <c r="E136" s="14">
        <f t="shared" si="102"/>
        <v>236.67</v>
      </c>
      <c r="F136" s="14">
        <f t="shared" si="170"/>
        <v>134.16999999999999</v>
      </c>
      <c r="G136" s="14">
        <f t="shared" si="167"/>
        <v>188.55</v>
      </c>
      <c r="H136" s="14">
        <f t="shared" si="168"/>
        <v>773</v>
      </c>
      <c r="I136" s="285">
        <f t="shared" si="182"/>
        <v>22012.119999999992</v>
      </c>
      <c r="J136" s="285">
        <f t="shared" si="183"/>
        <v>33225.880000000005</v>
      </c>
      <c r="K136" s="285">
        <f t="shared" si="184"/>
        <v>75519.719999999928</v>
      </c>
      <c r="L136" s="425">
        <f t="shared" si="155"/>
        <v>6</v>
      </c>
      <c r="M136" s="425">
        <f t="shared" si="111"/>
        <v>77</v>
      </c>
      <c r="N136" s="285">
        <f t="shared" si="112"/>
        <v>238138.81000000006</v>
      </c>
      <c r="O136" s="285">
        <f t="shared" si="185"/>
        <v>1610.57</v>
      </c>
      <c r="P136" s="285">
        <f t="shared" si="120"/>
        <v>370.26</v>
      </c>
      <c r="Q136" s="285">
        <f t="shared" si="186"/>
        <v>1240.31</v>
      </c>
      <c r="R136" s="285">
        <f t="shared" si="173"/>
        <v>134.16999999999999</v>
      </c>
      <c r="S136" s="285">
        <f t="shared" si="174"/>
        <v>188.55</v>
      </c>
      <c r="T136" s="285">
        <f t="shared" si="171"/>
        <v>1933.29</v>
      </c>
      <c r="U136" s="285">
        <f t="shared" si="121"/>
        <v>23807.44999999999</v>
      </c>
      <c r="V136" s="285">
        <f t="shared" si="122"/>
        <v>101817.00999999997</v>
      </c>
      <c r="W136" s="285">
        <f t="shared" si="187"/>
        <v>237768.55000000005</v>
      </c>
      <c r="X136" s="502">
        <f t="shared" si="113"/>
        <v>48039</v>
      </c>
      <c r="Y136" s="285">
        <f t="shared" si="188"/>
        <v>296978.56000000017</v>
      </c>
      <c r="Z136" s="494">
        <f t="shared" si="104"/>
        <v>6.25E-2</v>
      </c>
      <c r="AA136" s="285">
        <f t="shared" si="105"/>
        <v>1630.04</v>
      </c>
      <c r="AB136" s="285">
        <f t="shared" si="189"/>
        <v>83.279999999999973</v>
      </c>
      <c r="AC136" s="285">
        <f t="shared" si="106"/>
        <v>1546.76</v>
      </c>
      <c r="AD136" s="285">
        <f t="shared" ref="AD136:AE136" si="204">+AD135</f>
        <v>134.16999999999999</v>
      </c>
      <c r="AE136" s="285">
        <f t="shared" si="204"/>
        <v>188.55</v>
      </c>
      <c r="AF136" s="285">
        <f t="shared" si="191"/>
        <v>1952.76</v>
      </c>
      <c r="AG136" s="285">
        <f t="shared" si="192"/>
        <v>34298.119999999981</v>
      </c>
      <c r="AH136" s="285">
        <f t="shared" si="193"/>
        <v>87071.200000000012</v>
      </c>
      <c r="AI136" s="512">
        <f t="shared" si="176"/>
        <v>4255.1400000000021</v>
      </c>
      <c r="AJ136" s="512">
        <f t="shared" si="134"/>
        <v>-59126.730000000098</v>
      </c>
      <c r="AK136" s="512">
        <f t="shared" si="177"/>
        <v>-54871.590000000098</v>
      </c>
      <c r="AL136" s="285">
        <f t="shared" si="194"/>
        <v>296895.28000000014</v>
      </c>
      <c r="AM136" s="425">
        <f t="shared" si="115"/>
        <v>6</v>
      </c>
      <c r="AN136" s="14">
        <f t="shared" si="178"/>
        <v>1160.29</v>
      </c>
      <c r="AO136" s="14">
        <f t="shared" si="153"/>
        <v>232170.07000000004</v>
      </c>
      <c r="AP136" s="14">
        <f t="shared" si="179"/>
        <v>1179.76</v>
      </c>
      <c r="AS136" s="14">
        <f t="shared" si="109"/>
        <v>1160.29</v>
      </c>
      <c r="AT136" s="14">
        <f t="shared" si="116"/>
        <v>90022.059999999896</v>
      </c>
      <c r="AU136" s="285">
        <f t="shared" si="117"/>
        <v>884.60224929659853</v>
      </c>
      <c r="AV136" s="285">
        <f t="shared" si="118"/>
        <v>93149.50196793607</v>
      </c>
    </row>
    <row r="137" spans="1:48" x14ac:dyDescent="0.25">
      <c r="A137" s="502">
        <f t="shared" si="181"/>
        <v>48069</v>
      </c>
      <c r="B137" s="285">
        <f t="shared" si="110"/>
        <v>75519.719999999928</v>
      </c>
      <c r="C137" s="14">
        <f t="shared" si="101"/>
        <v>450.28</v>
      </c>
      <c r="D137" s="14">
        <f t="shared" si="119"/>
        <v>214.27999999999997</v>
      </c>
      <c r="E137" s="14">
        <f t="shared" si="102"/>
        <v>236</v>
      </c>
      <c r="F137" s="14">
        <f t="shared" si="170"/>
        <v>134.16999999999999</v>
      </c>
      <c r="G137" s="14">
        <f t="shared" si="167"/>
        <v>188.55</v>
      </c>
      <c r="H137" s="14">
        <f t="shared" si="168"/>
        <v>773</v>
      </c>
      <c r="I137" s="285">
        <f t="shared" si="182"/>
        <v>22226.399999999991</v>
      </c>
      <c r="J137" s="285">
        <f t="shared" si="183"/>
        <v>33461.880000000005</v>
      </c>
      <c r="K137" s="285">
        <f t="shared" si="184"/>
        <v>75305.43999999993</v>
      </c>
      <c r="L137" s="425">
        <f t="shared" si="155"/>
        <v>6</v>
      </c>
      <c r="M137" s="425">
        <f t="shared" si="111"/>
        <v>78</v>
      </c>
      <c r="N137" s="285">
        <f t="shared" si="112"/>
        <v>237768.55000000005</v>
      </c>
      <c r="O137" s="285">
        <f t="shared" si="185"/>
        <v>1610.57</v>
      </c>
      <c r="P137" s="285">
        <f t="shared" si="120"/>
        <v>372.18999999999983</v>
      </c>
      <c r="Q137" s="285">
        <f t="shared" si="186"/>
        <v>1238.3800000000001</v>
      </c>
      <c r="R137" s="285">
        <f t="shared" si="173"/>
        <v>134.16999999999999</v>
      </c>
      <c r="S137" s="285">
        <f t="shared" si="174"/>
        <v>188.55</v>
      </c>
      <c r="T137" s="285">
        <f t="shared" si="171"/>
        <v>1933.29</v>
      </c>
      <c r="U137" s="285">
        <f t="shared" si="121"/>
        <v>24179.639999999989</v>
      </c>
      <c r="V137" s="285">
        <f t="shared" si="122"/>
        <v>103055.38999999997</v>
      </c>
      <c r="W137" s="285">
        <f t="shared" si="187"/>
        <v>237396.36000000004</v>
      </c>
      <c r="X137" s="502">
        <f t="shared" si="113"/>
        <v>48069</v>
      </c>
      <c r="Y137" s="285">
        <f t="shared" si="188"/>
        <v>296895.28000000014</v>
      </c>
      <c r="Z137" s="494">
        <f t="shared" si="104"/>
        <v>6.25E-2</v>
      </c>
      <c r="AA137" s="285">
        <f t="shared" si="105"/>
        <v>1630.04</v>
      </c>
      <c r="AB137" s="285">
        <f t="shared" si="189"/>
        <v>83.710000000000036</v>
      </c>
      <c r="AC137" s="285">
        <f t="shared" si="106"/>
        <v>1546.33</v>
      </c>
      <c r="AD137" s="285">
        <f t="shared" ref="AD137:AE137" si="205">+AD136</f>
        <v>134.16999999999999</v>
      </c>
      <c r="AE137" s="285">
        <f t="shared" si="205"/>
        <v>188.55</v>
      </c>
      <c r="AF137" s="285">
        <f t="shared" si="191"/>
        <v>1952.76</v>
      </c>
      <c r="AG137" s="285">
        <f t="shared" si="192"/>
        <v>34381.82999999998</v>
      </c>
      <c r="AH137" s="285">
        <f t="shared" si="193"/>
        <v>88617.530000000013</v>
      </c>
      <c r="AI137" s="512">
        <f t="shared" si="176"/>
        <v>4235.6700000000019</v>
      </c>
      <c r="AJ137" s="512">
        <f t="shared" si="134"/>
        <v>-59415.210000000079</v>
      </c>
      <c r="AK137" s="512">
        <f t="shared" si="177"/>
        <v>-55179.540000000081</v>
      </c>
      <c r="AL137" s="285">
        <f t="shared" si="194"/>
        <v>296811.57000000012</v>
      </c>
      <c r="AM137" s="425">
        <f t="shared" si="115"/>
        <v>6</v>
      </c>
      <c r="AN137" s="14">
        <f t="shared" si="178"/>
        <v>1160.29</v>
      </c>
      <c r="AO137" s="14">
        <f t="shared" si="153"/>
        <v>232012.16000000003</v>
      </c>
      <c r="AP137" s="14">
        <f t="shared" si="179"/>
        <v>1179.76</v>
      </c>
      <c r="AS137" s="14">
        <f t="shared" si="109"/>
        <v>1160.29</v>
      </c>
      <c r="AT137" s="14">
        <f t="shared" si="116"/>
        <v>91182.349999999889</v>
      </c>
      <c r="AU137" s="285">
        <f t="shared" si="117"/>
        <v>886.81375491984011</v>
      </c>
      <c r="AV137" s="285">
        <f t="shared" si="118"/>
        <v>94036.315722855914</v>
      </c>
    </row>
    <row r="138" spans="1:48" x14ac:dyDescent="0.25">
      <c r="A138" s="502">
        <f t="shared" si="181"/>
        <v>48099</v>
      </c>
      <c r="B138" s="285">
        <f t="shared" si="110"/>
        <v>75305.43999999993</v>
      </c>
      <c r="C138" s="14">
        <f t="shared" si="101"/>
        <v>450.28</v>
      </c>
      <c r="D138" s="14">
        <f t="shared" si="119"/>
        <v>214.94999999999996</v>
      </c>
      <c r="E138" s="14">
        <f t="shared" si="102"/>
        <v>235.33</v>
      </c>
      <c r="F138" s="14">
        <f t="shared" si="170"/>
        <v>134.16999999999999</v>
      </c>
      <c r="G138" s="14">
        <f t="shared" si="167"/>
        <v>188.55</v>
      </c>
      <c r="H138" s="14">
        <f t="shared" si="168"/>
        <v>773</v>
      </c>
      <c r="I138" s="285">
        <f t="shared" si="182"/>
        <v>22441.349999999991</v>
      </c>
      <c r="J138" s="285">
        <f t="shared" si="183"/>
        <v>33697.210000000006</v>
      </c>
      <c r="K138" s="285">
        <f t="shared" si="184"/>
        <v>75090.489999999932</v>
      </c>
      <c r="L138" s="425">
        <f t="shared" si="155"/>
        <v>6</v>
      </c>
      <c r="M138" s="425">
        <f t="shared" si="111"/>
        <v>79</v>
      </c>
      <c r="N138" s="285">
        <f t="shared" si="112"/>
        <v>237396.36000000004</v>
      </c>
      <c r="O138" s="285">
        <f t="shared" si="185"/>
        <v>1610.57</v>
      </c>
      <c r="P138" s="285">
        <f t="shared" si="120"/>
        <v>374.12999999999988</v>
      </c>
      <c r="Q138" s="285">
        <f t="shared" si="186"/>
        <v>1236.44</v>
      </c>
      <c r="R138" s="285">
        <f t="shared" si="173"/>
        <v>134.16999999999999</v>
      </c>
      <c r="S138" s="285">
        <f t="shared" si="174"/>
        <v>188.55</v>
      </c>
      <c r="T138" s="285">
        <f t="shared" si="171"/>
        <v>1933.29</v>
      </c>
      <c r="U138" s="285">
        <f t="shared" si="121"/>
        <v>24553.76999999999</v>
      </c>
      <c r="V138" s="285">
        <f t="shared" si="122"/>
        <v>104291.82999999997</v>
      </c>
      <c r="W138" s="285">
        <f t="shared" si="187"/>
        <v>237022.23000000004</v>
      </c>
      <c r="X138" s="502">
        <f t="shared" si="113"/>
        <v>48099</v>
      </c>
      <c r="Y138" s="285">
        <f t="shared" si="188"/>
        <v>296811.57000000012</v>
      </c>
      <c r="Z138" s="494">
        <f t="shared" si="104"/>
        <v>6.25E-2</v>
      </c>
      <c r="AA138" s="285">
        <f t="shared" si="105"/>
        <v>1630.04</v>
      </c>
      <c r="AB138" s="285">
        <f t="shared" si="189"/>
        <v>84.149999999999864</v>
      </c>
      <c r="AC138" s="285">
        <f t="shared" si="106"/>
        <v>1545.89</v>
      </c>
      <c r="AD138" s="285">
        <f t="shared" ref="AD138:AE138" si="206">+AD137</f>
        <v>134.16999999999999</v>
      </c>
      <c r="AE138" s="285">
        <f t="shared" si="206"/>
        <v>188.55</v>
      </c>
      <c r="AF138" s="285">
        <f t="shared" si="191"/>
        <v>1952.76</v>
      </c>
      <c r="AG138" s="285">
        <f t="shared" si="192"/>
        <v>34465.979999999981</v>
      </c>
      <c r="AH138" s="285">
        <f t="shared" si="193"/>
        <v>90163.420000000013</v>
      </c>
      <c r="AI138" s="512">
        <f t="shared" si="176"/>
        <v>4216.2000000000016</v>
      </c>
      <c r="AJ138" s="512">
        <f t="shared" si="134"/>
        <v>-59705.190000000061</v>
      </c>
      <c r="AK138" s="512">
        <f t="shared" si="177"/>
        <v>-55488.990000000056</v>
      </c>
      <c r="AL138" s="285">
        <f t="shared" si="194"/>
        <v>296727.4200000001</v>
      </c>
      <c r="AM138" s="425">
        <f t="shared" si="115"/>
        <v>6</v>
      </c>
      <c r="AN138" s="14">
        <f t="shared" si="178"/>
        <v>1160.29</v>
      </c>
      <c r="AO138" s="14">
        <f t="shared" si="153"/>
        <v>231852.98</v>
      </c>
      <c r="AP138" s="14">
        <f t="shared" si="179"/>
        <v>1179.76</v>
      </c>
      <c r="AS138" s="14">
        <f t="shared" si="109"/>
        <v>1160.29</v>
      </c>
      <c r="AT138" s="14">
        <f t="shared" si="116"/>
        <v>92342.639999999883</v>
      </c>
      <c r="AU138" s="285">
        <f t="shared" si="117"/>
        <v>889.0307893071398</v>
      </c>
      <c r="AV138" s="285">
        <f t="shared" si="118"/>
        <v>94925.346512163058</v>
      </c>
    </row>
    <row r="139" spans="1:48" x14ac:dyDescent="0.25">
      <c r="A139" s="502">
        <f t="shared" si="181"/>
        <v>48129</v>
      </c>
      <c r="B139" s="285">
        <f t="shared" si="110"/>
        <v>75090.489999999932</v>
      </c>
      <c r="C139" s="14">
        <f t="shared" si="101"/>
        <v>450.28</v>
      </c>
      <c r="D139" s="14">
        <f t="shared" si="119"/>
        <v>215.61999999999998</v>
      </c>
      <c r="E139" s="14">
        <f t="shared" si="102"/>
        <v>234.66</v>
      </c>
      <c r="F139" s="14">
        <f t="shared" si="170"/>
        <v>134.16999999999999</v>
      </c>
      <c r="G139" s="14">
        <f t="shared" si="167"/>
        <v>188.55</v>
      </c>
      <c r="H139" s="14">
        <f t="shared" si="168"/>
        <v>773</v>
      </c>
      <c r="I139" s="285">
        <f t="shared" si="182"/>
        <v>22656.96999999999</v>
      </c>
      <c r="J139" s="285">
        <f t="shared" si="183"/>
        <v>33931.87000000001</v>
      </c>
      <c r="K139" s="285">
        <f t="shared" si="184"/>
        <v>74874.869999999937</v>
      </c>
      <c r="L139" s="425">
        <f t="shared" si="155"/>
        <v>6</v>
      </c>
      <c r="M139" s="425">
        <f t="shared" si="111"/>
        <v>80</v>
      </c>
      <c r="N139" s="285">
        <f t="shared" si="112"/>
        <v>237022.23000000004</v>
      </c>
      <c r="O139" s="285">
        <f t="shared" si="185"/>
        <v>1610.57</v>
      </c>
      <c r="P139" s="285">
        <f t="shared" si="120"/>
        <v>376.07999999999993</v>
      </c>
      <c r="Q139" s="285">
        <f t="shared" si="186"/>
        <v>1234.49</v>
      </c>
      <c r="R139" s="285">
        <f t="shared" si="173"/>
        <v>134.16999999999999</v>
      </c>
      <c r="S139" s="285">
        <f t="shared" si="174"/>
        <v>188.55</v>
      </c>
      <c r="T139" s="285">
        <f t="shared" si="171"/>
        <v>1933.29</v>
      </c>
      <c r="U139" s="285">
        <f t="shared" si="121"/>
        <v>24929.849999999991</v>
      </c>
      <c r="V139" s="285">
        <f t="shared" si="122"/>
        <v>105526.31999999998</v>
      </c>
      <c r="W139" s="285">
        <f t="shared" si="187"/>
        <v>236646.15000000005</v>
      </c>
      <c r="X139" s="502">
        <f t="shared" si="113"/>
        <v>48129</v>
      </c>
      <c r="Y139" s="285">
        <f t="shared" si="188"/>
        <v>296727.4200000001</v>
      </c>
      <c r="Z139" s="494">
        <f t="shared" si="104"/>
        <v>6.25E-2</v>
      </c>
      <c r="AA139" s="285">
        <f t="shared" si="105"/>
        <v>1630.04</v>
      </c>
      <c r="AB139" s="285">
        <f t="shared" si="189"/>
        <v>84.579999999999927</v>
      </c>
      <c r="AC139" s="285">
        <f t="shared" si="106"/>
        <v>1545.46</v>
      </c>
      <c r="AD139" s="285">
        <f t="shared" ref="AD139:AE139" si="207">+AD138</f>
        <v>134.16999999999999</v>
      </c>
      <c r="AE139" s="285">
        <f t="shared" si="207"/>
        <v>188.55</v>
      </c>
      <c r="AF139" s="285">
        <f t="shared" si="191"/>
        <v>1952.76</v>
      </c>
      <c r="AG139" s="285">
        <f t="shared" si="192"/>
        <v>34550.559999999983</v>
      </c>
      <c r="AH139" s="285">
        <f t="shared" si="193"/>
        <v>91708.880000000019</v>
      </c>
      <c r="AI139" s="512">
        <f t="shared" si="176"/>
        <v>4196.7300000000014</v>
      </c>
      <c r="AJ139" s="512">
        <f t="shared" si="134"/>
        <v>-59996.690000000031</v>
      </c>
      <c r="AK139" s="512">
        <f t="shared" si="177"/>
        <v>-55799.960000000028</v>
      </c>
      <c r="AL139" s="285">
        <f t="shared" si="194"/>
        <v>296642.84000000008</v>
      </c>
      <c r="AM139" s="425">
        <f t="shared" si="115"/>
        <v>6</v>
      </c>
      <c r="AN139" s="14">
        <f t="shared" si="178"/>
        <v>1160.29</v>
      </c>
      <c r="AO139" s="14">
        <f t="shared" si="153"/>
        <v>231692.52000000002</v>
      </c>
      <c r="AP139" s="14">
        <f t="shared" si="179"/>
        <v>1179.76</v>
      </c>
      <c r="AS139" s="14">
        <f t="shared" si="109"/>
        <v>1160.29</v>
      </c>
      <c r="AT139" s="14">
        <f t="shared" si="116"/>
        <v>93502.929999999877</v>
      </c>
      <c r="AU139" s="285">
        <f t="shared" si="117"/>
        <v>891.25336628040759</v>
      </c>
      <c r="AV139" s="285">
        <f t="shared" si="118"/>
        <v>95816.599878443463</v>
      </c>
    </row>
    <row r="140" spans="1:48" x14ac:dyDescent="0.25">
      <c r="A140" s="502">
        <f t="shared" si="181"/>
        <v>48159</v>
      </c>
      <c r="B140" s="285">
        <f t="shared" si="110"/>
        <v>74874.869999999937</v>
      </c>
      <c r="C140" s="14">
        <f t="shared" si="101"/>
        <v>450.28</v>
      </c>
      <c r="D140" s="14">
        <f t="shared" si="119"/>
        <v>216.29999999999998</v>
      </c>
      <c r="E140" s="14">
        <f t="shared" si="102"/>
        <v>233.98</v>
      </c>
      <c r="F140" s="14">
        <f t="shared" si="170"/>
        <v>134.16999999999999</v>
      </c>
      <c r="G140" s="14">
        <f t="shared" si="167"/>
        <v>188.55</v>
      </c>
      <c r="H140" s="14">
        <f t="shared" si="168"/>
        <v>773</v>
      </c>
      <c r="I140" s="285">
        <f t="shared" si="182"/>
        <v>22873.26999999999</v>
      </c>
      <c r="J140" s="285">
        <f t="shared" si="183"/>
        <v>34165.850000000013</v>
      </c>
      <c r="K140" s="285">
        <f t="shared" si="184"/>
        <v>74658.569999999934</v>
      </c>
      <c r="L140" s="425">
        <f t="shared" si="155"/>
        <v>6</v>
      </c>
      <c r="M140" s="425">
        <f t="shared" si="111"/>
        <v>81</v>
      </c>
      <c r="N140" s="285">
        <f t="shared" si="112"/>
        <v>236646.15000000005</v>
      </c>
      <c r="O140" s="285">
        <f t="shared" si="185"/>
        <v>1610.57</v>
      </c>
      <c r="P140" s="285">
        <f t="shared" si="120"/>
        <v>378.03999999999996</v>
      </c>
      <c r="Q140" s="285">
        <f t="shared" si="186"/>
        <v>1232.53</v>
      </c>
      <c r="R140" s="285">
        <f t="shared" si="173"/>
        <v>134.16999999999999</v>
      </c>
      <c r="S140" s="285">
        <f t="shared" si="174"/>
        <v>188.55</v>
      </c>
      <c r="T140" s="285">
        <f t="shared" si="171"/>
        <v>1933.29</v>
      </c>
      <c r="U140" s="285">
        <f t="shared" si="121"/>
        <v>25307.889999999992</v>
      </c>
      <c r="V140" s="285">
        <f t="shared" si="122"/>
        <v>106758.84999999998</v>
      </c>
      <c r="W140" s="285">
        <f t="shared" si="187"/>
        <v>236268.11000000004</v>
      </c>
      <c r="X140" s="502">
        <f t="shared" si="113"/>
        <v>48159</v>
      </c>
      <c r="Y140" s="285">
        <f t="shared" si="188"/>
        <v>296642.84000000008</v>
      </c>
      <c r="Z140" s="494">
        <f t="shared" si="104"/>
        <v>6.25E-2</v>
      </c>
      <c r="AA140" s="285">
        <f t="shared" si="105"/>
        <v>1630.04</v>
      </c>
      <c r="AB140" s="285">
        <f t="shared" si="189"/>
        <v>85.029999999999973</v>
      </c>
      <c r="AC140" s="285">
        <f t="shared" si="106"/>
        <v>1545.01</v>
      </c>
      <c r="AD140" s="285">
        <f t="shared" ref="AD140:AE140" si="208">+AD139</f>
        <v>134.16999999999999</v>
      </c>
      <c r="AE140" s="285">
        <f t="shared" si="208"/>
        <v>188.55</v>
      </c>
      <c r="AF140" s="285">
        <f t="shared" si="191"/>
        <v>1952.76</v>
      </c>
      <c r="AG140" s="285">
        <f t="shared" si="192"/>
        <v>34635.589999999982</v>
      </c>
      <c r="AH140" s="285">
        <f t="shared" si="193"/>
        <v>93253.890000000014</v>
      </c>
      <c r="AI140" s="512">
        <f t="shared" si="176"/>
        <v>4177.2600000000011</v>
      </c>
      <c r="AJ140" s="512">
        <f t="shared" si="134"/>
        <v>-60289.700000000012</v>
      </c>
      <c r="AK140" s="512">
        <f t="shared" si="177"/>
        <v>-56112.44000000001</v>
      </c>
      <c r="AL140" s="285">
        <f t="shared" si="194"/>
        <v>296557.81000000006</v>
      </c>
      <c r="AM140" s="425">
        <f t="shared" si="115"/>
        <v>6</v>
      </c>
      <c r="AN140" s="14">
        <f t="shared" si="178"/>
        <v>1160.29</v>
      </c>
      <c r="AO140" s="14">
        <f t="shared" si="153"/>
        <v>231530.78000000003</v>
      </c>
      <c r="AP140" s="14">
        <f t="shared" si="179"/>
        <v>1179.76</v>
      </c>
      <c r="AS140" s="14">
        <f t="shared" si="109"/>
        <v>1160.29</v>
      </c>
      <c r="AT140" s="14">
        <f t="shared" si="116"/>
        <v>94663.21999999987</v>
      </c>
      <c r="AU140" s="285">
        <f t="shared" si="117"/>
        <v>893.48149969610859</v>
      </c>
      <c r="AV140" s="285">
        <f t="shared" si="118"/>
        <v>96710.08137813957</v>
      </c>
    </row>
    <row r="141" spans="1:48" x14ac:dyDescent="0.25">
      <c r="A141" s="502">
        <f t="shared" si="181"/>
        <v>48189</v>
      </c>
      <c r="B141" s="285">
        <f t="shared" si="110"/>
        <v>74658.569999999934</v>
      </c>
      <c r="C141" s="14">
        <f t="shared" si="101"/>
        <v>450.28</v>
      </c>
      <c r="D141" s="14">
        <f t="shared" si="119"/>
        <v>216.96999999999997</v>
      </c>
      <c r="E141" s="14">
        <f t="shared" si="102"/>
        <v>233.31</v>
      </c>
      <c r="F141" s="14">
        <f t="shared" si="170"/>
        <v>134.16999999999999</v>
      </c>
      <c r="G141" s="14">
        <f t="shared" si="167"/>
        <v>188.55</v>
      </c>
      <c r="H141" s="14">
        <f t="shared" si="168"/>
        <v>773</v>
      </c>
      <c r="I141" s="285">
        <f t="shared" si="182"/>
        <v>23090.239999999991</v>
      </c>
      <c r="J141" s="285">
        <f t="shared" si="183"/>
        <v>34399.160000000011</v>
      </c>
      <c r="K141" s="285">
        <f t="shared" si="184"/>
        <v>74441.599999999933</v>
      </c>
      <c r="L141" s="425">
        <f t="shared" si="155"/>
        <v>6</v>
      </c>
      <c r="M141" s="425">
        <f t="shared" si="111"/>
        <v>82</v>
      </c>
      <c r="N141" s="285">
        <f t="shared" si="112"/>
        <v>236268.11000000004</v>
      </c>
      <c r="O141" s="285">
        <f t="shared" si="185"/>
        <v>1610.57</v>
      </c>
      <c r="P141" s="285">
        <f t="shared" si="120"/>
        <v>380.01</v>
      </c>
      <c r="Q141" s="285">
        <f t="shared" si="186"/>
        <v>1230.56</v>
      </c>
      <c r="R141" s="285">
        <f t="shared" si="173"/>
        <v>134.16999999999999</v>
      </c>
      <c r="S141" s="285">
        <f t="shared" si="174"/>
        <v>188.55</v>
      </c>
      <c r="T141" s="285">
        <f t="shared" si="171"/>
        <v>1933.29</v>
      </c>
      <c r="U141" s="285">
        <f t="shared" si="121"/>
        <v>25687.899999999991</v>
      </c>
      <c r="V141" s="285">
        <f t="shared" si="122"/>
        <v>107989.40999999997</v>
      </c>
      <c r="W141" s="285">
        <f t="shared" si="187"/>
        <v>235888.10000000003</v>
      </c>
      <c r="X141" s="502">
        <f t="shared" si="113"/>
        <v>48189</v>
      </c>
      <c r="Y141" s="285">
        <f t="shared" si="188"/>
        <v>296557.81000000006</v>
      </c>
      <c r="Z141" s="494">
        <f t="shared" si="104"/>
        <v>6.25E-2</v>
      </c>
      <c r="AA141" s="285">
        <f t="shared" si="105"/>
        <v>1630.04</v>
      </c>
      <c r="AB141" s="285">
        <f t="shared" si="189"/>
        <v>85.470000000000027</v>
      </c>
      <c r="AC141" s="285">
        <f t="shared" si="106"/>
        <v>1544.57</v>
      </c>
      <c r="AD141" s="285">
        <f t="shared" ref="AD141:AE141" si="209">+AD140</f>
        <v>134.16999999999999</v>
      </c>
      <c r="AE141" s="285">
        <f t="shared" si="209"/>
        <v>188.55</v>
      </c>
      <c r="AF141" s="285">
        <f t="shared" si="191"/>
        <v>1952.76</v>
      </c>
      <c r="AG141" s="285">
        <f t="shared" si="192"/>
        <v>34721.059999999983</v>
      </c>
      <c r="AH141" s="285">
        <f t="shared" si="193"/>
        <v>94798.460000000021</v>
      </c>
      <c r="AI141" s="512">
        <f t="shared" si="176"/>
        <v>4157.7900000000009</v>
      </c>
      <c r="AJ141" s="512">
        <f t="shared" si="134"/>
        <v>-60584.240000000049</v>
      </c>
      <c r="AK141" s="512">
        <f t="shared" si="177"/>
        <v>-56426.450000000048</v>
      </c>
      <c r="AL141" s="285">
        <f t="shared" si="194"/>
        <v>296472.34000000008</v>
      </c>
      <c r="AM141" s="425">
        <f t="shared" si="115"/>
        <v>6</v>
      </c>
      <c r="AN141" s="14">
        <f t="shared" si="178"/>
        <v>1160.29</v>
      </c>
      <c r="AO141" s="14">
        <f t="shared" si="153"/>
        <v>231367.74000000002</v>
      </c>
      <c r="AP141" s="14">
        <f t="shared" si="179"/>
        <v>1179.76</v>
      </c>
      <c r="AS141" s="14">
        <f t="shared" si="109"/>
        <v>1160.29</v>
      </c>
      <c r="AT141" s="14">
        <f t="shared" si="116"/>
        <v>95823.509999999864</v>
      </c>
      <c r="AU141" s="285">
        <f t="shared" si="117"/>
        <v>895.71520344534883</v>
      </c>
      <c r="AV141" s="285">
        <f t="shared" si="118"/>
        <v>97605.796581584917</v>
      </c>
    </row>
    <row r="142" spans="1:48" x14ac:dyDescent="0.25">
      <c r="A142" s="502">
        <f t="shared" si="181"/>
        <v>48219</v>
      </c>
      <c r="B142" s="285">
        <f t="shared" si="110"/>
        <v>74441.599999999933</v>
      </c>
      <c r="C142" s="14">
        <f t="shared" si="101"/>
        <v>450.28</v>
      </c>
      <c r="D142" s="14">
        <f t="shared" si="119"/>
        <v>217.64999999999998</v>
      </c>
      <c r="E142" s="14">
        <f t="shared" si="102"/>
        <v>232.63</v>
      </c>
      <c r="F142" s="14">
        <f t="shared" si="170"/>
        <v>134.16999999999999</v>
      </c>
      <c r="G142" s="14">
        <f t="shared" si="167"/>
        <v>188.55</v>
      </c>
      <c r="H142" s="14">
        <f t="shared" si="168"/>
        <v>773</v>
      </c>
      <c r="I142" s="285">
        <f t="shared" si="182"/>
        <v>23307.889999999992</v>
      </c>
      <c r="J142" s="285">
        <f t="shared" si="183"/>
        <v>34631.790000000008</v>
      </c>
      <c r="K142" s="285">
        <f t="shared" si="184"/>
        <v>74223.949999999939</v>
      </c>
      <c r="L142" s="425">
        <f t="shared" si="155"/>
        <v>6</v>
      </c>
      <c r="M142" s="425">
        <f t="shared" si="111"/>
        <v>83</v>
      </c>
      <c r="N142" s="285">
        <f t="shared" si="112"/>
        <v>235888.10000000003</v>
      </c>
      <c r="O142" s="285">
        <f t="shared" si="185"/>
        <v>1610.57</v>
      </c>
      <c r="P142" s="285">
        <f t="shared" si="120"/>
        <v>381.99</v>
      </c>
      <c r="Q142" s="285">
        <f t="shared" si="186"/>
        <v>1228.58</v>
      </c>
      <c r="R142" s="285">
        <f t="shared" si="173"/>
        <v>134.16999999999999</v>
      </c>
      <c r="S142" s="285">
        <f t="shared" si="174"/>
        <v>188.55</v>
      </c>
      <c r="T142" s="285">
        <f t="shared" si="171"/>
        <v>1933.29</v>
      </c>
      <c r="U142" s="285">
        <f t="shared" si="121"/>
        <v>26069.889999999992</v>
      </c>
      <c r="V142" s="285">
        <f t="shared" si="122"/>
        <v>109217.98999999998</v>
      </c>
      <c r="W142" s="285">
        <f t="shared" si="187"/>
        <v>235506.11000000004</v>
      </c>
      <c r="X142" s="502">
        <f t="shared" si="113"/>
        <v>48219</v>
      </c>
      <c r="Y142" s="285">
        <f t="shared" si="188"/>
        <v>296472.34000000008</v>
      </c>
      <c r="Z142" s="494">
        <f t="shared" si="104"/>
        <v>6.25E-2</v>
      </c>
      <c r="AA142" s="285">
        <f t="shared" si="105"/>
        <v>1630.04</v>
      </c>
      <c r="AB142" s="285">
        <f t="shared" si="189"/>
        <v>85.909999999999854</v>
      </c>
      <c r="AC142" s="285">
        <f t="shared" si="106"/>
        <v>1544.13</v>
      </c>
      <c r="AD142" s="285">
        <f t="shared" ref="AD142:AE142" si="210">+AD141</f>
        <v>134.16999999999999</v>
      </c>
      <c r="AE142" s="285">
        <f t="shared" si="210"/>
        <v>188.55</v>
      </c>
      <c r="AF142" s="285">
        <f t="shared" si="191"/>
        <v>1952.76</v>
      </c>
      <c r="AG142" s="285">
        <f t="shared" si="192"/>
        <v>34806.969999999987</v>
      </c>
      <c r="AH142" s="285">
        <f t="shared" si="193"/>
        <v>96342.590000000026</v>
      </c>
      <c r="AI142" s="512">
        <f t="shared" si="176"/>
        <v>4138.3200000000006</v>
      </c>
      <c r="AJ142" s="512">
        <f t="shared" si="134"/>
        <v>-60880.320000000065</v>
      </c>
      <c r="AK142" s="512">
        <f t="shared" si="177"/>
        <v>-56742.000000000065</v>
      </c>
      <c r="AL142" s="285">
        <f t="shared" si="194"/>
        <v>296386.43000000011</v>
      </c>
      <c r="AM142" s="425">
        <f t="shared" si="115"/>
        <v>6</v>
      </c>
      <c r="AN142" s="14">
        <f t="shared" si="178"/>
        <v>1160.29</v>
      </c>
      <c r="AO142" s="14">
        <f t="shared" si="153"/>
        <v>231203.40000000002</v>
      </c>
      <c r="AP142" s="14">
        <f t="shared" si="179"/>
        <v>1179.76</v>
      </c>
      <c r="AS142" s="14">
        <f t="shared" si="109"/>
        <v>1160.29</v>
      </c>
      <c r="AT142" s="14">
        <f t="shared" si="116"/>
        <v>96983.799999999857</v>
      </c>
      <c r="AU142" s="285">
        <f t="shared" si="117"/>
        <v>897.95449145396231</v>
      </c>
      <c r="AV142" s="285">
        <f t="shared" si="118"/>
        <v>98503.751073038875</v>
      </c>
    </row>
    <row r="143" spans="1:48" x14ac:dyDescent="0.25">
      <c r="A143" s="502">
        <f t="shared" si="181"/>
        <v>48249</v>
      </c>
      <c r="B143" s="285">
        <f t="shared" si="110"/>
        <v>74223.949999999939</v>
      </c>
      <c r="C143" s="14">
        <f t="shared" ref="C143:C206" si="211">IF(+$K142&lt;=0,0,$C$5)</f>
        <v>450.28</v>
      </c>
      <c r="D143" s="14">
        <f t="shared" si="119"/>
        <v>218.32999999999998</v>
      </c>
      <c r="E143" s="14">
        <f t="shared" ref="E143:E206" si="212">ROUND($B143*($C$3/12), 2)</f>
        <v>231.95</v>
      </c>
      <c r="F143" s="14">
        <f t="shared" si="170"/>
        <v>134.16999999999999</v>
      </c>
      <c r="G143" s="14">
        <f t="shared" si="167"/>
        <v>188.55</v>
      </c>
      <c r="H143" s="14">
        <f t="shared" si="168"/>
        <v>773</v>
      </c>
      <c r="I143" s="285">
        <f t="shared" si="182"/>
        <v>23526.219999999994</v>
      </c>
      <c r="J143" s="285">
        <f t="shared" si="183"/>
        <v>34863.740000000005</v>
      </c>
      <c r="K143" s="285">
        <f t="shared" si="184"/>
        <v>74005.619999999937</v>
      </c>
      <c r="L143" s="425">
        <f t="shared" si="155"/>
        <v>7</v>
      </c>
      <c r="M143" s="425">
        <f t="shared" si="111"/>
        <v>84</v>
      </c>
      <c r="N143" s="285">
        <f t="shared" si="112"/>
        <v>235506.11000000004</v>
      </c>
      <c r="O143" s="285">
        <f t="shared" si="185"/>
        <v>1610.57</v>
      </c>
      <c r="P143" s="285">
        <f t="shared" si="120"/>
        <v>383.98</v>
      </c>
      <c r="Q143" s="285">
        <f t="shared" si="186"/>
        <v>1226.5899999999999</v>
      </c>
      <c r="R143" s="285">
        <f t="shared" si="173"/>
        <v>134.16999999999999</v>
      </c>
      <c r="S143" s="285">
        <f t="shared" si="174"/>
        <v>188.55</v>
      </c>
      <c r="T143" s="285">
        <f t="shared" si="171"/>
        <v>1933.29</v>
      </c>
      <c r="U143" s="285">
        <f t="shared" si="121"/>
        <v>26453.869999999992</v>
      </c>
      <c r="V143" s="285">
        <f t="shared" si="122"/>
        <v>110444.57999999997</v>
      </c>
      <c r="W143" s="285">
        <f t="shared" si="187"/>
        <v>235122.13000000003</v>
      </c>
      <c r="X143" s="502">
        <f t="shared" si="113"/>
        <v>48249</v>
      </c>
      <c r="Y143" s="285">
        <f t="shared" si="188"/>
        <v>296386.43000000011</v>
      </c>
      <c r="Z143" s="494">
        <f t="shared" ref="Z143:Z206" si="213">IF(L143&gt;4,$AA$9,$AA$8)</f>
        <v>6.25E-2</v>
      </c>
      <c r="AA143" s="285">
        <f t="shared" ref="AA143:AA206" si="214">IF($O$9&lt;=$A143,IF(+AL142&lt;=0,0,IF(Z143=$AA$8,$Z$8,$Z$9)),0)</f>
        <v>1630.04</v>
      </c>
      <c r="AB143" s="285">
        <f t="shared" si="189"/>
        <v>86.3599999999999</v>
      </c>
      <c r="AC143" s="285">
        <f t="shared" ref="AC143:AC206" si="215">IF($O$9&lt;=$A143,ROUND(Y143*(Z143/12),2),0)</f>
        <v>1543.68</v>
      </c>
      <c r="AD143" s="285">
        <f t="shared" ref="AD143:AE143" si="216">+AD142</f>
        <v>134.16999999999999</v>
      </c>
      <c r="AE143" s="285">
        <f t="shared" si="216"/>
        <v>188.55</v>
      </c>
      <c r="AF143" s="285">
        <f t="shared" si="191"/>
        <v>1952.76</v>
      </c>
      <c r="AG143" s="285">
        <f t="shared" si="192"/>
        <v>34893.329999999987</v>
      </c>
      <c r="AH143" s="285">
        <f t="shared" si="193"/>
        <v>97886.270000000019</v>
      </c>
      <c r="AI143" s="512">
        <f t="shared" si="176"/>
        <v>4118.8500000000004</v>
      </c>
      <c r="AJ143" s="512">
        <f t="shared" si="134"/>
        <v>-61177.94000000009</v>
      </c>
      <c r="AK143" s="512">
        <f t="shared" si="177"/>
        <v>-57059.090000000091</v>
      </c>
      <c r="AL143" s="285">
        <f t="shared" si="194"/>
        <v>296300.07000000012</v>
      </c>
      <c r="AM143" s="425">
        <f t="shared" si="115"/>
        <v>7</v>
      </c>
      <c r="AN143" s="14">
        <f t="shared" si="178"/>
        <v>1160.29</v>
      </c>
      <c r="AO143" s="14">
        <f t="shared" si="153"/>
        <v>231037.75000000003</v>
      </c>
      <c r="AP143" s="14">
        <f t="shared" si="179"/>
        <v>1179.76</v>
      </c>
      <c r="AS143" s="14">
        <f t="shared" ref="AS143:AS206" si="217">+AN143-AR143</f>
        <v>1160.29</v>
      </c>
      <c r="AT143" s="14">
        <f t="shared" si="116"/>
        <v>98144.089999999851</v>
      </c>
      <c r="AU143" s="285">
        <f t="shared" si="117"/>
        <v>900.19937768259717</v>
      </c>
      <c r="AV143" s="285">
        <f t="shared" si="118"/>
        <v>99403.950450721473</v>
      </c>
    </row>
    <row r="144" spans="1:48" x14ac:dyDescent="0.25">
      <c r="A144" s="502">
        <f t="shared" si="181"/>
        <v>48279</v>
      </c>
      <c r="B144" s="285">
        <f t="shared" ref="B144:B207" si="218">IF(+K143&lt;0,0,+K143)</f>
        <v>74005.619999999937</v>
      </c>
      <c r="C144" s="14">
        <f t="shared" si="211"/>
        <v>450.28</v>
      </c>
      <c r="D144" s="14">
        <f t="shared" si="119"/>
        <v>219.00999999999996</v>
      </c>
      <c r="E144" s="14">
        <f t="shared" si="212"/>
        <v>231.27</v>
      </c>
      <c r="F144" s="14">
        <f t="shared" si="170"/>
        <v>134.16999999999999</v>
      </c>
      <c r="G144" s="14">
        <f t="shared" si="167"/>
        <v>188.55</v>
      </c>
      <c r="H144" s="14">
        <f t="shared" si="168"/>
        <v>773</v>
      </c>
      <c r="I144" s="285">
        <f t="shared" si="182"/>
        <v>23745.229999999992</v>
      </c>
      <c r="J144" s="285">
        <f t="shared" si="183"/>
        <v>35095.01</v>
      </c>
      <c r="K144" s="285">
        <f t="shared" si="184"/>
        <v>73786.609999999942</v>
      </c>
      <c r="L144" s="425">
        <f t="shared" si="155"/>
        <v>7</v>
      </c>
      <c r="M144" s="425">
        <f t="shared" ref="M144:M207" si="219">IF(N144&lt;&gt;"",IF(N144=$O$5,0,+M143+1),0)</f>
        <v>85</v>
      </c>
      <c r="N144" s="285">
        <f t="shared" ref="N144:N207" si="220">IF(+W143&lt;0,0,+W143)</f>
        <v>235122.13000000003</v>
      </c>
      <c r="O144" s="285">
        <f t="shared" si="185"/>
        <v>1610.57</v>
      </c>
      <c r="P144" s="285">
        <f t="shared" si="120"/>
        <v>385.98</v>
      </c>
      <c r="Q144" s="285">
        <f t="shared" si="186"/>
        <v>1224.5899999999999</v>
      </c>
      <c r="R144" s="285">
        <f t="shared" si="173"/>
        <v>134.16999999999999</v>
      </c>
      <c r="S144" s="285">
        <f t="shared" si="174"/>
        <v>188.55</v>
      </c>
      <c r="T144" s="285">
        <f t="shared" si="171"/>
        <v>1933.29</v>
      </c>
      <c r="U144" s="285">
        <f t="shared" si="121"/>
        <v>26839.849999999991</v>
      </c>
      <c r="V144" s="285">
        <f t="shared" si="122"/>
        <v>111669.16999999997</v>
      </c>
      <c r="W144" s="285">
        <f t="shared" si="187"/>
        <v>234736.15000000002</v>
      </c>
      <c r="X144" s="502">
        <f t="shared" ref="X144:X207" si="221">+A144</f>
        <v>48279</v>
      </c>
      <c r="Y144" s="285">
        <f t="shared" si="188"/>
        <v>296300.07000000012</v>
      </c>
      <c r="Z144" s="494">
        <f t="shared" si="213"/>
        <v>6.25E-2</v>
      </c>
      <c r="AA144" s="285">
        <f t="shared" si="214"/>
        <v>1630.04</v>
      </c>
      <c r="AB144" s="285">
        <f t="shared" si="189"/>
        <v>86.809999999999945</v>
      </c>
      <c r="AC144" s="285">
        <f t="shared" si="215"/>
        <v>1543.23</v>
      </c>
      <c r="AD144" s="285">
        <f t="shared" ref="AD144:AE144" si="222">+AD143</f>
        <v>134.16999999999999</v>
      </c>
      <c r="AE144" s="285">
        <f t="shared" si="222"/>
        <v>188.55</v>
      </c>
      <c r="AF144" s="285">
        <f t="shared" si="191"/>
        <v>1952.76</v>
      </c>
      <c r="AG144" s="285">
        <f t="shared" si="192"/>
        <v>34980.139999999985</v>
      </c>
      <c r="AH144" s="285">
        <f t="shared" si="193"/>
        <v>99429.500000000015</v>
      </c>
      <c r="AI144" s="512">
        <f t="shared" si="176"/>
        <v>4099.38</v>
      </c>
      <c r="AJ144" s="512">
        <f t="shared" si="134"/>
        <v>-61477.110000000102</v>
      </c>
      <c r="AK144" s="512">
        <f t="shared" si="177"/>
        <v>-57377.730000000105</v>
      </c>
      <c r="AL144" s="285">
        <f t="shared" si="194"/>
        <v>296213.26000000013</v>
      </c>
      <c r="AM144" s="425">
        <f t="shared" ref="AM144:AM207" si="223">+L144</f>
        <v>7</v>
      </c>
      <c r="AN144" s="14">
        <f t="shared" si="178"/>
        <v>1160.29</v>
      </c>
      <c r="AO144" s="14">
        <f t="shared" si="153"/>
        <v>230870.78000000003</v>
      </c>
      <c r="AP144" s="14">
        <f t="shared" si="179"/>
        <v>1179.76</v>
      </c>
      <c r="AS144" s="14">
        <f t="shared" si="217"/>
        <v>1160.29</v>
      </c>
      <c r="AT144" s="14">
        <f t="shared" ref="AT144:AT207" si="224">IF(W144&lt;=0,0,+AS144+AT143)</f>
        <v>99304.379999999845</v>
      </c>
      <c r="AU144" s="285">
        <f t="shared" ref="AU144:AU207" si="225">IF(W144&lt;=0,0,+($O$5+AV143)*$AQ$2/12)</f>
        <v>902.4498761268037</v>
      </c>
      <c r="AV144" s="285">
        <f t="shared" ref="AV144:AV207" si="226">IF(W144&lt;=0,0,+AV143+AU144)</f>
        <v>100306.40032684828</v>
      </c>
    </row>
    <row r="145" spans="1:48" x14ac:dyDescent="0.25">
      <c r="A145" s="502">
        <f t="shared" si="181"/>
        <v>48309</v>
      </c>
      <c r="B145" s="285">
        <f t="shared" si="218"/>
        <v>73786.609999999942</v>
      </c>
      <c r="C145" s="14">
        <f t="shared" si="211"/>
        <v>450.28</v>
      </c>
      <c r="D145" s="14">
        <f t="shared" ref="D145:D208" si="227">+C145-E145</f>
        <v>219.69999999999996</v>
      </c>
      <c r="E145" s="14">
        <f t="shared" si="212"/>
        <v>230.58</v>
      </c>
      <c r="F145" s="14">
        <f t="shared" si="170"/>
        <v>134.16999999999999</v>
      </c>
      <c r="G145" s="14">
        <f t="shared" si="167"/>
        <v>188.55</v>
      </c>
      <c r="H145" s="14">
        <f t="shared" si="168"/>
        <v>773</v>
      </c>
      <c r="I145" s="285">
        <f t="shared" si="182"/>
        <v>23964.929999999993</v>
      </c>
      <c r="J145" s="285">
        <f t="shared" si="183"/>
        <v>35325.590000000004</v>
      </c>
      <c r="K145" s="285">
        <f t="shared" si="184"/>
        <v>73566.909999999945</v>
      </c>
      <c r="L145" s="425">
        <f t="shared" si="155"/>
        <v>7</v>
      </c>
      <c r="M145" s="425">
        <f t="shared" si="219"/>
        <v>86</v>
      </c>
      <c r="N145" s="285">
        <f t="shared" si="220"/>
        <v>234736.15000000002</v>
      </c>
      <c r="O145" s="285">
        <f t="shared" si="185"/>
        <v>1610.57</v>
      </c>
      <c r="P145" s="285">
        <f t="shared" ref="P145:P208" si="228">+O145-Q145</f>
        <v>387.99</v>
      </c>
      <c r="Q145" s="285">
        <f t="shared" si="186"/>
        <v>1222.58</v>
      </c>
      <c r="R145" s="285">
        <f t="shared" si="173"/>
        <v>134.16999999999999</v>
      </c>
      <c r="S145" s="285">
        <f t="shared" si="174"/>
        <v>188.55</v>
      </c>
      <c r="T145" s="285">
        <f t="shared" si="171"/>
        <v>1933.29</v>
      </c>
      <c r="U145" s="285">
        <f t="shared" ref="U145:U208" si="229">+P145+U144</f>
        <v>27227.839999999993</v>
      </c>
      <c r="V145" s="285">
        <f t="shared" ref="V145:V208" si="230">+V144+Q145</f>
        <v>112891.74999999997</v>
      </c>
      <c r="W145" s="285">
        <f t="shared" si="187"/>
        <v>234348.16000000003</v>
      </c>
      <c r="X145" s="502">
        <f t="shared" si="221"/>
        <v>48309</v>
      </c>
      <c r="Y145" s="285">
        <f t="shared" si="188"/>
        <v>296213.26000000013</v>
      </c>
      <c r="Z145" s="494">
        <f t="shared" si="213"/>
        <v>6.25E-2</v>
      </c>
      <c r="AA145" s="285">
        <f t="shared" si="214"/>
        <v>1630.04</v>
      </c>
      <c r="AB145" s="285">
        <f t="shared" si="189"/>
        <v>87.259999999999991</v>
      </c>
      <c r="AC145" s="285">
        <f t="shared" si="215"/>
        <v>1542.78</v>
      </c>
      <c r="AD145" s="285">
        <f t="shared" ref="AD145:AE145" si="231">+AD144</f>
        <v>134.16999999999999</v>
      </c>
      <c r="AE145" s="285">
        <f t="shared" si="231"/>
        <v>188.55</v>
      </c>
      <c r="AF145" s="285">
        <f t="shared" si="191"/>
        <v>1952.76</v>
      </c>
      <c r="AG145" s="285">
        <f t="shared" si="192"/>
        <v>35067.399999999987</v>
      </c>
      <c r="AH145" s="285">
        <f t="shared" si="193"/>
        <v>100972.28000000001</v>
      </c>
      <c r="AI145" s="512">
        <f t="shared" si="176"/>
        <v>4079.91</v>
      </c>
      <c r="AJ145" s="512">
        <f t="shared" si="134"/>
        <v>-61777.840000000084</v>
      </c>
      <c r="AK145" s="512">
        <f t="shared" si="177"/>
        <v>-57697.93000000008</v>
      </c>
      <c r="AL145" s="285">
        <f t="shared" si="194"/>
        <v>296126.00000000012</v>
      </c>
      <c r="AM145" s="425">
        <f t="shared" si="223"/>
        <v>7</v>
      </c>
      <c r="AN145" s="14">
        <f t="shared" si="178"/>
        <v>1160.29</v>
      </c>
      <c r="AO145" s="14">
        <f t="shared" si="153"/>
        <v>230702.49000000002</v>
      </c>
      <c r="AP145" s="14">
        <f t="shared" si="179"/>
        <v>1179.76</v>
      </c>
      <c r="AS145" s="14">
        <f t="shared" si="217"/>
        <v>1160.29</v>
      </c>
      <c r="AT145" s="14">
        <f t="shared" si="224"/>
        <v>100464.66999999984</v>
      </c>
      <c r="AU145" s="285">
        <f t="shared" si="225"/>
        <v>904.70600081712064</v>
      </c>
      <c r="AV145" s="285">
        <f t="shared" si="226"/>
        <v>101211.1063276654</v>
      </c>
    </row>
    <row r="146" spans="1:48" ht="15.75" thickBot="1" x14ac:dyDescent="0.3">
      <c r="A146" s="505">
        <f t="shared" si="181"/>
        <v>48339</v>
      </c>
      <c r="B146" s="345">
        <f t="shared" si="218"/>
        <v>73566.909999999945</v>
      </c>
      <c r="C146" s="21">
        <f t="shared" si="211"/>
        <v>450.28</v>
      </c>
      <c r="D146" s="21">
        <f t="shared" si="227"/>
        <v>220.37999999999997</v>
      </c>
      <c r="E146" s="21">
        <f t="shared" si="212"/>
        <v>229.9</v>
      </c>
      <c r="F146" s="21">
        <f t="shared" si="170"/>
        <v>134.16999999999999</v>
      </c>
      <c r="G146" s="21">
        <f t="shared" si="167"/>
        <v>188.55</v>
      </c>
      <c r="H146" s="21">
        <f t="shared" si="168"/>
        <v>773</v>
      </c>
      <c r="I146" s="345">
        <f t="shared" si="182"/>
        <v>24185.309999999994</v>
      </c>
      <c r="J146" s="345">
        <f t="shared" si="183"/>
        <v>35555.490000000005</v>
      </c>
      <c r="K146" s="345">
        <f t="shared" si="184"/>
        <v>73346.529999999941</v>
      </c>
      <c r="L146" s="426">
        <f t="shared" si="155"/>
        <v>7</v>
      </c>
      <c r="M146" s="426">
        <f t="shared" si="219"/>
        <v>87</v>
      </c>
      <c r="N146" s="345">
        <f t="shared" si="220"/>
        <v>234348.16000000003</v>
      </c>
      <c r="O146" s="345">
        <f t="shared" si="185"/>
        <v>1610.57</v>
      </c>
      <c r="P146" s="345">
        <f t="shared" si="228"/>
        <v>390.01</v>
      </c>
      <c r="Q146" s="345">
        <f t="shared" si="186"/>
        <v>1220.56</v>
      </c>
      <c r="R146" s="345">
        <f t="shared" si="173"/>
        <v>134.16999999999999</v>
      </c>
      <c r="S146" s="345">
        <f t="shared" si="174"/>
        <v>188.55</v>
      </c>
      <c r="T146" s="345">
        <f t="shared" si="171"/>
        <v>1933.29</v>
      </c>
      <c r="U146" s="345">
        <f t="shared" si="229"/>
        <v>27617.849999999991</v>
      </c>
      <c r="V146" s="345">
        <f t="shared" si="230"/>
        <v>114112.30999999997</v>
      </c>
      <c r="W146" s="345">
        <f t="shared" si="187"/>
        <v>233958.15000000002</v>
      </c>
      <c r="X146" s="505">
        <f t="shared" si="221"/>
        <v>48339</v>
      </c>
      <c r="Y146" s="345">
        <f t="shared" si="188"/>
        <v>296126.00000000012</v>
      </c>
      <c r="Z146" s="495">
        <f t="shared" si="213"/>
        <v>6.25E-2</v>
      </c>
      <c r="AA146" s="345">
        <f t="shared" si="214"/>
        <v>1630.04</v>
      </c>
      <c r="AB146" s="345">
        <f t="shared" si="189"/>
        <v>87.720000000000027</v>
      </c>
      <c r="AC146" s="345">
        <f t="shared" si="215"/>
        <v>1542.32</v>
      </c>
      <c r="AD146" s="345">
        <f t="shared" ref="AD146:AE146" si="232">+AD145</f>
        <v>134.16999999999999</v>
      </c>
      <c r="AE146" s="345">
        <f t="shared" si="232"/>
        <v>188.55</v>
      </c>
      <c r="AF146" s="345">
        <f t="shared" si="191"/>
        <v>1952.76</v>
      </c>
      <c r="AG146" s="345">
        <f t="shared" si="192"/>
        <v>35155.119999999988</v>
      </c>
      <c r="AH146" s="345">
        <f t="shared" si="193"/>
        <v>102514.60000000002</v>
      </c>
      <c r="AI146" s="513">
        <f t="shared" si="176"/>
        <v>4060.4399999999996</v>
      </c>
      <c r="AJ146" s="513">
        <f t="shared" si="134"/>
        <v>-62080.130000000121</v>
      </c>
      <c r="AK146" s="513">
        <f t="shared" si="177"/>
        <v>-58019.690000000119</v>
      </c>
      <c r="AL146" s="345">
        <f t="shared" si="194"/>
        <v>296038.28000000014</v>
      </c>
      <c r="AM146" s="426">
        <f t="shared" si="223"/>
        <v>7</v>
      </c>
      <c r="AN146" s="21">
        <f t="shared" si="178"/>
        <v>1160.29</v>
      </c>
      <c r="AO146" s="21">
        <f t="shared" si="153"/>
        <v>230532.86000000004</v>
      </c>
      <c r="AP146" s="21">
        <f t="shared" si="179"/>
        <v>1179.76</v>
      </c>
      <c r="AQ146" s="21"/>
      <c r="AR146" s="23"/>
      <c r="AS146" s="21">
        <f t="shared" si="217"/>
        <v>1160.29</v>
      </c>
      <c r="AT146" s="21">
        <f t="shared" si="224"/>
        <v>101624.95999999983</v>
      </c>
      <c r="AU146" s="345">
        <f t="shared" si="225"/>
        <v>906.96776581916345</v>
      </c>
      <c r="AV146" s="345">
        <f t="shared" si="226"/>
        <v>102118.07409348457</v>
      </c>
    </row>
    <row r="147" spans="1:48" x14ac:dyDescent="0.25">
      <c r="A147" s="502">
        <f t="shared" si="181"/>
        <v>48369</v>
      </c>
      <c r="B147" s="285">
        <f t="shared" si="218"/>
        <v>73346.529999999941</v>
      </c>
      <c r="C147" s="14">
        <f t="shared" si="211"/>
        <v>450.28</v>
      </c>
      <c r="D147" s="14">
        <f t="shared" si="227"/>
        <v>221.06999999999996</v>
      </c>
      <c r="E147" s="14">
        <f t="shared" si="212"/>
        <v>229.21</v>
      </c>
      <c r="F147" s="14">
        <f t="shared" si="170"/>
        <v>134.16999999999999</v>
      </c>
      <c r="G147" s="14">
        <f t="shared" si="167"/>
        <v>188.55</v>
      </c>
      <c r="H147" s="14">
        <f t="shared" si="168"/>
        <v>773</v>
      </c>
      <c r="I147" s="285">
        <f t="shared" si="182"/>
        <v>24406.379999999994</v>
      </c>
      <c r="J147" s="285">
        <f t="shared" si="183"/>
        <v>35784.700000000004</v>
      </c>
      <c r="K147" s="285">
        <f t="shared" si="184"/>
        <v>73125.459999999934</v>
      </c>
      <c r="L147" s="425">
        <f t="shared" si="155"/>
        <v>7</v>
      </c>
      <c r="M147" s="425">
        <f t="shared" si="219"/>
        <v>88</v>
      </c>
      <c r="N147" s="285">
        <f t="shared" si="220"/>
        <v>233958.15000000002</v>
      </c>
      <c r="O147" s="285">
        <f t="shared" si="185"/>
        <v>1610.57</v>
      </c>
      <c r="P147" s="285">
        <f t="shared" si="228"/>
        <v>392.03999999999996</v>
      </c>
      <c r="Q147" s="285">
        <f t="shared" si="186"/>
        <v>1218.53</v>
      </c>
      <c r="R147" s="285">
        <f t="shared" si="173"/>
        <v>134.16999999999999</v>
      </c>
      <c r="S147" s="285">
        <f t="shared" si="174"/>
        <v>188.55</v>
      </c>
      <c r="T147" s="285">
        <f t="shared" si="171"/>
        <v>1933.29</v>
      </c>
      <c r="U147" s="285">
        <f t="shared" si="229"/>
        <v>28009.889999999992</v>
      </c>
      <c r="V147" s="285">
        <f t="shared" si="230"/>
        <v>115330.83999999997</v>
      </c>
      <c r="W147" s="285">
        <f t="shared" si="187"/>
        <v>233566.11000000002</v>
      </c>
      <c r="X147" s="502">
        <f t="shared" si="221"/>
        <v>48369</v>
      </c>
      <c r="Y147" s="285">
        <f t="shared" si="188"/>
        <v>296038.28000000014</v>
      </c>
      <c r="Z147" s="494">
        <f t="shared" si="213"/>
        <v>6.25E-2</v>
      </c>
      <c r="AA147" s="285">
        <f t="shared" si="214"/>
        <v>1630.04</v>
      </c>
      <c r="AB147" s="285">
        <f t="shared" si="189"/>
        <v>88.170000000000073</v>
      </c>
      <c r="AC147" s="285">
        <f t="shared" si="215"/>
        <v>1541.87</v>
      </c>
      <c r="AD147" s="285">
        <f t="shared" ref="AD147:AE147" si="233">+AD146</f>
        <v>134.16999999999999</v>
      </c>
      <c r="AE147" s="285">
        <f t="shared" si="233"/>
        <v>188.55</v>
      </c>
      <c r="AF147" s="285">
        <f t="shared" si="191"/>
        <v>1952.76</v>
      </c>
      <c r="AG147" s="285">
        <f t="shared" si="192"/>
        <v>35243.289999999986</v>
      </c>
      <c r="AH147" s="285">
        <f t="shared" si="193"/>
        <v>104056.47000000002</v>
      </c>
      <c r="AI147" s="512">
        <f t="shared" si="176"/>
        <v>4040.9699999999993</v>
      </c>
      <c r="AJ147" s="512">
        <f t="shared" si="134"/>
        <v>-62384.000000000146</v>
      </c>
      <c r="AK147" s="512">
        <f t="shared" si="177"/>
        <v>-58343.030000000144</v>
      </c>
      <c r="AL147" s="285">
        <f t="shared" si="194"/>
        <v>295950.11000000016</v>
      </c>
      <c r="AM147" s="425">
        <f t="shared" si="223"/>
        <v>7</v>
      </c>
      <c r="AN147" s="14">
        <f t="shared" si="178"/>
        <v>1160.29</v>
      </c>
      <c r="AO147" s="14">
        <f t="shared" si="153"/>
        <v>230361.89000000004</v>
      </c>
      <c r="AP147" s="14">
        <f t="shared" si="179"/>
        <v>1179.76</v>
      </c>
      <c r="AS147" s="14">
        <f t="shared" si="217"/>
        <v>1160.29</v>
      </c>
      <c r="AT147" s="14">
        <f t="shared" si="224"/>
        <v>102785.24999999983</v>
      </c>
      <c r="AU147" s="285">
        <f t="shared" si="225"/>
        <v>909.23518523371138</v>
      </c>
      <c r="AV147" s="285">
        <f t="shared" si="226"/>
        <v>103027.30927871828</v>
      </c>
    </row>
    <row r="148" spans="1:48" x14ac:dyDescent="0.25">
      <c r="A148" s="502">
        <f t="shared" si="181"/>
        <v>48399</v>
      </c>
      <c r="B148" s="285">
        <f t="shared" si="218"/>
        <v>73125.459999999934</v>
      </c>
      <c r="C148" s="14">
        <f t="shared" si="211"/>
        <v>450.28</v>
      </c>
      <c r="D148" s="14">
        <f t="shared" si="227"/>
        <v>221.75999999999996</v>
      </c>
      <c r="E148" s="14">
        <f t="shared" si="212"/>
        <v>228.52</v>
      </c>
      <c r="F148" s="14">
        <f t="shared" si="170"/>
        <v>134.16999999999999</v>
      </c>
      <c r="G148" s="14">
        <f t="shared" si="167"/>
        <v>188.55</v>
      </c>
      <c r="H148" s="14">
        <f t="shared" si="168"/>
        <v>773</v>
      </c>
      <c r="I148" s="285">
        <f t="shared" si="182"/>
        <v>24628.139999999992</v>
      </c>
      <c r="J148" s="285">
        <f t="shared" si="183"/>
        <v>36013.22</v>
      </c>
      <c r="K148" s="285">
        <f t="shared" si="184"/>
        <v>72903.699999999939</v>
      </c>
      <c r="L148" s="425">
        <f t="shared" si="155"/>
        <v>7</v>
      </c>
      <c r="M148" s="425">
        <f t="shared" si="219"/>
        <v>89</v>
      </c>
      <c r="N148" s="285">
        <f t="shared" si="220"/>
        <v>233566.11000000002</v>
      </c>
      <c r="O148" s="285">
        <f t="shared" si="185"/>
        <v>1610.57</v>
      </c>
      <c r="P148" s="285">
        <f t="shared" si="228"/>
        <v>394.07999999999993</v>
      </c>
      <c r="Q148" s="285">
        <f t="shared" si="186"/>
        <v>1216.49</v>
      </c>
      <c r="R148" s="285">
        <f t="shared" si="173"/>
        <v>134.16999999999999</v>
      </c>
      <c r="S148" s="285">
        <f t="shared" si="174"/>
        <v>188.55</v>
      </c>
      <c r="T148" s="285">
        <f t="shared" si="171"/>
        <v>1933.29</v>
      </c>
      <c r="U148" s="285">
        <f t="shared" si="229"/>
        <v>28403.969999999994</v>
      </c>
      <c r="V148" s="285">
        <f t="shared" si="230"/>
        <v>116547.32999999997</v>
      </c>
      <c r="W148" s="285">
        <f t="shared" si="187"/>
        <v>233172.03000000003</v>
      </c>
      <c r="X148" s="502">
        <f t="shared" si="221"/>
        <v>48399</v>
      </c>
      <c r="Y148" s="285">
        <f t="shared" si="188"/>
        <v>295950.11000000016</v>
      </c>
      <c r="Z148" s="494">
        <f t="shared" si="213"/>
        <v>6.25E-2</v>
      </c>
      <c r="AA148" s="285">
        <f t="shared" si="214"/>
        <v>1630.04</v>
      </c>
      <c r="AB148" s="285">
        <f t="shared" si="189"/>
        <v>88.629999999999882</v>
      </c>
      <c r="AC148" s="285">
        <f t="shared" si="215"/>
        <v>1541.41</v>
      </c>
      <c r="AD148" s="285">
        <f t="shared" ref="AD148:AE148" si="234">+AD147</f>
        <v>134.16999999999999</v>
      </c>
      <c r="AE148" s="285">
        <f t="shared" si="234"/>
        <v>188.55</v>
      </c>
      <c r="AF148" s="285">
        <f t="shared" si="191"/>
        <v>1952.76</v>
      </c>
      <c r="AG148" s="285">
        <f t="shared" si="192"/>
        <v>35331.919999999984</v>
      </c>
      <c r="AH148" s="285">
        <f t="shared" si="193"/>
        <v>105597.88000000002</v>
      </c>
      <c r="AI148" s="512">
        <f t="shared" si="176"/>
        <v>4021.4999999999991</v>
      </c>
      <c r="AJ148" s="512">
        <f t="shared" si="134"/>
        <v>-62689.450000000128</v>
      </c>
      <c r="AK148" s="512">
        <f t="shared" si="177"/>
        <v>-58667.950000000128</v>
      </c>
      <c r="AL148" s="285">
        <f t="shared" si="194"/>
        <v>295861.48000000016</v>
      </c>
      <c r="AM148" s="425">
        <f t="shared" si="223"/>
        <v>7</v>
      </c>
      <c r="AN148" s="14">
        <f t="shared" si="178"/>
        <v>1160.29</v>
      </c>
      <c r="AO148" s="14">
        <f t="shared" si="153"/>
        <v>230189.57</v>
      </c>
      <c r="AP148" s="14">
        <f t="shared" si="179"/>
        <v>1179.76</v>
      </c>
      <c r="AS148" s="14">
        <f t="shared" si="217"/>
        <v>1160.29</v>
      </c>
      <c r="AT148" s="14">
        <f t="shared" si="224"/>
        <v>103945.53999999982</v>
      </c>
      <c r="AU148" s="285">
        <f t="shared" si="225"/>
        <v>911.50827319679581</v>
      </c>
      <c r="AV148" s="285">
        <f t="shared" si="226"/>
        <v>103938.81755191508</v>
      </c>
    </row>
    <row r="149" spans="1:48" x14ac:dyDescent="0.25">
      <c r="A149" s="502">
        <f t="shared" si="181"/>
        <v>48429</v>
      </c>
      <c r="B149" s="285">
        <f t="shared" si="218"/>
        <v>72903.699999999939</v>
      </c>
      <c r="C149" s="14">
        <f t="shared" si="211"/>
        <v>450.28</v>
      </c>
      <c r="D149" s="14">
        <f t="shared" si="227"/>
        <v>222.45999999999998</v>
      </c>
      <c r="E149" s="14">
        <f t="shared" si="212"/>
        <v>227.82</v>
      </c>
      <c r="F149" s="14">
        <f t="shared" si="170"/>
        <v>134.16999999999999</v>
      </c>
      <c r="G149" s="14">
        <f t="shared" si="167"/>
        <v>188.55</v>
      </c>
      <c r="H149" s="14">
        <f t="shared" si="168"/>
        <v>773</v>
      </c>
      <c r="I149" s="285">
        <f t="shared" si="182"/>
        <v>24850.599999999991</v>
      </c>
      <c r="J149" s="285">
        <f t="shared" si="183"/>
        <v>36241.040000000001</v>
      </c>
      <c r="K149" s="285">
        <f t="shared" si="184"/>
        <v>72681.239999999932</v>
      </c>
      <c r="L149" s="425">
        <f t="shared" si="155"/>
        <v>7</v>
      </c>
      <c r="M149" s="425">
        <f t="shared" si="219"/>
        <v>90</v>
      </c>
      <c r="N149" s="285">
        <f t="shared" si="220"/>
        <v>233172.03000000003</v>
      </c>
      <c r="O149" s="285">
        <f t="shared" si="185"/>
        <v>1610.57</v>
      </c>
      <c r="P149" s="285">
        <f t="shared" si="228"/>
        <v>396.12999999999988</v>
      </c>
      <c r="Q149" s="285">
        <f t="shared" si="186"/>
        <v>1214.44</v>
      </c>
      <c r="R149" s="285">
        <f t="shared" si="173"/>
        <v>134.16999999999999</v>
      </c>
      <c r="S149" s="285">
        <f t="shared" si="174"/>
        <v>188.55</v>
      </c>
      <c r="T149" s="285">
        <f t="shared" si="171"/>
        <v>1933.29</v>
      </c>
      <c r="U149" s="285">
        <f t="shared" si="229"/>
        <v>28800.099999999995</v>
      </c>
      <c r="V149" s="285">
        <f t="shared" si="230"/>
        <v>117761.76999999997</v>
      </c>
      <c r="W149" s="285">
        <f t="shared" si="187"/>
        <v>232775.90000000002</v>
      </c>
      <c r="X149" s="502">
        <f t="shared" si="221"/>
        <v>48429</v>
      </c>
      <c r="Y149" s="285">
        <f t="shared" si="188"/>
        <v>295861.48000000016</v>
      </c>
      <c r="Z149" s="494">
        <f t="shared" si="213"/>
        <v>6.25E-2</v>
      </c>
      <c r="AA149" s="285">
        <f t="shared" si="214"/>
        <v>1630.04</v>
      </c>
      <c r="AB149" s="285">
        <f t="shared" si="189"/>
        <v>89.089999999999918</v>
      </c>
      <c r="AC149" s="285">
        <f t="shared" si="215"/>
        <v>1540.95</v>
      </c>
      <c r="AD149" s="285">
        <f t="shared" ref="AD149:AE149" si="235">+AD148</f>
        <v>134.16999999999999</v>
      </c>
      <c r="AE149" s="285">
        <f t="shared" si="235"/>
        <v>188.55</v>
      </c>
      <c r="AF149" s="285">
        <f t="shared" si="191"/>
        <v>1952.76</v>
      </c>
      <c r="AG149" s="285">
        <f t="shared" si="192"/>
        <v>35421.00999999998</v>
      </c>
      <c r="AH149" s="285">
        <f t="shared" si="193"/>
        <v>107138.83000000002</v>
      </c>
      <c r="AI149" s="512">
        <f t="shared" si="176"/>
        <v>4002.0299999999988</v>
      </c>
      <c r="AJ149" s="512">
        <f t="shared" si="134"/>
        <v>-62996.490000000107</v>
      </c>
      <c r="AK149" s="512">
        <f t="shared" si="177"/>
        <v>-58994.460000000108</v>
      </c>
      <c r="AL149" s="285">
        <f t="shared" si="194"/>
        <v>295772.39000000013</v>
      </c>
      <c r="AM149" s="425">
        <f t="shared" si="223"/>
        <v>7</v>
      </c>
      <c r="AN149" s="14">
        <f t="shared" si="178"/>
        <v>1160.29</v>
      </c>
      <c r="AO149" s="14">
        <f t="shared" si="153"/>
        <v>230015.9</v>
      </c>
      <c r="AP149" s="14">
        <f t="shared" si="179"/>
        <v>1179.76</v>
      </c>
      <c r="AS149" s="14">
        <f t="shared" si="217"/>
        <v>1160.29</v>
      </c>
      <c r="AT149" s="14">
        <f t="shared" si="224"/>
        <v>105105.82999999981</v>
      </c>
      <c r="AU149" s="285">
        <f t="shared" si="225"/>
        <v>913.78704387978769</v>
      </c>
      <c r="AV149" s="285">
        <f t="shared" si="226"/>
        <v>104852.60459579487</v>
      </c>
    </row>
    <row r="150" spans="1:48" x14ac:dyDescent="0.25">
      <c r="A150" s="502">
        <f t="shared" si="181"/>
        <v>48459</v>
      </c>
      <c r="B150" s="285">
        <f t="shared" si="218"/>
        <v>72681.239999999932</v>
      </c>
      <c r="C150" s="14">
        <f t="shared" si="211"/>
        <v>450.28</v>
      </c>
      <c r="D150" s="14">
        <f t="shared" si="227"/>
        <v>223.14999999999998</v>
      </c>
      <c r="E150" s="14">
        <f t="shared" si="212"/>
        <v>227.13</v>
      </c>
      <c r="F150" s="14">
        <f t="shared" si="170"/>
        <v>134.16999999999999</v>
      </c>
      <c r="G150" s="14">
        <f t="shared" si="167"/>
        <v>188.55</v>
      </c>
      <c r="H150" s="14">
        <f t="shared" si="168"/>
        <v>773</v>
      </c>
      <c r="I150" s="285">
        <f t="shared" si="182"/>
        <v>25073.749999999993</v>
      </c>
      <c r="J150" s="285">
        <f t="shared" si="183"/>
        <v>36468.17</v>
      </c>
      <c r="K150" s="285">
        <f t="shared" si="184"/>
        <v>72458.089999999938</v>
      </c>
      <c r="L150" s="425">
        <f t="shared" si="155"/>
        <v>7</v>
      </c>
      <c r="M150" s="425">
        <f t="shared" si="219"/>
        <v>91</v>
      </c>
      <c r="N150" s="285">
        <f t="shared" si="220"/>
        <v>232775.90000000002</v>
      </c>
      <c r="O150" s="285">
        <f t="shared" si="185"/>
        <v>1610.57</v>
      </c>
      <c r="P150" s="285">
        <f t="shared" si="228"/>
        <v>398.20000000000005</v>
      </c>
      <c r="Q150" s="285">
        <f t="shared" si="186"/>
        <v>1212.3699999999999</v>
      </c>
      <c r="R150" s="285">
        <f t="shared" si="173"/>
        <v>134.16999999999999</v>
      </c>
      <c r="S150" s="285">
        <f t="shared" si="174"/>
        <v>188.55</v>
      </c>
      <c r="T150" s="285">
        <f t="shared" si="171"/>
        <v>1933.29</v>
      </c>
      <c r="U150" s="285">
        <f t="shared" si="229"/>
        <v>29198.299999999996</v>
      </c>
      <c r="V150" s="285">
        <f t="shared" si="230"/>
        <v>118974.13999999997</v>
      </c>
      <c r="W150" s="285">
        <f t="shared" si="187"/>
        <v>232377.7</v>
      </c>
      <c r="X150" s="502">
        <f t="shared" si="221"/>
        <v>48459</v>
      </c>
      <c r="Y150" s="285">
        <f t="shared" si="188"/>
        <v>295772.39000000013</v>
      </c>
      <c r="Z150" s="494">
        <f t="shared" si="213"/>
        <v>6.25E-2</v>
      </c>
      <c r="AA150" s="285">
        <f t="shared" si="214"/>
        <v>1630.04</v>
      </c>
      <c r="AB150" s="285">
        <f t="shared" si="189"/>
        <v>89.559999999999945</v>
      </c>
      <c r="AC150" s="285">
        <f t="shared" si="215"/>
        <v>1540.48</v>
      </c>
      <c r="AD150" s="285">
        <f t="shared" ref="AD150:AE150" si="236">+AD149</f>
        <v>134.16999999999999</v>
      </c>
      <c r="AE150" s="285">
        <f t="shared" si="236"/>
        <v>188.55</v>
      </c>
      <c r="AF150" s="285">
        <f t="shared" si="191"/>
        <v>1952.76</v>
      </c>
      <c r="AG150" s="285">
        <f t="shared" si="192"/>
        <v>35510.569999999978</v>
      </c>
      <c r="AH150" s="285">
        <f t="shared" si="193"/>
        <v>108679.31000000001</v>
      </c>
      <c r="AI150" s="512">
        <f t="shared" si="176"/>
        <v>3982.5599999999986</v>
      </c>
      <c r="AJ150" s="512">
        <f t="shared" si="134"/>
        <v>-63305.130000000121</v>
      </c>
      <c r="AK150" s="512">
        <f t="shared" si="177"/>
        <v>-59322.570000000123</v>
      </c>
      <c r="AL150" s="285">
        <f t="shared" si="194"/>
        <v>295682.83000000013</v>
      </c>
      <c r="AM150" s="425">
        <f t="shared" si="223"/>
        <v>7</v>
      </c>
      <c r="AN150" s="14">
        <f t="shared" si="178"/>
        <v>1160.29</v>
      </c>
      <c r="AO150" s="14">
        <f t="shared" si="153"/>
        <v>229840.85000000003</v>
      </c>
      <c r="AP150" s="14">
        <f t="shared" si="179"/>
        <v>1179.76</v>
      </c>
      <c r="AS150" s="14">
        <f t="shared" si="217"/>
        <v>1160.29</v>
      </c>
      <c r="AT150" s="14">
        <f t="shared" si="224"/>
        <v>106266.11999999981</v>
      </c>
      <c r="AU150" s="285">
        <f t="shared" si="225"/>
        <v>916.07151148948708</v>
      </c>
      <c r="AV150" s="285">
        <f t="shared" si="226"/>
        <v>105768.67610728435</v>
      </c>
    </row>
    <row r="151" spans="1:48" x14ac:dyDescent="0.25">
      <c r="A151" s="502">
        <f t="shared" si="181"/>
        <v>48489</v>
      </c>
      <c r="B151" s="285">
        <f t="shared" si="218"/>
        <v>72458.089999999938</v>
      </c>
      <c r="C151" s="14">
        <f t="shared" si="211"/>
        <v>450.28</v>
      </c>
      <c r="D151" s="14">
        <f t="shared" si="227"/>
        <v>223.84999999999997</v>
      </c>
      <c r="E151" s="14">
        <f t="shared" si="212"/>
        <v>226.43</v>
      </c>
      <c r="F151" s="14">
        <f t="shared" si="170"/>
        <v>134.16999999999999</v>
      </c>
      <c r="G151" s="14">
        <f t="shared" si="167"/>
        <v>188.55</v>
      </c>
      <c r="H151" s="14">
        <f t="shared" si="168"/>
        <v>773</v>
      </c>
      <c r="I151" s="285">
        <f t="shared" si="182"/>
        <v>25297.599999999991</v>
      </c>
      <c r="J151" s="285">
        <f t="shared" si="183"/>
        <v>36694.6</v>
      </c>
      <c r="K151" s="285">
        <f t="shared" si="184"/>
        <v>72234.239999999932</v>
      </c>
      <c r="L151" s="425">
        <f t="shared" si="155"/>
        <v>7</v>
      </c>
      <c r="M151" s="425">
        <f t="shared" si="219"/>
        <v>92</v>
      </c>
      <c r="N151" s="285">
        <f t="shared" si="220"/>
        <v>232377.7</v>
      </c>
      <c r="O151" s="285">
        <f t="shared" si="185"/>
        <v>1610.57</v>
      </c>
      <c r="P151" s="285">
        <f t="shared" si="228"/>
        <v>400.27</v>
      </c>
      <c r="Q151" s="285">
        <f t="shared" si="186"/>
        <v>1210.3</v>
      </c>
      <c r="R151" s="285">
        <f t="shared" si="173"/>
        <v>134.16999999999999</v>
      </c>
      <c r="S151" s="285">
        <f t="shared" si="174"/>
        <v>188.55</v>
      </c>
      <c r="T151" s="285">
        <f t="shared" si="171"/>
        <v>1933.29</v>
      </c>
      <c r="U151" s="285">
        <f t="shared" si="229"/>
        <v>29598.569999999996</v>
      </c>
      <c r="V151" s="285">
        <f t="shared" si="230"/>
        <v>120184.43999999997</v>
      </c>
      <c r="W151" s="285">
        <f t="shared" si="187"/>
        <v>231977.43000000002</v>
      </c>
      <c r="X151" s="502">
        <f t="shared" si="221"/>
        <v>48489</v>
      </c>
      <c r="Y151" s="285">
        <f t="shared" si="188"/>
        <v>295682.83000000013</v>
      </c>
      <c r="Z151" s="494">
        <f t="shared" si="213"/>
        <v>6.25E-2</v>
      </c>
      <c r="AA151" s="285">
        <f t="shared" si="214"/>
        <v>1630.04</v>
      </c>
      <c r="AB151" s="285">
        <f t="shared" si="189"/>
        <v>90.029999999999973</v>
      </c>
      <c r="AC151" s="285">
        <f t="shared" si="215"/>
        <v>1540.01</v>
      </c>
      <c r="AD151" s="285">
        <f t="shared" ref="AD151:AE151" si="237">+AD150</f>
        <v>134.16999999999999</v>
      </c>
      <c r="AE151" s="285">
        <f t="shared" si="237"/>
        <v>188.55</v>
      </c>
      <c r="AF151" s="285">
        <f t="shared" si="191"/>
        <v>1952.76</v>
      </c>
      <c r="AG151" s="285">
        <f t="shared" si="192"/>
        <v>35600.599999999977</v>
      </c>
      <c r="AH151" s="285">
        <f t="shared" si="193"/>
        <v>110219.32</v>
      </c>
      <c r="AI151" s="512">
        <f t="shared" si="176"/>
        <v>3963.0899999999983</v>
      </c>
      <c r="AJ151" s="512">
        <f t="shared" si="134"/>
        <v>-63615.370000000083</v>
      </c>
      <c r="AK151" s="512">
        <f t="shared" si="177"/>
        <v>-59652.280000000086</v>
      </c>
      <c r="AL151" s="285">
        <f t="shared" si="194"/>
        <v>295592.8000000001</v>
      </c>
      <c r="AM151" s="425">
        <f t="shared" si="223"/>
        <v>7</v>
      </c>
      <c r="AN151" s="14">
        <f t="shared" si="178"/>
        <v>1160.29</v>
      </c>
      <c r="AO151" s="14">
        <f t="shared" si="153"/>
        <v>229664.43</v>
      </c>
      <c r="AP151" s="14">
        <f t="shared" si="179"/>
        <v>1179.76</v>
      </c>
      <c r="AS151" s="14">
        <f t="shared" si="217"/>
        <v>1160.29</v>
      </c>
      <c r="AT151" s="14">
        <f t="shared" si="224"/>
        <v>107426.4099999998</v>
      </c>
      <c r="AU151" s="285">
        <f t="shared" si="225"/>
        <v>918.36169026821096</v>
      </c>
      <c r="AV151" s="285">
        <f t="shared" si="226"/>
        <v>106687.03779755256</v>
      </c>
    </row>
    <row r="152" spans="1:48" x14ac:dyDescent="0.25">
      <c r="A152" s="502">
        <f t="shared" si="181"/>
        <v>48519</v>
      </c>
      <c r="B152" s="285">
        <f t="shared" si="218"/>
        <v>72234.239999999932</v>
      </c>
      <c r="C152" s="14">
        <f t="shared" si="211"/>
        <v>450.28</v>
      </c>
      <c r="D152" s="14">
        <f t="shared" si="227"/>
        <v>224.54999999999998</v>
      </c>
      <c r="E152" s="14">
        <f t="shared" si="212"/>
        <v>225.73</v>
      </c>
      <c r="F152" s="14">
        <f t="shared" si="170"/>
        <v>134.16999999999999</v>
      </c>
      <c r="G152" s="14">
        <f t="shared" si="167"/>
        <v>188.55</v>
      </c>
      <c r="H152" s="14">
        <f t="shared" si="168"/>
        <v>773</v>
      </c>
      <c r="I152" s="285">
        <f t="shared" si="182"/>
        <v>25522.149999999991</v>
      </c>
      <c r="J152" s="285">
        <f t="shared" si="183"/>
        <v>36920.33</v>
      </c>
      <c r="K152" s="285">
        <f t="shared" si="184"/>
        <v>72009.68999999993</v>
      </c>
      <c r="L152" s="425">
        <f t="shared" si="155"/>
        <v>7</v>
      </c>
      <c r="M152" s="425">
        <f t="shared" si="219"/>
        <v>93</v>
      </c>
      <c r="N152" s="285">
        <f t="shared" si="220"/>
        <v>231977.43000000002</v>
      </c>
      <c r="O152" s="285">
        <f t="shared" si="185"/>
        <v>1610.57</v>
      </c>
      <c r="P152" s="285">
        <f t="shared" si="228"/>
        <v>402.34999999999991</v>
      </c>
      <c r="Q152" s="285">
        <f t="shared" si="186"/>
        <v>1208.22</v>
      </c>
      <c r="R152" s="285">
        <f t="shared" si="173"/>
        <v>134.16999999999999</v>
      </c>
      <c r="S152" s="285">
        <f t="shared" si="174"/>
        <v>188.55</v>
      </c>
      <c r="T152" s="285">
        <f t="shared" si="171"/>
        <v>1933.29</v>
      </c>
      <c r="U152" s="285">
        <f t="shared" si="229"/>
        <v>30000.919999999995</v>
      </c>
      <c r="V152" s="285">
        <f t="shared" si="230"/>
        <v>121392.65999999997</v>
      </c>
      <c r="W152" s="285">
        <f t="shared" si="187"/>
        <v>231575.08000000002</v>
      </c>
      <c r="X152" s="502">
        <f t="shared" si="221"/>
        <v>48519</v>
      </c>
      <c r="Y152" s="285">
        <f t="shared" si="188"/>
        <v>295592.8000000001</v>
      </c>
      <c r="Z152" s="494">
        <f t="shared" si="213"/>
        <v>6.25E-2</v>
      </c>
      <c r="AA152" s="285">
        <f t="shared" si="214"/>
        <v>1630.04</v>
      </c>
      <c r="AB152" s="285">
        <f t="shared" si="189"/>
        <v>90.490000000000009</v>
      </c>
      <c r="AC152" s="285">
        <f t="shared" si="215"/>
        <v>1539.55</v>
      </c>
      <c r="AD152" s="285">
        <f t="shared" ref="AD152:AE152" si="238">+AD151</f>
        <v>134.16999999999999</v>
      </c>
      <c r="AE152" s="285">
        <f t="shared" si="238"/>
        <v>188.55</v>
      </c>
      <c r="AF152" s="285">
        <f t="shared" si="191"/>
        <v>1952.76</v>
      </c>
      <c r="AG152" s="285">
        <f t="shared" si="192"/>
        <v>35691.089999999975</v>
      </c>
      <c r="AH152" s="285">
        <f t="shared" si="193"/>
        <v>111758.87000000001</v>
      </c>
      <c r="AI152" s="512">
        <f t="shared" si="176"/>
        <v>3943.6199999999981</v>
      </c>
      <c r="AJ152" s="512">
        <f t="shared" si="134"/>
        <v>-63927.230000000098</v>
      </c>
      <c r="AK152" s="512">
        <f t="shared" si="177"/>
        <v>-59983.610000000102</v>
      </c>
      <c r="AL152" s="285">
        <f t="shared" si="194"/>
        <v>295502.31000000011</v>
      </c>
      <c r="AM152" s="425">
        <f t="shared" si="223"/>
        <v>7</v>
      </c>
      <c r="AN152" s="14">
        <f t="shared" si="178"/>
        <v>1160.29</v>
      </c>
      <c r="AO152" s="14">
        <f t="shared" si="153"/>
        <v>229486.63000000003</v>
      </c>
      <c r="AP152" s="14">
        <f t="shared" si="179"/>
        <v>1179.76</v>
      </c>
      <c r="AS152" s="14">
        <f t="shared" si="217"/>
        <v>1160.29</v>
      </c>
      <c r="AT152" s="14">
        <f t="shared" si="224"/>
        <v>108586.69999999979</v>
      </c>
      <c r="AU152" s="285">
        <f t="shared" si="225"/>
        <v>920.65759449388133</v>
      </c>
      <c r="AV152" s="285">
        <f t="shared" si="226"/>
        <v>107607.69539204644</v>
      </c>
    </row>
    <row r="153" spans="1:48" x14ac:dyDescent="0.25">
      <c r="A153" s="502">
        <f t="shared" si="181"/>
        <v>48549</v>
      </c>
      <c r="B153" s="285">
        <f t="shared" si="218"/>
        <v>72009.68999999993</v>
      </c>
      <c r="C153" s="14">
        <f t="shared" si="211"/>
        <v>450.28</v>
      </c>
      <c r="D153" s="14">
        <f t="shared" si="227"/>
        <v>225.24999999999997</v>
      </c>
      <c r="E153" s="14">
        <f t="shared" si="212"/>
        <v>225.03</v>
      </c>
      <c r="F153" s="14">
        <f t="shared" si="170"/>
        <v>134.16999999999999</v>
      </c>
      <c r="G153" s="14">
        <f t="shared" si="167"/>
        <v>188.55</v>
      </c>
      <c r="H153" s="14">
        <f t="shared" si="168"/>
        <v>773</v>
      </c>
      <c r="I153" s="285">
        <f t="shared" si="182"/>
        <v>25747.399999999991</v>
      </c>
      <c r="J153" s="285">
        <f t="shared" si="183"/>
        <v>37145.360000000001</v>
      </c>
      <c r="K153" s="285">
        <f t="shared" si="184"/>
        <v>71784.43999999993</v>
      </c>
      <c r="L153" s="425">
        <f t="shared" si="155"/>
        <v>7</v>
      </c>
      <c r="M153" s="425">
        <f t="shared" si="219"/>
        <v>94</v>
      </c>
      <c r="N153" s="285">
        <f t="shared" si="220"/>
        <v>231575.08000000002</v>
      </c>
      <c r="O153" s="285">
        <f t="shared" si="185"/>
        <v>1610.57</v>
      </c>
      <c r="P153" s="285">
        <f t="shared" si="228"/>
        <v>404.45000000000005</v>
      </c>
      <c r="Q153" s="285">
        <f t="shared" si="186"/>
        <v>1206.1199999999999</v>
      </c>
      <c r="R153" s="285">
        <f t="shared" si="173"/>
        <v>134.16999999999999</v>
      </c>
      <c r="S153" s="285">
        <f t="shared" si="174"/>
        <v>188.55</v>
      </c>
      <c r="T153" s="285">
        <f t="shared" si="171"/>
        <v>1933.29</v>
      </c>
      <c r="U153" s="285">
        <f t="shared" si="229"/>
        <v>30405.369999999995</v>
      </c>
      <c r="V153" s="285">
        <f t="shared" si="230"/>
        <v>122598.77999999997</v>
      </c>
      <c r="W153" s="285">
        <f t="shared" si="187"/>
        <v>231170.63</v>
      </c>
      <c r="X153" s="502">
        <f t="shared" si="221"/>
        <v>48549</v>
      </c>
      <c r="Y153" s="285">
        <f t="shared" si="188"/>
        <v>295502.31000000011</v>
      </c>
      <c r="Z153" s="494">
        <f t="shared" si="213"/>
        <v>6.25E-2</v>
      </c>
      <c r="AA153" s="285">
        <f t="shared" si="214"/>
        <v>1630.04</v>
      </c>
      <c r="AB153" s="285">
        <f t="shared" si="189"/>
        <v>90.970000000000027</v>
      </c>
      <c r="AC153" s="285">
        <f t="shared" si="215"/>
        <v>1539.07</v>
      </c>
      <c r="AD153" s="285">
        <f t="shared" ref="AD153:AE153" si="239">+AD152</f>
        <v>134.16999999999999</v>
      </c>
      <c r="AE153" s="285">
        <f t="shared" si="239"/>
        <v>188.55</v>
      </c>
      <c r="AF153" s="285">
        <f t="shared" si="191"/>
        <v>1952.76</v>
      </c>
      <c r="AG153" s="285">
        <f t="shared" si="192"/>
        <v>35782.059999999976</v>
      </c>
      <c r="AH153" s="285">
        <f t="shared" si="193"/>
        <v>113297.94000000002</v>
      </c>
      <c r="AI153" s="512">
        <f t="shared" si="176"/>
        <v>3924.1499999999978</v>
      </c>
      <c r="AJ153" s="512">
        <f t="shared" si="134"/>
        <v>-64240.710000000137</v>
      </c>
      <c r="AK153" s="512">
        <f t="shared" si="177"/>
        <v>-60316.560000000143</v>
      </c>
      <c r="AL153" s="285">
        <f t="shared" si="194"/>
        <v>295411.34000000014</v>
      </c>
      <c r="AM153" s="425">
        <f t="shared" si="223"/>
        <v>7</v>
      </c>
      <c r="AN153" s="14">
        <f t="shared" si="178"/>
        <v>1160.29</v>
      </c>
      <c r="AO153" s="14">
        <f t="shared" si="153"/>
        <v>229307.43000000002</v>
      </c>
      <c r="AP153" s="14">
        <f t="shared" si="179"/>
        <v>1179.76</v>
      </c>
      <c r="AS153" s="14">
        <f t="shared" si="217"/>
        <v>1160.29</v>
      </c>
      <c r="AT153" s="14">
        <f t="shared" si="224"/>
        <v>109746.98999999979</v>
      </c>
      <c r="AU153" s="285">
        <f t="shared" si="225"/>
        <v>922.95923848011614</v>
      </c>
      <c r="AV153" s="285">
        <f t="shared" si="226"/>
        <v>108530.65463052657</v>
      </c>
    </row>
    <row r="154" spans="1:48" x14ac:dyDescent="0.25">
      <c r="A154" s="502">
        <f t="shared" si="181"/>
        <v>48579</v>
      </c>
      <c r="B154" s="285">
        <f t="shared" si="218"/>
        <v>71784.43999999993</v>
      </c>
      <c r="C154" s="14">
        <f t="shared" si="211"/>
        <v>450.28</v>
      </c>
      <c r="D154" s="14">
        <f t="shared" si="227"/>
        <v>225.94999999999996</v>
      </c>
      <c r="E154" s="14">
        <f t="shared" si="212"/>
        <v>224.33</v>
      </c>
      <c r="F154" s="14">
        <f t="shared" si="170"/>
        <v>134.16999999999999</v>
      </c>
      <c r="G154" s="14">
        <f t="shared" si="167"/>
        <v>188.55</v>
      </c>
      <c r="H154" s="14">
        <f t="shared" si="168"/>
        <v>773</v>
      </c>
      <c r="I154" s="285">
        <f t="shared" si="182"/>
        <v>25973.349999999991</v>
      </c>
      <c r="J154" s="285">
        <f t="shared" si="183"/>
        <v>37369.69</v>
      </c>
      <c r="K154" s="285">
        <f t="shared" si="184"/>
        <v>71558.489999999932</v>
      </c>
      <c r="L154" s="425">
        <f t="shared" si="155"/>
        <v>7</v>
      </c>
      <c r="M154" s="425">
        <f t="shared" si="219"/>
        <v>95</v>
      </c>
      <c r="N154" s="285">
        <f t="shared" si="220"/>
        <v>231170.63</v>
      </c>
      <c r="O154" s="285">
        <f t="shared" si="185"/>
        <v>1610.57</v>
      </c>
      <c r="P154" s="285">
        <f t="shared" si="228"/>
        <v>406.55999999999995</v>
      </c>
      <c r="Q154" s="285">
        <f t="shared" si="186"/>
        <v>1204.01</v>
      </c>
      <c r="R154" s="285">
        <f t="shared" si="173"/>
        <v>134.16999999999999</v>
      </c>
      <c r="S154" s="285">
        <f t="shared" si="174"/>
        <v>188.55</v>
      </c>
      <c r="T154" s="285">
        <f t="shared" si="171"/>
        <v>1933.29</v>
      </c>
      <c r="U154" s="285">
        <f t="shared" si="229"/>
        <v>30811.929999999997</v>
      </c>
      <c r="V154" s="285">
        <f t="shared" si="230"/>
        <v>123802.78999999996</v>
      </c>
      <c r="W154" s="285">
        <f t="shared" si="187"/>
        <v>230764.07</v>
      </c>
      <c r="X154" s="502">
        <f t="shared" si="221"/>
        <v>48579</v>
      </c>
      <c r="Y154" s="285">
        <f t="shared" si="188"/>
        <v>295411.34000000014</v>
      </c>
      <c r="Z154" s="494">
        <f t="shared" si="213"/>
        <v>6.25E-2</v>
      </c>
      <c r="AA154" s="285">
        <f t="shared" si="214"/>
        <v>1630.04</v>
      </c>
      <c r="AB154" s="285">
        <f t="shared" si="189"/>
        <v>91.440000000000055</v>
      </c>
      <c r="AC154" s="285">
        <f t="shared" si="215"/>
        <v>1538.6</v>
      </c>
      <c r="AD154" s="285">
        <f t="shared" ref="AD154:AE154" si="240">+AD153</f>
        <v>134.16999999999999</v>
      </c>
      <c r="AE154" s="285">
        <f t="shared" si="240"/>
        <v>188.55</v>
      </c>
      <c r="AF154" s="285">
        <f t="shared" si="191"/>
        <v>1952.76</v>
      </c>
      <c r="AG154" s="285">
        <f t="shared" si="192"/>
        <v>35873.499999999978</v>
      </c>
      <c r="AH154" s="285">
        <f t="shared" si="193"/>
        <v>114836.54000000002</v>
      </c>
      <c r="AI154" s="512">
        <f t="shared" si="176"/>
        <v>3904.6799999999976</v>
      </c>
      <c r="AJ154" s="512">
        <f t="shared" si="134"/>
        <v>-64555.830000000133</v>
      </c>
      <c r="AK154" s="512">
        <f t="shared" si="177"/>
        <v>-60651.150000000132</v>
      </c>
      <c r="AL154" s="285">
        <f t="shared" si="194"/>
        <v>295319.90000000014</v>
      </c>
      <c r="AM154" s="425">
        <f t="shared" si="223"/>
        <v>7</v>
      </c>
      <c r="AN154" s="14">
        <f t="shared" si="178"/>
        <v>1160.29</v>
      </c>
      <c r="AO154" s="14">
        <f t="shared" si="153"/>
        <v>229126.82</v>
      </c>
      <c r="AP154" s="14">
        <f t="shared" si="179"/>
        <v>1179.76</v>
      </c>
      <c r="AS154" s="14">
        <f t="shared" si="217"/>
        <v>1160.29</v>
      </c>
      <c r="AT154" s="14">
        <f t="shared" si="224"/>
        <v>110907.27999999978</v>
      </c>
      <c r="AU154" s="285">
        <f t="shared" si="225"/>
        <v>925.26663657631627</v>
      </c>
      <c r="AV154" s="285">
        <f t="shared" si="226"/>
        <v>109455.92126710288</v>
      </c>
    </row>
    <row r="155" spans="1:48" x14ac:dyDescent="0.25">
      <c r="A155" s="502">
        <f t="shared" si="181"/>
        <v>48609</v>
      </c>
      <c r="B155" s="285">
        <f t="shared" si="218"/>
        <v>71558.489999999932</v>
      </c>
      <c r="C155" s="14">
        <f t="shared" si="211"/>
        <v>450.28</v>
      </c>
      <c r="D155" s="14">
        <f t="shared" si="227"/>
        <v>226.65999999999997</v>
      </c>
      <c r="E155" s="14">
        <f t="shared" si="212"/>
        <v>223.62</v>
      </c>
      <c r="F155" s="14">
        <f t="shared" si="170"/>
        <v>134.16999999999999</v>
      </c>
      <c r="G155" s="14">
        <f t="shared" si="167"/>
        <v>188.55</v>
      </c>
      <c r="H155" s="14">
        <f t="shared" si="168"/>
        <v>773</v>
      </c>
      <c r="I155" s="285">
        <f t="shared" si="182"/>
        <v>26200.009999999991</v>
      </c>
      <c r="J155" s="285">
        <f t="shared" si="183"/>
        <v>37593.310000000005</v>
      </c>
      <c r="K155" s="285">
        <f t="shared" si="184"/>
        <v>71331.829999999929</v>
      </c>
      <c r="L155" s="425">
        <f t="shared" si="155"/>
        <v>8</v>
      </c>
      <c r="M155" s="425">
        <f t="shared" si="219"/>
        <v>96</v>
      </c>
      <c r="N155" s="285">
        <f t="shared" si="220"/>
        <v>230764.07</v>
      </c>
      <c r="O155" s="285">
        <f t="shared" si="185"/>
        <v>1610.57</v>
      </c>
      <c r="P155" s="285">
        <f t="shared" si="228"/>
        <v>408.66999999999985</v>
      </c>
      <c r="Q155" s="285">
        <f t="shared" si="186"/>
        <v>1201.9000000000001</v>
      </c>
      <c r="R155" s="285">
        <f t="shared" si="173"/>
        <v>134.16999999999999</v>
      </c>
      <c r="S155" s="285">
        <f t="shared" si="174"/>
        <v>188.55</v>
      </c>
      <c r="T155" s="285">
        <f t="shared" si="171"/>
        <v>1933.29</v>
      </c>
      <c r="U155" s="285">
        <f t="shared" si="229"/>
        <v>31220.599999999995</v>
      </c>
      <c r="V155" s="285">
        <f t="shared" si="230"/>
        <v>125004.68999999996</v>
      </c>
      <c r="W155" s="285">
        <f t="shared" si="187"/>
        <v>230355.4</v>
      </c>
      <c r="X155" s="502">
        <f t="shared" si="221"/>
        <v>48609</v>
      </c>
      <c r="Y155" s="285">
        <f t="shared" si="188"/>
        <v>295319.90000000014</v>
      </c>
      <c r="Z155" s="494">
        <f t="shared" si="213"/>
        <v>6.25E-2</v>
      </c>
      <c r="AA155" s="285">
        <f t="shared" si="214"/>
        <v>1630.04</v>
      </c>
      <c r="AB155" s="285">
        <f t="shared" si="189"/>
        <v>91.920000000000073</v>
      </c>
      <c r="AC155" s="285">
        <f t="shared" si="215"/>
        <v>1538.12</v>
      </c>
      <c r="AD155" s="285">
        <f t="shared" ref="AD155:AE155" si="241">+AD154</f>
        <v>134.16999999999999</v>
      </c>
      <c r="AE155" s="285">
        <f t="shared" si="241"/>
        <v>188.55</v>
      </c>
      <c r="AF155" s="285">
        <f t="shared" si="191"/>
        <v>1952.76</v>
      </c>
      <c r="AG155" s="285">
        <f t="shared" si="192"/>
        <v>35965.419999999976</v>
      </c>
      <c r="AH155" s="285">
        <f t="shared" si="193"/>
        <v>116374.66000000002</v>
      </c>
      <c r="AI155" s="512">
        <f t="shared" si="176"/>
        <v>3885.2099999999973</v>
      </c>
      <c r="AJ155" s="512">
        <f t="shared" ref="AJ155:AJ218" si="242">+W155-AL155</f>
        <v>-64872.580000000162</v>
      </c>
      <c r="AK155" s="512">
        <f t="shared" si="177"/>
        <v>-60987.370000000163</v>
      </c>
      <c r="AL155" s="285">
        <f t="shared" si="194"/>
        <v>295227.98000000016</v>
      </c>
      <c r="AM155" s="425">
        <f t="shared" si="223"/>
        <v>8</v>
      </c>
      <c r="AN155" s="14">
        <f t="shared" si="178"/>
        <v>1160.29</v>
      </c>
      <c r="AO155" s="14">
        <f t="shared" si="153"/>
        <v>228944.81</v>
      </c>
      <c r="AP155" s="14">
        <f t="shared" si="179"/>
        <v>1179.76</v>
      </c>
      <c r="AS155" s="14">
        <f t="shared" si="217"/>
        <v>1160.29</v>
      </c>
      <c r="AT155" s="14">
        <f t="shared" si="224"/>
        <v>112067.56999999977</v>
      </c>
      <c r="AU155" s="285">
        <f t="shared" si="225"/>
        <v>927.57980316775718</v>
      </c>
      <c r="AV155" s="285">
        <f t="shared" si="226"/>
        <v>110383.50107027063</v>
      </c>
    </row>
    <row r="156" spans="1:48" x14ac:dyDescent="0.25">
      <c r="A156" s="502">
        <f t="shared" si="181"/>
        <v>48639</v>
      </c>
      <c r="B156" s="285">
        <f t="shared" si="218"/>
        <v>71331.829999999929</v>
      </c>
      <c r="C156" s="14">
        <f t="shared" si="211"/>
        <v>450.28</v>
      </c>
      <c r="D156" s="14">
        <f t="shared" si="227"/>
        <v>227.36999999999998</v>
      </c>
      <c r="E156" s="14">
        <f t="shared" si="212"/>
        <v>222.91</v>
      </c>
      <c r="F156" s="14">
        <f t="shared" si="170"/>
        <v>134.16999999999999</v>
      </c>
      <c r="G156" s="14">
        <f t="shared" si="167"/>
        <v>188.55</v>
      </c>
      <c r="H156" s="14">
        <f t="shared" si="168"/>
        <v>773</v>
      </c>
      <c r="I156" s="285">
        <f t="shared" si="182"/>
        <v>26427.37999999999</v>
      </c>
      <c r="J156" s="285">
        <f t="shared" si="183"/>
        <v>37816.220000000008</v>
      </c>
      <c r="K156" s="285">
        <f t="shared" si="184"/>
        <v>71104.459999999934</v>
      </c>
      <c r="L156" s="425">
        <f t="shared" si="155"/>
        <v>8</v>
      </c>
      <c r="M156" s="425">
        <f t="shared" si="219"/>
        <v>97</v>
      </c>
      <c r="N156" s="285">
        <f t="shared" si="220"/>
        <v>230355.4</v>
      </c>
      <c r="O156" s="285">
        <f t="shared" si="185"/>
        <v>1610.57</v>
      </c>
      <c r="P156" s="285">
        <f t="shared" si="228"/>
        <v>410.79999999999995</v>
      </c>
      <c r="Q156" s="285">
        <f t="shared" si="186"/>
        <v>1199.77</v>
      </c>
      <c r="R156" s="285">
        <f t="shared" si="173"/>
        <v>134.16999999999999</v>
      </c>
      <c r="S156" s="285">
        <f t="shared" si="174"/>
        <v>188.55</v>
      </c>
      <c r="T156" s="285">
        <f t="shared" si="171"/>
        <v>1933.29</v>
      </c>
      <c r="U156" s="285">
        <f t="shared" si="229"/>
        <v>31631.399999999994</v>
      </c>
      <c r="V156" s="285">
        <f t="shared" si="230"/>
        <v>126204.45999999996</v>
      </c>
      <c r="W156" s="285">
        <f t="shared" si="187"/>
        <v>229944.6</v>
      </c>
      <c r="X156" s="502">
        <f t="shared" si="221"/>
        <v>48639</v>
      </c>
      <c r="Y156" s="285">
        <f t="shared" si="188"/>
        <v>295227.98000000016</v>
      </c>
      <c r="Z156" s="494">
        <f t="shared" si="213"/>
        <v>6.25E-2</v>
      </c>
      <c r="AA156" s="285">
        <f t="shared" si="214"/>
        <v>1630.04</v>
      </c>
      <c r="AB156" s="285">
        <f t="shared" si="189"/>
        <v>92.389999999999873</v>
      </c>
      <c r="AC156" s="285">
        <f t="shared" si="215"/>
        <v>1537.65</v>
      </c>
      <c r="AD156" s="285">
        <f t="shared" ref="AD156:AE156" si="243">+AD155</f>
        <v>134.16999999999999</v>
      </c>
      <c r="AE156" s="285">
        <f t="shared" si="243"/>
        <v>188.55</v>
      </c>
      <c r="AF156" s="285">
        <f t="shared" si="191"/>
        <v>1952.76</v>
      </c>
      <c r="AG156" s="285">
        <f t="shared" si="192"/>
        <v>36057.809999999976</v>
      </c>
      <c r="AH156" s="285">
        <f t="shared" si="193"/>
        <v>117912.31000000001</v>
      </c>
      <c r="AI156" s="512">
        <f t="shared" si="176"/>
        <v>3865.7399999999971</v>
      </c>
      <c r="AJ156" s="512">
        <f t="shared" si="242"/>
        <v>-65190.990000000136</v>
      </c>
      <c r="AK156" s="512">
        <f t="shared" si="177"/>
        <v>-61325.250000000138</v>
      </c>
      <c r="AL156" s="285">
        <f t="shared" si="194"/>
        <v>295135.59000000014</v>
      </c>
      <c r="AM156" s="425">
        <f t="shared" si="223"/>
        <v>8</v>
      </c>
      <c r="AN156" s="14">
        <f t="shared" si="178"/>
        <v>1160.29</v>
      </c>
      <c r="AO156" s="14">
        <f t="shared" si="153"/>
        <v>228761.38000000003</v>
      </c>
      <c r="AP156" s="14">
        <f t="shared" si="179"/>
        <v>1179.76</v>
      </c>
      <c r="AS156" s="14">
        <f t="shared" si="217"/>
        <v>1160.29</v>
      </c>
      <c r="AT156" s="14">
        <f t="shared" si="224"/>
        <v>113227.85999999977</v>
      </c>
      <c r="AU156" s="285">
        <f t="shared" si="225"/>
        <v>929.89875267567652</v>
      </c>
      <c r="AV156" s="285">
        <f t="shared" si="226"/>
        <v>111313.39982294632</v>
      </c>
    </row>
    <row r="157" spans="1:48" x14ac:dyDescent="0.25">
      <c r="A157" s="502">
        <f t="shared" si="181"/>
        <v>48669</v>
      </c>
      <c r="B157" s="285">
        <f t="shared" si="218"/>
        <v>71104.459999999934</v>
      </c>
      <c r="C157" s="14">
        <f t="shared" si="211"/>
        <v>450.28</v>
      </c>
      <c r="D157" s="14">
        <f t="shared" si="227"/>
        <v>228.07999999999998</v>
      </c>
      <c r="E157" s="14">
        <f t="shared" si="212"/>
        <v>222.2</v>
      </c>
      <c r="F157" s="14">
        <f t="shared" si="170"/>
        <v>134.16999999999999</v>
      </c>
      <c r="G157" s="14">
        <f t="shared" si="167"/>
        <v>188.55</v>
      </c>
      <c r="H157" s="14">
        <f t="shared" si="168"/>
        <v>773</v>
      </c>
      <c r="I157" s="285">
        <f t="shared" si="182"/>
        <v>26655.459999999992</v>
      </c>
      <c r="J157" s="285">
        <f t="shared" si="183"/>
        <v>38038.420000000006</v>
      </c>
      <c r="K157" s="285">
        <f t="shared" si="184"/>
        <v>70876.379999999932</v>
      </c>
      <c r="L157" s="425">
        <f t="shared" si="155"/>
        <v>8</v>
      </c>
      <c r="M157" s="425">
        <f t="shared" si="219"/>
        <v>98</v>
      </c>
      <c r="N157" s="285">
        <f t="shared" si="220"/>
        <v>229944.6</v>
      </c>
      <c r="O157" s="285">
        <f t="shared" si="185"/>
        <v>1610.57</v>
      </c>
      <c r="P157" s="285">
        <f t="shared" si="228"/>
        <v>412.93999999999983</v>
      </c>
      <c r="Q157" s="285">
        <f t="shared" si="186"/>
        <v>1197.6300000000001</v>
      </c>
      <c r="R157" s="285">
        <f t="shared" si="173"/>
        <v>134.16999999999999</v>
      </c>
      <c r="S157" s="285">
        <f t="shared" si="174"/>
        <v>188.55</v>
      </c>
      <c r="T157" s="285">
        <f t="shared" si="171"/>
        <v>1933.29</v>
      </c>
      <c r="U157" s="285">
        <f t="shared" si="229"/>
        <v>32044.339999999993</v>
      </c>
      <c r="V157" s="285">
        <f t="shared" si="230"/>
        <v>127402.08999999997</v>
      </c>
      <c r="W157" s="285">
        <f t="shared" si="187"/>
        <v>229531.66</v>
      </c>
      <c r="X157" s="502">
        <f t="shared" si="221"/>
        <v>48669</v>
      </c>
      <c r="Y157" s="285">
        <f t="shared" si="188"/>
        <v>295135.59000000014</v>
      </c>
      <c r="Z157" s="494">
        <f t="shared" si="213"/>
        <v>6.25E-2</v>
      </c>
      <c r="AA157" s="285">
        <f t="shared" si="214"/>
        <v>1630.04</v>
      </c>
      <c r="AB157" s="285">
        <f t="shared" si="189"/>
        <v>92.879999999999882</v>
      </c>
      <c r="AC157" s="285">
        <f t="shared" si="215"/>
        <v>1537.16</v>
      </c>
      <c r="AD157" s="285">
        <f t="shared" ref="AD157:AE157" si="244">+AD156</f>
        <v>134.16999999999999</v>
      </c>
      <c r="AE157" s="285">
        <f t="shared" si="244"/>
        <v>188.55</v>
      </c>
      <c r="AF157" s="285">
        <f t="shared" si="191"/>
        <v>1952.76</v>
      </c>
      <c r="AG157" s="285">
        <f t="shared" si="192"/>
        <v>36150.689999999973</v>
      </c>
      <c r="AH157" s="285">
        <f t="shared" si="193"/>
        <v>119449.47000000002</v>
      </c>
      <c r="AI157" s="512">
        <f t="shared" si="176"/>
        <v>3846.2699999999968</v>
      </c>
      <c r="AJ157" s="512">
        <f t="shared" si="242"/>
        <v>-65511.050000000134</v>
      </c>
      <c r="AK157" s="512">
        <f t="shared" si="177"/>
        <v>-61664.780000000137</v>
      </c>
      <c r="AL157" s="285">
        <f t="shared" si="194"/>
        <v>295042.71000000014</v>
      </c>
      <c r="AM157" s="425">
        <f t="shared" si="223"/>
        <v>8</v>
      </c>
      <c r="AN157" s="14">
        <f t="shared" si="178"/>
        <v>1160.29</v>
      </c>
      <c r="AO157" s="14">
        <f t="shared" si="153"/>
        <v>228576.52000000002</v>
      </c>
      <c r="AP157" s="14">
        <f t="shared" si="179"/>
        <v>1179.76</v>
      </c>
      <c r="AS157" s="14">
        <f t="shared" si="217"/>
        <v>1160.29</v>
      </c>
      <c r="AT157" s="14">
        <f t="shared" si="224"/>
        <v>114388.14999999976</v>
      </c>
      <c r="AU157" s="285">
        <f t="shared" si="225"/>
        <v>932.2234995573657</v>
      </c>
      <c r="AV157" s="285">
        <f t="shared" si="226"/>
        <v>112245.62332250368</v>
      </c>
    </row>
    <row r="158" spans="1:48" ht="15.75" thickBot="1" x14ac:dyDescent="0.3">
      <c r="A158" s="505">
        <f t="shared" si="181"/>
        <v>48699</v>
      </c>
      <c r="B158" s="345">
        <f t="shared" si="218"/>
        <v>70876.379999999932</v>
      </c>
      <c r="C158" s="21">
        <f t="shared" si="211"/>
        <v>450.28</v>
      </c>
      <c r="D158" s="21">
        <f t="shared" si="227"/>
        <v>228.78999999999996</v>
      </c>
      <c r="E158" s="21">
        <f t="shared" si="212"/>
        <v>221.49</v>
      </c>
      <c r="F158" s="21">
        <f t="shared" si="170"/>
        <v>134.16999999999999</v>
      </c>
      <c r="G158" s="21">
        <f t="shared" si="167"/>
        <v>188.55</v>
      </c>
      <c r="H158" s="21">
        <f t="shared" si="168"/>
        <v>773</v>
      </c>
      <c r="I158" s="345">
        <f t="shared" si="182"/>
        <v>26884.249999999993</v>
      </c>
      <c r="J158" s="345">
        <f t="shared" si="183"/>
        <v>38259.910000000003</v>
      </c>
      <c r="K158" s="345">
        <f t="shared" si="184"/>
        <v>70647.589999999938</v>
      </c>
      <c r="L158" s="426">
        <f t="shared" si="155"/>
        <v>8</v>
      </c>
      <c r="M158" s="426">
        <f t="shared" si="219"/>
        <v>99</v>
      </c>
      <c r="N158" s="345">
        <f t="shared" si="220"/>
        <v>229531.66</v>
      </c>
      <c r="O158" s="345">
        <f t="shared" si="185"/>
        <v>1610.57</v>
      </c>
      <c r="P158" s="345">
        <f t="shared" si="228"/>
        <v>415.08999999999992</v>
      </c>
      <c r="Q158" s="345">
        <f t="shared" si="186"/>
        <v>1195.48</v>
      </c>
      <c r="R158" s="345">
        <f t="shared" si="173"/>
        <v>134.16999999999999</v>
      </c>
      <c r="S158" s="345">
        <f t="shared" si="174"/>
        <v>188.55</v>
      </c>
      <c r="T158" s="345">
        <f t="shared" si="171"/>
        <v>1933.29</v>
      </c>
      <c r="U158" s="345">
        <f t="shared" si="229"/>
        <v>32459.429999999993</v>
      </c>
      <c r="V158" s="345">
        <f t="shared" si="230"/>
        <v>128597.56999999996</v>
      </c>
      <c r="W158" s="345">
        <f t="shared" si="187"/>
        <v>229116.57</v>
      </c>
      <c r="X158" s="505">
        <f t="shared" si="221"/>
        <v>48699</v>
      </c>
      <c r="Y158" s="345">
        <f t="shared" si="188"/>
        <v>295042.71000000014</v>
      </c>
      <c r="Z158" s="495">
        <f t="shared" si="213"/>
        <v>6.25E-2</v>
      </c>
      <c r="AA158" s="345">
        <f t="shared" si="214"/>
        <v>1630.04</v>
      </c>
      <c r="AB158" s="345">
        <f t="shared" si="189"/>
        <v>93.3599999999999</v>
      </c>
      <c r="AC158" s="345">
        <f t="shared" si="215"/>
        <v>1536.68</v>
      </c>
      <c r="AD158" s="345">
        <f t="shared" ref="AD158:AE158" si="245">+AD157</f>
        <v>134.16999999999999</v>
      </c>
      <c r="AE158" s="345">
        <f t="shared" si="245"/>
        <v>188.55</v>
      </c>
      <c r="AF158" s="345">
        <f t="shared" si="191"/>
        <v>1952.76</v>
      </c>
      <c r="AG158" s="345">
        <f t="shared" si="192"/>
        <v>36244.049999999974</v>
      </c>
      <c r="AH158" s="345">
        <f t="shared" si="193"/>
        <v>120986.15000000001</v>
      </c>
      <c r="AI158" s="513">
        <f t="shared" si="176"/>
        <v>3826.7999999999965</v>
      </c>
      <c r="AJ158" s="513">
        <f t="shared" si="242"/>
        <v>-65832.780000000144</v>
      </c>
      <c r="AK158" s="513">
        <f t="shared" si="177"/>
        <v>-62005.980000000149</v>
      </c>
      <c r="AL158" s="345">
        <f t="shared" si="194"/>
        <v>294949.35000000015</v>
      </c>
      <c r="AM158" s="426">
        <f t="shared" si="223"/>
        <v>8</v>
      </c>
      <c r="AN158" s="21">
        <f t="shared" si="178"/>
        <v>1160.29</v>
      </c>
      <c r="AO158" s="21">
        <f t="shared" si="153"/>
        <v>228390.22000000003</v>
      </c>
      <c r="AP158" s="21">
        <f t="shared" si="179"/>
        <v>1179.76</v>
      </c>
      <c r="AQ158" s="21"/>
      <c r="AR158" s="23"/>
      <c r="AS158" s="21">
        <f t="shared" si="217"/>
        <v>1160.29</v>
      </c>
      <c r="AT158" s="21">
        <f t="shared" si="224"/>
        <v>115548.43999999975</v>
      </c>
      <c r="AU158" s="345">
        <f t="shared" si="225"/>
        <v>934.55405830625921</v>
      </c>
      <c r="AV158" s="345">
        <f t="shared" si="226"/>
        <v>113180.17738080994</v>
      </c>
    </row>
    <row r="159" spans="1:48" x14ac:dyDescent="0.25">
      <c r="A159" s="502">
        <f t="shared" si="181"/>
        <v>48729</v>
      </c>
      <c r="B159" s="285">
        <f t="shared" si="218"/>
        <v>70647.589999999938</v>
      </c>
      <c r="C159" s="14">
        <f t="shared" si="211"/>
        <v>450.28</v>
      </c>
      <c r="D159" s="14">
        <f t="shared" si="227"/>
        <v>229.50999999999996</v>
      </c>
      <c r="E159" s="14">
        <f t="shared" si="212"/>
        <v>220.77</v>
      </c>
      <c r="F159" s="14">
        <f t="shared" si="170"/>
        <v>134.16999999999999</v>
      </c>
      <c r="G159" s="14">
        <f t="shared" si="167"/>
        <v>188.55</v>
      </c>
      <c r="H159" s="14">
        <f t="shared" si="168"/>
        <v>773</v>
      </c>
      <c r="I159" s="285">
        <f t="shared" si="182"/>
        <v>27113.759999999991</v>
      </c>
      <c r="J159" s="285">
        <f t="shared" si="183"/>
        <v>38480.68</v>
      </c>
      <c r="K159" s="285">
        <f t="shared" si="184"/>
        <v>70418.079999999944</v>
      </c>
      <c r="L159" s="425">
        <f t="shared" si="155"/>
        <v>8</v>
      </c>
      <c r="M159" s="425">
        <f t="shared" si="219"/>
        <v>100</v>
      </c>
      <c r="N159" s="285">
        <f t="shared" si="220"/>
        <v>229116.57</v>
      </c>
      <c r="O159" s="285">
        <f t="shared" si="185"/>
        <v>1610.57</v>
      </c>
      <c r="P159" s="285">
        <f t="shared" si="228"/>
        <v>417.25</v>
      </c>
      <c r="Q159" s="285">
        <f t="shared" si="186"/>
        <v>1193.32</v>
      </c>
      <c r="R159" s="285">
        <f t="shared" si="173"/>
        <v>134.16999999999999</v>
      </c>
      <c r="S159" s="285">
        <f t="shared" si="174"/>
        <v>188.55</v>
      </c>
      <c r="T159" s="285">
        <f t="shared" si="171"/>
        <v>1933.29</v>
      </c>
      <c r="U159" s="285">
        <f t="shared" si="229"/>
        <v>32876.679999999993</v>
      </c>
      <c r="V159" s="285">
        <f t="shared" si="230"/>
        <v>129790.88999999997</v>
      </c>
      <c r="W159" s="285">
        <f t="shared" si="187"/>
        <v>228699.32</v>
      </c>
      <c r="X159" s="502">
        <f t="shared" si="221"/>
        <v>48729</v>
      </c>
      <c r="Y159" s="285">
        <f t="shared" si="188"/>
        <v>294949.35000000015</v>
      </c>
      <c r="Z159" s="494">
        <f t="shared" si="213"/>
        <v>6.25E-2</v>
      </c>
      <c r="AA159" s="285">
        <f t="shared" si="214"/>
        <v>1630.04</v>
      </c>
      <c r="AB159" s="285">
        <f t="shared" si="189"/>
        <v>93.849999999999909</v>
      </c>
      <c r="AC159" s="285">
        <f t="shared" si="215"/>
        <v>1536.19</v>
      </c>
      <c r="AD159" s="285">
        <f t="shared" ref="AD159:AE159" si="246">+AD158</f>
        <v>134.16999999999999</v>
      </c>
      <c r="AE159" s="285">
        <f t="shared" si="246"/>
        <v>188.55</v>
      </c>
      <c r="AF159" s="285">
        <f t="shared" si="191"/>
        <v>1952.76</v>
      </c>
      <c r="AG159" s="285">
        <f t="shared" si="192"/>
        <v>36337.899999999972</v>
      </c>
      <c r="AH159" s="285">
        <f t="shared" si="193"/>
        <v>122522.34000000001</v>
      </c>
      <c r="AI159" s="512">
        <f t="shared" si="176"/>
        <v>3807.3299999999963</v>
      </c>
      <c r="AJ159" s="512">
        <f t="shared" si="242"/>
        <v>-66156.180000000168</v>
      </c>
      <c r="AK159" s="512">
        <f t="shared" si="177"/>
        <v>-62348.850000000173</v>
      </c>
      <c r="AL159" s="285">
        <f t="shared" si="194"/>
        <v>294855.50000000017</v>
      </c>
      <c r="AM159" s="425">
        <f t="shared" si="223"/>
        <v>8</v>
      </c>
      <c r="AN159" s="14">
        <f t="shared" si="178"/>
        <v>1160.29</v>
      </c>
      <c r="AO159" s="14">
        <f t="shared" si="153"/>
        <v>228202.48</v>
      </c>
      <c r="AP159" s="14">
        <f t="shared" si="179"/>
        <v>1179.76</v>
      </c>
      <c r="AS159" s="14">
        <f t="shared" si="217"/>
        <v>1160.29</v>
      </c>
      <c r="AT159" s="14">
        <f t="shared" si="224"/>
        <v>116708.72999999975</v>
      </c>
      <c r="AU159" s="285">
        <f t="shared" si="225"/>
        <v>936.89044345202467</v>
      </c>
      <c r="AV159" s="285">
        <f t="shared" si="226"/>
        <v>114117.06782426196</v>
      </c>
    </row>
    <row r="160" spans="1:48" x14ac:dyDescent="0.25">
      <c r="A160" s="502">
        <f t="shared" si="181"/>
        <v>48759</v>
      </c>
      <c r="B160" s="285">
        <f t="shared" si="218"/>
        <v>70418.079999999944</v>
      </c>
      <c r="C160" s="14">
        <f t="shared" si="211"/>
        <v>450.28</v>
      </c>
      <c r="D160" s="14">
        <f t="shared" si="227"/>
        <v>230.21999999999997</v>
      </c>
      <c r="E160" s="14">
        <f t="shared" si="212"/>
        <v>220.06</v>
      </c>
      <c r="F160" s="14">
        <f t="shared" si="170"/>
        <v>134.16999999999999</v>
      </c>
      <c r="G160" s="14">
        <f t="shared" si="167"/>
        <v>188.55</v>
      </c>
      <c r="H160" s="14">
        <f t="shared" si="168"/>
        <v>773</v>
      </c>
      <c r="I160" s="285">
        <f t="shared" si="182"/>
        <v>27343.979999999992</v>
      </c>
      <c r="J160" s="285">
        <f t="shared" si="183"/>
        <v>38700.74</v>
      </c>
      <c r="K160" s="285">
        <f t="shared" si="184"/>
        <v>70187.859999999942</v>
      </c>
      <c r="L160" s="425">
        <f t="shared" si="155"/>
        <v>8</v>
      </c>
      <c r="M160" s="425">
        <f t="shared" si="219"/>
        <v>101</v>
      </c>
      <c r="N160" s="285">
        <f t="shared" si="220"/>
        <v>228699.32</v>
      </c>
      <c r="O160" s="285">
        <f t="shared" si="185"/>
        <v>1610.57</v>
      </c>
      <c r="P160" s="285">
        <f t="shared" si="228"/>
        <v>419.42999999999984</v>
      </c>
      <c r="Q160" s="285">
        <f t="shared" si="186"/>
        <v>1191.1400000000001</v>
      </c>
      <c r="R160" s="285">
        <f t="shared" si="173"/>
        <v>134.16999999999999</v>
      </c>
      <c r="S160" s="285">
        <f t="shared" si="174"/>
        <v>188.55</v>
      </c>
      <c r="T160" s="285">
        <f t="shared" si="171"/>
        <v>1933.29</v>
      </c>
      <c r="U160" s="285">
        <f t="shared" si="229"/>
        <v>33296.109999999993</v>
      </c>
      <c r="V160" s="285">
        <f t="shared" si="230"/>
        <v>130982.02999999997</v>
      </c>
      <c r="W160" s="285">
        <f t="shared" si="187"/>
        <v>228279.89</v>
      </c>
      <c r="X160" s="502">
        <f t="shared" si="221"/>
        <v>48759</v>
      </c>
      <c r="Y160" s="285">
        <f t="shared" si="188"/>
        <v>294855.50000000017</v>
      </c>
      <c r="Z160" s="494">
        <f t="shared" si="213"/>
        <v>6.25E-2</v>
      </c>
      <c r="AA160" s="285">
        <f t="shared" si="214"/>
        <v>1630.04</v>
      </c>
      <c r="AB160" s="285">
        <f t="shared" si="189"/>
        <v>94.329999999999927</v>
      </c>
      <c r="AC160" s="285">
        <f t="shared" si="215"/>
        <v>1535.71</v>
      </c>
      <c r="AD160" s="285">
        <f t="shared" ref="AD160:AE160" si="247">+AD159</f>
        <v>134.16999999999999</v>
      </c>
      <c r="AE160" s="285">
        <f t="shared" si="247"/>
        <v>188.55</v>
      </c>
      <c r="AF160" s="285">
        <f t="shared" si="191"/>
        <v>1952.76</v>
      </c>
      <c r="AG160" s="285">
        <f t="shared" si="192"/>
        <v>36432.229999999974</v>
      </c>
      <c r="AH160" s="285">
        <f t="shared" si="193"/>
        <v>124058.05000000002</v>
      </c>
      <c r="AI160" s="512">
        <f t="shared" si="176"/>
        <v>3787.859999999996</v>
      </c>
      <c r="AJ160" s="512">
        <f t="shared" si="242"/>
        <v>-66481.280000000144</v>
      </c>
      <c r="AK160" s="512">
        <f t="shared" si="177"/>
        <v>-62693.420000000151</v>
      </c>
      <c r="AL160" s="285">
        <f t="shared" si="194"/>
        <v>294761.17000000016</v>
      </c>
      <c r="AM160" s="425">
        <f t="shared" si="223"/>
        <v>8</v>
      </c>
      <c r="AN160" s="14">
        <f t="shared" si="178"/>
        <v>1160.29</v>
      </c>
      <c r="AO160" s="14">
        <f t="shared" si="153"/>
        <v>228013.27000000002</v>
      </c>
      <c r="AP160" s="14">
        <f t="shared" si="179"/>
        <v>1179.76</v>
      </c>
      <c r="AS160" s="14">
        <f t="shared" si="217"/>
        <v>1160.29</v>
      </c>
      <c r="AT160" s="14">
        <f t="shared" si="224"/>
        <v>117869.01999999974</v>
      </c>
      <c r="AU160" s="285">
        <f t="shared" si="225"/>
        <v>939.23266956065481</v>
      </c>
      <c r="AV160" s="285">
        <f t="shared" si="226"/>
        <v>115056.30049382262</v>
      </c>
    </row>
    <row r="161" spans="1:48" x14ac:dyDescent="0.25">
      <c r="A161" s="502">
        <f t="shared" si="181"/>
        <v>48789</v>
      </c>
      <c r="B161" s="285">
        <f t="shared" si="218"/>
        <v>70187.859999999942</v>
      </c>
      <c r="C161" s="14">
        <f t="shared" si="211"/>
        <v>450.28</v>
      </c>
      <c r="D161" s="14">
        <f t="shared" si="227"/>
        <v>230.93999999999997</v>
      </c>
      <c r="E161" s="14">
        <f t="shared" si="212"/>
        <v>219.34</v>
      </c>
      <c r="F161" s="14">
        <f t="shared" si="170"/>
        <v>134.16999999999999</v>
      </c>
      <c r="G161" s="14">
        <f t="shared" si="167"/>
        <v>188.55</v>
      </c>
      <c r="H161" s="14">
        <f t="shared" si="168"/>
        <v>773</v>
      </c>
      <c r="I161" s="285">
        <f t="shared" si="182"/>
        <v>27574.919999999991</v>
      </c>
      <c r="J161" s="285">
        <f t="shared" si="183"/>
        <v>38920.079999999994</v>
      </c>
      <c r="K161" s="285">
        <f t="shared" si="184"/>
        <v>69956.91999999994</v>
      </c>
      <c r="L161" s="425">
        <f t="shared" si="155"/>
        <v>8</v>
      </c>
      <c r="M161" s="425">
        <f t="shared" si="219"/>
        <v>102</v>
      </c>
      <c r="N161" s="285">
        <f t="shared" si="220"/>
        <v>228279.89</v>
      </c>
      <c r="O161" s="285">
        <f t="shared" si="185"/>
        <v>1610.57</v>
      </c>
      <c r="P161" s="285">
        <f t="shared" si="228"/>
        <v>421.6099999999999</v>
      </c>
      <c r="Q161" s="285">
        <f t="shared" si="186"/>
        <v>1188.96</v>
      </c>
      <c r="R161" s="285">
        <f t="shared" si="173"/>
        <v>134.16999999999999</v>
      </c>
      <c r="S161" s="285">
        <f t="shared" si="174"/>
        <v>188.55</v>
      </c>
      <c r="T161" s="285">
        <f t="shared" si="171"/>
        <v>1933.29</v>
      </c>
      <c r="U161" s="285">
        <f t="shared" si="229"/>
        <v>33717.719999999994</v>
      </c>
      <c r="V161" s="285">
        <f t="shared" si="230"/>
        <v>132170.98999999996</v>
      </c>
      <c r="W161" s="285">
        <f t="shared" si="187"/>
        <v>227858.28000000003</v>
      </c>
      <c r="X161" s="502">
        <f t="shared" si="221"/>
        <v>48789</v>
      </c>
      <c r="Y161" s="285">
        <f t="shared" si="188"/>
        <v>294761.17000000016</v>
      </c>
      <c r="Z161" s="494">
        <f t="shared" si="213"/>
        <v>6.25E-2</v>
      </c>
      <c r="AA161" s="285">
        <f t="shared" si="214"/>
        <v>1630.04</v>
      </c>
      <c r="AB161" s="285">
        <f t="shared" si="189"/>
        <v>94.829999999999927</v>
      </c>
      <c r="AC161" s="285">
        <f t="shared" si="215"/>
        <v>1535.21</v>
      </c>
      <c r="AD161" s="285">
        <f t="shared" ref="AD161:AE161" si="248">+AD160</f>
        <v>134.16999999999999</v>
      </c>
      <c r="AE161" s="285">
        <f t="shared" si="248"/>
        <v>188.55</v>
      </c>
      <c r="AF161" s="285">
        <f t="shared" si="191"/>
        <v>1952.76</v>
      </c>
      <c r="AG161" s="285">
        <f t="shared" si="192"/>
        <v>36527.059999999976</v>
      </c>
      <c r="AH161" s="285">
        <f t="shared" si="193"/>
        <v>125593.26000000002</v>
      </c>
      <c r="AI161" s="512">
        <f t="shared" si="176"/>
        <v>3768.3899999999958</v>
      </c>
      <c r="AJ161" s="512">
        <f t="shared" si="242"/>
        <v>-66808.060000000114</v>
      </c>
      <c r="AK161" s="512">
        <f t="shared" si="177"/>
        <v>-63039.670000000115</v>
      </c>
      <c r="AL161" s="285">
        <f t="shared" si="194"/>
        <v>294666.34000000014</v>
      </c>
      <c r="AM161" s="425">
        <f t="shared" si="223"/>
        <v>8</v>
      </c>
      <c r="AN161" s="14">
        <f t="shared" si="178"/>
        <v>1160.29</v>
      </c>
      <c r="AO161" s="14">
        <f t="shared" si="153"/>
        <v>227822.6</v>
      </c>
      <c r="AP161" s="14">
        <f t="shared" si="179"/>
        <v>1179.76</v>
      </c>
      <c r="AS161" s="14">
        <f t="shared" si="217"/>
        <v>1160.29</v>
      </c>
      <c r="AT161" s="14">
        <f t="shared" si="224"/>
        <v>119029.30999999974</v>
      </c>
      <c r="AU161" s="285">
        <f t="shared" si="225"/>
        <v>941.58075123455649</v>
      </c>
      <c r="AV161" s="285">
        <f t="shared" si="226"/>
        <v>115997.88124505719</v>
      </c>
    </row>
    <row r="162" spans="1:48" x14ac:dyDescent="0.25">
      <c r="A162" s="502">
        <f t="shared" si="181"/>
        <v>48819</v>
      </c>
      <c r="B162" s="285">
        <f t="shared" si="218"/>
        <v>69956.91999999994</v>
      </c>
      <c r="C162" s="14">
        <f t="shared" si="211"/>
        <v>450.28</v>
      </c>
      <c r="D162" s="14">
        <f t="shared" si="227"/>
        <v>231.65999999999997</v>
      </c>
      <c r="E162" s="14">
        <f t="shared" si="212"/>
        <v>218.62</v>
      </c>
      <c r="F162" s="14">
        <f t="shared" si="170"/>
        <v>134.16999999999999</v>
      </c>
      <c r="G162" s="14">
        <f t="shared" si="167"/>
        <v>188.55</v>
      </c>
      <c r="H162" s="14">
        <f t="shared" si="168"/>
        <v>773</v>
      </c>
      <c r="I162" s="285">
        <f t="shared" si="182"/>
        <v>27806.579999999991</v>
      </c>
      <c r="J162" s="285">
        <f t="shared" si="183"/>
        <v>39138.699999999997</v>
      </c>
      <c r="K162" s="285">
        <f t="shared" si="184"/>
        <v>69725.259999999937</v>
      </c>
      <c r="L162" s="425">
        <f t="shared" si="155"/>
        <v>8</v>
      </c>
      <c r="M162" s="425">
        <f t="shared" si="219"/>
        <v>103</v>
      </c>
      <c r="N162" s="285">
        <f t="shared" si="220"/>
        <v>227858.28000000003</v>
      </c>
      <c r="O162" s="285">
        <f t="shared" si="185"/>
        <v>1610.57</v>
      </c>
      <c r="P162" s="285">
        <f t="shared" si="228"/>
        <v>423.80999999999995</v>
      </c>
      <c r="Q162" s="285">
        <f t="shared" si="186"/>
        <v>1186.76</v>
      </c>
      <c r="R162" s="285">
        <f t="shared" si="173"/>
        <v>134.16999999999999</v>
      </c>
      <c r="S162" s="285">
        <f t="shared" si="174"/>
        <v>188.55</v>
      </c>
      <c r="T162" s="285">
        <f t="shared" si="171"/>
        <v>1933.29</v>
      </c>
      <c r="U162" s="285">
        <f t="shared" si="229"/>
        <v>34141.529999999992</v>
      </c>
      <c r="V162" s="285">
        <f t="shared" si="230"/>
        <v>133357.74999999997</v>
      </c>
      <c r="W162" s="285">
        <f t="shared" si="187"/>
        <v>227434.47000000003</v>
      </c>
      <c r="X162" s="502">
        <f t="shared" si="221"/>
        <v>48819</v>
      </c>
      <c r="Y162" s="285">
        <f t="shared" si="188"/>
        <v>294666.34000000014</v>
      </c>
      <c r="Z162" s="494">
        <f t="shared" si="213"/>
        <v>6.25E-2</v>
      </c>
      <c r="AA162" s="285">
        <f t="shared" si="214"/>
        <v>1630.04</v>
      </c>
      <c r="AB162" s="285">
        <f t="shared" si="189"/>
        <v>95.319999999999936</v>
      </c>
      <c r="AC162" s="285">
        <f t="shared" si="215"/>
        <v>1534.72</v>
      </c>
      <c r="AD162" s="285">
        <f t="shared" ref="AD162:AE162" si="249">+AD161</f>
        <v>134.16999999999999</v>
      </c>
      <c r="AE162" s="285">
        <f t="shared" si="249"/>
        <v>188.55</v>
      </c>
      <c r="AF162" s="285">
        <f t="shared" si="191"/>
        <v>1952.76</v>
      </c>
      <c r="AG162" s="285">
        <f t="shared" si="192"/>
        <v>36622.379999999976</v>
      </c>
      <c r="AH162" s="285">
        <f t="shared" si="193"/>
        <v>127127.98000000003</v>
      </c>
      <c r="AI162" s="512">
        <f t="shared" si="176"/>
        <v>3748.9199999999955</v>
      </c>
      <c r="AJ162" s="512">
        <f t="shared" si="242"/>
        <v>-67136.550000000105</v>
      </c>
      <c r="AK162" s="512">
        <f t="shared" si="177"/>
        <v>-63387.630000000107</v>
      </c>
      <c r="AL162" s="285">
        <f t="shared" si="194"/>
        <v>294571.02000000014</v>
      </c>
      <c r="AM162" s="425">
        <f t="shared" si="223"/>
        <v>8</v>
      </c>
      <c r="AN162" s="14">
        <f t="shared" si="178"/>
        <v>1160.29</v>
      </c>
      <c r="AO162" s="14">
        <f t="shared" si="153"/>
        <v>227630.45</v>
      </c>
      <c r="AP162" s="14">
        <f t="shared" si="179"/>
        <v>1179.76</v>
      </c>
      <c r="AS162" s="14">
        <f t="shared" si="217"/>
        <v>1160.29</v>
      </c>
      <c r="AT162" s="14">
        <f t="shared" si="224"/>
        <v>120189.59999999973</v>
      </c>
      <c r="AU162" s="285">
        <f t="shared" si="225"/>
        <v>943.93470311264298</v>
      </c>
      <c r="AV162" s="285">
        <f t="shared" si="226"/>
        <v>116941.81594816982</v>
      </c>
    </row>
    <row r="163" spans="1:48" x14ac:dyDescent="0.25">
      <c r="A163" s="502">
        <f t="shared" si="181"/>
        <v>48849</v>
      </c>
      <c r="B163" s="285">
        <f t="shared" si="218"/>
        <v>69725.259999999937</v>
      </c>
      <c r="C163" s="14">
        <f t="shared" si="211"/>
        <v>450.28</v>
      </c>
      <c r="D163" s="14">
        <f t="shared" si="227"/>
        <v>232.39</v>
      </c>
      <c r="E163" s="14">
        <f t="shared" si="212"/>
        <v>217.89</v>
      </c>
      <c r="F163" s="14">
        <f t="shared" si="170"/>
        <v>134.16999999999999</v>
      </c>
      <c r="G163" s="14">
        <f t="shared" si="167"/>
        <v>188.55</v>
      </c>
      <c r="H163" s="14">
        <f t="shared" si="168"/>
        <v>773</v>
      </c>
      <c r="I163" s="285">
        <f t="shared" si="182"/>
        <v>28038.96999999999</v>
      </c>
      <c r="J163" s="285">
        <f t="shared" si="183"/>
        <v>39356.589999999997</v>
      </c>
      <c r="K163" s="285">
        <f t="shared" si="184"/>
        <v>69492.869999999937</v>
      </c>
      <c r="L163" s="425">
        <f t="shared" si="155"/>
        <v>8</v>
      </c>
      <c r="M163" s="425">
        <f t="shared" si="219"/>
        <v>104</v>
      </c>
      <c r="N163" s="285">
        <f t="shared" si="220"/>
        <v>227434.47000000003</v>
      </c>
      <c r="O163" s="285">
        <f t="shared" si="185"/>
        <v>1610.57</v>
      </c>
      <c r="P163" s="285">
        <f t="shared" si="228"/>
        <v>426.02</v>
      </c>
      <c r="Q163" s="285">
        <f t="shared" si="186"/>
        <v>1184.55</v>
      </c>
      <c r="R163" s="285">
        <f t="shared" si="173"/>
        <v>134.16999999999999</v>
      </c>
      <c r="S163" s="285">
        <f t="shared" si="174"/>
        <v>188.55</v>
      </c>
      <c r="T163" s="285">
        <f t="shared" si="171"/>
        <v>1933.29</v>
      </c>
      <c r="U163" s="285">
        <f t="shared" si="229"/>
        <v>34567.549999999988</v>
      </c>
      <c r="V163" s="285">
        <f t="shared" si="230"/>
        <v>134542.29999999996</v>
      </c>
      <c r="W163" s="285">
        <f t="shared" si="187"/>
        <v>227008.45000000004</v>
      </c>
      <c r="X163" s="502">
        <f t="shared" si="221"/>
        <v>48849</v>
      </c>
      <c r="Y163" s="285">
        <f t="shared" si="188"/>
        <v>294571.02000000014</v>
      </c>
      <c r="Z163" s="494">
        <f t="shared" si="213"/>
        <v>6.25E-2</v>
      </c>
      <c r="AA163" s="285">
        <f t="shared" si="214"/>
        <v>1630.04</v>
      </c>
      <c r="AB163" s="285">
        <f t="shared" si="189"/>
        <v>95.819999999999936</v>
      </c>
      <c r="AC163" s="285">
        <f t="shared" si="215"/>
        <v>1534.22</v>
      </c>
      <c r="AD163" s="285">
        <f t="shared" ref="AD163:AE163" si="250">+AD162</f>
        <v>134.16999999999999</v>
      </c>
      <c r="AE163" s="285">
        <f t="shared" si="250"/>
        <v>188.55</v>
      </c>
      <c r="AF163" s="285">
        <f t="shared" si="191"/>
        <v>1952.76</v>
      </c>
      <c r="AG163" s="285">
        <f t="shared" si="192"/>
        <v>36718.199999999975</v>
      </c>
      <c r="AH163" s="285">
        <f t="shared" si="193"/>
        <v>128662.20000000003</v>
      </c>
      <c r="AI163" s="512">
        <f t="shared" si="176"/>
        <v>3729.4499999999953</v>
      </c>
      <c r="AJ163" s="512">
        <f t="shared" si="242"/>
        <v>-67466.750000000087</v>
      </c>
      <c r="AK163" s="512">
        <f t="shared" si="177"/>
        <v>-63737.30000000009</v>
      </c>
      <c r="AL163" s="285">
        <f t="shared" si="194"/>
        <v>294475.20000000013</v>
      </c>
      <c r="AM163" s="425">
        <f t="shared" si="223"/>
        <v>8</v>
      </c>
      <c r="AN163" s="14">
        <f t="shared" si="178"/>
        <v>1160.29</v>
      </c>
      <c r="AO163" s="14">
        <f t="shared" si="153"/>
        <v>227436.82000000004</v>
      </c>
      <c r="AP163" s="14">
        <f t="shared" si="179"/>
        <v>1179.76</v>
      </c>
      <c r="AS163" s="14">
        <f t="shared" si="217"/>
        <v>1160.29</v>
      </c>
      <c r="AT163" s="14">
        <f t="shared" si="224"/>
        <v>121349.88999999972</v>
      </c>
      <c r="AU163" s="285">
        <f t="shared" si="225"/>
        <v>946.2945398704245</v>
      </c>
      <c r="AV163" s="285">
        <f t="shared" si="226"/>
        <v>117888.11048804024</v>
      </c>
    </row>
    <row r="164" spans="1:48" x14ac:dyDescent="0.25">
      <c r="A164" s="502">
        <f t="shared" si="181"/>
        <v>48879</v>
      </c>
      <c r="B164" s="285">
        <f t="shared" si="218"/>
        <v>69492.869999999937</v>
      </c>
      <c r="C164" s="14">
        <f t="shared" si="211"/>
        <v>450.28</v>
      </c>
      <c r="D164" s="14">
        <f t="shared" si="227"/>
        <v>233.10999999999999</v>
      </c>
      <c r="E164" s="14">
        <f t="shared" si="212"/>
        <v>217.17</v>
      </c>
      <c r="F164" s="14">
        <f t="shared" si="170"/>
        <v>134.16999999999999</v>
      </c>
      <c r="G164" s="14">
        <f t="shared" si="167"/>
        <v>188.55</v>
      </c>
      <c r="H164" s="14">
        <f t="shared" si="168"/>
        <v>773</v>
      </c>
      <c r="I164" s="285">
        <f t="shared" si="182"/>
        <v>28272.079999999991</v>
      </c>
      <c r="J164" s="285">
        <f t="shared" si="183"/>
        <v>39573.759999999995</v>
      </c>
      <c r="K164" s="285">
        <f t="shared" si="184"/>
        <v>69259.759999999937</v>
      </c>
      <c r="L164" s="425">
        <f t="shared" si="155"/>
        <v>8</v>
      </c>
      <c r="M164" s="425">
        <f t="shared" si="219"/>
        <v>105</v>
      </c>
      <c r="N164" s="285">
        <f t="shared" si="220"/>
        <v>227008.45000000004</v>
      </c>
      <c r="O164" s="285">
        <f t="shared" si="185"/>
        <v>1610.57</v>
      </c>
      <c r="P164" s="285">
        <f t="shared" si="228"/>
        <v>428.23</v>
      </c>
      <c r="Q164" s="285">
        <f t="shared" si="186"/>
        <v>1182.3399999999999</v>
      </c>
      <c r="R164" s="285">
        <f t="shared" si="173"/>
        <v>134.16999999999999</v>
      </c>
      <c r="S164" s="285">
        <f t="shared" si="174"/>
        <v>188.55</v>
      </c>
      <c r="T164" s="285">
        <f t="shared" si="171"/>
        <v>1933.29</v>
      </c>
      <c r="U164" s="285">
        <f t="shared" si="229"/>
        <v>34995.779999999992</v>
      </c>
      <c r="V164" s="285">
        <f t="shared" si="230"/>
        <v>135724.63999999996</v>
      </c>
      <c r="W164" s="285">
        <f t="shared" si="187"/>
        <v>226580.22000000003</v>
      </c>
      <c r="X164" s="502">
        <f t="shared" si="221"/>
        <v>48879</v>
      </c>
      <c r="Y164" s="285">
        <f t="shared" si="188"/>
        <v>294475.20000000013</v>
      </c>
      <c r="Z164" s="494">
        <f t="shared" si="213"/>
        <v>6.25E-2</v>
      </c>
      <c r="AA164" s="285">
        <f t="shared" si="214"/>
        <v>1630.04</v>
      </c>
      <c r="AB164" s="285">
        <f t="shared" si="189"/>
        <v>96.309999999999945</v>
      </c>
      <c r="AC164" s="285">
        <f t="shared" si="215"/>
        <v>1533.73</v>
      </c>
      <c r="AD164" s="285">
        <f t="shared" ref="AD164:AE164" si="251">+AD163</f>
        <v>134.16999999999999</v>
      </c>
      <c r="AE164" s="285">
        <f t="shared" si="251"/>
        <v>188.55</v>
      </c>
      <c r="AF164" s="285">
        <f t="shared" si="191"/>
        <v>1952.76</v>
      </c>
      <c r="AG164" s="285">
        <f t="shared" si="192"/>
        <v>36814.509999999973</v>
      </c>
      <c r="AH164" s="285">
        <f t="shared" si="193"/>
        <v>130195.93000000002</v>
      </c>
      <c r="AI164" s="512">
        <f t="shared" si="176"/>
        <v>3709.979999999995</v>
      </c>
      <c r="AJ164" s="512">
        <f t="shared" si="242"/>
        <v>-67798.6700000001</v>
      </c>
      <c r="AK164" s="512">
        <f t="shared" si="177"/>
        <v>-64088.690000000104</v>
      </c>
      <c r="AL164" s="285">
        <f t="shared" si="194"/>
        <v>294378.89000000013</v>
      </c>
      <c r="AM164" s="425">
        <f t="shared" si="223"/>
        <v>8</v>
      </c>
      <c r="AN164" s="14">
        <f t="shared" si="178"/>
        <v>1160.29</v>
      </c>
      <c r="AO164" s="14">
        <f t="shared" si="153"/>
        <v>227241.70000000004</v>
      </c>
      <c r="AP164" s="14">
        <f t="shared" si="179"/>
        <v>1179.76</v>
      </c>
      <c r="AS164" s="14">
        <f t="shared" si="217"/>
        <v>1160.29</v>
      </c>
      <c r="AT164" s="14">
        <f t="shared" si="224"/>
        <v>122510.17999999972</v>
      </c>
      <c r="AU164" s="285">
        <f t="shared" si="225"/>
        <v>948.66027622010063</v>
      </c>
      <c r="AV164" s="285">
        <f t="shared" si="226"/>
        <v>118836.77076426035</v>
      </c>
    </row>
    <row r="165" spans="1:48" x14ac:dyDescent="0.25">
      <c r="A165" s="502">
        <f t="shared" si="181"/>
        <v>48909</v>
      </c>
      <c r="B165" s="285">
        <f t="shared" si="218"/>
        <v>69259.759999999937</v>
      </c>
      <c r="C165" s="14">
        <f t="shared" si="211"/>
        <v>450.28</v>
      </c>
      <c r="D165" s="14">
        <f t="shared" si="227"/>
        <v>233.83999999999997</v>
      </c>
      <c r="E165" s="14">
        <f t="shared" si="212"/>
        <v>216.44</v>
      </c>
      <c r="F165" s="14">
        <f t="shared" si="170"/>
        <v>134.16999999999999</v>
      </c>
      <c r="G165" s="14">
        <f t="shared" si="167"/>
        <v>188.55</v>
      </c>
      <c r="H165" s="14">
        <f t="shared" si="168"/>
        <v>773</v>
      </c>
      <c r="I165" s="285">
        <f t="shared" si="182"/>
        <v>28505.919999999991</v>
      </c>
      <c r="J165" s="285">
        <f t="shared" si="183"/>
        <v>39790.199999999997</v>
      </c>
      <c r="K165" s="285">
        <f t="shared" si="184"/>
        <v>69025.91999999994</v>
      </c>
      <c r="L165" s="425">
        <f t="shared" si="155"/>
        <v>8</v>
      </c>
      <c r="M165" s="425">
        <f t="shared" si="219"/>
        <v>106</v>
      </c>
      <c r="N165" s="285">
        <f t="shared" si="220"/>
        <v>226580.22000000003</v>
      </c>
      <c r="O165" s="285">
        <f t="shared" si="185"/>
        <v>1610.57</v>
      </c>
      <c r="P165" s="285">
        <f t="shared" si="228"/>
        <v>430.46000000000004</v>
      </c>
      <c r="Q165" s="285">
        <f t="shared" si="186"/>
        <v>1180.1099999999999</v>
      </c>
      <c r="R165" s="285">
        <f t="shared" si="173"/>
        <v>134.16999999999999</v>
      </c>
      <c r="S165" s="285">
        <f t="shared" si="174"/>
        <v>188.55</v>
      </c>
      <c r="T165" s="285">
        <f t="shared" si="171"/>
        <v>1933.29</v>
      </c>
      <c r="U165" s="285">
        <f t="shared" si="229"/>
        <v>35426.239999999991</v>
      </c>
      <c r="V165" s="285">
        <f t="shared" si="230"/>
        <v>136904.74999999994</v>
      </c>
      <c r="W165" s="285">
        <f t="shared" si="187"/>
        <v>226149.76000000004</v>
      </c>
      <c r="X165" s="502">
        <f t="shared" si="221"/>
        <v>48909</v>
      </c>
      <c r="Y165" s="285">
        <f t="shared" si="188"/>
        <v>294378.89000000013</v>
      </c>
      <c r="Z165" s="494">
        <f t="shared" si="213"/>
        <v>6.25E-2</v>
      </c>
      <c r="AA165" s="285">
        <f t="shared" si="214"/>
        <v>1630.04</v>
      </c>
      <c r="AB165" s="285">
        <f t="shared" si="189"/>
        <v>96.819999999999936</v>
      </c>
      <c r="AC165" s="285">
        <f t="shared" si="215"/>
        <v>1533.22</v>
      </c>
      <c r="AD165" s="285">
        <f t="shared" ref="AD165:AE165" si="252">+AD164</f>
        <v>134.16999999999999</v>
      </c>
      <c r="AE165" s="285">
        <f t="shared" si="252"/>
        <v>188.55</v>
      </c>
      <c r="AF165" s="285">
        <f t="shared" si="191"/>
        <v>1952.76</v>
      </c>
      <c r="AG165" s="285">
        <f t="shared" si="192"/>
        <v>36911.329999999973</v>
      </c>
      <c r="AH165" s="285">
        <f t="shared" si="193"/>
        <v>131729.15000000002</v>
      </c>
      <c r="AI165" s="512">
        <f t="shared" si="176"/>
        <v>3690.5099999999948</v>
      </c>
      <c r="AJ165" s="512">
        <f t="shared" si="242"/>
        <v>-68132.310000000085</v>
      </c>
      <c r="AK165" s="512">
        <f t="shared" si="177"/>
        <v>-64441.80000000009</v>
      </c>
      <c r="AL165" s="285">
        <f t="shared" si="194"/>
        <v>294282.07000000012</v>
      </c>
      <c r="AM165" s="425">
        <f t="shared" si="223"/>
        <v>8</v>
      </c>
      <c r="AN165" s="14">
        <f t="shared" si="178"/>
        <v>1160.29</v>
      </c>
      <c r="AO165" s="14">
        <f t="shared" si="153"/>
        <v>227045.08000000002</v>
      </c>
      <c r="AP165" s="14">
        <f t="shared" si="179"/>
        <v>1179.76</v>
      </c>
      <c r="AS165" s="14">
        <f t="shared" si="217"/>
        <v>1160.29</v>
      </c>
      <c r="AT165" s="14">
        <f t="shared" si="224"/>
        <v>123670.46999999971</v>
      </c>
      <c r="AU165" s="285">
        <f t="shared" si="225"/>
        <v>951.03192691065078</v>
      </c>
      <c r="AV165" s="285">
        <f t="shared" si="226"/>
        <v>119787.802691171</v>
      </c>
    </row>
    <row r="166" spans="1:48" x14ac:dyDescent="0.25">
      <c r="A166" s="502">
        <f t="shared" si="181"/>
        <v>48939</v>
      </c>
      <c r="B166" s="285">
        <f t="shared" si="218"/>
        <v>69025.91999999994</v>
      </c>
      <c r="C166" s="14">
        <f t="shared" si="211"/>
        <v>450.28</v>
      </c>
      <c r="D166" s="14">
        <f t="shared" si="227"/>
        <v>234.56999999999996</v>
      </c>
      <c r="E166" s="14">
        <f t="shared" si="212"/>
        <v>215.71</v>
      </c>
      <c r="F166" s="14">
        <f t="shared" si="170"/>
        <v>134.16999999999999</v>
      </c>
      <c r="G166" s="14">
        <f t="shared" si="167"/>
        <v>188.55</v>
      </c>
      <c r="H166" s="14">
        <f t="shared" si="168"/>
        <v>773</v>
      </c>
      <c r="I166" s="285">
        <f t="shared" si="182"/>
        <v>28740.489999999991</v>
      </c>
      <c r="J166" s="285">
        <f t="shared" si="183"/>
        <v>40005.909999999996</v>
      </c>
      <c r="K166" s="285">
        <f t="shared" si="184"/>
        <v>68791.349999999933</v>
      </c>
      <c r="L166" s="425">
        <f t="shared" si="155"/>
        <v>8</v>
      </c>
      <c r="M166" s="425">
        <f t="shared" si="219"/>
        <v>107</v>
      </c>
      <c r="N166" s="285">
        <f t="shared" si="220"/>
        <v>226149.76000000004</v>
      </c>
      <c r="O166" s="285">
        <f t="shared" si="185"/>
        <v>1610.57</v>
      </c>
      <c r="P166" s="285">
        <f t="shared" si="228"/>
        <v>432.71000000000004</v>
      </c>
      <c r="Q166" s="285">
        <f t="shared" si="186"/>
        <v>1177.8599999999999</v>
      </c>
      <c r="R166" s="285">
        <f t="shared" si="173"/>
        <v>134.16999999999999</v>
      </c>
      <c r="S166" s="285">
        <f t="shared" si="174"/>
        <v>188.55</v>
      </c>
      <c r="T166" s="285">
        <f t="shared" si="171"/>
        <v>1933.29</v>
      </c>
      <c r="U166" s="285">
        <f t="shared" si="229"/>
        <v>35858.94999999999</v>
      </c>
      <c r="V166" s="285">
        <f t="shared" si="230"/>
        <v>138082.60999999993</v>
      </c>
      <c r="W166" s="285">
        <f t="shared" si="187"/>
        <v>225717.05000000005</v>
      </c>
      <c r="X166" s="502">
        <f t="shared" si="221"/>
        <v>48939</v>
      </c>
      <c r="Y166" s="285">
        <f t="shared" si="188"/>
        <v>294282.07000000012</v>
      </c>
      <c r="Z166" s="494">
        <f t="shared" si="213"/>
        <v>6.25E-2</v>
      </c>
      <c r="AA166" s="285">
        <f t="shared" si="214"/>
        <v>1630.04</v>
      </c>
      <c r="AB166" s="285">
        <f t="shared" si="189"/>
        <v>97.319999999999936</v>
      </c>
      <c r="AC166" s="285">
        <f t="shared" si="215"/>
        <v>1532.72</v>
      </c>
      <c r="AD166" s="285">
        <f t="shared" ref="AD166:AE166" si="253">+AD165</f>
        <v>134.16999999999999</v>
      </c>
      <c r="AE166" s="285">
        <f t="shared" si="253"/>
        <v>188.55</v>
      </c>
      <c r="AF166" s="285">
        <f t="shared" si="191"/>
        <v>1952.76</v>
      </c>
      <c r="AG166" s="285">
        <f t="shared" si="192"/>
        <v>37008.649999999972</v>
      </c>
      <c r="AH166" s="285">
        <f t="shared" si="193"/>
        <v>133261.87000000002</v>
      </c>
      <c r="AI166" s="512">
        <f t="shared" si="176"/>
        <v>3671.0399999999945</v>
      </c>
      <c r="AJ166" s="512">
        <f t="shared" si="242"/>
        <v>-68467.70000000007</v>
      </c>
      <c r="AK166" s="512">
        <f t="shared" si="177"/>
        <v>-64796.660000000076</v>
      </c>
      <c r="AL166" s="285">
        <f t="shared" si="194"/>
        <v>294184.75000000012</v>
      </c>
      <c r="AM166" s="425">
        <f t="shared" si="223"/>
        <v>8</v>
      </c>
      <c r="AN166" s="14">
        <f t="shared" si="178"/>
        <v>1160.29</v>
      </c>
      <c r="AO166" s="14">
        <f t="shared" si="153"/>
        <v>226846.94000000003</v>
      </c>
      <c r="AP166" s="14">
        <f t="shared" si="179"/>
        <v>1179.76</v>
      </c>
      <c r="AS166" s="14">
        <f t="shared" si="217"/>
        <v>1160.29</v>
      </c>
      <c r="AT166" s="14">
        <f t="shared" si="224"/>
        <v>124830.7599999997</v>
      </c>
      <c r="AU166" s="285">
        <f t="shared" si="225"/>
        <v>953.40950672792758</v>
      </c>
      <c r="AV166" s="285">
        <f t="shared" si="226"/>
        <v>120741.21219789893</v>
      </c>
    </row>
    <row r="167" spans="1:48" x14ac:dyDescent="0.25">
      <c r="A167" s="502">
        <f t="shared" si="181"/>
        <v>48969</v>
      </c>
      <c r="B167" s="285">
        <f t="shared" si="218"/>
        <v>68791.349999999933</v>
      </c>
      <c r="C167" s="14">
        <f t="shared" si="211"/>
        <v>450.28</v>
      </c>
      <c r="D167" s="14">
        <f t="shared" si="227"/>
        <v>235.30999999999997</v>
      </c>
      <c r="E167" s="14">
        <f t="shared" si="212"/>
        <v>214.97</v>
      </c>
      <c r="F167" s="14">
        <f t="shared" si="170"/>
        <v>134.16999999999999</v>
      </c>
      <c r="G167" s="14">
        <f t="shared" si="167"/>
        <v>188.55</v>
      </c>
      <c r="H167" s="14">
        <f t="shared" si="168"/>
        <v>773</v>
      </c>
      <c r="I167" s="285">
        <f t="shared" si="182"/>
        <v>28975.799999999992</v>
      </c>
      <c r="J167" s="285">
        <f t="shared" si="183"/>
        <v>40220.879999999997</v>
      </c>
      <c r="K167" s="285">
        <f t="shared" si="184"/>
        <v>68556.039999999935</v>
      </c>
      <c r="L167" s="425">
        <f t="shared" si="155"/>
        <v>9</v>
      </c>
      <c r="M167" s="425">
        <f t="shared" si="219"/>
        <v>108</v>
      </c>
      <c r="N167" s="285">
        <f t="shared" si="220"/>
        <v>225717.05000000005</v>
      </c>
      <c r="O167" s="285">
        <f t="shared" si="185"/>
        <v>1610.57</v>
      </c>
      <c r="P167" s="285">
        <f t="shared" si="228"/>
        <v>434.96000000000004</v>
      </c>
      <c r="Q167" s="285">
        <f t="shared" si="186"/>
        <v>1175.6099999999999</v>
      </c>
      <c r="R167" s="285">
        <f t="shared" si="173"/>
        <v>134.16999999999999</v>
      </c>
      <c r="S167" s="285">
        <f t="shared" si="174"/>
        <v>188.55</v>
      </c>
      <c r="T167" s="285">
        <f t="shared" si="171"/>
        <v>1933.29</v>
      </c>
      <c r="U167" s="285">
        <f t="shared" si="229"/>
        <v>36293.909999999989</v>
      </c>
      <c r="V167" s="285">
        <f t="shared" si="230"/>
        <v>139258.21999999991</v>
      </c>
      <c r="W167" s="285">
        <f t="shared" si="187"/>
        <v>225282.09000000005</v>
      </c>
      <c r="X167" s="502">
        <f t="shared" si="221"/>
        <v>48969</v>
      </c>
      <c r="Y167" s="285">
        <f t="shared" si="188"/>
        <v>294184.75000000012</v>
      </c>
      <c r="Z167" s="494">
        <f t="shared" si="213"/>
        <v>6.25E-2</v>
      </c>
      <c r="AA167" s="285">
        <f t="shared" si="214"/>
        <v>1630.04</v>
      </c>
      <c r="AB167" s="285">
        <f t="shared" si="189"/>
        <v>97.829999999999927</v>
      </c>
      <c r="AC167" s="285">
        <f t="shared" si="215"/>
        <v>1532.21</v>
      </c>
      <c r="AD167" s="285">
        <f t="shared" ref="AD167:AE167" si="254">+AD166</f>
        <v>134.16999999999999</v>
      </c>
      <c r="AE167" s="285">
        <f t="shared" si="254"/>
        <v>188.55</v>
      </c>
      <c r="AF167" s="285">
        <f t="shared" si="191"/>
        <v>1952.76</v>
      </c>
      <c r="AG167" s="285">
        <f t="shared" si="192"/>
        <v>37106.479999999974</v>
      </c>
      <c r="AH167" s="285">
        <f t="shared" si="193"/>
        <v>134794.08000000002</v>
      </c>
      <c r="AI167" s="512">
        <f t="shared" si="176"/>
        <v>3651.5699999999943</v>
      </c>
      <c r="AJ167" s="512">
        <f t="shared" si="242"/>
        <v>-68804.830000000045</v>
      </c>
      <c r="AK167" s="512">
        <f t="shared" si="177"/>
        <v>-65153.260000000053</v>
      </c>
      <c r="AL167" s="285">
        <f t="shared" si="194"/>
        <v>294086.9200000001</v>
      </c>
      <c r="AM167" s="425">
        <f t="shared" si="223"/>
        <v>9</v>
      </c>
      <c r="AN167" s="14">
        <f t="shared" si="178"/>
        <v>1160.29</v>
      </c>
      <c r="AO167" s="14">
        <f t="shared" si="153"/>
        <v>226647.29000000004</v>
      </c>
      <c r="AP167" s="14">
        <f t="shared" si="179"/>
        <v>1179.76</v>
      </c>
      <c r="AS167" s="14">
        <f t="shared" si="217"/>
        <v>1160.29</v>
      </c>
      <c r="AT167" s="14">
        <f t="shared" si="224"/>
        <v>125991.0499999997</v>
      </c>
      <c r="AU167" s="285">
        <f t="shared" si="225"/>
        <v>955.79303049474731</v>
      </c>
      <c r="AV167" s="285">
        <f t="shared" si="226"/>
        <v>121697.00522839368</v>
      </c>
    </row>
    <row r="168" spans="1:48" x14ac:dyDescent="0.25">
      <c r="A168" s="502">
        <f t="shared" si="181"/>
        <v>48999</v>
      </c>
      <c r="B168" s="285">
        <f t="shared" si="218"/>
        <v>68556.039999999935</v>
      </c>
      <c r="C168" s="14">
        <f t="shared" si="211"/>
        <v>450.28</v>
      </c>
      <c r="D168" s="14">
        <f t="shared" si="227"/>
        <v>236.03999999999996</v>
      </c>
      <c r="E168" s="14">
        <f t="shared" si="212"/>
        <v>214.24</v>
      </c>
      <c r="F168" s="14">
        <f t="shared" si="170"/>
        <v>134.16999999999999</v>
      </c>
      <c r="G168" s="14">
        <f t="shared" si="167"/>
        <v>188.55</v>
      </c>
      <c r="H168" s="14">
        <f t="shared" si="168"/>
        <v>773</v>
      </c>
      <c r="I168" s="285">
        <f t="shared" si="182"/>
        <v>29211.839999999993</v>
      </c>
      <c r="J168" s="285">
        <f t="shared" si="183"/>
        <v>40435.119999999995</v>
      </c>
      <c r="K168" s="285">
        <f t="shared" si="184"/>
        <v>68319.999999999942</v>
      </c>
      <c r="L168" s="425">
        <f t="shared" si="155"/>
        <v>9</v>
      </c>
      <c r="M168" s="425">
        <f t="shared" si="219"/>
        <v>109</v>
      </c>
      <c r="N168" s="285">
        <f t="shared" si="220"/>
        <v>225282.09000000005</v>
      </c>
      <c r="O168" s="285">
        <f t="shared" si="185"/>
        <v>1610.57</v>
      </c>
      <c r="P168" s="285">
        <f t="shared" si="228"/>
        <v>437.23</v>
      </c>
      <c r="Q168" s="285">
        <f t="shared" si="186"/>
        <v>1173.3399999999999</v>
      </c>
      <c r="R168" s="285">
        <f t="shared" si="173"/>
        <v>134.16999999999999</v>
      </c>
      <c r="S168" s="285">
        <f t="shared" si="174"/>
        <v>188.55</v>
      </c>
      <c r="T168" s="285">
        <f t="shared" si="171"/>
        <v>1933.29</v>
      </c>
      <c r="U168" s="285">
        <f t="shared" si="229"/>
        <v>36731.139999999992</v>
      </c>
      <c r="V168" s="285">
        <f t="shared" si="230"/>
        <v>140431.55999999991</v>
      </c>
      <c r="W168" s="285">
        <f t="shared" si="187"/>
        <v>224844.86000000004</v>
      </c>
      <c r="X168" s="502">
        <f t="shared" si="221"/>
        <v>48999</v>
      </c>
      <c r="Y168" s="285">
        <f t="shared" si="188"/>
        <v>294086.9200000001</v>
      </c>
      <c r="Z168" s="494">
        <f t="shared" si="213"/>
        <v>6.25E-2</v>
      </c>
      <c r="AA168" s="285">
        <f t="shared" si="214"/>
        <v>1630.04</v>
      </c>
      <c r="AB168" s="285">
        <f t="shared" si="189"/>
        <v>98.339999999999918</v>
      </c>
      <c r="AC168" s="285">
        <f t="shared" si="215"/>
        <v>1531.7</v>
      </c>
      <c r="AD168" s="285">
        <f t="shared" ref="AD168:AE168" si="255">+AD167</f>
        <v>134.16999999999999</v>
      </c>
      <c r="AE168" s="285">
        <f t="shared" si="255"/>
        <v>188.55</v>
      </c>
      <c r="AF168" s="285">
        <f t="shared" si="191"/>
        <v>1952.76</v>
      </c>
      <c r="AG168" s="285">
        <f t="shared" si="192"/>
        <v>37204.819999999971</v>
      </c>
      <c r="AH168" s="285">
        <f t="shared" si="193"/>
        <v>136325.78000000003</v>
      </c>
      <c r="AI168" s="512">
        <f t="shared" si="176"/>
        <v>3632.099999999994</v>
      </c>
      <c r="AJ168" s="512">
        <f t="shared" si="242"/>
        <v>-69143.72000000003</v>
      </c>
      <c r="AK168" s="512">
        <f t="shared" si="177"/>
        <v>-65511.620000000039</v>
      </c>
      <c r="AL168" s="285">
        <f t="shared" si="194"/>
        <v>293988.58000000007</v>
      </c>
      <c r="AM168" s="425">
        <f t="shared" si="223"/>
        <v>9</v>
      </c>
      <c r="AN168" s="14">
        <f t="shared" si="178"/>
        <v>1160.29</v>
      </c>
      <c r="AO168" s="14">
        <f t="shared" si="153"/>
        <v>226446.1</v>
      </c>
      <c r="AP168" s="14">
        <f t="shared" si="179"/>
        <v>1179.76</v>
      </c>
      <c r="AS168" s="14">
        <f t="shared" si="217"/>
        <v>1160.29</v>
      </c>
      <c r="AT168" s="14">
        <f t="shared" si="224"/>
        <v>127151.33999999969</v>
      </c>
      <c r="AU168" s="285">
        <f t="shared" si="225"/>
        <v>958.18251307098433</v>
      </c>
      <c r="AV168" s="285">
        <f t="shared" si="226"/>
        <v>122655.18774146467</v>
      </c>
    </row>
    <row r="169" spans="1:48" x14ac:dyDescent="0.25">
      <c r="A169" s="502">
        <f t="shared" si="181"/>
        <v>49029</v>
      </c>
      <c r="B169" s="285">
        <f t="shared" si="218"/>
        <v>68319.999999999942</v>
      </c>
      <c r="C169" s="14">
        <f t="shared" si="211"/>
        <v>450.28</v>
      </c>
      <c r="D169" s="14">
        <f t="shared" si="227"/>
        <v>236.77999999999997</v>
      </c>
      <c r="E169" s="14">
        <f t="shared" si="212"/>
        <v>213.5</v>
      </c>
      <c r="F169" s="14">
        <f t="shared" si="170"/>
        <v>134.16999999999999</v>
      </c>
      <c r="G169" s="14">
        <f t="shared" si="167"/>
        <v>188.55</v>
      </c>
      <c r="H169" s="14">
        <f t="shared" si="168"/>
        <v>773</v>
      </c>
      <c r="I169" s="285">
        <f t="shared" si="182"/>
        <v>29448.619999999992</v>
      </c>
      <c r="J169" s="285">
        <f t="shared" si="183"/>
        <v>40648.619999999995</v>
      </c>
      <c r="K169" s="285">
        <f t="shared" si="184"/>
        <v>68083.219999999943</v>
      </c>
      <c r="L169" s="425">
        <f t="shared" si="155"/>
        <v>9</v>
      </c>
      <c r="M169" s="425">
        <f t="shared" si="219"/>
        <v>110</v>
      </c>
      <c r="N169" s="285">
        <f t="shared" si="220"/>
        <v>224844.86000000004</v>
      </c>
      <c r="O169" s="285">
        <f t="shared" si="185"/>
        <v>1610.57</v>
      </c>
      <c r="P169" s="285">
        <f t="shared" si="228"/>
        <v>439.5</v>
      </c>
      <c r="Q169" s="285">
        <f t="shared" si="186"/>
        <v>1171.07</v>
      </c>
      <c r="R169" s="285">
        <f t="shared" si="173"/>
        <v>134.16999999999999</v>
      </c>
      <c r="S169" s="285">
        <f t="shared" si="174"/>
        <v>188.55</v>
      </c>
      <c r="T169" s="285">
        <f t="shared" si="171"/>
        <v>1933.29</v>
      </c>
      <c r="U169" s="285">
        <f t="shared" si="229"/>
        <v>37170.639999999992</v>
      </c>
      <c r="V169" s="285">
        <f t="shared" si="230"/>
        <v>141602.62999999992</v>
      </c>
      <c r="W169" s="285">
        <f t="shared" si="187"/>
        <v>224405.36000000004</v>
      </c>
      <c r="X169" s="502">
        <f t="shared" si="221"/>
        <v>49029</v>
      </c>
      <c r="Y169" s="285">
        <f t="shared" si="188"/>
        <v>293988.58000000007</v>
      </c>
      <c r="Z169" s="494">
        <f t="shared" si="213"/>
        <v>6.25E-2</v>
      </c>
      <c r="AA169" s="285">
        <f t="shared" si="214"/>
        <v>1630.04</v>
      </c>
      <c r="AB169" s="285">
        <f t="shared" si="189"/>
        <v>98.849999999999909</v>
      </c>
      <c r="AC169" s="285">
        <f t="shared" si="215"/>
        <v>1531.19</v>
      </c>
      <c r="AD169" s="285">
        <f t="shared" ref="AD169:AE169" si="256">+AD168</f>
        <v>134.16999999999999</v>
      </c>
      <c r="AE169" s="285">
        <f t="shared" si="256"/>
        <v>188.55</v>
      </c>
      <c r="AF169" s="285">
        <f t="shared" si="191"/>
        <v>1952.76</v>
      </c>
      <c r="AG169" s="285">
        <f t="shared" si="192"/>
        <v>37303.669999999969</v>
      </c>
      <c r="AH169" s="285">
        <f t="shared" si="193"/>
        <v>137856.97000000003</v>
      </c>
      <c r="AI169" s="512">
        <f t="shared" si="176"/>
        <v>3612.6299999999937</v>
      </c>
      <c r="AJ169" s="512">
        <f t="shared" si="242"/>
        <v>-69484.370000000054</v>
      </c>
      <c r="AK169" s="512">
        <f t="shared" si="177"/>
        <v>-65871.740000000063</v>
      </c>
      <c r="AL169" s="285">
        <f t="shared" si="194"/>
        <v>293889.7300000001</v>
      </c>
      <c r="AM169" s="425">
        <f t="shared" si="223"/>
        <v>9</v>
      </c>
      <c r="AN169" s="14">
        <f t="shared" si="178"/>
        <v>1160.29</v>
      </c>
      <c r="AO169" s="14">
        <f t="shared" si="153"/>
        <v>226243.38000000003</v>
      </c>
      <c r="AP169" s="14">
        <f t="shared" si="179"/>
        <v>1179.76</v>
      </c>
      <c r="AS169" s="14">
        <f t="shared" si="217"/>
        <v>1160.29</v>
      </c>
      <c r="AT169" s="14">
        <f t="shared" si="224"/>
        <v>128311.62999999968</v>
      </c>
      <c r="AU169" s="285">
        <f t="shared" si="225"/>
        <v>960.57796935366162</v>
      </c>
      <c r="AV169" s="285">
        <f t="shared" si="226"/>
        <v>123615.76571081833</v>
      </c>
    </row>
    <row r="170" spans="1:48" ht="15.75" thickBot="1" x14ac:dyDescent="0.3">
      <c r="A170" s="505">
        <f t="shared" si="181"/>
        <v>49059</v>
      </c>
      <c r="B170" s="345">
        <f t="shared" si="218"/>
        <v>68083.219999999943</v>
      </c>
      <c r="C170" s="21">
        <f t="shared" si="211"/>
        <v>450.28</v>
      </c>
      <c r="D170" s="21">
        <f t="shared" si="227"/>
        <v>237.51999999999998</v>
      </c>
      <c r="E170" s="21">
        <f t="shared" si="212"/>
        <v>212.76</v>
      </c>
      <c r="F170" s="21">
        <f t="shared" si="170"/>
        <v>134.16999999999999</v>
      </c>
      <c r="G170" s="21">
        <f t="shared" si="167"/>
        <v>188.55</v>
      </c>
      <c r="H170" s="21">
        <f t="shared" si="168"/>
        <v>773</v>
      </c>
      <c r="I170" s="345">
        <f t="shared" si="182"/>
        <v>29686.139999999992</v>
      </c>
      <c r="J170" s="345">
        <f t="shared" si="183"/>
        <v>40861.379999999997</v>
      </c>
      <c r="K170" s="345">
        <f t="shared" si="184"/>
        <v>67845.699999999939</v>
      </c>
      <c r="L170" s="426">
        <f t="shared" si="155"/>
        <v>9</v>
      </c>
      <c r="M170" s="426">
        <f t="shared" si="219"/>
        <v>111</v>
      </c>
      <c r="N170" s="345">
        <f t="shared" si="220"/>
        <v>224405.36000000004</v>
      </c>
      <c r="O170" s="345">
        <f t="shared" si="185"/>
        <v>1610.57</v>
      </c>
      <c r="P170" s="345">
        <f t="shared" si="228"/>
        <v>441.78999999999996</v>
      </c>
      <c r="Q170" s="345">
        <f t="shared" si="186"/>
        <v>1168.78</v>
      </c>
      <c r="R170" s="345">
        <f t="shared" si="173"/>
        <v>134.16999999999999</v>
      </c>
      <c r="S170" s="345">
        <f t="shared" si="174"/>
        <v>188.55</v>
      </c>
      <c r="T170" s="345">
        <f t="shared" si="171"/>
        <v>1933.29</v>
      </c>
      <c r="U170" s="345">
        <f t="shared" si="229"/>
        <v>37612.429999999993</v>
      </c>
      <c r="V170" s="345">
        <f t="shared" si="230"/>
        <v>142771.40999999992</v>
      </c>
      <c r="W170" s="345">
        <f t="shared" si="187"/>
        <v>223963.57000000004</v>
      </c>
      <c r="X170" s="505">
        <f t="shared" si="221"/>
        <v>49059</v>
      </c>
      <c r="Y170" s="345">
        <f t="shared" si="188"/>
        <v>293889.7300000001</v>
      </c>
      <c r="Z170" s="495">
        <f t="shared" si="213"/>
        <v>6.25E-2</v>
      </c>
      <c r="AA170" s="345">
        <f t="shared" si="214"/>
        <v>1630.04</v>
      </c>
      <c r="AB170" s="345">
        <f t="shared" si="189"/>
        <v>99.3599999999999</v>
      </c>
      <c r="AC170" s="345">
        <f t="shared" si="215"/>
        <v>1530.68</v>
      </c>
      <c r="AD170" s="345">
        <f t="shared" ref="AD170:AE170" si="257">+AD169</f>
        <v>134.16999999999999</v>
      </c>
      <c r="AE170" s="345">
        <f t="shared" si="257"/>
        <v>188.55</v>
      </c>
      <c r="AF170" s="345">
        <f t="shared" si="191"/>
        <v>1952.76</v>
      </c>
      <c r="AG170" s="345">
        <f t="shared" si="192"/>
        <v>37403.02999999997</v>
      </c>
      <c r="AH170" s="345">
        <f t="shared" si="193"/>
        <v>139387.65000000002</v>
      </c>
      <c r="AI170" s="513">
        <f t="shared" si="176"/>
        <v>3593.1599999999935</v>
      </c>
      <c r="AJ170" s="513">
        <f t="shared" si="242"/>
        <v>-69826.800000000076</v>
      </c>
      <c r="AK170" s="512">
        <f t="shared" si="177"/>
        <v>-66233.640000000087</v>
      </c>
      <c r="AL170" s="345">
        <f t="shared" si="194"/>
        <v>293790.37000000011</v>
      </c>
      <c r="AM170" s="426">
        <f t="shared" si="223"/>
        <v>9</v>
      </c>
      <c r="AN170" s="21">
        <f t="shared" si="178"/>
        <v>1160.29</v>
      </c>
      <c r="AO170" s="21">
        <f t="shared" si="153"/>
        <v>226039.11000000004</v>
      </c>
      <c r="AP170" s="21">
        <f t="shared" si="179"/>
        <v>1179.76</v>
      </c>
      <c r="AQ170" s="21"/>
      <c r="AR170" s="23"/>
      <c r="AS170" s="21">
        <f t="shared" si="217"/>
        <v>1160.29</v>
      </c>
      <c r="AT170" s="21">
        <f t="shared" si="224"/>
        <v>129471.91999999968</v>
      </c>
      <c r="AU170" s="345">
        <f t="shared" si="225"/>
        <v>962.97941427704575</v>
      </c>
      <c r="AV170" s="345">
        <f t="shared" si="226"/>
        <v>124578.74512509537</v>
      </c>
    </row>
    <row r="171" spans="1:48" x14ac:dyDescent="0.25">
      <c r="A171" s="502">
        <f t="shared" si="181"/>
        <v>49089</v>
      </c>
      <c r="B171" s="285">
        <f t="shared" si="218"/>
        <v>67845.699999999939</v>
      </c>
      <c r="C171" s="14">
        <f t="shared" si="211"/>
        <v>450.28</v>
      </c>
      <c r="D171" s="14">
        <f t="shared" si="227"/>
        <v>238.25999999999996</v>
      </c>
      <c r="E171" s="14">
        <f t="shared" si="212"/>
        <v>212.02</v>
      </c>
      <c r="F171" s="14">
        <f t="shared" si="170"/>
        <v>134.16999999999999</v>
      </c>
      <c r="G171" s="14">
        <f t="shared" si="167"/>
        <v>188.55</v>
      </c>
      <c r="H171" s="14">
        <f t="shared" si="168"/>
        <v>773</v>
      </c>
      <c r="I171" s="285">
        <f t="shared" si="182"/>
        <v>29924.399999999991</v>
      </c>
      <c r="J171" s="285">
        <f t="shared" si="183"/>
        <v>41073.399999999994</v>
      </c>
      <c r="K171" s="285">
        <f t="shared" si="184"/>
        <v>67607.439999999944</v>
      </c>
      <c r="L171" s="425">
        <f t="shared" si="155"/>
        <v>9</v>
      </c>
      <c r="M171" s="425">
        <f t="shared" si="219"/>
        <v>112</v>
      </c>
      <c r="N171" s="285">
        <f t="shared" si="220"/>
        <v>223963.57000000004</v>
      </c>
      <c r="O171" s="285">
        <f t="shared" si="185"/>
        <v>1610.57</v>
      </c>
      <c r="P171" s="285">
        <f t="shared" si="228"/>
        <v>444.08999999999992</v>
      </c>
      <c r="Q171" s="285">
        <f t="shared" si="186"/>
        <v>1166.48</v>
      </c>
      <c r="R171" s="285">
        <f t="shared" si="173"/>
        <v>134.16999999999999</v>
      </c>
      <c r="S171" s="285">
        <f t="shared" si="174"/>
        <v>188.55</v>
      </c>
      <c r="T171" s="285">
        <f t="shared" si="171"/>
        <v>1933.29</v>
      </c>
      <c r="U171" s="285">
        <f t="shared" si="229"/>
        <v>38056.51999999999</v>
      </c>
      <c r="V171" s="285">
        <f t="shared" si="230"/>
        <v>143937.88999999993</v>
      </c>
      <c r="W171" s="285">
        <f t="shared" si="187"/>
        <v>223519.48000000004</v>
      </c>
      <c r="X171" s="502">
        <f t="shared" si="221"/>
        <v>49089</v>
      </c>
      <c r="Y171" s="285">
        <f t="shared" si="188"/>
        <v>293790.37000000011</v>
      </c>
      <c r="Z171" s="494">
        <f t="shared" si="213"/>
        <v>6.25E-2</v>
      </c>
      <c r="AA171" s="285">
        <f t="shared" si="214"/>
        <v>1630.04</v>
      </c>
      <c r="AB171" s="285">
        <f t="shared" si="189"/>
        <v>99.879999999999882</v>
      </c>
      <c r="AC171" s="285">
        <f t="shared" si="215"/>
        <v>1530.16</v>
      </c>
      <c r="AD171" s="285">
        <f t="shared" ref="AD171:AE171" si="258">+AD170</f>
        <v>134.16999999999999</v>
      </c>
      <c r="AE171" s="285">
        <f t="shared" si="258"/>
        <v>188.55</v>
      </c>
      <c r="AF171" s="285">
        <f t="shared" si="191"/>
        <v>1952.76</v>
      </c>
      <c r="AG171" s="285">
        <f t="shared" si="192"/>
        <v>37502.909999999967</v>
      </c>
      <c r="AH171" s="285">
        <f t="shared" si="193"/>
        <v>140917.81000000003</v>
      </c>
      <c r="AI171" s="512">
        <f t="shared" si="176"/>
        <v>3573.6899999999932</v>
      </c>
      <c r="AJ171" s="512">
        <f t="shared" si="242"/>
        <v>-70171.010000000068</v>
      </c>
      <c r="AK171" s="512">
        <f t="shared" si="177"/>
        <v>-66597.32000000008</v>
      </c>
      <c r="AL171" s="285">
        <f t="shared" si="194"/>
        <v>293690.49000000011</v>
      </c>
      <c r="AM171" s="425">
        <f t="shared" si="223"/>
        <v>9</v>
      </c>
      <c r="AN171" s="14">
        <f t="shared" si="178"/>
        <v>1160.29</v>
      </c>
      <c r="AO171" s="14">
        <f t="shared" si="153"/>
        <v>225833.28</v>
      </c>
      <c r="AP171" s="14">
        <f t="shared" si="179"/>
        <v>1179.76</v>
      </c>
      <c r="AS171" s="14">
        <f t="shared" si="217"/>
        <v>1160.29</v>
      </c>
      <c r="AT171" s="14">
        <f t="shared" si="224"/>
        <v>130632.20999999967</v>
      </c>
      <c r="AU171" s="285">
        <f t="shared" si="225"/>
        <v>965.3868628127384</v>
      </c>
      <c r="AV171" s="285">
        <f t="shared" si="226"/>
        <v>125544.13198790811</v>
      </c>
    </row>
    <row r="172" spans="1:48" x14ac:dyDescent="0.25">
      <c r="A172" s="502">
        <f t="shared" si="181"/>
        <v>49119</v>
      </c>
      <c r="B172" s="285">
        <f t="shared" si="218"/>
        <v>67607.439999999944</v>
      </c>
      <c r="C172" s="14">
        <f t="shared" si="211"/>
        <v>450.28</v>
      </c>
      <c r="D172" s="14">
        <f t="shared" si="227"/>
        <v>239.00999999999996</v>
      </c>
      <c r="E172" s="14">
        <f t="shared" si="212"/>
        <v>211.27</v>
      </c>
      <c r="F172" s="14">
        <f t="shared" si="170"/>
        <v>134.16999999999999</v>
      </c>
      <c r="G172" s="14">
        <f t="shared" si="167"/>
        <v>188.55</v>
      </c>
      <c r="H172" s="14">
        <f t="shared" si="168"/>
        <v>773</v>
      </c>
      <c r="I172" s="285">
        <f t="shared" si="182"/>
        <v>30163.409999999989</v>
      </c>
      <c r="J172" s="285">
        <f t="shared" si="183"/>
        <v>41284.669999999991</v>
      </c>
      <c r="K172" s="285">
        <f t="shared" si="184"/>
        <v>67368.429999999949</v>
      </c>
      <c r="L172" s="425">
        <f t="shared" si="155"/>
        <v>9</v>
      </c>
      <c r="M172" s="425">
        <f t="shared" si="219"/>
        <v>113</v>
      </c>
      <c r="N172" s="285">
        <f t="shared" si="220"/>
        <v>223519.48000000004</v>
      </c>
      <c r="O172" s="285">
        <f t="shared" si="185"/>
        <v>1610.57</v>
      </c>
      <c r="P172" s="285">
        <f t="shared" si="228"/>
        <v>446.40999999999985</v>
      </c>
      <c r="Q172" s="285">
        <f t="shared" si="186"/>
        <v>1164.1600000000001</v>
      </c>
      <c r="R172" s="285">
        <f t="shared" si="173"/>
        <v>134.16999999999999</v>
      </c>
      <c r="S172" s="285">
        <f t="shared" si="174"/>
        <v>188.55</v>
      </c>
      <c r="T172" s="285">
        <f t="shared" si="171"/>
        <v>1933.29</v>
      </c>
      <c r="U172" s="285">
        <f t="shared" si="229"/>
        <v>38502.929999999993</v>
      </c>
      <c r="V172" s="285">
        <f t="shared" si="230"/>
        <v>145102.04999999993</v>
      </c>
      <c r="W172" s="285">
        <f t="shared" si="187"/>
        <v>223073.07000000004</v>
      </c>
      <c r="X172" s="502">
        <f t="shared" si="221"/>
        <v>49119</v>
      </c>
      <c r="Y172" s="285">
        <f t="shared" si="188"/>
        <v>293690.49000000011</v>
      </c>
      <c r="Z172" s="494">
        <f t="shared" si="213"/>
        <v>6.25E-2</v>
      </c>
      <c r="AA172" s="285">
        <f t="shared" si="214"/>
        <v>1630.04</v>
      </c>
      <c r="AB172" s="285">
        <f t="shared" si="189"/>
        <v>100.39999999999986</v>
      </c>
      <c r="AC172" s="285">
        <f t="shared" si="215"/>
        <v>1529.64</v>
      </c>
      <c r="AD172" s="285">
        <f t="shared" ref="AD172:AE172" si="259">+AD171</f>
        <v>134.16999999999999</v>
      </c>
      <c r="AE172" s="285">
        <f t="shared" si="259"/>
        <v>188.55</v>
      </c>
      <c r="AF172" s="285">
        <f t="shared" si="191"/>
        <v>1952.76</v>
      </c>
      <c r="AG172" s="285">
        <f t="shared" si="192"/>
        <v>37603.309999999969</v>
      </c>
      <c r="AH172" s="285">
        <f t="shared" si="193"/>
        <v>142447.45000000004</v>
      </c>
      <c r="AI172" s="512">
        <f t="shared" si="176"/>
        <v>3554.219999999993</v>
      </c>
      <c r="AJ172" s="512">
        <f t="shared" si="242"/>
        <v>-70517.020000000048</v>
      </c>
      <c r="AK172" s="512">
        <f t="shared" si="177"/>
        <v>-66962.800000000061</v>
      </c>
      <c r="AL172" s="285">
        <f t="shared" si="194"/>
        <v>293590.09000000008</v>
      </c>
      <c r="AM172" s="425">
        <f t="shared" si="223"/>
        <v>9</v>
      </c>
      <c r="AN172" s="14">
        <f t="shared" si="178"/>
        <v>1160.29</v>
      </c>
      <c r="AO172" s="14">
        <f t="shared" si="153"/>
        <v>225625.88</v>
      </c>
      <c r="AP172" s="14">
        <f t="shared" si="179"/>
        <v>1179.76</v>
      </c>
      <c r="AS172" s="14">
        <f t="shared" si="217"/>
        <v>1160.29</v>
      </c>
      <c r="AT172" s="14">
        <f t="shared" si="224"/>
        <v>131792.49999999968</v>
      </c>
      <c r="AU172" s="285">
        <f t="shared" si="225"/>
        <v>967.80032996977025</v>
      </c>
      <c r="AV172" s="285">
        <f t="shared" si="226"/>
        <v>126511.93231787789</v>
      </c>
    </row>
    <row r="173" spans="1:48" x14ac:dyDescent="0.25">
      <c r="A173" s="502">
        <f t="shared" si="181"/>
        <v>49149</v>
      </c>
      <c r="B173" s="285">
        <f t="shared" si="218"/>
        <v>67368.429999999949</v>
      </c>
      <c r="C173" s="14">
        <f t="shared" si="211"/>
        <v>450.28</v>
      </c>
      <c r="D173" s="14">
        <f t="shared" si="227"/>
        <v>239.74999999999997</v>
      </c>
      <c r="E173" s="14">
        <f t="shared" si="212"/>
        <v>210.53</v>
      </c>
      <c r="F173" s="14">
        <f t="shared" si="170"/>
        <v>134.16999999999999</v>
      </c>
      <c r="G173" s="14">
        <f t="shared" si="167"/>
        <v>188.55</v>
      </c>
      <c r="H173" s="14">
        <f t="shared" si="168"/>
        <v>773</v>
      </c>
      <c r="I173" s="285">
        <f t="shared" si="182"/>
        <v>30403.159999999989</v>
      </c>
      <c r="J173" s="285">
        <f t="shared" si="183"/>
        <v>41495.19999999999</v>
      </c>
      <c r="K173" s="285">
        <f t="shared" si="184"/>
        <v>67128.679999999949</v>
      </c>
      <c r="L173" s="425">
        <f t="shared" si="155"/>
        <v>9</v>
      </c>
      <c r="M173" s="425">
        <f t="shared" si="219"/>
        <v>114</v>
      </c>
      <c r="N173" s="285">
        <f t="shared" si="220"/>
        <v>223073.07000000004</v>
      </c>
      <c r="O173" s="285">
        <f t="shared" si="185"/>
        <v>1610.57</v>
      </c>
      <c r="P173" s="285">
        <f t="shared" si="228"/>
        <v>448.73</v>
      </c>
      <c r="Q173" s="285">
        <f t="shared" si="186"/>
        <v>1161.8399999999999</v>
      </c>
      <c r="R173" s="285">
        <f t="shared" si="173"/>
        <v>134.16999999999999</v>
      </c>
      <c r="S173" s="285">
        <f t="shared" si="174"/>
        <v>188.55</v>
      </c>
      <c r="T173" s="285">
        <f t="shared" si="171"/>
        <v>1933.29</v>
      </c>
      <c r="U173" s="285">
        <f t="shared" si="229"/>
        <v>38951.659999999996</v>
      </c>
      <c r="V173" s="285">
        <f t="shared" si="230"/>
        <v>146263.88999999993</v>
      </c>
      <c r="W173" s="285">
        <f t="shared" si="187"/>
        <v>222624.34000000003</v>
      </c>
      <c r="X173" s="502">
        <f t="shared" si="221"/>
        <v>49149</v>
      </c>
      <c r="Y173" s="285">
        <f t="shared" si="188"/>
        <v>293590.09000000008</v>
      </c>
      <c r="Z173" s="494">
        <f t="shared" si="213"/>
        <v>6.25E-2</v>
      </c>
      <c r="AA173" s="285">
        <f t="shared" si="214"/>
        <v>1630.04</v>
      </c>
      <c r="AB173" s="285">
        <f t="shared" si="189"/>
        <v>100.92000000000007</v>
      </c>
      <c r="AC173" s="285">
        <f t="shared" si="215"/>
        <v>1529.12</v>
      </c>
      <c r="AD173" s="285">
        <f t="shared" ref="AD173:AE173" si="260">+AD172</f>
        <v>134.16999999999999</v>
      </c>
      <c r="AE173" s="285">
        <f t="shared" si="260"/>
        <v>188.55</v>
      </c>
      <c r="AF173" s="285">
        <f t="shared" si="191"/>
        <v>1952.76</v>
      </c>
      <c r="AG173" s="285">
        <f t="shared" si="192"/>
        <v>37704.229999999967</v>
      </c>
      <c r="AH173" s="285">
        <f t="shared" si="193"/>
        <v>143976.57000000004</v>
      </c>
      <c r="AI173" s="512">
        <f t="shared" si="176"/>
        <v>3534.7499999999927</v>
      </c>
      <c r="AJ173" s="512">
        <f t="shared" si="242"/>
        <v>-70864.830000000075</v>
      </c>
      <c r="AK173" s="512">
        <f t="shared" si="177"/>
        <v>-67330.080000000075</v>
      </c>
      <c r="AL173" s="285">
        <f t="shared" si="194"/>
        <v>293489.1700000001</v>
      </c>
      <c r="AM173" s="425">
        <f t="shared" si="223"/>
        <v>9</v>
      </c>
      <c r="AN173" s="14">
        <f t="shared" si="178"/>
        <v>1160.29</v>
      </c>
      <c r="AO173" s="14">
        <f t="shared" ref="AO173:AO236" si="261">IF(W173&lt;=0,0,+$AA$5-$C$2+I173-U173)</f>
        <v>225416.9</v>
      </c>
      <c r="AP173" s="14">
        <f t="shared" si="179"/>
        <v>1179.76</v>
      </c>
      <c r="AS173" s="14">
        <f t="shared" si="217"/>
        <v>1160.29</v>
      </c>
      <c r="AT173" s="14">
        <f t="shared" si="224"/>
        <v>132952.78999999969</v>
      </c>
      <c r="AU173" s="285">
        <f t="shared" si="225"/>
        <v>970.21983079469464</v>
      </c>
      <c r="AV173" s="285">
        <f t="shared" si="226"/>
        <v>127482.15214867258</v>
      </c>
    </row>
    <row r="174" spans="1:48" x14ac:dyDescent="0.25">
      <c r="A174" s="502">
        <f t="shared" si="181"/>
        <v>49179</v>
      </c>
      <c r="B174" s="285">
        <f t="shared" si="218"/>
        <v>67128.679999999949</v>
      </c>
      <c r="C174" s="14">
        <f t="shared" si="211"/>
        <v>450.28</v>
      </c>
      <c r="D174" s="14">
        <f t="shared" si="227"/>
        <v>240.49999999999997</v>
      </c>
      <c r="E174" s="14">
        <f t="shared" si="212"/>
        <v>209.78</v>
      </c>
      <c r="F174" s="14">
        <f t="shared" si="170"/>
        <v>134.16999999999999</v>
      </c>
      <c r="G174" s="14">
        <f t="shared" si="167"/>
        <v>188.55</v>
      </c>
      <c r="H174" s="14">
        <f t="shared" si="168"/>
        <v>773</v>
      </c>
      <c r="I174" s="285">
        <f t="shared" si="182"/>
        <v>30643.659999999989</v>
      </c>
      <c r="J174" s="285">
        <f t="shared" si="183"/>
        <v>41704.979999999989</v>
      </c>
      <c r="K174" s="285">
        <f t="shared" si="184"/>
        <v>66888.179999999949</v>
      </c>
      <c r="L174" s="425">
        <f t="shared" si="155"/>
        <v>9</v>
      </c>
      <c r="M174" s="425">
        <f t="shared" si="219"/>
        <v>115</v>
      </c>
      <c r="N174" s="285">
        <f t="shared" si="220"/>
        <v>222624.34000000003</v>
      </c>
      <c r="O174" s="285">
        <f t="shared" si="185"/>
        <v>1610.57</v>
      </c>
      <c r="P174" s="285">
        <f t="shared" si="228"/>
        <v>451.06999999999994</v>
      </c>
      <c r="Q174" s="285">
        <f t="shared" si="186"/>
        <v>1159.5</v>
      </c>
      <c r="R174" s="285">
        <f t="shared" si="173"/>
        <v>134.16999999999999</v>
      </c>
      <c r="S174" s="285">
        <f t="shared" si="174"/>
        <v>188.55</v>
      </c>
      <c r="T174" s="285">
        <f t="shared" si="171"/>
        <v>1933.29</v>
      </c>
      <c r="U174" s="285">
        <f t="shared" si="229"/>
        <v>39402.729999999996</v>
      </c>
      <c r="V174" s="285">
        <f t="shared" si="230"/>
        <v>147423.38999999993</v>
      </c>
      <c r="W174" s="285">
        <f t="shared" si="187"/>
        <v>222173.27000000002</v>
      </c>
      <c r="X174" s="502">
        <f t="shared" si="221"/>
        <v>49179</v>
      </c>
      <c r="Y174" s="285">
        <f t="shared" si="188"/>
        <v>293489.1700000001</v>
      </c>
      <c r="Z174" s="494">
        <f t="shared" si="213"/>
        <v>6.25E-2</v>
      </c>
      <c r="AA174" s="285">
        <f t="shared" si="214"/>
        <v>1630.04</v>
      </c>
      <c r="AB174" s="285">
        <f t="shared" si="189"/>
        <v>101.45000000000005</v>
      </c>
      <c r="AC174" s="285">
        <f t="shared" si="215"/>
        <v>1528.59</v>
      </c>
      <c r="AD174" s="285">
        <f t="shared" ref="AD174:AE174" si="262">+AD173</f>
        <v>134.16999999999999</v>
      </c>
      <c r="AE174" s="285">
        <f t="shared" si="262"/>
        <v>188.55</v>
      </c>
      <c r="AF174" s="285">
        <f t="shared" si="191"/>
        <v>1952.76</v>
      </c>
      <c r="AG174" s="285">
        <f t="shared" si="192"/>
        <v>37805.679999999964</v>
      </c>
      <c r="AH174" s="285">
        <f t="shared" si="193"/>
        <v>145505.16000000003</v>
      </c>
      <c r="AI174" s="512">
        <f t="shared" si="176"/>
        <v>3515.2799999999925</v>
      </c>
      <c r="AJ174" s="512">
        <f t="shared" si="242"/>
        <v>-71214.45000000007</v>
      </c>
      <c r="AK174" s="512">
        <f t="shared" si="177"/>
        <v>-67699.170000000071</v>
      </c>
      <c r="AL174" s="285">
        <f t="shared" si="194"/>
        <v>293387.72000000009</v>
      </c>
      <c r="AM174" s="425">
        <f t="shared" si="223"/>
        <v>9</v>
      </c>
      <c r="AN174" s="14">
        <f t="shared" si="178"/>
        <v>1160.29</v>
      </c>
      <c r="AO174" s="14">
        <f t="shared" si="261"/>
        <v>225206.33000000002</v>
      </c>
      <c r="AP174" s="14">
        <f t="shared" si="179"/>
        <v>1179.76</v>
      </c>
      <c r="AS174" s="14">
        <f t="shared" si="217"/>
        <v>1160.29</v>
      </c>
      <c r="AT174" s="14">
        <f t="shared" si="224"/>
        <v>134113.0799999997</v>
      </c>
      <c r="AU174" s="285">
        <f t="shared" si="225"/>
        <v>972.64538037168143</v>
      </c>
      <c r="AV174" s="285">
        <f t="shared" si="226"/>
        <v>128454.79752904427</v>
      </c>
    </row>
    <row r="175" spans="1:48" x14ac:dyDescent="0.25">
      <c r="A175" s="502">
        <f t="shared" si="181"/>
        <v>49209</v>
      </c>
      <c r="B175" s="285">
        <f t="shared" si="218"/>
        <v>66888.179999999949</v>
      </c>
      <c r="C175" s="14">
        <f t="shared" si="211"/>
        <v>450.28</v>
      </c>
      <c r="D175" s="14">
        <f t="shared" si="227"/>
        <v>241.24999999999997</v>
      </c>
      <c r="E175" s="14">
        <f t="shared" si="212"/>
        <v>209.03</v>
      </c>
      <c r="F175" s="14">
        <f t="shared" si="170"/>
        <v>134.16999999999999</v>
      </c>
      <c r="G175" s="14">
        <f t="shared" si="167"/>
        <v>188.55</v>
      </c>
      <c r="H175" s="14">
        <f t="shared" si="168"/>
        <v>773</v>
      </c>
      <c r="I175" s="285">
        <f t="shared" si="182"/>
        <v>30884.909999999989</v>
      </c>
      <c r="J175" s="285">
        <f t="shared" si="183"/>
        <v>41914.009999999987</v>
      </c>
      <c r="K175" s="285">
        <f t="shared" si="184"/>
        <v>66646.929999999949</v>
      </c>
      <c r="L175" s="425">
        <f t="shared" ref="L175:L238" si="263">IF(MOD(M175,12)=0,M175/12,L174)</f>
        <v>9</v>
      </c>
      <c r="M175" s="425">
        <f t="shared" si="219"/>
        <v>116</v>
      </c>
      <c r="N175" s="285">
        <f t="shared" si="220"/>
        <v>222173.27000000002</v>
      </c>
      <c r="O175" s="285">
        <f t="shared" si="185"/>
        <v>1610.57</v>
      </c>
      <c r="P175" s="285">
        <f t="shared" si="228"/>
        <v>453.41999999999985</v>
      </c>
      <c r="Q175" s="285">
        <f t="shared" si="186"/>
        <v>1157.1500000000001</v>
      </c>
      <c r="R175" s="285">
        <f t="shared" si="173"/>
        <v>134.16999999999999</v>
      </c>
      <c r="S175" s="285">
        <f t="shared" si="174"/>
        <v>188.55</v>
      </c>
      <c r="T175" s="285">
        <f t="shared" si="171"/>
        <v>1933.29</v>
      </c>
      <c r="U175" s="285">
        <f t="shared" si="229"/>
        <v>39856.149999999994</v>
      </c>
      <c r="V175" s="285">
        <f t="shared" si="230"/>
        <v>148580.53999999992</v>
      </c>
      <c r="W175" s="285">
        <f t="shared" si="187"/>
        <v>221719.85</v>
      </c>
      <c r="X175" s="502">
        <f t="shared" si="221"/>
        <v>49209</v>
      </c>
      <c r="Y175" s="285">
        <f t="shared" si="188"/>
        <v>293387.72000000009</v>
      </c>
      <c r="Z175" s="494">
        <f t="shared" si="213"/>
        <v>6.25E-2</v>
      </c>
      <c r="AA175" s="285">
        <f t="shared" si="214"/>
        <v>1630.04</v>
      </c>
      <c r="AB175" s="285">
        <f t="shared" si="189"/>
        <v>101.98000000000002</v>
      </c>
      <c r="AC175" s="285">
        <f t="shared" si="215"/>
        <v>1528.06</v>
      </c>
      <c r="AD175" s="285">
        <f t="shared" ref="AD175:AE175" si="264">+AD174</f>
        <v>134.16999999999999</v>
      </c>
      <c r="AE175" s="285">
        <f t="shared" si="264"/>
        <v>188.55</v>
      </c>
      <c r="AF175" s="285">
        <f t="shared" si="191"/>
        <v>1952.76</v>
      </c>
      <c r="AG175" s="285">
        <f t="shared" si="192"/>
        <v>37907.659999999967</v>
      </c>
      <c r="AH175" s="285">
        <f t="shared" si="193"/>
        <v>147033.22000000003</v>
      </c>
      <c r="AI175" s="512">
        <f t="shared" si="176"/>
        <v>3495.8099999999922</v>
      </c>
      <c r="AJ175" s="512">
        <f t="shared" si="242"/>
        <v>-71565.890000000101</v>
      </c>
      <c r="AK175" s="512">
        <f t="shared" si="177"/>
        <v>-68070.080000000104</v>
      </c>
      <c r="AL175" s="285">
        <f t="shared" si="194"/>
        <v>293285.74000000011</v>
      </c>
      <c r="AM175" s="425">
        <f t="shared" si="223"/>
        <v>9</v>
      </c>
      <c r="AN175" s="14">
        <f t="shared" si="178"/>
        <v>1160.29</v>
      </c>
      <c r="AO175" s="14">
        <f t="shared" si="261"/>
        <v>224994.16</v>
      </c>
      <c r="AP175" s="14">
        <f t="shared" si="179"/>
        <v>1179.76</v>
      </c>
      <c r="AS175" s="14">
        <f t="shared" si="217"/>
        <v>1160.29</v>
      </c>
      <c r="AT175" s="14">
        <f t="shared" si="224"/>
        <v>135273.3699999997</v>
      </c>
      <c r="AU175" s="285">
        <f t="shared" si="225"/>
        <v>975.07699382261069</v>
      </c>
      <c r="AV175" s="285">
        <f t="shared" si="226"/>
        <v>129429.87452286688</v>
      </c>
    </row>
    <row r="176" spans="1:48" x14ac:dyDescent="0.25">
      <c r="A176" s="502">
        <f t="shared" si="181"/>
        <v>49239</v>
      </c>
      <c r="B176" s="285">
        <f t="shared" si="218"/>
        <v>66646.929999999949</v>
      </c>
      <c r="C176" s="14">
        <f t="shared" si="211"/>
        <v>450.28</v>
      </c>
      <c r="D176" s="14">
        <f t="shared" si="227"/>
        <v>242.00999999999996</v>
      </c>
      <c r="E176" s="14">
        <f t="shared" si="212"/>
        <v>208.27</v>
      </c>
      <c r="F176" s="14">
        <f t="shared" si="170"/>
        <v>134.16999999999999</v>
      </c>
      <c r="G176" s="14">
        <f t="shared" si="167"/>
        <v>188.55</v>
      </c>
      <c r="H176" s="14">
        <f t="shared" si="168"/>
        <v>773</v>
      </c>
      <c r="I176" s="285">
        <f t="shared" si="182"/>
        <v>31126.919999999987</v>
      </c>
      <c r="J176" s="285">
        <f t="shared" si="183"/>
        <v>42122.279999999984</v>
      </c>
      <c r="K176" s="285">
        <f t="shared" si="184"/>
        <v>66404.919999999955</v>
      </c>
      <c r="L176" s="425">
        <f t="shared" si="263"/>
        <v>9</v>
      </c>
      <c r="M176" s="425">
        <f t="shared" si="219"/>
        <v>117</v>
      </c>
      <c r="N176" s="285">
        <f t="shared" si="220"/>
        <v>221719.85</v>
      </c>
      <c r="O176" s="285">
        <f t="shared" si="185"/>
        <v>1610.57</v>
      </c>
      <c r="P176" s="285">
        <f t="shared" si="228"/>
        <v>455.78</v>
      </c>
      <c r="Q176" s="285">
        <f t="shared" si="186"/>
        <v>1154.79</v>
      </c>
      <c r="R176" s="285">
        <f t="shared" si="173"/>
        <v>134.16999999999999</v>
      </c>
      <c r="S176" s="285">
        <f t="shared" si="174"/>
        <v>188.55</v>
      </c>
      <c r="T176" s="285">
        <f t="shared" si="171"/>
        <v>1933.29</v>
      </c>
      <c r="U176" s="285">
        <f t="shared" si="229"/>
        <v>40311.929999999993</v>
      </c>
      <c r="V176" s="285">
        <f t="shared" si="230"/>
        <v>149735.32999999993</v>
      </c>
      <c r="W176" s="285">
        <f t="shared" si="187"/>
        <v>221264.07</v>
      </c>
      <c r="X176" s="502">
        <f t="shared" si="221"/>
        <v>49239</v>
      </c>
      <c r="Y176" s="285">
        <f t="shared" si="188"/>
        <v>293285.74000000011</v>
      </c>
      <c r="Z176" s="494">
        <f t="shared" si="213"/>
        <v>6.25E-2</v>
      </c>
      <c r="AA176" s="285">
        <f t="shared" si="214"/>
        <v>1630.04</v>
      </c>
      <c r="AB176" s="285">
        <f t="shared" si="189"/>
        <v>102.50999999999999</v>
      </c>
      <c r="AC176" s="285">
        <f t="shared" si="215"/>
        <v>1527.53</v>
      </c>
      <c r="AD176" s="285">
        <f t="shared" ref="AD176:AE176" si="265">+AD175</f>
        <v>134.16999999999999</v>
      </c>
      <c r="AE176" s="285">
        <f t="shared" si="265"/>
        <v>188.55</v>
      </c>
      <c r="AF176" s="285">
        <f t="shared" si="191"/>
        <v>1952.76</v>
      </c>
      <c r="AG176" s="285">
        <f t="shared" si="192"/>
        <v>38010.169999999969</v>
      </c>
      <c r="AH176" s="285">
        <f t="shared" si="193"/>
        <v>148560.75000000003</v>
      </c>
      <c r="AI176" s="512">
        <f t="shared" si="176"/>
        <v>3476.339999999992</v>
      </c>
      <c r="AJ176" s="512">
        <f t="shared" si="242"/>
        <v>-71919.160000000091</v>
      </c>
      <c r="AK176" s="512">
        <f t="shared" si="177"/>
        <v>-68442.820000000094</v>
      </c>
      <c r="AL176" s="285">
        <f t="shared" si="194"/>
        <v>293183.2300000001</v>
      </c>
      <c r="AM176" s="425">
        <f t="shared" si="223"/>
        <v>9</v>
      </c>
      <c r="AN176" s="14">
        <f t="shared" si="178"/>
        <v>1160.29</v>
      </c>
      <c r="AO176" s="14">
        <f t="shared" si="261"/>
        <v>224780.39</v>
      </c>
      <c r="AP176" s="14">
        <f t="shared" si="179"/>
        <v>1179.76</v>
      </c>
      <c r="AS176" s="14">
        <f t="shared" si="217"/>
        <v>1160.29</v>
      </c>
      <c r="AT176" s="14">
        <f t="shared" si="224"/>
        <v>136433.65999999971</v>
      </c>
      <c r="AU176" s="285">
        <f t="shared" si="225"/>
        <v>977.51468630716727</v>
      </c>
      <c r="AV176" s="285">
        <f t="shared" si="226"/>
        <v>130407.38920917406</v>
      </c>
    </row>
    <row r="177" spans="1:48" x14ac:dyDescent="0.25">
      <c r="A177" s="502">
        <f t="shared" si="181"/>
        <v>49269</v>
      </c>
      <c r="B177" s="285">
        <f t="shared" si="218"/>
        <v>66404.919999999955</v>
      </c>
      <c r="C177" s="14">
        <f t="shared" si="211"/>
        <v>450.28</v>
      </c>
      <c r="D177" s="14">
        <f t="shared" si="227"/>
        <v>242.75999999999996</v>
      </c>
      <c r="E177" s="14">
        <f t="shared" si="212"/>
        <v>207.52</v>
      </c>
      <c r="F177" s="14">
        <f t="shared" si="170"/>
        <v>134.16999999999999</v>
      </c>
      <c r="G177" s="14">
        <f t="shared" si="167"/>
        <v>188.55</v>
      </c>
      <c r="H177" s="14">
        <f t="shared" si="168"/>
        <v>773</v>
      </c>
      <c r="I177" s="285">
        <f t="shared" si="182"/>
        <v>31369.679999999986</v>
      </c>
      <c r="J177" s="285">
        <f t="shared" si="183"/>
        <v>42329.799999999981</v>
      </c>
      <c r="K177" s="285">
        <f t="shared" si="184"/>
        <v>66162.15999999996</v>
      </c>
      <c r="L177" s="425">
        <f t="shared" si="263"/>
        <v>9</v>
      </c>
      <c r="M177" s="425">
        <f t="shared" si="219"/>
        <v>118</v>
      </c>
      <c r="N177" s="285">
        <f t="shared" si="220"/>
        <v>221264.07</v>
      </c>
      <c r="O177" s="285">
        <f t="shared" si="185"/>
        <v>1610.57</v>
      </c>
      <c r="P177" s="285">
        <f t="shared" si="228"/>
        <v>458.14999999999986</v>
      </c>
      <c r="Q177" s="285">
        <f t="shared" si="186"/>
        <v>1152.42</v>
      </c>
      <c r="R177" s="285">
        <f t="shared" si="173"/>
        <v>134.16999999999999</v>
      </c>
      <c r="S177" s="285">
        <f t="shared" si="174"/>
        <v>188.55</v>
      </c>
      <c r="T177" s="285">
        <f t="shared" si="171"/>
        <v>1933.29</v>
      </c>
      <c r="U177" s="285">
        <f t="shared" si="229"/>
        <v>40770.079999999994</v>
      </c>
      <c r="V177" s="285">
        <f t="shared" si="230"/>
        <v>150887.74999999994</v>
      </c>
      <c r="W177" s="285">
        <f t="shared" si="187"/>
        <v>220805.92</v>
      </c>
      <c r="X177" s="502">
        <f t="shared" si="221"/>
        <v>49269</v>
      </c>
      <c r="Y177" s="285">
        <f t="shared" si="188"/>
        <v>293183.2300000001</v>
      </c>
      <c r="Z177" s="494">
        <f t="shared" si="213"/>
        <v>6.25E-2</v>
      </c>
      <c r="AA177" s="285">
        <f t="shared" si="214"/>
        <v>1630.04</v>
      </c>
      <c r="AB177" s="285">
        <f t="shared" si="189"/>
        <v>103.03999999999996</v>
      </c>
      <c r="AC177" s="285">
        <f t="shared" si="215"/>
        <v>1527</v>
      </c>
      <c r="AD177" s="285">
        <f t="shared" ref="AD177:AE177" si="266">+AD176</f>
        <v>134.16999999999999</v>
      </c>
      <c r="AE177" s="285">
        <f t="shared" si="266"/>
        <v>188.55</v>
      </c>
      <c r="AF177" s="285">
        <f t="shared" si="191"/>
        <v>1952.76</v>
      </c>
      <c r="AG177" s="285">
        <f t="shared" si="192"/>
        <v>38113.20999999997</v>
      </c>
      <c r="AH177" s="285">
        <f t="shared" si="193"/>
        <v>150087.75000000003</v>
      </c>
      <c r="AI177" s="512">
        <f t="shared" si="176"/>
        <v>3456.8699999999917</v>
      </c>
      <c r="AJ177" s="512">
        <f t="shared" si="242"/>
        <v>-72274.270000000106</v>
      </c>
      <c r="AK177" s="512">
        <f t="shared" si="177"/>
        <v>-68817.400000000111</v>
      </c>
      <c r="AL177" s="285">
        <f t="shared" si="194"/>
        <v>293080.19000000012</v>
      </c>
      <c r="AM177" s="425">
        <f t="shared" si="223"/>
        <v>9</v>
      </c>
      <c r="AN177" s="14">
        <f t="shared" si="178"/>
        <v>1160.29</v>
      </c>
      <c r="AO177" s="14">
        <f t="shared" si="261"/>
        <v>224565.00000000003</v>
      </c>
      <c r="AP177" s="14">
        <f t="shared" si="179"/>
        <v>1179.76</v>
      </c>
      <c r="AS177" s="14">
        <f t="shared" si="217"/>
        <v>1160.29</v>
      </c>
      <c r="AT177" s="14">
        <f t="shared" si="224"/>
        <v>137593.94999999972</v>
      </c>
      <c r="AU177" s="285">
        <f t="shared" si="225"/>
        <v>979.95847302293521</v>
      </c>
      <c r="AV177" s="285">
        <f t="shared" si="226"/>
        <v>131387.347682197</v>
      </c>
    </row>
    <row r="178" spans="1:48" x14ac:dyDescent="0.25">
      <c r="A178" s="502">
        <f t="shared" si="181"/>
        <v>49299</v>
      </c>
      <c r="B178" s="285">
        <f t="shared" si="218"/>
        <v>66162.15999999996</v>
      </c>
      <c r="C178" s="14">
        <f t="shared" si="211"/>
        <v>450.28</v>
      </c>
      <c r="D178" s="14">
        <f t="shared" si="227"/>
        <v>243.51999999999998</v>
      </c>
      <c r="E178" s="14">
        <f t="shared" si="212"/>
        <v>206.76</v>
      </c>
      <c r="F178" s="14">
        <f t="shared" si="170"/>
        <v>134.16999999999999</v>
      </c>
      <c r="G178" s="14">
        <f t="shared" si="167"/>
        <v>188.55</v>
      </c>
      <c r="H178" s="14">
        <f t="shared" si="168"/>
        <v>773</v>
      </c>
      <c r="I178" s="285">
        <f t="shared" si="182"/>
        <v>31613.199999999986</v>
      </c>
      <c r="J178" s="285">
        <f t="shared" si="183"/>
        <v>42536.559999999983</v>
      </c>
      <c r="K178" s="285">
        <f t="shared" si="184"/>
        <v>65918.639999999956</v>
      </c>
      <c r="L178" s="425">
        <f t="shared" si="263"/>
        <v>9</v>
      </c>
      <c r="M178" s="425">
        <f t="shared" si="219"/>
        <v>119</v>
      </c>
      <c r="N178" s="285">
        <f t="shared" si="220"/>
        <v>220805.92</v>
      </c>
      <c r="O178" s="285">
        <f t="shared" si="185"/>
        <v>1610.57</v>
      </c>
      <c r="P178" s="285">
        <f t="shared" si="228"/>
        <v>460.53999999999996</v>
      </c>
      <c r="Q178" s="285">
        <f t="shared" si="186"/>
        <v>1150.03</v>
      </c>
      <c r="R178" s="285">
        <f t="shared" si="173"/>
        <v>134.16999999999999</v>
      </c>
      <c r="S178" s="285">
        <f t="shared" si="174"/>
        <v>188.55</v>
      </c>
      <c r="T178" s="285">
        <f t="shared" si="171"/>
        <v>1933.29</v>
      </c>
      <c r="U178" s="285">
        <f t="shared" si="229"/>
        <v>41230.619999999995</v>
      </c>
      <c r="V178" s="285">
        <f t="shared" si="230"/>
        <v>152037.77999999994</v>
      </c>
      <c r="W178" s="285">
        <f t="shared" si="187"/>
        <v>220345.38</v>
      </c>
      <c r="X178" s="502">
        <f t="shared" si="221"/>
        <v>49299</v>
      </c>
      <c r="Y178" s="285">
        <f t="shared" si="188"/>
        <v>293080.19000000012</v>
      </c>
      <c r="Z178" s="494">
        <f t="shared" si="213"/>
        <v>6.25E-2</v>
      </c>
      <c r="AA178" s="285">
        <f t="shared" si="214"/>
        <v>1630.04</v>
      </c>
      <c r="AB178" s="285">
        <f t="shared" si="189"/>
        <v>103.57999999999993</v>
      </c>
      <c r="AC178" s="285">
        <f t="shared" si="215"/>
        <v>1526.46</v>
      </c>
      <c r="AD178" s="285">
        <f t="shared" ref="AD178:AE178" si="267">+AD177</f>
        <v>134.16999999999999</v>
      </c>
      <c r="AE178" s="285">
        <f t="shared" si="267"/>
        <v>188.55</v>
      </c>
      <c r="AF178" s="285">
        <f t="shared" si="191"/>
        <v>1952.76</v>
      </c>
      <c r="AG178" s="285">
        <f t="shared" si="192"/>
        <v>38216.789999999972</v>
      </c>
      <c r="AH178" s="285">
        <f t="shared" si="193"/>
        <v>151614.21000000002</v>
      </c>
      <c r="AI178" s="512">
        <f t="shared" si="176"/>
        <v>3437.3999999999915</v>
      </c>
      <c r="AJ178" s="512">
        <f t="shared" si="242"/>
        <v>-72631.230000000098</v>
      </c>
      <c r="AK178" s="512">
        <f t="shared" si="177"/>
        <v>-69193.830000000104</v>
      </c>
      <c r="AL178" s="285">
        <f t="shared" si="194"/>
        <v>292976.6100000001</v>
      </c>
      <c r="AM178" s="425">
        <f t="shared" si="223"/>
        <v>9</v>
      </c>
      <c r="AN178" s="14">
        <f t="shared" si="178"/>
        <v>1160.29</v>
      </c>
      <c r="AO178" s="14">
        <f t="shared" si="261"/>
        <v>224347.98000000004</v>
      </c>
      <c r="AP178" s="14">
        <f t="shared" si="179"/>
        <v>1179.76</v>
      </c>
      <c r="AS178" s="14">
        <f t="shared" si="217"/>
        <v>1160.29</v>
      </c>
      <c r="AT178" s="14">
        <f t="shared" si="224"/>
        <v>138754.23999999973</v>
      </c>
      <c r="AU178" s="285">
        <f t="shared" si="225"/>
        <v>982.40836920549248</v>
      </c>
      <c r="AV178" s="285">
        <f t="shared" si="226"/>
        <v>132369.75605140248</v>
      </c>
    </row>
    <row r="179" spans="1:48" x14ac:dyDescent="0.25">
      <c r="A179" s="502">
        <f t="shared" si="181"/>
        <v>49329</v>
      </c>
      <c r="B179" s="285">
        <f t="shared" si="218"/>
        <v>65918.639999999956</v>
      </c>
      <c r="C179" s="14">
        <f t="shared" si="211"/>
        <v>450.28</v>
      </c>
      <c r="D179" s="14">
        <f t="shared" si="227"/>
        <v>244.27999999999997</v>
      </c>
      <c r="E179" s="14">
        <f t="shared" si="212"/>
        <v>206</v>
      </c>
      <c r="F179" s="14">
        <f t="shared" si="170"/>
        <v>134.16999999999999</v>
      </c>
      <c r="G179" s="14">
        <f t="shared" si="167"/>
        <v>188.55</v>
      </c>
      <c r="H179" s="14">
        <f t="shared" si="168"/>
        <v>773</v>
      </c>
      <c r="I179" s="285">
        <f t="shared" si="182"/>
        <v>31857.479999999985</v>
      </c>
      <c r="J179" s="285">
        <f t="shared" si="183"/>
        <v>42742.559999999983</v>
      </c>
      <c r="K179" s="285">
        <f t="shared" si="184"/>
        <v>65674.359999999957</v>
      </c>
      <c r="L179" s="425">
        <f t="shared" si="263"/>
        <v>10</v>
      </c>
      <c r="M179" s="425">
        <f t="shared" si="219"/>
        <v>120</v>
      </c>
      <c r="N179" s="285">
        <f t="shared" si="220"/>
        <v>220345.38</v>
      </c>
      <c r="O179" s="285">
        <f t="shared" si="185"/>
        <v>1610.57</v>
      </c>
      <c r="P179" s="285">
        <f t="shared" si="228"/>
        <v>462.93999999999983</v>
      </c>
      <c r="Q179" s="285">
        <f t="shared" si="186"/>
        <v>1147.6300000000001</v>
      </c>
      <c r="R179" s="285">
        <f t="shared" si="173"/>
        <v>134.16999999999999</v>
      </c>
      <c r="S179" s="285">
        <f t="shared" si="174"/>
        <v>188.55</v>
      </c>
      <c r="T179" s="285">
        <f t="shared" si="171"/>
        <v>1933.29</v>
      </c>
      <c r="U179" s="285">
        <f t="shared" si="229"/>
        <v>41693.56</v>
      </c>
      <c r="V179" s="285">
        <f t="shared" si="230"/>
        <v>153185.40999999995</v>
      </c>
      <c r="W179" s="285">
        <f t="shared" si="187"/>
        <v>219882.44</v>
      </c>
      <c r="X179" s="502">
        <f t="shared" si="221"/>
        <v>49329</v>
      </c>
      <c r="Y179" s="285">
        <f t="shared" si="188"/>
        <v>292976.6100000001</v>
      </c>
      <c r="Z179" s="494">
        <f t="shared" si="213"/>
        <v>6.25E-2</v>
      </c>
      <c r="AA179" s="285">
        <f t="shared" si="214"/>
        <v>1630.04</v>
      </c>
      <c r="AB179" s="285">
        <f t="shared" si="189"/>
        <v>104.11999999999989</v>
      </c>
      <c r="AC179" s="285">
        <f t="shared" si="215"/>
        <v>1525.92</v>
      </c>
      <c r="AD179" s="285">
        <f t="shared" ref="AD179:AE179" si="268">+AD178</f>
        <v>134.16999999999999</v>
      </c>
      <c r="AE179" s="285">
        <f t="shared" si="268"/>
        <v>188.55</v>
      </c>
      <c r="AF179" s="285">
        <f t="shared" si="191"/>
        <v>1952.76</v>
      </c>
      <c r="AG179" s="285">
        <f t="shared" si="192"/>
        <v>38320.909999999974</v>
      </c>
      <c r="AH179" s="285">
        <f t="shared" si="193"/>
        <v>153140.13000000003</v>
      </c>
      <c r="AI179" s="512">
        <f t="shared" si="176"/>
        <v>3417.9299999999912</v>
      </c>
      <c r="AJ179" s="512">
        <f t="shared" si="242"/>
        <v>-72990.050000000105</v>
      </c>
      <c r="AK179" s="512">
        <f t="shared" si="177"/>
        <v>-69572.120000000112</v>
      </c>
      <c r="AL179" s="285">
        <f t="shared" si="194"/>
        <v>292872.49000000011</v>
      </c>
      <c r="AM179" s="425">
        <f t="shared" si="223"/>
        <v>10</v>
      </c>
      <c r="AN179" s="14">
        <f t="shared" si="178"/>
        <v>1160.29</v>
      </c>
      <c r="AO179" s="14">
        <f t="shared" si="261"/>
        <v>224129.32</v>
      </c>
      <c r="AP179" s="14">
        <f t="shared" si="179"/>
        <v>1179.76</v>
      </c>
      <c r="AS179" s="14">
        <f t="shared" si="217"/>
        <v>1160.29</v>
      </c>
      <c r="AT179" s="14">
        <f t="shared" si="224"/>
        <v>139914.52999999974</v>
      </c>
      <c r="AU179" s="285">
        <f t="shared" si="225"/>
        <v>984.86439012850622</v>
      </c>
      <c r="AV179" s="285">
        <f t="shared" si="226"/>
        <v>133354.62044153098</v>
      </c>
    </row>
    <row r="180" spans="1:48" x14ac:dyDescent="0.25">
      <c r="A180" s="502">
        <f t="shared" si="181"/>
        <v>49359</v>
      </c>
      <c r="B180" s="285">
        <f t="shared" si="218"/>
        <v>65674.359999999957</v>
      </c>
      <c r="C180" s="14">
        <f t="shared" si="211"/>
        <v>450.28</v>
      </c>
      <c r="D180" s="14">
        <f t="shared" si="227"/>
        <v>245.04999999999998</v>
      </c>
      <c r="E180" s="14">
        <f t="shared" si="212"/>
        <v>205.23</v>
      </c>
      <c r="F180" s="14">
        <f t="shared" si="170"/>
        <v>134.16999999999999</v>
      </c>
      <c r="G180" s="14">
        <f t="shared" si="167"/>
        <v>188.55</v>
      </c>
      <c r="H180" s="14">
        <f t="shared" si="168"/>
        <v>773</v>
      </c>
      <c r="I180" s="285">
        <f t="shared" si="182"/>
        <v>32102.529999999984</v>
      </c>
      <c r="J180" s="285">
        <f t="shared" si="183"/>
        <v>42947.789999999986</v>
      </c>
      <c r="K180" s="285">
        <f t="shared" si="184"/>
        <v>65429.309999999954</v>
      </c>
      <c r="L180" s="425">
        <f t="shared" si="263"/>
        <v>10</v>
      </c>
      <c r="M180" s="425">
        <f t="shared" si="219"/>
        <v>121</v>
      </c>
      <c r="N180" s="285">
        <f t="shared" si="220"/>
        <v>219882.44</v>
      </c>
      <c r="O180" s="285">
        <f t="shared" si="185"/>
        <v>1610.57</v>
      </c>
      <c r="P180" s="285">
        <f t="shared" si="228"/>
        <v>465.34999999999991</v>
      </c>
      <c r="Q180" s="285">
        <f t="shared" si="186"/>
        <v>1145.22</v>
      </c>
      <c r="R180" s="285">
        <f t="shared" si="173"/>
        <v>134.16999999999999</v>
      </c>
      <c r="S180" s="285">
        <f t="shared" si="174"/>
        <v>188.55</v>
      </c>
      <c r="T180" s="285">
        <f t="shared" si="171"/>
        <v>1933.29</v>
      </c>
      <c r="U180" s="285">
        <f t="shared" si="229"/>
        <v>42158.909999999996</v>
      </c>
      <c r="V180" s="285">
        <f t="shared" si="230"/>
        <v>154330.62999999995</v>
      </c>
      <c r="W180" s="285">
        <f t="shared" si="187"/>
        <v>219417.09</v>
      </c>
      <c r="X180" s="502">
        <f t="shared" si="221"/>
        <v>49359</v>
      </c>
      <c r="Y180" s="285">
        <f t="shared" si="188"/>
        <v>292872.49000000011</v>
      </c>
      <c r="Z180" s="494">
        <f t="shared" si="213"/>
        <v>6.25E-2</v>
      </c>
      <c r="AA180" s="285">
        <f t="shared" si="214"/>
        <v>1630.04</v>
      </c>
      <c r="AB180" s="285">
        <f t="shared" si="189"/>
        <v>104.65999999999985</v>
      </c>
      <c r="AC180" s="285">
        <f t="shared" si="215"/>
        <v>1525.38</v>
      </c>
      <c r="AD180" s="285">
        <f t="shared" ref="AD180:AE180" si="269">+AD179</f>
        <v>134.16999999999999</v>
      </c>
      <c r="AE180" s="285">
        <f t="shared" si="269"/>
        <v>188.55</v>
      </c>
      <c r="AF180" s="285">
        <f t="shared" si="191"/>
        <v>1952.76</v>
      </c>
      <c r="AG180" s="285">
        <f t="shared" si="192"/>
        <v>38425.569999999978</v>
      </c>
      <c r="AH180" s="285">
        <f t="shared" si="193"/>
        <v>154665.51000000004</v>
      </c>
      <c r="AI180" s="512">
        <f t="shared" si="176"/>
        <v>3398.4599999999909</v>
      </c>
      <c r="AJ180" s="512">
        <f t="shared" si="242"/>
        <v>-73350.740000000136</v>
      </c>
      <c r="AK180" s="512">
        <f t="shared" si="177"/>
        <v>-69952.280000000144</v>
      </c>
      <c r="AL180" s="285">
        <f t="shared" si="194"/>
        <v>292767.83000000013</v>
      </c>
      <c r="AM180" s="425">
        <f t="shared" si="223"/>
        <v>10</v>
      </c>
      <c r="AN180" s="14">
        <f t="shared" si="178"/>
        <v>1160.29</v>
      </c>
      <c r="AO180" s="14">
        <f t="shared" si="261"/>
        <v>223909.02</v>
      </c>
      <c r="AP180" s="14">
        <f t="shared" si="179"/>
        <v>1179.76</v>
      </c>
      <c r="AS180" s="14">
        <f t="shared" si="217"/>
        <v>1160.29</v>
      </c>
      <c r="AT180" s="14">
        <f t="shared" si="224"/>
        <v>141074.81999999975</v>
      </c>
      <c r="AU180" s="285">
        <f t="shared" si="225"/>
        <v>987.32655110382723</v>
      </c>
      <c r="AV180" s="285">
        <f t="shared" si="226"/>
        <v>134341.9469926348</v>
      </c>
    </row>
    <row r="181" spans="1:48" x14ac:dyDescent="0.25">
      <c r="A181" s="502">
        <f t="shared" si="181"/>
        <v>49389</v>
      </c>
      <c r="B181" s="285">
        <f t="shared" si="218"/>
        <v>65429.309999999954</v>
      </c>
      <c r="C181" s="14">
        <f t="shared" si="211"/>
        <v>450.28</v>
      </c>
      <c r="D181" s="14">
        <f t="shared" si="227"/>
        <v>245.80999999999997</v>
      </c>
      <c r="E181" s="14">
        <f t="shared" si="212"/>
        <v>204.47</v>
      </c>
      <c r="F181" s="14">
        <f t="shared" si="170"/>
        <v>134.16999999999999</v>
      </c>
      <c r="G181" s="14">
        <f t="shared" si="167"/>
        <v>188.55</v>
      </c>
      <c r="H181" s="14">
        <f t="shared" si="168"/>
        <v>773</v>
      </c>
      <c r="I181" s="285">
        <f t="shared" si="182"/>
        <v>32348.339999999986</v>
      </c>
      <c r="J181" s="285">
        <f t="shared" si="183"/>
        <v>43152.259999999987</v>
      </c>
      <c r="K181" s="285">
        <f t="shared" si="184"/>
        <v>65183.499999999956</v>
      </c>
      <c r="L181" s="425">
        <f t="shared" si="263"/>
        <v>10</v>
      </c>
      <c r="M181" s="425">
        <f t="shared" si="219"/>
        <v>122</v>
      </c>
      <c r="N181" s="285">
        <f t="shared" si="220"/>
        <v>219417.09</v>
      </c>
      <c r="O181" s="285">
        <f t="shared" si="185"/>
        <v>1610.57</v>
      </c>
      <c r="P181" s="285">
        <f t="shared" si="228"/>
        <v>467.77</v>
      </c>
      <c r="Q181" s="285">
        <f t="shared" si="186"/>
        <v>1142.8</v>
      </c>
      <c r="R181" s="285">
        <f t="shared" si="173"/>
        <v>134.16999999999999</v>
      </c>
      <c r="S181" s="285">
        <f t="shared" si="174"/>
        <v>188.55</v>
      </c>
      <c r="T181" s="285">
        <f t="shared" si="171"/>
        <v>1933.29</v>
      </c>
      <c r="U181" s="285">
        <f t="shared" si="229"/>
        <v>42626.679999999993</v>
      </c>
      <c r="V181" s="285">
        <f t="shared" si="230"/>
        <v>155473.42999999993</v>
      </c>
      <c r="W181" s="285">
        <f t="shared" si="187"/>
        <v>218949.32</v>
      </c>
      <c r="X181" s="502">
        <f t="shared" si="221"/>
        <v>49389</v>
      </c>
      <c r="Y181" s="285">
        <f t="shared" si="188"/>
        <v>292767.83000000013</v>
      </c>
      <c r="Z181" s="494">
        <f t="shared" si="213"/>
        <v>6.25E-2</v>
      </c>
      <c r="AA181" s="285">
        <f t="shared" si="214"/>
        <v>1630.04</v>
      </c>
      <c r="AB181" s="285">
        <f t="shared" si="189"/>
        <v>105.21000000000004</v>
      </c>
      <c r="AC181" s="285">
        <f t="shared" si="215"/>
        <v>1524.83</v>
      </c>
      <c r="AD181" s="285">
        <f t="shared" ref="AD181:AE181" si="270">+AD180</f>
        <v>134.16999999999999</v>
      </c>
      <c r="AE181" s="285">
        <f t="shared" si="270"/>
        <v>188.55</v>
      </c>
      <c r="AF181" s="285">
        <f t="shared" si="191"/>
        <v>1952.76</v>
      </c>
      <c r="AG181" s="285">
        <f t="shared" si="192"/>
        <v>38530.779999999977</v>
      </c>
      <c r="AH181" s="285">
        <f t="shared" si="193"/>
        <v>156190.34000000003</v>
      </c>
      <c r="AI181" s="512">
        <f t="shared" si="176"/>
        <v>3378.9899999999907</v>
      </c>
      <c r="AJ181" s="512">
        <f t="shared" si="242"/>
        <v>-73713.300000000105</v>
      </c>
      <c r="AK181" s="512">
        <f t="shared" si="177"/>
        <v>-70334.310000000114</v>
      </c>
      <c r="AL181" s="285">
        <f t="shared" si="194"/>
        <v>292662.62000000011</v>
      </c>
      <c r="AM181" s="425">
        <f t="shared" si="223"/>
        <v>10</v>
      </c>
      <c r="AN181" s="14">
        <f t="shared" si="178"/>
        <v>1160.29</v>
      </c>
      <c r="AO181" s="14">
        <f t="shared" si="261"/>
        <v>223687.06</v>
      </c>
      <c r="AP181" s="14">
        <f t="shared" si="179"/>
        <v>1179.76</v>
      </c>
      <c r="AS181" s="14">
        <f t="shared" si="217"/>
        <v>1160.29</v>
      </c>
      <c r="AT181" s="14">
        <f t="shared" si="224"/>
        <v>142235.10999999975</v>
      </c>
      <c r="AU181" s="285">
        <f t="shared" si="225"/>
        <v>989.79486748158695</v>
      </c>
      <c r="AV181" s="285">
        <f t="shared" si="226"/>
        <v>135331.7418601164</v>
      </c>
    </row>
    <row r="182" spans="1:48" ht="15.75" thickBot="1" x14ac:dyDescent="0.3">
      <c r="A182" s="505">
        <f t="shared" si="181"/>
        <v>49419</v>
      </c>
      <c r="B182" s="345">
        <f t="shared" si="218"/>
        <v>65183.499999999956</v>
      </c>
      <c r="C182" s="21">
        <f t="shared" si="211"/>
        <v>450.28</v>
      </c>
      <c r="D182" s="21">
        <f t="shared" si="227"/>
        <v>246.57999999999998</v>
      </c>
      <c r="E182" s="21">
        <f t="shared" si="212"/>
        <v>203.7</v>
      </c>
      <c r="F182" s="21">
        <f t="shared" si="170"/>
        <v>134.16999999999999</v>
      </c>
      <c r="G182" s="21">
        <f t="shared" si="167"/>
        <v>188.55</v>
      </c>
      <c r="H182" s="21">
        <f t="shared" si="168"/>
        <v>773</v>
      </c>
      <c r="I182" s="345">
        <f t="shared" si="182"/>
        <v>32594.919999999987</v>
      </c>
      <c r="J182" s="345">
        <f t="shared" si="183"/>
        <v>43355.959999999985</v>
      </c>
      <c r="K182" s="345">
        <f t="shared" si="184"/>
        <v>64936.919999999955</v>
      </c>
      <c r="L182" s="426">
        <f t="shared" si="263"/>
        <v>10</v>
      </c>
      <c r="M182" s="426">
        <f t="shared" si="219"/>
        <v>123</v>
      </c>
      <c r="N182" s="345">
        <f t="shared" si="220"/>
        <v>218949.32</v>
      </c>
      <c r="O182" s="345">
        <f t="shared" si="185"/>
        <v>1610.57</v>
      </c>
      <c r="P182" s="345">
        <f t="shared" si="228"/>
        <v>470.21000000000004</v>
      </c>
      <c r="Q182" s="345">
        <f t="shared" si="186"/>
        <v>1140.3599999999999</v>
      </c>
      <c r="R182" s="345">
        <f t="shared" si="173"/>
        <v>134.16999999999999</v>
      </c>
      <c r="S182" s="345">
        <f t="shared" si="174"/>
        <v>188.55</v>
      </c>
      <c r="T182" s="345">
        <f t="shared" si="171"/>
        <v>1933.29</v>
      </c>
      <c r="U182" s="345">
        <f t="shared" si="229"/>
        <v>43096.889999999992</v>
      </c>
      <c r="V182" s="345">
        <f t="shared" si="230"/>
        <v>156613.78999999992</v>
      </c>
      <c r="W182" s="345">
        <f t="shared" si="187"/>
        <v>218479.11000000002</v>
      </c>
      <c r="X182" s="505">
        <f t="shared" si="221"/>
        <v>49419</v>
      </c>
      <c r="Y182" s="345">
        <f t="shared" si="188"/>
        <v>292662.62000000011</v>
      </c>
      <c r="Z182" s="495">
        <f t="shared" si="213"/>
        <v>6.25E-2</v>
      </c>
      <c r="AA182" s="345">
        <f t="shared" si="214"/>
        <v>1630.04</v>
      </c>
      <c r="AB182" s="345">
        <f t="shared" si="189"/>
        <v>105.75999999999999</v>
      </c>
      <c r="AC182" s="345">
        <f t="shared" si="215"/>
        <v>1524.28</v>
      </c>
      <c r="AD182" s="345">
        <f t="shared" ref="AD182:AE182" si="271">+AD181</f>
        <v>134.16999999999999</v>
      </c>
      <c r="AE182" s="345">
        <f t="shared" si="271"/>
        <v>188.55</v>
      </c>
      <c r="AF182" s="345">
        <f t="shared" si="191"/>
        <v>1952.76</v>
      </c>
      <c r="AG182" s="345">
        <f t="shared" si="192"/>
        <v>38636.539999999979</v>
      </c>
      <c r="AH182" s="345">
        <f t="shared" si="193"/>
        <v>157714.62000000002</v>
      </c>
      <c r="AI182" s="513">
        <f t="shared" si="176"/>
        <v>3359.5199999999904</v>
      </c>
      <c r="AJ182" s="513">
        <f t="shared" si="242"/>
        <v>-74077.750000000087</v>
      </c>
      <c r="AK182" s="512">
        <f t="shared" si="177"/>
        <v>-70718.230000000098</v>
      </c>
      <c r="AL182" s="345">
        <f t="shared" si="194"/>
        <v>292556.8600000001</v>
      </c>
      <c r="AM182" s="426">
        <f t="shared" si="223"/>
        <v>10</v>
      </c>
      <c r="AN182" s="21">
        <f t="shared" si="178"/>
        <v>1160.29</v>
      </c>
      <c r="AO182" s="21">
        <f t="shared" si="261"/>
        <v>223463.43000000002</v>
      </c>
      <c r="AP182" s="21">
        <f t="shared" si="179"/>
        <v>1179.76</v>
      </c>
      <c r="AQ182" s="21"/>
      <c r="AR182" s="23"/>
      <c r="AS182" s="21">
        <f t="shared" si="217"/>
        <v>1160.29</v>
      </c>
      <c r="AT182" s="21">
        <f t="shared" si="224"/>
        <v>143395.39999999976</v>
      </c>
      <c r="AU182" s="345">
        <f t="shared" si="225"/>
        <v>992.26935465029089</v>
      </c>
      <c r="AV182" s="345">
        <f t="shared" si="226"/>
        <v>136324.01121476668</v>
      </c>
    </row>
    <row r="183" spans="1:48" x14ac:dyDescent="0.25">
      <c r="A183" s="502">
        <f t="shared" si="181"/>
        <v>49449</v>
      </c>
      <c r="B183" s="285">
        <f t="shared" si="218"/>
        <v>64936.919999999955</v>
      </c>
      <c r="C183" s="14">
        <f t="shared" si="211"/>
        <v>450.28</v>
      </c>
      <c r="D183" s="14">
        <f t="shared" si="227"/>
        <v>247.34999999999997</v>
      </c>
      <c r="E183" s="14">
        <f t="shared" si="212"/>
        <v>202.93</v>
      </c>
      <c r="F183" s="14">
        <f t="shared" si="170"/>
        <v>134.16999999999999</v>
      </c>
      <c r="G183" s="14">
        <f t="shared" si="167"/>
        <v>188.55</v>
      </c>
      <c r="H183" s="14">
        <f t="shared" si="168"/>
        <v>773</v>
      </c>
      <c r="I183" s="285">
        <f t="shared" si="182"/>
        <v>32842.26999999999</v>
      </c>
      <c r="J183" s="285">
        <f t="shared" si="183"/>
        <v>43558.889999999985</v>
      </c>
      <c r="K183" s="285">
        <f t="shared" si="184"/>
        <v>64689.569999999956</v>
      </c>
      <c r="L183" s="425">
        <f t="shared" si="263"/>
        <v>10</v>
      </c>
      <c r="M183" s="425">
        <f t="shared" si="219"/>
        <v>124</v>
      </c>
      <c r="N183" s="285">
        <f t="shared" si="220"/>
        <v>218479.11000000002</v>
      </c>
      <c r="O183" s="285">
        <f t="shared" si="185"/>
        <v>1610.57</v>
      </c>
      <c r="P183" s="285">
        <f t="shared" si="228"/>
        <v>472.65999999999985</v>
      </c>
      <c r="Q183" s="285">
        <f t="shared" si="186"/>
        <v>1137.9100000000001</v>
      </c>
      <c r="R183" s="285">
        <f t="shared" si="173"/>
        <v>134.16999999999999</v>
      </c>
      <c r="S183" s="285">
        <f t="shared" si="174"/>
        <v>188.55</v>
      </c>
      <c r="T183" s="285">
        <f t="shared" si="171"/>
        <v>1933.29</v>
      </c>
      <c r="U183" s="285">
        <f t="shared" si="229"/>
        <v>43569.549999999988</v>
      </c>
      <c r="V183" s="285">
        <f t="shared" si="230"/>
        <v>157751.69999999992</v>
      </c>
      <c r="W183" s="285">
        <f t="shared" si="187"/>
        <v>218006.45</v>
      </c>
      <c r="X183" s="502">
        <f t="shared" si="221"/>
        <v>49449</v>
      </c>
      <c r="Y183" s="285">
        <f t="shared" si="188"/>
        <v>292556.8600000001</v>
      </c>
      <c r="Z183" s="494">
        <f t="shared" si="213"/>
        <v>6.25E-2</v>
      </c>
      <c r="AA183" s="285">
        <f t="shared" si="214"/>
        <v>1630.04</v>
      </c>
      <c r="AB183" s="285">
        <f t="shared" si="189"/>
        <v>106.30999999999995</v>
      </c>
      <c r="AC183" s="285">
        <f t="shared" si="215"/>
        <v>1523.73</v>
      </c>
      <c r="AD183" s="285">
        <f t="shared" ref="AD183:AE183" si="272">+AD182</f>
        <v>134.16999999999999</v>
      </c>
      <c r="AE183" s="285">
        <f t="shared" si="272"/>
        <v>188.55</v>
      </c>
      <c r="AF183" s="285">
        <f t="shared" si="191"/>
        <v>1952.76</v>
      </c>
      <c r="AG183" s="285">
        <f t="shared" si="192"/>
        <v>38742.849999999977</v>
      </c>
      <c r="AH183" s="285">
        <f t="shared" si="193"/>
        <v>159238.35000000003</v>
      </c>
      <c r="AI183" s="512">
        <f t="shared" si="176"/>
        <v>3340.0499999999902</v>
      </c>
      <c r="AJ183" s="512">
        <f t="shared" si="242"/>
        <v>-74444.100000000093</v>
      </c>
      <c r="AK183" s="512">
        <f t="shared" si="177"/>
        <v>-71104.050000000105</v>
      </c>
      <c r="AL183" s="285">
        <f t="shared" si="194"/>
        <v>292450.5500000001</v>
      </c>
      <c r="AM183" s="425">
        <f t="shared" si="223"/>
        <v>10</v>
      </c>
      <c r="AN183" s="14">
        <f t="shared" si="178"/>
        <v>1160.29</v>
      </c>
      <c r="AO183" s="14">
        <f t="shared" si="261"/>
        <v>223238.12000000005</v>
      </c>
      <c r="AP183" s="14">
        <f t="shared" si="179"/>
        <v>1179.76</v>
      </c>
      <c r="AS183" s="14">
        <f t="shared" si="217"/>
        <v>1160.29</v>
      </c>
      <c r="AT183" s="14">
        <f t="shared" si="224"/>
        <v>144555.68999999977</v>
      </c>
      <c r="AU183" s="285">
        <f t="shared" si="225"/>
        <v>994.75002803691666</v>
      </c>
      <c r="AV183" s="285">
        <f t="shared" si="226"/>
        <v>137318.76124280359</v>
      </c>
    </row>
    <row r="184" spans="1:48" x14ac:dyDescent="0.25">
      <c r="A184" s="502">
        <f t="shared" si="181"/>
        <v>49479</v>
      </c>
      <c r="B184" s="285">
        <f t="shared" si="218"/>
        <v>64689.569999999956</v>
      </c>
      <c r="C184" s="14">
        <f t="shared" si="211"/>
        <v>450.28</v>
      </c>
      <c r="D184" s="14">
        <f t="shared" si="227"/>
        <v>248.12999999999997</v>
      </c>
      <c r="E184" s="14">
        <f t="shared" si="212"/>
        <v>202.15</v>
      </c>
      <c r="F184" s="14">
        <f t="shared" si="170"/>
        <v>134.16999999999999</v>
      </c>
      <c r="G184" s="14">
        <f t="shared" si="167"/>
        <v>188.55</v>
      </c>
      <c r="H184" s="14">
        <f t="shared" si="168"/>
        <v>773</v>
      </c>
      <c r="I184" s="285">
        <f t="shared" si="182"/>
        <v>33090.399999999987</v>
      </c>
      <c r="J184" s="285">
        <f t="shared" si="183"/>
        <v>43761.039999999986</v>
      </c>
      <c r="K184" s="285">
        <f t="shared" si="184"/>
        <v>64441.439999999959</v>
      </c>
      <c r="L184" s="425">
        <f t="shared" si="263"/>
        <v>10</v>
      </c>
      <c r="M184" s="425">
        <f t="shared" si="219"/>
        <v>125</v>
      </c>
      <c r="N184" s="285">
        <f t="shared" si="220"/>
        <v>218006.45</v>
      </c>
      <c r="O184" s="285">
        <f t="shared" si="185"/>
        <v>1610.57</v>
      </c>
      <c r="P184" s="285">
        <f t="shared" si="228"/>
        <v>475.11999999999989</v>
      </c>
      <c r="Q184" s="285">
        <f t="shared" si="186"/>
        <v>1135.45</v>
      </c>
      <c r="R184" s="285">
        <f t="shared" si="173"/>
        <v>134.16999999999999</v>
      </c>
      <c r="S184" s="285">
        <f t="shared" si="174"/>
        <v>188.55</v>
      </c>
      <c r="T184" s="285">
        <f t="shared" si="171"/>
        <v>1933.29</v>
      </c>
      <c r="U184" s="285">
        <f t="shared" si="229"/>
        <v>44044.669999999991</v>
      </c>
      <c r="V184" s="285">
        <f t="shared" si="230"/>
        <v>158887.14999999994</v>
      </c>
      <c r="W184" s="285">
        <f t="shared" si="187"/>
        <v>217531.33000000002</v>
      </c>
      <c r="X184" s="502">
        <f t="shared" si="221"/>
        <v>49479</v>
      </c>
      <c r="Y184" s="285">
        <f t="shared" si="188"/>
        <v>292450.5500000001</v>
      </c>
      <c r="Z184" s="494">
        <f t="shared" si="213"/>
        <v>6.25E-2</v>
      </c>
      <c r="AA184" s="285">
        <f t="shared" si="214"/>
        <v>1630.04</v>
      </c>
      <c r="AB184" s="285">
        <f t="shared" si="189"/>
        <v>106.8599999999999</v>
      </c>
      <c r="AC184" s="285">
        <f t="shared" si="215"/>
        <v>1523.18</v>
      </c>
      <c r="AD184" s="285">
        <f t="shared" ref="AD184:AE184" si="273">+AD183</f>
        <v>134.16999999999999</v>
      </c>
      <c r="AE184" s="285">
        <f t="shared" si="273"/>
        <v>188.55</v>
      </c>
      <c r="AF184" s="285">
        <f t="shared" si="191"/>
        <v>1952.76</v>
      </c>
      <c r="AG184" s="285">
        <f t="shared" si="192"/>
        <v>38849.709999999977</v>
      </c>
      <c r="AH184" s="285">
        <f t="shared" si="193"/>
        <v>160761.53000000003</v>
      </c>
      <c r="AI184" s="512">
        <f t="shared" si="176"/>
        <v>3320.5799999999899</v>
      </c>
      <c r="AJ184" s="512">
        <f t="shared" si="242"/>
        <v>-74812.360000000102</v>
      </c>
      <c r="AK184" s="512">
        <f t="shared" si="177"/>
        <v>-71491.780000000115</v>
      </c>
      <c r="AL184" s="285">
        <f t="shared" si="194"/>
        <v>292343.69000000012</v>
      </c>
      <c r="AM184" s="425">
        <f t="shared" si="223"/>
        <v>10</v>
      </c>
      <c r="AN184" s="14">
        <f t="shared" si="178"/>
        <v>1160.29</v>
      </c>
      <c r="AO184" s="14">
        <f t="shared" si="261"/>
        <v>223011.13</v>
      </c>
      <c r="AP184" s="14">
        <f t="shared" si="179"/>
        <v>1179.76</v>
      </c>
      <c r="AS184" s="14">
        <f t="shared" si="217"/>
        <v>1160.29</v>
      </c>
      <c r="AT184" s="14">
        <f t="shared" si="224"/>
        <v>145715.97999999978</v>
      </c>
      <c r="AU184" s="285">
        <f t="shared" si="225"/>
        <v>997.23690310700897</v>
      </c>
      <c r="AV184" s="285">
        <f t="shared" si="226"/>
        <v>138315.99814591059</v>
      </c>
    </row>
    <row r="185" spans="1:48" x14ac:dyDescent="0.25">
      <c r="A185" s="502">
        <f t="shared" si="181"/>
        <v>49509</v>
      </c>
      <c r="B185" s="285">
        <f t="shared" si="218"/>
        <v>64441.439999999959</v>
      </c>
      <c r="C185" s="14">
        <f t="shared" si="211"/>
        <v>450.28</v>
      </c>
      <c r="D185" s="14">
        <f t="shared" si="227"/>
        <v>248.89999999999998</v>
      </c>
      <c r="E185" s="14">
        <f t="shared" si="212"/>
        <v>201.38</v>
      </c>
      <c r="F185" s="14">
        <f t="shared" si="170"/>
        <v>134.16999999999999</v>
      </c>
      <c r="G185" s="14">
        <f t="shared" si="167"/>
        <v>188.55</v>
      </c>
      <c r="H185" s="14">
        <f t="shared" si="168"/>
        <v>773</v>
      </c>
      <c r="I185" s="285">
        <f t="shared" si="182"/>
        <v>33339.299999999988</v>
      </c>
      <c r="J185" s="285">
        <f t="shared" si="183"/>
        <v>43962.419999999984</v>
      </c>
      <c r="K185" s="285">
        <f t="shared" si="184"/>
        <v>64192.539999999957</v>
      </c>
      <c r="L185" s="425">
        <f t="shared" si="263"/>
        <v>10</v>
      </c>
      <c r="M185" s="425">
        <f t="shared" si="219"/>
        <v>126</v>
      </c>
      <c r="N185" s="285">
        <f t="shared" si="220"/>
        <v>217531.33000000002</v>
      </c>
      <c r="O185" s="285">
        <f t="shared" si="185"/>
        <v>1610.57</v>
      </c>
      <c r="P185" s="285">
        <f t="shared" si="228"/>
        <v>477.58999999999992</v>
      </c>
      <c r="Q185" s="285">
        <f t="shared" si="186"/>
        <v>1132.98</v>
      </c>
      <c r="R185" s="285">
        <f t="shared" si="173"/>
        <v>134.16999999999999</v>
      </c>
      <c r="S185" s="285">
        <f t="shared" si="174"/>
        <v>188.55</v>
      </c>
      <c r="T185" s="285">
        <f t="shared" si="171"/>
        <v>1933.29</v>
      </c>
      <c r="U185" s="285">
        <f t="shared" si="229"/>
        <v>44522.259999999987</v>
      </c>
      <c r="V185" s="285">
        <f t="shared" si="230"/>
        <v>160020.12999999995</v>
      </c>
      <c r="W185" s="285">
        <f t="shared" si="187"/>
        <v>217053.74000000002</v>
      </c>
      <c r="X185" s="502">
        <f t="shared" si="221"/>
        <v>49509</v>
      </c>
      <c r="Y185" s="285">
        <f t="shared" si="188"/>
        <v>292343.69000000012</v>
      </c>
      <c r="Z185" s="494">
        <f t="shared" si="213"/>
        <v>6.25E-2</v>
      </c>
      <c r="AA185" s="285">
        <f t="shared" si="214"/>
        <v>1630.04</v>
      </c>
      <c r="AB185" s="285">
        <f t="shared" si="189"/>
        <v>107.42000000000007</v>
      </c>
      <c r="AC185" s="285">
        <f t="shared" si="215"/>
        <v>1522.62</v>
      </c>
      <c r="AD185" s="285">
        <f t="shared" ref="AD185:AE185" si="274">+AD184</f>
        <v>134.16999999999999</v>
      </c>
      <c r="AE185" s="285">
        <f t="shared" si="274"/>
        <v>188.55</v>
      </c>
      <c r="AF185" s="285">
        <f t="shared" si="191"/>
        <v>1952.76</v>
      </c>
      <c r="AG185" s="285">
        <f t="shared" si="192"/>
        <v>38957.129999999976</v>
      </c>
      <c r="AH185" s="285">
        <f t="shared" si="193"/>
        <v>162284.15000000002</v>
      </c>
      <c r="AI185" s="512">
        <f t="shared" si="176"/>
        <v>3301.1099999999897</v>
      </c>
      <c r="AJ185" s="512">
        <f t="shared" si="242"/>
        <v>-75182.530000000115</v>
      </c>
      <c r="AK185" s="512">
        <f t="shared" si="177"/>
        <v>-71881.420000000129</v>
      </c>
      <c r="AL185" s="285">
        <f t="shared" si="194"/>
        <v>292236.27000000014</v>
      </c>
      <c r="AM185" s="425">
        <f t="shared" si="223"/>
        <v>10</v>
      </c>
      <c r="AN185" s="14">
        <f t="shared" si="178"/>
        <v>1160.29</v>
      </c>
      <c r="AO185" s="14">
        <f t="shared" si="261"/>
        <v>222782.44000000003</v>
      </c>
      <c r="AP185" s="14">
        <f t="shared" si="179"/>
        <v>1179.76</v>
      </c>
      <c r="AS185" s="14">
        <f t="shared" si="217"/>
        <v>1160.29</v>
      </c>
      <c r="AT185" s="14">
        <f t="shared" si="224"/>
        <v>146876.26999999979</v>
      </c>
      <c r="AU185" s="285">
        <f t="shared" si="225"/>
        <v>999.7299953647763</v>
      </c>
      <c r="AV185" s="285">
        <f t="shared" si="226"/>
        <v>139315.72814127538</v>
      </c>
    </row>
    <row r="186" spans="1:48" x14ac:dyDescent="0.25">
      <c r="A186" s="502">
        <f t="shared" si="181"/>
        <v>49539</v>
      </c>
      <c r="B186" s="285">
        <f t="shared" si="218"/>
        <v>64192.539999999957</v>
      </c>
      <c r="C186" s="14">
        <f t="shared" si="211"/>
        <v>450.28</v>
      </c>
      <c r="D186" s="14">
        <f t="shared" si="227"/>
        <v>249.67999999999998</v>
      </c>
      <c r="E186" s="14">
        <f t="shared" si="212"/>
        <v>200.6</v>
      </c>
      <c r="F186" s="14">
        <f t="shared" si="170"/>
        <v>134.16999999999999</v>
      </c>
      <c r="G186" s="14">
        <f t="shared" ref="G186:G249" si="275">+G185</f>
        <v>188.55</v>
      </c>
      <c r="H186" s="14">
        <f t="shared" ref="H186:H249" si="276">SUM(D186:G186)</f>
        <v>773</v>
      </c>
      <c r="I186" s="285">
        <f t="shared" si="182"/>
        <v>33588.979999999989</v>
      </c>
      <c r="J186" s="285">
        <f t="shared" si="183"/>
        <v>44163.019999999982</v>
      </c>
      <c r="K186" s="285">
        <f t="shared" si="184"/>
        <v>63942.859999999957</v>
      </c>
      <c r="L186" s="425">
        <f t="shared" si="263"/>
        <v>10</v>
      </c>
      <c r="M186" s="425">
        <f t="shared" si="219"/>
        <v>127</v>
      </c>
      <c r="N186" s="285">
        <f t="shared" si="220"/>
        <v>217053.74000000002</v>
      </c>
      <c r="O186" s="285">
        <f t="shared" si="185"/>
        <v>1610.57</v>
      </c>
      <c r="P186" s="285">
        <f t="shared" si="228"/>
        <v>480.07999999999993</v>
      </c>
      <c r="Q186" s="285">
        <f t="shared" si="186"/>
        <v>1130.49</v>
      </c>
      <c r="R186" s="285">
        <f t="shared" si="173"/>
        <v>134.16999999999999</v>
      </c>
      <c r="S186" s="285">
        <f t="shared" si="174"/>
        <v>188.55</v>
      </c>
      <c r="T186" s="285">
        <f t="shared" si="171"/>
        <v>1933.29</v>
      </c>
      <c r="U186" s="285">
        <f t="shared" si="229"/>
        <v>45002.339999999989</v>
      </c>
      <c r="V186" s="285">
        <f t="shared" si="230"/>
        <v>161150.61999999994</v>
      </c>
      <c r="W186" s="285">
        <f t="shared" si="187"/>
        <v>216573.66000000003</v>
      </c>
      <c r="X186" s="502">
        <f t="shared" si="221"/>
        <v>49539</v>
      </c>
      <c r="Y186" s="285">
        <f t="shared" si="188"/>
        <v>292236.27000000014</v>
      </c>
      <c r="Z186" s="494">
        <f t="shared" si="213"/>
        <v>6.25E-2</v>
      </c>
      <c r="AA186" s="285">
        <f t="shared" si="214"/>
        <v>1630.04</v>
      </c>
      <c r="AB186" s="285">
        <f t="shared" si="189"/>
        <v>107.98000000000002</v>
      </c>
      <c r="AC186" s="285">
        <f t="shared" si="215"/>
        <v>1522.06</v>
      </c>
      <c r="AD186" s="285">
        <f t="shared" ref="AD186:AE186" si="277">+AD185</f>
        <v>134.16999999999999</v>
      </c>
      <c r="AE186" s="285">
        <f t="shared" si="277"/>
        <v>188.55</v>
      </c>
      <c r="AF186" s="285">
        <f t="shared" si="191"/>
        <v>1952.76</v>
      </c>
      <c r="AG186" s="285">
        <f t="shared" si="192"/>
        <v>39065.109999999979</v>
      </c>
      <c r="AH186" s="285">
        <f t="shared" si="193"/>
        <v>163806.21000000002</v>
      </c>
      <c r="AI186" s="512">
        <f t="shared" si="176"/>
        <v>3281.6399999999894</v>
      </c>
      <c r="AJ186" s="512">
        <f t="shared" si="242"/>
        <v>-75554.630000000121</v>
      </c>
      <c r="AK186" s="512">
        <f t="shared" si="177"/>
        <v>-72272.990000000136</v>
      </c>
      <c r="AL186" s="285">
        <f t="shared" si="194"/>
        <v>292128.29000000015</v>
      </c>
      <c r="AM186" s="425">
        <f t="shared" si="223"/>
        <v>10</v>
      </c>
      <c r="AN186" s="14">
        <f t="shared" si="178"/>
        <v>1160.29</v>
      </c>
      <c r="AO186" s="14">
        <f t="shared" si="261"/>
        <v>222552.04</v>
      </c>
      <c r="AP186" s="14">
        <f t="shared" si="179"/>
        <v>1179.76</v>
      </c>
      <c r="AS186" s="14">
        <f t="shared" si="217"/>
        <v>1160.29</v>
      </c>
      <c r="AT186" s="14">
        <f t="shared" si="224"/>
        <v>148036.55999999979</v>
      </c>
      <c r="AU186" s="285">
        <f t="shared" si="225"/>
        <v>1002.2293203531884</v>
      </c>
      <c r="AV186" s="285">
        <f t="shared" si="226"/>
        <v>140317.95746162857</v>
      </c>
    </row>
    <row r="187" spans="1:48" x14ac:dyDescent="0.25">
      <c r="A187" s="502">
        <f t="shared" si="181"/>
        <v>49569</v>
      </c>
      <c r="B187" s="285">
        <f t="shared" si="218"/>
        <v>63942.859999999957</v>
      </c>
      <c r="C187" s="14">
        <f t="shared" si="211"/>
        <v>450.28</v>
      </c>
      <c r="D187" s="14">
        <f t="shared" si="227"/>
        <v>250.45999999999998</v>
      </c>
      <c r="E187" s="14">
        <f t="shared" si="212"/>
        <v>199.82</v>
      </c>
      <c r="F187" s="14">
        <f t="shared" ref="F187:F250" si="278">+F186</f>
        <v>134.16999999999999</v>
      </c>
      <c r="G187" s="14">
        <f t="shared" si="275"/>
        <v>188.55</v>
      </c>
      <c r="H187" s="14">
        <f t="shared" si="276"/>
        <v>773</v>
      </c>
      <c r="I187" s="285">
        <f t="shared" si="182"/>
        <v>33839.439999999988</v>
      </c>
      <c r="J187" s="285">
        <f t="shared" si="183"/>
        <v>44362.839999999982</v>
      </c>
      <c r="K187" s="285">
        <f t="shared" si="184"/>
        <v>63692.399999999958</v>
      </c>
      <c r="L187" s="425">
        <f t="shared" si="263"/>
        <v>10</v>
      </c>
      <c r="M187" s="425">
        <f t="shared" si="219"/>
        <v>128</v>
      </c>
      <c r="N187" s="285">
        <f t="shared" si="220"/>
        <v>216573.66000000003</v>
      </c>
      <c r="O187" s="285">
        <f t="shared" si="185"/>
        <v>1610.57</v>
      </c>
      <c r="P187" s="285">
        <f t="shared" si="228"/>
        <v>482.57999999999993</v>
      </c>
      <c r="Q187" s="285">
        <f t="shared" si="186"/>
        <v>1127.99</v>
      </c>
      <c r="R187" s="285">
        <f t="shared" si="173"/>
        <v>134.16999999999999</v>
      </c>
      <c r="S187" s="285">
        <f t="shared" si="174"/>
        <v>188.55</v>
      </c>
      <c r="T187" s="285">
        <f t="shared" ref="T187:T250" si="279">SUM(P187:S187)</f>
        <v>1933.29</v>
      </c>
      <c r="U187" s="285">
        <f t="shared" si="229"/>
        <v>45484.919999999991</v>
      </c>
      <c r="V187" s="285">
        <f t="shared" si="230"/>
        <v>162278.60999999993</v>
      </c>
      <c r="W187" s="285">
        <f t="shared" si="187"/>
        <v>216091.08000000005</v>
      </c>
      <c r="X187" s="502">
        <f t="shared" si="221"/>
        <v>49569</v>
      </c>
      <c r="Y187" s="285">
        <f t="shared" si="188"/>
        <v>292128.29000000015</v>
      </c>
      <c r="Z187" s="494">
        <f t="shared" si="213"/>
        <v>6.25E-2</v>
      </c>
      <c r="AA187" s="285">
        <f t="shared" si="214"/>
        <v>1630.04</v>
      </c>
      <c r="AB187" s="285">
        <f t="shared" si="189"/>
        <v>108.53999999999996</v>
      </c>
      <c r="AC187" s="285">
        <f t="shared" si="215"/>
        <v>1521.5</v>
      </c>
      <c r="AD187" s="285">
        <f t="shared" ref="AD187:AE187" si="280">+AD186</f>
        <v>134.16999999999999</v>
      </c>
      <c r="AE187" s="285">
        <f t="shared" si="280"/>
        <v>188.55</v>
      </c>
      <c r="AF187" s="285">
        <f t="shared" si="191"/>
        <v>1952.76</v>
      </c>
      <c r="AG187" s="285">
        <f t="shared" si="192"/>
        <v>39173.64999999998</v>
      </c>
      <c r="AH187" s="285">
        <f t="shared" si="193"/>
        <v>165327.71000000002</v>
      </c>
      <c r="AI187" s="512">
        <f t="shared" si="176"/>
        <v>3262.1699999999892</v>
      </c>
      <c r="AJ187" s="512">
        <f t="shared" si="242"/>
        <v>-75928.670000000129</v>
      </c>
      <c r="AK187" s="512">
        <f t="shared" si="177"/>
        <v>-72666.500000000146</v>
      </c>
      <c r="AL187" s="285">
        <f t="shared" si="194"/>
        <v>292019.75000000017</v>
      </c>
      <c r="AM187" s="425">
        <f t="shared" si="223"/>
        <v>10</v>
      </c>
      <c r="AN187" s="14">
        <f t="shared" si="178"/>
        <v>1160.29</v>
      </c>
      <c r="AO187" s="14">
        <f t="shared" si="261"/>
        <v>222319.92000000004</v>
      </c>
      <c r="AP187" s="14">
        <f t="shared" si="179"/>
        <v>1179.76</v>
      </c>
      <c r="AS187" s="14">
        <f t="shared" si="217"/>
        <v>1160.29</v>
      </c>
      <c r="AT187" s="14">
        <f t="shared" si="224"/>
        <v>149196.8499999998</v>
      </c>
      <c r="AU187" s="285">
        <f t="shared" si="225"/>
        <v>1004.7348936540715</v>
      </c>
      <c r="AV187" s="285">
        <f t="shared" si="226"/>
        <v>141322.69235528263</v>
      </c>
    </row>
    <row r="188" spans="1:48" x14ac:dyDescent="0.25">
      <c r="A188" s="502">
        <f t="shared" si="181"/>
        <v>49599</v>
      </c>
      <c r="B188" s="285">
        <f t="shared" si="218"/>
        <v>63692.399999999958</v>
      </c>
      <c r="C188" s="14">
        <f t="shared" si="211"/>
        <v>450.28</v>
      </c>
      <c r="D188" s="14">
        <f t="shared" si="227"/>
        <v>251.23999999999998</v>
      </c>
      <c r="E188" s="14">
        <f t="shared" si="212"/>
        <v>199.04</v>
      </c>
      <c r="F188" s="14">
        <f t="shared" si="278"/>
        <v>134.16999999999999</v>
      </c>
      <c r="G188" s="14">
        <f t="shared" si="275"/>
        <v>188.55</v>
      </c>
      <c r="H188" s="14">
        <f t="shared" si="276"/>
        <v>773</v>
      </c>
      <c r="I188" s="285">
        <f t="shared" si="182"/>
        <v>34090.679999999986</v>
      </c>
      <c r="J188" s="285">
        <f t="shared" si="183"/>
        <v>44561.879999999983</v>
      </c>
      <c r="K188" s="285">
        <f t="shared" si="184"/>
        <v>63441.15999999996</v>
      </c>
      <c r="L188" s="425">
        <f t="shared" si="263"/>
        <v>10</v>
      </c>
      <c r="M188" s="425">
        <f t="shared" si="219"/>
        <v>129</v>
      </c>
      <c r="N188" s="285">
        <f t="shared" si="220"/>
        <v>216091.08000000005</v>
      </c>
      <c r="O188" s="285">
        <f t="shared" si="185"/>
        <v>1610.57</v>
      </c>
      <c r="P188" s="285">
        <f t="shared" si="228"/>
        <v>485.09999999999991</v>
      </c>
      <c r="Q188" s="285">
        <f t="shared" si="186"/>
        <v>1125.47</v>
      </c>
      <c r="R188" s="285">
        <f t="shared" ref="R188:R251" si="281">+R187</f>
        <v>134.16999999999999</v>
      </c>
      <c r="S188" s="285">
        <f t="shared" ref="S188:S251" si="282">+S187</f>
        <v>188.55</v>
      </c>
      <c r="T188" s="285">
        <f t="shared" si="279"/>
        <v>1933.29</v>
      </c>
      <c r="U188" s="285">
        <f t="shared" si="229"/>
        <v>45970.01999999999</v>
      </c>
      <c r="V188" s="285">
        <f t="shared" si="230"/>
        <v>163404.07999999993</v>
      </c>
      <c r="W188" s="285">
        <f t="shared" si="187"/>
        <v>215605.98000000004</v>
      </c>
      <c r="X188" s="502">
        <f t="shared" si="221"/>
        <v>49599</v>
      </c>
      <c r="Y188" s="285">
        <f t="shared" si="188"/>
        <v>292019.75000000017</v>
      </c>
      <c r="Z188" s="494">
        <f t="shared" si="213"/>
        <v>6.25E-2</v>
      </c>
      <c r="AA188" s="285">
        <f t="shared" si="214"/>
        <v>1630.04</v>
      </c>
      <c r="AB188" s="285">
        <f t="shared" si="189"/>
        <v>109.09999999999991</v>
      </c>
      <c r="AC188" s="285">
        <f t="shared" si="215"/>
        <v>1520.94</v>
      </c>
      <c r="AD188" s="285">
        <f t="shared" ref="AD188:AE188" si="283">+AD187</f>
        <v>134.16999999999999</v>
      </c>
      <c r="AE188" s="285">
        <f t="shared" si="283"/>
        <v>188.55</v>
      </c>
      <c r="AF188" s="285">
        <f t="shared" si="191"/>
        <v>1952.76</v>
      </c>
      <c r="AG188" s="285">
        <f t="shared" si="192"/>
        <v>39282.749999999978</v>
      </c>
      <c r="AH188" s="285">
        <f t="shared" si="193"/>
        <v>166848.65000000002</v>
      </c>
      <c r="AI188" s="512">
        <f t="shared" ref="AI188:AI251" si="284">O188-AA188+AI187</f>
        <v>3242.6999999999889</v>
      </c>
      <c r="AJ188" s="512">
        <f t="shared" si="242"/>
        <v>-76304.670000000158</v>
      </c>
      <c r="AK188" s="512">
        <f t="shared" ref="AK188:AK251" si="285">SUM(AI188:AJ188)</f>
        <v>-73061.970000000176</v>
      </c>
      <c r="AL188" s="285">
        <f t="shared" si="194"/>
        <v>291910.6500000002</v>
      </c>
      <c r="AM188" s="425">
        <f t="shared" si="223"/>
        <v>10</v>
      </c>
      <c r="AN188" s="14">
        <f t="shared" ref="AN188:AN251" si="286">IF(O188=0,0,+O188-C188)</f>
        <v>1160.29</v>
      </c>
      <c r="AO188" s="14">
        <f t="shared" si="261"/>
        <v>222086.06000000003</v>
      </c>
      <c r="AP188" s="14">
        <f t="shared" ref="AP188:AP251" si="287">IF($O188=0,0,+AA188-$C188)</f>
        <v>1179.76</v>
      </c>
      <c r="AS188" s="14">
        <f t="shared" si="217"/>
        <v>1160.29</v>
      </c>
      <c r="AT188" s="14">
        <f t="shared" si="224"/>
        <v>150357.13999999981</v>
      </c>
      <c r="AU188" s="285">
        <f t="shared" si="225"/>
        <v>1007.2467308882065</v>
      </c>
      <c r="AV188" s="285">
        <f t="shared" si="226"/>
        <v>142329.93908617084</v>
      </c>
    </row>
    <row r="189" spans="1:48" x14ac:dyDescent="0.25">
      <c r="A189" s="502">
        <f t="shared" si="181"/>
        <v>49629</v>
      </c>
      <c r="B189" s="285">
        <f t="shared" si="218"/>
        <v>63441.15999999996</v>
      </c>
      <c r="C189" s="14">
        <f t="shared" si="211"/>
        <v>450.28</v>
      </c>
      <c r="D189" s="14">
        <f t="shared" si="227"/>
        <v>252.02999999999997</v>
      </c>
      <c r="E189" s="14">
        <f t="shared" si="212"/>
        <v>198.25</v>
      </c>
      <c r="F189" s="14">
        <f t="shared" si="278"/>
        <v>134.16999999999999</v>
      </c>
      <c r="G189" s="14">
        <f t="shared" si="275"/>
        <v>188.55</v>
      </c>
      <c r="H189" s="14">
        <f t="shared" si="276"/>
        <v>773</v>
      </c>
      <c r="I189" s="285">
        <f t="shared" si="182"/>
        <v>34342.709999999985</v>
      </c>
      <c r="J189" s="285">
        <f t="shared" si="183"/>
        <v>44760.129999999983</v>
      </c>
      <c r="K189" s="285">
        <f t="shared" si="184"/>
        <v>63189.129999999961</v>
      </c>
      <c r="L189" s="425">
        <f t="shared" si="263"/>
        <v>10</v>
      </c>
      <c r="M189" s="425">
        <f t="shared" si="219"/>
        <v>130</v>
      </c>
      <c r="N189" s="285">
        <f t="shared" si="220"/>
        <v>215605.98000000004</v>
      </c>
      <c r="O189" s="285">
        <f t="shared" si="185"/>
        <v>1610.57</v>
      </c>
      <c r="P189" s="285">
        <f t="shared" si="228"/>
        <v>487.61999999999989</v>
      </c>
      <c r="Q189" s="285">
        <f t="shared" si="186"/>
        <v>1122.95</v>
      </c>
      <c r="R189" s="285">
        <f t="shared" si="281"/>
        <v>134.16999999999999</v>
      </c>
      <c r="S189" s="285">
        <f t="shared" si="282"/>
        <v>188.55</v>
      </c>
      <c r="T189" s="285">
        <f t="shared" si="279"/>
        <v>1933.29</v>
      </c>
      <c r="U189" s="285">
        <f t="shared" si="229"/>
        <v>46457.639999999992</v>
      </c>
      <c r="V189" s="285">
        <f t="shared" si="230"/>
        <v>164527.02999999994</v>
      </c>
      <c r="W189" s="285">
        <f t="shared" si="187"/>
        <v>215118.36000000004</v>
      </c>
      <c r="X189" s="502">
        <f t="shared" si="221"/>
        <v>49629</v>
      </c>
      <c r="Y189" s="285">
        <f t="shared" si="188"/>
        <v>291910.6500000002</v>
      </c>
      <c r="Z189" s="494">
        <f t="shared" si="213"/>
        <v>6.25E-2</v>
      </c>
      <c r="AA189" s="285">
        <f t="shared" si="214"/>
        <v>1630.04</v>
      </c>
      <c r="AB189" s="285">
        <f t="shared" si="189"/>
        <v>109.67000000000007</v>
      </c>
      <c r="AC189" s="285">
        <f t="shared" si="215"/>
        <v>1520.37</v>
      </c>
      <c r="AD189" s="285">
        <f t="shared" ref="AD189:AE189" si="288">+AD188</f>
        <v>134.16999999999999</v>
      </c>
      <c r="AE189" s="285">
        <f t="shared" si="288"/>
        <v>188.55</v>
      </c>
      <c r="AF189" s="285">
        <f t="shared" si="191"/>
        <v>1952.76</v>
      </c>
      <c r="AG189" s="285">
        <f t="shared" si="192"/>
        <v>39392.419999999976</v>
      </c>
      <c r="AH189" s="285">
        <f t="shared" si="193"/>
        <v>168369.02000000002</v>
      </c>
      <c r="AI189" s="512">
        <f t="shared" si="284"/>
        <v>3223.2299999999886</v>
      </c>
      <c r="AJ189" s="512">
        <f t="shared" si="242"/>
        <v>-76682.62000000017</v>
      </c>
      <c r="AK189" s="512">
        <f t="shared" si="285"/>
        <v>-73459.390000000189</v>
      </c>
      <c r="AL189" s="285">
        <f t="shared" si="194"/>
        <v>291800.98000000021</v>
      </c>
      <c r="AM189" s="425">
        <f t="shared" si="223"/>
        <v>10</v>
      </c>
      <c r="AN189" s="14">
        <f t="shared" si="286"/>
        <v>1160.29</v>
      </c>
      <c r="AO189" s="14">
        <f t="shared" si="261"/>
        <v>221850.47</v>
      </c>
      <c r="AP189" s="14">
        <f t="shared" si="287"/>
        <v>1179.76</v>
      </c>
      <c r="AS189" s="14">
        <f t="shared" si="217"/>
        <v>1160.29</v>
      </c>
      <c r="AT189" s="14">
        <f t="shared" si="224"/>
        <v>151517.42999999982</v>
      </c>
      <c r="AU189" s="285">
        <f t="shared" si="225"/>
        <v>1009.7648477154271</v>
      </c>
      <c r="AV189" s="285">
        <f t="shared" si="226"/>
        <v>143339.70393388625</v>
      </c>
    </row>
    <row r="190" spans="1:48" x14ac:dyDescent="0.25">
      <c r="A190" s="502">
        <f t="shared" ref="A190:A253" si="289">IF(K190&lt;=0," ",+A189+30)</f>
        <v>49659</v>
      </c>
      <c r="B190" s="285">
        <f t="shared" si="218"/>
        <v>63189.129999999961</v>
      </c>
      <c r="C190" s="14">
        <f t="shared" si="211"/>
        <v>450.28</v>
      </c>
      <c r="D190" s="14">
        <f t="shared" si="227"/>
        <v>252.80999999999997</v>
      </c>
      <c r="E190" s="14">
        <f t="shared" si="212"/>
        <v>197.47</v>
      </c>
      <c r="F190" s="14">
        <f t="shared" si="278"/>
        <v>134.16999999999999</v>
      </c>
      <c r="G190" s="14">
        <f t="shared" si="275"/>
        <v>188.55</v>
      </c>
      <c r="H190" s="14">
        <f t="shared" si="276"/>
        <v>773</v>
      </c>
      <c r="I190" s="285">
        <f t="shared" ref="I190:I253" si="290">$D190+$I189</f>
        <v>34595.519999999982</v>
      </c>
      <c r="J190" s="285">
        <f t="shared" ref="J190:J253" si="291">$E190+$J189</f>
        <v>44957.599999999984</v>
      </c>
      <c r="K190" s="285">
        <f t="shared" ref="K190:K253" si="292">+B190-D190</f>
        <v>62936.319999999963</v>
      </c>
      <c r="L190" s="425">
        <f t="shared" si="263"/>
        <v>10</v>
      </c>
      <c r="M190" s="425">
        <f t="shared" si="219"/>
        <v>131</v>
      </c>
      <c r="N190" s="285">
        <f t="shared" si="220"/>
        <v>215118.36000000004</v>
      </c>
      <c r="O190" s="285">
        <f t="shared" ref="O190:O253" si="293">IF($O$9&lt;=A190,IF(+$W189&lt;=0,0,$O$8),0)</f>
        <v>1610.57</v>
      </c>
      <c r="P190" s="285">
        <f t="shared" si="228"/>
        <v>490.15999999999985</v>
      </c>
      <c r="Q190" s="285">
        <f t="shared" ref="Q190:Q253" si="294">IF($O$9&lt;=A190,ROUND(N190*($O$6/12),2),0)</f>
        <v>1120.4100000000001</v>
      </c>
      <c r="R190" s="285">
        <f t="shared" si="281"/>
        <v>134.16999999999999</v>
      </c>
      <c r="S190" s="285">
        <f t="shared" si="282"/>
        <v>188.55</v>
      </c>
      <c r="T190" s="285">
        <f t="shared" si="279"/>
        <v>1933.29</v>
      </c>
      <c r="U190" s="285">
        <f t="shared" si="229"/>
        <v>46947.799999999988</v>
      </c>
      <c r="V190" s="285">
        <f t="shared" si="230"/>
        <v>165647.43999999994</v>
      </c>
      <c r="W190" s="285">
        <f t="shared" ref="W190:W253" si="295">+N190-P190</f>
        <v>214628.20000000004</v>
      </c>
      <c r="X190" s="502">
        <f t="shared" si="221"/>
        <v>49659</v>
      </c>
      <c r="Y190" s="285">
        <f t="shared" ref="Y190:Y253" si="296">IF(+AL189&lt;0,0,+AL189)</f>
        <v>291800.98000000021</v>
      </c>
      <c r="Z190" s="494">
        <f t="shared" si="213"/>
        <v>6.25E-2</v>
      </c>
      <c r="AA190" s="285">
        <f t="shared" si="214"/>
        <v>1630.04</v>
      </c>
      <c r="AB190" s="285">
        <f t="shared" ref="AB190:AB253" si="297">+AA190-AC190</f>
        <v>110.24000000000001</v>
      </c>
      <c r="AC190" s="285">
        <f t="shared" si="215"/>
        <v>1519.8</v>
      </c>
      <c r="AD190" s="285">
        <f t="shared" ref="AD190:AE190" si="298">+AD189</f>
        <v>134.16999999999999</v>
      </c>
      <c r="AE190" s="285">
        <f t="shared" si="298"/>
        <v>188.55</v>
      </c>
      <c r="AF190" s="285">
        <f t="shared" ref="AF190:AF253" si="299">SUM(AB190:AE190)</f>
        <v>1952.76</v>
      </c>
      <c r="AG190" s="285">
        <f t="shared" ref="AG190:AG253" si="300">+AB190+AG189</f>
        <v>39502.659999999974</v>
      </c>
      <c r="AH190" s="285">
        <f t="shared" ref="AH190:AH253" si="301">+AH189+AC190</f>
        <v>169888.82</v>
      </c>
      <c r="AI190" s="512">
        <f t="shared" si="284"/>
        <v>3203.7599999999884</v>
      </c>
      <c r="AJ190" s="512">
        <f t="shared" si="242"/>
        <v>-77062.540000000183</v>
      </c>
      <c r="AK190" s="512">
        <f t="shared" si="285"/>
        <v>-73858.780000000188</v>
      </c>
      <c r="AL190" s="285">
        <f t="shared" ref="AL190:AL253" si="302">+Y190-AB190</f>
        <v>291690.74000000022</v>
      </c>
      <c r="AM190" s="425">
        <f t="shared" si="223"/>
        <v>10</v>
      </c>
      <c r="AN190" s="14">
        <f t="shared" si="286"/>
        <v>1160.29</v>
      </c>
      <c r="AO190" s="14">
        <f t="shared" si="261"/>
        <v>221613.12</v>
      </c>
      <c r="AP190" s="14">
        <f t="shared" si="287"/>
        <v>1179.76</v>
      </c>
      <c r="AS190" s="14">
        <f t="shared" si="217"/>
        <v>1160.29</v>
      </c>
      <c r="AT190" s="14">
        <f t="shared" si="224"/>
        <v>152677.71999999983</v>
      </c>
      <c r="AU190" s="285">
        <f t="shared" si="225"/>
        <v>1012.2892598347156</v>
      </c>
      <c r="AV190" s="285">
        <f t="shared" si="226"/>
        <v>144351.99319372096</v>
      </c>
    </row>
    <row r="191" spans="1:48" x14ac:dyDescent="0.25">
      <c r="A191" s="502">
        <f t="shared" si="289"/>
        <v>49689</v>
      </c>
      <c r="B191" s="285">
        <f t="shared" si="218"/>
        <v>62936.319999999963</v>
      </c>
      <c r="C191" s="14">
        <f t="shared" si="211"/>
        <v>450.28</v>
      </c>
      <c r="D191" s="14">
        <f t="shared" si="227"/>
        <v>253.59999999999997</v>
      </c>
      <c r="E191" s="14">
        <f t="shared" si="212"/>
        <v>196.68</v>
      </c>
      <c r="F191" s="14">
        <f t="shared" si="278"/>
        <v>134.16999999999999</v>
      </c>
      <c r="G191" s="14">
        <f t="shared" si="275"/>
        <v>188.55</v>
      </c>
      <c r="H191" s="14">
        <f t="shared" si="276"/>
        <v>773</v>
      </c>
      <c r="I191" s="285">
        <f t="shared" si="290"/>
        <v>34849.119999999981</v>
      </c>
      <c r="J191" s="285">
        <f t="shared" si="291"/>
        <v>45154.279999999984</v>
      </c>
      <c r="K191" s="285">
        <f t="shared" si="292"/>
        <v>62682.719999999965</v>
      </c>
      <c r="L191" s="425">
        <f t="shared" si="263"/>
        <v>11</v>
      </c>
      <c r="M191" s="425">
        <f t="shared" si="219"/>
        <v>132</v>
      </c>
      <c r="N191" s="285">
        <f t="shared" si="220"/>
        <v>214628.20000000004</v>
      </c>
      <c r="O191" s="285">
        <f t="shared" si="293"/>
        <v>1610.57</v>
      </c>
      <c r="P191" s="285">
        <f t="shared" si="228"/>
        <v>492.71000000000004</v>
      </c>
      <c r="Q191" s="285">
        <f t="shared" si="294"/>
        <v>1117.8599999999999</v>
      </c>
      <c r="R191" s="285">
        <f t="shared" si="281"/>
        <v>134.16999999999999</v>
      </c>
      <c r="S191" s="285">
        <f t="shared" si="282"/>
        <v>188.55</v>
      </c>
      <c r="T191" s="285">
        <f t="shared" si="279"/>
        <v>1933.29</v>
      </c>
      <c r="U191" s="285">
        <f t="shared" si="229"/>
        <v>47440.509999999987</v>
      </c>
      <c r="V191" s="285">
        <f t="shared" si="230"/>
        <v>166765.29999999993</v>
      </c>
      <c r="W191" s="285">
        <f t="shared" si="295"/>
        <v>214135.49000000005</v>
      </c>
      <c r="X191" s="502">
        <f t="shared" si="221"/>
        <v>49689</v>
      </c>
      <c r="Y191" s="285">
        <f t="shared" si="296"/>
        <v>291690.74000000022</v>
      </c>
      <c r="Z191" s="494">
        <f t="shared" si="213"/>
        <v>6.25E-2</v>
      </c>
      <c r="AA191" s="285">
        <f t="shared" si="214"/>
        <v>1630.04</v>
      </c>
      <c r="AB191" s="285">
        <f t="shared" si="297"/>
        <v>110.81999999999994</v>
      </c>
      <c r="AC191" s="285">
        <f t="shared" si="215"/>
        <v>1519.22</v>
      </c>
      <c r="AD191" s="285">
        <f t="shared" ref="AD191:AE191" si="303">+AD190</f>
        <v>134.16999999999999</v>
      </c>
      <c r="AE191" s="285">
        <f t="shared" si="303"/>
        <v>188.55</v>
      </c>
      <c r="AF191" s="285">
        <f t="shared" si="299"/>
        <v>1952.76</v>
      </c>
      <c r="AG191" s="285">
        <f t="shared" si="300"/>
        <v>39613.479999999974</v>
      </c>
      <c r="AH191" s="285">
        <f t="shared" si="301"/>
        <v>171408.04</v>
      </c>
      <c r="AI191" s="512">
        <f t="shared" si="284"/>
        <v>3184.2899999999881</v>
      </c>
      <c r="AJ191" s="512">
        <f t="shared" si="242"/>
        <v>-77444.430000000168</v>
      </c>
      <c r="AK191" s="512">
        <f t="shared" si="285"/>
        <v>-74260.140000000174</v>
      </c>
      <c r="AL191" s="285">
        <f t="shared" si="302"/>
        <v>291579.92000000022</v>
      </c>
      <c r="AM191" s="425">
        <f t="shared" si="223"/>
        <v>11</v>
      </c>
      <c r="AN191" s="14">
        <f t="shared" si="286"/>
        <v>1160.29</v>
      </c>
      <c r="AO191" s="14">
        <f t="shared" si="261"/>
        <v>221374.01000000004</v>
      </c>
      <c r="AP191" s="14">
        <f t="shared" si="287"/>
        <v>1179.76</v>
      </c>
      <c r="AS191" s="14">
        <f t="shared" si="217"/>
        <v>1160.29</v>
      </c>
      <c r="AT191" s="14">
        <f t="shared" si="224"/>
        <v>153838.00999999983</v>
      </c>
      <c r="AU191" s="285">
        <f t="shared" si="225"/>
        <v>1014.8199829843023</v>
      </c>
      <c r="AV191" s="285">
        <f t="shared" si="226"/>
        <v>145366.81317670527</v>
      </c>
    </row>
    <row r="192" spans="1:48" x14ac:dyDescent="0.25">
      <c r="A192" s="502">
        <f t="shared" si="289"/>
        <v>49719</v>
      </c>
      <c r="B192" s="285">
        <f t="shared" si="218"/>
        <v>62682.719999999965</v>
      </c>
      <c r="C192" s="14">
        <f t="shared" si="211"/>
        <v>450.28</v>
      </c>
      <c r="D192" s="14">
        <f t="shared" si="227"/>
        <v>254.39999999999998</v>
      </c>
      <c r="E192" s="14">
        <f t="shared" si="212"/>
        <v>195.88</v>
      </c>
      <c r="F192" s="14">
        <f t="shared" si="278"/>
        <v>134.16999999999999</v>
      </c>
      <c r="G192" s="14">
        <f t="shared" si="275"/>
        <v>188.55</v>
      </c>
      <c r="H192" s="14">
        <f t="shared" si="276"/>
        <v>773</v>
      </c>
      <c r="I192" s="285">
        <f t="shared" si="290"/>
        <v>35103.519999999982</v>
      </c>
      <c r="J192" s="285">
        <f t="shared" si="291"/>
        <v>45350.159999999982</v>
      </c>
      <c r="K192" s="285">
        <f t="shared" si="292"/>
        <v>62428.319999999963</v>
      </c>
      <c r="L192" s="425">
        <f t="shared" si="263"/>
        <v>11</v>
      </c>
      <c r="M192" s="425">
        <f t="shared" si="219"/>
        <v>133</v>
      </c>
      <c r="N192" s="285">
        <f t="shared" si="220"/>
        <v>214135.49000000005</v>
      </c>
      <c r="O192" s="285">
        <f t="shared" si="293"/>
        <v>1610.57</v>
      </c>
      <c r="P192" s="285">
        <f t="shared" si="228"/>
        <v>495.28</v>
      </c>
      <c r="Q192" s="285">
        <f t="shared" si="294"/>
        <v>1115.29</v>
      </c>
      <c r="R192" s="285">
        <f t="shared" si="281"/>
        <v>134.16999999999999</v>
      </c>
      <c r="S192" s="285">
        <f t="shared" si="282"/>
        <v>188.55</v>
      </c>
      <c r="T192" s="285">
        <f t="shared" si="279"/>
        <v>1933.29</v>
      </c>
      <c r="U192" s="285">
        <f t="shared" si="229"/>
        <v>47935.789999999986</v>
      </c>
      <c r="V192" s="285">
        <f t="shared" si="230"/>
        <v>167880.58999999994</v>
      </c>
      <c r="W192" s="285">
        <f t="shared" si="295"/>
        <v>213640.21000000005</v>
      </c>
      <c r="X192" s="502">
        <f t="shared" si="221"/>
        <v>49719</v>
      </c>
      <c r="Y192" s="285">
        <f t="shared" si="296"/>
        <v>291579.92000000022</v>
      </c>
      <c r="Z192" s="494">
        <f t="shared" si="213"/>
        <v>6.25E-2</v>
      </c>
      <c r="AA192" s="285">
        <f t="shared" si="214"/>
        <v>1630.04</v>
      </c>
      <c r="AB192" s="285">
        <f t="shared" si="297"/>
        <v>111.38999999999987</v>
      </c>
      <c r="AC192" s="285">
        <f t="shared" si="215"/>
        <v>1518.65</v>
      </c>
      <c r="AD192" s="285">
        <f t="shared" ref="AD192:AE192" si="304">+AD191</f>
        <v>134.16999999999999</v>
      </c>
      <c r="AE192" s="285">
        <f t="shared" si="304"/>
        <v>188.55</v>
      </c>
      <c r="AF192" s="285">
        <f t="shared" si="299"/>
        <v>1952.76</v>
      </c>
      <c r="AG192" s="285">
        <f t="shared" si="300"/>
        <v>39724.869999999974</v>
      </c>
      <c r="AH192" s="285">
        <f t="shared" si="301"/>
        <v>172926.69</v>
      </c>
      <c r="AI192" s="512">
        <f t="shared" si="284"/>
        <v>3164.8199999999879</v>
      </c>
      <c r="AJ192" s="512">
        <f t="shared" si="242"/>
        <v>-77828.320000000153</v>
      </c>
      <c r="AK192" s="512">
        <f t="shared" si="285"/>
        <v>-74663.50000000016</v>
      </c>
      <c r="AL192" s="285">
        <f t="shared" si="302"/>
        <v>291468.5300000002</v>
      </c>
      <c r="AM192" s="425">
        <f t="shared" si="223"/>
        <v>11</v>
      </c>
      <c r="AN192" s="14">
        <f t="shared" si="286"/>
        <v>1160.29</v>
      </c>
      <c r="AO192" s="14">
        <f t="shared" si="261"/>
        <v>221133.13</v>
      </c>
      <c r="AP192" s="14">
        <f t="shared" si="287"/>
        <v>1179.76</v>
      </c>
      <c r="AS192" s="14">
        <f t="shared" si="217"/>
        <v>1160.29</v>
      </c>
      <c r="AT192" s="14">
        <f t="shared" si="224"/>
        <v>154998.29999999984</v>
      </c>
      <c r="AU192" s="285">
        <f t="shared" si="225"/>
        <v>1017.3570329417631</v>
      </c>
      <c r="AV192" s="285">
        <f t="shared" si="226"/>
        <v>146384.17020964704</v>
      </c>
    </row>
    <row r="193" spans="1:48" x14ac:dyDescent="0.25">
      <c r="A193" s="502">
        <f t="shared" si="289"/>
        <v>49749</v>
      </c>
      <c r="B193" s="285">
        <f t="shared" si="218"/>
        <v>62428.319999999963</v>
      </c>
      <c r="C193" s="14">
        <f t="shared" si="211"/>
        <v>450.28</v>
      </c>
      <c r="D193" s="14">
        <f t="shared" si="227"/>
        <v>255.18999999999997</v>
      </c>
      <c r="E193" s="14">
        <f t="shared" si="212"/>
        <v>195.09</v>
      </c>
      <c r="F193" s="14">
        <f t="shared" si="278"/>
        <v>134.16999999999999</v>
      </c>
      <c r="G193" s="14">
        <f t="shared" si="275"/>
        <v>188.55</v>
      </c>
      <c r="H193" s="14">
        <f t="shared" si="276"/>
        <v>773</v>
      </c>
      <c r="I193" s="285">
        <f t="shared" si="290"/>
        <v>35358.709999999985</v>
      </c>
      <c r="J193" s="285">
        <f t="shared" si="291"/>
        <v>45545.249999999978</v>
      </c>
      <c r="K193" s="285">
        <f t="shared" si="292"/>
        <v>62173.129999999961</v>
      </c>
      <c r="L193" s="425">
        <f t="shared" si="263"/>
        <v>11</v>
      </c>
      <c r="M193" s="425">
        <f t="shared" si="219"/>
        <v>134</v>
      </c>
      <c r="N193" s="285">
        <f t="shared" si="220"/>
        <v>213640.21000000005</v>
      </c>
      <c r="O193" s="285">
        <f t="shared" si="293"/>
        <v>1610.57</v>
      </c>
      <c r="P193" s="285">
        <f t="shared" si="228"/>
        <v>497.8599999999999</v>
      </c>
      <c r="Q193" s="285">
        <f t="shared" si="294"/>
        <v>1112.71</v>
      </c>
      <c r="R193" s="285">
        <f t="shared" si="281"/>
        <v>134.16999999999999</v>
      </c>
      <c r="S193" s="285">
        <f t="shared" si="282"/>
        <v>188.55</v>
      </c>
      <c r="T193" s="285">
        <f t="shared" si="279"/>
        <v>1933.29</v>
      </c>
      <c r="U193" s="285">
        <f t="shared" si="229"/>
        <v>48433.649999999987</v>
      </c>
      <c r="V193" s="285">
        <f t="shared" si="230"/>
        <v>168993.29999999993</v>
      </c>
      <c r="W193" s="285">
        <f t="shared" si="295"/>
        <v>213142.35000000006</v>
      </c>
      <c r="X193" s="502">
        <f t="shared" si="221"/>
        <v>49749</v>
      </c>
      <c r="Y193" s="285">
        <f t="shared" si="296"/>
        <v>291468.5300000002</v>
      </c>
      <c r="Z193" s="494">
        <f t="shared" si="213"/>
        <v>6.25E-2</v>
      </c>
      <c r="AA193" s="285">
        <f t="shared" si="214"/>
        <v>1630.04</v>
      </c>
      <c r="AB193" s="285">
        <f t="shared" si="297"/>
        <v>111.97000000000003</v>
      </c>
      <c r="AC193" s="285">
        <f t="shared" si="215"/>
        <v>1518.07</v>
      </c>
      <c r="AD193" s="285">
        <f t="shared" ref="AD193:AE193" si="305">+AD192</f>
        <v>134.16999999999999</v>
      </c>
      <c r="AE193" s="285">
        <f t="shared" si="305"/>
        <v>188.55</v>
      </c>
      <c r="AF193" s="285">
        <f t="shared" si="299"/>
        <v>1952.76</v>
      </c>
      <c r="AG193" s="285">
        <f t="shared" si="300"/>
        <v>39836.839999999975</v>
      </c>
      <c r="AH193" s="285">
        <f t="shared" si="301"/>
        <v>174444.76</v>
      </c>
      <c r="AI193" s="512">
        <f t="shared" si="284"/>
        <v>3145.3499999999876</v>
      </c>
      <c r="AJ193" s="512">
        <f t="shared" si="242"/>
        <v>-78214.210000000166</v>
      </c>
      <c r="AK193" s="512">
        <f t="shared" si="285"/>
        <v>-75068.860000000175</v>
      </c>
      <c r="AL193" s="285">
        <f t="shared" si="302"/>
        <v>291356.56000000023</v>
      </c>
      <c r="AM193" s="425">
        <f t="shared" si="223"/>
        <v>11</v>
      </c>
      <c r="AN193" s="14">
        <f t="shared" si="286"/>
        <v>1160.29</v>
      </c>
      <c r="AO193" s="14">
        <f t="shared" si="261"/>
        <v>220890.46</v>
      </c>
      <c r="AP193" s="14">
        <f t="shared" si="287"/>
        <v>1179.76</v>
      </c>
      <c r="AS193" s="14">
        <f t="shared" si="217"/>
        <v>1160.29</v>
      </c>
      <c r="AT193" s="14">
        <f t="shared" si="224"/>
        <v>156158.58999999985</v>
      </c>
      <c r="AU193" s="285">
        <f t="shared" si="225"/>
        <v>1019.9004255241175</v>
      </c>
      <c r="AV193" s="285">
        <f t="shared" si="226"/>
        <v>147404.07063517117</v>
      </c>
    </row>
    <row r="194" spans="1:48" ht="15.75" thickBot="1" x14ac:dyDescent="0.3">
      <c r="A194" s="505">
        <f t="shared" si="289"/>
        <v>49779</v>
      </c>
      <c r="B194" s="345">
        <f t="shared" si="218"/>
        <v>62173.129999999961</v>
      </c>
      <c r="C194" s="21">
        <f t="shared" si="211"/>
        <v>450.28</v>
      </c>
      <c r="D194" s="21">
        <f t="shared" si="227"/>
        <v>255.98999999999998</v>
      </c>
      <c r="E194" s="21">
        <f t="shared" si="212"/>
        <v>194.29</v>
      </c>
      <c r="F194" s="21">
        <f t="shared" si="278"/>
        <v>134.16999999999999</v>
      </c>
      <c r="G194" s="21">
        <f t="shared" si="275"/>
        <v>188.55</v>
      </c>
      <c r="H194" s="21">
        <f t="shared" si="276"/>
        <v>773</v>
      </c>
      <c r="I194" s="345">
        <f t="shared" si="290"/>
        <v>35614.699999999983</v>
      </c>
      <c r="J194" s="345">
        <f t="shared" si="291"/>
        <v>45739.539999999979</v>
      </c>
      <c r="K194" s="345">
        <f t="shared" si="292"/>
        <v>61917.139999999963</v>
      </c>
      <c r="L194" s="426">
        <f t="shared" si="263"/>
        <v>11</v>
      </c>
      <c r="M194" s="426">
        <f t="shared" si="219"/>
        <v>135</v>
      </c>
      <c r="N194" s="345">
        <f t="shared" si="220"/>
        <v>213142.35000000006</v>
      </c>
      <c r="O194" s="345">
        <f t="shared" si="293"/>
        <v>1610.57</v>
      </c>
      <c r="P194" s="345">
        <f t="shared" si="228"/>
        <v>500.45000000000005</v>
      </c>
      <c r="Q194" s="345">
        <f t="shared" si="294"/>
        <v>1110.1199999999999</v>
      </c>
      <c r="R194" s="345">
        <f t="shared" si="281"/>
        <v>134.16999999999999</v>
      </c>
      <c r="S194" s="345">
        <f t="shared" si="282"/>
        <v>188.55</v>
      </c>
      <c r="T194" s="345">
        <f t="shared" si="279"/>
        <v>1933.29</v>
      </c>
      <c r="U194" s="345">
        <f t="shared" si="229"/>
        <v>48934.099999999984</v>
      </c>
      <c r="V194" s="345">
        <f t="shared" si="230"/>
        <v>170103.41999999993</v>
      </c>
      <c r="W194" s="345">
        <f t="shared" si="295"/>
        <v>212641.90000000005</v>
      </c>
      <c r="X194" s="505">
        <f t="shared" si="221"/>
        <v>49779</v>
      </c>
      <c r="Y194" s="345">
        <f t="shared" si="296"/>
        <v>291356.56000000023</v>
      </c>
      <c r="Z194" s="495">
        <f t="shared" si="213"/>
        <v>6.25E-2</v>
      </c>
      <c r="AA194" s="345">
        <f t="shared" si="214"/>
        <v>1630.04</v>
      </c>
      <c r="AB194" s="345">
        <f t="shared" si="297"/>
        <v>112.55999999999995</v>
      </c>
      <c r="AC194" s="345">
        <f t="shared" si="215"/>
        <v>1517.48</v>
      </c>
      <c r="AD194" s="345">
        <f t="shared" ref="AD194:AE194" si="306">+AD193</f>
        <v>134.16999999999999</v>
      </c>
      <c r="AE194" s="345">
        <f t="shared" si="306"/>
        <v>188.55</v>
      </c>
      <c r="AF194" s="345">
        <f t="shared" si="299"/>
        <v>1952.76</v>
      </c>
      <c r="AG194" s="345">
        <f t="shared" si="300"/>
        <v>39949.399999999972</v>
      </c>
      <c r="AH194" s="345">
        <f t="shared" si="301"/>
        <v>175962.24000000002</v>
      </c>
      <c r="AI194" s="513">
        <f t="shared" si="284"/>
        <v>3125.8799999999874</v>
      </c>
      <c r="AJ194" s="513">
        <f t="shared" si="242"/>
        <v>-78602.10000000018</v>
      </c>
      <c r="AK194" s="512">
        <f t="shared" si="285"/>
        <v>-75476.22000000019</v>
      </c>
      <c r="AL194" s="345">
        <f t="shared" si="302"/>
        <v>291244.00000000023</v>
      </c>
      <c r="AM194" s="426">
        <f t="shared" si="223"/>
        <v>11</v>
      </c>
      <c r="AN194" s="21">
        <f t="shared" si="286"/>
        <v>1160.29</v>
      </c>
      <c r="AO194" s="21">
        <f t="shared" si="261"/>
        <v>220646</v>
      </c>
      <c r="AP194" s="21">
        <f t="shared" si="287"/>
        <v>1179.76</v>
      </c>
      <c r="AQ194" s="21"/>
      <c r="AR194" s="23"/>
      <c r="AS194" s="21">
        <f t="shared" si="217"/>
        <v>1160.29</v>
      </c>
      <c r="AT194" s="21">
        <f t="shared" si="224"/>
        <v>157318.87999999986</v>
      </c>
      <c r="AU194" s="345">
        <f t="shared" si="225"/>
        <v>1022.4501765879278</v>
      </c>
      <c r="AV194" s="345">
        <f t="shared" si="226"/>
        <v>148426.52081175911</v>
      </c>
    </row>
    <row r="195" spans="1:48" x14ac:dyDescent="0.25">
      <c r="A195" s="502">
        <f t="shared" si="289"/>
        <v>49809</v>
      </c>
      <c r="B195" s="285">
        <f t="shared" si="218"/>
        <v>61917.139999999963</v>
      </c>
      <c r="C195" s="14">
        <f t="shared" si="211"/>
        <v>450.28</v>
      </c>
      <c r="D195" s="14">
        <f t="shared" si="227"/>
        <v>256.78999999999996</v>
      </c>
      <c r="E195" s="14">
        <f t="shared" si="212"/>
        <v>193.49</v>
      </c>
      <c r="F195" s="14">
        <f t="shared" si="278"/>
        <v>134.16999999999999</v>
      </c>
      <c r="G195" s="14">
        <f t="shared" si="275"/>
        <v>188.55</v>
      </c>
      <c r="H195" s="14">
        <f t="shared" si="276"/>
        <v>773</v>
      </c>
      <c r="I195" s="285">
        <f t="shared" si="290"/>
        <v>35871.489999999983</v>
      </c>
      <c r="J195" s="285">
        <f t="shared" si="291"/>
        <v>45933.029999999977</v>
      </c>
      <c r="K195" s="285">
        <f t="shared" si="292"/>
        <v>61660.349999999962</v>
      </c>
      <c r="L195" s="425">
        <f t="shared" si="263"/>
        <v>11</v>
      </c>
      <c r="M195" s="425">
        <f t="shared" si="219"/>
        <v>136</v>
      </c>
      <c r="N195" s="285">
        <f t="shared" si="220"/>
        <v>212641.90000000005</v>
      </c>
      <c r="O195" s="285">
        <f t="shared" si="293"/>
        <v>1610.57</v>
      </c>
      <c r="P195" s="285">
        <f t="shared" si="228"/>
        <v>503.05999999999995</v>
      </c>
      <c r="Q195" s="285">
        <f t="shared" si="294"/>
        <v>1107.51</v>
      </c>
      <c r="R195" s="285">
        <f t="shared" si="281"/>
        <v>134.16999999999999</v>
      </c>
      <c r="S195" s="285">
        <f t="shared" si="282"/>
        <v>188.55</v>
      </c>
      <c r="T195" s="285">
        <f t="shared" si="279"/>
        <v>1933.29</v>
      </c>
      <c r="U195" s="285">
        <f t="shared" si="229"/>
        <v>49437.159999999982</v>
      </c>
      <c r="V195" s="285">
        <f t="shared" si="230"/>
        <v>171210.92999999993</v>
      </c>
      <c r="W195" s="285">
        <f t="shared" si="295"/>
        <v>212138.84000000005</v>
      </c>
      <c r="X195" s="502">
        <f t="shared" si="221"/>
        <v>49809</v>
      </c>
      <c r="Y195" s="285">
        <f t="shared" si="296"/>
        <v>291244.00000000023</v>
      </c>
      <c r="Z195" s="494">
        <f t="shared" si="213"/>
        <v>6.25E-2</v>
      </c>
      <c r="AA195" s="285">
        <f t="shared" si="214"/>
        <v>1630.04</v>
      </c>
      <c r="AB195" s="285">
        <f t="shared" si="297"/>
        <v>113.13999999999987</v>
      </c>
      <c r="AC195" s="285">
        <f t="shared" si="215"/>
        <v>1516.9</v>
      </c>
      <c r="AD195" s="285">
        <f t="shared" ref="AD195:AE195" si="307">+AD194</f>
        <v>134.16999999999999</v>
      </c>
      <c r="AE195" s="285">
        <f t="shared" si="307"/>
        <v>188.55</v>
      </c>
      <c r="AF195" s="285">
        <f t="shared" si="299"/>
        <v>1952.76</v>
      </c>
      <c r="AG195" s="285">
        <f t="shared" si="300"/>
        <v>40062.539999999972</v>
      </c>
      <c r="AH195" s="285">
        <f t="shared" si="301"/>
        <v>177479.14</v>
      </c>
      <c r="AI195" s="512">
        <f t="shared" si="284"/>
        <v>3106.4099999999871</v>
      </c>
      <c r="AJ195" s="512">
        <f t="shared" si="242"/>
        <v>-78992.020000000164</v>
      </c>
      <c r="AK195" s="512">
        <f t="shared" si="285"/>
        <v>-75885.610000000175</v>
      </c>
      <c r="AL195" s="285">
        <f t="shared" si="302"/>
        <v>291130.86000000022</v>
      </c>
      <c r="AM195" s="425">
        <f t="shared" si="223"/>
        <v>11</v>
      </c>
      <c r="AN195" s="14">
        <f t="shared" si="286"/>
        <v>1160.29</v>
      </c>
      <c r="AO195" s="14">
        <f t="shared" si="261"/>
        <v>220399.73000000004</v>
      </c>
      <c r="AP195" s="14">
        <f t="shared" si="287"/>
        <v>1179.76</v>
      </c>
      <c r="AS195" s="14">
        <f t="shared" si="217"/>
        <v>1160.29</v>
      </c>
      <c r="AT195" s="14">
        <f t="shared" si="224"/>
        <v>158479.16999999987</v>
      </c>
      <c r="AU195" s="285">
        <f t="shared" si="225"/>
        <v>1025.0063020293976</v>
      </c>
      <c r="AV195" s="285">
        <f t="shared" si="226"/>
        <v>149451.5271137885</v>
      </c>
    </row>
    <row r="196" spans="1:48" x14ac:dyDescent="0.25">
      <c r="A196" s="502">
        <f t="shared" si="289"/>
        <v>49839</v>
      </c>
      <c r="B196" s="285">
        <f t="shared" si="218"/>
        <v>61660.349999999962</v>
      </c>
      <c r="C196" s="14">
        <f t="shared" si="211"/>
        <v>450.28</v>
      </c>
      <c r="D196" s="14">
        <f t="shared" si="227"/>
        <v>257.58999999999997</v>
      </c>
      <c r="E196" s="14">
        <f t="shared" si="212"/>
        <v>192.69</v>
      </c>
      <c r="F196" s="14">
        <f t="shared" si="278"/>
        <v>134.16999999999999</v>
      </c>
      <c r="G196" s="14">
        <f t="shared" si="275"/>
        <v>188.55</v>
      </c>
      <c r="H196" s="14">
        <f t="shared" si="276"/>
        <v>773</v>
      </c>
      <c r="I196" s="285">
        <f t="shared" si="290"/>
        <v>36129.07999999998</v>
      </c>
      <c r="J196" s="285">
        <f t="shared" si="291"/>
        <v>46125.719999999979</v>
      </c>
      <c r="K196" s="285">
        <f t="shared" si="292"/>
        <v>61402.759999999966</v>
      </c>
      <c r="L196" s="425">
        <f t="shared" si="263"/>
        <v>11</v>
      </c>
      <c r="M196" s="425">
        <f t="shared" si="219"/>
        <v>137</v>
      </c>
      <c r="N196" s="285">
        <f t="shared" si="220"/>
        <v>212138.84000000005</v>
      </c>
      <c r="O196" s="285">
        <f t="shared" si="293"/>
        <v>1610.57</v>
      </c>
      <c r="P196" s="285">
        <f t="shared" si="228"/>
        <v>505.67999999999984</v>
      </c>
      <c r="Q196" s="285">
        <f t="shared" si="294"/>
        <v>1104.8900000000001</v>
      </c>
      <c r="R196" s="285">
        <f t="shared" si="281"/>
        <v>134.16999999999999</v>
      </c>
      <c r="S196" s="285">
        <f t="shared" si="282"/>
        <v>188.55</v>
      </c>
      <c r="T196" s="285">
        <f t="shared" si="279"/>
        <v>1933.29</v>
      </c>
      <c r="U196" s="285">
        <f t="shared" si="229"/>
        <v>49942.839999999982</v>
      </c>
      <c r="V196" s="285">
        <f t="shared" si="230"/>
        <v>172315.81999999995</v>
      </c>
      <c r="W196" s="285">
        <f t="shared" si="295"/>
        <v>211633.16000000006</v>
      </c>
      <c r="X196" s="502">
        <f t="shared" si="221"/>
        <v>49839</v>
      </c>
      <c r="Y196" s="285">
        <f t="shared" si="296"/>
        <v>291130.86000000022</v>
      </c>
      <c r="Z196" s="494">
        <f t="shared" si="213"/>
        <v>6.25E-2</v>
      </c>
      <c r="AA196" s="285">
        <f t="shared" si="214"/>
        <v>1630.04</v>
      </c>
      <c r="AB196" s="285">
        <f t="shared" si="297"/>
        <v>113.73000000000002</v>
      </c>
      <c r="AC196" s="285">
        <f t="shared" si="215"/>
        <v>1516.31</v>
      </c>
      <c r="AD196" s="285">
        <f t="shared" ref="AD196:AE196" si="308">+AD195</f>
        <v>134.16999999999999</v>
      </c>
      <c r="AE196" s="285">
        <f t="shared" si="308"/>
        <v>188.55</v>
      </c>
      <c r="AF196" s="285">
        <f t="shared" si="299"/>
        <v>1952.76</v>
      </c>
      <c r="AG196" s="285">
        <f t="shared" si="300"/>
        <v>40176.269999999975</v>
      </c>
      <c r="AH196" s="285">
        <f t="shared" si="301"/>
        <v>178995.45</v>
      </c>
      <c r="AI196" s="512">
        <f t="shared" si="284"/>
        <v>3086.9399999999869</v>
      </c>
      <c r="AJ196" s="512">
        <f t="shared" si="242"/>
        <v>-79383.970000000176</v>
      </c>
      <c r="AK196" s="512">
        <f t="shared" si="285"/>
        <v>-76297.030000000188</v>
      </c>
      <c r="AL196" s="285">
        <f t="shared" si="302"/>
        <v>291017.13000000024</v>
      </c>
      <c r="AM196" s="425">
        <f t="shared" si="223"/>
        <v>11</v>
      </c>
      <c r="AN196" s="14">
        <f t="shared" si="286"/>
        <v>1160.29</v>
      </c>
      <c r="AO196" s="14">
        <f t="shared" si="261"/>
        <v>220151.64</v>
      </c>
      <c r="AP196" s="14">
        <f t="shared" si="287"/>
        <v>1179.76</v>
      </c>
      <c r="AS196" s="14">
        <f t="shared" si="217"/>
        <v>1160.29</v>
      </c>
      <c r="AT196" s="14">
        <f t="shared" si="224"/>
        <v>159639.45999999988</v>
      </c>
      <c r="AU196" s="285">
        <f t="shared" si="225"/>
        <v>1027.5688177844713</v>
      </c>
      <c r="AV196" s="285">
        <f t="shared" si="226"/>
        <v>150479.09593157296</v>
      </c>
    </row>
    <row r="197" spans="1:48" x14ac:dyDescent="0.25">
      <c r="A197" s="502">
        <f t="shared" si="289"/>
        <v>49869</v>
      </c>
      <c r="B197" s="285">
        <f t="shared" si="218"/>
        <v>61402.759999999966</v>
      </c>
      <c r="C197" s="14">
        <f t="shared" si="211"/>
        <v>450.28</v>
      </c>
      <c r="D197" s="14">
        <f t="shared" si="227"/>
        <v>258.39999999999998</v>
      </c>
      <c r="E197" s="14">
        <f t="shared" si="212"/>
        <v>191.88</v>
      </c>
      <c r="F197" s="14">
        <f t="shared" si="278"/>
        <v>134.16999999999999</v>
      </c>
      <c r="G197" s="14">
        <f t="shared" si="275"/>
        <v>188.55</v>
      </c>
      <c r="H197" s="14">
        <f t="shared" si="276"/>
        <v>773</v>
      </c>
      <c r="I197" s="285">
        <f t="shared" si="290"/>
        <v>36387.479999999981</v>
      </c>
      <c r="J197" s="285">
        <f t="shared" si="291"/>
        <v>46317.599999999977</v>
      </c>
      <c r="K197" s="285">
        <f t="shared" si="292"/>
        <v>61144.359999999964</v>
      </c>
      <c r="L197" s="425">
        <f t="shared" si="263"/>
        <v>11</v>
      </c>
      <c r="M197" s="425">
        <f t="shared" si="219"/>
        <v>138</v>
      </c>
      <c r="N197" s="285">
        <f t="shared" si="220"/>
        <v>211633.16000000006</v>
      </c>
      <c r="O197" s="285">
        <f t="shared" si="293"/>
        <v>1610.57</v>
      </c>
      <c r="P197" s="285">
        <f t="shared" si="228"/>
        <v>508.30999999999995</v>
      </c>
      <c r="Q197" s="285">
        <f t="shared" si="294"/>
        <v>1102.26</v>
      </c>
      <c r="R197" s="285">
        <f t="shared" si="281"/>
        <v>134.16999999999999</v>
      </c>
      <c r="S197" s="285">
        <f t="shared" si="282"/>
        <v>188.55</v>
      </c>
      <c r="T197" s="285">
        <f t="shared" si="279"/>
        <v>1933.29</v>
      </c>
      <c r="U197" s="285">
        <f t="shared" si="229"/>
        <v>50451.14999999998</v>
      </c>
      <c r="V197" s="285">
        <f t="shared" si="230"/>
        <v>173418.07999999996</v>
      </c>
      <c r="W197" s="285">
        <f t="shared" si="295"/>
        <v>211124.85000000006</v>
      </c>
      <c r="X197" s="502">
        <f t="shared" si="221"/>
        <v>49869</v>
      </c>
      <c r="Y197" s="285">
        <f t="shared" si="296"/>
        <v>291017.13000000024</v>
      </c>
      <c r="Z197" s="494">
        <f t="shared" si="213"/>
        <v>6.25E-2</v>
      </c>
      <c r="AA197" s="285">
        <f t="shared" si="214"/>
        <v>1630.04</v>
      </c>
      <c r="AB197" s="285">
        <f t="shared" si="297"/>
        <v>114.32999999999993</v>
      </c>
      <c r="AC197" s="285">
        <f t="shared" si="215"/>
        <v>1515.71</v>
      </c>
      <c r="AD197" s="285">
        <f t="shared" ref="AD197:AE197" si="309">+AD196</f>
        <v>134.16999999999999</v>
      </c>
      <c r="AE197" s="285">
        <f t="shared" si="309"/>
        <v>188.55</v>
      </c>
      <c r="AF197" s="285">
        <f t="shared" si="299"/>
        <v>1952.76</v>
      </c>
      <c r="AG197" s="285">
        <f t="shared" si="300"/>
        <v>40290.599999999977</v>
      </c>
      <c r="AH197" s="285">
        <f t="shared" si="301"/>
        <v>180511.16</v>
      </c>
      <c r="AI197" s="512">
        <f t="shared" si="284"/>
        <v>3067.4699999999866</v>
      </c>
      <c r="AJ197" s="512">
        <f t="shared" si="242"/>
        <v>-79777.950000000157</v>
      </c>
      <c r="AK197" s="512">
        <f t="shared" si="285"/>
        <v>-76710.480000000171</v>
      </c>
      <c r="AL197" s="285">
        <f t="shared" si="302"/>
        <v>290902.80000000022</v>
      </c>
      <c r="AM197" s="425">
        <f t="shared" si="223"/>
        <v>11</v>
      </c>
      <c r="AN197" s="14">
        <f t="shared" si="286"/>
        <v>1160.29</v>
      </c>
      <c r="AO197" s="14">
        <f t="shared" si="261"/>
        <v>219901.73000000004</v>
      </c>
      <c r="AP197" s="14">
        <f t="shared" si="287"/>
        <v>1179.76</v>
      </c>
      <c r="AS197" s="14">
        <f t="shared" si="217"/>
        <v>1160.29</v>
      </c>
      <c r="AT197" s="14">
        <f t="shared" si="224"/>
        <v>160799.74999999988</v>
      </c>
      <c r="AU197" s="285">
        <f t="shared" si="225"/>
        <v>1030.1377398289324</v>
      </c>
      <c r="AV197" s="285">
        <f t="shared" si="226"/>
        <v>151509.23367140189</v>
      </c>
    </row>
    <row r="198" spans="1:48" x14ac:dyDescent="0.25">
      <c r="A198" s="502">
        <f t="shared" si="289"/>
        <v>49899</v>
      </c>
      <c r="B198" s="285">
        <f t="shared" si="218"/>
        <v>61144.359999999964</v>
      </c>
      <c r="C198" s="14">
        <f t="shared" si="211"/>
        <v>450.28</v>
      </c>
      <c r="D198" s="14">
        <f t="shared" si="227"/>
        <v>259.19999999999993</v>
      </c>
      <c r="E198" s="14">
        <f t="shared" si="212"/>
        <v>191.08</v>
      </c>
      <c r="F198" s="14">
        <f t="shared" si="278"/>
        <v>134.16999999999999</v>
      </c>
      <c r="G198" s="14">
        <f t="shared" si="275"/>
        <v>188.55</v>
      </c>
      <c r="H198" s="14">
        <f t="shared" si="276"/>
        <v>773</v>
      </c>
      <c r="I198" s="285">
        <f t="shared" si="290"/>
        <v>36646.679999999978</v>
      </c>
      <c r="J198" s="285">
        <f t="shared" si="291"/>
        <v>46508.679999999978</v>
      </c>
      <c r="K198" s="285">
        <f t="shared" si="292"/>
        <v>60885.159999999967</v>
      </c>
      <c r="L198" s="425">
        <f t="shared" si="263"/>
        <v>11</v>
      </c>
      <c r="M198" s="425">
        <f t="shared" si="219"/>
        <v>139</v>
      </c>
      <c r="N198" s="285">
        <f t="shared" si="220"/>
        <v>211124.85000000006</v>
      </c>
      <c r="O198" s="285">
        <f t="shared" si="293"/>
        <v>1610.57</v>
      </c>
      <c r="P198" s="285">
        <f t="shared" si="228"/>
        <v>510.96000000000004</v>
      </c>
      <c r="Q198" s="285">
        <f t="shared" si="294"/>
        <v>1099.6099999999999</v>
      </c>
      <c r="R198" s="285">
        <f t="shared" si="281"/>
        <v>134.16999999999999</v>
      </c>
      <c r="S198" s="285">
        <f t="shared" si="282"/>
        <v>188.55</v>
      </c>
      <c r="T198" s="285">
        <f t="shared" si="279"/>
        <v>1933.29</v>
      </c>
      <c r="U198" s="285">
        <f t="shared" si="229"/>
        <v>50962.109999999979</v>
      </c>
      <c r="V198" s="285">
        <f t="shared" si="230"/>
        <v>174517.68999999994</v>
      </c>
      <c r="W198" s="285">
        <f t="shared" si="295"/>
        <v>210613.89000000007</v>
      </c>
      <c r="X198" s="502">
        <f t="shared" si="221"/>
        <v>49899</v>
      </c>
      <c r="Y198" s="285">
        <f t="shared" si="296"/>
        <v>290902.80000000022</v>
      </c>
      <c r="Z198" s="494">
        <f t="shared" si="213"/>
        <v>6.25E-2</v>
      </c>
      <c r="AA198" s="285">
        <f t="shared" si="214"/>
        <v>1630.04</v>
      </c>
      <c r="AB198" s="285">
        <f t="shared" si="297"/>
        <v>114.92000000000007</v>
      </c>
      <c r="AC198" s="285">
        <f t="shared" si="215"/>
        <v>1515.12</v>
      </c>
      <c r="AD198" s="285">
        <f t="shared" ref="AD198:AE198" si="310">+AD197</f>
        <v>134.16999999999999</v>
      </c>
      <c r="AE198" s="285">
        <f t="shared" si="310"/>
        <v>188.55</v>
      </c>
      <c r="AF198" s="285">
        <f t="shared" si="299"/>
        <v>1952.76</v>
      </c>
      <c r="AG198" s="285">
        <f t="shared" si="300"/>
        <v>40405.519999999975</v>
      </c>
      <c r="AH198" s="285">
        <f t="shared" si="301"/>
        <v>182026.28</v>
      </c>
      <c r="AI198" s="512">
        <f t="shared" si="284"/>
        <v>3047.9999999999864</v>
      </c>
      <c r="AJ198" s="512">
        <f t="shared" si="242"/>
        <v>-80173.990000000165</v>
      </c>
      <c r="AK198" s="512">
        <f t="shared" si="285"/>
        <v>-77125.99000000018</v>
      </c>
      <c r="AL198" s="285">
        <f t="shared" si="302"/>
        <v>290787.88000000024</v>
      </c>
      <c r="AM198" s="425">
        <f t="shared" si="223"/>
        <v>11</v>
      </c>
      <c r="AN198" s="14">
        <f t="shared" si="286"/>
        <v>1160.29</v>
      </c>
      <c r="AO198" s="14">
        <f t="shared" si="261"/>
        <v>219649.97000000003</v>
      </c>
      <c r="AP198" s="14">
        <f t="shared" si="287"/>
        <v>1179.76</v>
      </c>
      <c r="AS198" s="14">
        <f t="shared" si="217"/>
        <v>1160.29</v>
      </c>
      <c r="AT198" s="14">
        <f t="shared" si="224"/>
        <v>161960.03999999989</v>
      </c>
      <c r="AU198" s="285">
        <f t="shared" si="225"/>
        <v>1032.7130841785047</v>
      </c>
      <c r="AV198" s="285">
        <f t="shared" si="226"/>
        <v>152541.9467555804</v>
      </c>
    </row>
    <row r="199" spans="1:48" x14ac:dyDescent="0.25">
      <c r="A199" s="502">
        <f t="shared" si="289"/>
        <v>49929</v>
      </c>
      <c r="B199" s="285">
        <f t="shared" si="218"/>
        <v>60885.159999999967</v>
      </c>
      <c r="C199" s="14">
        <f t="shared" si="211"/>
        <v>450.28</v>
      </c>
      <c r="D199" s="14">
        <f t="shared" si="227"/>
        <v>260.01</v>
      </c>
      <c r="E199" s="14">
        <f t="shared" si="212"/>
        <v>190.27</v>
      </c>
      <c r="F199" s="14">
        <f t="shared" si="278"/>
        <v>134.16999999999999</v>
      </c>
      <c r="G199" s="14">
        <f t="shared" si="275"/>
        <v>188.55</v>
      </c>
      <c r="H199" s="14">
        <f t="shared" si="276"/>
        <v>773</v>
      </c>
      <c r="I199" s="285">
        <f t="shared" si="290"/>
        <v>36906.689999999981</v>
      </c>
      <c r="J199" s="285">
        <f t="shared" si="291"/>
        <v>46698.949999999975</v>
      </c>
      <c r="K199" s="285">
        <f t="shared" si="292"/>
        <v>60625.149999999965</v>
      </c>
      <c r="L199" s="425">
        <f t="shared" si="263"/>
        <v>11</v>
      </c>
      <c r="M199" s="425">
        <f t="shared" si="219"/>
        <v>140</v>
      </c>
      <c r="N199" s="285">
        <f t="shared" si="220"/>
        <v>210613.89000000007</v>
      </c>
      <c r="O199" s="285">
        <f t="shared" si="293"/>
        <v>1610.57</v>
      </c>
      <c r="P199" s="285">
        <f t="shared" si="228"/>
        <v>513.61999999999989</v>
      </c>
      <c r="Q199" s="285">
        <f t="shared" si="294"/>
        <v>1096.95</v>
      </c>
      <c r="R199" s="285">
        <f t="shared" si="281"/>
        <v>134.16999999999999</v>
      </c>
      <c r="S199" s="285">
        <f t="shared" si="282"/>
        <v>188.55</v>
      </c>
      <c r="T199" s="285">
        <f t="shared" si="279"/>
        <v>1933.29</v>
      </c>
      <c r="U199" s="285">
        <f t="shared" si="229"/>
        <v>51475.729999999981</v>
      </c>
      <c r="V199" s="285">
        <f t="shared" si="230"/>
        <v>175614.63999999996</v>
      </c>
      <c r="W199" s="285">
        <f t="shared" si="295"/>
        <v>210100.27000000008</v>
      </c>
      <c r="X199" s="502">
        <f t="shared" si="221"/>
        <v>49929</v>
      </c>
      <c r="Y199" s="285">
        <f t="shared" si="296"/>
        <v>290787.88000000024</v>
      </c>
      <c r="Z199" s="494">
        <f t="shared" si="213"/>
        <v>6.25E-2</v>
      </c>
      <c r="AA199" s="285">
        <f t="shared" si="214"/>
        <v>1630.04</v>
      </c>
      <c r="AB199" s="285">
        <f t="shared" si="297"/>
        <v>115.51999999999998</v>
      </c>
      <c r="AC199" s="285">
        <f t="shared" si="215"/>
        <v>1514.52</v>
      </c>
      <c r="AD199" s="285">
        <f t="shared" ref="AD199:AE199" si="311">+AD198</f>
        <v>134.16999999999999</v>
      </c>
      <c r="AE199" s="285">
        <f t="shared" si="311"/>
        <v>188.55</v>
      </c>
      <c r="AF199" s="285">
        <f t="shared" si="299"/>
        <v>1952.76</v>
      </c>
      <c r="AG199" s="285">
        <f t="shared" si="300"/>
        <v>40521.039999999972</v>
      </c>
      <c r="AH199" s="285">
        <f t="shared" si="301"/>
        <v>183540.8</v>
      </c>
      <c r="AI199" s="512">
        <f t="shared" si="284"/>
        <v>3028.5299999999861</v>
      </c>
      <c r="AJ199" s="512">
        <f t="shared" si="242"/>
        <v>-80572.090000000142</v>
      </c>
      <c r="AK199" s="512">
        <f t="shared" si="285"/>
        <v>-77543.560000000158</v>
      </c>
      <c r="AL199" s="285">
        <f t="shared" si="302"/>
        <v>290672.36000000022</v>
      </c>
      <c r="AM199" s="425">
        <f t="shared" si="223"/>
        <v>11</v>
      </c>
      <c r="AN199" s="14">
        <f t="shared" si="286"/>
        <v>1160.29</v>
      </c>
      <c r="AO199" s="14">
        <f t="shared" si="261"/>
        <v>219396.36000000004</v>
      </c>
      <c r="AP199" s="14">
        <f t="shared" si="287"/>
        <v>1179.76</v>
      </c>
      <c r="AS199" s="14">
        <f t="shared" si="217"/>
        <v>1160.29</v>
      </c>
      <c r="AT199" s="14">
        <f t="shared" si="224"/>
        <v>163120.3299999999</v>
      </c>
      <c r="AU199" s="285">
        <f t="shared" si="225"/>
        <v>1035.294866888951</v>
      </c>
      <c r="AV199" s="285">
        <f t="shared" si="226"/>
        <v>153577.24162246936</v>
      </c>
    </row>
    <row r="200" spans="1:48" x14ac:dyDescent="0.25">
      <c r="A200" s="502">
        <f t="shared" si="289"/>
        <v>49959</v>
      </c>
      <c r="B200" s="285">
        <f t="shared" si="218"/>
        <v>60625.149999999965</v>
      </c>
      <c r="C200" s="14">
        <f t="shared" si="211"/>
        <v>450.28</v>
      </c>
      <c r="D200" s="14">
        <f t="shared" si="227"/>
        <v>260.83</v>
      </c>
      <c r="E200" s="14">
        <f t="shared" si="212"/>
        <v>189.45</v>
      </c>
      <c r="F200" s="14">
        <f t="shared" si="278"/>
        <v>134.16999999999999</v>
      </c>
      <c r="G200" s="14">
        <f t="shared" si="275"/>
        <v>188.55</v>
      </c>
      <c r="H200" s="14">
        <f t="shared" si="276"/>
        <v>773</v>
      </c>
      <c r="I200" s="285">
        <f t="shared" si="290"/>
        <v>37167.519999999982</v>
      </c>
      <c r="J200" s="285">
        <f t="shared" si="291"/>
        <v>46888.399999999972</v>
      </c>
      <c r="K200" s="285">
        <f t="shared" si="292"/>
        <v>60364.319999999963</v>
      </c>
      <c r="L200" s="425">
        <f t="shared" si="263"/>
        <v>11</v>
      </c>
      <c r="M200" s="425">
        <f t="shared" si="219"/>
        <v>141</v>
      </c>
      <c r="N200" s="285">
        <f t="shared" si="220"/>
        <v>210100.27000000008</v>
      </c>
      <c r="O200" s="285">
        <f t="shared" si="293"/>
        <v>1610.57</v>
      </c>
      <c r="P200" s="285">
        <f t="shared" si="228"/>
        <v>516.29999999999995</v>
      </c>
      <c r="Q200" s="285">
        <f t="shared" si="294"/>
        <v>1094.27</v>
      </c>
      <c r="R200" s="285">
        <f t="shared" si="281"/>
        <v>134.16999999999999</v>
      </c>
      <c r="S200" s="285">
        <f t="shared" si="282"/>
        <v>188.55</v>
      </c>
      <c r="T200" s="285">
        <f t="shared" si="279"/>
        <v>1933.29</v>
      </c>
      <c r="U200" s="285">
        <f t="shared" si="229"/>
        <v>51992.029999999984</v>
      </c>
      <c r="V200" s="285">
        <f t="shared" si="230"/>
        <v>176708.90999999995</v>
      </c>
      <c r="W200" s="285">
        <f t="shared" si="295"/>
        <v>209583.97000000009</v>
      </c>
      <c r="X200" s="502">
        <f t="shared" si="221"/>
        <v>49959</v>
      </c>
      <c r="Y200" s="285">
        <f t="shared" si="296"/>
        <v>290672.36000000022</v>
      </c>
      <c r="Z200" s="494">
        <f t="shared" si="213"/>
        <v>6.25E-2</v>
      </c>
      <c r="AA200" s="285">
        <f t="shared" si="214"/>
        <v>1630.04</v>
      </c>
      <c r="AB200" s="285">
        <f t="shared" si="297"/>
        <v>116.11999999999989</v>
      </c>
      <c r="AC200" s="285">
        <f t="shared" si="215"/>
        <v>1513.92</v>
      </c>
      <c r="AD200" s="285">
        <f t="shared" ref="AD200:AE200" si="312">+AD199</f>
        <v>134.16999999999999</v>
      </c>
      <c r="AE200" s="285">
        <f t="shared" si="312"/>
        <v>188.55</v>
      </c>
      <c r="AF200" s="285">
        <f t="shared" si="299"/>
        <v>1952.76</v>
      </c>
      <c r="AG200" s="285">
        <f t="shared" si="300"/>
        <v>40637.159999999974</v>
      </c>
      <c r="AH200" s="285">
        <f t="shared" si="301"/>
        <v>185054.72</v>
      </c>
      <c r="AI200" s="512">
        <f t="shared" si="284"/>
        <v>3009.0599999999858</v>
      </c>
      <c r="AJ200" s="512">
        <f t="shared" si="242"/>
        <v>-80972.270000000135</v>
      </c>
      <c r="AK200" s="512">
        <f t="shared" si="285"/>
        <v>-77963.210000000152</v>
      </c>
      <c r="AL200" s="285">
        <f t="shared" si="302"/>
        <v>290556.24000000022</v>
      </c>
      <c r="AM200" s="425">
        <f t="shared" si="223"/>
        <v>11</v>
      </c>
      <c r="AN200" s="14">
        <f t="shared" si="286"/>
        <v>1160.29</v>
      </c>
      <c r="AO200" s="14">
        <f t="shared" si="261"/>
        <v>219140.89</v>
      </c>
      <c r="AP200" s="14">
        <f t="shared" si="287"/>
        <v>1179.76</v>
      </c>
      <c r="AS200" s="14">
        <f t="shared" si="217"/>
        <v>1160.29</v>
      </c>
      <c r="AT200" s="14">
        <f t="shared" si="224"/>
        <v>164280.61999999991</v>
      </c>
      <c r="AU200" s="285">
        <f t="shared" si="225"/>
        <v>1037.8831040561734</v>
      </c>
      <c r="AV200" s="285">
        <f t="shared" si="226"/>
        <v>154615.12472652554</v>
      </c>
    </row>
    <row r="201" spans="1:48" x14ac:dyDescent="0.25">
      <c r="A201" s="502">
        <f t="shared" si="289"/>
        <v>49989</v>
      </c>
      <c r="B201" s="285">
        <f t="shared" si="218"/>
        <v>60364.319999999963</v>
      </c>
      <c r="C201" s="14">
        <f t="shared" si="211"/>
        <v>450.28</v>
      </c>
      <c r="D201" s="14">
        <f t="shared" si="227"/>
        <v>261.64</v>
      </c>
      <c r="E201" s="14">
        <f t="shared" si="212"/>
        <v>188.64</v>
      </c>
      <c r="F201" s="14">
        <f t="shared" si="278"/>
        <v>134.16999999999999</v>
      </c>
      <c r="G201" s="14">
        <f t="shared" si="275"/>
        <v>188.55</v>
      </c>
      <c r="H201" s="14">
        <f t="shared" si="276"/>
        <v>773</v>
      </c>
      <c r="I201" s="285">
        <f t="shared" si="290"/>
        <v>37429.159999999982</v>
      </c>
      <c r="J201" s="285">
        <f t="shared" si="291"/>
        <v>47077.039999999972</v>
      </c>
      <c r="K201" s="285">
        <f t="shared" si="292"/>
        <v>60102.679999999964</v>
      </c>
      <c r="L201" s="425">
        <f t="shared" si="263"/>
        <v>11</v>
      </c>
      <c r="M201" s="425">
        <f t="shared" si="219"/>
        <v>142</v>
      </c>
      <c r="N201" s="285">
        <f t="shared" si="220"/>
        <v>209583.97000000009</v>
      </c>
      <c r="O201" s="285">
        <f t="shared" si="293"/>
        <v>1610.57</v>
      </c>
      <c r="P201" s="285">
        <f t="shared" si="228"/>
        <v>518.99</v>
      </c>
      <c r="Q201" s="285">
        <f t="shared" si="294"/>
        <v>1091.58</v>
      </c>
      <c r="R201" s="285">
        <f t="shared" si="281"/>
        <v>134.16999999999999</v>
      </c>
      <c r="S201" s="285">
        <f t="shared" si="282"/>
        <v>188.55</v>
      </c>
      <c r="T201" s="285">
        <f t="shared" si="279"/>
        <v>1933.29</v>
      </c>
      <c r="U201" s="285">
        <f t="shared" si="229"/>
        <v>52511.019999999982</v>
      </c>
      <c r="V201" s="285">
        <f t="shared" si="230"/>
        <v>177800.48999999993</v>
      </c>
      <c r="W201" s="285">
        <f t="shared" si="295"/>
        <v>209064.9800000001</v>
      </c>
      <c r="X201" s="502">
        <f t="shared" si="221"/>
        <v>49989</v>
      </c>
      <c r="Y201" s="285">
        <f t="shared" si="296"/>
        <v>290556.24000000022</v>
      </c>
      <c r="Z201" s="494">
        <f t="shared" si="213"/>
        <v>6.25E-2</v>
      </c>
      <c r="AA201" s="285">
        <f t="shared" si="214"/>
        <v>1630.04</v>
      </c>
      <c r="AB201" s="285">
        <f t="shared" si="297"/>
        <v>116.73000000000002</v>
      </c>
      <c r="AC201" s="285">
        <f t="shared" si="215"/>
        <v>1513.31</v>
      </c>
      <c r="AD201" s="285">
        <f t="shared" ref="AD201:AE201" si="313">+AD200</f>
        <v>134.16999999999999</v>
      </c>
      <c r="AE201" s="285">
        <f t="shared" si="313"/>
        <v>188.55</v>
      </c>
      <c r="AF201" s="285">
        <f t="shared" si="299"/>
        <v>1952.76</v>
      </c>
      <c r="AG201" s="285">
        <f t="shared" si="300"/>
        <v>40753.889999999978</v>
      </c>
      <c r="AH201" s="285">
        <f t="shared" si="301"/>
        <v>186568.03</v>
      </c>
      <c r="AI201" s="512">
        <f t="shared" si="284"/>
        <v>2989.5899999999856</v>
      </c>
      <c r="AJ201" s="512">
        <f t="shared" si="242"/>
        <v>-81374.530000000144</v>
      </c>
      <c r="AK201" s="512">
        <f t="shared" si="285"/>
        <v>-78384.940000000162</v>
      </c>
      <c r="AL201" s="285">
        <f t="shared" si="302"/>
        <v>290439.51000000024</v>
      </c>
      <c r="AM201" s="425">
        <f t="shared" si="223"/>
        <v>11</v>
      </c>
      <c r="AN201" s="14">
        <f t="shared" si="286"/>
        <v>1160.29</v>
      </c>
      <c r="AO201" s="14">
        <f t="shared" si="261"/>
        <v>218883.54</v>
      </c>
      <c r="AP201" s="14">
        <f t="shared" si="287"/>
        <v>1179.76</v>
      </c>
      <c r="AS201" s="14">
        <f t="shared" si="217"/>
        <v>1160.29</v>
      </c>
      <c r="AT201" s="14">
        <f t="shared" si="224"/>
        <v>165440.90999999992</v>
      </c>
      <c r="AU201" s="285">
        <f t="shared" si="225"/>
        <v>1040.4778118163138</v>
      </c>
      <c r="AV201" s="285">
        <f t="shared" si="226"/>
        <v>155655.60253834186</v>
      </c>
    </row>
    <row r="202" spans="1:48" x14ac:dyDescent="0.25">
      <c r="A202" s="502">
        <f t="shared" si="289"/>
        <v>50019</v>
      </c>
      <c r="B202" s="285">
        <f t="shared" si="218"/>
        <v>60102.679999999964</v>
      </c>
      <c r="C202" s="14">
        <f t="shared" si="211"/>
        <v>450.28</v>
      </c>
      <c r="D202" s="14">
        <f t="shared" si="227"/>
        <v>262.45999999999998</v>
      </c>
      <c r="E202" s="14">
        <f t="shared" si="212"/>
        <v>187.82</v>
      </c>
      <c r="F202" s="14">
        <f t="shared" si="278"/>
        <v>134.16999999999999</v>
      </c>
      <c r="G202" s="14">
        <f t="shared" si="275"/>
        <v>188.55</v>
      </c>
      <c r="H202" s="14">
        <f t="shared" si="276"/>
        <v>773</v>
      </c>
      <c r="I202" s="285">
        <f t="shared" si="290"/>
        <v>37691.619999999981</v>
      </c>
      <c r="J202" s="285">
        <f t="shared" si="291"/>
        <v>47264.859999999971</v>
      </c>
      <c r="K202" s="285">
        <f t="shared" si="292"/>
        <v>59840.219999999965</v>
      </c>
      <c r="L202" s="425">
        <f t="shared" si="263"/>
        <v>11</v>
      </c>
      <c r="M202" s="425">
        <f t="shared" si="219"/>
        <v>143</v>
      </c>
      <c r="N202" s="285">
        <f t="shared" si="220"/>
        <v>209064.9800000001</v>
      </c>
      <c r="O202" s="285">
        <f t="shared" si="293"/>
        <v>1610.57</v>
      </c>
      <c r="P202" s="285">
        <f t="shared" si="228"/>
        <v>521.68999999999983</v>
      </c>
      <c r="Q202" s="285">
        <f t="shared" si="294"/>
        <v>1088.8800000000001</v>
      </c>
      <c r="R202" s="285">
        <f t="shared" si="281"/>
        <v>134.16999999999999</v>
      </c>
      <c r="S202" s="285">
        <f t="shared" si="282"/>
        <v>188.55</v>
      </c>
      <c r="T202" s="285">
        <f t="shared" si="279"/>
        <v>1933.29</v>
      </c>
      <c r="U202" s="285">
        <f t="shared" si="229"/>
        <v>53032.709999999985</v>
      </c>
      <c r="V202" s="285">
        <f t="shared" si="230"/>
        <v>178889.36999999994</v>
      </c>
      <c r="W202" s="285">
        <f t="shared" si="295"/>
        <v>208543.2900000001</v>
      </c>
      <c r="X202" s="502">
        <f t="shared" si="221"/>
        <v>50019</v>
      </c>
      <c r="Y202" s="285">
        <f t="shared" si="296"/>
        <v>290439.51000000024</v>
      </c>
      <c r="Z202" s="494">
        <f t="shared" si="213"/>
        <v>6.25E-2</v>
      </c>
      <c r="AA202" s="285">
        <f t="shared" si="214"/>
        <v>1630.04</v>
      </c>
      <c r="AB202" s="285">
        <f t="shared" si="297"/>
        <v>117.32999999999993</v>
      </c>
      <c r="AC202" s="285">
        <f t="shared" si="215"/>
        <v>1512.71</v>
      </c>
      <c r="AD202" s="285">
        <f t="shared" ref="AD202:AE202" si="314">+AD201</f>
        <v>134.16999999999999</v>
      </c>
      <c r="AE202" s="285">
        <f t="shared" si="314"/>
        <v>188.55</v>
      </c>
      <c r="AF202" s="285">
        <f t="shared" si="299"/>
        <v>1952.76</v>
      </c>
      <c r="AG202" s="285">
        <f t="shared" si="300"/>
        <v>40871.219999999979</v>
      </c>
      <c r="AH202" s="285">
        <f t="shared" si="301"/>
        <v>188080.74</v>
      </c>
      <c r="AI202" s="512">
        <f t="shared" si="284"/>
        <v>2970.1199999999853</v>
      </c>
      <c r="AJ202" s="512">
        <f t="shared" si="242"/>
        <v>-81778.89000000013</v>
      </c>
      <c r="AK202" s="512">
        <f t="shared" si="285"/>
        <v>-78808.77000000015</v>
      </c>
      <c r="AL202" s="285">
        <f t="shared" si="302"/>
        <v>290322.18000000023</v>
      </c>
      <c r="AM202" s="425">
        <f t="shared" si="223"/>
        <v>11</v>
      </c>
      <c r="AN202" s="14">
        <f t="shared" si="286"/>
        <v>1160.29</v>
      </c>
      <c r="AO202" s="14">
        <f t="shared" si="261"/>
        <v>218624.31000000003</v>
      </c>
      <c r="AP202" s="14">
        <f t="shared" si="287"/>
        <v>1179.76</v>
      </c>
      <c r="AS202" s="14">
        <f t="shared" si="217"/>
        <v>1160.29</v>
      </c>
      <c r="AT202" s="14">
        <f t="shared" si="224"/>
        <v>166601.19999999992</v>
      </c>
      <c r="AU202" s="285">
        <f t="shared" si="225"/>
        <v>1043.0790063458546</v>
      </c>
      <c r="AV202" s="285">
        <f t="shared" si="226"/>
        <v>156698.68154468772</v>
      </c>
    </row>
    <row r="203" spans="1:48" x14ac:dyDescent="0.25">
      <c r="A203" s="502">
        <f t="shared" si="289"/>
        <v>50049</v>
      </c>
      <c r="B203" s="285">
        <f t="shared" si="218"/>
        <v>59840.219999999965</v>
      </c>
      <c r="C203" s="14">
        <f t="shared" si="211"/>
        <v>450.28</v>
      </c>
      <c r="D203" s="14">
        <f t="shared" si="227"/>
        <v>263.27999999999997</v>
      </c>
      <c r="E203" s="14">
        <f t="shared" si="212"/>
        <v>187</v>
      </c>
      <c r="F203" s="14">
        <f t="shared" si="278"/>
        <v>134.16999999999999</v>
      </c>
      <c r="G203" s="14">
        <f t="shared" si="275"/>
        <v>188.55</v>
      </c>
      <c r="H203" s="14">
        <f t="shared" si="276"/>
        <v>773</v>
      </c>
      <c r="I203" s="285">
        <f t="shared" si="290"/>
        <v>37954.89999999998</v>
      </c>
      <c r="J203" s="285">
        <f t="shared" si="291"/>
        <v>47451.859999999971</v>
      </c>
      <c r="K203" s="285">
        <f t="shared" si="292"/>
        <v>59576.939999999966</v>
      </c>
      <c r="L203" s="425">
        <f t="shared" si="263"/>
        <v>12</v>
      </c>
      <c r="M203" s="425">
        <f t="shared" si="219"/>
        <v>144</v>
      </c>
      <c r="N203" s="285">
        <f t="shared" si="220"/>
        <v>208543.2900000001</v>
      </c>
      <c r="O203" s="285">
        <f t="shared" si="293"/>
        <v>1610.57</v>
      </c>
      <c r="P203" s="285">
        <f t="shared" si="228"/>
        <v>524.40999999999985</v>
      </c>
      <c r="Q203" s="285">
        <f t="shared" si="294"/>
        <v>1086.1600000000001</v>
      </c>
      <c r="R203" s="285">
        <f t="shared" si="281"/>
        <v>134.16999999999999</v>
      </c>
      <c r="S203" s="285">
        <f t="shared" si="282"/>
        <v>188.55</v>
      </c>
      <c r="T203" s="285">
        <f t="shared" si="279"/>
        <v>1933.29</v>
      </c>
      <c r="U203" s="285">
        <f t="shared" si="229"/>
        <v>53557.119999999981</v>
      </c>
      <c r="V203" s="285">
        <f t="shared" si="230"/>
        <v>179975.52999999994</v>
      </c>
      <c r="W203" s="285">
        <f t="shared" si="295"/>
        <v>208018.88000000009</v>
      </c>
      <c r="X203" s="502">
        <f t="shared" si="221"/>
        <v>50049</v>
      </c>
      <c r="Y203" s="285">
        <f t="shared" si="296"/>
        <v>290322.18000000023</v>
      </c>
      <c r="Z203" s="494">
        <f t="shared" si="213"/>
        <v>6.25E-2</v>
      </c>
      <c r="AA203" s="285">
        <f t="shared" si="214"/>
        <v>1630.04</v>
      </c>
      <c r="AB203" s="285">
        <f t="shared" si="297"/>
        <v>117.95000000000005</v>
      </c>
      <c r="AC203" s="285">
        <f t="shared" si="215"/>
        <v>1512.09</v>
      </c>
      <c r="AD203" s="285">
        <f t="shared" ref="AD203:AE203" si="315">+AD202</f>
        <v>134.16999999999999</v>
      </c>
      <c r="AE203" s="285">
        <f t="shared" si="315"/>
        <v>188.55</v>
      </c>
      <c r="AF203" s="285">
        <f t="shared" si="299"/>
        <v>1952.76</v>
      </c>
      <c r="AG203" s="285">
        <f t="shared" si="300"/>
        <v>40989.169999999976</v>
      </c>
      <c r="AH203" s="285">
        <f t="shared" si="301"/>
        <v>189592.83</v>
      </c>
      <c r="AI203" s="512">
        <f t="shared" si="284"/>
        <v>2950.6499999999851</v>
      </c>
      <c r="AJ203" s="512">
        <f t="shared" si="242"/>
        <v>-82185.350000000122</v>
      </c>
      <c r="AK203" s="512">
        <f t="shared" si="285"/>
        <v>-79234.700000000143</v>
      </c>
      <c r="AL203" s="285">
        <f t="shared" si="302"/>
        <v>290204.23000000021</v>
      </c>
      <c r="AM203" s="425">
        <f t="shared" si="223"/>
        <v>12</v>
      </c>
      <c r="AN203" s="14">
        <f t="shared" si="286"/>
        <v>1160.29</v>
      </c>
      <c r="AO203" s="14">
        <f t="shared" si="261"/>
        <v>218363.18</v>
      </c>
      <c r="AP203" s="14">
        <f t="shared" si="287"/>
        <v>1179.76</v>
      </c>
      <c r="AS203" s="14">
        <f t="shared" si="217"/>
        <v>1160.29</v>
      </c>
      <c r="AT203" s="14">
        <f t="shared" si="224"/>
        <v>167761.48999999993</v>
      </c>
      <c r="AU203" s="285">
        <f t="shared" si="225"/>
        <v>1045.6867038617193</v>
      </c>
      <c r="AV203" s="285">
        <f t="shared" si="226"/>
        <v>157744.36824854944</v>
      </c>
    </row>
    <row r="204" spans="1:48" x14ac:dyDescent="0.25">
      <c r="A204" s="502">
        <f t="shared" si="289"/>
        <v>50079</v>
      </c>
      <c r="B204" s="285">
        <f t="shared" si="218"/>
        <v>59576.939999999966</v>
      </c>
      <c r="C204" s="14">
        <f t="shared" si="211"/>
        <v>450.28</v>
      </c>
      <c r="D204" s="14">
        <f t="shared" si="227"/>
        <v>264.09999999999997</v>
      </c>
      <c r="E204" s="14">
        <f t="shared" si="212"/>
        <v>186.18</v>
      </c>
      <c r="F204" s="14">
        <f t="shared" si="278"/>
        <v>134.16999999999999</v>
      </c>
      <c r="G204" s="14">
        <f t="shared" si="275"/>
        <v>188.55</v>
      </c>
      <c r="H204" s="14">
        <f t="shared" si="276"/>
        <v>773</v>
      </c>
      <c r="I204" s="285">
        <f t="shared" si="290"/>
        <v>38218.999999999978</v>
      </c>
      <c r="J204" s="285">
        <f t="shared" si="291"/>
        <v>47638.039999999972</v>
      </c>
      <c r="K204" s="285">
        <f t="shared" si="292"/>
        <v>59312.839999999967</v>
      </c>
      <c r="L204" s="425">
        <f t="shared" si="263"/>
        <v>12</v>
      </c>
      <c r="M204" s="425">
        <f t="shared" si="219"/>
        <v>145</v>
      </c>
      <c r="N204" s="285">
        <f t="shared" si="220"/>
        <v>208018.88000000009</v>
      </c>
      <c r="O204" s="285">
        <f t="shared" si="293"/>
        <v>1610.57</v>
      </c>
      <c r="P204" s="285">
        <f t="shared" si="228"/>
        <v>527.13999999999987</v>
      </c>
      <c r="Q204" s="285">
        <f t="shared" si="294"/>
        <v>1083.43</v>
      </c>
      <c r="R204" s="285">
        <f t="shared" si="281"/>
        <v>134.16999999999999</v>
      </c>
      <c r="S204" s="285">
        <f t="shared" si="282"/>
        <v>188.55</v>
      </c>
      <c r="T204" s="285">
        <f t="shared" si="279"/>
        <v>1933.29</v>
      </c>
      <c r="U204" s="285">
        <f t="shared" si="229"/>
        <v>54084.25999999998</v>
      </c>
      <c r="V204" s="285">
        <f t="shared" si="230"/>
        <v>181058.95999999993</v>
      </c>
      <c r="W204" s="285">
        <f t="shared" si="295"/>
        <v>207491.74000000008</v>
      </c>
      <c r="X204" s="502">
        <f t="shared" si="221"/>
        <v>50079</v>
      </c>
      <c r="Y204" s="285">
        <f t="shared" si="296"/>
        <v>290204.23000000021</v>
      </c>
      <c r="Z204" s="494">
        <f t="shared" si="213"/>
        <v>6.25E-2</v>
      </c>
      <c r="AA204" s="285">
        <f t="shared" si="214"/>
        <v>1630.04</v>
      </c>
      <c r="AB204" s="285">
        <f t="shared" si="297"/>
        <v>118.55999999999995</v>
      </c>
      <c r="AC204" s="285">
        <f t="shared" si="215"/>
        <v>1511.48</v>
      </c>
      <c r="AD204" s="285">
        <f t="shared" ref="AD204:AE204" si="316">+AD203</f>
        <v>134.16999999999999</v>
      </c>
      <c r="AE204" s="285">
        <f t="shared" si="316"/>
        <v>188.55</v>
      </c>
      <c r="AF204" s="285">
        <f t="shared" si="299"/>
        <v>1952.76</v>
      </c>
      <c r="AG204" s="285">
        <f t="shared" si="300"/>
        <v>41107.729999999974</v>
      </c>
      <c r="AH204" s="285">
        <f t="shared" si="301"/>
        <v>191104.31</v>
      </c>
      <c r="AI204" s="512">
        <f t="shared" si="284"/>
        <v>2931.1799999999848</v>
      </c>
      <c r="AJ204" s="512">
        <f t="shared" si="242"/>
        <v>-82593.930000000139</v>
      </c>
      <c r="AK204" s="512">
        <f t="shared" si="285"/>
        <v>-79662.75000000016</v>
      </c>
      <c r="AL204" s="285">
        <f t="shared" si="302"/>
        <v>290085.67000000022</v>
      </c>
      <c r="AM204" s="425">
        <f t="shared" si="223"/>
        <v>12</v>
      </c>
      <c r="AN204" s="14">
        <f t="shared" si="286"/>
        <v>1160.29</v>
      </c>
      <c r="AO204" s="14">
        <f t="shared" si="261"/>
        <v>218100.14000000004</v>
      </c>
      <c r="AP204" s="14">
        <f t="shared" si="287"/>
        <v>1179.76</v>
      </c>
      <c r="AS204" s="14">
        <f t="shared" si="217"/>
        <v>1160.29</v>
      </c>
      <c r="AT204" s="14">
        <f t="shared" si="224"/>
        <v>168921.77999999994</v>
      </c>
      <c r="AU204" s="285">
        <f t="shared" si="225"/>
        <v>1048.3009206213735</v>
      </c>
      <c r="AV204" s="285">
        <f t="shared" si="226"/>
        <v>158792.66916917081</v>
      </c>
    </row>
    <row r="205" spans="1:48" x14ac:dyDescent="0.25">
      <c r="A205" s="502">
        <f t="shared" si="289"/>
        <v>50109</v>
      </c>
      <c r="B205" s="285">
        <f t="shared" si="218"/>
        <v>59312.839999999967</v>
      </c>
      <c r="C205" s="14">
        <f t="shared" si="211"/>
        <v>450.28</v>
      </c>
      <c r="D205" s="14">
        <f t="shared" si="227"/>
        <v>264.92999999999995</v>
      </c>
      <c r="E205" s="14">
        <f t="shared" si="212"/>
        <v>185.35</v>
      </c>
      <c r="F205" s="14">
        <f t="shared" si="278"/>
        <v>134.16999999999999</v>
      </c>
      <c r="G205" s="14">
        <f t="shared" si="275"/>
        <v>188.55</v>
      </c>
      <c r="H205" s="14">
        <f t="shared" si="276"/>
        <v>773</v>
      </c>
      <c r="I205" s="285">
        <f t="shared" si="290"/>
        <v>38483.929999999978</v>
      </c>
      <c r="J205" s="285">
        <f t="shared" si="291"/>
        <v>47823.38999999997</v>
      </c>
      <c r="K205" s="285">
        <f t="shared" si="292"/>
        <v>59047.909999999967</v>
      </c>
      <c r="L205" s="425">
        <f t="shared" si="263"/>
        <v>12</v>
      </c>
      <c r="M205" s="425">
        <f t="shared" si="219"/>
        <v>146</v>
      </c>
      <c r="N205" s="285">
        <f t="shared" si="220"/>
        <v>207491.74000000008</v>
      </c>
      <c r="O205" s="285">
        <f t="shared" si="293"/>
        <v>1610.57</v>
      </c>
      <c r="P205" s="285">
        <f t="shared" si="228"/>
        <v>529.87999999999988</v>
      </c>
      <c r="Q205" s="285">
        <f t="shared" si="294"/>
        <v>1080.69</v>
      </c>
      <c r="R205" s="285">
        <f t="shared" si="281"/>
        <v>134.16999999999999</v>
      </c>
      <c r="S205" s="285">
        <f t="shared" si="282"/>
        <v>188.55</v>
      </c>
      <c r="T205" s="285">
        <f t="shared" si="279"/>
        <v>1933.29</v>
      </c>
      <c r="U205" s="285">
        <f t="shared" si="229"/>
        <v>54614.139999999978</v>
      </c>
      <c r="V205" s="285">
        <f t="shared" si="230"/>
        <v>182139.64999999994</v>
      </c>
      <c r="W205" s="285">
        <f t="shared" si="295"/>
        <v>206961.86000000007</v>
      </c>
      <c r="X205" s="502">
        <f t="shared" si="221"/>
        <v>50109</v>
      </c>
      <c r="Y205" s="285">
        <f t="shared" si="296"/>
        <v>290085.67000000022</v>
      </c>
      <c r="Z205" s="494">
        <f t="shared" si="213"/>
        <v>6.25E-2</v>
      </c>
      <c r="AA205" s="285">
        <f t="shared" si="214"/>
        <v>1630.04</v>
      </c>
      <c r="AB205" s="285">
        <f t="shared" si="297"/>
        <v>119.18000000000006</v>
      </c>
      <c r="AC205" s="285">
        <f t="shared" si="215"/>
        <v>1510.86</v>
      </c>
      <c r="AD205" s="285">
        <f t="shared" ref="AD205:AE205" si="317">+AD204</f>
        <v>134.16999999999999</v>
      </c>
      <c r="AE205" s="285">
        <f t="shared" si="317"/>
        <v>188.55</v>
      </c>
      <c r="AF205" s="285">
        <f t="shared" si="299"/>
        <v>1952.76</v>
      </c>
      <c r="AG205" s="285">
        <f t="shared" si="300"/>
        <v>41226.909999999974</v>
      </c>
      <c r="AH205" s="285">
        <f t="shared" si="301"/>
        <v>192615.16999999998</v>
      </c>
      <c r="AI205" s="512">
        <f t="shared" si="284"/>
        <v>2911.7099999999846</v>
      </c>
      <c r="AJ205" s="512">
        <f t="shared" si="242"/>
        <v>-83004.63000000015</v>
      </c>
      <c r="AK205" s="512">
        <f t="shared" si="285"/>
        <v>-80092.920000000158</v>
      </c>
      <c r="AL205" s="285">
        <f t="shared" si="302"/>
        <v>289966.49000000022</v>
      </c>
      <c r="AM205" s="425">
        <f t="shared" si="223"/>
        <v>12</v>
      </c>
      <c r="AN205" s="14">
        <f t="shared" si="286"/>
        <v>1160.29</v>
      </c>
      <c r="AO205" s="14">
        <f t="shared" si="261"/>
        <v>217835.19000000003</v>
      </c>
      <c r="AP205" s="14">
        <f t="shared" si="287"/>
        <v>1179.76</v>
      </c>
      <c r="AS205" s="14">
        <f t="shared" si="217"/>
        <v>1160.29</v>
      </c>
      <c r="AT205" s="14">
        <f t="shared" si="224"/>
        <v>170082.06999999995</v>
      </c>
      <c r="AU205" s="285">
        <f t="shared" si="225"/>
        <v>1050.921672922927</v>
      </c>
      <c r="AV205" s="285">
        <f t="shared" si="226"/>
        <v>159843.59084209375</v>
      </c>
    </row>
    <row r="206" spans="1:48" ht="15.75" thickBot="1" x14ac:dyDescent="0.3">
      <c r="A206" s="505">
        <f t="shared" si="289"/>
        <v>50139</v>
      </c>
      <c r="B206" s="345">
        <f t="shared" si="218"/>
        <v>59047.909999999967</v>
      </c>
      <c r="C206" s="21">
        <f t="shared" si="211"/>
        <v>450.28</v>
      </c>
      <c r="D206" s="21">
        <f t="shared" si="227"/>
        <v>265.76</v>
      </c>
      <c r="E206" s="21">
        <f t="shared" si="212"/>
        <v>184.52</v>
      </c>
      <c r="F206" s="21">
        <f t="shared" si="278"/>
        <v>134.16999999999999</v>
      </c>
      <c r="G206" s="21">
        <f t="shared" si="275"/>
        <v>188.55</v>
      </c>
      <c r="H206" s="21">
        <f t="shared" si="276"/>
        <v>773</v>
      </c>
      <c r="I206" s="345">
        <f t="shared" si="290"/>
        <v>38749.689999999981</v>
      </c>
      <c r="J206" s="345">
        <f t="shared" si="291"/>
        <v>48007.909999999967</v>
      </c>
      <c r="K206" s="345">
        <f t="shared" si="292"/>
        <v>58782.149999999965</v>
      </c>
      <c r="L206" s="426">
        <f t="shared" si="263"/>
        <v>12</v>
      </c>
      <c r="M206" s="426">
        <f t="shared" si="219"/>
        <v>147</v>
      </c>
      <c r="N206" s="345">
        <f t="shared" si="220"/>
        <v>206961.86000000007</v>
      </c>
      <c r="O206" s="345">
        <f t="shared" si="293"/>
        <v>1610.57</v>
      </c>
      <c r="P206" s="345">
        <f t="shared" si="228"/>
        <v>532.63999999999987</v>
      </c>
      <c r="Q206" s="345">
        <f t="shared" si="294"/>
        <v>1077.93</v>
      </c>
      <c r="R206" s="345">
        <f t="shared" si="281"/>
        <v>134.16999999999999</v>
      </c>
      <c r="S206" s="345">
        <f t="shared" si="282"/>
        <v>188.55</v>
      </c>
      <c r="T206" s="345">
        <f t="shared" si="279"/>
        <v>1933.29</v>
      </c>
      <c r="U206" s="345">
        <f t="shared" si="229"/>
        <v>55146.779999999977</v>
      </c>
      <c r="V206" s="345">
        <f t="shared" si="230"/>
        <v>183217.57999999993</v>
      </c>
      <c r="W206" s="345">
        <f t="shared" si="295"/>
        <v>206429.22000000006</v>
      </c>
      <c r="X206" s="505">
        <f t="shared" si="221"/>
        <v>50139</v>
      </c>
      <c r="Y206" s="345">
        <f t="shared" si="296"/>
        <v>289966.49000000022</v>
      </c>
      <c r="Z206" s="495">
        <f t="shared" si="213"/>
        <v>6.25E-2</v>
      </c>
      <c r="AA206" s="345">
        <f t="shared" si="214"/>
        <v>1630.04</v>
      </c>
      <c r="AB206" s="345">
        <f t="shared" si="297"/>
        <v>119.79999999999995</v>
      </c>
      <c r="AC206" s="345">
        <f t="shared" si="215"/>
        <v>1510.24</v>
      </c>
      <c r="AD206" s="345">
        <f t="shared" ref="AD206:AE206" si="318">+AD205</f>
        <v>134.16999999999999</v>
      </c>
      <c r="AE206" s="345">
        <f t="shared" si="318"/>
        <v>188.55</v>
      </c>
      <c r="AF206" s="345">
        <f t="shared" si="299"/>
        <v>1952.76</v>
      </c>
      <c r="AG206" s="345">
        <f t="shared" si="300"/>
        <v>41346.709999999977</v>
      </c>
      <c r="AH206" s="345">
        <f t="shared" si="301"/>
        <v>194125.40999999997</v>
      </c>
      <c r="AI206" s="513">
        <f t="shared" si="284"/>
        <v>2892.2399999999843</v>
      </c>
      <c r="AJ206" s="513">
        <f t="shared" si="242"/>
        <v>-83417.470000000176</v>
      </c>
      <c r="AK206" s="512">
        <f t="shared" si="285"/>
        <v>-80525.230000000185</v>
      </c>
      <c r="AL206" s="345">
        <f t="shared" si="302"/>
        <v>289846.69000000024</v>
      </c>
      <c r="AM206" s="426">
        <f t="shared" si="223"/>
        <v>12</v>
      </c>
      <c r="AN206" s="21">
        <f t="shared" si="286"/>
        <v>1160.29</v>
      </c>
      <c r="AO206" s="21">
        <f t="shared" si="261"/>
        <v>217568.31000000006</v>
      </c>
      <c r="AP206" s="21">
        <f t="shared" si="287"/>
        <v>1179.76</v>
      </c>
      <c r="AQ206" s="21"/>
      <c r="AR206" s="23"/>
      <c r="AS206" s="21">
        <f t="shared" si="217"/>
        <v>1160.29</v>
      </c>
      <c r="AT206" s="21">
        <f t="shared" si="224"/>
        <v>171242.35999999996</v>
      </c>
      <c r="AU206" s="345">
        <f t="shared" si="225"/>
        <v>1053.5489771052344</v>
      </c>
      <c r="AV206" s="345">
        <f t="shared" si="226"/>
        <v>160897.13981919899</v>
      </c>
    </row>
    <row r="207" spans="1:48" x14ac:dyDescent="0.25">
      <c r="A207" s="502">
        <f t="shared" si="289"/>
        <v>50169</v>
      </c>
      <c r="B207" s="285">
        <f t="shared" si="218"/>
        <v>58782.149999999965</v>
      </c>
      <c r="C207" s="14">
        <f t="shared" ref="C207:C270" si="319">IF(+$K206&lt;=0,0,$C$5)</f>
        <v>450.28</v>
      </c>
      <c r="D207" s="14">
        <f t="shared" si="227"/>
        <v>266.58999999999997</v>
      </c>
      <c r="E207" s="14">
        <f t="shared" ref="E207:E270" si="320">ROUND($B207*($C$3/12), 2)</f>
        <v>183.69</v>
      </c>
      <c r="F207" s="14">
        <f t="shared" si="278"/>
        <v>134.16999999999999</v>
      </c>
      <c r="G207" s="14">
        <f t="shared" si="275"/>
        <v>188.55</v>
      </c>
      <c r="H207" s="14">
        <f t="shared" si="276"/>
        <v>773</v>
      </c>
      <c r="I207" s="285">
        <f t="shared" si="290"/>
        <v>39016.279999999977</v>
      </c>
      <c r="J207" s="285">
        <f t="shared" si="291"/>
        <v>48191.599999999969</v>
      </c>
      <c r="K207" s="285">
        <f t="shared" si="292"/>
        <v>58515.559999999969</v>
      </c>
      <c r="L207" s="425">
        <f t="shared" si="263"/>
        <v>12</v>
      </c>
      <c r="M207" s="425">
        <f t="shared" si="219"/>
        <v>148</v>
      </c>
      <c r="N207" s="285">
        <f t="shared" si="220"/>
        <v>206429.22000000006</v>
      </c>
      <c r="O207" s="285">
        <f t="shared" si="293"/>
        <v>1610.57</v>
      </c>
      <c r="P207" s="285">
        <f t="shared" si="228"/>
        <v>535.41999999999985</v>
      </c>
      <c r="Q207" s="285">
        <f t="shared" si="294"/>
        <v>1075.1500000000001</v>
      </c>
      <c r="R207" s="285">
        <f t="shared" si="281"/>
        <v>134.16999999999999</v>
      </c>
      <c r="S207" s="285">
        <f t="shared" si="282"/>
        <v>188.55</v>
      </c>
      <c r="T207" s="285">
        <f t="shared" si="279"/>
        <v>1933.29</v>
      </c>
      <c r="U207" s="285">
        <f t="shared" si="229"/>
        <v>55682.199999999975</v>
      </c>
      <c r="V207" s="285">
        <f t="shared" si="230"/>
        <v>184292.72999999992</v>
      </c>
      <c r="W207" s="285">
        <f t="shared" si="295"/>
        <v>205893.80000000005</v>
      </c>
      <c r="X207" s="502">
        <f t="shared" si="221"/>
        <v>50169</v>
      </c>
      <c r="Y207" s="285">
        <f t="shared" si="296"/>
        <v>289846.69000000024</v>
      </c>
      <c r="Z207" s="494">
        <f t="shared" ref="Z207:Z270" si="321">IF(L207&gt;4,$AA$9,$AA$8)</f>
        <v>6.25E-2</v>
      </c>
      <c r="AA207" s="285">
        <f t="shared" ref="AA207:AA270" si="322">IF($O$9&lt;=$A207,IF(+AL206&lt;=0,0,IF(Z207=$AA$8,$Z$8,$Z$9)),0)</f>
        <v>1630.04</v>
      </c>
      <c r="AB207" s="285">
        <f t="shared" si="297"/>
        <v>120.42000000000007</v>
      </c>
      <c r="AC207" s="285">
        <f t="shared" ref="AC207:AC270" si="323">IF($O$9&lt;=$A207,ROUND(Y207*(Z207/12),2),0)</f>
        <v>1509.62</v>
      </c>
      <c r="AD207" s="285">
        <f t="shared" ref="AD207:AE207" si="324">+AD206</f>
        <v>134.16999999999999</v>
      </c>
      <c r="AE207" s="285">
        <f t="shared" si="324"/>
        <v>188.55</v>
      </c>
      <c r="AF207" s="285">
        <f t="shared" si="299"/>
        <v>1952.76</v>
      </c>
      <c r="AG207" s="285">
        <f t="shared" si="300"/>
        <v>41467.129999999976</v>
      </c>
      <c r="AH207" s="285">
        <f t="shared" si="301"/>
        <v>195635.02999999997</v>
      </c>
      <c r="AI207" s="512">
        <f t="shared" si="284"/>
        <v>2872.7699999999841</v>
      </c>
      <c r="AJ207" s="512">
        <f t="shared" si="242"/>
        <v>-83832.470000000205</v>
      </c>
      <c r="AK207" s="512">
        <f t="shared" si="285"/>
        <v>-80959.700000000215</v>
      </c>
      <c r="AL207" s="285">
        <f t="shared" si="302"/>
        <v>289726.27000000025</v>
      </c>
      <c r="AM207" s="425">
        <f t="shared" si="223"/>
        <v>12</v>
      </c>
      <c r="AN207" s="14">
        <f t="shared" si="286"/>
        <v>1160.29</v>
      </c>
      <c r="AO207" s="14">
        <f t="shared" si="261"/>
        <v>217299.48</v>
      </c>
      <c r="AP207" s="14">
        <f t="shared" si="287"/>
        <v>1179.76</v>
      </c>
      <c r="AS207" s="14">
        <f t="shared" ref="AS207:AS270" si="325">+AN207-AR207</f>
        <v>1160.29</v>
      </c>
      <c r="AT207" s="14">
        <f t="shared" si="224"/>
        <v>172402.64999999997</v>
      </c>
      <c r="AU207" s="285">
        <f t="shared" si="225"/>
        <v>1056.1828495479974</v>
      </c>
      <c r="AV207" s="285">
        <f t="shared" si="226"/>
        <v>161953.32266874699</v>
      </c>
    </row>
    <row r="208" spans="1:48" x14ac:dyDescent="0.25">
      <c r="A208" s="502">
        <f t="shared" si="289"/>
        <v>50199</v>
      </c>
      <c r="B208" s="285">
        <f t="shared" ref="B208:B271" si="326">IF(+K207&lt;0,0,+K207)</f>
        <v>58515.559999999969</v>
      </c>
      <c r="C208" s="14">
        <f t="shared" si="319"/>
        <v>450.28</v>
      </c>
      <c r="D208" s="14">
        <f t="shared" si="227"/>
        <v>267.41999999999996</v>
      </c>
      <c r="E208" s="14">
        <f t="shared" si="320"/>
        <v>182.86</v>
      </c>
      <c r="F208" s="14">
        <f t="shared" si="278"/>
        <v>134.16999999999999</v>
      </c>
      <c r="G208" s="14">
        <f t="shared" si="275"/>
        <v>188.55</v>
      </c>
      <c r="H208" s="14">
        <f t="shared" si="276"/>
        <v>773</v>
      </c>
      <c r="I208" s="285">
        <f t="shared" si="290"/>
        <v>39283.699999999975</v>
      </c>
      <c r="J208" s="285">
        <f t="shared" si="291"/>
        <v>48374.45999999997</v>
      </c>
      <c r="K208" s="285">
        <f t="shared" si="292"/>
        <v>58248.13999999997</v>
      </c>
      <c r="L208" s="425">
        <f t="shared" si="263"/>
        <v>12</v>
      </c>
      <c r="M208" s="425">
        <f t="shared" ref="M208:M271" si="327">IF(N208&lt;&gt;"",IF(N208=$O$5,0,+M207+1),0)</f>
        <v>149</v>
      </c>
      <c r="N208" s="285">
        <f t="shared" ref="N208:N271" si="328">IF(+W207&lt;0,0,+W207)</f>
        <v>205893.80000000005</v>
      </c>
      <c r="O208" s="285">
        <f t="shared" si="293"/>
        <v>1610.57</v>
      </c>
      <c r="P208" s="285">
        <f t="shared" si="228"/>
        <v>538.21</v>
      </c>
      <c r="Q208" s="285">
        <f t="shared" si="294"/>
        <v>1072.3599999999999</v>
      </c>
      <c r="R208" s="285">
        <f t="shared" si="281"/>
        <v>134.16999999999999</v>
      </c>
      <c r="S208" s="285">
        <f t="shared" si="282"/>
        <v>188.55</v>
      </c>
      <c r="T208" s="285">
        <f t="shared" si="279"/>
        <v>1933.29</v>
      </c>
      <c r="U208" s="285">
        <f t="shared" si="229"/>
        <v>56220.409999999974</v>
      </c>
      <c r="V208" s="285">
        <f t="shared" si="230"/>
        <v>185365.08999999991</v>
      </c>
      <c r="W208" s="285">
        <f t="shared" si="295"/>
        <v>205355.59000000005</v>
      </c>
      <c r="X208" s="502">
        <f t="shared" ref="X208:X271" si="329">+A208</f>
        <v>50199</v>
      </c>
      <c r="Y208" s="285">
        <f t="shared" si="296"/>
        <v>289726.27000000025</v>
      </c>
      <c r="Z208" s="494">
        <f t="shared" si="321"/>
        <v>6.25E-2</v>
      </c>
      <c r="AA208" s="285">
        <f t="shared" si="322"/>
        <v>1630.04</v>
      </c>
      <c r="AB208" s="285">
        <f t="shared" si="297"/>
        <v>121.04999999999995</v>
      </c>
      <c r="AC208" s="285">
        <f t="shared" si="323"/>
        <v>1508.99</v>
      </c>
      <c r="AD208" s="285">
        <f t="shared" ref="AD208:AE208" si="330">+AD207</f>
        <v>134.16999999999999</v>
      </c>
      <c r="AE208" s="285">
        <f t="shared" si="330"/>
        <v>188.55</v>
      </c>
      <c r="AF208" s="285">
        <f t="shared" si="299"/>
        <v>1952.76</v>
      </c>
      <c r="AG208" s="285">
        <f t="shared" si="300"/>
        <v>41588.179999999978</v>
      </c>
      <c r="AH208" s="285">
        <f t="shared" si="301"/>
        <v>197144.01999999996</v>
      </c>
      <c r="AI208" s="512">
        <f t="shared" si="284"/>
        <v>2853.2999999999838</v>
      </c>
      <c r="AJ208" s="512">
        <f t="shared" si="242"/>
        <v>-84249.630000000208</v>
      </c>
      <c r="AK208" s="512">
        <f t="shared" si="285"/>
        <v>-81396.33000000022</v>
      </c>
      <c r="AL208" s="285">
        <f t="shared" si="302"/>
        <v>289605.22000000026</v>
      </c>
      <c r="AM208" s="425">
        <f t="shared" ref="AM208:AM271" si="331">+L208</f>
        <v>12</v>
      </c>
      <c r="AN208" s="14">
        <f t="shared" si="286"/>
        <v>1160.29</v>
      </c>
      <c r="AO208" s="14">
        <f t="shared" si="261"/>
        <v>217028.69</v>
      </c>
      <c r="AP208" s="14">
        <f t="shared" si="287"/>
        <v>1179.76</v>
      </c>
      <c r="AS208" s="14">
        <f t="shared" si="325"/>
        <v>1160.29</v>
      </c>
      <c r="AT208" s="14">
        <f t="shared" ref="AT208:AT271" si="332">IF(W208&lt;=0,0,+AS208+AT207)</f>
        <v>173562.93999999997</v>
      </c>
      <c r="AU208" s="285">
        <f t="shared" ref="AU208:AU271" si="333">IF(W208&lt;=0,0,+($O$5+AV207)*$AQ$2/12)</f>
        <v>1058.8233066718674</v>
      </c>
      <c r="AV208" s="285">
        <f t="shared" ref="AV208:AV271" si="334">IF(W208&lt;=0,0,+AV207+AU208)</f>
        <v>163012.14597541885</v>
      </c>
    </row>
    <row r="209" spans="1:48" x14ac:dyDescent="0.25">
      <c r="A209" s="502">
        <f t="shared" si="289"/>
        <v>50229</v>
      </c>
      <c r="B209" s="285">
        <f t="shared" si="326"/>
        <v>58248.13999999997</v>
      </c>
      <c r="C209" s="14">
        <f t="shared" si="319"/>
        <v>450.28</v>
      </c>
      <c r="D209" s="14">
        <f t="shared" ref="D209:D272" si="335">+C209-E209</f>
        <v>268.25</v>
      </c>
      <c r="E209" s="14">
        <f t="shared" si="320"/>
        <v>182.03</v>
      </c>
      <c r="F209" s="14">
        <f t="shared" si="278"/>
        <v>134.16999999999999</v>
      </c>
      <c r="G209" s="14">
        <f t="shared" si="275"/>
        <v>188.55</v>
      </c>
      <c r="H209" s="14">
        <f t="shared" si="276"/>
        <v>773</v>
      </c>
      <c r="I209" s="285">
        <f t="shared" si="290"/>
        <v>39551.949999999975</v>
      </c>
      <c r="J209" s="285">
        <f t="shared" si="291"/>
        <v>48556.489999999969</v>
      </c>
      <c r="K209" s="285">
        <f t="shared" si="292"/>
        <v>57979.88999999997</v>
      </c>
      <c r="L209" s="425">
        <f t="shared" si="263"/>
        <v>12</v>
      </c>
      <c r="M209" s="425">
        <f t="shared" si="327"/>
        <v>150</v>
      </c>
      <c r="N209" s="285">
        <f t="shared" si="328"/>
        <v>205355.59000000005</v>
      </c>
      <c r="O209" s="285">
        <f t="shared" si="293"/>
        <v>1610.57</v>
      </c>
      <c r="P209" s="285">
        <f t="shared" ref="P209:P272" si="336">+O209-Q209</f>
        <v>541.01</v>
      </c>
      <c r="Q209" s="285">
        <f t="shared" si="294"/>
        <v>1069.56</v>
      </c>
      <c r="R209" s="285">
        <f t="shared" si="281"/>
        <v>134.16999999999999</v>
      </c>
      <c r="S209" s="285">
        <f t="shared" si="282"/>
        <v>188.55</v>
      </c>
      <c r="T209" s="285">
        <f t="shared" si="279"/>
        <v>1933.29</v>
      </c>
      <c r="U209" s="285">
        <f t="shared" ref="U209:U272" si="337">+P209+U208</f>
        <v>56761.419999999976</v>
      </c>
      <c r="V209" s="285">
        <f t="shared" ref="V209:V272" si="338">+V208+Q209</f>
        <v>186434.64999999991</v>
      </c>
      <c r="W209" s="285">
        <f t="shared" si="295"/>
        <v>204814.58000000005</v>
      </c>
      <c r="X209" s="502">
        <f t="shared" si="329"/>
        <v>50229</v>
      </c>
      <c r="Y209" s="285">
        <f t="shared" si="296"/>
        <v>289605.22000000026</v>
      </c>
      <c r="Z209" s="494">
        <f t="shared" si="321"/>
        <v>6.25E-2</v>
      </c>
      <c r="AA209" s="285">
        <f t="shared" si="322"/>
        <v>1630.04</v>
      </c>
      <c r="AB209" s="285">
        <f t="shared" si="297"/>
        <v>121.68000000000006</v>
      </c>
      <c r="AC209" s="285">
        <f t="shared" si="323"/>
        <v>1508.36</v>
      </c>
      <c r="AD209" s="285">
        <f t="shared" ref="AD209:AE209" si="339">+AD208</f>
        <v>134.16999999999999</v>
      </c>
      <c r="AE209" s="285">
        <f t="shared" si="339"/>
        <v>188.55</v>
      </c>
      <c r="AF209" s="285">
        <f t="shared" si="299"/>
        <v>1952.76</v>
      </c>
      <c r="AG209" s="285">
        <f t="shared" si="300"/>
        <v>41709.859999999979</v>
      </c>
      <c r="AH209" s="285">
        <f t="shared" si="301"/>
        <v>198652.37999999995</v>
      </c>
      <c r="AI209" s="512">
        <f t="shared" si="284"/>
        <v>2833.8299999999836</v>
      </c>
      <c r="AJ209" s="512">
        <f t="shared" si="242"/>
        <v>-84668.960000000225</v>
      </c>
      <c r="AK209" s="512">
        <f t="shared" si="285"/>
        <v>-81835.130000000237</v>
      </c>
      <c r="AL209" s="285">
        <f t="shared" si="302"/>
        <v>289483.54000000027</v>
      </c>
      <c r="AM209" s="425">
        <f t="shared" si="331"/>
        <v>12</v>
      </c>
      <c r="AN209" s="14">
        <f t="shared" si="286"/>
        <v>1160.29</v>
      </c>
      <c r="AO209" s="14">
        <f t="shared" si="261"/>
        <v>216755.93</v>
      </c>
      <c r="AP209" s="14">
        <f t="shared" si="287"/>
        <v>1179.76</v>
      </c>
      <c r="AS209" s="14">
        <f t="shared" si="325"/>
        <v>1160.29</v>
      </c>
      <c r="AT209" s="14">
        <f t="shared" si="332"/>
        <v>174723.22999999998</v>
      </c>
      <c r="AU209" s="285">
        <f t="shared" si="333"/>
        <v>1061.4703649385472</v>
      </c>
      <c r="AV209" s="285">
        <f t="shared" si="334"/>
        <v>164073.6163403574</v>
      </c>
    </row>
    <row r="210" spans="1:48" x14ac:dyDescent="0.25">
      <c r="A210" s="502">
        <f t="shared" si="289"/>
        <v>50259</v>
      </c>
      <c r="B210" s="285">
        <f t="shared" si="326"/>
        <v>57979.88999999997</v>
      </c>
      <c r="C210" s="14">
        <f t="shared" si="319"/>
        <v>450.28</v>
      </c>
      <c r="D210" s="14">
        <f t="shared" si="335"/>
        <v>269.08999999999997</v>
      </c>
      <c r="E210" s="14">
        <f t="shared" si="320"/>
        <v>181.19</v>
      </c>
      <c r="F210" s="14">
        <f t="shared" si="278"/>
        <v>134.16999999999999</v>
      </c>
      <c r="G210" s="14">
        <f t="shared" si="275"/>
        <v>188.55</v>
      </c>
      <c r="H210" s="14">
        <f t="shared" si="276"/>
        <v>773</v>
      </c>
      <c r="I210" s="285">
        <f t="shared" si="290"/>
        <v>39821.039999999972</v>
      </c>
      <c r="J210" s="285">
        <f t="shared" si="291"/>
        <v>48737.679999999971</v>
      </c>
      <c r="K210" s="285">
        <f t="shared" si="292"/>
        <v>57710.799999999974</v>
      </c>
      <c r="L210" s="425">
        <f t="shared" si="263"/>
        <v>12</v>
      </c>
      <c r="M210" s="425">
        <f t="shared" si="327"/>
        <v>151</v>
      </c>
      <c r="N210" s="285">
        <f t="shared" si="328"/>
        <v>204814.58000000005</v>
      </c>
      <c r="O210" s="285">
        <f t="shared" si="293"/>
        <v>1610.57</v>
      </c>
      <c r="P210" s="285">
        <f t="shared" si="336"/>
        <v>543.82999999999993</v>
      </c>
      <c r="Q210" s="285">
        <f t="shared" si="294"/>
        <v>1066.74</v>
      </c>
      <c r="R210" s="285">
        <f t="shared" si="281"/>
        <v>134.16999999999999</v>
      </c>
      <c r="S210" s="285">
        <f t="shared" si="282"/>
        <v>188.55</v>
      </c>
      <c r="T210" s="285">
        <f t="shared" si="279"/>
        <v>1933.29</v>
      </c>
      <c r="U210" s="285">
        <f t="shared" si="337"/>
        <v>57305.249999999978</v>
      </c>
      <c r="V210" s="285">
        <f t="shared" si="338"/>
        <v>187501.3899999999</v>
      </c>
      <c r="W210" s="285">
        <f t="shared" si="295"/>
        <v>204270.75000000006</v>
      </c>
      <c r="X210" s="502">
        <f t="shared" si="329"/>
        <v>50259</v>
      </c>
      <c r="Y210" s="285">
        <f t="shared" si="296"/>
        <v>289483.54000000027</v>
      </c>
      <c r="Z210" s="494">
        <f t="shared" si="321"/>
        <v>6.25E-2</v>
      </c>
      <c r="AA210" s="285">
        <f t="shared" si="322"/>
        <v>1630.04</v>
      </c>
      <c r="AB210" s="285">
        <f t="shared" si="297"/>
        <v>122.30999999999995</v>
      </c>
      <c r="AC210" s="285">
        <f t="shared" si="323"/>
        <v>1507.73</v>
      </c>
      <c r="AD210" s="285">
        <f t="shared" ref="AD210:AE210" si="340">+AD209</f>
        <v>134.16999999999999</v>
      </c>
      <c r="AE210" s="285">
        <f t="shared" si="340"/>
        <v>188.55</v>
      </c>
      <c r="AF210" s="285">
        <f t="shared" si="299"/>
        <v>1952.76</v>
      </c>
      <c r="AG210" s="285">
        <f t="shared" si="300"/>
        <v>41832.169999999976</v>
      </c>
      <c r="AH210" s="285">
        <f t="shared" si="301"/>
        <v>200160.10999999996</v>
      </c>
      <c r="AI210" s="512">
        <f t="shared" si="284"/>
        <v>2814.3599999999833</v>
      </c>
      <c r="AJ210" s="512">
        <f t="shared" si="242"/>
        <v>-85090.480000000214</v>
      </c>
      <c r="AK210" s="512">
        <f t="shared" si="285"/>
        <v>-82276.120000000228</v>
      </c>
      <c r="AL210" s="285">
        <f t="shared" si="302"/>
        <v>289361.23000000027</v>
      </c>
      <c r="AM210" s="425">
        <f t="shared" si="331"/>
        <v>12</v>
      </c>
      <c r="AN210" s="14">
        <f t="shared" si="286"/>
        <v>1160.29</v>
      </c>
      <c r="AO210" s="14">
        <f t="shared" si="261"/>
        <v>216481.19000000003</v>
      </c>
      <c r="AP210" s="14">
        <f t="shared" si="287"/>
        <v>1179.76</v>
      </c>
      <c r="AS210" s="14">
        <f t="shared" si="325"/>
        <v>1160.29</v>
      </c>
      <c r="AT210" s="14">
        <f t="shared" si="332"/>
        <v>175883.51999999999</v>
      </c>
      <c r="AU210" s="285">
        <f t="shared" si="333"/>
        <v>1064.1240408508936</v>
      </c>
      <c r="AV210" s="285">
        <f t="shared" si="334"/>
        <v>165137.74038120831</v>
      </c>
    </row>
    <row r="211" spans="1:48" x14ac:dyDescent="0.25">
      <c r="A211" s="502">
        <f t="shared" si="289"/>
        <v>50289</v>
      </c>
      <c r="B211" s="285">
        <f t="shared" si="326"/>
        <v>57710.799999999974</v>
      </c>
      <c r="C211" s="14">
        <f t="shared" si="319"/>
        <v>450.28</v>
      </c>
      <c r="D211" s="14">
        <f t="shared" si="335"/>
        <v>269.92999999999995</v>
      </c>
      <c r="E211" s="14">
        <f t="shared" si="320"/>
        <v>180.35</v>
      </c>
      <c r="F211" s="14">
        <f t="shared" si="278"/>
        <v>134.16999999999999</v>
      </c>
      <c r="G211" s="14">
        <f t="shared" si="275"/>
        <v>188.55</v>
      </c>
      <c r="H211" s="14">
        <f t="shared" si="276"/>
        <v>773</v>
      </c>
      <c r="I211" s="285">
        <f t="shared" si="290"/>
        <v>40090.969999999972</v>
      </c>
      <c r="J211" s="285">
        <f t="shared" si="291"/>
        <v>48918.02999999997</v>
      </c>
      <c r="K211" s="285">
        <f t="shared" si="292"/>
        <v>57440.869999999974</v>
      </c>
      <c r="L211" s="425">
        <f t="shared" si="263"/>
        <v>12</v>
      </c>
      <c r="M211" s="425">
        <f t="shared" si="327"/>
        <v>152</v>
      </c>
      <c r="N211" s="285">
        <f t="shared" si="328"/>
        <v>204270.75000000006</v>
      </c>
      <c r="O211" s="285">
        <f t="shared" si="293"/>
        <v>1610.57</v>
      </c>
      <c r="P211" s="285">
        <f t="shared" si="336"/>
        <v>546.65999999999985</v>
      </c>
      <c r="Q211" s="285">
        <f t="shared" si="294"/>
        <v>1063.9100000000001</v>
      </c>
      <c r="R211" s="285">
        <f t="shared" si="281"/>
        <v>134.16999999999999</v>
      </c>
      <c r="S211" s="285">
        <f t="shared" si="282"/>
        <v>188.55</v>
      </c>
      <c r="T211" s="285">
        <f t="shared" si="279"/>
        <v>1933.29</v>
      </c>
      <c r="U211" s="285">
        <f t="shared" si="337"/>
        <v>57851.909999999974</v>
      </c>
      <c r="V211" s="285">
        <f t="shared" si="338"/>
        <v>188565.2999999999</v>
      </c>
      <c r="W211" s="285">
        <f t="shared" si="295"/>
        <v>203724.09000000005</v>
      </c>
      <c r="X211" s="502">
        <f t="shared" si="329"/>
        <v>50289</v>
      </c>
      <c r="Y211" s="285">
        <f t="shared" si="296"/>
        <v>289361.23000000027</v>
      </c>
      <c r="Z211" s="494">
        <f t="shared" si="321"/>
        <v>6.25E-2</v>
      </c>
      <c r="AA211" s="285">
        <f t="shared" si="322"/>
        <v>1630.04</v>
      </c>
      <c r="AB211" s="285">
        <f t="shared" si="297"/>
        <v>122.95000000000005</v>
      </c>
      <c r="AC211" s="285">
        <f t="shared" si="323"/>
        <v>1507.09</v>
      </c>
      <c r="AD211" s="285">
        <f t="shared" ref="AD211:AE211" si="341">+AD210</f>
        <v>134.16999999999999</v>
      </c>
      <c r="AE211" s="285">
        <f t="shared" si="341"/>
        <v>188.55</v>
      </c>
      <c r="AF211" s="285">
        <f t="shared" si="299"/>
        <v>1952.76</v>
      </c>
      <c r="AG211" s="285">
        <f t="shared" si="300"/>
        <v>41955.119999999974</v>
      </c>
      <c r="AH211" s="285">
        <f t="shared" si="301"/>
        <v>201667.19999999995</v>
      </c>
      <c r="AI211" s="512">
        <f t="shared" si="284"/>
        <v>2794.889999999983</v>
      </c>
      <c r="AJ211" s="512">
        <f t="shared" si="242"/>
        <v>-85514.190000000206</v>
      </c>
      <c r="AK211" s="512">
        <f t="shared" si="285"/>
        <v>-82719.300000000221</v>
      </c>
      <c r="AL211" s="285">
        <f t="shared" si="302"/>
        <v>289238.28000000026</v>
      </c>
      <c r="AM211" s="425">
        <f t="shared" si="331"/>
        <v>12</v>
      </c>
      <c r="AN211" s="14">
        <f t="shared" si="286"/>
        <v>1160.29</v>
      </c>
      <c r="AO211" s="14">
        <f t="shared" si="261"/>
        <v>216204.46000000002</v>
      </c>
      <c r="AP211" s="14">
        <f t="shared" si="287"/>
        <v>1179.76</v>
      </c>
      <c r="AS211" s="14">
        <f t="shared" si="325"/>
        <v>1160.29</v>
      </c>
      <c r="AT211" s="14">
        <f t="shared" si="332"/>
        <v>177043.81</v>
      </c>
      <c r="AU211" s="285">
        <f t="shared" si="333"/>
        <v>1066.7843509530207</v>
      </c>
      <c r="AV211" s="285">
        <f t="shared" si="334"/>
        <v>166204.52473216131</v>
      </c>
    </row>
    <row r="212" spans="1:48" x14ac:dyDescent="0.25">
      <c r="A212" s="502">
        <f t="shared" si="289"/>
        <v>50319</v>
      </c>
      <c r="B212" s="285">
        <f t="shared" si="326"/>
        <v>57440.869999999974</v>
      </c>
      <c r="C212" s="14">
        <f t="shared" si="319"/>
        <v>450.28</v>
      </c>
      <c r="D212" s="14">
        <f t="shared" si="335"/>
        <v>270.77999999999997</v>
      </c>
      <c r="E212" s="14">
        <f t="shared" si="320"/>
        <v>179.5</v>
      </c>
      <c r="F212" s="14">
        <f t="shared" si="278"/>
        <v>134.16999999999999</v>
      </c>
      <c r="G212" s="14">
        <f t="shared" si="275"/>
        <v>188.55</v>
      </c>
      <c r="H212" s="14">
        <f t="shared" si="276"/>
        <v>773</v>
      </c>
      <c r="I212" s="285">
        <f t="shared" si="290"/>
        <v>40361.749999999971</v>
      </c>
      <c r="J212" s="285">
        <f t="shared" si="291"/>
        <v>49097.52999999997</v>
      </c>
      <c r="K212" s="285">
        <f t="shared" si="292"/>
        <v>57170.089999999975</v>
      </c>
      <c r="L212" s="425">
        <f t="shared" si="263"/>
        <v>12</v>
      </c>
      <c r="M212" s="425">
        <f t="shared" si="327"/>
        <v>153</v>
      </c>
      <c r="N212" s="285">
        <f t="shared" si="328"/>
        <v>203724.09000000005</v>
      </c>
      <c r="O212" s="285">
        <f t="shared" si="293"/>
        <v>1610.57</v>
      </c>
      <c r="P212" s="285">
        <f t="shared" si="336"/>
        <v>549.51</v>
      </c>
      <c r="Q212" s="285">
        <f t="shared" si="294"/>
        <v>1061.06</v>
      </c>
      <c r="R212" s="285">
        <f t="shared" si="281"/>
        <v>134.16999999999999</v>
      </c>
      <c r="S212" s="285">
        <f t="shared" si="282"/>
        <v>188.55</v>
      </c>
      <c r="T212" s="285">
        <f t="shared" si="279"/>
        <v>1933.29</v>
      </c>
      <c r="U212" s="285">
        <f t="shared" si="337"/>
        <v>58401.419999999976</v>
      </c>
      <c r="V212" s="285">
        <f t="shared" si="338"/>
        <v>189626.3599999999</v>
      </c>
      <c r="W212" s="285">
        <f t="shared" si="295"/>
        <v>203174.58000000005</v>
      </c>
      <c r="X212" s="502">
        <f t="shared" si="329"/>
        <v>50319</v>
      </c>
      <c r="Y212" s="285">
        <f t="shared" si="296"/>
        <v>289238.28000000026</v>
      </c>
      <c r="Z212" s="494">
        <f t="shared" si="321"/>
        <v>6.25E-2</v>
      </c>
      <c r="AA212" s="285">
        <f t="shared" si="322"/>
        <v>1630.04</v>
      </c>
      <c r="AB212" s="285">
        <f t="shared" si="297"/>
        <v>123.58999999999992</v>
      </c>
      <c r="AC212" s="285">
        <f t="shared" si="323"/>
        <v>1506.45</v>
      </c>
      <c r="AD212" s="285">
        <f t="shared" ref="AD212:AE212" si="342">+AD211</f>
        <v>134.16999999999999</v>
      </c>
      <c r="AE212" s="285">
        <f t="shared" si="342"/>
        <v>188.55</v>
      </c>
      <c r="AF212" s="285">
        <f t="shared" si="299"/>
        <v>1952.76</v>
      </c>
      <c r="AG212" s="285">
        <f t="shared" si="300"/>
        <v>42078.70999999997</v>
      </c>
      <c r="AH212" s="285">
        <f t="shared" si="301"/>
        <v>203173.64999999997</v>
      </c>
      <c r="AI212" s="512">
        <f t="shared" si="284"/>
        <v>2775.4199999999828</v>
      </c>
      <c r="AJ212" s="512">
        <f t="shared" si="242"/>
        <v>-85940.11000000019</v>
      </c>
      <c r="AK212" s="512">
        <f t="shared" si="285"/>
        <v>-83164.690000000206</v>
      </c>
      <c r="AL212" s="285">
        <f t="shared" si="302"/>
        <v>289114.69000000024</v>
      </c>
      <c r="AM212" s="425">
        <f t="shared" si="331"/>
        <v>12</v>
      </c>
      <c r="AN212" s="14">
        <f t="shared" si="286"/>
        <v>1160.29</v>
      </c>
      <c r="AO212" s="14">
        <f t="shared" si="261"/>
        <v>215925.73000000004</v>
      </c>
      <c r="AP212" s="14">
        <f t="shared" si="287"/>
        <v>1179.76</v>
      </c>
      <c r="AS212" s="14">
        <f t="shared" si="325"/>
        <v>1160.29</v>
      </c>
      <c r="AT212" s="14">
        <f t="shared" si="332"/>
        <v>178204.1</v>
      </c>
      <c r="AU212" s="285">
        <f t="shared" si="333"/>
        <v>1069.4513118304033</v>
      </c>
      <c r="AV212" s="285">
        <f t="shared" si="334"/>
        <v>167273.97604399172</v>
      </c>
    </row>
    <row r="213" spans="1:48" x14ac:dyDescent="0.25">
      <c r="A213" s="502">
        <f t="shared" si="289"/>
        <v>50349</v>
      </c>
      <c r="B213" s="285">
        <f t="shared" si="326"/>
        <v>57170.089999999975</v>
      </c>
      <c r="C213" s="14">
        <f t="shared" si="319"/>
        <v>450.28</v>
      </c>
      <c r="D213" s="14">
        <f t="shared" si="335"/>
        <v>271.62</v>
      </c>
      <c r="E213" s="14">
        <f t="shared" si="320"/>
        <v>178.66</v>
      </c>
      <c r="F213" s="14">
        <f t="shared" si="278"/>
        <v>134.16999999999999</v>
      </c>
      <c r="G213" s="14">
        <f t="shared" si="275"/>
        <v>188.55</v>
      </c>
      <c r="H213" s="14">
        <f t="shared" si="276"/>
        <v>773</v>
      </c>
      <c r="I213" s="285">
        <f t="shared" si="290"/>
        <v>40633.369999999974</v>
      </c>
      <c r="J213" s="285">
        <f t="shared" si="291"/>
        <v>49276.189999999973</v>
      </c>
      <c r="K213" s="285">
        <f t="shared" si="292"/>
        <v>56898.469999999972</v>
      </c>
      <c r="L213" s="425">
        <f t="shared" si="263"/>
        <v>12</v>
      </c>
      <c r="M213" s="425">
        <f t="shared" si="327"/>
        <v>154</v>
      </c>
      <c r="N213" s="285">
        <f t="shared" si="328"/>
        <v>203174.58000000005</v>
      </c>
      <c r="O213" s="285">
        <f t="shared" si="293"/>
        <v>1610.57</v>
      </c>
      <c r="P213" s="285">
        <f t="shared" si="336"/>
        <v>552.36999999999989</v>
      </c>
      <c r="Q213" s="285">
        <f t="shared" si="294"/>
        <v>1058.2</v>
      </c>
      <c r="R213" s="285">
        <f t="shared" si="281"/>
        <v>134.16999999999999</v>
      </c>
      <c r="S213" s="285">
        <f t="shared" si="282"/>
        <v>188.55</v>
      </c>
      <c r="T213" s="285">
        <f t="shared" si="279"/>
        <v>1933.29</v>
      </c>
      <c r="U213" s="285">
        <f t="shared" si="337"/>
        <v>58953.789999999979</v>
      </c>
      <c r="V213" s="285">
        <f t="shared" si="338"/>
        <v>190684.55999999991</v>
      </c>
      <c r="W213" s="285">
        <f t="shared" si="295"/>
        <v>202622.21000000005</v>
      </c>
      <c r="X213" s="502">
        <f t="shared" si="329"/>
        <v>50349</v>
      </c>
      <c r="Y213" s="285">
        <f t="shared" si="296"/>
        <v>289114.69000000024</v>
      </c>
      <c r="Z213" s="494">
        <f t="shared" si="321"/>
        <v>6.25E-2</v>
      </c>
      <c r="AA213" s="285">
        <f t="shared" si="322"/>
        <v>1630.04</v>
      </c>
      <c r="AB213" s="285">
        <f t="shared" si="297"/>
        <v>124.23000000000002</v>
      </c>
      <c r="AC213" s="285">
        <f t="shared" si="323"/>
        <v>1505.81</v>
      </c>
      <c r="AD213" s="285">
        <f t="shared" ref="AD213:AE213" si="343">+AD212</f>
        <v>134.16999999999999</v>
      </c>
      <c r="AE213" s="285">
        <f t="shared" si="343"/>
        <v>188.55</v>
      </c>
      <c r="AF213" s="285">
        <f t="shared" si="299"/>
        <v>1952.76</v>
      </c>
      <c r="AG213" s="285">
        <f t="shared" si="300"/>
        <v>42202.939999999973</v>
      </c>
      <c r="AH213" s="285">
        <f t="shared" si="301"/>
        <v>204679.45999999996</v>
      </c>
      <c r="AI213" s="512">
        <f t="shared" si="284"/>
        <v>2755.9499999999825</v>
      </c>
      <c r="AJ213" s="512">
        <f t="shared" si="242"/>
        <v>-86368.250000000204</v>
      </c>
      <c r="AK213" s="512">
        <f t="shared" si="285"/>
        <v>-83612.300000000221</v>
      </c>
      <c r="AL213" s="285">
        <f t="shared" si="302"/>
        <v>288990.46000000025</v>
      </c>
      <c r="AM213" s="425">
        <f t="shared" si="331"/>
        <v>12</v>
      </c>
      <c r="AN213" s="14">
        <f t="shared" si="286"/>
        <v>1160.29</v>
      </c>
      <c r="AO213" s="14">
        <f t="shared" si="261"/>
        <v>215644.98000000004</v>
      </c>
      <c r="AP213" s="14">
        <f t="shared" si="287"/>
        <v>1179.76</v>
      </c>
      <c r="AS213" s="14">
        <f t="shared" si="325"/>
        <v>1160.29</v>
      </c>
      <c r="AT213" s="14">
        <f t="shared" si="332"/>
        <v>179364.39</v>
      </c>
      <c r="AU213" s="285">
        <f t="shared" si="333"/>
        <v>1072.1249401099792</v>
      </c>
      <c r="AV213" s="285">
        <f t="shared" si="334"/>
        <v>168346.10098410171</v>
      </c>
    </row>
    <row r="214" spans="1:48" x14ac:dyDescent="0.25">
      <c r="A214" s="502">
        <f t="shared" si="289"/>
        <v>50379</v>
      </c>
      <c r="B214" s="285">
        <f t="shared" si="326"/>
        <v>56898.469999999972</v>
      </c>
      <c r="C214" s="14">
        <f t="shared" si="319"/>
        <v>450.28</v>
      </c>
      <c r="D214" s="14">
        <f t="shared" si="335"/>
        <v>272.46999999999997</v>
      </c>
      <c r="E214" s="14">
        <f t="shared" si="320"/>
        <v>177.81</v>
      </c>
      <c r="F214" s="14">
        <f t="shared" si="278"/>
        <v>134.16999999999999</v>
      </c>
      <c r="G214" s="14">
        <f t="shared" si="275"/>
        <v>188.55</v>
      </c>
      <c r="H214" s="14">
        <f t="shared" si="276"/>
        <v>773</v>
      </c>
      <c r="I214" s="285">
        <f t="shared" si="290"/>
        <v>40905.839999999975</v>
      </c>
      <c r="J214" s="285">
        <f t="shared" si="291"/>
        <v>49453.999999999971</v>
      </c>
      <c r="K214" s="285">
        <f t="shared" si="292"/>
        <v>56625.999999999971</v>
      </c>
      <c r="L214" s="425">
        <f t="shared" si="263"/>
        <v>12</v>
      </c>
      <c r="M214" s="425">
        <f t="shared" si="327"/>
        <v>155</v>
      </c>
      <c r="N214" s="285">
        <f t="shared" si="328"/>
        <v>202622.21000000005</v>
      </c>
      <c r="O214" s="285">
        <f t="shared" si="293"/>
        <v>1610.57</v>
      </c>
      <c r="P214" s="285">
        <f t="shared" si="336"/>
        <v>555.25</v>
      </c>
      <c r="Q214" s="285">
        <f t="shared" si="294"/>
        <v>1055.32</v>
      </c>
      <c r="R214" s="285">
        <f t="shared" si="281"/>
        <v>134.16999999999999</v>
      </c>
      <c r="S214" s="285">
        <f t="shared" si="282"/>
        <v>188.55</v>
      </c>
      <c r="T214" s="285">
        <f t="shared" si="279"/>
        <v>1933.29</v>
      </c>
      <c r="U214" s="285">
        <f t="shared" si="337"/>
        <v>59509.039999999979</v>
      </c>
      <c r="V214" s="285">
        <f t="shared" si="338"/>
        <v>191739.87999999992</v>
      </c>
      <c r="W214" s="285">
        <f t="shared" si="295"/>
        <v>202066.96000000005</v>
      </c>
      <c r="X214" s="502">
        <f t="shared" si="329"/>
        <v>50379</v>
      </c>
      <c r="Y214" s="285">
        <f t="shared" si="296"/>
        <v>288990.46000000025</v>
      </c>
      <c r="Z214" s="494">
        <f t="shared" si="321"/>
        <v>6.25E-2</v>
      </c>
      <c r="AA214" s="285">
        <f t="shared" si="322"/>
        <v>1630.04</v>
      </c>
      <c r="AB214" s="285">
        <f t="shared" si="297"/>
        <v>124.87999999999988</v>
      </c>
      <c r="AC214" s="285">
        <f t="shared" si="323"/>
        <v>1505.16</v>
      </c>
      <c r="AD214" s="285">
        <f t="shared" ref="AD214:AE214" si="344">+AD213</f>
        <v>134.16999999999999</v>
      </c>
      <c r="AE214" s="285">
        <f t="shared" si="344"/>
        <v>188.55</v>
      </c>
      <c r="AF214" s="285">
        <f t="shared" si="299"/>
        <v>1952.76</v>
      </c>
      <c r="AG214" s="285">
        <f t="shared" si="300"/>
        <v>42327.819999999971</v>
      </c>
      <c r="AH214" s="285">
        <f t="shared" si="301"/>
        <v>206184.61999999997</v>
      </c>
      <c r="AI214" s="512">
        <f t="shared" si="284"/>
        <v>2736.4799999999823</v>
      </c>
      <c r="AJ214" s="512">
        <f t="shared" si="242"/>
        <v>-86798.620000000199</v>
      </c>
      <c r="AK214" s="512">
        <f t="shared" si="285"/>
        <v>-84062.140000000218</v>
      </c>
      <c r="AL214" s="285">
        <f t="shared" si="302"/>
        <v>288865.58000000025</v>
      </c>
      <c r="AM214" s="425">
        <f t="shared" si="331"/>
        <v>12</v>
      </c>
      <c r="AN214" s="14">
        <f t="shared" si="286"/>
        <v>1160.29</v>
      </c>
      <c r="AO214" s="14">
        <f t="shared" si="261"/>
        <v>215362.2</v>
      </c>
      <c r="AP214" s="14">
        <f t="shared" si="287"/>
        <v>1179.76</v>
      </c>
      <c r="AS214" s="14">
        <f t="shared" si="325"/>
        <v>1160.29</v>
      </c>
      <c r="AT214" s="14">
        <f t="shared" si="332"/>
        <v>180524.68000000002</v>
      </c>
      <c r="AU214" s="285">
        <f t="shared" si="333"/>
        <v>1074.8052524602542</v>
      </c>
      <c r="AV214" s="285">
        <f t="shared" si="334"/>
        <v>169420.90623656198</v>
      </c>
    </row>
    <row r="215" spans="1:48" x14ac:dyDescent="0.25">
      <c r="A215" s="502">
        <f t="shared" si="289"/>
        <v>50409</v>
      </c>
      <c r="B215" s="285">
        <f t="shared" si="326"/>
        <v>56625.999999999971</v>
      </c>
      <c r="C215" s="14">
        <f t="shared" si="319"/>
        <v>450.28</v>
      </c>
      <c r="D215" s="14">
        <f t="shared" si="335"/>
        <v>273.31999999999994</v>
      </c>
      <c r="E215" s="14">
        <f t="shared" si="320"/>
        <v>176.96</v>
      </c>
      <c r="F215" s="14">
        <f t="shared" si="278"/>
        <v>134.16999999999999</v>
      </c>
      <c r="G215" s="14">
        <f t="shared" si="275"/>
        <v>188.55</v>
      </c>
      <c r="H215" s="14">
        <f t="shared" si="276"/>
        <v>773</v>
      </c>
      <c r="I215" s="285">
        <f t="shared" si="290"/>
        <v>41179.159999999974</v>
      </c>
      <c r="J215" s="285">
        <f t="shared" si="291"/>
        <v>49630.95999999997</v>
      </c>
      <c r="K215" s="285">
        <f t="shared" si="292"/>
        <v>56352.679999999971</v>
      </c>
      <c r="L215" s="425">
        <f t="shared" si="263"/>
        <v>13</v>
      </c>
      <c r="M215" s="425">
        <f t="shared" si="327"/>
        <v>156</v>
      </c>
      <c r="N215" s="285">
        <f t="shared" si="328"/>
        <v>202066.96000000005</v>
      </c>
      <c r="O215" s="285">
        <f t="shared" si="293"/>
        <v>1610.57</v>
      </c>
      <c r="P215" s="285">
        <f t="shared" si="336"/>
        <v>558.13999999999987</v>
      </c>
      <c r="Q215" s="285">
        <f t="shared" si="294"/>
        <v>1052.43</v>
      </c>
      <c r="R215" s="285">
        <f t="shared" si="281"/>
        <v>134.16999999999999</v>
      </c>
      <c r="S215" s="285">
        <f t="shared" si="282"/>
        <v>188.55</v>
      </c>
      <c r="T215" s="285">
        <f t="shared" si="279"/>
        <v>1933.29</v>
      </c>
      <c r="U215" s="285">
        <f t="shared" si="337"/>
        <v>60067.179999999978</v>
      </c>
      <c r="V215" s="285">
        <f t="shared" si="338"/>
        <v>192792.30999999991</v>
      </c>
      <c r="W215" s="285">
        <f t="shared" si="295"/>
        <v>201508.82000000004</v>
      </c>
      <c r="X215" s="502">
        <f t="shared" si="329"/>
        <v>50409</v>
      </c>
      <c r="Y215" s="285">
        <f t="shared" si="296"/>
        <v>288865.58000000025</v>
      </c>
      <c r="Z215" s="494">
        <f t="shared" si="321"/>
        <v>6.25E-2</v>
      </c>
      <c r="AA215" s="285">
        <f t="shared" si="322"/>
        <v>1630.04</v>
      </c>
      <c r="AB215" s="285">
        <f t="shared" si="297"/>
        <v>125.52999999999997</v>
      </c>
      <c r="AC215" s="285">
        <f t="shared" si="323"/>
        <v>1504.51</v>
      </c>
      <c r="AD215" s="285">
        <f t="shared" ref="AD215:AE215" si="345">+AD214</f>
        <v>134.16999999999999</v>
      </c>
      <c r="AE215" s="285">
        <f t="shared" si="345"/>
        <v>188.55</v>
      </c>
      <c r="AF215" s="285">
        <f t="shared" si="299"/>
        <v>1952.76</v>
      </c>
      <c r="AG215" s="285">
        <f t="shared" si="300"/>
        <v>42453.349999999969</v>
      </c>
      <c r="AH215" s="285">
        <f t="shared" si="301"/>
        <v>207689.12999999998</v>
      </c>
      <c r="AI215" s="512">
        <f t="shared" si="284"/>
        <v>2717.009999999982</v>
      </c>
      <c r="AJ215" s="512">
        <f t="shared" si="242"/>
        <v>-87231.230000000185</v>
      </c>
      <c r="AK215" s="512">
        <f t="shared" si="285"/>
        <v>-84514.220000000205</v>
      </c>
      <c r="AL215" s="285">
        <f t="shared" si="302"/>
        <v>288740.05000000022</v>
      </c>
      <c r="AM215" s="425">
        <f t="shared" si="331"/>
        <v>13</v>
      </c>
      <c r="AN215" s="14">
        <f t="shared" si="286"/>
        <v>1160.29</v>
      </c>
      <c r="AO215" s="14">
        <f t="shared" si="261"/>
        <v>215077.38</v>
      </c>
      <c r="AP215" s="14">
        <f t="shared" si="287"/>
        <v>1179.76</v>
      </c>
      <c r="AS215" s="14">
        <f t="shared" si="325"/>
        <v>1160.29</v>
      </c>
      <c r="AT215" s="14">
        <f t="shared" si="332"/>
        <v>181684.97000000003</v>
      </c>
      <c r="AU215" s="285">
        <f t="shared" si="333"/>
        <v>1077.4922655914049</v>
      </c>
      <c r="AV215" s="285">
        <f t="shared" si="334"/>
        <v>170498.39850215337</v>
      </c>
    </row>
    <row r="216" spans="1:48" x14ac:dyDescent="0.25">
      <c r="A216" s="502">
        <f t="shared" si="289"/>
        <v>50439</v>
      </c>
      <c r="B216" s="285">
        <f t="shared" si="326"/>
        <v>56352.679999999971</v>
      </c>
      <c r="C216" s="14">
        <f t="shared" si="319"/>
        <v>450.28</v>
      </c>
      <c r="D216" s="14">
        <f t="shared" si="335"/>
        <v>274.17999999999995</v>
      </c>
      <c r="E216" s="14">
        <f t="shared" si="320"/>
        <v>176.1</v>
      </c>
      <c r="F216" s="14">
        <f t="shared" si="278"/>
        <v>134.16999999999999</v>
      </c>
      <c r="G216" s="14">
        <f t="shared" si="275"/>
        <v>188.55</v>
      </c>
      <c r="H216" s="14">
        <f t="shared" si="276"/>
        <v>773</v>
      </c>
      <c r="I216" s="285">
        <f t="shared" si="290"/>
        <v>41453.339999999975</v>
      </c>
      <c r="J216" s="285">
        <f t="shared" si="291"/>
        <v>49807.059999999969</v>
      </c>
      <c r="K216" s="285">
        <f t="shared" si="292"/>
        <v>56078.499999999971</v>
      </c>
      <c r="L216" s="425">
        <f t="shared" si="263"/>
        <v>13</v>
      </c>
      <c r="M216" s="425">
        <f t="shared" si="327"/>
        <v>157</v>
      </c>
      <c r="N216" s="285">
        <f t="shared" si="328"/>
        <v>201508.82000000004</v>
      </c>
      <c r="O216" s="285">
        <f t="shared" si="293"/>
        <v>1610.57</v>
      </c>
      <c r="P216" s="285">
        <f t="shared" si="336"/>
        <v>561.04</v>
      </c>
      <c r="Q216" s="285">
        <f t="shared" si="294"/>
        <v>1049.53</v>
      </c>
      <c r="R216" s="285">
        <f t="shared" si="281"/>
        <v>134.16999999999999</v>
      </c>
      <c r="S216" s="285">
        <f t="shared" si="282"/>
        <v>188.55</v>
      </c>
      <c r="T216" s="285">
        <f t="shared" si="279"/>
        <v>1933.29</v>
      </c>
      <c r="U216" s="285">
        <f t="shared" si="337"/>
        <v>60628.219999999979</v>
      </c>
      <c r="V216" s="285">
        <f t="shared" si="338"/>
        <v>193841.83999999991</v>
      </c>
      <c r="W216" s="285">
        <f t="shared" si="295"/>
        <v>200947.78000000003</v>
      </c>
      <c r="X216" s="502">
        <f t="shared" si="329"/>
        <v>50439</v>
      </c>
      <c r="Y216" s="285">
        <f t="shared" si="296"/>
        <v>288740.05000000022</v>
      </c>
      <c r="Z216" s="494">
        <f t="shared" si="321"/>
        <v>6.25E-2</v>
      </c>
      <c r="AA216" s="285">
        <f t="shared" si="322"/>
        <v>1630.04</v>
      </c>
      <c r="AB216" s="285">
        <f t="shared" si="297"/>
        <v>126.19000000000005</v>
      </c>
      <c r="AC216" s="285">
        <f t="shared" si="323"/>
        <v>1503.85</v>
      </c>
      <c r="AD216" s="285">
        <f t="shared" ref="AD216:AE216" si="346">+AD215</f>
        <v>134.16999999999999</v>
      </c>
      <c r="AE216" s="285">
        <f t="shared" si="346"/>
        <v>188.55</v>
      </c>
      <c r="AF216" s="285">
        <f t="shared" si="299"/>
        <v>1952.76</v>
      </c>
      <c r="AG216" s="285">
        <f t="shared" si="300"/>
        <v>42579.539999999972</v>
      </c>
      <c r="AH216" s="285">
        <f t="shared" si="301"/>
        <v>209192.97999999998</v>
      </c>
      <c r="AI216" s="512">
        <f t="shared" si="284"/>
        <v>2697.5399999999818</v>
      </c>
      <c r="AJ216" s="512">
        <f t="shared" si="242"/>
        <v>-87666.080000000191</v>
      </c>
      <c r="AK216" s="512">
        <f t="shared" si="285"/>
        <v>-84968.540000000212</v>
      </c>
      <c r="AL216" s="285">
        <f t="shared" si="302"/>
        <v>288613.86000000022</v>
      </c>
      <c r="AM216" s="425">
        <f t="shared" si="331"/>
        <v>13</v>
      </c>
      <c r="AN216" s="14">
        <f t="shared" si="286"/>
        <v>1160.29</v>
      </c>
      <c r="AO216" s="14">
        <f t="shared" si="261"/>
        <v>214790.52000000002</v>
      </c>
      <c r="AP216" s="14">
        <f t="shared" si="287"/>
        <v>1179.76</v>
      </c>
      <c r="AS216" s="14">
        <f t="shared" si="325"/>
        <v>1160.29</v>
      </c>
      <c r="AT216" s="14">
        <f t="shared" si="332"/>
        <v>182845.26000000004</v>
      </c>
      <c r="AU216" s="285">
        <f t="shared" si="333"/>
        <v>1080.1859962553833</v>
      </c>
      <c r="AV216" s="285">
        <f t="shared" si="334"/>
        <v>171578.58449840875</v>
      </c>
    </row>
    <row r="217" spans="1:48" x14ac:dyDescent="0.25">
      <c r="A217" s="502">
        <f t="shared" si="289"/>
        <v>50469</v>
      </c>
      <c r="B217" s="285">
        <f t="shared" si="326"/>
        <v>56078.499999999971</v>
      </c>
      <c r="C217" s="14">
        <f t="shared" si="319"/>
        <v>450.28</v>
      </c>
      <c r="D217" s="14">
        <f t="shared" si="335"/>
        <v>275.02999999999997</v>
      </c>
      <c r="E217" s="14">
        <f t="shared" si="320"/>
        <v>175.25</v>
      </c>
      <c r="F217" s="14">
        <f t="shared" si="278"/>
        <v>134.16999999999999</v>
      </c>
      <c r="G217" s="14">
        <f t="shared" si="275"/>
        <v>188.55</v>
      </c>
      <c r="H217" s="14">
        <f t="shared" si="276"/>
        <v>773</v>
      </c>
      <c r="I217" s="285">
        <f t="shared" si="290"/>
        <v>41728.369999999974</v>
      </c>
      <c r="J217" s="285">
        <f t="shared" si="291"/>
        <v>49982.309999999969</v>
      </c>
      <c r="K217" s="285">
        <f t="shared" si="292"/>
        <v>55803.469999999972</v>
      </c>
      <c r="L217" s="425">
        <f t="shared" si="263"/>
        <v>13</v>
      </c>
      <c r="M217" s="425">
        <f t="shared" si="327"/>
        <v>158</v>
      </c>
      <c r="N217" s="285">
        <f t="shared" si="328"/>
        <v>200947.78000000003</v>
      </c>
      <c r="O217" s="285">
        <f t="shared" si="293"/>
        <v>1610.57</v>
      </c>
      <c r="P217" s="285">
        <f t="shared" si="336"/>
        <v>563.97</v>
      </c>
      <c r="Q217" s="285">
        <f t="shared" si="294"/>
        <v>1046.5999999999999</v>
      </c>
      <c r="R217" s="285">
        <f t="shared" si="281"/>
        <v>134.16999999999999</v>
      </c>
      <c r="S217" s="285">
        <f t="shared" si="282"/>
        <v>188.55</v>
      </c>
      <c r="T217" s="285">
        <f t="shared" si="279"/>
        <v>1933.29</v>
      </c>
      <c r="U217" s="285">
        <f t="shared" si="337"/>
        <v>61192.189999999981</v>
      </c>
      <c r="V217" s="285">
        <f t="shared" si="338"/>
        <v>194888.43999999992</v>
      </c>
      <c r="W217" s="285">
        <f t="shared" si="295"/>
        <v>200383.81000000003</v>
      </c>
      <c r="X217" s="502">
        <f t="shared" si="329"/>
        <v>50469</v>
      </c>
      <c r="Y217" s="285">
        <f t="shared" si="296"/>
        <v>288613.86000000022</v>
      </c>
      <c r="Z217" s="494">
        <f t="shared" si="321"/>
        <v>6.25E-2</v>
      </c>
      <c r="AA217" s="285">
        <f t="shared" si="322"/>
        <v>1630.04</v>
      </c>
      <c r="AB217" s="285">
        <f t="shared" si="297"/>
        <v>126.83999999999992</v>
      </c>
      <c r="AC217" s="285">
        <f t="shared" si="323"/>
        <v>1503.2</v>
      </c>
      <c r="AD217" s="285">
        <f t="shared" ref="AD217:AE217" si="347">+AD216</f>
        <v>134.16999999999999</v>
      </c>
      <c r="AE217" s="285">
        <f t="shared" si="347"/>
        <v>188.55</v>
      </c>
      <c r="AF217" s="285">
        <f t="shared" si="299"/>
        <v>1952.76</v>
      </c>
      <c r="AG217" s="285">
        <f t="shared" si="300"/>
        <v>42706.379999999968</v>
      </c>
      <c r="AH217" s="285">
        <f t="shared" si="301"/>
        <v>210696.18</v>
      </c>
      <c r="AI217" s="512">
        <f t="shared" si="284"/>
        <v>2678.0699999999815</v>
      </c>
      <c r="AJ217" s="512">
        <f t="shared" si="242"/>
        <v>-88103.210000000166</v>
      </c>
      <c r="AK217" s="512">
        <f t="shared" si="285"/>
        <v>-85425.140000000189</v>
      </c>
      <c r="AL217" s="285">
        <f t="shared" si="302"/>
        <v>288487.02000000019</v>
      </c>
      <c r="AM217" s="425">
        <f t="shared" si="331"/>
        <v>13</v>
      </c>
      <c r="AN217" s="14">
        <f t="shared" si="286"/>
        <v>1160.29</v>
      </c>
      <c r="AO217" s="14">
        <f t="shared" si="261"/>
        <v>214501.58000000005</v>
      </c>
      <c r="AP217" s="14">
        <f t="shared" si="287"/>
        <v>1179.76</v>
      </c>
      <c r="AS217" s="14">
        <f t="shared" si="325"/>
        <v>1160.29</v>
      </c>
      <c r="AT217" s="14">
        <f t="shared" si="332"/>
        <v>184005.55000000005</v>
      </c>
      <c r="AU217" s="285">
        <f t="shared" si="333"/>
        <v>1082.8864612460218</v>
      </c>
      <c r="AV217" s="285">
        <f t="shared" si="334"/>
        <v>172661.47095965478</v>
      </c>
    </row>
    <row r="218" spans="1:48" ht="15.75" thickBot="1" x14ac:dyDescent="0.3">
      <c r="A218" s="505">
        <f t="shared" si="289"/>
        <v>50499</v>
      </c>
      <c r="B218" s="345">
        <f t="shared" si="326"/>
        <v>55803.469999999972</v>
      </c>
      <c r="C218" s="21">
        <f t="shared" si="319"/>
        <v>450.28</v>
      </c>
      <c r="D218" s="21">
        <f t="shared" si="335"/>
        <v>275.89</v>
      </c>
      <c r="E218" s="21">
        <f t="shared" si="320"/>
        <v>174.39</v>
      </c>
      <c r="F218" s="21">
        <f t="shared" si="278"/>
        <v>134.16999999999999</v>
      </c>
      <c r="G218" s="21">
        <f t="shared" si="275"/>
        <v>188.55</v>
      </c>
      <c r="H218" s="21">
        <f t="shared" si="276"/>
        <v>773</v>
      </c>
      <c r="I218" s="345">
        <f t="shared" si="290"/>
        <v>42004.259999999973</v>
      </c>
      <c r="J218" s="345">
        <f t="shared" si="291"/>
        <v>50156.699999999968</v>
      </c>
      <c r="K218" s="345">
        <f t="shared" si="292"/>
        <v>55527.579999999973</v>
      </c>
      <c r="L218" s="426">
        <f t="shared" si="263"/>
        <v>13</v>
      </c>
      <c r="M218" s="426">
        <f t="shared" si="327"/>
        <v>159</v>
      </c>
      <c r="N218" s="345">
        <f t="shared" si="328"/>
        <v>200383.81000000003</v>
      </c>
      <c r="O218" s="345">
        <f t="shared" si="293"/>
        <v>1610.57</v>
      </c>
      <c r="P218" s="345">
        <f t="shared" si="336"/>
        <v>566.89999999999986</v>
      </c>
      <c r="Q218" s="345">
        <f t="shared" si="294"/>
        <v>1043.67</v>
      </c>
      <c r="R218" s="345">
        <f t="shared" si="281"/>
        <v>134.16999999999999</v>
      </c>
      <c r="S218" s="345">
        <f t="shared" si="282"/>
        <v>188.55</v>
      </c>
      <c r="T218" s="345">
        <f t="shared" si="279"/>
        <v>1933.29</v>
      </c>
      <c r="U218" s="345">
        <f t="shared" si="337"/>
        <v>61759.089999999982</v>
      </c>
      <c r="V218" s="345">
        <f t="shared" si="338"/>
        <v>195932.10999999993</v>
      </c>
      <c r="W218" s="345">
        <f t="shared" si="295"/>
        <v>199816.91000000003</v>
      </c>
      <c r="X218" s="505">
        <f t="shared" si="329"/>
        <v>50499</v>
      </c>
      <c r="Y218" s="345">
        <f t="shared" si="296"/>
        <v>288487.02000000019</v>
      </c>
      <c r="Z218" s="495">
        <f t="shared" si="321"/>
        <v>6.25E-2</v>
      </c>
      <c r="AA218" s="345">
        <f t="shared" si="322"/>
        <v>1630.04</v>
      </c>
      <c r="AB218" s="345">
        <f t="shared" si="297"/>
        <v>127.5</v>
      </c>
      <c r="AC218" s="345">
        <f t="shared" si="323"/>
        <v>1502.54</v>
      </c>
      <c r="AD218" s="345">
        <f t="shared" ref="AD218:AE218" si="348">+AD217</f>
        <v>134.16999999999999</v>
      </c>
      <c r="AE218" s="345">
        <f t="shared" si="348"/>
        <v>188.55</v>
      </c>
      <c r="AF218" s="345">
        <f t="shared" si="299"/>
        <v>1952.76</v>
      </c>
      <c r="AG218" s="345">
        <f t="shared" si="300"/>
        <v>42833.879999999968</v>
      </c>
      <c r="AH218" s="345">
        <f t="shared" si="301"/>
        <v>212198.72</v>
      </c>
      <c r="AI218" s="513">
        <f t="shared" si="284"/>
        <v>2658.5999999999813</v>
      </c>
      <c r="AJ218" s="513">
        <f t="shared" si="242"/>
        <v>-88542.610000000161</v>
      </c>
      <c r="AK218" s="512">
        <f t="shared" si="285"/>
        <v>-85884.010000000184</v>
      </c>
      <c r="AL218" s="345">
        <f t="shared" si="302"/>
        <v>288359.52000000019</v>
      </c>
      <c r="AM218" s="426">
        <f t="shared" si="331"/>
        <v>13</v>
      </c>
      <c r="AN218" s="21">
        <f t="shared" si="286"/>
        <v>1160.29</v>
      </c>
      <c r="AO218" s="21">
        <f t="shared" si="261"/>
        <v>214210.57</v>
      </c>
      <c r="AP218" s="21">
        <f t="shared" si="287"/>
        <v>1179.76</v>
      </c>
      <c r="AQ218" s="21"/>
      <c r="AR218" s="23"/>
      <c r="AS218" s="21">
        <f t="shared" si="325"/>
        <v>1160.29</v>
      </c>
      <c r="AT218" s="21">
        <f t="shared" si="332"/>
        <v>185165.84000000005</v>
      </c>
      <c r="AU218" s="345">
        <f t="shared" si="333"/>
        <v>1085.5936773991368</v>
      </c>
      <c r="AV218" s="345">
        <f t="shared" si="334"/>
        <v>173747.0646370539</v>
      </c>
    </row>
    <row r="219" spans="1:48" x14ac:dyDescent="0.25">
      <c r="A219" s="502">
        <f t="shared" si="289"/>
        <v>50529</v>
      </c>
      <c r="B219" s="285">
        <f t="shared" si="326"/>
        <v>55527.579999999973</v>
      </c>
      <c r="C219" s="14">
        <f t="shared" si="319"/>
        <v>450.28</v>
      </c>
      <c r="D219" s="14">
        <f t="shared" si="335"/>
        <v>276.76</v>
      </c>
      <c r="E219" s="14">
        <f t="shared" si="320"/>
        <v>173.52</v>
      </c>
      <c r="F219" s="14">
        <f t="shared" si="278"/>
        <v>134.16999999999999</v>
      </c>
      <c r="G219" s="14">
        <f t="shared" si="275"/>
        <v>188.55</v>
      </c>
      <c r="H219" s="14">
        <f t="shared" si="276"/>
        <v>773</v>
      </c>
      <c r="I219" s="285">
        <f t="shared" si="290"/>
        <v>42281.019999999975</v>
      </c>
      <c r="J219" s="285">
        <f t="shared" si="291"/>
        <v>50330.219999999965</v>
      </c>
      <c r="K219" s="285">
        <f t="shared" si="292"/>
        <v>55250.819999999971</v>
      </c>
      <c r="L219" s="425">
        <f t="shared" si="263"/>
        <v>13</v>
      </c>
      <c r="M219" s="425">
        <f t="shared" si="327"/>
        <v>160</v>
      </c>
      <c r="N219" s="285">
        <f t="shared" si="328"/>
        <v>199816.91000000003</v>
      </c>
      <c r="O219" s="285">
        <f t="shared" si="293"/>
        <v>1610.57</v>
      </c>
      <c r="P219" s="285">
        <f t="shared" si="336"/>
        <v>569.8599999999999</v>
      </c>
      <c r="Q219" s="285">
        <f t="shared" si="294"/>
        <v>1040.71</v>
      </c>
      <c r="R219" s="285">
        <f t="shared" si="281"/>
        <v>134.16999999999999</v>
      </c>
      <c r="S219" s="285">
        <f t="shared" si="282"/>
        <v>188.55</v>
      </c>
      <c r="T219" s="285">
        <f t="shared" si="279"/>
        <v>1933.29</v>
      </c>
      <c r="U219" s="285">
        <f t="shared" si="337"/>
        <v>62328.949999999983</v>
      </c>
      <c r="V219" s="285">
        <f t="shared" si="338"/>
        <v>196972.81999999992</v>
      </c>
      <c r="W219" s="285">
        <f t="shared" si="295"/>
        <v>199247.05000000005</v>
      </c>
      <c r="X219" s="502">
        <f t="shared" si="329"/>
        <v>50529</v>
      </c>
      <c r="Y219" s="285">
        <f t="shared" si="296"/>
        <v>288359.52000000019</v>
      </c>
      <c r="Z219" s="494">
        <f t="shared" si="321"/>
        <v>6.25E-2</v>
      </c>
      <c r="AA219" s="285">
        <f t="shared" si="322"/>
        <v>1630.04</v>
      </c>
      <c r="AB219" s="285">
        <f t="shared" si="297"/>
        <v>128.17000000000007</v>
      </c>
      <c r="AC219" s="285">
        <f t="shared" si="323"/>
        <v>1501.87</v>
      </c>
      <c r="AD219" s="285">
        <f t="shared" ref="AD219:AE219" si="349">+AD218</f>
        <v>134.16999999999999</v>
      </c>
      <c r="AE219" s="285">
        <f t="shared" si="349"/>
        <v>188.55</v>
      </c>
      <c r="AF219" s="285">
        <f t="shared" si="299"/>
        <v>1952.76</v>
      </c>
      <c r="AG219" s="285">
        <f t="shared" si="300"/>
        <v>42962.049999999967</v>
      </c>
      <c r="AH219" s="285">
        <f t="shared" si="301"/>
        <v>213700.59</v>
      </c>
      <c r="AI219" s="512">
        <f t="shared" si="284"/>
        <v>2639.129999999981</v>
      </c>
      <c r="AJ219" s="512">
        <f t="shared" ref="AJ219:AJ282" si="350">+W219-AL219</f>
        <v>-88984.300000000163</v>
      </c>
      <c r="AK219" s="512">
        <f t="shared" si="285"/>
        <v>-86345.170000000187</v>
      </c>
      <c r="AL219" s="285">
        <f t="shared" si="302"/>
        <v>288231.35000000021</v>
      </c>
      <c r="AM219" s="425">
        <f t="shared" si="331"/>
        <v>13</v>
      </c>
      <c r="AN219" s="14">
        <f t="shared" si="286"/>
        <v>1160.29</v>
      </c>
      <c r="AO219" s="14">
        <f t="shared" si="261"/>
        <v>213917.47</v>
      </c>
      <c r="AP219" s="14">
        <f t="shared" si="287"/>
        <v>1179.76</v>
      </c>
      <c r="AS219" s="14">
        <f t="shared" si="325"/>
        <v>1160.29</v>
      </c>
      <c r="AT219" s="14">
        <f t="shared" si="332"/>
        <v>186326.13000000006</v>
      </c>
      <c r="AU219" s="285">
        <f t="shared" si="333"/>
        <v>1088.3076615926345</v>
      </c>
      <c r="AV219" s="285">
        <f t="shared" si="334"/>
        <v>174835.37229864654</v>
      </c>
    </row>
    <row r="220" spans="1:48" x14ac:dyDescent="0.25">
      <c r="A220" s="502">
        <f t="shared" si="289"/>
        <v>50559</v>
      </c>
      <c r="B220" s="285">
        <f t="shared" si="326"/>
        <v>55250.819999999971</v>
      </c>
      <c r="C220" s="14">
        <f t="shared" si="319"/>
        <v>450.28</v>
      </c>
      <c r="D220" s="14">
        <f t="shared" si="335"/>
        <v>277.62</v>
      </c>
      <c r="E220" s="14">
        <f t="shared" si="320"/>
        <v>172.66</v>
      </c>
      <c r="F220" s="14">
        <f t="shared" si="278"/>
        <v>134.16999999999999</v>
      </c>
      <c r="G220" s="14">
        <f t="shared" si="275"/>
        <v>188.55</v>
      </c>
      <c r="H220" s="14">
        <f t="shared" si="276"/>
        <v>773</v>
      </c>
      <c r="I220" s="285">
        <f t="shared" si="290"/>
        <v>42558.639999999978</v>
      </c>
      <c r="J220" s="285">
        <f t="shared" si="291"/>
        <v>50502.879999999968</v>
      </c>
      <c r="K220" s="285">
        <f t="shared" si="292"/>
        <v>54973.199999999968</v>
      </c>
      <c r="L220" s="425">
        <f t="shared" si="263"/>
        <v>13</v>
      </c>
      <c r="M220" s="425">
        <f t="shared" si="327"/>
        <v>161</v>
      </c>
      <c r="N220" s="285">
        <f t="shared" si="328"/>
        <v>199247.05000000005</v>
      </c>
      <c r="O220" s="285">
        <f t="shared" si="293"/>
        <v>1610.57</v>
      </c>
      <c r="P220" s="285">
        <f t="shared" si="336"/>
        <v>572.81999999999994</v>
      </c>
      <c r="Q220" s="285">
        <f t="shared" si="294"/>
        <v>1037.75</v>
      </c>
      <c r="R220" s="285">
        <f t="shared" si="281"/>
        <v>134.16999999999999</v>
      </c>
      <c r="S220" s="285">
        <f t="shared" si="282"/>
        <v>188.55</v>
      </c>
      <c r="T220" s="285">
        <f t="shared" si="279"/>
        <v>1933.29</v>
      </c>
      <c r="U220" s="285">
        <f t="shared" si="337"/>
        <v>62901.769999999982</v>
      </c>
      <c r="V220" s="285">
        <f t="shared" si="338"/>
        <v>198010.56999999992</v>
      </c>
      <c r="W220" s="285">
        <f t="shared" si="295"/>
        <v>198674.23000000004</v>
      </c>
      <c r="X220" s="502">
        <f t="shared" si="329"/>
        <v>50559</v>
      </c>
      <c r="Y220" s="285">
        <f t="shared" si="296"/>
        <v>288231.35000000021</v>
      </c>
      <c r="Z220" s="494">
        <f t="shared" si="321"/>
        <v>6.25E-2</v>
      </c>
      <c r="AA220" s="285">
        <f t="shared" si="322"/>
        <v>1630.04</v>
      </c>
      <c r="AB220" s="285">
        <f t="shared" si="297"/>
        <v>128.83999999999992</v>
      </c>
      <c r="AC220" s="285">
        <f t="shared" si="323"/>
        <v>1501.2</v>
      </c>
      <c r="AD220" s="285">
        <f t="shared" ref="AD220:AE220" si="351">+AD219</f>
        <v>134.16999999999999</v>
      </c>
      <c r="AE220" s="285">
        <f t="shared" si="351"/>
        <v>188.55</v>
      </c>
      <c r="AF220" s="285">
        <f t="shared" si="299"/>
        <v>1952.76</v>
      </c>
      <c r="AG220" s="285">
        <f t="shared" si="300"/>
        <v>43090.889999999963</v>
      </c>
      <c r="AH220" s="285">
        <f t="shared" si="301"/>
        <v>215201.79</v>
      </c>
      <c r="AI220" s="512">
        <f t="shared" si="284"/>
        <v>2619.6599999999808</v>
      </c>
      <c r="AJ220" s="512">
        <f t="shared" si="350"/>
        <v>-89428.280000000144</v>
      </c>
      <c r="AK220" s="512">
        <f t="shared" si="285"/>
        <v>-86808.62000000017</v>
      </c>
      <c r="AL220" s="285">
        <f t="shared" si="302"/>
        <v>288102.51000000018</v>
      </c>
      <c r="AM220" s="425">
        <f t="shared" si="331"/>
        <v>13</v>
      </c>
      <c r="AN220" s="14">
        <f t="shared" si="286"/>
        <v>1160.29</v>
      </c>
      <c r="AO220" s="14">
        <f t="shared" si="261"/>
        <v>213622.27</v>
      </c>
      <c r="AP220" s="14">
        <f t="shared" si="287"/>
        <v>1179.76</v>
      </c>
      <c r="AS220" s="14">
        <f t="shared" si="325"/>
        <v>1160.29</v>
      </c>
      <c r="AT220" s="14">
        <f t="shared" si="332"/>
        <v>187486.42000000007</v>
      </c>
      <c r="AU220" s="285">
        <f t="shared" si="333"/>
        <v>1091.0284307466163</v>
      </c>
      <c r="AV220" s="285">
        <f t="shared" si="334"/>
        <v>175926.40072939315</v>
      </c>
    </row>
    <row r="221" spans="1:48" x14ac:dyDescent="0.25">
      <c r="A221" s="502">
        <f t="shared" si="289"/>
        <v>50589</v>
      </c>
      <c r="B221" s="285">
        <f t="shared" si="326"/>
        <v>54973.199999999968</v>
      </c>
      <c r="C221" s="14">
        <f t="shared" si="319"/>
        <v>450.28</v>
      </c>
      <c r="D221" s="14">
        <f t="shared" si="335"/>
        <v>278.49</v>
      </c>
      <c r="E221" s="14">
        <f t="shared" si="320"/>
        <v>171.79</v>
      </c>
      <c r="F221" s="14">
        <f t="shared" si="278"/>
        <v>134.16999999999999</v>
      </c>
      <c r="G221" s="14">
        <f t="shared" si="275"/>
        <v>188.55</v>
      </c>
      <c r="H221" s="14">
        <f t="shared" si="276"/>
        <v>773</v>
      </c>
      <c r="I221" s="285">
        <f t="shared" si="290"/>
        <v>42837.129999999976</v>
      </c>
      <c r="J221" s="285">
        <f t="shared" si="291"/>
        <v>50674.669999999969</v>
      </c>
      <c r="K221" s="285">
        <f t="shared" si="292"/>
        <v>54694.70999999997</v>
      </c>
      <c r="L221" s="425">
        <f t="shared" si="263"/>
        <v>13</v>
      </c>
      <c r="M221" s="425">
        <f t="shared" si="327"/>
        <v>162</v>
      </c>
      <c r="N221" s="285">
        <f t="shared" si="328"/>
        <v>198674.23000000004</v>
      </c>
      <c r="O221" s="285">
        <f t="shared" si="293"/>
        <v>1610.57</v>
      </c>
      <c r="P221" s="285">
        <f t="shared" si="336"/>
        <v>575.80999999999995</v>
      </c>
      <c r="Q221" s="285">
        <f t="shared" si="294"/>
        <v>1034.76</v>
      </c>
      <c r="R221" s="285">
        <f t="shared" si="281"/>
        <v>134.16999999999999</v>
      </c>
      <c r="S221" s="285">
        <f t="shared" si="282"/>
        <v>188.55</v>
      </c>
      <c r="T221" s="285">
        <f t="shared" si="279"/>
        <v>1933.29</v>
      </c>
      <c r="U221" s="285">
        <f t="shared" si="337"/>
        <v>63477.57999999998</v>
      </c>
      <c r="V221" s="285">
        <f t="shared" si="338"/>
        <v>199045.32999999993</v>
      </c>
      <c r="W221" s="285">
        <f t="shared" si="295"/>
        <v>198098.42000000004</v>
      </c>
      <c r="X221" s="502">
        <f t="shared" si="329"/>
        <v>50589</v>
      </c>
      <c r="Y221" s="285">
        <f t="shared" si="296"/>
        <v>288102.51000000018</v>
      </c>
      <c r="Z221" s="494">
        <f t="shared" si="321"/>
        <v>6.25E-2</v>
      </c>
      <c r="AA221" s="285">
        <f t="shared" si="322"/>
        <v>1630.04</v>
      </c>
      <c r="AB221" s="285">
        <f t="shared" si="297"/>
        <v>129.51</v>
      </c>
      <c r="AC221" s="285">
        <f t="shared" si="323"/>
        <v>1500.53</v>
      </c>
      <c r="AD221" s="285">
        <f t="shared" ref="AD221:AE221" si="352">+AD220</f>
        <v>134.16999999999999</v>
      </c>
      <c r="AE221" s="285">
        <f t="shared" si="352"/>
        <v>188.55</v>
      </c>
      <c r="AF221" s="285">
        <f t="shared" si="299"/>
        <v>1952.76</v>
      </c>
      <c r="AG221" s="285">
        <f t="shared" si="300"/>
        <v>43220.399999999965</v>
      </c>
      <c r="AH221" s="285">
        <f t="shared" si="301"/>
        <v>216702.32</v>
      </c>
      <c r="AI221" s="512">
        <f t="shared" si="284"/>
        <v>2600.1899999999805</v>
      </c>
      <c r="AJ221" s="512">
        <f t="shared" si="350"/>
        <v>-89874.580000000133</v>
      </c>
      <c r="AK221" s="512">
        <f t="shared" si="285"/>
        <v>-87274.390000000159</v>
      </c>
      <c r="AL221" s="285">
        <f t="shared" si="302"/>
        <v>287973.00000000017</v>
      </c>
      <c r="AM221" s="425">
        <f t="shared" si="331"/>
        <v>13</v>
      </c>
      <c r="AN221" s="14">
        <f t="shared" si="286"/>
        <v>1160.29</v>
      </c>
      <c r="AO221" s="14">
        <f t="shared" si="261"/>
        <v>213324.95000000004</v>
      </c>
      <c r="AP221" s="14">
        <f t="shared" si="287"/>
        <v>1179.76</v>
      </c>
      <c r="AS221" s="14">
        <f t="shared" si="325"/>
        <v>1160.29</v>
      </c>
      <c r="AT221" s="14">
        <f t="shared" si="332"/>
        <v>188646.71000000008</v>
      </c>
      <c r="AU221" s="285">
        <f t="shared" si="333"/>
        <v>1093.7560018234828</v>
      </c>
      <c r="AV221" s="285">
        <f t="shared" si="334"/>
        <v>177020.15673121664</v>
      </c>
    </row>
    <row r="222" spans="1:48" x14ac:dyDescent="0.25">
      <c r="A222" s="502">
        <f t="shared" si="289"/>
        <v>50619</v>
      </c>
      <c r="B222" s="285">
        <f t="shared" si="326"/>
        <v>54694.70999999997</v>
      </c>
      <c r="C222" s="14">
        <f t="shared" si="319"/>
        <v>450.28</v>
      </c>
      <c r="D222" s="14">
        <f t="shared" si="335"/>
        <v>279.36</v>
      </c>
      <c r="E222" s="14">
        <f t="shared" si="320"/>
        <v>170.92</v>
      </c>
      <c r="F222" s="14">
        <f t="shared" si="278"/>
        <v>134.16999999999999</v>
      </c>
      <c r="G222" s="14">
        <f t="shared" si="275"/>
        <v>188.55</v>
      </c>
      <c r="H222" s="14">
        <f t="shared" si="276"/>
        <v>773</v>
      </c>
      <c r="I222" s="285">
        <f t="shared" si="290"/>
        <v>43116.489999999976</v>
      </c>
      <c r="J222" s="285">
        <f t="shared" si="291"/>
        <v>50845.589999999967</v>
      </c>
      <c r="K222" s="285">
        <f t="shared" si="292"/>
        <v>54415.349999999969</v>
      </c>
      <c r="L222" s="425">
        <f t="shared" si="263"/>
        <v>13</v>
      </c>
      <c r="M222" s="425">
        <f t="shared" si="327"/>
        <v>163</v>
      </c>
      <c r="N222" s="285">
        <f t="shared" si="328"/>
        <v>198098.42000000004</v>
      </c>
      <c r="O222" s="285">
        <f t="shared" si="293"/>
        <v>1610.57</v>
      </c>
      <c r="P222" s="285">
        <f t="shared" si="336"/>
        <v>578.80999999999995</v>
      </c>
      <c r="Q222" s="285">
        <f t="shared" si="294"/>
        <v>1031.76</v>
      </c>
      <c r="R222" s="285">
        <f t="shared" si="281"/>
        <v>134.16999999999999</v>
      </c>
      <c r="S222" s="285">
        <f t="shared" si="282"/>
        <v>188.55</v>
      </c>
      <c r="T222" s="285">
        <f t="shared" si="279"/>
        <v>1933.29</v>
      </c>
      <c r="U222" s="285">
        <f t="shared" si="337"/>
        <v>64056.389999999978</v>
      </c>
      <c r="V222" s="285">
        <f t="shared" si="338"/>
        <v>200077.08999999994</v>
      </c>
      <c r="W222" s="285">
        <f t="shared" si="295"/>
        <v>197519.61000000004</v>
      </c>
      <c r="X222" s="502">
        <f t="shared" si="329"/>
        <v>50619</v>
      </c>
      <c r="Y222" s="285">
        <f t="shared" si="296"/>
        <v>287973.00000000017</v>
      </c>
      <c r="Z222" s="494">
        <f t="shared" si="321"/>
        <v>6.25E-2</v>
      </c>
      <c r="AA222" s="285">
        <f t="shared" si="322"/>
        <v>1630.04</v>
      </c>
      <c r="AB222" s="285">
        <f t="shared" si="297"/>
        <v>130.18000000000006</v>
      </c>
      <c r="AC222" s="285">
        <f t="shared" si="323"/>
        <v>1499.86</v>
      </c>
      <c r="AD222" s="285">
        <f t="shared" ref="AD222:AE222" si="353">+AD221</f>
        <v>134.16999999999999</v>
      </c>
      <c r="AE222" s="285">
        <f t="shared" si="353"/>
        <v>188.55</v>
      </c>
      <c r="AF222" s="285">
        <f t="shared" si="299"/>
        <v>1952.76</v>
      </c>
      <c r="AG222" s="285">
        <f t="shared" si="300"/>
        <v>43350.579999999965</v>
      </c>
      <c r="AH222" s="285">
        <f t="shared" si="301"/>
        <v>218202.18</v>
      </c>
      <c r="AI222" s="512">
        <f t="shared" si="284"/>
        <v>2580.7199999999802</v>
      </c>
      <c r="AJ222" s="512">
        <f t="shared" si="350"/>
        <v>-90323.210000000137</v>
      </c>
      <c r="AK222" s="512">
        <f t="shared" si="285"/>
        <v>-87742.490000000151</v>
      </c>
      <c r="AL222" s="285">
        <f t="shared" si="302"/>
        <v>287842.82000000018</v>
      </c>
      <c r="AM222" s="425">
        <f t="shared" si="331"/>
        <v>13</v>
      </c>
      <c r="AN222" s="14">
        <f t="shared" si="286"/>
        <v>1160.29</v>
      </c>
      <c r="AO222" s="14">
        <f t="shared" si="261"/>
        <v>213025.50000000003</v>
      </c>
      <c r="AP222" s="14">
        <f t="shared" si="287"/>
        <v>1179.76</v>
      </c>
      <c r="AS222" s="14">
        <f t="shared" si="325"/>
        <v>1160.29</v>
      </c>
      <c r="AT222" s="14">
        <f t="shared" si="332"/>
        <v>189807.00000000009</v>
      </c>
      <c r="AU222" s="285">
        <f t="shared" si="333"/>
        <v>1096.4903918280415</v>
      </c>
      <c r="AV222" s="285">
        <f t="shared" si="334"/>
        <v>178116.64712304468</v>
      </c>
    </row>
    <row r="223" spans="1:48" x14ac:dyDescent="0.25">
      <c r="A223" s="502">
        <f t="shared" si="289"/>
        <v>50649</v>
      </c>
      <c r="B223" s="285">
        <f t="shared" si="326"/>
        <v>54415.349999999969</v>
      </c>
      <c r="C223" s="14">
        <f t="shared" si="319"/>
        <v>450.28</v>
      </c>
      <c r="D223" s="14">
        <f t="shared" si="335"/>
        <v>280.22999999999996</v>
      </c>
      <c r="E223" s="14">
        <f t="shared" si="320"/>
        <v>170.05</v>
      </c>
      <c r="F223" s="14">
        <f t="shared" si="278"/>
        <v>134.16999999999999</v>
      </c>
      <c r="G223" s="14">
        <f t="shared" si="275"/>
        <v>188.55</v>
      </c>
      <c r="H223" s="14">
        <f t="shared" si="276"/>
        <v>773</v>
      </c>
      <c r="I223" s="285">
        <f t="shared" si="290"/>
        <v>43396.719999999979</v>
      </c>
      <c r="J223" s="285">
        <f t="shared" si="291"/>
        <v>51015.63999999997</v>
      </c>
      <c r="K223" s="285">
        <f t="shared" si="292"/>
        <v>54135.119999999966</v>
      </c>
      <c r="L223" s="425">
        <f t="shared" si="263"/>
        <v>13</v>
      </c>
      <c r="M223" s="425">
        <f t="shared" si="327"/>
        <v>164</v>
      </c>
      <c r="N223" s="285">
        <f t="shared" si="328"/>
        <v>197519.61000000004</v>
      </c>
      <c r="O223" s="285">
        <f t="shared" si="293"/>
        <v>1610.57</v>
      </c>
      <c r="P223" s="285">
        <f t="shared" si="336"/>
        <v>581.81999999999994</v>
      </c>
      <c r="Q223" s="285">
        <f t="shared" si="294"/>
        <v>1028.75</v>
      </c>
      <c r="R223" s="285">
        <f t="shared" si="281"/>
        <v>134.16999999999999</v>
      </c>
      <c r="S223" s="285">
        <f t="shared" si="282"/>
        <v>188.55</v>
      </c>
      <c r="T223" s="285">
        <f t="shared" si="279"/>
        <v>1933.29</v>
      </c>
      <c r="U223" s="285">
        <f t="shared" si="337"/>
        <v>64638.209999999977</v>
      </c>
      <c r="V223" s="285">
        <f t="shared" si="338"/>
        <v>201105.83999999994</v>
      </c>
      <c r="W223" s="285">
        <f t="shared" si="295"/>
        <v>196937.79000000004</v>
      </c>
      <c r="X223" s="502">
        <f t="shared" si="329"/>
        <v>50649</v>
      </c>
      <c r="Y223" s="285">
        <f t="shared" si="296"/>
        <v>287842.82000000018</v>
      </c>
      <c r="Z223" s="494">
        <f t="shared" si="321"/>
        <v>6.25E-2</v>
      </c>
      <c r="AA223" s="285">
        <f t="shared" si="322"/>
        <v>1630.04</v>
      </c>
      <c r="AB223" s="285">
        <f t="shared" si="297"/>
        <v>130.8599999999999</v>
      </c>
      <c r="AC223" s="285">
        <f t="shared" si="323"/>
        <v>1499.18</v>
      </c>
      <c r="AD223" s="285">
        <f t="shared" ref="AD223:AE223" si="354">+AD222</f>
        <v>134.16999999999999</v>
      </c>
      <c r="AE223" s="285">
        <f t="shared" si="354"/>
        <v>188.55</v>
      </c>
      <c r="AF223" s="285">
        <f t="shared" si="299"/>
        <v>1952.76</v>
      </c>
      <c r="AG223" s="285">
        <f t="shared" si="300"/>
        <v>43481.439999999966</v>
      </c>
      <c r="AH223" s="285">
        <f t="shared" si="301"/>
        <v>219701.36</v>
      </c>
      <c r="AI223" s="512">
        <f t="shared" si="284"/>
        <v>2561.24999999998</v>
      </c>
      <c r="AJ223" s="512">
        <f t="shared" si="350"/>
        <v>-90774.170000000158</v>
      </c>
      <c r="AK223" s="512">
        <f t="shared" si="285"/>
        <v>-88212.920000000173</v>
      </c>
      <c r="AL223" s="285">
        <f t="shared" si="302"/>
        <v>287711.9600000002</v>
      </c>
      <c r="AM223" s="425">
        <f t="shared" si="331"/>
        <v>13</v>
      </c>
      <c r="AN223" s="14">
        <f t="shared" si="286"/>
        <v>1160.29</v>
      </c>
      <c r="AO223" s="14">
        <f t="shared" si="261"/>
        <v>212723.91000000003</v>
      </c>
      <c r="AP223" s="14">
        <f t="shared" si="287"/>
        <v>1179.76</v>
      </c>
      <c r="AS223" s="14">
        <f t="shared" si="325"/>
        <v>1160.29</v>
      </c>
      <c r="AT223" s="14">
        <f t="shared" si="332"/>
        <v>190967.2900000001</v>
      </c>
      <c r="AU223" s="285">
        <f t="shared" si="333"/>
        <v>1099.2316178076117</v>
      </c>
      <c r="AV223" s="285">
        <f t="shared" si="334"/>
        <v>179215.87874085229</v>
      </c>
    </row>
    <row r="224" spans="1:48" x14ac:dyDescent="0.25">
      <c r="A224" s="502">
        <f t="shared" si="289"/>
        <v>50679</v>
      </c>
      <c r="B224" s="285">
        <f t="shared" si="326"/>
        <v>54135.119999999966</v>
      </c>
      <c r="C224" s="14">
        <f t="shared" si="319"/>
        <v>450.28</v>
      </c>
      <c r="D224" s="14">
        <f t="shared" si="335"/>
        <v>281.11</v>
      </c>
      <c r="E224" s="14">
        <f t="shared" si="320"/>
        <v>169.17</v>
      </c>
      <c r="F224" s="14">
        <f t="shared" si="278"/>
        <v>134.16999999999999</v>
      </c>
      <c r="G224" s="14">
        <f t="shared" si="275"/>
        <v>188.55</v>
      </c>
      <c r="H224" s="14">
        <f t="shared" si="276"/>
        <v>773</v>
      </c>
      <c r="I224" s="285">
        <f t="shared" si="290"/>
        <v>43677.82999999998</v>
      </c>
      <c r="J224" s="285">
        <f t="shared" si="291"/>
        <v>51184.809999999969</v>
      </c>
      <c r="K224" s="285">
        <f t="shared" si="292"/>
        <v>53854.009999999966</v>
      </c>
      <c r="L224" s="425">
        <f t="shared" si="263"/>
        <v>13</v>
      </c>
      <c r="M224" s="425">
        <f t="shared" si="327"/>
        <v>165</v>
      </c>
      <c r="N224" s="285">
        <f t="shared" si="328"/>
        <v>196937.79000000004</v>
      </c>
      <c r="O224" s="285">
        <f t="shared" si="293"/>
        <v>1610.57</v>
      </c>
      <c r="P224" s="285">
        <f t="shared" si="336"/>
        <v>584.84999999999991</v>
      </c>
      <c r="Q224" s="285">
        <f t="shared" si="294"/>
        <v>1025.72</v>
      </c>
      <c r="R224" s="285">
        <f t="shared" si="281"/>
        <v>134.16999999999999</v>
      </c>
      <c r="S224" s="285">
        <f t="shared" si="282"/>
        <v>188.55</v>
      </c>
      <c r="T224" s="285">
        <f t="shared" si="279"/>
        <v>1933.29</v>
      </c>
      <c r="U224" s="285">
        <f t="shared" si="337"/>
        <v>65223.059999999976</v>
      </c>
      <c r="V224" s="285">
        <f t="shared" si="338"/>
        <v>202131.55999999994</v>
      </c>
      <c r="W224" s="285">
        <f t="shared" si="295"/>
        <v>196352.94000000003</v>
      </c>
      <c r="X224" s="502">
        <f t="shared" si="329"/>
        <v>50679</v>
      </c>
      <c r="Y224" s="285">
        <f t="shared" si="296"/>
        <v>287711.9600000002</v>
      </c>
      <c r="Z224" s="494">
        <f t="shared" si="321"/>
        <v>6.25E-2</v>
      </c>
      <c r="AA224" s="285">
        <f t="shared" si="322"/>
        <v>1630.04</v>
      </c>
      <c r="AB224" s="285">
        <f t="shared" si="297"/>
        <v>131.53999999999996</v>
      </c>
      <c r="AC224" s="285">
        <f t="shared" si="323"/>
        <v>1498.5</v>
      </c>
      <c r="AD224" s="285">
        <f t="shared" ref="AD224:AE224" si="355">+AD223</f>
        <v>134.16999999999999</v>
      </c>
      <c r="AE224" s="285">
        <f t="shared" si="355"/>
        <v>188.55</v>
      </c>
      <c r="AF224" s="285">
        <f t="shared" si="299"/>
        <v>1952.76</v>
      </c>
      <c r="AG224" s="285">
        <f t="shared" si="300"/>
        <v>43612.979999999967</v>
      </c>
      <c r="AH224" s="285">
        <f t="shared" si="301"/>
        <v>221199.86</v>
      </c>
      <c r="AI224" s="512">
        <f t="shared" si="284"/>
        <v>2541.7799999999797</v>
      </c>
      <c r="AJ224" s="512">
        <f t="shared" si="350"/>
        <v>-91227.480000000185</v>
      </c>
      <c r="AK224" s="512">
        <f t="shared" si="285"/>
        <v>-88685.700000000201</v>
      </c>
      <c r="AL224" s="285">
        <f t="shared" si="302"/>
        <v>287580.42000000022</v>
      </c>
      <c r="AM224" s="425">
        <f t="shared" si="331"/>
        <v>13</v>
      </c>
      <c r="AN224" s="14">
        <f t="shared" si="286"/>
        <v>1160.29</v>
      </c>
      <c r="AO224" s="14">
        <f t="shared" si="261"/>
        <v>212420.17</v>
      </c>
      <c r="AP224" s="14">
        <f t="shared" si="287"/>
        <v>1179.76</v>
      </c>
      <c r="AS224" s="14">
        <f t="shared" si="325"/>
        <v>1160.29</v>
      </c>
      <c r="AT224" s="14">
        <f t="shared" si="332"/>
        <v>192127.5800000001</v>
      </c>
      <c r="AU224" s="285">
        <f t="shared" si="333"/>
        <v>1101.9796968521307</v>
      </c>
      <c r="AV224" s="285">
        <f t="shared" si="334"/>
        <v>180317.85843770442</v>
      </c>
    </row>
    <row r="225" spans="1:48" x14ac:dyDescent="0.25">
      <c r="A225" s="502">
        <f t="shared" si="289"/>
        <v>50709</v>
      </c>
      <c r="B225" s="285">
        <f t="shared" si="326"/>
        <v>53854.009999999966</v>
      </c>
      <c r="C225" s="14">
        <f t="shared" si="319"/>
        <v>450.28</v>
      </c>
      <c r="D225" s="14">
        <f t="shared" si="335"/>
        <v>281.99</v>
      </c>
      <c r="E225" s="14">
        <f t="shared" si="320"/>
        <v>168.29</v>
      </c>
      <c r="F225" s="14">
        <f t="shared" si="278"/>
        <v>134.16999999999999</v>
      </c>
      <c r="G225" s="14">
        <f t="shared" si="275"/>
        <v>188.55</v>
      </c>
      <c r="H225" s="14">
        <f t="shared" si="276"/>
        <v>773</v>
      </c>
      <c r="I225" s="285">
        <f t="shared" si="290"/>
        <v>43959.819999999978</v>
      </c>
      <c r="J225" s="285">
        <f t="shared" si="291"/>
        <v>51353.099999999969</v>
      </c>
      <c r="K225" s="285">
        <f t="shared" si="292"/>
        <v>53572.019999999968</v>
      </c>
      <c r="L225" s="425">
        <f t="shared" si="263"/>
        <v>13</v>
      </c>
      <c r="M225" s="425">
        <f t="shared" si="327"/>
        <v>166</v>
      </c>
      <c r="N225" s="285">
        <f t="shared" si="328"/>
        <v>196352.94000000003</v>
      </c>
      <c r="O225" s="285">
        <f t="shared" si="293"/>
        <v>1610.57</v>
      </c>
      <c r="P225" s="285">
        <f t="shared" si="336"/>
        <v>587.9</v>
      </c>
      <c r="Q225" s="285">
        <f t="shared" si="294"/>
        <v>1022.67</v>
      </c>
      <c r="R225" s="285">
        <f t="shared" si="281"/>
        <v>134.16999999999999</v>
      </c>
      <c r="S225" s="285">
        <f t="shared" si="282"/>
        <v>188.55</v>
      </c>
      <c r="T225" s="285">
        <f t="shared" si="279"/>
        <v>1933.29</v>
      </c>
      <c r="U225" s="285">
        <f t="shared" si="337"/>
        <v>65810.959999999977</v>
      </c>
      <c r="V225" s="285">
        <f t="shared" si="338"/>
        <v>203154.22999999995</v>
      </c>
      <c r="W225" s="285">
        <f t="shared" si="295"/>
        <v>195765.04000000004</v>
      </c>
      <c r="X225" s="502">
        <f t="shared" si="329"/>
        <v>50709</v>
      </c>
      <c r="Y225" s="285">
        <f t="shared" si="296"/>
        <v>287580.42000000022</v>
      </c>
      <c r="Z225" s="494">
        <f t="shared" si="321"/>
        <v>6.25E-2</v>
      </c>
      <c r="AA225" s="285">
        <f t="shared" si="322"/>
        <v>1630.04</v>
      </c>
      <c r="AB225" s="285">
        <f t="shared" si="297"/>
        <v>132.23000000000002</v>
      </c>
      <c r="AC225" s="285">
        <f t="shared" si="323"/>
        <v>1497.81</v>
      </c>
      <c r="AD225" s="285">
        <f t="shared" ref="AD225:AE225" si="356">+AD224</f>
        <v>134.16999999999999</v>
      </c>
      <c r="AE225" s="285">
        <f t="shared" si="356"/>
        <v>188.55</v>
      </c>
      <c r="AF225" s="285">
        <f t="shared" si="299"/>
        <v>1952.76</v>
      </c>
      <c r="AG225" s="285">
        <f t="shared" si="300"/>
        <v>43745.20999999997</v>
      </c>
      <c r="AH225" s="285">
        <f t="shared" si="301"/>
        <v>222697.66999999998</v>
      </c>
      <c r="AI225" s="512">
        <f t="shared" si="284"/>
        <v>2522.3099999999795</v>
      </c>
      <c r="AJ225" s="512">
        <f t="shared" si="350"/>
        <v>-91683.150000000198</v>
      </c>
      <c r="AK225" s="512">
        <f t="shared" si="285"/>
        <v>-89160.840000000215</v>
      </c>
      <c r="AL225" s="285">
        <f t="shared" si="302"/>
        <v>287448.19000000024</v>
      </c>
      <c r="AM225" s="425">
        <f t="shared" si="331"/>
        <v>13</v>
      </c>
      <c r="AN225" s="14">
        <f t="shared" si="286"/>
        <v>1160.29</v>
      </c>
      <c r="AO225" s="14">
        <f t="shared" si="261"/>
        <v>212114.26</v>
      </c>
      <c r="AP225" s="14">
        <f t="shared" si="287"/>
        <v>1179.76</v>
      </c>
      <c r="AS225" s="14">
        <f t="shared" si="325"/>
        <v>1160.29</v>
      </c>
      <c r="AT225" s="14">
        <f t="shared" si="332"/>
        <v>193287.87000000011</v>
      </c>
      <c r="AU225" s="285">
        <f t="shared" si="333"/>
        <v>1104.7346460942611</v>
      </c>
      <c r="AV225" s="285">
        <f t="shared" si="334"/>
        <v>181422.59308379868</v>
      </c>
    </row>
    <row r="226" spans="1:48" x14ac:dyDescent="0.25">
      <c r="A226" s="502">
        <f t="shared" si="289"/>
        <v>50739</v>
      </c>
      <c r="B226" s="285">
        <f t="shared" si="326"/>
        <v>53572.019999999968</v>
      </c>
      <c r="C226" s="14">
        <f t="shared" si="319"/>
        <v>450.28</v>
      </c>
      <c r="D226" s="14">
        <f t="shared" si="335"/>
        <v>282.87</v>
      </c>
      <c r="E226" s="14">
        <f t="shared" si="320"/>
        <v>167.41</v>
      </c>
      <c r="F226" s="14">
        <f t="shared" si="278"/>
        <v>134.16999999999999</v>
      </c>
      <c r="G226" s="14">
        <f t="shared" si="275"/>
        <v>188.55</v>
      </c>
      <c r="H226" s="14">
        <f t="shared" si="276"/>
        <v>773</v>
      </c>
      <c r="I226" s="285">
        <f t="shared" si="290"/>
        <v>44242.689999999981</v>
      </c>
      <c r="J226" s="285">
        <f t="shared" si="291"/>
        <v>51520.509999999973</v>
      </c>
      <c r="K226" s="285">
        <f t="shared" si="292"/>
        <v>53289.149999999965</v>
      </c>
      <c r="L226" s="425">
        <f t="shared" si="263"/>
        <v>13</v>
      </c>
      <c r="M226" s="425">
        <f t="shared" si="327"/>
        <v>167</v>
      </c>
      <c r="N226" s="285">
        <f t="shared" si="328"/>
        <v>195765.04000000004</v>
      </c>
      <c r="O226" s="285">
        <f t="shared" si="293"/>
        <v>1610.57</v>
      </c>
      <c r="P226" s="285">
        <f t="shared" si="336"/>
        <v>590.95999999999992</v>
      </c>
      <c r="Q226" s="285">
        <f t="shared" si="294"/>
        <v>1019.61</v>
      </c>
      <c r="R226" s="285">
        <f t="shared" si="281"/>
        <v>134.16999999999999</v>
      </c>
      <c r="S226" s="285">
        <f t="shared" si="282"/>
        <v>188.55</v>
      </c>
      <c r="T226" s="285">
        <f t="shared" si="279"/>
        <v>1933.29</v>
      </c>
      <c r="U226" s="285">
        <f t="shared" si="337"/>
        <v>66401.919999999984</v>
      </c>
      <c r="V226" s="285">
        <f t="shared" si="338"/>
        <v>204173.83999999994</v>
      </c>
      <c r="W226" s="285">
        <f t="shared" si="295"/>
        <v>195174.08000000005</v>
      </c>
      <c r="X226" s="502">
        <f t="shared" si="329"/>
        <v>50739</v>
      </c>
      <c r="Y226" s="285">
        <f t="shared" si="296"/>
        <v>287448.19000000024</v>
      </c>
      <c r="Z226" s="494">
        <f t="shared" si="321"/>
        <v>6.25E-2</v>
      </c>
      <c r="AA226" s="285">
        <f t="shared" si="322"/>
        <v>1630.04</v>
      </c>
      <c r="AB226" s="285">
        <f t="shared" si="297"/>
        <v>132.90999999999985</v>
      </c>
      <c r="AC226" s="285">
        <f t="shared" si="323"/>
        <v>1497.13</v>
      </c>
      <c r="AD226" s="285">
        <f t="shared" ref="AD226:AE226" si="357">+AD225</f>
        <v>134.16999999999999</v>
      </c>
      <c r="AE226" s="285">
        <f t="shared" si="357"/>
        <v>188.55</v>
      </c>
      <c r="AF226" s="285">
        <f t="shared" si="299"/>
        <v>1952.76</v>
      </c>
      <c r="AG226" s="285">
        <f t="shared" si="300"/>
        <v>43878.119999999966</v>
      </c>
      <c r="AH226" s="285">
        <f t="shared" si="301"/>
        <v>224194.8</v>
      </c>
      <c r="AI226" s="512">
        <f t="shared" si="284"/>
        <v>2502.8399999999792</v>
      </c>
      <c r="AJ226" s="512">
        <f t="shared" si="350"/>
        <v>-92141.200000000215</v>
      </c>
      <c r="AK226" s="512">
        <f t="shared" si="285"/>
        <v>-89638.360000000233</v>
      </c>
      <c r="AL226" s="285">
        <f t="shared" si="302"/>
        <v>287315.28000000026</v>
      </c>
      <c r="AM226" s="425">
        <f t="shared" si="331"/>
        <v>13</v>
      </c>
      <c r="AN226" s="14">
        <f t="shared" si="286"/>
        <v>1160.29</v>
      </c>
      <c r="AO226" s="14">
        <f t="shared" si="261"/>
        <v>211806.17000000004</v>
      </c>
      <c r="AP226" s="14">
        <f t="shared" si="287"/>
        <v>1179.76</v>
      </c>
      <c r="AS226" s="14">
        <f t="shared" si="325"/>
        <v>1160.29</v>
      </c>
      <c r="AT226" s="14">
        <f t="shared" si="332"/>
        <v>194448.16000000012</v>
      </c>
      <c r="AU226" s="285">
        <f t="shared" si="333"/>
        <v>1107.4964827094966</v>
      </c>
      <c r="AV226" s="285">
        <f t="shared" si="334"/>
        <v>182530.08956650819</v>
      </c>
    </row>
    <row r="227" spans="1:48" x14ac:dyDescent="0.25">
      <c r="A227" s="502">
        <f t="shared" si="289"/>
        <v>50769</v>
      </c>
      <c r="B227" s="285">
        <f t="shared" si="326"/>
        <v>53289.149999999965</v>
      </c>
      <c r="C227" s="14">
        <f t="shared" si="319"/>
        <v>450.28</v>
      </c>
      <c r="D227" s="14">
        <f t="shared" si="335"/>
        <v>283.75</v>
      </c>
      <c r="E227" s="14">
        <f t="shared" si="320"/>
        <v>166.53</v>
      </c>
      <c r="F227" s="14">
        <f t="shared" si="278"/>
        <v>134.16999999999999</v>
      </c>
      <c r="G227" s="14">
        <f t="shared" si="275"/>
        <v>188.55</v>
      </c>
      <c r="H227" s="14">
        <f t="shared" si="276"/>
        <v>773</v>
      </c>
      <c r="I227" s="285">
        <f t="shared" si="290"/>
        <v>44526.439999999981</v>
      </c>
      <c r="J227" s="285">
        <f t="shared" si="291"/>
        <v>51687.039999999972</v>
      </c>
      <c r="K227" s="285">
        <f t="shared" si="292"/>
        <v>53005.399999999965</v>
      </c>
      <c r="L227" s="425">
        <f t="shared" si="263"/>
        <v>14</v>
      </c>
      <c r="M227" s="425">
        <f t="shared" si="327"/>
        <v>168</v>
      </c>
      <c r="N227" s="285">
        <f t="shared" si="328"/>
        <v>195174.08000000005</v>
      </c>
      <c r="O227" s="285">
        <f t="shared" si="293"/>
        <v>1610.57</v>
      </c>
      <c r="P227" s="285">
        <f t="shared" si="336"/>
        <v>594.04</v>
      </c>
      <c r="Q227" s="285">
        <f t="shared" si="294"/>
        <v>1016.53</v>
      </c>
      <c r="R227" s="285">
        <f t="shared" si="281"/>
        <v>134.16999999999999</v>
      </c>
      <c r="S227" s="285">
        <f t="shared" si="282"/>
        <v>188.55</v>
      </c>
      <c r="T227" s="285">
        <f t="shared" si="279"/>
        <v>1933.29</v>
      </c>
      <c r="U227" s="285">
        <f t="shared" si="337"/>
        <v>66995.959999999977</v>
      </c>
      <c r="V227" s="285">
        <f t="shared" si="338"/>
        <v>205190.36999999994</v>
      </c>
      <c r="W227" s="285">
        <f t="shared" si="295"/>
        <v>194580.04000000004</v>
      </c>
      <c r="X227" s="502">
        <f t="shared" si="329"/>
        <v>50769</v>
      </c>
      <c r="Y227" s="285">
        <f t="shared" si="296"/>
        <v>287315.28000000026</v>
      </c>
      <c r="Z227" s="494">
        <f t="shared" si="321"/>
        <v>6.25E-2</v>
      </c>
      <c r="AA227" s="285">
        <f t="shared" si="322"/>
        <v>1630.04</v>
      </c>
      <c r="AB227" s="285">
        <f t="shared" si="297"/>
        <v>133.6099999999999</v>
      </c>
      <c r="AC227" s="285">
        <f t="shared" si="323"/>
        <v>1496.43</v>
      </c>
      <c r="AD227" s="285">
        <f t="shared" ref="AD227:AE227" si="358">+AD226</f>
        <v>134.16999999999999</v>
      </c>
      <c r="AE227" s="285">
        <f t="shared" si="358"/>
        <v>188.55</v>
      </c>
      <c r="AF227" s="285">
        <f t="shared" si="299"/>
        <v>1952.76</v>
      </c>
      <c r="AG227" s="285">
        <f t="shared" si="300"/>
        <v>44011.729999999967</v>
      </c>
      <c r="AH227" s="285">
        <f t="shared" si="301"/>
        <v>225691.22999999998</v>
      </c>
      <c r="AI227" s="512">
        <f t="shared" si="284"/>
        <v>2483.369999999979</v>
      </c>
      <c r="AJ227" s="512">
        <f t="shared" si="350"/>
        <v>-92601.630000000237</v>
      </c>
      <c r="AK227" s="512">
        <f t="shared" si="285"/>
        <v>-90118.260000000257</v>
      </c>
      <c r="AL227" s="285">
        <f t="shared" si="302"/>
        <v>287181.67000000027</v>
      </c>
      <c r="AM227" s="425">
        <f t="shared" si="331"/>
        <v>14</v>
      </c>
      <c r="AN227" s="14">
        <f t="shared" si="286"/>
        <v>1160.29</v>
      </c>
      <c r="AO227" s="14">
        <f t="shared" si="261"/>
        <v>211495.88000000006</v>
      </c>
      <c r="AP227" s="14">
        <f t="shared" si="287"/>
        <v>1179.76</v>
      </c>
      <c r="AS227" s="14">
        <f t="shared" si="325"/>
        <v>1160.29</v>
      </c>
      <c r="AT227" s="14">
        <f t="shared" si="332"/>
        <v>195608.45000000013</v>
      </c>
      <c r="AU227" s="285">
        <f t="shared" si="333"/>
        <v>1110.2652239162705</v>
      </c>
      <c r="AV227" s="285">
        <f t="shared" si="334"/>
        <v>183640.35479042446</v>
      </c>
    </row>
    <row r="228" spans="1:48" x14ac:dyDescent="0.25">
      <c r="A228" s="502">
        <f t="shared" si="289"/>
        <v>50799</v>
      </c>
      <c r="B228" s="285">
        <f t="shared" si="326"/>
        <v>53005.399999999965</v>
      </c>
      <c r="C228" s="14">
        <f t="shared" si="319"/>
        <v>450.28</v>
      </c>
      <c r="D228" s="14">
        <f t="shared" si="335"/>
        <v>284.64</v>
      </c>
      <c r="E228" s="14">
        <f t="shared" si="320"/>
        <v>165.64</v>
      </c>
      <c r="F228" s="14">
        <f t="shared" si="278"/>
        <v>134.16999999999999</v>
      </c>
      <c r="G228" s="14">
        <f t="shared" si="275"/>
        <v>188.55</v>
      </c>
      <c r="H228" s="14">
        <f t="shared" si="276"/>
        <v>773</v>
      </c>
      <c r="I228" s="285">
        <f t="shared" si="290"/>
        <v>44811.07999999998</v>
      </c>
      <c r="J228" s="285">
        <f t="shared" si="291"/>
        <v>51852.679999999971</v>
      </c>
      <c r="K228" s="285">
        <f t="shared" si="292"/>
        <v>52720.759999999966</v>
      </c>
      <c r="L228" s="425">
        <f t="shared" si="263"/>
        <v>14</v>
      </c>
      <c r="M228" s="425">
        <f t="shared" si="327"/>
        <v>169</v>
      </c>
      <c r="N228" s="285">
        <f t="shared" si="328"/>
        <v>194580.04000000004</v>
      </c>
      <c r="O228" s="285">
        <f t="shared" si="293"/>
        <v>1610.57</v>
      </c>
      <c r="P228" s="285">
        <f t="shared" si="336"/>
        <v>597.12999999999988</v>
      </c>
      <c r="Q228" s="285">
        <f t="shared" si="294"/>
        <v>1013.44</v>
      </c>
      <c r="R228" s="285">
        <f t="shared" si="281"/>
        <v>134.16999999999999</v>
      </c>
      <c r="S228" s="285">
        <f t="shared" si="282"/>
        <v>188.55</v>
      </c>
      <c r="T228" s="285">
        <f t="shared" si="279"/>
        <v>1933.29</v>
      </c>
      <c r="U228" s="285">
        <f t="shared" si="337"/>
        <v>67593.089999999982</v>
      </c>
      <c r="V228" s="285">
        <f t="shared" si="338"/>
        <v>206203.80999999994</v>
      </c>
      <c r="W228" s="285">
        <f t="shared" si="295"/>
        <v>193982.91000000003</v>
      </c>
      <c r="X228" s="502">
        <f t="shared" si="329"/>
        <v>50799</v>
      </c>
      <c r="Y228" s="285">
        <f t="shared" si="296"/>
        <v>287181.67000000027</v>
      </c>
      <c r="Z228" s="494">
        <f t="shared" si="321"/>
        <v>6.25E-2</v>
      </c>
      <c r="AA228" s="285">
        <f t="shared" si="322"/>
        <v>1630.04</v>
      </c>
      <c r="AB228" s="285">
        <f t="shared" si="297"/>
        <v>134.29999999999995</v>
      </c>
      <c r="AC228" s="285">
        <f t="shared" si="323"/>
        <v>1495.74</v>
      </c>
      <c r="AD228" s="285">
        <f t="shared" ref="AD228:AE228" si="359">+AD227</f>
        <v>134.16999999999999</v>
      </c>
      <c r="AE228" s="285">
        <f t="shared" si="359"/>
        <v>188.55</v>
      </c>
      <c r="AF228" s="285">
        <f t="shared" si="299"/>
        <v>1952.76</v>
      </c>
      <c r="AG228" s="285">
        <f t="shared" si="300"/>
        <v>44146.02999999997</v>
      </c>
      <c r="AH228" s="285">
        <f t="shared" si="301"/>
        <v>227186.96999999997</v>
      </c>
      <c r="AI228" s="512">
        <f t="shared" si="284"/>
        <v>2463.8999999999787</v>
      </c>
      <c r="AJ228" s="512">
        <f t="shared" si="350"/>
        <v>-93064.460000000254</v>
      </c>
      <c r="AK228" s="512">
        <f t="shared" si="285"/>
        <v>-90600.560000000274</v>
      </c>
      <c r="AL228" s="285">
        <f t="shared" si="302"/>
        <v>287047.37000000029</v>
      </c>
      <c r="AM228" s="425">
        <f t="shared" si="331"/>
        <v>14</v>
      </c>
      <c r="AN228" s="14">
        <f t="shared" si="286"/>
        <v>1160.29</v>
      </c>
      <c r="AO228" s="14">
        <f t="shared" si="261"/>
        <v>211183.39</v>
      </c>
      <c r="AP228" s="14">
        <f t="shared" si="287"/>
        <v>1179.76</v>
      </c>
      <c r="AS228" s="14">
        <f t="shared" si="325"/>
        <v>1160.29</v>
      </c>
      <c r="AT228" s="14">
        <f t="shared" si="332"/>
        <v>196768.74000000014</v>
      </c>
      <c r="AU228" s="285">
        <f t="shared" si="333"/>
        <v>1113.0408869760611</v>
      </c>
      <c r="AV228" s="285">
        <f t="shared" si="334"/>
        <v>184753.39567740052</v>
      </c>
    </row>
    <row r="229" spans="1:48" x14ac:dyDescent="0.25">
      <c r="A229" s="502">
        <f t="shared" si="289"/>
        <v>50829</v>
      </c>
      <c r="B229" s="285">
        <f t="shared" si="326"/>
        <v>52720.759999999966</v>
      </c>
      <c r="C229" s="14">
        <f t="shared" si="319"/>
        <v>450.28</v>
      </c>
      <c r="D229" s="14">
        <f t="shared" si="335"/>
        <v>285.52999999999997</v>
      </c>
      <c r="E229" s="14">
        <f t="shared" si="320"/>
        <v>164.75</v>
      </c>
      <c r="F229" s="14">
        <f t="shared" si="278"/>
        <v>134.16999999999999</v>
      </c>
      <c r="G229" s="14">
        <f t="shared" si="275"/>
        <v>188.55</v>
      </c>
      <c r="H229" s="14">
        <f t="shared" si="276"/>
        <v>773</v>
      </c>
      <c r="I229" s="285">
        <f t="shared" si="290"/>
        <v>45096.609999999979</v>
      </c>
      <c r="J229" s="285">
        <f t="shared" si="291"/>
        <v>52017.429999999971</v>
      </c>
      <c r="K229" s="285">
        <f t="shared" si="292"/>
        <v>52435.229999999967</v>
      </c>
      <c r="L229" s="425">
        <f t="shared" si="263"/>
        <v>14</v>
      </c>
      <c r="M229" s="425">
        <f t="shared" si="327"/>
        <v>170</v>
      </c>
      <c r="N229" s="285">
        <f t="shared" si="328"/>
        <v>193982.91000000003</v>
      </c>
      <c r="O229" s="285">
        <f t="shared" si="293"/>
        <v>1610.57</v>
      </c>
      <c r="P229" s="285">
        <f t="shared" si="336"/>
        <v>600.2399999999999</v>
      </c>
      <c r="Q229" s="285">
        <f t="shared" si="294"/>
        <v>1010.33</v>
      </c>
      <c r="R229" s="285">
        <f t="shared" si="281"/>
        <v>134.16999999999999</v>
      </c>
      <c r="S229" s="285">
        <f t="shared" si="282"/>
        <v>188.55</v>
      </c>
      <c r="T229" s="285">
        <f t="shared" si="279"/>
        <v>1933.29</v>
      </c>
      <c r="U229" s="285">
        <f t="shared" si="337"/>
        <v>68193.329999999987</v>
      </c>
      <c r="V229" s="285">
        <f t="shared" si="338"/>
        <v>207214.13999999993</v>
      </c>
      <c r="W229" s="285">
        <f t="shared" si="295"/>
        <v>193382.67000000004</v>
      </c>
      <c r="X229" s="502">
        <f t="shared" si="329"/>
        <v>50829</v>
      </c>
      <c r="Y229" s="285">
        <f t="shared" si="296"/>
        <v>287047.37000000029</v>
      </c>
      <c r="Z229" s="494">
        <f t="shared" si="321"/>
        <v>6.25E-2</v>
      </c>
      <c r="AA229" s="285">
        <f t="shared" si="322"/>
        <v>1630.04</v>
      </c>
      <c r="AB229" s="285">
        <f t="shared" si="297"/>
        <v>135</v>
      </c>
      <c r="AC229" s="285">
        <f t="shared" si="323"/>
        <v>1495.04</v>
      </c>
      <c r="AD229" s="285">
        <f t="shared" ref="AD229:AE229" si="360">+AD228</f>
        <v>134.16999999999999</v>
      </c>
      <c r="AE229" s="285">
        <f t="shared" si="360"/>
        <v>188.55</v>
      </c>
      <c r="AF229" s="285">
        <f t="shared" si="299"/>
        <v>1952.76</v>
      </c>
      <c r="AG229" s="285">
        <f t="shared" si="300"/>
        <v>44281.02999999997</v>
      </c>
      <c r="AH229" s="285">
        <f t="shared" si="301"/>
        <v>228682.00999999998</v>
      </c>
      <c r="AI229" s="512">
        <f t="shared" si="284"/>
        <v>2444.4299999999785</v>
      </c>
      <c r="AJ229" s="512">
        <f t="shared" si="350"/>
        <v>-93529.700000000244</v>
      </c>
      <c r="AK229" s="512">
        <f t="shared" si="285"/>
        <v>-91085.270000000266</v>
      </c>
      <c r="AL229" s="285">
        <f t="shared" si="302"/>
        <v>286912.37000000029</v>
      </c>
      <c r="AM229" s="425">
        <f t="shared" si="331"/>
        <v>14</v>
      </c>
      <c r="AN229" s="14">
        <f t="shared" si="286"/>
        <v>1160.29</v>
      </c>
      <c r="AO229" s="14">
        <f t="shared" si="261"/>
        <v>210868.68000000002</v>
      </c>
      <c r="AP229" s="14">
        <f t="shared" si="287"/>
        <v>1179.76</v>
      </c>
      <c r="AS229" s="14">
        <f t="shared" si="325"/>
        <v>1160.29</v>
      </c>
      <c r="AT229" s="14">
        <f t="shared" si="332"/>
        <v>197929.03000000014</v>
      </c>
      <c r="AU229" s="285">
        <f t="shared" si="333"/>
        <v>1115.8234891935012</v>
      </c>
      <c r="AV229" s="285">
        <f t="shared" si="334"/>
        <v>185869.21916659403</v>
      </c>
    </row>
    <row r="230" spans="1:48" ht="15.75" thickBot="1" x14ac:dyDescent="0.3">
      <c r="A230" s="505">
        <f t="shared" si="289"/>
        <v>50859</v>
      </c>
      <c r="B230" s="345">
        <f t="shared" si="326"/>
        <v>52435.229999999967</v>
      </c>
      <c r="C230" s="21">
        <f t="shared" si="319"/>
        <v>450.28</v>
      </c>
      <c r="D230" s="21">
        <f t="shared" si="335"/>
        <v>286.41999999999996</v>
      </c>
      <c r="E230" s="21">
        <f t="shared" si="320"/>
        <v>163.86</v>
      </c>
      <c r="F230" s="21">
        <f t="shared" si="278"/>
        <v>134.16999999999999</v>
      </c>
      <c r="G230" s="21">
        <f t="shared" si="275"/>
        <v>188.55</v>
      </c>
      <c r="H230" s="21">
        <f t="shared" si="276"/>
        <v>773</v>
      </c>
      <c r="I230" s="345">
        <f t="shared" si="290"/>
        <v>45383.029999999977</v>
      </c>
      <c r="J230" s="345">
        <f t="shared" si="291"/>
        <v>52181.289999999972</v>
      </c>
      <c r="K230" s="345">
        <f t="shared" si="292"/>
        <v>52148.809999999969</v>
      </c>
      <c r="L230" s="426">
        <f t="shared" si="263"/>
        <v>14</v>
      </c>
      <c r="M230" s="426">
        <f t="shared" si="327"/>
        <v>171</v>
      </c>
      <c r="N230" s="345">
        <f t="shared" si="328"/>
        <v>193382.67000000004</v>
      </c>
      <c r="O230" s="345">
        <f t="shared" si="293"/>
        <v>1610.57</v>
      </c>
      <c r="P230" s="345">
        <f t="shared" si="336"/>
        <v>603.36999999999989</v>
      </c>
      <c r="Q230" s="345">
        <f t="shared" si="294"/>
        <v>1007.2</v>
      </c>
      <c r="R230" s="345">
        <f t="shared" si="281"/>
        <v>134.16999999999999</v>
      </c>
      <c r="S230" s="345">
        <f t="shared" si="282"/>
        <v>188.55</v>
      </c>
      <c r="T230" s="345">
        <f t="shared" si="279"/>
        <v>1933.29</v>
      </c>
      <c r="U230" s="345">
        <f t="shared" si="337"/>
        <v>68796.699999999983</v>
      </c>
      <c r="V230" s="345">
        <f t="shared" si="338"/>
        <v>208221.33999999994</v>
      </c>
      <c r="W230" s="345">
        <f t="shared" si="295"/>
        <v>192779.30000000005</v>
      </c>
      <c r="X230" s="505">
        <f t="shared" si="329"/>
        <v>50859</v>
      </c>
      <c r="Y230" s="345">
        <f t="shared" si="296"/>
        <v>286912.37000000029</v>
      </c>
      <c r="Z230" s="495">
        <f t="shared" si="321"/>
        <v>6.25E-2</v>
      </c>
      <c r="AA230" s="345">
        <f t="shared" si="322"/>
        <v>1630.04</v>
      </c>
      <c r="AB230" s="345">
        <f t="shared" si="297"/>
        <v>135.70000000000005</v>
      </c>
      <c r="AC230" s="345">
        <f t="shared" si="323"/>
        <v>1494.34</v>
      </c>
      <c r="AD230" s="345">
        <f t="shared" ref="AD230:AE230" si="361">+AD229</f>
        <v>134.16999999999999</v>
      </c>
      <c r="AE230" s="345">
        <f t="shared" si="361"/>
        <v>188.55</v>
      </c>
      <c r="AF230" s="345">
        <f t="shared" si="299"/>
        <v>1952.76</v>
      </c>
      <c r="AG230" s="345">
        <f t="shared" si="300"/>
        <v>44416.729999999967</v>
      </c>
      <c r="AH230" s="345">
        <f t="shared" si="301"/>
        <v>230176.34999999998</v>
      </c>
      <c r="AI230" s="513">
        <f t="shared" si="284"/>
        <v>2424.9599999999782</v>
      </c>
      <c r="AJ230" s="513">
        <f t="shared" si="350"/>
        <v>-93997.370000000228</v>
      </c>
      <c r="AK230" s="512">
        <f t="shared" si="285"/>
        <v>-91572.410000000251</v>
      </c>
      <c r="AL230" s="345">
        <f t="shared" si="302"/>
        <v>286776.67000000027</v>
      </c>
      <c r="AM230" s="426">
        <f t="shared" si="331"/>
        <v>14</v>
      </c>
      <c r="AN230" s="21">
        <f t="shared" si="286"/>
        <v>1160.29</v>
      </c>
      <c r="AO230" s="21">
        <f t="shared" si="261"/>
        <v>210551.73</v>
      </c>
      <c r="AP230" s="21">
        <f t="shared" si="287"/>
        <v>1179.76</v>
      </c>
      <c r="AQ230" s="21"/>
      <c r="AR230" s="23"/>
      <c r="AS230" s="21">
        <f t="shared" si="325"/>
        <v>1160.29</v>
      </c>
      <c r="AT230" s="21">
        <f t="shared" si="332"/>
        <v>199089.32000000015</v>
      </c>
      <c r="AU230" s="345">
        <f t="shared" si="333"/>
        <v>1118.6130479164851</v>
      </c>
      <c r="AV230" s="345">
        <f t="shared" si="334"/>
        <v>186987.8322145105</v>
      </c>
    </row>
    <row r="231" spans="1:48" x14ac:dyDescent="0.25">
      <c r="A231" s="502">
        <f t="shared" si="289"/>
        <v>50889</v>
      </c>
      <c r="B231" s="285">
        <f t="shared" si="326"/>
        <v>52148.809999999969</v>
      </c>
      <c r="C231" s="14">
        <f t="shared" si="319"/>
        <v>450.28</v>
      </c>
      <c r="D231" s="14">
        <f t="shared" si="335"/>
        <v>287.30999999999995</v>
      </c>
      <c r="E231" s="14">
        <f t="shared" si="320"/>
        <v>162.97</v>
      </c>
      <c r="F231" s="14">
        <f t="shared" si="278"/>
        <v>134.16999999999999</v>
      </c>
      <c r="G231" s="14">
        <f t="shared" si="275"/>
        <v>188.55</v>
      </c>
      <c r="H231" s="14">
        <f t="shared" si="276"/>
        <v>773</v>
      </c>
      <c r="I231" s="285">
        <f t="shared" si="290"/>
        <v>45670.339999999975</v>
      </c>
      <c r="J231" s="285">
        <f t="shared" si="291"/>
        <v>52344.259999999973</v>
      </c>
      <c r="K231" s="285">
        <f t="shared" si="292"/>
        <v>51861.499999999971</v>
      </c>
      <c r="L231" s="425">
        <f t="shared" si="263"/>
        <v>14</v>
      </c>
      <c r="M231" s="425">
        <f t="shared" si="327"/>
        <v>172</v>
      </c>
      <c r="N231" s="285">
        <f t="shared" si="328"/>
        <v>192779.30000000005</v>
      </c>
      <c r="O231" s="285">
        <f t="shared" si="293"/>
        <v>1610.57</v>
      </c>
      <c r="P231" s="285">
        <f t="shared" si="336"/>
        <v>606.51</v>
      </c>
      <c r="Q231" s="285">
        <f t="shared" si="294"/>
        <v>1004.06</v>
      </c>
      <c r="R231" s="285">
        <f t="shared" si="281"/>
        <v>134.16999999999999</v>
      </c>
      <c r="S231" s="285">
        <f t="shared" si="282"/>
        <v>188.55</v>
      </c>
      <c r="T231" s="285">
        <f t="shared" si="279"/>
        <v>1933.29</v>
      </c>
      <c r="U231" s="285">
        <f t="shared" si="337"/>
        <v>69403.209999999977</v>
      </c>
      <c r="V231" s="285">
        <f t="shared" si="338"/>
        <v>209225.39999999994</v>
      </c>
      <c r="W231" s="285">
        <f t="shared" si="295"/>
        <v>192172.79000000004</v>
      </c>
      <c r="X231" s="502">
        <f t="shared" si="329"/>
        <v>50889</v>
      </c>
      <c r="Y231" s="285">
        <f t="shared" si="296"/>
        <v>286776.67000000027</v>
      </c>
      <c r="Z231" s="494">
        <f t="shared" si="321"/>
        <v>6.25E-2</v>
      </c>
      <c r="AA231" s="285">
        <f t="shared" si="322"/>
        <v>1630.04</v>
      </c>
      <c r="AB231" s="285">
        <f t="shared" si="297"/>
        <v>136.40999999999985</v>
      </c>
      <c r="AC231" s="285">
        <f t="shared" si="323"/>
        <v>1493.63</v>
      </c>
      <c r="AD231" s="285">
        <f t="shared" ref="AD231:AE231" si="362">+AD230</f>
        <v>134.16999999999999</v>
      </c>
      <c r="AE231" s="285">
        <f t="shared" si="362"/>
        <v>188.55</v>
      </c>
      <c r="AF231" s="285">
        <f t="shared" si="299"/>
        <v>1952.76</v>
      </c>
      <c r="AG231" s="285">
        <f t="shared" si="300"/>
        <v>44553.13999999997</v>
      </c>
      <c r="AH231" s="285">
        <f t="shared" si="301"/>
        <v>231669.97999999998</v>
      </c>
      <c r="AI231" s="512">
        <f t="shared" si="284"/>
        <v>2405.489999999978</v>
      </c>
      <c r="AJ231" s="512">
        <f t="shared" si="350"/>
        <v>-94467.470000000263</v>
      </c>
      <c r="AK231" s="512">
        <f t="shared" si="285"/>
        <v>-92061.980000000287</v>
      </c>
      <c r="AL231" s="285">
        <f t="shared" si="302"/>
        <v>286640.2600000003</v>
      </c>
      <c r="AM231" s="425">
        <f t="shared" si="331"/>
        <v>14</v>
      </c>
      <c r="AN231" s="14">
        <f t="shared" si="286"/>
        <v>1160.29</v>
      </c>
      <c r="AO231" s="14">
        <f t="shared" si="261"/>
        <v>210232.53000000003</v>
      </c>
      <c r="AP231" s="14">
        <f t="shared" si="287"/>
        <v>1179.76</v>
      </c>
      <c r="AS231" s="14">
        <f t="shared" si="325"/>
        <v>1160.29</v>
      </c>
      <c r="AT231" s="14">
        <f t="shared" si="332"/>
        <v>200249.61000000016</v>
      </c>
      <c r="AU231" s="285">
        <f t="shared" si="333"/>
        <v>1121.4095805362763</v>
      </c>
      <c r="AV231" s="285">
        <f t="shared" si="334"/>
        <v>188109.24179504678</v>
      </c>
    </row>
    <row r="232" spans="1:48" x14ac:dyDescent="0.25">
      <c r="A232" s="502">
        <f t="shared" si="289"/>
        <v>50919</v>
      </c>
      <c r="B232" s="285">
        <f t="shared" si="326"/>
        <v>51861.499999999971</v>
      </c>
      <c r="C232" s="14">
        <f t="shared" si="319"/>
        <v>450.28</v>
      </c>
      <c r="D232" s="14">
        <f t="shared" si="335"/>
        <v>288.20999999999998</v>
      </c>
      <c r="E232" s="14">
        <f t="shared" si="320"/>
        <v>162.07</v>
      </c>
      <c r="F232" s="14">
        <f t="shared" si="278"/>
        <v>134.16999999999999</v>
      </c>
      <c r="G232" s="14">
        <f t="shared" si="275"/>
        <v>188.55</v>
      </c>
      <c r="H232" s="14">
        <f t="shared" si="276"/>
        <v>773</v>
      </c>
      <c r="I232" s="285">
        <f t="shared" si="290"/>
        <v>45958.549999999974</v>
      </c>
      <c r="J232" s="285">
        <f t="shared" si="291"/>
        <v>52506.329999999973</v>
      </c>
      <c r="K232" s="285">
        <f t="shared" si="292"/>
        <v>51573.289999999972</v>
      </c>
      <c r="L232" s="425">
        <f t="shared" si="263"/>
        <v>14</v>
      </c>
      <c r="M232" s="425">
        <f t="shared" si="327"/>
        <v>173</v>
      </c>
      <c r="N232" s="285">
        <f t="shared" si="328"/>
        <v>192172.79000000004</v>
      </c>
      <c r="O232" s="285">
        <f t="shared" si="293"/>
        <v>1610.57</v>
      </c>
      <c r="P232" s="285">
        <f t="shared" si="336"/>
        <v>609.66999999999996</v>
      </c>
      <c r="Q232" s="285">
        <f t="shared" si="294"/>
        <v>1000.9</v>
      </c>
      <c r="R232" s="285">
        <f t="shared" si="281"/>
        <v>134.16999999999999</v>
      </c>
      <c r="S232" s="285">
        <f t="shared" si="282"/>
        <v>188.55</v>
      </c>
      <c r="T232" s="285">
        <f t="shared" si="279"/>
        <v>1933.29</v>
      </c>
      <c r="U232" s="285">
        <f t="shared" si="337"/>
        <v>70012.879999999976</v>
      </c>
      <c r="V232" s="285">
        <f t="shared" si="338"/>
        <v>210226.29999999993</v>
      </c>
      <c r="W232" s="285">
        <f t="shared" si="295"/>
        <v>191563.12000000002</v>
      </c>
      <c r="X232" s="502">
        <f t="shared" si="329"/>
        <v>50919</v>
      </c>
      <c r="Y232" s="285">
        <f t="shared" si="296"/>
        <v>286640.2600000003</v>
      </c>
      <c r="Z232" s="494">
        <f t="shared" si="321"/>
        <v>6.25E-2</v>
      </c>
      <c r="AA232" s="285">
        <f t="shared" si="322"/>
        <v>1630.04</v>
      </c>
      <c r="AB232" s="285">
        <f t="shared" si="297"/>
        <v>137.11999999999989</v>
      </c>
      <c r="AC232" s="285">
        <f t="shared" si="323"/>
        <v>1492.92</v>
      </c>
      <c r="AD232" s="285">
        <f t="shared" ref="AD232:AE232" si="363">+AD231</f>
        <v>134.16999999999999</v>
      </c>
      <c r="AE232" s="285">
        <f t="shared" si="363"/>
        <v>188.55</v>
      </c>
      <c r="AF232" s="285">
        <f t="shared" si="299"/>
        <v>1952.76</v>
      </c>
      <c r="AG232" s="285">
        <f t="shared" si="300"/>
        <v>44690.259999999973</v>
      </c>
      <c r="AH232" s="285">
        <f t="shared" si="301"/>
        <v>233162.9</v>
      </c>
      <c r="AI232" s="512">
        <f t="shared" si="284"/>
        <v>2386.0199999999777</v>
      </c>
      <c r="AJ232" s="512">
        <f t="shared" si="350"/>
        <v>-94940.020000000281</v>
      </c>
      <c r="AK232" s="512">
        <f t="shared" si="285"/>
        <v>-92554.000000000306</v>
      </c>
      <c r="AL232" s="285">
        <f t="shared" si="302"/>
        <v>286503.14000000031</v>
      </c>
      <c r="AM232" s="425">
        <f t="shared" si="331"/>
        <v>14</v>
      </c>
      <c r="AN232" s="14">
        <f t="shared" si="286"/>
        <v>1160.29</v>
      </c>
      <c r="AO232" s="14">
        <f t="shared" si="261"/>
        <v>209911.07000000004</v>
      </c>
      <c r="AP232" s="14">
        <f t="shared" si="287"/>
        <v>1179.76</v>
      </c>
      <c r="AS232" s="14">
        <f t="shared" si="325"/>
        <v>1160.29</v>
      </c>
      <c r="AT232" s="14">
        <f t="shared" si="332"/>
        <v>201409.90000000017</v>
      </c>
      <c r="AU232" s="285">
        <f t="shared" si="333"/>
        <v>1124.2131044876169</v>
      </c>
      <c r="AV232" s="285">
        <f t="shared" si="334"/>
        <v>189233.45489953441</v>
      </c>
    </row>
    <row r="233" spans="1:48" x14ac:dyDescent="0.25">
      <c r="A233" s="502">
        <f t="shared" si="289"/>
        <v>50949</v>
      </c>
      <c r="B233" s="285">
        <f t="shared" si="326"/>
        <v>51573.289999999972</v>
      </c>
      <c r="C233" s="14">
        <f t="shared" si="319"/>
        <v>450.28</v>
      </c>
      <c r="D233" s="14">
        <f t="shared" si="335"/>
        <v>289.11</v>
      </c>
      <c r="E233" s="14">
        <f t="shared" si="320"/>
        <v>161.16999999999999</v>
      </c>
      <c r="F233" s="14">
        <f t="shared" si="278"/>
        <v>134.16999999999999</v>
      </c>
      <c r="G233" s="14">
        <f t="shared" si="275"/>
        <v>188.55</v>
      </c>
      <c r="H233" s="14">
        <f t="shared" si="276"/>
        <v>773</v>
      </c>
      <c r="I233" s="285">
        <f t="shared" si="290"/>
        <v>46247.659999999974</v>
      </c>
      <c r="J233" s="285">
        <f t="shared" si="291"/>
        <v>52667.499999999971</v>
      </c>
      <c r="K233" s="285">
        <f t="shared" si="292"/>
        <v>51284.179999999971</v>
      </c>
      <c r="L233" s="425">
        <f t="shared" si="263"/>
        <v>14</v>
      </c>
      <c r="M233" s="425">
        <f t="shared" si="327"/>
        <v>174</v>
      </c>
      <c r="N233" s="285">
        <f t="shared" si="328"/>
        <v>191563.12000000002</v>
      </c>
      <c r="O233" s="285">
        <f t="shared" si="293"/>
        <v>1610.57</v>
      </c>
      <c r="P233" s="285">
        <f t="shared" si="336"/>
        <v>612.84999999999991</v>
      </c>
      <c r="Q233" s="285">
        <f t="shared" si="294"/>
        <v>997.72</v>
      </c>
      <c r="R233" s="285">
        <f t="shared" si="281"/>
        <v>134.16999999999999</v>
      </c>
      <c r="S233" s="285">
        <f t="shared" si="282"/>
        <v>188.55</v>
      </c>
      <c r="T233" s="285">
        <f t="shared" si="279"/>
        <v>1933.29</v>
      </c>
      <c r="U233" s="285">
        <f t="shared" si="337"/>
        <v>70625.729999999981</v>
      </c>
      <c r="V233" s="285">
        <f t="shared" si="338"/>
        <v>211224.01999999993</v>
      </c>
      <c r="W233" s="285">
        <f t="shared" si="295"/>
        <v>190950.27000000002</v>
      </c>
      <c r="X233" s="502">
        <f t="shared" si="329"/>
        <v>50949</v>
      </c>
      <c r="Y233" s="285">
        <f t="shared" si="296"/>
        <v>286503.14000000031</v>
      </c>
      <c r="Z233" s="494">
        <f t="shared" si="321"/>
        <v>6.25E-2</v>
      </c>
      <c r="AA233" s="285">
        <f t="shared" si="322"/>
        <v>1630.04</v>
      </c>
      <c r="AB233" s="285">
        <f t="shared" si="297"/>
        <v>137.83999999999992</v>
      </c>
      <c r="AC233" s="285">
        <f t="shared" si="323"/>
        <v>1492.2</v>
      </c>
      <c r="AD233" s="285">
        <f t="shared" ref="AD233:AE233" si="364">+AD232</f>
        <v>134.16999999999999</v>
      </c>
      <c r="AE233" s="285">
        <f t="shared" si="364"/>
        <v>188.55</v>
      </c>
      <c r="AF233" s="285">
        <f t="shared" si="299"/>
        <v>1952.76</v>
      </c>
      <c r="AG233" s="285">
        <f t="shared" si="300"/>
        <v>44828.099999999969</v>
      </c>
      <c r="AH233" s="285">
        <f t="shared" si="301"/>
        <v>234655.1</v>
      </c>
      <c r="AI233" s="512">
        <f t="shared" si="284"/>
        <v>2366.5499999999774</v>
      </c>
      <c r="AJ233" s="512">
        <f t="shared" si="350"/>
        <v>-95415.030000000261</v>
      </c>
      <c r="AK233" s="512">
        <f t="shared" si="285"/>
        <v>-93048.480000000287</v>
      </c>
      <c r="AL233" s="285">
        <f t="shared" si="302"/>
        <v>286365.30000000028</v>
      </c>
      <c r="AM233" s="425">
        <f t="shared" si="331"/>
        <v>14</v>
      </c>
      <c r="AN233" s="14">
        <f t="shared" si="286"/>
        <v>1160.29</v>
      </c>
      <c r="AO233" s="14">
        <f t="shared" si="261"/>
        <v>209587.33000000002</v>
      </c>
      <c r="AP233" s="14">
        <f t="shared" si="287"/>
        <v>1179.76</v>
      </c>
      <c r="AS233" s="14">
        <f t="shared" si="325"/>
        <v>1160.29</v>
      </c>
      <c r="AT233" s="14">
        <f t="shared" si="332"/>
        <v>202570.19000000018</v>
      </c>
      <c r="AU233" s="285">
        <f t="shared" si="333"/>
        <v>1127.0236372488359</v>
      </c>
      <c r="AV233" s="285">
        <f t="shared" si="334"/>
        <v>190360.47853678325</v>
      </c>
    </row>
    <row r="234" spans="1:48" x14ac:dyDescent="0.25">
      <c r="A234" s="502">
        <f t="shared" si="289"/>
        <v>50979</v>
      </c>
      <c r="B234" s="285">
        <f t="shared" si="326"/>
        <v>51284.179999999971</v>
      </c>
      <c r="C234" s="14">
        <f t="shared" si="319"/>
        <v>450.28</v>
      </c>
      <c r="D234" s="14">
        <f t="shared" si="335"/>
        <v>290.02</v>
      </c>
      <c r="E234" s="14">
        <f t="shared" si="320"/>
        <v>160.26</v>
      </c>
      <c r="F234" s="14">
        <f t="shared" si="278"/>
        <v>134.16999999999999</v>
      </c>
      <c r="G234" s="14">
        <f t="shared" si="275"/>
        <v>188.55</v>
      </c>
      <c r="H234" s="14">
        <f t="shared" si="276"/>
        <v>773</v>
      </c>
      <c r="I234" s="285">
        <f t="shared" si="290"/>
        <v>46537.679999999971</v>
      </c>
      <c r="J234" s="285">
        <f t="shared" si="291"/>
        <v>52827.759999999973</v>
      </c>
      <c r="K234" s="285">
        <f t="shared" si="292"/>
        <v>50994.159999999974</v>
      </c>
      <c r="L234" s="425">
        <f t="shared" si="263"/>
        <v>14</v>
      </c>
      <c r="M234" s="425">
        <f t="shared" si="327"/>
        <v>175</v>
      </c>
      <c r="N234" s="285">
        <f t="shared" si="328"/>
        <v>190950.27000000002</v>
      </c>
      <c r="O234" s="285">
        <f t="shared" si="293"/>
        <v>1610.57</v>
      </c>
      <c r="P234" s="285">
        <f t="shared" si="336"/>
        <v>616.04</v>
      </c>
      <c r="Q234" s="285">
        <f t="shared" si="294"/>
        <v>994.53</v>
      </c>
      <c r="R234" s="285">
        <f t="shared" si="281"/>
        <v>134.16999999999999</v>
      </c>
      <c r="S234" s="285">
        <f t="shared" si="282"/>
        <v>188.55</v>
      </c>
      <c r="T234" s="285">
        <f t="shared" si="279"/>
        <v>1933.29</v>
      </c>
      <c r="U234" s="285">
        <f t="shared" si="337"/>
        <v>71241.769999999975</v>
      </c>
      <c r="V234" s="285">
        <f t="shared" si="338"/>
        <v>212218.54999999993</v>
      </c>
      <c r="W234" s="285">
        <f t="shared" si="295"/>
        <v>190334.23</v>
      </c>
      <c r="X234" s="502">
        <f t="shared" si="329"/>
        <v>50979</v>
      </c>
      <c r="Y234" s="285">
        <f t="shared" si="296"/>
        <v>286365.30000000028</v>
      </c>
      <c r="Z234" s="494">
        <f t="shared" si="321"/>
        <v>6.25E-2</v>
      </c>
      <c r="AA234" s="285">
        <f t="shared" si="322"/>
        <v>1630.04</v>
      </c>
      <c r="AB234" s="285">
        <f t="shared" si="297"/>
        <v>138.54999999999995</v>
      </c>
      <c r="AC234" s="285">
        <f t="shared" si="323"/>
        <v>1491.49</v>
      </c>
      <c r="AD234" s="285">
        <f t="shared" ref="AD234:AE234" si="365">+AD233</f>
        <v>134.16999999999999</v>
      </c>
      <c r="AE234" s="285">
        <f t="shared" si="365"/>
        <v>188.55</v>
      </c>
      <c r="AF234" s="285">
        <f t="shared" si="299"/>
        <v>1952.76</v>
      </c>
      <c r="AG234" s="285">
        <f t="shared" si="300"/>
        <v>44966.649999999972</v>
      </c>
      <c r="AH234" s="285">
        <f t="shared" si="301"/>
        <v>236146.59</v>
      </c>
      <c r="AI234" s="512">
        <f t="shared" si="284"/>
        <v>2347.0799999999772</v>
      </c>
      <c r="AJ234" s="512">
        <f t="shared" si="350"/>
        <v>-95892.520000000281</v>
      </c>
      <c r="AK234" s="512">
        <f t="shared" si="285"/>
        <v>-93545.440000000308</v>
      </c>
      <c r="AL234" s="285">
        <f t="shared" si="302"/>
        <v>286226.75000000029</v>
      </c>
      <c r="AM234" s="425">
        <f t="shared" si="331"/>
        <v>14</v>
      </c>
      <c r="AN234" s="14">
        <f t="shared" si="286"/>
        <v>1160.29</v>
      </c>
      <c r="AO234" s="14">
        <f t="shared" si="261"/>
        <v>209261.31000000006</v>
      </c>
      <c r="AP234" s="14">
        <f t="shared" si="287"/>
        <v>1179.76</v>
      </c>
      <c r="AS234" s="14">
        <f t="shared" si="325"/>
        <v>1160.29</v>
      </c>
      <c r="AT234" s="14">
        <f t="shared" si="332"/>
        <v>203730.48000000019</v>
      </c>
      <c r="AU234" s="285">
        <f t="shared" si="333"/>
        <v>1129.841196341958</v>
      </c>
      <c r="AV234" s="285">
        <f t="shared" si="334"/>
        <v>191490.31973312522</v>
      </c>
    </row>
    <row r="235" spans="1:48" x14ac:dyDescent="0.25">
      <c r="A235" s="502">
        <f t="shared" si="289"/>
        <v>51009</v>
      </c>
      <c r="B235" s="285">
        <f t="shared" si="326"/>
        <v>50994.159999999974</v>
      </c>
      <c r="C235" s="14">
        <f t="shared" si="319"/>
        <v>450.28</v>
      </c>
      <c r="D235" s="14">
        <f t="shared" si="335"/>
        <v>290.91999999999996</v>
      </c>
      <c r="E235" s="14">
        <f t="shared" si="320"/>
        <v>159.36000000000001</v>
      </c>
      <c r="F235" s="14">
        <f t="shared" si="278"/>
        <v>134.16999999999999</v>
      </c>
      <c r="G235" s="14">
        <f t="shared" si="275"/>
        <v>188.55</v>
      </c>
      <c r="H235" s="14">
        <f t="shared" si="276"/>
        <v>773</v>
      </c>
      <c r="I235" s="285">
        <f t="shared" si="290"/>
        <v>46828.599999999969</v>
      </c>
      <c r="J235" s="285">
        <f t="shared" si="291"/>
        <v>52987.119999999974</v>
      </c>
      <c r="K235" s="285">
        <f t="shared" si="292"/>
        <v>50703.239999999976</v>
      </c>
      <c r="L235" s="425">
        <f t="shared" si="263"/>
        <v>14</v>
      </c>
      <c r="M235" s="425">
        <f t="shared" si="327"/>
        <v>176</v>
      </c>
      <c r="N235" s="285">
        <f t="shared" si="328"/>
        <v>190334.23</v>
      </c>
      <c r="O235" s="285">
        <f t="shared" si="293"/>
        <v>1610.57</v>
      </c>
      <c r="P235" s="285">
        <f t="shared" si="336"/>
        <v>619.24999999999989</v>
      </c>
      <c r="Q235" s="285">
        <f t="shared" si="294"/>
        <v>991.32</v>
      </c>
      <c r="R235" s="285">
        <f t="shared" si="281"/>
        <v>134.16999999999999</v>
      </c>
      <c r="S235" s="285">
        <f t="shared" si="282"/>
        <v>188.55</v>
      </c>
      <c r="T235" s="285">
        <f t="shared" si="279"/>
        <v>1933.29</v>
      </c>
      <c r="U235" s="285">
        <f t="shared" si="337"/>
        <v>71861.019999999975</v>
      </c>
      <c r="V235" s="285">
        <f t="shared" si="338"/>
        <v>213209.86999999994</v>
      </c>
      <c r="W235" s="285">
        <f t="shared" si="295"/>
        <v>189714.98</v>
      </c>
      <c r="X235" s="502">
        <f t="shared" si="329"/>
        <v>51009</v>
      </c>
      <c r="Y235" s="285">
        <f t="shared" si="296"/>
        <v>286226.75000000029</v>
      </c>
      <c r="Z235" s="494">
        <f t="shared" si="321"/>
        <v>6.25E-2</v>
      </c>
      <c r="AA235" s="285">
        <f t="shared" si="322"/>
        <v>1630.04</v>
      </c>
      <c r="AB235" s="285">
        <f t="shared" si="297"/>
        <v>139.27999999999997</v>
      </c>
      <c r="AC235" s="285">
        <f t="shared" si="323"/>
        <v>1490.76</v>
      </c>
      <c r="AD235" s="285">
        <f t="shared" ref="AD235:AE235" si="366">+AD234</f>
        <v>134.16999999999999</v>
      </c>
      <c r="AE235" s="285">
        <f t="shared" si="366"/>
        <v>188.55</v>
      </c>
      <c r="AF235" s="285">
        <f t="shared" si="299"/>
        <v>1952.76</v>
      </c>
      <c r="AG235" s="285">
        <f t="shared" si="300"/>
        <v>45105.929999999971</v>
      </c>
      <c r="AH235" s="285">
        <f t="shared" si="301"/>
        <v>237637.35</v>
      </c>
      <c r="AI235" s="512">
        <f t="shared" si="284"/>
        <v>2327.6099999999769</v>
      </c>
      <c r="AJ235" s="512">
        <f t="shared" si="350"/>
        <v>-96372.490000000253</v>
      </c>
      <c r="AK235" s="512">
        <f t="shared" si="285"/>
        <v>-94044.880000000281</v>
      </c>
      <c r="AL235" s="285">
        <f t="shared" si="302"/>
        <v>286087.47000000026</v>
      </c>
      <c r="AM235" s="425">
        <f t="shared" si="331"/>
        <v>14</v>
      </c>
      <c r="AN235" s="14">
        <f t="shared" si="286"/>
        <v>1160.29</v>
      </c>
      <c r="AO235" s="14">
        <f t="shared" si="261"/>
        <v>208932.98000000004</v>
      </c>
      <c r="AP235" s="14">
        <f t="shared" si="287"/>
        <v>1179.76</v>
      </c>
      <c r="AS235" s="14">
        <f t="shared" si="325"/>
        <v>1160.29</v>
      </c>
      <c r="AT235" s="14">
        <f t="shared" si="332"/>
        <v>204890.77000000019</v>
      </c>
      <c r="AU235" s="285">
        <f t="shared" si="333"/>
        <v>1132.6657993328129</v>
      </c>
      <c r="AV235" s="285">
        <f t="shared" si="334"/>
        <v>192622.98553245803</v>
      </c>
    </row>
    <row r="236" spans="1:48" x14ac:dyDescent="0.25">
      <c r="A236" s="502">
        <f t="shared" si="289"/>
        <v>51039</v>
      </c>
      <c r="B236" s="285">
        <f t="shared" si="326"/>
        <v>50703.239999999976</v>
      </c>
      <c r="C236" s="14">
        <f t="shared" si="319"/>
        <v>450.28</v>
      </c>
      <c r="D236" s="14">
        <f t="shared" si="335"/>
        <v>291.83</v>
      </c>
      <c r="E236" s="14">
        <f t="shared" si="320"/>
        <v>158.44999999999999</v>
      </c>
      <c r="F236" s="14">
        <f t="shared" si="278"/>
        <v>134.16999999999999</v>
      </c>
      <c r="G236" s="14">
        <f t="shared" si="275"/>
        <v>188.55</v>
      </c>
      <c r="H236" s="14">
        <f t="shared" si="276"/>
        <v>773</v>
      </c>
      <c r="I236" s="285">
        <f t="shared" si="290"/>
        <v>47120.429999999971</v>
      </c>
      <c r="J236" s="285">
        <f t="shared" si="291"/>
        <v>53145.569999999971</v>
      </c>
      <c r="K236" s="285">
        <f t="shared" si="292"/>
        <v>50411.409999999974</v>
      </c>
      <c r="L236" s="425">
        <f t="shared" si="263"/>
        <v>14</v>
      </c>
      <c r="M236" s="425">
        <f t="shared" si="327"/>
        <v>177</v>
      </c>
      <c r="N236" s="285">
        <f t="shared" si="328"/>
        <v>189714.98</v>
      </c>
      <c r="O236" s="285">
        <f t="shared" si="293"/>
        <v>1610.57</v>
      </c>
      <c r="P236" s="285">
        <f t="shared" si="336"/>
        <v>622.46999999999991</v>
      </c>
      <c r="Q236" s="285">
        <f t="shared" si="294"/>
        <v>988.1</v>
      </c>
      <c r="R236" s="285">
        <f t="shared" si="281"/>
        <v>134.16999999999999</v>
      </c>
      <c r="S236" s="285">
        <f t="shared" si="282"/>
        <v>188.55</v>
      </c>
      <c r="T236" s="285">
        <f t="shared" si="279"/>
        <v>1933.29</v>
      </c>
      <c r="U236" s="285">
        <f t="shared" si="337"/>
        <v>72483.489999999976</v>
      </c>
      <c r="V236" s="285">
        <f t="shared" si="338"/>
        <v>214197.96999999994</v>
      </c>
      <c r="W236" s="285">
        <f t="shared" si="295"/>
        <v>189092.51</v>
      </c>
      <c r="X236" s="502">
        <f t="shared" si="329"/>
        <v>51039</v>
      </c>
      <c r="Y236" s="285">
        <f t="shared" si="296"/>
        <v>286087.47000000026</v>
      </c>
      <c r="Z236" s="494">
        <f t="shared" si="321"/>
        <v>6.25E-2</v>
      </c>
      <c r="AA236" s="285">
        <f t="shared" si="322"/>
        <v>1630.04</v>
      </c>
      <c r="AB236" s="285">
        <f t="shared" si="297"/>
        <v>140</v>
      </c>
      <c r="AC236" s="285">
        <f t="shared" si="323"/>
        <v>1490.04</v>
      </c>
      <c r="AD236" s="285">
        <f t="shared" ref="AD236:AE236" si="367">+AD235</f>
        <v>134.16999999999999</v>
      </c>
      <c r="AE236" s="285">
        <f t="shared" si="367"/>
        <v>188.55</v>
      </c>
      <c r="AF236" s="285">
        <f t="shared" si="299"/>
        <v>1952.76</v>
      </c>
      <c r="AG236" s="285">
        <f t="shared" si="300"/>
        <v>45245.929999999971</v>
      </c>
      <c r="AH236" s="285">
        <f t="shared" si="301"/>
        <v>239127.39</v>
      </c>
      <c r="AI236" s="512">
        <f t="shared" si="284"/>
        <v>2308.1399999999767</v>
      </c>
      <c r="AJ236" s="512">
        <f t="shared" si="350"/>
        <v>-96854.960000000254</v>
      </c>
      <c r="AK236" s="512">
        <f t="shared" si="285"/>
        <v>-94546.820000000283</v>
      </c>
      <c r="AL236" s="285">
        <f t="shared" si="302"/>
        <v>285947.47000000026</v>
      </c>
      <c r="AM236" s="425">
        <f t="shared" si="331"/>
        <v>14</v>
      </c>
      <c r="AN236" s="14">
        <f t="shared" si="286"/>
        <v>1160.29</v>
      </c>
      <c r="AO236" s="14">
        <f t="shared" si="261"/>
        <v>208602.34000000003</v>
      </c>
      <c r="AP236" s="14">
        <f t="shared" si="287"/>
        <v>1179.76</v>
      </c>
      <c r="AS236" s="14">
        <f t="shared" si="325"/>
        <v>1160.29</v>
      </c>
      <c r="AT236" s="14">
        <f t="shared" si="332"/>
        <v>206051.0600000002</v>
      </c>
      <c r="AU236" s="285">
        <f t="shared" si="333"/>
        <v>1135.4974638311451</v>
      </c>
      <c r="AV236" s="285">
        <f t="shared" si="334"/>
        <v>193758.48299628918</v>
      </c>
    </row>
    <row r="237" spans="1:48" x14ac:dyDescent="0.25">
      <c r="A237" s="502">
        <f t="shared" si="289"/>
        <v>51069</v>
      </c>
      <c r="B237" s="285">
        <f t="shared" si="326"/>
        <v>50411.409999999974</v>
      </c>
      <c r="C237" s="14">
        <f t="shared" si="319"/>
        <v>450.28</v>
      </c>
      <c r="D237" s="14">
        <f t="shared" si="335"/>
        <v>292.74</v>
      </c>
      <c r="E237" s="14">
        <f t="shared" si="320"/>
        <v>157.54</v>
      </c>
      <c r="F237" s="14">
        <f t="shared" si="278"/>
        <v>134.16999999999999</v>
      </c>
      <c r="G237" s="14">
        <f t="shared" si="275"/>
        <v>188.55</v>
      </c>
      <c r="H237" s="14">
        <f t="shared" si="276"/>
        <v>773</v>
      </c>
      <c r="I237" s="285">
        <f t="shared" si="290"/>
        <v>47413.169999999969</v>
      </c>
      <c r="J237" s="285">
        <f t="shared" si="291"/>
        <v>53303.109999999971</v>
      </c>
      <c r="K237" s="285">
        <f t="shared" si="292"/>
        <v>50118.669999999976</v>
      </c>
      <c r="L237" s="425">
        <f t="shared" si="263"/>
        <v>14</v>
      </c>
      <c r="M237" s="425">
        <f t="shared" si="327"/>
        <v>178</v>
      </c>
      <c r="N237" s="285">
        <f t="shared" si="328"/>
        <v>189092.51</v>
      </c>
      <c r="O237" s="285">
        <f t="shared" si="293"/>
        <v>1610.57</v>
      </c>
      <c r="P237" s="285">
        <f t="shared" si="336"/>
        <v>625.70999999999992</v>
      </c>
      <c r="Q237" s="285">
        <f t="shared" si="294"/>
        <v>984.86</v>
      </c>
      <c r="R237" s="285">
        <f t="shared" si="281"/>
        <v>134.16999999999999</v>
      </c>
      <c r="S237" s="285">
        <f t="shared" si="282"/>
        <v>188.55</v>
      </c>
      <c r="T237" s="285">
        <f t="shared" si="279"/>
        <v>1933.29</v>
      </c>
      <c r="U237" s="285">
        <f t="shared" si="337"/>
        <v>73109.199999999983</v>
      </c>
      <c r="V237" s="285">
        <f t="shared" si="338"/>
        <v>215182.82999999993</v>
      </c>
      <c r="W237" s="285">
        <f t="shared" si="295"/>
        <v>188466.80000000002</v>
      </c>
      <c r="X237" s="502">
        <f t="shared" si="329"/>
        <v>51069</v>
      </c>
      <c r="Y237" s="285">
        <f t="shared" si="296"/>
        <v>285947.47000000026</v>
      </c>
      <c r="Z237" s="494">
        <f t="shared" si="321"/>
        <v>6.25E-2</v>
      </c>
      <c r="AA237" s="285">
        <f t="shared" si="322"/>
        <v>1630.04</v>
      </c>
      <c r="AB237" s="285">
        <f t="shared" si="297"/>
        <v>140.73000000000002</v>
      </c>
      <c r="AC237" s="285">
        <f t="shared" si="323"/>
        <v>1489.31</v>
      </c>
      <c r="AD237" s="285">
        <f t="shared" ref="AD237:AE237" si="368">+AD236</f>
        <v>134.16999999999999</v>
      </c>
      <c r="AE237" s="285">
        <f t="shared" si="368"/>
        <v>188.55</v>
      </c>
      <c r="AF237" s="285">
        <f t="shared" si="299"/>
        <v>1952.76</v>
      </c>
      <c r="AG237" s="285">
        <f t="shared" si="300"/>
        <v>45386.659999999974</v>
      </c>
      <c r="AH237" s="285">
        <f t="shared" si="301"/>
        <v>240616.7</v>
      </c>
      <c r="AI237" s="512">
        <f t="shared" si="284"/>
        <v>2288.6699999999764</v>
      </c>
      <c r="AJ237" s="512">
        <f t="shared" si="350"/>
        <v>-97339.940000000264</v>
      </c>
      <c r="AK237" s="512">
        <f t="shared" si="285"/>
        <v>-95051.270000000281</v>
      </c>
      <c r="AL237" s="285">
        <f t="shared" si="302"/>
        <v>285806.74000000028</v>
      </c>
      <c r="AM237" s="425">
        <f t="shared" si="331"/>
        <v>14</v>
      </c>
      <c r="AN237" s="14">
        <f t="shared" si="286"/>
        <v>1160.29</v>
      </c>
      <c r="AO237" s="14">
        <f t="shared" ref="AO237:AO300" si="369">IF(W237&lt;=0,0,+$AA$5-$C$2+I237-U237)</f>
        <v>208269.37000000002</v>
      </c>
      <c r="AP237" s="14">
        <f t="shared" si="287"/>
        <v>1179.76</v>
      </c>
      <c r="AS237" s="14">
        <f t="shared" si="325"/>
        <v>1160.29</v>
      </c>
      <c r="AT237" s="14">
        <f t="shared" si="332"/>
        <v>207211.35000000021</v>
      </c>
      <c r="AU237" s="285">
        <f t="shared" si="333"/>
        <v>1138.3362074907229</v>
      </c>
      <c r="AV237" s="285">
        <f t="shared" si="334"/>
        <v>194896.81920377992</v>
      </c>
    </row>
    <row r="238" spans="1:48" x14ac:dyDescent="0.25">
      <c r="A238" s="502">
        <f t="shared" si="289"/>
        <v>51099</v>
      </c>
      <c r="B238" s="285">
        <f t="shared" si="326"/>
        <v>50118.669999999976</v>
      </c>
      <c r="C238" s="14">
        <f t="shared" si="319"/>
        <v>450.28</v>
      </c>
      <c r="D238" s="14">
        <f t="shared" si="335"/>
        <v>293.65999999999997</v>
      </c>
      <c r="E238" s="14">
        <f t="shared" si="320"/>
        <v>156.62</v>
      </c>
      <c r="F238" s="14">
        <f t="shared" si="278"/>
        <v>134.16999999999999</v>
      </c>
      <c r="G238" s="14">
        <f t="shared" si="275"/>
        <v>188.55</v>
      </c>
      <c r="H238" s="14">
        <f t="shared" si="276"/>
        <v>773</v>
      </c>
      <c r="I238" s="285">
        <f t="shared" si="290"/>
        <v>47706.829999999973</v>
      </c>
      <c r="J238" s="285">
        <f t="shared" si="291"/>
        <v>53459.729999999974</v>
      </c>
      <c r="K238" s="285">
        <f t="shared" si="292"/>
        <v>49825.009999999973</v>
      </c>
      <c r="L238" s="425">
        <f t="shared" si="263"/>
        <v>14</v>
      </c>
      <c r="M238" s="425">
        <f t="shared" si="327"/>
        <v>179</v>
      </c>
      <c r="N238" s="285">
        <f t="shared" si="328"/>
        <v>188466.80000000002</v>
      </c>
      <c r="O238" s="285">
        <f t="shared" si="293"/>
        <v>1610.57</v>
      </c>
      <c r="P238" s="285">
        <f t="shared" si="336"/>
        <v>628.96999999999991</v>
      </c>
      <c r="Q238" s="285">
        <f t="shared" si="294"/>
        <v>981.6</v>
      </c>
      <c r="R238" s="285">
        <f t="shared" si="281"/>
        <v>134.16999999999999</v>
      </c>
      <c r="S238" s="285">
        <f t="shared" si="282"/>
        <v>188.55</v>
      </c>
      <c r="T238" s="285">
        <f t="shared" si="279"/>
        <v>1933.29</v>
      </c>
      <c r="U238" s="285">
        <f t="shared" si="337"/>
        <v>73738.169999999984</v>
      </c>
      <c r="V238" s="285">
        <f t="shared" si="338"/>
        <v>216164.42999999993</v>
      </c>
      <c r="W238" s="285">
        <f t="shared" si="295"/>
        <v>187837.83000000002</v>
      </c>
      <c r="X238" s="502">
        <f t="shared" si="329"/>
        <v>51099</v>
      </c>
      <c r="Y238" s="285">
        <f t="shared" si="296"/>
        <v>285806.74000000028</v>
      </c>
      <c r="Z238" s="494">
        <f t="shared" si="321"/>
        <v>6.25E-2</v>
      </c>
      <c r="AA238" s="285">
        <f t="shared" si="322"/>
        <v>1630.04</v>
      </c>
      <c r="AB238" s="285">
        <f t="shared" si="297"/>
        <v>141.46000000000004</v>
      </c>
      <c r="AC238" s="285">
        <f t="shared" si="323"/>
        <v>1488.58</v>
      </c>
      <c r="AD238" s="285">
        <f t="shared" ref="AD238:AE238" si="370">+AD237</f>
        <v>134.16999999999999</v>
      </c>
      <c r="AE238" s="285">
        <f t="shared" si="370"/>
        <v>188.55</v>
      </c>
      <c r="AF238" s="285">
        <f t="shared" si="299"/>
        <v>1952.76</v>
      </c>
      <c r="AG238" s="285">
        <f t="shared" si="300"/>
        <v>45528.119999999974</v>
      </c>
      <c r="AH238" s="285">
        <f t="shared" si="301"/>
        <v>242105.28</v>
      </c>
      <c r="AI238" s="512">
        <f t="shared" si="284"/>
        <v>2269.1999999999762</v>
      </c>
      <c r="AJ238" s="512">
        <f t="shared" si="350"/>
        <v>-97827.450000000244</v>
      </c>
      <c r="AK238" s="512">
        <f t="shared" si="285"/>
        <v>-95558.250000000262</v>
      </c>
      <c r="AL238" s="285">
        <f t="shared" si="302"/>
        <v>285665.28000000026</v>
      </c>
      <c r="AM238" s="425">
        <f t="shared" si="331"/>
        <v>14</v>
      </c>
      <c r="AN238" s="14">
        <f t="shared" si="286"/>
        <v>1160.29</v>
      </c>
      <c r="AO238" s="14">
        <f t="shared" si="369"/>
        <v>207934.06</v>
      </c>
      <c r="AP238" s="14">
        <f t="shared" si="287"/>
        <v>1179.76</v>
      </c>
      <c r="AS238" s="14">
        <f t="shared" si="325"/>
        <v>1160.29</v>
      </c>
      <c r="AT238" s="14">
        <f t="shared" si="332"/>
        <v>208371.64000000022</v>
      </c>
      <c r="AU238" s="285">
        <f t="shared" si="333"/>
        <v>1141.1820480094498</v>
      </c>
      <c r="AV238" s="285">
        <f t="shared" si="334"/>
        <v>196038.00125178936</v>
      </c>
    </row>
    <row r="239" spans="1:48" x14ac:dyDescent="0.25">
      <c r="A239" s="502">
        <f t="shared" si="289"/>
        <v>51129</v>
      </c>
      <c r="B239" s="285">
        <f t="shared" si="326"/>
        <v>49825.009999999973</v>
      </c>
      <c r="C239" s="14">
        <f t="shared" si="319"/>
        <v>450.28</v>
      </c>
      <c r="D239" s="14">
        <f t="shared" si="335"/>
        <v>294.58</v>
      </c>
      <c r="E239" s="14">
        <f t="shared" si="320"/>
        <v>155.69999999999999</v>
      </c>
      <c r="F239" s="14">
        <f t="shared" si="278"/>
        <v>134.16999999999999</v>
      </c>
      <c r="G239" s="14">
        <f t="shared" si="275"/>
        <v>188.55</v>
      </c>
      <c r="H239" s="14">
        <f t="shared" si="276"/>
        <v>773</v>
      </c>
      <c r="I239" s="285">
        <f t="shared" si="290"/>
        <v>48001.409999999974</v>
      </c>
      <c r="J239" s="285">
        <f t="shared" si="291"/>
        <v>53615.429999999971</v>
      </c>
      <c r="K239" s="285">
        <f t="shared" si="292"/>
        <v>49530.429999999971</v>
      </c>
      <c r="L239" s="425">
        <f t="shared" ref="L239:L302" si="371">IF(MOD(M239,12)=0,M239/12,L238)</f>
        <v>15</v>
      </c>
      <c r="M239" s="425">
        <f t="shared" si="327"/>
        <v>180</v>
      </c>
      <c r="N239" s="285">
        <f t="shared" si="328"/>
        <v>187837.83000000002</v>
      </c>
      <c r="O239" s="285">
        <f t="shared" si="293"/>
        <v>1610.57</v>
      </c>
      <c r="P239" s="285">
        <f t="shared" si="336"/>
        <v>632.24999999999989</v>
      </c>
      <c r="Q239" s="285">
        <f t="shared" si="294"/>
        <v>978.32</v>
      </c>
      <c r="R239" s="285">
        <f t="shared" si="281"/>
        <v>134.16999999999999</v>
      </c>
      <c r="S239" s="285">
        <f t="shared" si="282"/>
        <v>188.55</v>
      </c>
      <c r="T239" s="285">
        <f t="shared" si="279"/>
        <v>1933.29</v>
      </c>
      <c r="U239" s="285">
        <f t="shared" si="337"/>
        <v>74370.419999999984</v>
      </c>
      <c r="V239" s="285">
        <f t="shared" si="338"/>
        <v>217142.74999999994</v>
      </c>
      <c r="W239" s="285">
        <f t="shared" si="295"/>
        <v>187205.58000000002</v>
      </c>
      <c r="X239" s="502">
        <f t="shared" si="329"/>
        <v>51129</v>
      </c>
      <c r="Y239" s="285">
        <f t="shared" si="296"/>
        <v>285665.28000000026</v>
      </c>
      <c r="Z239" s="494">
        <f t="shared" si="321"/>
        <v>6.25E-2</v>
      </c>
      <c r="AA239" s="285">
        <f t="shared" si="322"/>
        <v>1630.04</v>
      </c>
      <c r="AB239" s="285">
        <f t="shared" si="297"/>
        <v>142.20000000000005</v>
      </c>
      <c r="AC239" s="285">
        <f t="shared" si="323"/>
        <v>1487.84</v>
      </c>
      <c r="AD239" s="285">
        <f t="shared" ref="AD239:AE239" si="372">+AD238</f>
        <v>134.16999999999999</v>
      </c>
      <c r="AE239" s="285">
        <f t="shared" si="372"/>
        <v>188.55</v>
      </c>
      <c r="AF239" s="285">
        <f t="shared" si="299"/>
        <v>1952.76</v>
      </c>
      <c r="AG239" s="285">
        <f t="shared" si="300"/>
        <v>45670.319999999971</v>
      </c>
      <c r="AH239" s="285">
        <f t="shared" si="301"/>
        <v>243593.12</v>
      </c>
      <c r="AI239" s="512">
        <f t="shared" si="284"/>
        <v>2249.7299999999759</v>
      </c>
      <c r="AJ239" s="512">
        <f t="shared" si="350"/>
        <v>-98317.500000000233</v>
      </c>
      <c r="AK239" s="512">
        <f t="shared" si="285"/>
        <v>-96067.770000000251</v>
      </c>
      <c r="AL239" s="285">
        <f t="shared" si="302"/>
        <v>285523.08000000025</v>
      </c>
      <c r="AM239" s="425">
        <f t="shared" si="331"/>
        <v>15</v>
      </c>
      <c r="AN239" s="14">
        <f t="shared" si="286"/>
        <v>1160.29</v>
      </c>
      <c r="AO239" s="14">
        <f t="shared" si="369"/>
        <v>207596.39</v>
      </c>
      <c r="AP239" s="14">
        <f t="shared" si="287"/>
        <v>1179.76</v>
      </c>
      <c r="AS239" s="14">
        <f t="shared" si="325"/>
        <v>1160.29</v>
      </c>
      <c r="AT239" s="14">
        <f t="shared" si="332"/>
        <v>209531.93000000023</v>
      </c>
      <c r="AU239" s="285">
        <f t="shared" si="333"/>
        <v>1144.0350031294736</v>
      </c>
      <c r="AV239" s="285">
        <f t="shared" si="334"/>
        <v>197182.03625491884</v>
      </c>
    </row>
    <row r="240" spans="1:48" x14ac:dyDescent="0.25">
      <c r="A240" s="502">
        <f t="shared" si="289"/>
        <v>51159</v>
      </c>
      <c r="B240" s="285">
        <f t="shared" si="326"/>
        <v>49530.429999999971</v>
      </c>
      <c r="C240" s="14">
        <f t="shared" si="319"/>
        <v>450.28</v>
      </c>
      <c r="D240" s="14">
        <f t="shared" si="335"/>
        <v>295.5</v>
      </c>
      <c r="E240" s="14">
        <f t="shared" si="320"/>
        <v>154.78</v>
      </c>
      <c r="F240" s="14">
        <f t="shared" si="278"/>
        <v>134.16999999999999</v>
      </c>
      <c r="G240" s="14">
        <f t="shared" si="275"/>
        <v>188.55</v>
      </c>
      <c r="H240" s="14">
        <f t="shared" si="276"/>
        <v>773</v>
      </c>
      <c r="I240" s="285">
        <f t="shared" si="290"/>
        <v>48296.909999999974</v>
      </c>
      <c r="J240" s="285">
        <f t="shared" si="291"/>
        <v>53770.20999999997</v>
      </c>
      <c r="K240" s="285">
        <f t="shared" si="292"/>
        <v>49234.929999999971</v>
      </c>
      <c r="L240" s="425">
        <f t="shared" si="371"/>
        <v>15</v>
      </c>
      <c r="M240" s="425">
        <f t="shared" si="327"/>
        <v>181</v>
      </c>
      <c r="N240" s="285">
        <f t="shared" si="328"/>
        <v>187205.58000000002</v>
      </c>
      <c r="O240" s="285">
        <f t="shared" si="293"/>
        <v>1610.57</v>
      </c>
      <c r="P240" s="285">
        <f t="shared" si="336"/>
        <v>635.54</v>
      </c>
      <c r="Q240" s="285">
        <f t="shared" si="294"/>
        <v>975.03</v>
      </c>
      <c r="R240" s="285">
        <f t="shared" si="281"/>
        <v>134.16999999999999</v>
      </c>
      <c r="S240" s="285">
        <f t="shared" si="282"/>
        <v>188.55</v>
      </c>
      <c r="T240" s="285">
        <f t="shared" si="279"/>
        <v>1933.29</v>
      </c>
      <c r="U240" s="285">
        <f t="shared" si="337"/>
        <v>75005.959999999977</v>
      </c>
      <c r="V240" s="285">
        <f t="shared" si="338"/>
        <v>218117.77999999994</v>
      </c>
      <c r="W240" s="285">
        <f t="shared" si="295"/>
        <v>186570.04</v>
      </c>
      <c r="X240" s="502">
        <f t="shared" si="329"/>
        <v>51159</v>
      </c>
      <c r="Y240" s="285">
        <f t="shared" si="296"/>
        <v>285523.08000000025</v>
      </c>
      <c r="Z240" s="494">
        <f t="shared" si="321"/>
        <v>6.25E-2</v>
      </c>
      <c r="AA240" s="285">
        <f t="shared" si="322"/>
        <v>1630.04</v>
      </c>
      <c r="AB240" s="285">
        <f t="shared" si="297"/>
        <v>142.94000000000005</v>
      </c>
      <c r="AC240" s="285">
        <f t="shared" si="323"/>
        <v>1487.1</v>
      </c>
      <c r="AD240" s="285">
        <f t="shared" ref="AD240:AE240" si="373">+AD239</f>
        <v>134.16999999999999</v>
      </c>
      <c r="AE240" s="285">
        <f t="shared" si="373"/>
        <v>188.55</v>
      </c>
      <c r="AF240" s="285">
        <f t="shared" si="299"/>
        <v>1952.76</v>
      </c>
      <c r="AG240" s="285">
        <f t="shared" si="300"/>
        <v>45813.259999999973</v>
      </c>
      <c r="AH240" s="285">
        <f t="shared" si="301"/>
        <v>245080.22</v>
      </c>
      <c r="AI240" s="512">
        <f t="shared" si="284"/>
        <v>2230.2599999999757</v>
      </c>
      <c r="AJ240" s="512">
        <f t="shared" si="350"/>
        <v>-98810.100000000239</v>
      </c>
      <c r="AK240" s="512">
        <f t="shared" si="285"/>
        <v>-96579.840000000258</v>
      </c>
      <c r="AL240" s="285">
        <f t="shared" si="302"/>
        <v>285380.14000000025</v>
      </c>
      <c r="AM240" s="425">
        <f t="shared" si="331"/>
        <v>15</v>
      </c>
      <c r="AN240" s="14">
        <f t="shared" si="286"/>
        <v>1160.29</v>
      </c>
      <c r="AO240" s="14">
        <f t="shared" si="369"/>
        <v>207256.35000000003</v>
      </c>
      <c r="AP240" s="14">
        <f t="shared" si="287"/>
        <v>1179.76</v>
      </c>
      <c r="AS240" s="14">
        <f t="shared" si="325"/>
        <v>1160.29</v>
      </c>
      <c r="AT240" s="14">
        <f t="shared" si="332"/>
        <v>210692.22000000023</v>
      </c>
      <c r="AU240" s="285">
        <f t="shared" si="333"/>
        <v>1146.895090637297</v>
      </c>
      <c r="AV240" s="285">
        <f t="shared" si="334"/>
        <v>198328.93134555614</v>
      </c>
    </row>
    <row r="241" spans="1:48" x14ac:dyDescent="0.25">
      <c r="A241" s="502">
        <f t="shared" si="289"/>
        <v>51189</v>
      </c>
      <c r="B241" s="285">
        <f t="shared" si="326"/>
        <v>49234.929999999971</v>
      </c>
      <c r="C241" s="14">
        <f t="shared" si="319"/>
        <v>450.28</v>
      </c>
      <c r="D241" s="14">
        <f t="shared" si="335"/>
        <v>296.41999999999996</v>
      </c>
      <c r="E241" s="14">
        <f t="shared" si="320"/>
        <v>153.86000000000001</v>
      </c>
      <c r="F241" s="14">
        <f t="shared" si="278"/>
        <v>134.16999999999999</v>
      </c>
      <c r="G241" s="14">
        <f t="shared" si="275"/>
        <v>188.55</v>
      </c>
      <c r="H241" s="14">
        <f t="shared" si="276"/>
        <v>773</v>
      </c>
      <c r="I241" s="285">
        <f t="shared" si="290"/>
        <v>48593.329999999973</v>
      </c>
      <c r="J241" s="285">
        <f t="shared" si="291"/>
        <v>53924.069999999971</v>
      </c>
      <c r="K241" s="285">
        <f t="shared" si="292"/>
        <v>48938.509999999973</v>
      </c>
      <c r="L241" s="425">
        <f t="shared" si="371"/>
        <v>15</v>
      </c>
      <c r="M241" s="425">
        <f t="shared" si="327"/>
        <v>182</v>
      </c>
      <c r="N241" s="285">
        <f t="shared" si="328"/>
        <v>186570.04</v>
      </c>
      <c r="O241" s="285">
        <f t="shared" si="293"/>
        <v>1610.57</v>
      </c>
      <c r="P241" s="285">
        <f t="shared" si="336"/>
        <v>638.84999999999991</v>
      </c>
      <c r="Q241" s="285">
        <f t="shared" si="294"/>
        <v>971.72</v>
      </c>
      <c r="R241" s="285">
        <f t="shared" si="281"/>
        <v>134.16999999999999</v>
      </c>
      <c r="S241" s="285">
        <f t="shared" si="282"/>
        <v>188.55</v>
      </c>
      <c r="T241" s="285">
        <f t="shared" si="279"/>
        <v>1933.29</v>
      </c>
      <c r="U241" s="285">
        <f t="shared" si="337"/>
        <v>75644.809999999983</v>
      </c>
      <c r="V241" s="285">
        <f t="shared" si="338"/>
        <v>219089.49999999994</v>
      </c>
      <c r="W241" s="285">
        <f t="shared" si="295"/>
        <v>185931.19</v>
      </c>
      <c r="X241" s="502">
        <f t="shared" si="329"/>
        <v>51189</v>
      </c>
      <c r="Y241" s="285">
        <f t="shared" si="296"/>
        <v>285380.14000000025</v>
      </c>
      <c r="Z241" s="494">
        <f t="shared" si="321"/>
        <v>6.25E-2</v>
      </c>
      <c r="AA241" s="285">
        <f t="shared" si="322"/>
        <v>1630.04</v>
      </c>
      <c r="AB241" s="285">
        <f t="shared" si="297"/>
        <v>143.69000000000005</v>
      </c>
      <c r="AC241" s="285">
        <f t="shared" si="323"/>
        <v>1486.35</v>
      </c>
      <c r="AD241" s="285">
        <f t="shared" ref="AD241:AE241" si="374">+AD240</f>
        <v>134.16999999999999</v>
      </c>
      <c r="AE241" s="285">
        <f t="shared" si="374"/>
        <v>188.55</v>
      </c>
      <c r="AF241" s="285">
        <f t="shared" si="299"/>
        <v>1952.76</v>
      </c>
      <c r="AG241" s="285">
        <f t="shared" si="300"/>
        <v>45956.949999999975</v>
      </c>
      <c r="AH241" s="285">
        <f t="shared" si="301"/>
        <v>246566.57</v>
      </c>
      <c r="AI241" s="512">
        <f t="shared" si="284"/>
        <v>2210.7899999999754</v>
      </c>
      <c r="AJ241" s="512">
        <f t="shared" si="350"/>
        <v>-99305.260000000242</v>
      </c>
      <c r="AK241" s="512">
        <f t="shared" si="285"/>
        <v>-97094.470000000263</v>
      </c>
      <c r="AL241" s="285">
        <f t="shared" si="302"/>
        <v>285236.45000000024</v>
      </c>
      <c r="AM241" s="425">
        <f t="shared" si="331"/>
        <v>15</v>
      </c>
      <c r="AN241" s="14">
        <f t="shared" si="286"/>
        <v>1160.29</v>
      </c>
      <c r="AO241" s="14">
        <f t="shared" si="369"/>
        <v>206913.91999999998</v>
      </c>
      <c r="AP241" s="14">
        <f t="shared" si="287"/>
        <v>1179.76</v>
      </c>
      <c r="AS241" s="14">
        <f t="shared" si="325"/>
        <v>1160.29</v>
      </c>
      <c r="AT241" s="14">
        <f t="shared" si="332"/>
        <v>211852.51000000024</v>
      </c>
      <c r="AU241" s="285">
        <f t="shared" si="333"/>
        <v>1149.7623283638902</v>
      </c>
      <c r="AV241" s="285">
        <f t="shared" si="334"/>
        <v>199478.69367392003</v>
      </c>
    </row>
    <row r="242" spans="1:48" ht="15.75" thickBot="1" x14ac:dyDescent="0.3">
      <c r="A242" s="505">
        <f t="shared" si="289"/>
        <v>51219</v>
      </c>
      <c r="B242" s="345">
        <f t="shared" si="326"/>
        <v>48938.509999999973</v>
      </c>
      <c r="C242" s="21">
        <f t="shared" si="319"/>
        <v>450.28</v>
      </c>
      <c r="D242" s="21">
        <f t="shared" si="335"/>
        <v>297.34999999999997</v>
      </c>
      <c r="E242" s="21">
        <f t="shared" si="320"/>
        <v>152.93</v>
      </c>
      <c r="F242" s="21">
        <f t="shared" si="278"/>
        <v>134.16999999999999</v>
      </c>
      <c r="G242" s="21">
        <f t="shared" si="275"/>
        <v>188.55</v>
      </c>
      <c r="H242" s="21">
        <f t="shared" si="276"/>
        <v>773</v>
      </c>
      <c r="I242" s="345">
        <f t="shared" si="290"/>
        <v>48890.679999999971</v>
      </c>
      <c r="J242" s="345">
        <f t="shared" si="291"/>
        <v>54076.999999999971</v>
      </c>
      <c r="K242" s="345">
        <f t="shared" si="292"/>
        <v>48641.159999999974</v>
      </c>
      <c r="L242" s="426">
        <f t="shared" si="371"/>
        <v>15</v>
      </c>
      <c r="M242" s="426">
        <f t="shared" si="327"/>
        <v>183</v>
      </c>
      <c r="N242" s="345">
        <f t="shared" si="328"/>
        <v>185931.19</v>
      </c>
      <c r="O242" s="345">
        <f t="shared" si="293"/>
        <v>1610.57</v>
      </c>
      <c r="P242" s="345">
        <f t="shared" si="336"/>
        <v>642.17999999999995</v>
      </c>
      <c r="Q242" s="345">
        <f t="shared" si="294"/>
        <v>968.39</v>
      </c>
      <c r="R242" s="345">
        <f t="shared" si="281"/>
        <v>134.16999999999999</v>
      </c>
      <c r="S242" s="345">
        <f t="shared" si="282"/>
        <v>188.55</v>
      </c>
      <c r="T242" s="345">
        <f t="shared" si="279"/>
        <v>1933.29</v>
      </c>
      <c r="U242" s="345">
        <f t="shared" si="337"/>
        <v>76286.989999999976</v>
      </c>
      <c r="V242" s="345">
        <f t="shared" si="338"/>
        <v>220057.88999999996</v>
      </c>
      <c r="W242" s="345">
        <f t="shared" si="295"/>
        <v>185289.01</v>
      </c>
      <c r="X242" s="505">
        <f t="shared" si="329"/>
        <v>51219</v>
      </c>
      <c r="Y242" s="345">
        <f t="shared" si="296"/>
        <v>285236.45000000024</v>
      </c>
      <c r="Z242" s="495">
        <f t="shared" si="321"/>
        <v>6.25E-2</v>
      </c>
      <c r="AA242" s="345">
        <f t="shared" si="322"/>
        <v>1630.04</v>
      </c>
      <c r="AB242" s="345">
        <f t="shared" si="297"/>
        <v>144.43000000000006</v>
      </c>
      <c r="AC242" s="345">
        <f t="shared" si="323"/>
        <v>1485.61</v>
      </c>
      <c r="AD242" s="345">
        <f t="shared" ref="AD242:AE242" si="375">+AD241</f>
        <v>134.16999999999999</v>
      </c>
      <c r="AE242" s="345">
        <f t="shared" si="375"/>
        <v>188.55</v>
      </c>
      <c r="AF242" s="345">
        <f t="shared" si="299"/>
        <v>1952.76</v>
      </c>
      <c r="AG242" s="345">
        <f t="shared" si="300"/>
        <v>46101.379999999976</v>
      </c>
      <c r="AH242" s="345">
        <f t="shared" si="301"/>
        <v>248052.18</v>
      </c>
      <c r="AI242" s="513">
        <f t="shared" si="284"/>
        <v>2191.3199999999752</v>
      </c>
      <c r="AJ242" s="513">
        <f t="shared" si="350"/>
        <v>-99803.010000000242</v>
      </c>
      <c r="AK242" s="512">
        <f t="shared" si="285"/>
        <v>-97611.690000000264</v>
      </c>
      <c r="AL242" s="345">
        <f t="shared" si="302"/>
        <v>285092.02000000025</v>
      </c>
      <c r="AM242" s="426">
        <f t="shared" si="331"/>
        <v>15</v>
      </c>
      <c r="AN242" s="21">
        <f t="shared" si="286"/>
        <v>1160.29</v>
      </c>
      <c r="AO242" s="21">
        <f t="shared" si="369"/>
        <v>206569.09000000003</v>
      </c>
      <c r="AP242" s="21">
        <f t="shared" si="287"/>
        <v>1179.76</v>
      </c>
      <c r="AQ242" s="21"/>
      <c r="AR242" s="23"/>
      <c r="AS242" s="21">
        <f t="shared" si="325"/>
        <v>1160.29</v>
      </c>
      <c r="AT242" s="21">
        <f t="shared" si="332"/>
        <v>213012.80000000025</v>
      </c>
      <c r="AU242" s="345">
        <f t="shared" si="333"/>
        <v>1152.6367341847999</v>
      </c>
      <c r="AV242" s="345">
        <f t="shared" si="334"/>
        <v>200631.33040810484</v>
      </c>
    </row>
    <row r="243" spans="1:48" x14ac:dyDescent="0.25">
      <c r="A243" s="502">
        <f t="shared" si="289"/>
        <v>51249</v>
      </c>
      <c r="B243" s="285">
        <f t="shared" si="326"/>
        <v>48641.159999999974</v>
      </c>
      <c r="C243" s="14">
        <f t="shared" si="319"/>
        <v>450.28</v>
      </c>
      <c r="D243" s="14">
        <f t="shared" si="335"/>
        <v>298.27999999999997</v>
      </c>
      <c r="E243" s="14">
        <f t="shared" si="320"/>
        <v>152</v>
      </c>
      <c r="F243" s="14">
        <f t="shared" si="278"/>
        <v>134.16999999999999</v>
      </c>
      <c r="G243" s="14">
        <f t="shared" si="275"/>
        <v>188.55</v>
      </c>
      <c r="H243" s="14">
        <f t="shared" si="276"/>
        <v>773</v>
      </c>
      <c r="I243" s="285">
        <f t="shared" si="290"/>
        <v>49188.95999999997</v>
      </c>
      <c r="J243" s="285">
        <f t="shared" si="291"/>
        <v>54228.999999999971</v>
      </c>
      <c r="K243" s="285">
        <f t="shared" si="292"/>
        <v>48342.879999999976</v>
      </c>
      <c r="L243" s="425">
        <f t="shared" si="371"/>
        <v>15</v>
      </c>
      <c r="M243" s="425">
        <f t="shared" si="327"/>
        <v>184</v>
      </c>
      <c r="N243" s="285">
        <f t="shared" si="328"/>
        <v>185289.01</v>
      </c>
      <c r="O243" s="285">
        <f t="shared" si="293"/>
        <v>1610.57</v>
      </c>
      <c r="P243" s="285">
        <f t="shared" si="336"/>
        <v>645.52</v>
      </c>
      <c r="Q243" s="285">
        <f t="shared" si="294"/>
        <v>965.05</v>
      </c>
      <c r="R243" s="285">
        <f t="shared" si="281"/>
        <v>134.16999999999999</v>
      </c>
      <c r="S243" s="285">
        <f t="shared" si="282"/>
        <v>188.55</v>
      </c>
      <c r="T243" s="285">
        <f t="shared" si="279"/>
        <v>1933.29</v>
      </c>
      <c r="U243" s="285">
        <f t="shared" si="337"/>
        <v>76932.50999999998</v>
      </c>
      <c r="V243" s="285">
        <f t="shared" si="338"/>
        <v>221022.93999999994</v>
      </c>
      <c r="W243" s="285">
        <f t="shared" si="295"/>
        <v>184643.49000000002</v>
      </c>
      <c r="X243" s="502">
        <f t="shared" si="329"/>
        <v>51249</v>
      </c>
      <c r="Y243" s="285">
        <f t="shared" si="296"/>
        <v>285092.02000000025</v>
      </c>
      <c r="Z243" s="494">
        <f t="shared" si="321"/>
        <v>6.25E-2</v>
      </c>
      <c r="AA243" s="285">
        <f t="shared" si="322"/>
        <v>1630.04</v>
      </c>
      <c r="AB243" s="285">
        <f t="shared" si="297"/>
        <v>145.19000000000005</v>
      </c>
      <c r="AC243" s="285">
        <f t="shared" si="323"/>
        <v>1484.85</v>
      </c>
      <c r="AD243" s="285">
        <f t="shared" ref="AD243:AE243" si="376">+AD242</f>
        <v>134.16999999999999</v>
      </c>
      <c r="AE243" s="285">
        <f t="shared" si="376"/>
        <v>188.55</v>
      </c>
      <c r="AF243" s="285">
        <f t="shared" si="299"/>
        <v>1952.76</v>
      </c>
      <c r="AG243" s="285">
        <f t="shared" si="300"/>
        <v>46246.569999999978</v>
      </c>
      <c r="AH243" s="285">
        <f t="shared" si="301"/>
        <v>249537.03</v>
      </c>
      <c r="AI243" s="512">
        <f t="shared" si="284"/>
        <v>2171.8499999999749</v>
      </c>
      <c r="AJ243" s="512">
        <f t="shared" si="350"/>
        <v>-100303.34000000023</v>
      </c>
      <c r="AK243" s="512">
        <f t="shared" si="285"/>
        <v>-98131.490000000253</v>
      </c>
      <c r="AL243" s="285">
        <f t="shared" si="302"/>
        <v>284946.83000000025</v>
      </c>
      <c r="AM243" s="425">
        <f t="shared" si="331"/>
        <v>15</v>
      </c>
      <c r="AN243" s="14">
        <f t="shared" si="286"/>
        <v>1160.29</v>
      </c>
      <c r="AO243" s="14">
        <f t="shared" si="369"/>
        <v>206221.85</v>
      </c>
      <c r="AP243" s="14">
        <f t="shared" si="287"/>
        <v>1179.76</v>
      </c>
      <c r="AS243" s="14">
        <f t="shared" si="325"/>
        <v>1160.29</v>
      </c>
      <c r="AT243" s="14">
        <f t="shared" si="332"/>
        <v>214173.09000000026</v>
      </c>
      <c r="AU243" s="285">
        <f t="shared" si="333"/>
        <v>1155.5183260202618</v>
      </c>
      <c r="AV243" s="285">
        <f t="shared" si="334"/>
        <v>201786.84873412512</v>
      </c>
    </row>
    <row r="244" spans="1:48" x14ac:dyDescent="0.25">
      <c r="A244" s="502">
        <f t="shared" si="289"/>
        <v>51279</v>
      </c>
      <c r="B244" s="285">
        <f t="shared" si="326"/>
        <v>48342.879999999976</v>
      </c>
      <c r="C244" s="14">
        <f t="shared" si="319"/>
        <v>450.28</v>
      </c>
      <c r="D244" s="14">
        <f t="shared" si="335"/>
        <v>299.20999999999998</v>
      </c>
      <c r="E244" s="14">
        <f t="shared" si="320"/>
        <v>151.07</v>
      </c>
      <c r="F244" s="14">
        <f t="shared" si="278"/>
        <v>134.16999999999999</v>
      </c>
      <c r="G244" s="14">
        <f t="shared" si="275"/>
        <v>188.55</v>
      </c>
      <c r="H244" s="14">
        <f t="shared" si="276"/>
        <v>773</v>
      </c>
      <c r="I244" s="285">
        <f t="shared" si="290"/>
        <v>49488.169999999969</v>
      </c>
      <c r="J244" s="285">
        <f t="shared" si="291"/>
        <v>54380.069999999971</v>
      </c>
      <c r="K244" s="285">
        <f t="shared" si="292"/>
        <v>48043.669999999976</v>
      </c>
      <c r="L244" s="425">
        <f t="shared" si="371"/>
        <v>15</v>
      </c>
      <c r="M244" s="425">
        <f t="shared" si="327"/>
        <v>185</v>
      </c>
      <c r="N244" s="285">
        <f t="shared" si="328"/>
        <v>184643.49000000002</v>
      </c>
      <c r="O244" s="285">
        <f t="shared" si="293"/>
        <v>1610.57</v>
      </c>
      <c r="P244" s="285">
        <f t="shared" si="336"/>
        <v>648.89</v>
      </c>
      <c r="Q244" s="285">
        <f t="shared" si="294"/>
        <v>961.68</v>
      </c>
      <c r="R244" s="285">
        <f t="shared" si="281"/>
        <v>134.16999999999999</v>
      </c>
      <c r="S244" s="285">
        <f t="shared" si="282"/>
        <v>188.55</v>
      </c>
      <c r="T244" s="285">
        <f t="shared" si="279"/>
        <v>1933.29</v>
      </c>
      <c r="U244" s="285">
        <f t="shared" si="337"/>
        <v>77581.39999999998</v>
      </c>
      <c r="V244" s="285">
        <f t="shared" si="338"/>
        <v>221984.61999999994</v>
      </c>
      <c r="W244" s="285">
        <f t="shared" si="295"/>
        <v>183994.6</v>
      </c>
      <c r="X244" s="502">
        <f t="shared" si="329"/>
        <v>51279</v>
      </c>
      <c r="Y244" s="285">
        <f t="shared" si="296"/>
        <v>284946.83000000025</v>
      </c>
      <c r="Z244" s="494">
        <f t="shared" si="321"/>
        <v>6.25E-2</v>
      </c>
      <c r="AA244" s="285">
        <f t="shared" si="322"/>
        <v>1630.04</v>
      </c>
      <c r="AB244" s="285">
        <f t="shared" si="297"/>
        <v>145.94000000000005</v>
      </c>
      <c r="AC244" s="285">
        <f t="shared" si="323"/>
        <v>1484.1</v>
      </c>
      <c r="AD244" s="285">
        <f t="shared" ref="AD244:AE244" si="377">+AD243</f>
        <v>134.16999999999999</v>
      </c>
      <c r="AE244" s="285">
        <f t="shared" si="377"/>
        <v>188.55</v>
      </c>
      <c r="AF244" s="285">
        <f t="shared" si="299"/>
        <v>1952.76</v>
      </c>
      <c r="AG244" s="285">
        <f t="shared" si="300"/>
        <v>46392.50999999998</v>
      </c>
      <c r="AH244" s="285">
        <f t="shared" si="301"/>
        <v>251021.13</v>
      </c>
      <c r="AI244" s="512">
        <f t="shared" si="284"/>
        <v>2152.3799999999746</v>
      </c>
      <c r="AJ244" s="512">
        <f t="shared" si="350"/>
        <v>-100806.29000000024</v>
      </c>
      <c r="AK244" s="512">
        <f t="shared" si="285"/>
        <v>-98653.910000000265</v>
      </c>
      <c r="AL244" s="285">
        <f t="shared" si="302"/>
        <v>284800.89000000025</v>
      </c>
      <c r="AM244" s="425">
        <f t="shared" si="331"/>
        <v>15</v>
      </c>
      <c r="AN244" s="14">
        <f t="shared" si="286"/>
        <v>1160.29</v>
      </c>
      <c r="AO244" s="14">
        <f t="shared" si="369"/>
        <v>205872.17000000004</v>
      </c>
      <c r="AP244" s="14">
        <f t="shared" si="287"/>
        <v>1179.76</v>
      </c>
      <c r="AS244" s="14">
        <f t="shared" si="325"/>
        <v>1160.29</v>
      </c>
      <c r="AT244" s="14">
        <f t="shared" si="332"/>
        <v>215333.38000000027</v>
      </c>
      <c r="AU244" s="285">
        <f t="shared" si="333"/>
        <v>1158.4071218353129</v>
      </c>
      <c r="AV244" s="285">
        <f t="shared" si="334"/>
        <v>202945.25585596042</v>
      </c>
    </row>
    <row r="245" spans="1:48" x14ac:dyDescent="0.25">
      <c r="A245" s="502">
        <f t="shared" si="289"/>
        <v>51309</v>
      </c>
      <c r="B245" s="285">
        <f t="shared" si="326"/>
        <v>48043.669999999976</v>
      </c>
      <c r="C245" s="14">
        <f t="shared" si="319"/>
        <v>450.28</v>
      </c>
      <c r="D245" s="14">
        <f t="shared" si="335"/>
        <v>300.14</v>
      </c>
      <c r="E245" s="14">
        <f t="shared" si="320"/>
        <v>150.13999999999999</v>
      </c>
      <c r="F245" s="14">
        <f t="shared" si="278"/>
        <v>134.16999999999999</v>
      </c>
      <c r="G245" s="14">
        <f t="shared" si="275"/>
        <v>188.55</v>
      </c>
      <c r="H245" s="14">
        <f t="shared" si="276"/>
        <v>773</v>
      </c>
      <c r="I245" s="285">
        <f t="shared" si="290"/>
        <v>49788.309999999969</v>
      </c>
      <c r="J245" s="285">
        <f t="shared" si="291"/>
        <v>54530.20999999997</v>
      </c>
      <c r="K245" s="285">
        <f t="shared" si="292"/>
        <v>47743.529999999977</v>
      </c>
      <c r="L245" s="425">
        <f t="shared" si="371"/>
        <v>15</v>
      </c>
      <c r="M245" s="425">
        <f t="shared" si="327"/>
        <v>186</v>
      </c>
      <c r="N245" s="285">
        <f t="shared" si="328"/>
        <v>183994.6</v>
      </c>
      <c r="O245" s="285">
        <f t="shared" si="293"/>
        <v>1610.57</v>
      </c>
      <c r="P245" s="285">
        <f t="shared" si="336"/>
        <v>652.26</v>
      </c>
      <c r="Q245" s="285">
        <f t="shared" si="294"/>
        <v>958.31</v>
      </c>
      <c r="R245" s="285">
        <f t="shared" si="281"/>
        <v>134.16999999999999</v>
      </c>
      <c r="S245" s="285">
        <f t="shared" si="282"/>
        <v>188.55</v>
      </c>
      <c r="T245" s="285">
        <f t="shared" si="279"/>
        <v>1933.29</v>
      </c>
      <c r="U245" s="285">
        <f t="shared" si="337"/>
        <v>78233.659999999974</v>
      </c>
      <c r="V245" s="285">
        <f t="shared" si="338"/>
        <v>222942.92999999993</v>
      </c>
      <c r="W245" s="285">
        <f t="shared" si="295"/>
        <v>183342.34</v>
      </c>
      <c r="X245" s="502">
        <f t="shared" si="329"/>
        <v>51309</v>
      </c>
      <c r="Y245" s="285">
        <f t="shared" si="296"/>
        <v>284800.89000000025</v>
      </c>
      <c r="Z245" s="494">
        <f t="shared" si="321"/>
        <v>6.25E-2</v>
      </c>
      <c r="AA245" s="285">
        <f t="shared" si="322"/>
        <v>1630.04</v>
      </c>
      <c r="AB245" s="285">
        <f t="shared" si="297"/>
        <v>146.70000000000005</v>
      </c>
      <c r="AC245" s="285">
        <f t="shared" si="323"/>
        <v>1483.34</v>
      </c>
      <c r="AD245" s="285">
        <f t="shared" ref="AD245:AE245" si="378">+AD244</f>
        <v>134.16999999999999</v>
      </c>
      <c r="AE245" s="285">
        <f t="shared" si="378"/>
        <v>188.55</v>
      </c>
      <c r="AF245" s="285">
        <f t="shared" si="299"/>
        <v>1952.76</v>
      </c>
      <c r="AG245" s="285">
        <f t="shared" si="300"/>
        <v>46539.209999999977</v>
      </c>
      <c r="AH245" s="285">
        <f t="shared" si="301"/>
        <v>252504.47</v>
      </c>
      <c r="AI245" s="512">
        <f t="shared" si="284"/>
        <v>2132.9099999999744</v>
      </c>
      <c r="AJ245" s="512">
        <f t="shared" si="350"/>
        <v>-101311.85000000024</v>
      </c>
      <c r="AK245" s="512">
        <f t="shared" si="285"/>
        <v>-99178.940000000264</v>
      </c>
      <c r="AL245" s="285">
        <f t="shared" si="302"/>
        <v>284654.19000000024</v>
      </c>
      <c r="AM245" s="425">
        <f t="shared" si="331"/>
        <v>15</v>
      </c>
      <c r="AN245" s="14">
        <f t="shared" si="286"/>
        <v>1160.29</v>
      </c>
      <c r="AO245" s="14">
        <f t="shared" si="369"/>
        <v>205520.05</v>
      </c>
      <c r="AP245" s="14">
        <f t="shared" si="287"/>
        <v>1179.76</v>
      </c>
      <c r="AS245" s="14">
        <f t="shared" si="325"/>
        <v>1160.29</v>
      </c>
      <c r="AT245" s="14">
        <f t="shared" si="332"/>
        <v>216493.67000000027</v>
      </c>
      <c r="AU245" s="285">
        <f t="shared" si="333"/>
        <v>1161.303139639901</v>
      </c>
      <c r="AV245" s="285">
        <f t="shared" si="334"/>
        <v>204106.55899560032</v>
      </c>
    </row>
    <row r="246" spans="1:48" x14ac:dyDescent="0.25">
      <c r="A246" s="502">
        <f t="shared" si="289"/>
        <v>51339</v>
      </c>
      <c r="B246" s="285">
        <f t="shared" si="326"/>
        <v>47743.529999999977</v>
      </c>
      <c r="C246" s="14">
        <f t="shared" si="319"/>
        <v>450.28</v>
      </c>
      <c r="D246" s="14">
        <f t="shared" si="335"/>
        <v>301.08</v>
      </c>
      <c r="E246" s="14">
        <f t="shared" si="320"/>
        <v>149.19999999999999</v>
      </c>
      <c r="F246" s="14">
        <f t="shared" si="278"/>
        <v>134.16999999999999</v>
      </c>
      <c r="G246" s="14">
        <f t="shared" si="275"/>
        <v>188.55</v>
      </c>
      <c r="H246" s="14">
        <f t="shared" si="276"/>
        <v>773</v>
      </c>
      <c r="I246" s="285">
        <f t="shared" si="290"/>
        <v>50089.38999999997</v>
      </c>
      <c r="J246" s="285">
        <f t="shared" si="291"/>
        <v>54679.409999999967</v>
      </c>
      <c r="K246" s="285">
        <f t="shared" si="292"/>
        <v>47442.449999999975</v>
      </c>
      <c r="L246" s="425">
        <f t="shared" si="371"/>
        <v>15</v>
      </c>
      <c r="M246" s="425">
        <f t="shared" si="327"/>
        <v>187</v>
      </c>
      <c r="N246" s="285">
        <f t="shared" si="328"/>
        <v>183342.34</v>
      </c>
      <c r="O246" s="285">
        <f t="shared" si="293"/>
        <v>1610.57</v>
      </c>
      <c r="P246" s="285">
        <f t="shared" si="336"/>
        <v>655.66</v>
      </c>
      <c r="Q246" s="285">
        <f t="shared" si="294"/>
        <v>954.91</v>
      </c>
      <c r="R246" s="285">
        <f t="shared" si="281"/>
        <v>134.16999999999999</v>
      </c>
      <c r="S246" s="285">
        <f t="shared" si="282"/>
        <v>188.55</v>
      </c>
      <c r="T246" s="285">
        <f t="shared" si="279"/>
        <v>1933.29</v>
      </c>
      <c r="U246" s="285">
        <f t="shared" si="337"/>
        <v>78889.319999999978</v>
      </c>
      <c r="V246" s="285">
        <f t="shared" si="338"/>
        <v>223897.83999999994</v>
      </c>
      <c r="W246" s="285">
        <f t="shared" si="295"/>
        <v>182686.68</v>
      </c>
      <c r="X246" s="502">
        <f t="shared" si="329"/>
        <v>51339</v>
      </c>
      <c r="Y246" s="285">
        <f t="shared" si="296"/>
        <v>284654.19000000024</v>
      </c>
      <c r="Z246" s="494">
        <f t="shared" si="321"/>
        <v>6.25E-2</v>
      </c>
      <c r="AA246" s="285">
        <f t="shared" si="322"/>
        <v>1630.04</v>
      </c>
      <c r="AB246" s="285">
        <f t="shared" si="297"/>
        <v>147.47000000000003</v>
      </c>
      <c r="AC246" s="285">
        <f t="shared" si="323"/>
        <v>1482.57</v>
      </c>
      <c r="AD246" s="285">
        <f t="shared" ref="AD246:AE246" si="379">+AD245</f>
        <v>134.16999999999999</v>
      </c>
      <c r="AE246" s="285">
        <f t="shared" si="379"/>
        <v>188.55</v>
      </c>
      <c r="AF246" s="285">
        <f t="shared" si="299"/>
        <v>1952.76</v>
      </c>
      <c r="AG246" s="285">
        <f t="shared" si="300"/>
        <v>46686.679999999978</v>
      </c>
      <c r="AH246" s="285">
        <f t="shared" si="301"/>
        <v>253987.04</v>
      </c>
      <c r="AI246" s="512">
        <f t="shared" si="284"/>
        <v>2113.4399999999741</v>
      </c>
      <c r="AJ246" s="512">
        <f t="shared" si="350"/>
        <v>-101820.04000000027</v>
      </c>
      <c r="AK246" s="512">
        <f t="shared" si="285"/>
        <v>-99706.600000000297</v>
      </c>
      <c r="AL246" s="285">
        <f t="shared" si="302"/>
        <v>284506.72000000026</v>
      </c>
      <c r="AM246" s="425">
        <f t="shared" si="331"/>
        <v>15</v>
      </c>
      <c r="AN246" s="14">
        <f t="shared" si="286"/>
        <v>1160.29</v>
      </c>
      <c r="AO246" s="14">
        <f t="shared" si="369"/>
        <v>205165.47</v>
      </c>
      <c r="AP246" s="14">
        <f t="shared" si="287"/>
        <v>1179.76</v>
      </c>
      <c r="AS246" s="14">
        <f t="shared" si="325"/>
        <v>1160.29</v>
      </c>
      <c r="AT246" s="14">
        <f t="shared" si="332"/>
        <v>217653.96000000028</v>
      </c>
      <c r="AU246" s="285">
        <f t="shared" si="333"/>
        <v>1164.2063974890009</v>
      </c>
      <c r="AV246" s="285">
        <f t="shared" si="334"/>
        <v>205270.76539308933</v>
      </c>
    </row>
    <row r="247" spans="1:48" x14ac:dyDescent="0.25">
      <c r="A247" s="502">
        <f t="shared" si="289"/>
        <v>51369</v>
      </c>
      <c r="B247" s="285">
        <f t="shared" si="326"/>
        <v>47442.449999999975</v>
      </c>
      <c r="C247" s="14">
        <f t="shared" si="319"/>
        <v>450.28</v>
      </c>
      <c r="D247" s="14">
        <f t="shared" si="335"/>
        <v>302.02</v>
      </c>
      <c r="E247" s="14">
        <f t="shared" si="320"/>
        <v>148.26</v>
      </c>
      <c r="F247" s="14">
        <f t="shared" si="278"/>
        <v>134.16999999999999</v>
      </c>
      <c r="G247" s="14">
        <f t="shared" si="275"/>
        <v>188.55</v>
      </c>
      <c r="H247" s="14">
        <f t="shared" si="276"/>
        <v>773</v>
      </c>
      <c r="I247" s="285">
        <f t="shared" si="290"/>
        <v>50391.409999999967</v>
      </c>
      <c r="J247" s="285">
        <f t="shared" si="291"/>
        <v>54827.669999999969</v>
      </c>
      <c r="K247" s="285">
        <f t="shared" si="292"/>
        <v>47140.429999999978</v>
      </c>
      <c r="L247" s="425">
        <f t="shared" si="371"/>
        <v>15</v>
      </c>
      <c r="M247" s="425">
        <f t="shared" si="327"/>
        <v>188</v>
      </c>
      <c r="N247" s="285">
        <f t="shared" si="328"/>
        <v>182686.68</v>
      </c>
      <c r="O247" s="285">
        <f t="shared" si="293"/>
        <v>1610.57</v>
      </c>
      <c r="P247" s="285">
        <f t="shared" si="336"/>
        <v>659.07999999999993</v>
      </c>
      <c r="Q247" s="285">
        <f t="shared" si="294"/>
        <v>951.49</v>
      </c>
      <c r="R247" s="285">
        <f t="shared" si="281"/>
        <v>134.16999999999999</v>
      </c>
      <c r="S247" s="285">
        <f t="shared" si="282"/>
        <v>188.55</v>
      </c>
      <c r="T247" s="285">
        <f t="shared" si="279"/>
        <v>1933.29</v>
      </c>
      <c r="U247" s="285">
        <f t="shared" si="337"/>
        <v>79548.39999999998</v>
      </c>
      <c r="V247" s="285">
        <f t="shared" si="338"/>
        <v>224849.32999999993</v>
      </c>
      <c r="W247" s="285">
        <f t="shared" si="295"/>
        <v>182027.6</v>
      </c>
      <c r="X247" s="502">
        <f t="shared" si="329"/>
        <v>51369</v>
      </c>
      <c r="Y247" s="285">
        <f t="shared" si="296"/>
        <v>284506.72000000026</v>
      </c>
      <c r="Z247" s="494">
        <f t="shared" si="321"/>
        <v>6.25E-2</v>
      </c>
      <c r="AA247" s="285">
        <f t="shared" si="322"/>
        <v>1630.04</v>
      </c>
      <c r="AB247" s="285">
        <f t="shared" si="297"/>
        <v>148.23000000000002</v>
      </c>
      <c r="AC247" s="285">
        <f t="shared" si="323"/>
        <v>1481.81</v>
      </c>
      <c r="AD247" s="285">
        <f t="shared" ref="AD247:AE247" si="380">+AD246</f>
        <v>134.16999999999999</v>
      </c>
      <c r="AE247" s="285">
        <f t="shared" si="380"/>
        <v>188.55</v>
      </c>
      <c r="AF247" s="285">
        <f t="shared" si="299"/>
        <v>1952.76</v>
      </c>
      <c r="AG247" s="285">
        <f t="shared" si="300"/>
        <v>46834.909999999982</v>
      </c>
      <c r="AH247" s="285">
        <f t="shared" si="301"/>
        <v>255468.85</v>
      </c>
      <c r="AI247" s="512">
        <f t="shared" si="284"/>
        <v>2093.9699999999739</v>
      </c>
      <c r="AJ247" s="512">
        <f t="shared" si="350"/>
        <v>-102330.89000000028</v>
      </c>
      <c r="AK247" s="512">
        <f t="shared" si="285"/>
        <v>-100236.9200000003</v>
      </c>
      <c r="AL247" s="285">
        <f t="shared" si="302"/>
        <v>284358.49000000028</v>
      </c>
      <c r="AM247" s="425">
        <f t="shared" si="331"/>
        <v>15</v>
      </c>
      <c r="AN247" s="14">
        <f t="shared" si="286"/>
        <v>1160.29</v>
      </c>
      <c r="AO247" s="14">
        <f t="shared" si="369"/>
        <v>204808.41000000003</v>
      </c>
      <c r="AP247" s="14">
        <f t="shared" si="287"/>
        <v>1179.76</v>
      </c>
      <c r="AS247" s="14">
        <f t="shared" si="325"/>
        <v>1160.29</v>
      </c>
      <c r="AT247" s="14">
        <f t="shared" si="332"/>
        <v>218814.25000000029</v>
      </c>
      <c r="AU247" s="285">
        <f t="shared" si="333"/>
        <v>1167.1169134827232</v>
      </c>
      <c r="AV247" s="285">
        <f t="shared" si="334"/>
        <v>206437.88230657205</v>
      </c>
    </row>
    <row r="248" spans="1:48" x14ac:dyDescent="0.25">
      <c r="A248" s="502">
        <f t="shared" si="289"/>
        <v>51399</v>
      </c>
      <c r="B248" s="285">
        <f t="shared" si="326"/>
        <v>47140.429999999978</v>
      </c>
      <c r="C248" s="14">
        <f t="shared" si="319"/>
        <v>450.28</v>
      </c>
      <c r="D248" s="14">
        <f t="shared" si="335"/>
        <v>302.96999999999997</v>
      </c>
      <c r="E248" s="14">
        <f t="shared" si="320"/>
        <v>147.31</v>
      </c>
      <c r="F248" s="14">
        <f t="shared" si="278"/>
        <v>134.16999999999999</v>
      </c>
      <c r="G248" s="14">
        <f t="shared" si="275"/>
        <v>188.55</v>
      </c>
      <c r="H248" s="14">
        <f t="shared" si="276"/>
        <v>773</v>
      </c>
      <c r="I248" s="285">
        <f t="shared" si="290"/>
        <v>50694.379999999968</v>
      </c>
      <c r="J248" s="285">
        <f t="shared" si="291"/>
        <v>54974.979999999967</v>
      </c>
      <c r="K248" s="285">
        <f t="shared" si="292"/>
        <v>46837.459999999977</v>
      </c>
      <c r="L248" s="425">
        <f t="shared" si="371"/>
        <v>15</v>
      </c>
      <c r="M248" s="425">
        <f t="shared" si="327"/>
        <v>189</v>
      </c>
      <c r="N248" s="285">
        <f t="shared" si="328"/>
        <v>182027.6</v>
      </c>
      <c r="O248" s="285">
        <f t="shared" si="293"/>
        <v>1610.57</v>
      </c>
      <c r="P248" s="285">
        <f t="shared" si="336"/>
        <v>662.51</v>
      </c>
      <c r="Q248" s="285">
        <f t="shared" si="294"/>
        <v>948.06</v>
      </c>
      <c r="R248" s="285">
        <f t="shared" si="281"/>
        <v>134.16999999999999</v>
      </c>
      <c r="S248" s="285">
        <f t="shared" si="282"/>
        <v>188.55</v>
      </c>
      <c r="T248" s="285">
        <f t="shared" si="279"/>
        <v>1933.29</v>
      </c>
      <c r="U248" s="285">
        <f t="shared" si="337"/>
        <v>80210.909999999974</v>
      </c>
      <c r="V248" s="285">
        <f t="shared" si="338"/>
        <v>225797.38999999993</v>
      </c>
      <c r="W248" s="285">
        <f t="shared" si="295"/>
        <v>181365.09</v>
      </c>
      <c r="X248" s="502">
        <f t="shared" si="329"/>
        <v>51399</v>
      </c>
      <c r="Y248" s="285">
        <f t="shared" si="296"/>
        <v>284358.49000000028</v>
      </c>
      <c r="Z248" s="494">
        <f t="shared" si="321"/>
        <v>6.25E-2</v>
      </c>
      <c r="AA248" s="285">
        <f t="shared" si="322"/>
        <v>1630.04</v>
      </c>
      <c r="AB248" s="285">
        <f t="shared" si="297"/>
        <v>149.01</v>
      </c>
      <c r="AC248" s="285">
        <f t="shared" si="323"/>
        <v>1481.03</v>
      </c>
      <c r="AD248" s="285">
        <f t="shared" ref="AD248:AE248" si="381">+AD247</f>
        <v>134.16999999999999</v>
      </c>
      <c r="AE248" s="285">
        <f t="shared" si="381"/>
        <v>188.55</v>
      </c>
      <c r="AF248" s="285">
        <f t="shared" si="299"/>
        <v>1952.76</v>
      </c>
      <c r="AG248" s="285">
        <f t="shared" si="300"/>
        <v>46983.919999999984</v>
      </c>
      <c r="AH248" s="285">
        <f t="shared" si="301"/>
        <v>256949.88</v>
      </c>
      <c r="AI248" s="512">
        <f t="shared" si="284"/>
        <v>2074.4999999999736</v>
      </c>
      <c r="AJ248" s="512">
        <f t="shared" si="350"/>
        <v>-102844.39000000028</v>
      </c>
      <c r="AK248" s="512">
        <f t="shared" si="285"/>
        <v>-100769.89000000031</v>
      </c>
      <c r="AL248" s="285">
        <f t="shared" si="302"/>
        <v>284209.48000000027</v>
      </c>
      <c r="AM248" s="425">
        <f t="shared" si="331"/>
        <v>15</v>
      </c>
      <c r="AN248" s="14">
        <f t="shared" si="286"/>
        <v>1160.29</v>
      </c>
      <c r="AO248" s="14">
        <f t="shared" si="369"/>
        <v>204448.87</v>
      </c>
      <c r="AP248" s="14">
        <f t="shared" si="287"/>
        <v>1179.76</v>
      </c>
      <c r="AS248" s="14">
        <f t="shared" si="325"/>
        <v>1160.29</v>
      </c>
      <c r="AT248" s="14">
        <f t="shared" si="332"/>
        <v>219974.5400000003</v>
      </c>
      <c r="AU248" s="285">
        <f t="shared" si="333"/>
        <v>1170.0347057664301</v>
      </c>
      <c r="AV248" s="285">
        <f t="shared" si="334"/>
        <v>207607.91701233847</v>
      </c>
    </row>
    <row r="249" spans="1:48" x14ac:dyDescent="0.25">
      <c r="A249" s="502">
        <f t="shared" si="289"/>
        <v>51429</v>
      </c>
      <c r="B249" s="285">
        <f t="shared" si="326"/>
        <v>46837.459999999977</v>
      </c>
      <c r="C249" s="14">
        <f t="shared" si="319"/>
        <v>450.28</v>
      </c>
      <c r="D249" s="14">
        <f t="shared" si="335"/>
        <v>303.90999999999997</v>
      </c>
      <c r="E249" s="14">
        <f t="shared" si="320"/>
        <v>146.37</v>
      </c>
      <c r="F249" s="14">
        <f t="shared" si="278"/>
        <v>134.16999999999999</v>
      </c>
      <c r="G249" s="14">
        <f t="shared" si="275"/>
        <v>188.55</v>
      </c>
      <c r="H249" s="14">
        <f t="shared" si="276"/>
        <v>773</v>
      </c>
      <c r="I249" s="285">
        <f t="shared" si="290"/>
        <v>50998.289999999972</v>
      </c>
      <c r="J249" s="285">
        <f t="shared" si="291"/>
        <v>55121.349999999969</v>
      </c>
      <c r="K249" s="285">
        <f t="shared" si="292"/>
        <v>46533.549999999974</v>
      </c>
      <c r="L249" s="425">
        <f t="shared" si="371"/>
        <v>15</v>
      </c>
      <c r="M249" s="425">
        <f t="shared" si="327"/>
        <v>190</v>
      </c>
      <c r="N249" s="285">
        <f t="shared" si="328"/>
        <v>181365.09</v>
      </c>
      <c r="O249" s="285">
        <f t="shared" si="293"/>
        <v>1610.57</v>
      </c>
      <c r="P249" s="285">
        <f t="shared" si="336"/>
        <v>665.95999999999992</v>
      </c>
      <c r="Q249" s="285">
        <f t="shared" si="294"/>
        <v>944.61</v>
      </c>
      <c r="R249" s="285">
        <f t="shared" si="281"/>
        <v>134.16999999999999</v>
      </c>
      <c r="S249" s="285">
        <f t="shared" si="282"/>
        <v>188.55</v>
      </c>
      <c r="T249" s="285">
        <f t="shared" si="279"/>
        <v>1933.29</v>
      </c>
      <c r="U249" s="285">
        <f t="shared" si="337"/>
        <v>80876.869999999981</v>
      </c>
      <c r="V249" s="285">
        <f t="shared" si="338"/>
        <v>226741.99999999991</v>
      </c>
      <c r="W249" s="285">
        <f t="shared" si="295"/>
        <v>180699.13</v>
      </c>
      <c r="X249" s="502">
        <f t="shared" si="329"/>
        <v>51429</v>
      </c>
      <c r="Y249" s="285">
        <f t="shared" si="296"/>
        <v>284209.48000000027</v>
      </c>
      <c r="Z249" s="494">
        <f t="shared" si="321"/>
        <v>6.25E-2</v>
      </c>
      <c r="AA249" s="285">
        <f t="shared" si="322"/>
        <v>1630.04</v>
      </c>
      <c r="AB249" s="285">
        <f t="shared" si="297"/>
        <v>149.77999999999997</v>
      </c>
      <c r="AC249" s="285">
        <f t="shared" si="323"/>
        <v>1480.26</v>
      </c>
      <c r="AD249" s="285">
        <f t="shared" ref="AD249:AE249" si="382">+AD248</f>
        <v>134.16999999999999</v>
      </c>
      <c r="AE249" s="285">
        <f t="shared" si="382"/>
        <v>188.55</v>
      </c>
      <c r="AF249" s="285">
        <f t="shared" si="299"/>
        <v>1952.76</v>
      </c>
      <c r="AG249" s="285">
        <f t="shared" si="300"/>
        <v>47133.699999999983</v>
      </c>
      <c r="AH249" s="285">
        <f t="shared" si="301"/>
        <v>258430.14</v>
      </c>
      <c r="AI249" s="512">
        <f t="shared" si="284"/>
        <v>2055.0299999999734</v>
      </c>
      <c r="AJ249" s="512">
        <f t="shared" si="350"/>
        <v>-103360.57000000024</v>
      </c>
      <c r="AK249" s="512">
        <f t="shared" si="285"/>
        <v>-101305.54000000027</v>
      </c>
      <c r="AL249" s="285">
        <f t="shared" si="302"/>
        <v>284059.70000000024</v>
      </c>
      <c r="AM249" s="425">
        <f t="shared" si="331"/>
        <v>15</v>
      </c>
      <c r="AN249" s="14">
        <f t="shared" si="286"/>
        <v>1160.29</v>
      </c>
      <c r="AO249" s="14">
        <f t="shared" si="369"/>
        <v>204086.82</v>
      </c>
      <c r="AP249" s="14">
        <f t="shared" si="287"/>
        <v>1179.76</v>
      </c>
      <c r="AS249" s="14">
        <f t="shared" si="325"/>
        <v>1160.29</v>
      </c>
      <c r="AT249" s="14">
        <f t="shared" si="332"/>
        <v>221134.83000000031</v>
      </c>
      <c r="AU249" s="285">
        <f t="shared" si="333"/>
        <v>1172.959792530846</v>
      </c>
      <c r="AV249" s="285">
        <f t="shared" si="334"/>
        <v>208780.8768048693</v>
      </c>
    </row>
    <row r="250" spans="1:48" x14ac:dyDescent="0.25">
      <c r="A250" s="502">
        <f t="shared" si="289"/>
        <v>51459</v>
      </c>
      <c r="B250" s="285">
        <f t="shared" si="326"/>
        <v>46533.549999999974</v>
      </c>
      <c r="C250" s="14">
        <f t="shared" si="319"/>
        <v>450.28</v>
      </c>
      <c r="D250" s="14">
        <f t="shared" si="335"/>
        <v>304.86</v>
      </c>
      <c r="E250" s="14">
        <f t="shared" si="320"/>
        <v>145.41999999999999</v>
      </c>
      <c r="F250" s="14">
        <f t="shared" si="278"/>
        <v>134.16999999999999</v>
      </c>
      <c r="G250" s="14">
        <f t="shared" ref="G250:G313" si="383">+G249</f>
        <v>188.55</v>
      </c>
      <c r="H250" s="14">
        <f t="shared" ref="H250:H313" si="384">SUM(D250:G250)</f>
        <v>773</v>
      </c>
      <c r="I250" s="285">
        <f t="shared" si="290"/>
        <v>51303.149999999972</v>
      </c>
      <c r="J250" s="285">
        <f t="shared" si="291"/>
        <v>55266.769999999968</v>
      </c>
      <c r="K250" s="285">
        <f t="shared" si="292"/>
        <v>46228.689999999973</v>
      </c>
      <c r="L250" s="425">
        <f t="shared" si="371"/>
        <v>15</v>
      </c>
      <c r="M250" s="425">
        <f t="shared" si="327"/>
        <v>191</v>
      </c>
      <c r="N250" s="285">
        <f t="shared" si="328"/>
        <v>180699.13</v>
      </c>
      <c r="O250" s="285">
        <f t="shared" si="293"/>
        <v>1610.57</v>
      </c>
      <c r="P250" s="285">
        <f t="shared" si="336"/>
        <v>669.43</v>
      </c>
      <c r="Q250" s="285">
        <f t="shared" si="294"/>
        <v>941.14</v>
      </c>
      <c r="R250" s="285">
        <f t="shared" si="281"/>
        <v>134.16999999999999</v>
      </c>
      <c r="S250" s="285">
        <f t="shared" si="282"/>
        <v>188.55</v>
      </c>
      <c r="T250" s="285">
        <f t="shared" si="279"/>
        <v>1933.29</v>
      </c>
      <c r="U250" s="285">
        <f t="shared" si="337"/>
        <v>81546.299999999974</v>
      </c>
      <c r="V250" s="285">
        <f t="shared" si="338"/>
        <v>227683.13999999993</v>
      </c>
      <c r="W250" s="285">
        <f t="shared" si="295"/>
        <v>180029.7</v>
      </c>
      <c r="X250" s="502">
        <f t="shared" si="329"/>
        <v>51459</v>
      </c>
      <c r="Y250" s="285">
        <f t="shared" si="296"/>
        <v>284059.70000000024</v>
      </c>
      <c r="Z250" s="494">
        <f t="shared" si="321"/>
        <v>6.25E-2</v>
      </c>
      <c r="AA250" s="285">
        <f t="shared" si="322"/>
        <v>1630.04</v>
      </c>
      <c r="AB250" s="285">
        <f t="shared" si="297"/>
        <v>150.55999999999995</v>
      </c>
      <c r="AC250" s="285">
        <f t="shared" si="323"/>
        <v>1479.48</v>
      </c>
      <c r="AD250" s="285">
        <f t="shared" ref="AD250:AE250" si="385">+AD249</f>
        <v>134.16999999999999</v>
      </c>
      <c r="AE250" s="285">
        <f t="shared" si="385"/>
        <v>188.55</v>
      </c>
      <c r="AF250" s="285">
        <f t="shared" si="299"/>
        <v>1952.76</v>
      </c>
      <c r="AG250" s="285">
        <f t="shared" si="300"/>
        <v>47284.25999999998</v>
      </c>
      <c r="AH250" s="285">
        <f t="shared" si="301"/>
        <v>259909.62000000002</v>
      </c>
      <c r="AI250" s="512">
        <f t="shared" si="284"/>
        <v>2035.5599999999733</v>
      </c>
      <c r="AJ250" s="512">
        <f t="shared" si="350"/>
        <v>-103879.44000000024</v>
      </c>
      <c r="AK250" s="512">
        <f t="shared" si="285"/>
        <v>-101843.88000000027</v>
      </c>
      <c r="AL250" s="285">
        <f t="shared" si="302"/>
        <v>283909.14000000025</v>
      </c>
      <c r="AM250" s="425">
        <f t="shared" si="331"/>
        <v>15</v>
      </c>
      <c r="AN250" s="14">
        <f t="shared" si="286"/>
        <v>1160.29</v>
      </c>
      <c r="AO250" s="14">
        <f t="shared" si="369"/>
        <v>203722.25</v>
      </c>
      <c r="AP250" s="14">
        <f t="shared" si="287"/>
        <v>1179.76</v>
      </c>
      <c r="AS250" s="14">
        <f t="shared" si="325"/>
        <v>1160.29</v>
      </c>
      <c r="AT250" s="14">
        <f t="shared" si="332"/>
        <v>222295.12000000032</v>
      </c>
      <c r="AU250" s="285">
        <f t="shared" si="333"/>
        <v>1175.8921920121732</v>
      </c>
      <c r="AV250" s="285">
        <f t="shared" si="334"/>
        <v>209956.76899688147</v>
      </c>
    </row>
    <row r="251" spans="1:48" x14ac:dyDescent="0.25">
      <c r="A251" s="502">
        <f t="shared" si="289"/>
        <v>51489</v>
      </c>
      <c r="B251" s="285">
        <f t="shared" si="326"/>
        <v>46228.689999999973</v>
      </c>
      <c r="C251" s="14">
        <f t="shared" si="319"/>
        <v>450.28</v>
      </c>
      <c r="D251" s="14">
        <f t="shared" si="335"/>
        <v>305.81999999999994</v>
      </c>
      <c r="E251" s="14">
        <f t="shared" si="320"/>
        <v>144.46</v>
      </c>
      <c r="F251" s="14">
        <f t="shared" ref="F251:F314" si="386">+F250</f>
        <v>134.16999999999999</v>
      </c>
      <c r="G251" s="14">
        <f t="shared" si="383"/>
        <v>188.55</v>
      </c>
      <c r="H251" s="14">
        <f t="shared" si="384"/>
        <v>773</v>
      </c>
      <c r="I251" s="285">
        <f t="shared" si="290"/>
        <v>51608.969999999972</v>
      </c>
      <c r="J251" s="285">
        <f t="shared" si="291"/>
        <v>55411.229999999967</v>
      </c>
      <c r="K251" s="285">
        <f t="shared" si="292"/>
        <v>45922.869999999974</v>
      </c>
      <c r="L251" s="425">
        <f t="shared" si="371"/>
        <v>16</v>
      </c>
      <c r="M251" s="425">
        <f t="shared" si="327"/>
        <v>192</v>
      </c>
      <c r="N251" s="285">
        <f t="shared" si="328"/>
        <v>180029.7</v>
      </c>
      <c r="O251" s="285">
        <f t="shared" si="293"/>
        <v>1610.57</v>
      </c>
      <c r="P251" s="285">
        <f t="shared" si="336"/>
        <v>672.92</v>
      </c>
      <c r="Q251" s="285">
        <f t="shared" si="294"/>
        <v>937.65</v>
      </c>
      <c r="R251" s="285">
        <f t="shared" si="281"/>
        <v>134.16999999999999</v>
      </c>
      <c r="S251" s="285">
        <f t="shared" si="282"/>
        <v>188.55</v>
      </c>
      <c r="T251" s="285">
        <f t="shared" ref="T251:T314" si="387">SUM(P251:S251)</f>
        <v>1933.29</v>
      </c>
      <c r="U251" s="285">
        <f t="shared" si="337"/>
        <v>82219.219999999972</v>
      </c>
      <c r="V251" s="285">
        <f t="shared" si="338"/>
        <v>228620.78999999992</v>
      </c>
      <c r="W251" s="285">
        <f t="shared" si="295"/>
        <v>179356.78</v>
      </c>
      <c r="X251" s="502">
        <f t="shared" si="329"/>
        <v>51489</v>
      </c>
      <c r="Y251" s="285">
        <f t="shared" si="296"/>
        <v>283909.14000000025</v>
      </c>
      <c r="Z251" s="494">
        <f t="shared" si="321"/>
        <v>6.25E-2</v>
      </c>
      <c r="AA251" s="285">
        <f t="shared" si="322"/>
        <v>1630.04</v>
      </c>
      <c r="AB251" s="285">
        <f t="shared" si="297"/>
        <v>151.34999999999991</v>
      </c>
      <c r="AC251" s="285">
        <f t="shared" si="323"/>
        <v>1478.69</v>
      </c>
      <c r="AD251" s="285">
        <f t="shared" ref="AD251:AE251" si="388">+AD250</f>
        <v>134.16999999999999</v>
      </c>
      <c r="AE251" s="285">
        <f t="shared" si="388"/>
        <v>188.55</v>
      </c>
      <c r="AF251" s="285">
        <f t="shared" si="299"/>
        <v>1952.76</v>
      </c>
      <c r="AG251" s="285">
        <f t="shared" si="300"/>
        <v>47435.609999999979</v>
      </c>
      <c r="AH251" s="285">
        <f t="shared" si="301"/>
        <v>261388.31000000003</v>
      </c>
      <c r="AI251" s="512">
        <f t="shared" si="284"/>
        <v>2016.0899999999733</v>
      </c>
      <c r="AJ251" s="512">
        <f t="shared" si="350"/>
        <v>-104401.01000000027</v>
      </c>
      <c r="AK251" s="512">
        <f t="shared" si="285"/>
        <v>-102384.9200000003</v>
      </c>
      <c r="AL251" s="285">
        <f t="shared" si="302"/>
        <v>283757.79000000027</v>
      </c>
      <c r="AM251" s="425">
        <f t="shared" si="331"/>
        <v>16</v>
      </c>
      <c r="AN251" s="14">
        <f t="shared" si="286"/>
        <v>1160.29</v>
      </c>
      <c r="AO251" s="14">
        <f t="shared" si="369"/>
        <v>203355.15000000002</v>
      </c>
      <c r="AP251" s="14">
        <f t="shared" si="287"/>
        <v>1179.76</v>
      </c>
      <c r="AS251" s="14">
        <f t="shared" si="325"/>
        <v>1160.29</v>
      </c>
      <c r="AT251" s="14">
        <f t="shared" si="332"/>
        <v>223455.41000000032</v>
      </c>
      <c r="AU251" s="285">
        <f t="shared" si="333"/>
        <v>1178.8319224922036</v>
      </c>
      <c r="AV251" s="285">
        <f t="shared" si="334"/>
        <v>211135.60091937368</v>
      </c>
    </row>
    <row r="252" spans="1:48" x14ac:dyDescent="0.25">
      <c r="A252" s="502">
        <f t="shared" si="289"/>
        <v>51519</v>
      </c>
      <c r="B252" s="285">
        <f t="shared" si="326"/>
        <v>45922.869999999974</v>
      </c>
      <c r="C252" s="14">
        <f t="shared" si="319"/>
        <v>450.28</v>
      </c>
      <c r="D252" s="14">
        <f t="shared" si="335"/>
        <v>306.77</v>
      </c>
      <c r="E252" s="14">
        <f t="shared" si="320"/>
        <v>143.51</v>
      </c>
      <c r="F252" s="14">
        <f t="shared" si="386"/>
        <v>134.16999999999999</v>
      </c>
      <c r="G252" s="14">
        <f t="shared" si="383"/>
        <v>188.55</v>
      </c>
      <c r="H252" s="14">
        <f t="shared" si="384"/>
        <v>773</v>
      </c>
      <c r="I252" s="285">
        <f t="shared" si="290"/>
        <v>51915.739999999969</v>
      </c>
      <c r="J252" s="285">
        <f t="shared" si="291"/>
        <v>55554.739999999969</v>
      </c>
      <c r="K252" s="285">
        <f t="shared" si="292"/>
        <v>45616.099999999977</v>
      </c>
      <c r="L252" s="425">
        <f t="shared" si="371"/>
        <v>16</v>
      </c>
      <c r="M252" s="425">
        <f t="shared" si="327"/>
        <v>193</v>
      </c>
      <c r="N252" s="285">
        <f t="shared" si="328"/>
        <v>179356.78</v>
      </c>
      <c r="O252" s="285">
        <f t="shared" si="293"/>
        <v>1610.57</v>
      </c>
      <c r="P252" s="285">
        <f t="shared" si="336"/>
        <v>676.42</v>
      </c>
      <c r="Q252" s="285">
        <f t="shared" si="294"/>
        <v>934.15</v>
      </c>
      <c r="R252" s="285">
        <f t="shared" ref="R252:R315" si="389">+R251</f>
        <v>134.16999999999999</v>
      </c>
      <c r="S252" s="285">
        <f t="shared" ref="S252:S315" si="390">+S251</f>
        <v>188.55</v>
      </c>
      <c r="T252" s="285">
        <f t="shared" si="387"/>
        <v>1933.29</v>
      </c>
      <c r="U252" s="285">
        <f t="shared" si="337"/>
        <v>82895.63999999997</v>
      </c>
      <c r="V252" s="285">
        <f t="shared" si="338"/>
        <v>229554.93999999992</v>
      </c>
      <c r="W252" s="285">
        <f t="shared" si="295"/>
        <v>178680.36</v>
      </c>
      <c r="X252" s="502">
        <f t="shared" si="329"/>
        <v>51519</v>
      </c>
      <c r="Y252" s="285">
        <f t="shared" si="296"/>
        <v>283757.79000000027</v>
      </c>
      <c r="Z252" s="494">
        <f t="shared" si="321"/>
        <v>6.25E-2</v>
      </c>
      <c r="AA252" s="285">
        <f t="shared" si="322"/>
        <v>1630.04</v>
      </c>
      <c r="AB252" s="285">
        <f t="shared" si="297"/>
        <v>152.12999999999988</v>
      </c>
      <c r="AC252" s="285">
        <f t="shared" si="323"/>
        <v>1477.91</v>
      </c>
      <c r="AD252" s="285">
        <f t="shared" ref="AD252:AE252" si="391">+AD251</f>
        <v>134.16999999999999</v>
      </c>
      <c r="AE252" s="285">
        <f t="shared" si="391"/>
        <v>188.55</v>
      </c>
      <c r="AF252" s="285">
        <f t="shared" si="299"/>
        <v>1952.76</v>
      </c>
      <c r="AG252" s="285">
        <f t="shared" si="300"/>
        <v>47587.739999999976</v>
      </c>
      <c r="AH252" s="285">
        <f t="shared" si="301"/>
        <v>262866.22000000003</v>
      </c>
      <c r="AI252" s="512">
        <f t="shared" ref="AI252:AI315" si="392">O252-AA252+AI251</f>
        <v>1996.6199999999733</v>
      </c>
      <c r="AJ252" s="512">
        <f t="shared" si="350"/>
        <v>-104925.30000000028</v>
      </c>
      <c r="AK252" s="512">
        <f t="shared" ref="AK252:AK315" si="393">SUM(AI252:AJ252)</f>
        <v>-102928.68000000031</v>
      </c>
      <c r="AL252" s="285">
        <f t="shared" si="302"/>
        <v>283605.66000000027</v>
      </c>
      <c r="AM252" s="425">
        <f t="shared" si="331"/>
        <v>16</v>
      </c>
      <c r="AN252" s="14">
        <f t="shared" ref="AN252:AN315" si="394">IF(O252=0,0,+O252-C252)</f>
        <v>1160.29</v>
      </c>
      <c r="AO252" s="14">
        <f t="shared" si="369"/>
        <v>202985.50000000006</v>
      </c>
      <c r="AP252" s="14">
        <f t="shared" ref="AP252:AP315" si="395">IF($O252=0,0,+AA252-$C252)</f>
        <v>1179.76</v>
      </c>
      <c r="AS252" s="14">
        <f t="shared" si="325"/>
        <v>1160.29</v>
      </c>
      <c r="AT252" s="14">
        <f t="shared" si="332"/>
        <v>224615.70000000033</v>
      </c>
      <c r="AU252" s="285">
        <f t="shared" si="333"/>
        <v>1181.7790022984343</v>
      </c>
      <c r="AV252" s="285">
        <f t="shared" si="334"/>
        <v>212317.37992167211</v>
      </c>
    </row>
    <row r="253" spans="1:48" x14ac:dyDescent="0.25">
      <c r="A253" s="502">
        <f t="shared" si="289"/>
        <v>51549</v>
      </c>
      <c r="B253" s="285">
        <f t="shared" si="326"/>
        <v>45616.099999999977</v>
      </c>
      <c r="C253" s="14">
        <f t="shared" si="319"/>
        <v>450.28</v>
      </c>
      <c r="D253" s="14">
        <f t="shared" si="335"/>
        <v>307.72999999999996</v>
      </c>
      <c r="E253" s="14">
        <f t="shared" si="320"/>
        <v>142.55000000000001</v>
      </c>
      <c r="F253" s="14">
        <f t="shared" si="386"/>
        <v>134.16999999999999</v>
      </c>
      <c r="G253" s="14">
        <f t="shared" si="383"/>
        <v>188.55</v>
      </c>
      <c r="H253" s="14">
        <f t="shared" si="384"/>
        <v>773</v>
      </c>
      <c r="I253" s="285">
        <f t="shared" si="290"/>
        <v>52223.469999999972</v>
      </c>
      <c r="J253" s="285">
        <f t="shared" si="291"/>
        <v>55697.289999999972</v>
      </c>
      <c r="K253" s="285">
        <f t="shared" si="292"/>
        <v>45308.369999999974</v>
      </c>
      <c r="L253" s="425">
        <f t="shared" si="371"/>
        <v>16</v>
      </c>
      <c r="M253" s="425">
        <f t="shared" si="327"/>
        <v>194</v>
      </c>
      <c r="N253" s="285">
        <f t="shared" si="328"/>
        <v>178680.36</v>
      </c>
      <c r="O253" s="285">
        <f t="shared" si="293"/>
        <v>1610.57</v>
      </c>
      <c r="P253" s="285">
        <f t="shared" si="336"/>
        <v>679.93999999999994</v>
      </c>
      <c r="Q253" s="285">
        <f t="shared" si="294"/>
        <v>930.63</v>
      </c>
      <c r="R253" s="285">
        <f t="shared" si="389"/>
        <v>134.16999999999999</v>
      </c>
      <c r="S253" s="285">
        <f t="shared" si="390"/>
        <v>188.55</v>
      </c>
      <c r="T253" s="285">
        <f t="shared" si="387"/>
        <v>1933.29</v>
      </c>
      <c r="U253" s="285">
        <f t="shared" si="337"/>
        <v>83575.579999999973</v>
      </c>
      <c r="V253" s="285">
        <f t="shared" si="338"/>
        <v>230485.56999999992</v>
      </c>
      <c r="W253" s="285">
        <f t="shared" si="295"/>
        <v>178000.41999999998</v>
      </c>
      <c r="X253" s="502">
        <f t="shared" si="329"/>
        <v>51549</v>
      </c>
      <c r="Y253" s="285">
        <f t="shared" si="296"/>
        <v>283605.66000000027</v>
      </c>
      <c r="Z253" s="494">
        <f t="shared" si="321"/>
        <v>6.25E-2</v>
      </c>
      <c r="AA253" s="285">
        <f t="shared" si="322"/>
        <v>1630.04</v>
      </c>
      <c r="AB253" s="285">
        <f t="shared" si="297"/>
        <v>152.93000000000006</v>
      </c>
      <c r="AC253" s="285">
        <f t="shared" si="323"/>
        <v>1477.11</v>
      </c>
      <c r="AD253" s="285">
        <f t="shared" ref="AD253:AE253" si="396">+AD252</f>
        <v>134.16999999999999</v>
      </c>
      <c r="AE253" s="285">
        <f t="shared" si="396"/>
        <v>188.55</v>
      </c>
      <c r="AF253" s="285">
        <f t="shared" si="299"/>
        <v>1952.76</v>
      </c>
      <c r="AG253" s="285">
        <f t="shared" si="300"/>
        <v>47740.669999999976</v>
      </c>
      <c r="AH253" s="285">
        <f t="shared" si="301"/>
        <v>264343.33</v>
      </c>
      <c r="AI253" s="512">
        <f t="shared" si="392"/>
        <v>1977.1499999999733</v>
      </c>
      <c r="AJ253" s="512">
        <f t="shared" si="350"/>
        <v>-105452.31000000029</v>
      </c>
      <c r="AK253" s="512">
        <f t="shared" si="393"/>
        <v>-103475.16000000031</v>
      </c>
      <c r="AL253" s="285">
        <f t="shared" si="302"/>
        <v>283452.73000000027</v>
      </c>
      <c r="AM253" s="425">
        <f t="shared" si="331"/>
        <v>16</v>
      </c>
      <c r="AN253" s="14">
        <f t="shared" si="394"/>
        <v>1160.29</v>
      </c>
      <c r="AO253" s="14">
        <f t="shared" si="369"/>
        <v>202613.29000000004</v>
      </c>
      <c r="AP253" s="14">
        <f t="shared" si="395"/>
        <v>1179.76</v>
      </c>
      <c r="AS253" s="14">
        <f t="shared" si="325"/>
        <v>1160.29</v>
      </c>
      <c r="AT253" s="14">
        <f t="shared" si="332"/>
        <v>225775.99000000034</v>
      </c>
      <c r="AU253" s="285">
        <f t="shared" si="333"/>
        <v>1184.7334498041803</v>
      </c>
      <c r="AV253" s="285">
        <f t="shared" si="334"/>
        <v>213502.1133714763</v>
      </c>
    </row>
    <row r="254" spans="1:48" ht="15.75" thickBot="1" x14ac:dyDescent="0.3">
      <c r="A254" s="505">
        <f t="shared" ref="A254:A314" si="397">IF(K254&lt;=0," ",+A253+30)</f>
        <v>51579</v>
      </c>
      <c r="B254" s="345">
        <f t="shared" si="326"/>
        <v>45308.369999999974</v>
      </c>
      <c r="C254" s="21">
        <f t="shared" si="319"/>
        <v>450.28</v>
      </c>
      <c r="D254" s="21">
        <f t="shared" si="335"/>
        <v>308.68999999999994</v>
      </c>
      <c r="E254" s="21">
        <f t="shared" si="320"/>
        <v>141.59</v>
      </c>
      <c r="F254" s="21">
        <f t="shared" si="386"/>
        <v>134.16999999999999</v>
      </c>
      <c r="G254" s="21">
        <f t="shared" si="383"/>
        <v>188.55</v>
      </c>
      <c r="H254" s="21">
        <f t="shared" si="384"/>
        <v>773</v>
      </c>
      <c r="I254" s="345">
        <f t="shared" ref="I254:I314" si="398">$D254+$I253</f>
        <v>52532.159999999974</v>
      </c>
      <c r="J254" s="345">
        <f t="shared" ref="J254:J314" si="399">$E254+$J253</f>
        <v>55838.879999999968</v>
      </c>
      <c r="K254" s="345">
        <f t="shared" ref="K254:K314" si="400">+B254-D254</f>
        <v>44999.679999999971</v>
      </c>
      <c r="L254" s="426">
        <f t="shared" si="371"/>
        <v>16</v>
      </c>
      <c r="M254" s="426">
        <f t="shared" si="327"/>
        <v>195</v>
      </c>
      <c r="N254" s="345">
        <f t="shared" si="328"/>
        <v>178000.41999999998</v>
      </c>
      <c r="O254" s="345">
        <f t="shared" ref="O254:O317" si="401">IF($O$9&lt;=A254,IF(+$W253&lt;=0,0,$O$8),0)</f>
        <v>1610.57</v>
      </c>
      <c r="P254" s="345">
        <f t="shared" si="336"/>
        <v>683.4799999999999</v>
      </c>
      <c r="Q254" s="345">
        <f t="shared" ref="Q254:Q317" si="402">IF($O$9&lt;=A254,ROUND(N254*($O$6/12),2),0)</f>
        <v>927.09</v>
      </c>
      <c r="R254" s="345">
        <f t="shared" si="389"/>
        <v>134.16999999999999</v>
      </c>
      <c r="S254" s="345">
        <f t="shared" si="390"/>
        <v>188.55</v>
      </c>
      <c r="T254" s="345">
        <f t="shared" si="387"/>
        <v>1933.29</v>
      </c>
      <c r="U254" s="345">
        <f t="shared" si="337"/>
        <v>84259.059999999969</v>
      </c>
      <c r="V254" s="345">
        <f t="shared" si="338"/>
        <v>231412.65999999992</v>
      </c>
      <c r="W254" s="345">
        <f t="shared" ref="W254:W314" si="403">+N254-P254</f>
        <v>177316.93999999997</v>
      </c>
      <c r="X254" s="505">
        <f t="shared" si="329"/>
        <v>51579</v>
      </c>
      <c r="Y254" s="345">
        <f t="shared" ref="Y254:Y317" si="404">IF(+AL253&lt;0,0,+AL253)</f>
        <v>283452.73000000027</v>
      </c>
      <c r="Z254" s="495">
        <f t="shared" si="321"/>
        <v>6.25E-2</v>
      </c>
      <c r="AA254" s="345">
        <f t="shared" si="322"/>
        <v>1630.04</v>
      </c>
      <c r="AB254" s="345">
        <f t="shared" ref="AB254:AB317" si="405">+AA254-AC254</f>
        <v>153.72000000000003</v>
      </c>
      <c r="AC254" s="345">
        <f t="shared" si="323"/>
        <v>1476.32</v>
      </c>
      <c r="AD254" s="345">
        <f t="shared" ref="AD254:AE254" si="406">+AD253</f>
        <v>134.16999999999999</v>
      </c>
      <c r="AE254" s="345">
        <f t="shared" si="406"/>
        <v>188.55</v>
      </c>
      <c r="AF254" s="345">
        <f t="shared" ref="AF254:AF317" si="407">SUM(AB254:AE254)</f>
        <v>1952.76</v>
      </c>
      <c r="AG254" s="345">
        <f t="shared" ref="AG254:AG317" si="408">+AB254+AG253</f>
        <v>47894.389999999978</v>
      </c>
      <c r="AH254" s="345">
        <f t="shared" ref="AH254:AH317" si="409">+AH253+AC254</f>
        <v>265819.65000000002</v>
      </c>
      <c r="AI254" s="513">
        <f t="shared" si="392"/>
        <v>1957.6799999999732</v>
      </c>
      <c r="AJ254" s="513">
        <f t="shared" si="350"/>
        <v>-105982.07000000033</v>
      </c>
      <c r="AK254" s="512">
        <f t="shared" si="393"/>
        <v>-104024.39000000035</v>
      </c>
      <c r="AL254" s="345">
        <f t="shared" ref="AL254:AL317" si="410">+Y254-AB254</f>
        <v>283299.0100000003</v>
      </c>
      <c r="AM254" s="426">
        <f t="shared" si="331"/>
        <v>16</v>
      </c>
      <c r="AN254" s="21">
        <f t="shared" si="394"/>
        <v>1160.29</v>
      </c>
      <c r="AO254" s="21">
        <f t="shared" si="369"/>
        <v>202238.50000000003</v>
      </c>
      <c r="AP254" s="21">
        <f t="shared" si="395"/>
        <v>1179.76</v>
      </c>
      <c r="AQ254" s="21"/>
      <c r="AR254" s="23"/>
      <c r="AS254" s="21">
        <f t="shared" si="325"/>
        <v>1160.29</v>
      </c>
      <c r="AT254" s="21">
        <f t="shared" si="332"/>
        <v>226936.28000000035</v>
      </c>
      <c r="AU254" s="345">
        <f t="shared" si="333"/>
        <v>1187.6952834286906</v>
      </c>
      <c r="AV254" s="345">
        <f t="shared" si="334"/>
        <v>214689.80865490498</v>
      </c>
    </row>
    <row r="255" spans="1:48" x14ac:dyDescent="0.25">
      <c r="A255" s="502">
        <f t="shared" si="397"/>
        <v>51609</v>
      </c>
      <c r="B255" s="285">
        <f t="shared" si="326"/>
        <v>44999.679999999971</v>
      </c>
      <c r="C255" s="14">
        <f t="shared" si="319"/>
        <v>450.28</v>
      </c>
      <c r="D255" s="14">
        <f t="shared" si="335"/>
        <v>309.65999999999997</v>
      </c>
      <c r="E255" s="14">
        <f t="shared" si="320"/>
        <v>140.62</v>
      </c>
      <c r="F255" s="14">
        <f t="shared" si="386"/>
        <v>134.16999999999999</v>
      </c>
      <c r="G255" s="14">
        <f t="shared" si="383"/>
        <v>188.55</v>
      </c>
      <c r="H255" s="14">
        <f t="shared" si="384"/>
        <v>773</v>
      </c>
      <c r="I255" s="285">
        <f t="shared" si="398"/>
        <v>52841.819999999978</v>
      </c>
      <c r="J255" s="285">
        <f t="shared" si="399"/>
        <v>55979.499999999971</v>
      </c>
      <c r="K255" s="285">
        <f t="shared" si="400"/>
        <v>44690.019999999968</v>
      </c>
      <c r="L255" s="425">
        <f t="shared" si="371"/>
        <v>16</v>
      </c>
      <c r="M255" s="425">
        <f t="shared" si="327"/>
        <v>196</v>
      </c>
      <c r="N255" s="285">
        <f t="shared" si="328"/>
        <v>177316.93999999997</v>
      </c>
      <c r="O255" s="285">
        <f t="shared" si="401"/>
        <v>1610.57</v>
      </c>
      <c r="P255" s="285">
        <f t="shared" si="336"/>
        <v>687.04</v>
      </c>
      <c r="Q255" s="285">
        <f t="shared" si="402"/>
        <v>923.53</v>
      </c>
      <c r="R255" s="285">
        <f t="shared" si="389"/>
        <v>134.16999999999999</v>
      </c>
      <c r="S255" s="285">
        <f t="shared" si="390"/>
        <v>188.55</v>
      </c>
      <c r="T255" s="285">
        <f t="shared" si="387"/>
        <v>1933.29</v>
      </c>
      <c r="U255" s="285">
        <f t="shared" si="337"/>
        <v>84946.099999999962</v>
      </c>
      <c r="V255" s="285">
        <f t="shared" si="338"/>
        <v>232336.18999999992</v>
      </c>
      <c r="W255" s="285">
        <f t="shared" si="403"/>
        <v>176629.89999999997</v>
      </c>
      <c r="X255" s="502">
        <f t="shared" si="329"/>
        <v>51609</v>
      </c>
      <c r="Y255" s="285">
        <f t="shared" si="404"/>
        <v>283299.0100000003</v>
      </c>
      <c r="Z255" s="494">
        <f t="shared" si="321"/>
        <v>6.25E-2</v>
      </c>
      <c r="AA255" s="285">
        <f t="shared" si="322"/>
        <v>1630.04</v>
      </c>
      <c r="AB255" s="285">
        <f t="shared" si="405"/>
        <v>154.51999999999998</v>
      </c>
      <c r="AC255" s="285">
        <f t="shared" si="323"/>
        <v>1475.52</v>
      </c>
      <c r="AD255" s="285">
        <f t="shared" ref="AD255:AE255" si="411">+AD254</f>
        <v>134.16999999999999</v>
      </c>
      <c r="AE255" s="285">
        <f t="shared" si="411"/>
        <v>188.55</v>
      </c>
      <c r="AF255" s="285">
        <f t="shared" si="407"/>
        <v>1952.76</v>
      </c>
      <c r="AG255" s="285">
        <f t="shared" si="408"/>
        <v>48048.909999999974</v>
      </c>
      <c r="AH255" s="285">
        <f t="shared" si="409"/>
        <v>267295.17000000004</v>
      </c>
      <c r="AI255" s="512">
        <f t="shared" si="392"/>
        <v>1938.2099999999732</v>
      </c>
      <c r="AJ255" s="512">
        <f t="shared" si="350"/>
        <v>-106514.59000000032</v>
      </c>
      <c r="AK255" s="512">
        <f t="shared" si="393"/>
        <v>-104576.38000000034</v>
      </c>
      <c r="AL255" s="285">
        <f t="shared" si="410"/>
        <v>283144.49000000028</v>
      </c>
      <c r="AM255" s="425">
        <f t="shared" si="331"/>
        <v>16</v>
      </c>
      <c r="AN255" s="14">
        <f t="shared" si="394"/>
        <v>1160.29</v>
      </c>
      <c r="AO255" s="14">
        <f t="shared" si="369"/>
        <v>201861.12</v>
      </c>
      <c r="AP255" s="14">
        <f t="shared" si="395"/>
        <v>1179.76</v>
      </c>
      <c r="AS255" s="14">
        <f t="shared" si="325"/>
        <v>1160.29</v>
      </c>
      <c r="AT255" s="14">
        <f t="shared" si="332"/>
        <v>228096.57000000036</v>
      </c>
      <c r="AU255" s="285">
        <f t="shared" si="333"/>
        <v>1190.6645216372624</v>
      </c>
      <c r="AV255" s="285">
        <f t="shared" si="334"/>
        <v>215880.47317654223</v>
      </c>
    </row>
    <row r="256" spans="1:48" x14ac:dyDescent="0.25">
      <c r="A256" s="502">
        <f t="shared" si="397"/>
        <v>51639</v>
      </c>
      <c r="B256" s="285">
        <f t="shared" si="326"/>
        <v>44690.019999999968</v>
      </c>
      <c r="C256" s="14">
        <f t="shared" si="319"/>
        <v>450.28</v>
      </c>
      <c r="D256" s="14">
        <f t="shared" si="335"/>
        <v>310.62</v>
      </c>
      <c r="E256" s="14">
        <f t="shared" si="320"/>
        <v>139.66</v>
      </c>
      <c r="F256" s="14">
        <f t="shared" si="386"/>
        <v>134.16999999999999</v>
      </c>
      <c r="G256" s="14">
        <f t="shared" si="383"/>
        <v>188.55</v>
      </c>
      <c r="H256" s="14">
        <f t="shared" si="384"/>
        <v>773</v>
      </c>
      <c r="I256" s="285">
        <f t="shared" si="398"/>
        <v>53152.439999999981</v>
      </c>
      <c r="J256" s="285">
        <f t="shared" si="399"/>
        <v>56119.159999999974</v>
      </c>
      <c r="K256" s="285">
        <f t="shared" si="400"/>
        <v>44379.399999999965</v>
      </c>
      <c r="L256" s="425">
        <f t="shared" si="371"/>
        <v>16</v>
      </c>
      <c r="M256" s="425">
        <f t="shared" si="327"/>
        <v>197</v>
      </c>
      <c r="N256" s="285">
        <f t="shared" si="328"/>
        <v>176629.89999999997</v>
      </c>
      <c r="O256" s="285">
        <f t="shared" si="401"/>
        <v>1610.57</v>
      </c>
      <c r="P256" s="285">
        <f t="shared" si="336"/>
        <v>690.61999999999989</v>
      </c>
      <c r="Q256" s="285">
        <f t="shared" si="402"/>
        <v>919.95</v>
      </c>
      <c r="R256" s="285">
        <f t="shared" si="389"/>
        <v>134.16999999999999</v>
      </c>
      <c r="S256" s="285">
        <f t="shared" si="390"/>
        <v>188.55</v>
      </c>
      <c r="T256" s="285">
        <f t="shared" si="387"/>
        <v>1933.29</v>
      </c>
      <c r="U256" s="285">
        <f t="shared" si="337"/>
        <v>85636.719999999958</v>
      </c>
      <c r="V256" s="285">
        <f t="shared" si="338"/>
        <v>233256.13999999993</v>
      </c>
      <c r="W256" s="285">
        <f t="shared" si="403"/>
        <v>175939.27999999997</v>
      </c>
      <c r="X256" s="502">
        <f t="shared" si="329"/>
        <v>51639</v>
      </c>
      <c r="Y256" s="285">
        <f t="shared" si="404"/>
        <v>283144.49000000028</v>
      </c>
      <c r="Z256" s="494">
        <f t="shared" si="321"/>
        <v>6.25E-2</v>
      </c>
      <c r="AA256" s="285">
        <f t="shared" si="322"/>
        <v>1630.04</v>
      </c>
      <c r="AB256" s="285">
        <f t="shared" si="405"/>
        <v>155.32999999999993</v>
      </c>
      <c r="AC256" s="285">
        <f t="shared" si="323"/>
        <v>1474.71</v>
      </c>
      <c r="AD256" s="285">
        <f t="shared" ref="AD256:AE256" si="412">+AD255</f>
        <v>134.16999999999999</v>
      </c>
      <c r="AE256" s="285">
        <f t="shared" si="412"/>
        <v>188.55</v>
      </c>
      <c r="AF256" s="285">
        <f t="shared" si="407"/>
        <v>1952.76</v>
      </c>
      <c r="AG256" s="285">
        <f t="shared" si="408"/>
        <v>48204.239999999976</v>
      </c>
      <c r="AH256" s="285">
        <f t="shared" si="409"/>
        <v>268769.88000000006</v>
      </c>
      <c r="AI256" s="512">
        <f t="shared" si="392"/>
        <v>1918.7399999999732</v>
      </c>
      <c r="AJ256" s="512">
        <f t="shared" si="350"/>
        <v>-107049.8800000003</v>
      </c>
      <c r="AK256" s="512">
        <f t="shared" si="393"/>
        <v>-105131.14000000032</v>
      </c>
      <c r="AL256" s="285">
        <f t="shared" si="410"/>
        <v>282989.16000000027</v>
      </c>
      <c r="AM256" s="425">
        <f t="shared" si="331"/>
        <v>16</v>
      </c>
      <c r="AN256" s="14">
        <f t="shared" si="394"/>
        <v>1160.29</v>
      </c>
      <c r="AO256" s="14">
        <f t="shared" si="369"/>
        <v>201481.12000000005</v>
      </c>
      <c r="AP256" s="14">
        <f t="shared" si="395"/>
        <v>1179.76</v>
      </c>
      <c r="AS256" s="14">
        <f t="shared" si="325"/>
        <v>1160.29</v>
      </c>
      <c r="AT256" s="14">
        <f t="shared" si="332"/>
        <v>229256.86000000036</v>
      </c>
      <c r="AU256" s="285">
        <f t="shared" si="333"/>
        <v>1193.6411829413555</v>
      </c>
      <c r="AV256" s="285">
        <f t="shared" si="334"/>
        <v>217074.11435948359</v>
      </c>
    </row>
    <row r="257" spans="1:48" x14ac:dyDescent="0.25">
      <c r="A257" s="502">
        <f t="shared" si="397"/>
        <v>51669</v>
      </c>
      <c r="B257" s="285">
        <f t="shared" si="326"/>
        <v>44379.399999999965</v>
      </c>
      <c r="C257" s="14">
        <f t="shared" si="319"/>
        <v>450.28</v>
      </c>
      <c r="D257" s="14">
        <f t="shared" si="335"/>
        <v>311.58999999999997</v>
      </c>
      <c r="E257" s="14">
        <f t="shared" si="320"/>
        <v>138.69</v>
      </c>
      <c r="F257" s="14">
        <f t="shared" si="386"/>
        <v>134.16999999999999</v>
      </c>
      <c r="G257" s="14">
        <f t="shared" si="383"/>
        <v>188.55</v>
      </c>
      <c r="H257" s="14">
        <f t="shared" si="384"/>
        <v>773</v>
      </c>
      <c r="I257" s="285">
        <f t="shared" si="398"/>
        <v>53464.029999999977</v>
      </c>
      <c r="J257" s="285">
        <f t="shared" si="399"/>
        <v>56257.849999999977</v>
      </c>
      <c r="K257" s="285">
        <f t="shared" si="400"/>
        <v>44067.809999999969</v>
      </c>
      <c r="L257" s="425">
        <f t="shared" si="371"/>
        <v>16</v>
      </c>
      <c r="M257" s="425">
        <f t="shared" si="327"/>
        <v>198</v>
      </c>
      <c r="N257" s="285">
        <f t="shared" si="328"/>
        <v>175939.27999999997</v>
      </c>
      <c r="O257" s="285">
        <f t="shared" si="401"/>
        <v>1610.57</v>
      </c>
      <c r="P257" s="285">
        <f t="shared" si="336"/>
        <v>694.21999999999991</v>
      </c>
      <c r="Q257" s="285">
        <f t="shared" si="402"/>
        <v>916.35</v>
      </c>
      <c r="R257" s="285">
        <f t="shared" si="389"/>
        <v>134.16999999999999</v>
      </c>
      <c r="S257" s="285">
        <f t="shared" si="390"/>
        <v>188.55</v>
      </c>
      <c r="T257" s="285">
        <f t="shared" si="387"/>
        <v>1933.29</v>
      </c>
      <c r="U257" s="285">
        <f t="shared" si="337"/>
        <v>86330.939999999959</v>
      </c>
      <c r="V257" s="285">
        <f t="shared" si="338"/>
        <v>234172.48999999993</v>
      </c>
      <c r="W257" s="285">
        <f t="shared" si="403"/>
        <v>175245.05999999997</v>
      </c>
      <c r="X257" s="502">
        <f t="shared" si="329"/>
        <v>51669</v>
      </c>
      <c r="Y257" s="285">
        <f t="shared" si="404"/>
        <v>282989.16000000027</v>
      </c>
      <c r="Z257" s="494">
        <f t="shared" si="321"/>
        <v>6.25E-2</v>
      </c>
      <c r="AA257" s="285">
        <f t="shared" si="322"/>
        <v>1630.04</v>
      </c>
      <c r="AB257" s="285">
        <f t="shared" si="405"/>
        <v>156.13999999999987</v>
      </c>
      <c r="AC257" s="285">
        <f t="shared" si="323"/>
        <v>1473.9</v>
      </c>
      <c r="AD257" s="285">
        <f t="shared" ref="AD257:AE257" si="413">+AD256</f>
        <v>134.16999999999999</v>
      </c>
      <c r="AE257" s="285">
        <f t="shared" si="413"/>
        <v>188.55</v>
      </c>
      <c r="AF257" s="285">
        <f t="shared" si="407"/>
        <v>1952.76</v>
      </c>
      <c r="AG257" s="285">
        <f t="shared" si="408"/>
        <v>48360.379999999976</v>
      </c>
      <c r="AH257" s="285">
        <f t="shared" si="409"/>
        <v>270243.78000000009</v>
      </c>
      <c r="AI257" s="512">
        <f t="shared" si="392"/>
        <v>1899.2699999999732</v>
      </c>
      <c r="AJ257" s="512">
        <f t="shared" si="350"/>
        <v>-107587.96000000028</v>
      </c>
      <c r="AK257" s="512">
        <f t="shared" si="393"/>
        <v>-105688.69000000031</v>
      </c>
      <c r="AL257" s="285">
        <f t="shared" si="410"/>
        <v>282833.02000000025</v>
      </c>
      <c r="AM257" s="425">
        <f t="shared" si="331"/>
        <v>16</v>
      </c>
      <c r="AN257" s="14">
        <f t="shared" si="394"/>
        <v>1160.29</v>
      </c>
      <c r="AO257" s="14">
        <f t="shared" si="369"/>
        <v>201098.49000000005</v>
      </c>
      <c r="AP257" s="14">
        <f t="shared" si="395"/>
        <v>1179.76</v>
      </c>
      <c r="AS257" s="14">
        <f t="shared" si="325"/>
        <v>1160.29</v>
      </c>
      <c r="AT257" s="14">
        <f t="shared" si="332"/>
        <v>230417.15000000037</v>
      </c>
      <c r="AU257" s="285">
        <f t="shared" si="333"/>
        <v>1196.6252858987089</v>
      </c>
      <c r="AV257" s="285">
        <f t="shared" si="334"/>
        <v>218270.7396453823</v>
      </c>
    </row>
    <row r="258" spans="1:48" x14ac:dyDescent="0.25">
      <c r="A258" s="502">
        <f t="shared" si="397"/>
        <v>51699</v>
      </c>
      <c r="B258" s="285">
        <f t="shared" si="326"/>
        <v>44067.809999999969</v>
      </c>
      <c r="C258" s="14">
        <f t="shared" si="319"/>
        <v>450.28</v>
      </c>
      <c r="D258" s="14">
        <f t="shared" si="335"/>
        <v>312.56999999999994</v>
      </c>
      <c r="E258" s="14">
        <f t="shared" si="320"/>
        <v>137.71</v>
      </c>
      <c r="F258" s="14">
        <f t="shared" si="386"/>
        <v>134.16999999999999</v>
      </c>
      <c r="G258" s="14">
        <f t="shared" si="383"/>
        <v>188.55</v>
      </c>
      <c r="H258" s="14">
        <f t="shared" si="384"/>
        <v>773</v>
      </c>
      <c r="I258" s="285">
        <f t="shared" si="398"/>
        <v>53776.599999999977</v>
      </c>
      <c r="J258" s="285">
        <f t="shared" si="399"/>
        <v>56395.559999999976</v>
      </c>
      <c r="K258" s="285">
        <f t="shared" si="400"/>
        <v>43755.239999999969</v>
      </c>
      <c r="L258" s="425">
        <f t="shared" si="371"/>
        <v>16</v>
      </c>
      <c r="M258" s="425">
        <f t="shared" si="327"/>
        <v>199</v>
      </c>
      <c r="N258" s="285">
        <f t="shared" si="328"/>
        <v>175245.05999999997</v>
      </c>
      <c r="O258" s="285">
        <f t="shared" si="401"/>
        <v>1610.57</v>
      </c>
      <c r="P258" s="285">
        <f t="shared" si="336"/>
        <v>697.83999999999992</v>
      </c>
      <c r="Q258" s="285">
        <f t="shared" si="402"/>
        <v>912.73</v>
      </c>
      <c r="R258" s="285">
        <f t="shared" si="389"/>
        <v>134.16999999999999</v>
      </c>
      <c r="S258" s="285">
        <f t="shared" si="390"/>
        <v>188.55</v>
      </c>
      <c r="T258" s="285">
        <f t="shared" si="387"/>
        <v>1933.29</v>
      </c>
      <c r="U258" s="285">
        <f t="shared" si="337"/>
        <v>87028.779999999955</v>
      </c>
      <c r="V258" s="285">
        <f t="shared" si="338"/>
        <v>235085.21999999994</v>
      </c>
      <c r="W258" s="285">
        <f t="shared" si="403"/>
        <v>174547.21999999997</v>
      </c>
      <c r="X258" s="502">
        <f t="shared" si="329"/>
        <v>51699</v>
      </c>
      <c r="Y258" s="285">
        <f t="shared" si="404"/>
        <v>282833.02000000025</v>
      </c>
      <c r="Z258" s="494">
        <f t="shared" si="321"/>
        <v>6.25E-2</v>
      </c>
      <c r="AA258" s="285">
        <f t="shared" si="322"/>
        <v>1630.04</v>
      </c>
      <c r="AB258" s="285">
        <f t="shared" si="405"/>
        <v>156.95000000000005</v>
      </c>
      <c r="AC258" s="285">
        <f t="shared" si="323"/>
        <v>1473.09</v>
      </c>
      <c r="AD258" s="285">
        <f t="shared" ref="AD258:AE258" si="414">+AD257</f>
        <v>134.16999999999999</v>
      </c>
      <c r="AE258" s="285">
        <f t="shared" si="414"/>
        <v>188.55</v>
      </c>
      <c r="AF258" s="285">
        <f t="shared" si="407"/>
        <v>1952.76</v>
      </c>
      <c r="AG258" s="285">
        <f t="shared" si="408"/>
        <v>48517.329999999973</v>
      </c>
      <c r="AH258" s="285">
        <f t="shared" si="409"/>
        <v>271716.87000000011</v>
      </c>
      <c r="AI258" s="512">
        <f t="shared" si="392"/>
        <v>1879.7999999999731</v>
      </c>
      <c r="AJ258" s="512">
        <f t="shared" si="350"/>
        <v>-108128.85000000027</v>
      </c>
      <c r="AK258" s="512">
        <f t="shared" si="393"/>
        <v>-106249.05000000029</v>
      </c>
      <c r="AL258" s="285">
        <f t="shared" si="410"/>
        <v>282676.07000000024</v>
      </c>
      <c r="AM258" s="425">
        <f t="shared" si="331"/>
        <v>16</v>
      </c>
      <c r="AN258" s="14">
        <f t="shared" si="394"/>
        <v>1160.29</v>
      </c>
      <c r="AO258" s="14">
        <f t="shared" si="369"/>
        <v>200713.22000000003</v>
      </c>
      <c r="AP258" s="14">
        <f t="shared" si="395"/>
        <v>1179.76</v>
      </c>
      <c r="AS258" s="14">
        <f t="shared" si="325"/>
        <v>1160.29</v>
      </c>
      <c r="AT258" s="14">
        <f t="shared" si="332"/>
        <v>231577.44000000038</v>
      </c>
      <c r="AU258" s="285">
        <f t="shared" si="333"/>
        <v>1199.6168491134556</v>
      </c>
      <c r="AV258" s="285">
        <f t="shared" si="334"/>
        <v>219470.35649449576</v>
      </c>
    </row>
    <row r="259" spans="1:48" x14ac:dyDescent="0.25">
      <c r="A259" s="502">
        <f t="shared" si="397"/>
        <v>51729</v>
      </c>
      <c r="B259" s="285">
        <f t="shared" si="326"/>
        <v>43755.239999999969</v>
      </c>
      <c r="C259" s="14">
        <f t="shared" si="319"/>
        <v>450.28</v>
      </c>
      <c r="D259" s="14">
        <f t="shared" si="335"/>
        <v>313.53999999999996</v>
      </c>
      <c r="E259" s="14">
        <f t="shared" si="320"/>
        <v>136.74</v>
      </c>
      <c r="F259" s="14">
        <f t="shared" si="386"/>
        <v>134.16999999999999</v>
      </c>
      <c r="G259" s="14">
        <f t="shared" si="383"/>
        <v>188.55</v>
      </c>
      <c r="H259" s="14">
        <f t="shared" si="384"/>
        <v>773</v>
      </c>
      <c r="I259" s="285">
        <f t="shared" si="398"/>
        <v>54090.139999999978</v>
      </c>
      <c r="J259" s="285">
        <f t="shared" si="399"/>
        <v>56532.299999999974</v>
      </c>
      <c r="K259" s="285">
        <f t="shared" si="400"/>
        <v>43441.699999999968</v>
      </c>
      <c r="L259" s="425">
        <f t="shared" si="371"/>
        <v>16</v>
      </c>
      <c r="M259" s="425">
        <f t="shared" si="327"/>
        <v>200</v>
      </c>
      <c r="N259" s="285">
        <f t="shared" si="328"/>
        <v>174547.21999999997</v>
      </c>
      <c r="O259" s="285">
        <f t="shared" si="401"/>
        <v>1610.57</v>
      </c>
      <c r="P259" s="285">
        <f t="shared" si="336"/>
        <v>701.46999999999991</v>
      </c>
      <c r="Q259" s="285">
        <f t="shared" si="402"/>
        <v>909.1</v>
      </c>
      <c r="R259" s="285">
        <f t="shared" si="389"/>
        <v>134.16999999999999</v>
      </c>
      <c r="S259" s="285">
        <f t="shared" si="390"/>
        <v>188.55</v>
      </c>
      <c r="T259" s="285">
        <f t="shared" si="387"/>
        <v>1933.29</v>
      </c>
      <c r="U259" s="285">
        <f t="shared" si="337"/>
        <v>87730.249999999956</v>
      </c>
      <c r="V259" s="285">
        <f t="shared" si="338"/>
        <v>235994.31999999995</v>
      </c>
      <c r="W259" s="285">
        <f t="shared" si="403"/>
        <v>173845.74999999997</v>
      </c>
      <c r="X259" s="502">
        <f t="shared" si="329"/>
        <v>51729</v>
      </c>
      <c r="Y259" s="285">
        <f t="shared" si="404"/>
        <v>282676.07000000024</v>
      </c>
      <c r="Z259" s="494">
        <f t="shared" si="321"/>
        <v>6.25E-2</v>
      </c>
      <c r="AA259" s="285">
        <f t="shared" si="322"/>
        <v>1630.04</v>
      </c>
      <c r="AB259" s="285">
        <f t="shared" si="405"/>
        <v>157.76999999999998</v>
      </c>
      <c r="AC259" s="285">
        <f t="shared" si="323"/>
        <v>1472.27</v>
      </c>
      <c r="AD259" s="285">
        <f t="shared" ref="AD259:AE259" si="415">+AD258</f>
        <v>134.16999999999999</v>
      </c>
      <c r="AE259" s="285">
        <f t="shared" si="415"/>
        <v>188.55</v>
      </c>
      <c r="AF259" s="285">
        <f t="shared" si="407"/>
        <v>1952.76</v>
      </c>
      <c r="AG259" s="285">
        <f t="shared" si="408"/>
        <v>48675.099999999969</v>
      </c>
      <c r="AH259" s="285">
        <f t="shared" si="409"/>
        <v>273189.14000000013</v>
      </c>
      <c r="AI259" s="512">
        <f t="shared" si="392"/>
        <v>1860.3299999999731</v>
      </c>
      <c r="AJ259" s="512">
        <f t="shared" si="350"/>
        <v>-108672.55000000025</v>
      </c>
      <c r="AK259" s="512">
        <f t="shared" si="393"/>
        <v>-106812.22000000028</v>
      </c>
      <c r="AL259" s="285">
        <f t="shared" si="410"/>
        <v>282518.30000000022</v>
      </c>
      <c r="AM259" s="425">
        <f t="shared" si="331"/>
        <v>16</v>
      </c>
      <c r="AN259" s="14">
        <f t="shared" si="394"/>
        <v>1160.29</v>
      </c>
      <c r="AO259" s="14">
        <f t="shared" si="369"/>
        <v>200325.29000000004</v>
      </c>
      <c r="AP259" s="14">
        <f t="shared" si="395"/>
        <v>1179.76</v>
      </c>
      <c r="AS259" s="14">
        <f t="shared" si="325"/>
        <v>1160.29</v>
      </c>
      <c r="AT259" s="14">
        <f t="shared" si="332"/>
        <v>232737.73000000039</v>
      </c>
      <c r="AU259" s="285">
        <f t="shared" si="333"/>
        <v>1202.6158912362393</v>
      </c>
      <c r="AV259" s="285">
        <f t="shared" si="334"/>
        <v>220672.97238573199</v>
      </c>
    </row>
    <row r="260" spans="1:48" x14ac:dyDescent="0.25">
      <c r="A260" s="502">
        <f t="shared" si="397"/>
        <v>51759</v>
      </c>
      <c r="B260" s="285">
        <f t="shared" si="326"/>
        <v>43441.699999999968</v>
      </c>
      <c r="C260" s="14">
        <f t="shared" si="319"/>
        <v>450.28</v>
      </c>
      <c r="D260" s="14">
        <f t="shared" si="335"/>
        <v>314.52</v>
      </c>
      <c r="E260" s="14">
        <f t="shared" si="320"/>
        <v>135.76</v>
      </c>
      <c r="F260" s="14">
        <f t="shared" si="386"/>
        <v>134.16999999999999</v>
      </c>
      <c r="G260" s="14">
        <f t="shared" si="383"/>
        <v>188.55</v>
      </c>
      <c r="H260" s="14">
        <f t="shared" si="384"/>
        <v>773</v>
      </c>
      <c r="I260" s="285">
        <f t="shared" si="398"/>
        <v>54404.659999999974</v>
      </c>
      <c r="J260" s="285">
        <f t="shared" si="399"/>
        <v>56668.059999999976</v>
      </c>
      <c r="K260" s="285">
        <f t="shared" si="400"/>
        <v>43127.179999999971</v>
      </c>
      <c r="L260" s="425">
        <f t="shared" si="371"/>
        <v>16</v>
      </c>
      <c r="M260" s="425">
        <f t="shared" si="327"/>
        <v>201</v>
      </c>
      <c r="N260" s="285">
        <f t="shared" si="328"/>
        <v>173845.74999999997</v>
      </c>
      <c r="O260" s="285">
        <f t="shared" si="401"/>
        <v>1610.57</v>
      </c>
      <c r="P260" s="285">
        <f t="shared" si="336"/>
        <v>705.11999999999989</v>
      </c>
      <c r="Q260" s="285">
        <f t="shared" si="402"/>
        <v>905.45</v>
      </c>
      <c r="R260" s="285">
        <f t="shared" si="389"/>
        <v>134.16999999999999</v>
      </c>
      <c r="S260" s="285">
        <f t="shared" si="390"/>
        <v>188.55</v>
      </c>
      <c r="T260" s="285">
        <f t="shared" si="387"/>
        <v>1933.29</v>
      </c>
      <c r="U260" s="285">
        <f t="shared" si="337"/>
        <v>88435.369999999952</v>
      </c>
      <c r="V260" s="285">
        <f t="shared" si="338"/>
        <v>236899.76999999996</v>
      </c>
      <c r="W260" s="285">
        <f t="shared" si="403"/>
        <v>173140.62999999998</v>
      </c>
      <c r="X260" s="502">
        <f t="shared" si="329"/>
        <v>51759</v>
      </c>
      <c r="Y260" s="285">
        <f t="shared" si="404"/>
        <v>282518.30000000022</v>
      </c>
      <c r="Z260" s="494">
        <f t="shared" si="321"/>
        <v>6.25E-2</v>
      </c>
      <c r="AA260" s="285">
        <f t="shared" si="322"/>
        <v>1630.04</v>
      </c>
      <c r="AB260" s="285">
        <f t="shared" si="405"/>
        <v>158.58999999999992</v>
      </c>
      <c r="AC260" s="285">
        <f t="shared" si="323"/>
        <v>1471.45</v>
      </c>
      <c r="AD260" s="285">
        <f t="shared" ref="AD260:AE260" si="416">+AD259</f>
        <v>134.16999999999999</v>
      </c>
      <c r="AE260" s="285">
        <f t="shared" si="416"/>
        <v>188.55</v>
      </c>
      <c r="AF260" s="285">
        <f t="shared" si="407"/>
        <v>1952.76</v>
      </c>
      <c r="AG260" s="285">
        <f t="shared" si="408"/>
        <v>48833.689999999966</v>
      </c>
      <c r="AH260" s="285">
        <f t="shared" si="409"/>
        <v>274660.59000000014</v>
      </c>
      <c r="AI260" s="512">
        <f t="shared" si="392"/>
        <v>1840.8599999999731</v>
      </c>
      <c r="AJ260" s="512">
        <f t="shared" si="350"/>
        <v>-109219.08000000022</v>
      </c>
      <c r="AK260" s="512">
        <f t="shared" si="393"/>
        <v>-107378.22000000025</v>
      </c>
      <c r="AL260" s="285">
        <f t="shared" si="410"/>
        <v>282359.7100000002</v>
      </c>
      <c r="AM260" s="425">
        <f t="shared" si="331"/>
        <v>16</v>
      </c>
      <c r="AN260" s="14">
        <f t="shared" si="394"/>
        <v>1160.29</v>
      </c>
      <c r="AO260" s="14">
        <f t="shared" si="369"/>
        <v>199934.69000000006</v>
      </c>
      <c r="AP260" s="14">
        <f t="shared" si="395"/>
        <v>1179.76</v>
      </c>
      <c r="AS260" s="14">
        <f t="shared" si="325"/>
        <v>1160.29</v>
      </c>
      <c r="AT260" s="14">
        <f t="shared" si="332"/>
        <v>233898.0200000004</v>
      </c>
      <c r="AU260" s="285">
        <f t="shared" si="333"/>
        <v>1205.6224309643301</v>
      </c>
      <c r="AV260" s="285">
        <f t="shared" si="334"/>
        <v>221878.59481669634</v>
      </c>
    </row>
    <row r="261" spans="1:48" x14ac:dyDescent="0.25">
      <c r="A261" s="502">
        <f t="shared" si="397"/>
        <v>51789</v>
      </c>
      <c r="B261" s="285">
        <f t="shared" si="326"/>
        <v>43127.179999999971</v>
      </c>
      <c r="C261" s="14">
        <f t="shared" si="319"/>
        <v>450.28</v>
      </c>
      <c r="D261" s="14">
        <f t="shared" si="335"/>
        <v>315.51</v>
      </c>
      <c r="E261" s="14">
        <f t="shared" si="320"/>
        <v>134.77000000000001</v>
      </c>
      <c r="F261" s="14">
        <f t="shared" si="386"/>
        <v>134.16999999999999</v>
      </c>
      <c r="G261" s="14">
        <f t="shared" si="383"/>
        <v>188.55</v>
      </c>
      <c r="H261" s="14">
        <f t="shared" si="384"/>
        <v>773</v>
      </c>
      <c r="I261" s="285">
        <f t="shared" si="398"/>
        <v>54720.169999999976</v>
      </c>
      <c r="J261" s="285">
        <f t="shared" si="399"/>
        <v>56802.829999999973</v>
      </c>
      <c r="K261" s="285">
        <f t="shared" si="400"/>
        <v>42811.669999999969</v>
      </c>
      <c r="L261" s="425">
        <f t="shared" si="371"/>
        <v>16</v>
      </c>
      <c r="M261" s="425">
        <f t="shared" si="327"/>
        <v>202</v>
      </c>
      <c r="N261" s="285">
        <f t="shared" si="328"/>
        <v>173140.62999999998</v>
      </c>
      <c r="O261" s="285">
        <f t="shared" si="401"/>
        <v>1610.57</v>
      </c>
      <c r="P261" s="285">
        <f t="shared" si="336"/>
        <v>708.8</v>
      </c>
      <c r="Q261" s="285">
        <f t="shared" si="402"/>
        <v>901.77</v>
      </c>
      <c r="R261" s="285">
        <f t="shared" si="389"/>
        <v>134.16999999999999</v>
      </c>
      <c r="S261" s="285">
        <f t="shared" si="390"/>
        <v>188.55</v>
      </c>
      <c r="T261" s="285">
        <f t="shared" si="387"/>
        <v>1933.29</v>
      </c>
      <c r="U261" s="285">
        <f t="shared" si="337"/>
        <v>89144.169999999955</v>
      </c>
      <c r="V261" s="285">
        <f t="shared" si="338"/>
        <v>237801.53999999995</v>
      </c>
      <c r="W261" s="285">
        <f t="shared" si="403"/>
        <v>172431.83</v>
      </c>
      <c r="X261" s="502">
        <f t="shared" si="329"/>
        <v>51789</v>
      </c>
      <c r="Y261" s="285">
        <f t="shared" si="404"/>
        <v>282359.7100000002</v>
      </c>
      <c r="Z261" s="494">
        <f t="shared" si="321"/>
        <v>6.25E-2</v>
      </c>
      <c r="AA261" s="285">
        <f t="shared" si="322"/>
        <v>1630.04</v>
      </c>
      <c r="AB261" s="285">
        <f t="shared" si="405"/>
        <v>159.42000000000007</v>
      </c>
      <c r="AC261" s="285">
        <f t="shared" si="323"/>
        <v>1470.62</v>
      </c>
      <c r="AD261" s="285">
        <f t="shared" ref="AD261:AE261" si="417">+AD260</f>
        <v>134.16999999999999</v>
      </c>
      <c r="AE261" s="285">
        <f t="shared" si="417"/>
        <v>188.55</v>
      </c>
      <c r="AF261" s="285">
        <f t="shared" si="407"/>
        <v>1952.76</v>
      </c>
      <c r="AG261" s="285">
        <f t="shared" si="408"/>
        <v>48993.109999999964</v>
      </c>
      <c r="AH261" s="285">
        <f t="shared" si="409"/>
        <v>276131.21000000014</v>
      </c>
      <c r="AI261" s="512">
        <f t="shared" si="392"/>
        <v>1821.389999999973</v>
      </c>
      <c r="AJ261" s="512">
        <f t="shared" si="350"/>
        <v>-109768.46000000022</v>
      </c>
      <c r="AK261" s="512">
        <f t="shared" si="393"/>
        <v>-107947.07000000025</v>
      </c>
      <c r="AL261" s="285">
        <f t="shared" si="410"/>
        <v>282200.29000000021</v>
      </c>
      <c r="AM261" s="425">
        <f t="shared" si="331"/>
        <v>16</v>
      </c>
      <c r="AN261" s="14">
        <f t="shared" si="394"/>
        <v>1160.29</v>
      </c>
      <c r="AO261" s="14">
        <f t="shared" si="369"/>
        <v>199541.40000000005</v>
      </c>
      <c r="AP261" s="14">
        <f t="shared" si="395"/>
        <v>1179.76</v>
      </c>
      <c r="AS261" s="14">
        <f t="shared" si="325"/>
        <v>1160.29</v>
      </c>
      <c r="AT261" s="14">
        <f t="shared" si="332"/>
        <v>235058.31000000041</v>
      </c>
      <c r="AU261" s="285">
        <f t="shared" si="333"/>
        <v>1208.6364870417408</v>
      </c>
      <c r="AV261" s="285">
        <f t="shared" si="334"/>
        <v>223087.23130373808</v>
      </c>
    </row>
    <row r="262" spans="1:48" x14ac:dyDescent="0.25">
      <c r="A262" s="502">
        <f t="shared" si="397"/>
        <v>51819</v>
      </c>
      <c r="B262" s="285">
        <f t="shared" si="326"/>
        <v>42811.669999999969</v>
      </c>
      <c r="C262" s="14">
        <f t="shared" si="319"/>
        <v>450.28</v>
      </c>
      <c r="D262" s="14">
        <f t="shared" si="335"/>
        <v>316.49</v>
      </c>
      <c r="E262" s="14">
        <f t="shared" si="320"/>
        <v>133.79</v>
      </c>
      <c r="F262" s="14">
        <f t="shared" si="386"/>
        <v>134.16999999999999</v>
      </c>
      <c r="G262" s="14">
        <f t="shared" si="383"/>
        <v>188.55</v>
      </c>
      <c r="H262" s="14">
        <f t="shared" si="384"/>
        <v>773</v>
      </c>
      <c r="I262" s="285">
        <f t="shared" si="398"/>
        <v>55036.659999999974</v>
      </c>
      <c r="J262" s="285">
        <f t="shared" si="399"/>
        <v>56936.619999999974</v>
      </c>
      <c r="K262" s="285">
        <f t="shared" si="400"/>
        <v>42495.179999999971</v>
      </c>
      <c r="L262" s="425">
        <f t="shared" si="371"/>
        <v>16</v>
      </c>
      <c r="M262" s="425">
        <f t="shared" si="327"/>
        <v>203</v>
      </c>
      <c r="N262" s="285">
        <f t="shared" si="328"/>
        <v>172431.83</v>
      </c>
      <c r="O262" s="285">
        <f t="shared" si="401"/>
        <v>1610.57</v>
      </c>
      <c r="P262" s="285">
        <f t="shared" si="336"/>
        <v>712.4899999999999</v>
      </c>
      <c r="Q262" s="285">
        <f t="shared" si="402"/>
        <v>898.08</v>
      </c>
      <c r="R262" s="285">
        <f t="shared" si="389"/>
        <v>134.16999999999999</v>
      </c>
      <c r="S262" s="285">
        <f t="shared" si="390"/>
        <v>188.55</v>
      </c>
      <c r="T262" s="285">
        <f t="shared" si="387"/>
        <v>1933.29</v>
      </c>
      <c r="U262" s="285">
        <f t="shared" si="337"/>
        <v>89856.65999999996</v>
      </c>
      <c r="V262" s="285">
        <f t="shared" si="338"/>
        <v>238699.61999999994</v>
      </c>
      <c r="W262" s="285">
        <f t="shared" si="403"/>
        <v>171719.34</v>
      </c>
      <c r="X262" s="502">
        <f t="shared" si="329"/>
        <v>51819</v>
      </c>
      <c r="Y262" s="285">
        <f t="shared" si="404"/>
        <v>282200.29000000021</v>
      </c>
      <c r="Z262" s="494">
        <f t="shared" si="321"/>
        <v>6.25E-2</v>
      </c>
      <c r="AA262" s="285">
        <f t="shared" si="322"/>
        <v>1630.04</v>
      </c>
      <c r="AB262" s="285">
        <f t="shared" si="405"/>
        <v>160.25</v>
      </c>
      <c r="AC262" s="285">
        <f t="shared" si="323"/>
        <v>1469.79</v>
      </c>
      <c r="AD262" s="285">
        <f t="shared" ref="AD262:AE262" si="418">+AD261</f>
        <v>134.16999999999999</v>
      </c>
      <c r="AE262" s="285">
        <f t="shared" si="418"/>
        <v>188.55</v>
      </c>
      <c r="AF262" s="285">
        <f t="shared" si="407"/>
        <v>1952.76</v>
      </c>
      <c r="AG262" s="285">
        <f t="shared" si="408"/>
        <v>49153.359999999964</v>
      </c>
      <c r="AH262" s="285">
        <f t="shared" si="409"/>
        <v>277601.00000000012</v>
      </c>
      <c r="AI262" s="512">
        <f t="shared" si="392"/>
        <v>1801.919999999973</v>
      </c>
      <c r="AJ262" s="512">
        <f t="shared" si="350"/>
        <v>-110320.70000000022</v>
      </c>
      <c r="AK262" s="512">
        <f t="shared" si="393"/>
        <v>-108518.78000000025</v>
      </c>
      <c r="AL262" s="285">
        <f t="shared" si="410"/>
        <v>282040.04000000021</v>
      </c>
      <c r="AM262" s="425">
        <f t="shared" si="331"/>
        <v>16</v>
      </c>
      <c r="AN262" s="14">
        <f t="shared" si="394"/>
        <v>1160.29</v>
      </c>
      <c r="AO262" s="14">
        <f t="shared" si="369"/>
        <v>199145.40000000002</v>
      </c>
      <c r="AP262" s="14">
        <f t="shared" si="395"/>
        <v>1179.76</v>
      </c>
      <c r="AS262" s="14">
        <f t="shared" si="325"/>
        <v>1160.29</v>
      </c>
      <c r="AT262" s="14">
        <f t="shared" si="332"/>
        <v>236218.60000000041</v>
      </c>
      <c r="AU262" s="285">
        <f t="shared" si="333"/>
        <v>1211.6580782593453</v>
      </c>
      <c r="AV262" s="285">
        <f t="shared" si="334"/>
        <v>224298.88938199743</v>
      </c>
    </row>
    <row r="263" spans="1:48" x14ac:dyDescent="0.25">
      <c r="A263" s="502">
        <f t="shared" si="397"/>
        <v>51849</v>
      </c>
      <c r="B263" s="285">
        <f t="shared" si="326"/>
        <v>42495.179999999971</v>
      </c>
      <c r="C263" s="14">
        <f t="shared" si="319"/>
        <v>450.28</v>
      </c>
      <c r="D263" s="14">
        <f t="shared" si="335"/>
        <v>317.47999999999996</v>
      </c>
      <c r="E263" s="14">
        <f t="shared" si="320"/>
        <v>132.80000000000001</v>
      </c>
      <c r="F263" s="14">
        <f t="shared" si="386"/>
        <v>134.16999999999999</v>
      </c>
      <c r="G263" s="14">
        <f t="shared" si="383"/>
        <v>188.55</v>
      </c>
      <c r="H263" s="14">
        <f t="shared" si="384"/>
        <v>773</v>
      </c>
      <c r="I263" s="285">
        <f t="shared" si="398"/>
        <v>55354.139999999978</v>
      </c>
      <c r="J263" s="285">
        <f t="shared" si="399"/>
        <v>57069.419999999976</v>
      </c>
      <c r="K263" s="285">
        <f t="shared" si="400"/>
        <v>42177.699999999968</v>
      </c>
      <c r="L263" s="425">
        <f t="shared" si="371"/>
        <v>17</v>
      </c>
      <c r="M263" s="425">
        <f t="shared" si="327"/>
        <v>204</v>
      </c>
      <c r="N263" s="285">
        <f t="shared" si="328"/>
        <v>171719.34</v>
      </c>
      <c r="O263" s="285">
        <f t="shared" si="401"/>
        <v>1610.57</v>
      </c>
      <c r="P263" s="285">
        <f t="shared" si="336"/>
        <v>716.19999999999993</v>
      </c>
      <c r="Q263" s="285">
        <f t="shared" si="402"/>
        <v>894.37</v>
      </c>
      <c r="R263" s="285">
        <f t="shared" si="389"/>
        <v>134.16999999999999</v>
      </c>
      <c r="S263" s="285">
        <f t="shared" si="390"/>
        <v>188.55</v>
      </c>
      <c r="T263" s="285">
        <f t="shared" si="387"/>
        <v>1933.29</v>
      </c>
      <c r="U263" s="285">
        <f t="shared" si="337"/>
        <v>90572.859999999957</v>
      </c>
      <c r="V263" s="285">
        <f t="shared" si="338"/>
        <v>239593.98999999993</v>
      </c>
      <c r="W263" s="285">
        <f t="shared" si="403"/>
        <v>171003.13999999998</v>
      </c>
      <c r="X263" s="502">
        <f t="shared" si="329"/>
        <v>51849</v>
      </c>
      <c r="Y263" s="285">
        <f t="shared" si="404"/>
        <v>282040.04000000021</v>
      </c>
      <c r="Z263" s="494">
        <f t="shared" si="321"/>
        <v>6.25E-2</v>
      </c>
      <c r="AA263" s="285">
        <f t="shared" si="322"/>
        <v>1630.04</v>
      </c>
      <c r="AB263" s="285">
        <f t="shared" si="405"/>
        <v>161.07999999999993</v>
      </c>
      <c r="AC263" s="285">
        <f t="shared" si="323"/>
        <v>1468.96</v>
      </c>
      <c r="AD263" s="285">
        <f t="shared" ref="AD263:AE263" si="419">+AD262</f>
        <v>134.16999999999999</v>
      </c>
      <c r="AE263" s="285">
        <f t="shared" si="419"/>
        <v>188.55</v>
      </c>
      <c r="AF263" s="285">
        <f t="shared" si="407"/>
        <v>1952.76</v>
      </c>
      <c r="AG263" s="285">
        <f t="shared" si="408"/>
        <v>49314.439999999966</v>
      </c>
      <c r="AH263" s="285">
        <f t="shared" si="409"/>
        <v>279069.96000000014</v>
      </c>
      <c r="AI263" s="512">
        <f t="shared" si="392"/>
        <v>1782.449999999973</v>
      </c>
      <c r="AJ263" s="512">
        <f t="shared" si="350"/>
        <v>-110875.82000000021</v>
      </c>
      <c r="AK263" s="512">
        <f t="shared" si="393"/>
        <v>-109093.37000000024</v>
      </c>
      <c r="AL263" s="285">
        <f t="shared" si="410"/>
        <v>281878.9600000002</v>
      </c>
      <c r="AM263" s="425">
        <f t="shared" si="331"/>
        <v>17</v>
      </c>
      <c r="AN263" s="14">
        <f t="shared" si="394"/>
        <v>1160.29</v>
      </c>
      <c r="AO263" s="14">
        <f t="shared" si="369"/>
        <v>198746.68000000002</v>
      </c>
      <c r="AP263" s="14">
        <f t="shared" si="395"/>
        <v>1179.76</v>
      </c>
      <c r="AS263" s="14">
        <f t="shared" si="325"/>
        <v>1160.29</v>
      </c>
      <c r="AT263" s="14">
        <f t="shared" si="332"/>
        <v>237378.89000000042</v>
      </c>
      <c r="AU263" s="285">
        <f t="shared" si="333"/>
        <v>1214.6872234549935</v>
      </c>
      <c r="AV263" s="285">
        <f t="shared" si="334"/>
        <v>225513.57660545243</v>
      </c>
    </row>
    <row r="264" spans="1:48" x14ac:dyDescent="0.25">
      <c r="A264" s="502">
        <f t="shared" si="397"/>
        <v>51879</v>
      </c>
      <c r="B264" s="285">
        <f t="shared" si="326"/>
        <v>42177.699999999968</v>
      </c>
      <c r="C264" s="14">
        <f t="shared" si="319"/>
        <v>450.28</v>
      </c>
      <c r="D264" s="14">
        <f t="shared" si="335"/>
        <v>318.46999999999997</v>
      </c>
      <c r="E264" s="14">
        <f t="shared" si="320"/>
        <v>131.81</v>
      </c>
      <c r="F264" s="14">
        <f t="shared" si="386"/>
        <v>134.16999999999999</v>
      </c>
      <c r="G264" s="14">
        <f t="shared" si="383"/>
        <v>188.55</v>
      </c>
      <c r="H264" s="14">
        <f t="shared" si="384"/>
        <v>773</v>
      </c>
      <c r="I264" s="285">
        <f t="shared" si="398"/>
        <v>55672.609999999979</v>
      </c>
      <c r="J264" s="285">
        <f t="shared" si="399"/>
        <v>57201.229999999974</v>
      </c>
      <c r="K264" s="285">
        <f t="shared" si="400"/>
        <v>41859.229999999967</v>
      </c>
      <c r="L264" s="425">
        <f t="shared" si="371"/>
        <v>17</v>
      </c>
      <c r="M264" s="425">
        <f t="shared" si="327"/>
        <v>205</v>
      </c>
      <c r="N264" s="285">
        <f t="shared" si="328"/>
        <v>171003.13999999998</v>
      </c>
      <c r="O264" s="285">
        <f t="shared" si="401"/>
        <v>1610.57</v>
      </c>
      <c r="P264" s="285">
        <f t="shared" si="336"/>
        <v>719.93</v>
      </c>
      <c r="Q264" s="285">
        <f t="shared" si="402"/>
        <v>890.64</v>
      </c>
      <c r="R264" s="285">
        <f t="shared" si="389"/>
        <v>134.16999999999999</v>
      </c>
      <c r="S264" s="285">
        <f t="shared" si="390"/>
        <v>188.55</v>
      </c>
      <c r="T264" s="285">
        <f t="shared" si="387"/>
        <v>1933.29</v>
      </c>
      <c r="U264" s="285">
        <f t="shared" si="337"/>
        <v>91292.78999999995</v>
      </c>
      <c r="V264" s="285">
        <f t="shared" si="338"/>
        <v>240484.62999999995</v>
      </c>
      <c r="W264" s="285">
        <f t="shared" si="403"/>
        <v>170283.21</v>
      </c>
      <c r="X264" s="502">
        <f t="shared" si="329"/>
        <v>51879</v>
      </c>
      <c r="Y264" s="285">
        <f t="shared" si="404"/>
        <v>281878.9600000002</v>
      </c>
      <c r="Z264" s="494">
        <f t="shared" si="321"/>
        <v>6.25E-2</v>
      </c>
      <c r="AA264" s="285">
        <f t="shared" si="322"/>
        <v>1630.04</v>
      </c>
      <c r="AB264" s="285">
        <f t="shared" si="405"/>
        <v>161.92000000000007</v>
      </c>
      <c r="AC264" s="285">
        <f t="shared" si="323"/>
        <v>1468.12</v>
      </c>
      <c r="AD264" s="285">
        <f t="shared" ref="AD264:AE264" si="420">+AD263</f>
        <v>134.16999999999999</v>
      </c>
      <c r="AE264" s="285">
        <f t="shared" si="420"/>
        <v>188.55</v>
      </c>
      <c r="AF264" s="285">
        <f t="shared" si="407"/>
        <v>1952.76</v>
      </c>
      <c r="AG264" s="285">
        <f t="shared" si="408"/>
        <v>49476.359999999964</v>
      </c>
      <c r="AH264" s="285">
        <f t="shared" si="409"/>
        <v>280538.08000000013</v>
      </c>
      <c r="AI264" s="512">
        <f t="shared" si="392"/>
        <v>1762.979999999973</v>
      </c>
      <c r="AJ264" s="512">
        <f t="shared" si="350"/>
        <v>-111433.83000000022</v>
      </c>
      <c r="AK264" s="512">
        <f t="shared" si="393"/>
        <v>-109670.85000000025</v>
      </c>
      <c r="AL264" s="285">
        <f t="shared" si="410"/>
        <v>281717.04000000021</v>
      </c>
      <c r="AM264" s="425">
        <f t="shared" si="331"/>
        <v>17</v>
      </c>
      <c r="AN264" s="14">
        <f t="shared" si="394"/>
        <v>1160.29</v>
      </c>
      <c r="AO264" s="14">
        <f t="shared" si="369"/>
        <v>198345.22000000006</v>
      </c>
      <c r="AP264" s="14">
        <f t="shared" si="395"/>
        <v>1179.76</v>
      </c>
      <c r="AS264" s="14">
        <f t="shared" si="325"/>
        <v>1160.29</v>
      </c>
      <c r="AT264" s="14">
        <f t="shared" si="332"/>
        <v>238539.18000000043</v>
      </c>
      <c r="AU264" s="285">
        <f t="shared" si="333"/>
        <v>1217.7239415136312</v>
      </c>
      <c r="AV264" s="285">
        <f t="shared" si="334"/>
        <v>226731.30054696606</v>
      </c>
    </row>
    <row r="265" spans="1:48" x14ac:dyDescent="0.25">
      <c r="A265" s="502">
        <f t="shared" si="397"/>
        <v>51909</v>
      </c>
      <c r="B265" s="285">
        <f t="shared" si="326"/>
        <v>41859.229999999967</v>
      </c>
      <c r="C265" s="14">
        <f t="shared" si="319"/>
        <v>450.28</v>
      </c>
      <c r="D265" s="14">
        <f t="shared" si="335"/>
        <v>319.46999999999997</v>
      </c>
      <c r="E265" s="14">
        <f t="shared" si="320"/>
        <v>130.81</v>
      </c>
      <c r="F265" s="14">
        <f t="shared" si="386"/>
        <v>134.16999999999999</v>
      </c>
      <c r="G265" s="14">
        <f t="shared" si="383"/>
        <v>188.55</v>
      </c>
      <c r="H265" s="14">
        <f t="shared" si="384"/>
        <v>773</v>
      </c>
      <c r="I265" s="285">
        <f t="shared" si="398"/>
        <v>55992.07999999998</v>
      </c>
      <c r="J265" s="285">
        <f t="shared" si="399"/>
        <v>57332.039999999972</v>
      </c>
      <c r="K265" s="285">
        <f t="shared" si="400"/>
        <v>41539.759999999966</v>
      </c>
      <c r="L265" s="425">
        <f t="shared" si="371"/>
        <v>17</v>
      </c>
      <c r="M265" s="425">
        <f t="shared" si="327"/>
        <v>206</v>
      </c>
      <c r="N265" s="285">
        <f t="shared" si="328"/>
        <v>170283.21</v>
      </c>
      <c r="O265" s="285">
        <f t="shared" si="401"/>
        <v>1610.57</v>
      </c>
      <c r="P265" s="285">
        <f t="shared" si="336"/>
        <v>723.68</v>
      </c>
      <c r="Q265" s="285">
        <f t="shared" si="402"/>
        <v>886.89</v>
      </c>
      <c r="R265" s="285">
        <f t="shared" si="389"/>
        <v>134.16999999999999</v>
      </c>
      <c r="S265" s="285">
        <f t="shared" si="390"/>
        <v>188.55</v>
      </c>
      <c r="T265" s="285">
        <f t="shared" si="387"/>
        <v>1933.29</v>
      </c>
      <c r="U265" s="285">
        <f t="shared" si="337"/>
        <v>92016.469999999943</v>
      </c>
      <c r="V265" s="285">
        <f t="shared" si="338"/>
        <v>241371.51999999996</v>
      </c>
      <c r="W265" s="285">
        <f t="shared" si="403"/>
        <v>169559.53</v>
      </c>
      <c r="X265" s="502">
        <f t="shared" si="329"/>
        <v>51909</v>
      </c>
      <c r="Y265" s="285">
        <f t="shared" si="404"/>
        <v>281717.04000000021</v>
      </c>
      <c r="Z265" s="494">
        <f t="shared" si="321"/>
        <v>6.25E-2</v>
      </c>
      <c r="AA265" s="285">
        <f t="shared" si="322"/>
        <v>1630.04</v>
      </c>
      <c r="AB265" s="285">
        <f t="shared" si="405"/>
        <v>162.76</v>
      </c>
      <c r="AC265" s="285">
        <f t="shared" si="323"/>
        <v>1467.28</v>
      </c>
      <c r="AD265" s="285">
        <f t="shared" ref="AD265:AE265" si="421">+AD264</f>
        <v>134.16999999999999</v>
      </c>
      <c r="AE265" s="285">
        <f t="shared" si="421"/>
        <v>188.55</v>
      </c>
      <c r="AF265" s="285">
        <f t="shared" si="407"/>
        <v>1952.76</v>
      </c>
      <c r="AG265" s="285">
        <f t="shared" si="408"/>
        <v>49639.119999999966</v>
      </c>
      <c r="AH265" s="285">
        <f t="shared" si="409"/>
        <v>282005.36000000016</v>
      </c>
      <c r="AI265" s="512">
        <f t="shared" si="392"/>
        <v>1743.5099999999729</v>
      </c>
      <c r="AJ265" s="512">
        <f t="shared" si="350"/>
        <v>-111994.7500000002</v>
      </c>
      <c r="AK265" s="512">
        <f t="shared" si="393"/>
        <v>-110251.24000000022</v>
      </c>
      <c r="AL265" s="285">
        <f t="shared" si="410"/>
        <v>281554.2800000002</v>
      </c>
      <c r="AM265" s="425">
        <f t="shared" si="331"/>
        <v>17</v>
      </c>
      <c r="AN265" s="14">
        <f t="shared" si="394"/>
        <v>1160.29</v>
      </c>
      <c r="AO265" s="14">
        <f t="shared" si="369"/>
        <v>197941.01000000004</v>
      </c>
      <c r="AP265" s="14">
        <f t="shared" si="395"/>
        <v>1179.76</v>
      </c>
      <c r="AS265" s="14">
        <f t="shared" si="325"/>
        <v>1160.29</v>
      </c>
      <c r="AT265" s="14">
        <f t="shared" si="332"/>
        <v>239699.47000000044</v>
      </c>
      <c r="AU265" s="285">
        <f t="shared" si="333"/>
        <v>1220.7682513674151</v>
      </c>
      <c r="AV265" s="285">
        <f t="shared" si="334"/>
        <v>227952.06879833346</v>
      </c>
    </row>
    <row r="266" spans="1:48" ht="15.75" thickBot="1" x14ac:dyDescent="0.3">
      <c r="A266" s="505">
        <f t="shared" si="397"/>
        <v>51939</v>
      </c>
      <c r="B266" s="345">
        <f t="shared" si="326"/>
        <v>41539.759999999966</v>
      </c>
      <c r="C266" s="21">
        <f t="shared" si="319"/>
        <v>450.28</v>
      </c>
      <c r="D266" s="21">
        <f t="shared" si="335"/>
        <v>320.46999999999997</v>
      </c>
      <c r="E266" s="21">
        <f t="shared" si="320"/>
        <v>129.81</v>
      </c>
      <c r="F266" s="21">
        <f t="shared" si="386"/>
        <v>134.16999999999999</v>
      </c>
      <c r="G266" s="21">
        <f t="shared" si="383"/>
        <v>188.55</v>
      </c>
      <c r="H266" s="21">
        <f t="shared" si="384"/>
        <v>773</v>
      </c>
      <c r="I266" s="345">
        <f t="shared" si="398"/>
        <v>56312.549999999981</v>
      </c>
      <c r="J266" s="345">
        <f t="shared" si="399"/>
        <v>57461.849999999969</v>
      </c>
      <c r="K266" s="345">
        <f t="shared" si="400"/>
        <v>41219.289999999964</v>
      </c>
      <c r="L266" s="426">
        <f t="shared" si="371"/>
        <v>17</v>
      </c>
      <c r="M266" s="426">
        <f t="shared" si="327"/>
        <v>207</v>
      </c>
      <c r="N266" s="345">
        <f t="shared" si="328"/>
        <v>169559.53</v>
      </c>
      <c r="O266" s="345">
        <f t="shared" si="401"/>
        <v>1610.57</v>
      </c>
      <c r="P266" s="345">
        <f t="shared" si="336"/>
        <v>727.44999999999993</v>
      </c>
      <c r="Q266" s="345">
        <f t="shared" si="402"/>
        <v>883.12</v>
      </c>
      <c r="R266" s="345">
        <f t="shared" si="389"/>
        <v>134.16999999999999</v>
      </c>
      <c r="S266" s="345">
        <f t="shared" si="390"/>
        <v>188.55</v>
      </c>
      <c r="T266" s="345">
        <f t="shared" si="387"/>
        <v>1933.29</v>
      </c>
      <c r="U266" s="345">
        <f t="shared" si="337"/>
        <v>92743.91999999994</v>
      </c>
      <c r="V266" s="345">
        <f t="shared" si="338"/>
        <v>242254.63999999996</v>
      </c>
      <c r="W266" s="345">
        <f t="shared" si="403"/>
        <v>168832.08</v>
      </c>
      <c r="X266" s="505">
        <f t="shared" si="329"/>
        <v>51939</v>
      </c>
      <c r="Y266" s="345">
        <f t="shared" si="404"/>
        <v>281554.2800000002</v>
      </c>
      <c r="Z266" s="495">
        <f t="shared" si="321"/>
        <v>6.25E-2</v>
      </c>
      <c r="AA266" s="345">
        <f t="shared" si="322"/>
        <v>1630.04</v>
      </c>
      <c r="AB266" s="345">
        <f t="shared" si="405"/>
        <v>163.6099999999999</v>
      </c>
      <c r="AC266" s="345">
        <f t="shared" si="323"/>
        <v>1466.43</v>
      </c>
      <c r="AD266" s="345">
        <f t="shared" ref="AD266:AE266" si="422">+AD265</f>
        <v>134.16999999999999</v>
      </c>
      <c r="AE266" s="345">
        <f t="shared" si="422"/>
        <v>188.55</v>
      </c>
      <c r="AF266" s="345">
        <f t="shared" si="407"/>
        <v>1952.76</v>
      </c>
      <c r="AG266" s="345">
        <f t="shared" si="408"/>
        <v>49802.729999999967</v>
      </c>
      <c r="AH266" s="345">
        <f t="shared" si="409"/>
        <v>283471.79000000015</v>
      </c>
      <c r="AI266" s="513">
        <f t="shared" si="392"/>
        <v>1724.0399999999729</v>
      </c>
      <c r="AJ266" s="513">
        <f t="shared" si="350"/>
        <v>-112558.59000000023</v>
      </c>
      <c r="AK266" s="512">
        <f t="shared" si="393"/>
        <v>-110834.55000000025</v>
      </c>
      <c r="AL266" s="345">
        <f t="shared" si="410"/>
        <v>281390.67000000022</v>
      </c>
      <c r="AM266" s="426">
        <f t="shared" si="331"/>
        <v>17</v>
      </c>
      <c r="AN266" s="21">
        <f t="shared" si="394"/>
        <v>1160.29</v>
      </c>
      <c r="AO266" s="21">
        <f t="shared" si="369"/>
        <v>197534.03000000009</v>
      </c>
      <c r="AP266" s="21">
        <f t="shared" si="395"/>
        <v>1179.76</v>
      </c>
      <c r="AQ266" s="21"/>
      <c r="AR266" s="23"/>
      <c r="AS266" s="21">
        <f t="shared" si="325"/>
        <v>1160.29</v>
      </c>
      <c r="AT266" s="21">
        <f t="shared" si="332"/>
        <v>240859.76000000045</v>
      </c>
      <c r="AU266" s="345">
        <f t="shared" si="333"/>
        <v>1223.8201719958336</v>
      </c>
      <c r="AV266" s="345">
        <f t="shared" si="334"/>
        <v>229175.88897032931</v>
      </c>
    </row>
    <row r="267" spans="1:48" x14ac:dyDescent="0.25">
      <c r="A267" s="502">
        <f t="shared" si="397"/>
        <v>51969</v>
      </c>
      <c r="B267" s="285">
        <f t="shared" si="326"/>
        <v>41219.289999999964</v>
      </c>
      <c r="C267" s="14">
        <f t="shared" si="319"/>
        <v>450.28</v>
      </c>
      <c r="D267" s="14">
        <f t="shared" si="335"/>
        <v>321.46999999999997</v>
      </c>
      <c r="E267" s="14">
        <f t="shared" si="320"/>
        <v>128.81</v>
      </c>
      <c r="F267" s="14">
        <f t="shared" si="386"/>
        <v>134.16999999999999</v>
      </c>
      <c r="G267" s="14">
        <f t="shared" si="383"/>
        <v>188.55</v>
      </c>
      <c r="H267" s="14">
        <f t="shared" si="384"/>
        <v>773</v>
      </c>
      <c r="I267" s="285">
        <f t="shared" si="398"/>
        <v>56634.019999999982</v>
      </c>
      <c r="J267" s="285">
        <f t="shared" si="399"/>
        <v>57590.659999999967</v>
      </c>
      <c r="K267" s="285">
        <f t="shared" si="400"/>
        <v>40897.819999999963</v>
      </c>
      <c r="L267" s="425">
        <f t="shared" si="371"/>
        <v>17</v>
      </c>
      <c r="M267" s="425">
        <f t="shared" si="327"/>
        <v>208</v>
      </c>
      <c r="N267" s="285">
        <f t="shared" si="328"/>
        <v>168832.08</v>
      </c>
      <c r="O267" s="285">
        <f t="shared" si="401"/>
        <v>1610.57</v>
      </c>
      <c r="P267" s="285">
        <f t="shared" si="336"/>
        <v>731.2399999999999</v>
      </c>
      <c r="Q267" s="285">
        <f t="shared" si="402"/>
        <v>879.33</v>
      </c>
      <c r="R267" s="285">
        <f t="shared" si="389"/>
        <v>134.16999999999999</v>
      </c>
      <c r="S267" s="285">
        <f t="shared" si="390"/>
        <v>188.55</v>
      </c>
      <c r="T267" s="285">
        <f t="shared" si="387"/>
        <v>1933.29</v>
      </c>
      <c r="U267" s="285">
        <f t="shared" si="337"/>
        <v>93475.159999999945</v>
      </c>
      <c r="V267" s="285">
        <f t="shared" si="338"/>
        <v>243133.96999999994</v>
      </c>
      <c r="W267" s="285">
        <f t="shared" si="403"/>
        <v>168100.84</v>
      </c>
      <c r="X267" s="502">
        <f t="shared" si="329"/>
        <v>51969</v>
      </c>
      <c r="Y267" s="285">
        <f t="shared" si="404"/>
        <v>281390.67000000022</v>
      </c>
      <c r="Z267" s="494">
        <f t="shared" si="321"/>
        <v>6.25E-2</v>
      </c>
      <c r="AA267" s="285">
        <f t="shared" si="322"/>
        <v>1630.04</v>
      </c>
      <c r="AB267" s="285">
        <f t="shared" si="405"/>
        <v>164.46000000000004</v>
      </c>
      <c r="AC267" s="285">
        <f t="shared" si="323"/>
        <v>1465.58</v>
      </c>
      <c r="AD267" s="285">
        <f t="shared" ref="AD267:AE267" si="423">+AD266</f>
        <v>134.16999999999999</v>
      </c>
      <c r="AE267" s="285">
        <f t="shared" si="423"/>
        <v>188.55</v>
      </c>
      <c r="AF267" s="285">
        <f t="shared" si="407"/>
        <v>1952.76</v>
      </c>
      <c r="AG267" s="285">
        <f t="shared" si="408"/>
        <v>49967.189999999966</v>
      </c>
      <c r="AH267" s="285">
        <f t="shared" si="409"/>
        <v>284937.37000000017</v>
      </c>
      <c r="AI267" s="512">
        <f t="shared" si="392"/>
        <v>1704.5699999999729</v>
      </c>
      <c r="AJ267" s="512">
        <f t="shared" si="350"/>
        <v>-113125.3700000002</v>
      </c>
      <c r="AK267" s="512">
        <f t="shared" si="393"/>
        <v>-111420.80000000022</v>
      </c>
      <c r="AL267" s="285">
        <f t="shared" si="410"/>
        <v>281226.2100000002</v>
      </c>
      <c r="AM267" s="425">
        <f t="shared" si="331"/>
        <v>17</v>
      </c>
      <c r="AN267" s="14">
        <f t="shared" si="394"/>
        <v>1160.29</v>
      </c>
      <c r="AO267" s="14">
        <f t="shared" si="369"/>
        <v>197124.26000000004</v>
      </c>
      <c r="AP267" s="14">
        <f t="shared" si="395"/>
        <v>1179.76</v>
      </c>
      <c r="AS267" s="14">
        <f t="shared" si="325"/>
        <v>1160.29</v>
      </c>
      <c r="AT267" s="14">
        <f t="shared" si="332"/>
        <v>242020.05000000045</v>
      </c>
      <c r="AU267" s="285">
        <f t="shared" si="333"/>
        <v>1226.8797224258233</v>
      </c>
      <c r="AV267" s="285">
        <f t="shared" si="334"/>
        <v>230402.76869275514</v>
      </c>
    </row>
    <row r="268" spans="1:48" x14ac:dyDescent="0.25">
      <c r="A268" s="502">
        <f t="shared" si="397"/>
        <v>51999</v>
      </c>
      <c r="B268" s="285">
        <f t="shared" si="326"/>
        <v>40897.819999999963</v>
      </c>
      <c r="C268" s="14">
        <f t="shared" si="319"/>
        <v>450.28</v>
      </c>
      <c r="D268" s="14">
        <f t="shared" si="335"/>
        <v>322.46999999999997</v>
      </c>
      <c r="E268" s="14">
        <f t="shared" si="320"/>
        <v>127.81</v>
      </c>
      <c r="F268" s="14">
        <f t="shared" si="386"/>
        <v>134.16999999999999</v>
      </c>
      <c r="G268" s="14">
        <f t="shared" si="383"/>
        <v>188.55</v>
      </c>
      <c r="H268" s="14">
        <f t="shared" si="384"/>
        <v>773</v>
      </c>
      <c r="I268" s="285">
        <f t="shared" si="398"/>
        <v>56956.489999999983</v>
      </c>
      <c r="J268" s="285">
        <f t="shared" si="399"/>
        <v>57718.469999999965</v>
      </c>
      <c r="K268" s="285">
        <f t="shared" si="400"/>
        <v>40575.349999999962</v>
      </c>
      <c r="L268" s="425">
        <f t="shared" si="371"/>
        <v>17</v>
      </c>
      <c r="M268" s="425">
        <f t="shared" si="327"/>
        <v>209</v>
      </c>
      <c r="N268" s="285">
        <f t="shared" si="328"/>
        <v>168100.84</v>
      </c>
      <c r="O268" s="285">
        <f t="shared" si="401"/>
        <v>1610.57</v>
      </c>
      <c r="P268" s="285">
        <f t="shared" si="336"/>
        <v>735.04</v>
      </c>
      <c r="Q268" s="285">
        <f t="shared" si="402"/>
        <v>875.53</v>
      </c>
      <c r="R268" s="285">
        <f t="shared" si="389"/>
        <v>134.16999999999999</v>
      </c>
      <c r="S268" s="285">
        <f t="shared" si="390"/>
        <v>188.55</v>
      </c>
      <c r="T268" s="285">
        <f t="shared" si="387"/>
        <v>1933.29</v>
      </c>
      <c r="U268" s="285">
        <f t="shared" si="337"/>
        <v>94210.199999999939</v>
      </c>
      <c r="V268" s="285">
        <f t="shared" si="338"/>
        <v>244009.49999999994</v>
      </c>
      <c r="W268" s="285">
        <f t="shared" si="403"/>
        <v>167365.79999999999</v>
      </c>
      <c r="X268" s="502">
        <f t="shared" si="329"/>
        <v>51999</v>
      </c>
      <c r="Y268" s="285">
        <f t="shared" si="404"/>
        <v>281226.2100000002</v>
      </c>
      <c r="Z268" s="494">
        <f t="shared" si="321"/>
        <v>6.25E-2</v>
      </c>
      <c r="AA268" s="285">
        <f t="shared" si="322"/>
        <v>1630.04</v>
      </c>
      <c r="AB268" s="285">
        <f t="shared" si="405"/>
        <v>165.31999999999994</v>
      </c>
      <c r="AC268" s="285">
        <f t="shared" si="323"/>
        <v>1464.72</v>
      </c>
      <c r="AD268" s="285">
        <f t="shared" ref="AD268:AE268" si="424">+AD267</f>
        <v>134.16999999999999</v>
      </c>
      <c r="AE268" s="285">
        <f t="shared" si="424"/>
        <v>188.55</v>
      </c>
      <c r="AF268" s="285">
        <f t="shared" si="407"/>
        <v>1952.76</v>
      </c>
      <c r="AG268" s="285">
        <f t="shared" si="408"/>
        <v>50132.509999999966</v>
      </c>
      <c r="AH268" s="285">
        <f t="shared" si="409"/>
        <v>286402.09000000014</v>
      </c>
      <c r="AI268" s="512">
        <f t="shared" si="392"/>
        <v>1685.0999999999729</v>
      </c>
      <c r="AJ268" s="512">
        <f t="shared" si="350"/>
        <v>-113695.0900000002</v>
      </c>
      <c r="AK268" s="512">
        <f t="shared" si="393"/>
        <v>-112009.99000000022</v>
      </c>
      <c r="AL268" s="285">
        <f t="shared" si="410"/>
        <v>281060.89000000019</v>
      </c>
      <c r="AM268" s="425">
        <f t="shared" si="331"/>
        <v>17</v>
      </c>
      <c r="AN268" s="14">
        <f t="shared" si="394"/>
        <v>1160.29</v>
      </c>
      <c r="AO268" s="14">
        <f t="shared" si="369"/>
        <v>196711.69000000006</v>
      </c>
      <c r="AP268" s="14">
        <f t="shared" si="395"/>
        <v>1179.76</v>
      </c>
      <c r="AS268" s="14">
        <f t="shared" si="325"/>
        <v>1160.29</v>
      </c>
      <c r="AT268" s="14">
        <f t="shared" si="332"/>
        <v>243180.34000000046</v>
      </c>
      <c r="AU268" s="285">
        <f t="shared" si="333"/>
        <v>1229.9469217318879</v>
      </c>
      <c r="AV268" s="285">
        <f t="shared" si="334"/>
        <v>231632.71561448704</v>
      </c>
    </row>
    <row r="269" spans="1:48" x14ac:dyDescent="0.25">
      <c r="A269" s="502">
        <f t="shared" si="397"/>
        <v>52029</v>
      </c>
      <c r="B269" s="285">
        <f t="shared" si="326"/>
        <v>40575.349999999962</v>
      </c>
      <c r="C269" s="14">
        <f t="shared" si="319"/>
        <v>450.28</v>
      </c>
      <c r="D269" s="14">
        <f t="shared" si="335"/>
        <v>323.47999999999996</v>
      </c>
      <c r="E269" s="14">
        <f t="shared" si="320"/>
        <v>126.8</v>
      </c>
      <c r="F269" s="14">
        <f t="shared" si="386"/>
        <v>134.16999999999999</v>
      </c>
      <c r="G269" s="14">
        <f t="shared" si="383"/>
        <v>188.55</v>
      </c>
      <c r="H269" s="14">
        <f t="shared" si="384"/>
        <v>773</v>
      </c>
      <c r="I269" s="285">
        <f t="shared" si="398"/>
        <v>57279.969999999987</v>
      </c>
      <c r="J269" s="285">
        <f t="shared" si="399"/>
        <v>57845.269999999968</v>
      </c>
      <c r="K269" s="285">
        <f t="shared" si="400"/>
        <v>40251.869999999959</v>
      </c>
      <c r="L269" s="425">
        <f t="shared" si="371"/>
        <v>17</v>
      </c>
      <c r="M269" s="425">
        <f t="shared" si="327"/>
        <v>210</v>
      </c>
      <c r="N269" s="285">
        <f t="shared" si="328"/>
        <v>167365.79999999999</v>
      </c>
      <c r="O269" s="285">
        <f t="shared" si="401"/>
        <v>1610.57</v>
      </c>
      <c r="P269" s="285">
        <f t="shared" si="336"/>
        <v>738.86999999999989</v>
      </c>
      <c r="Q269" s="285">
        <f t="shared" si="402"/>
        <v>871.7</v>
      </c>
      <c r="R269" s="285">
        <f t="shared" si="389"/>
        <v>134.16999999999999</v>
      </c>
      <c r="S269" s="285">
        <f t="shared" si="390"/>
        <v>188.55</v>
      </c>
      <c r="T269" s="285">
        <f t="shared" si="387"/>
        <v>1933.29</v>
      </c>
      <c r="U269" s="285">
        <f t="shared" si="337"/>
        <v>94949.069999999934</v>
      </c>
      <c r="V269" s="285">
        <f t="shared" si="338"/>
        <v>244881.19999999995</v>
      </c>
      <c r="W269" s="285">
        <f t="shared" si="403"/>
        <v>166626.93</v>
      </c>
      <c r="X269" s="502">
        <f t="shared" si="329"/>
        <v>52029</v>
      </c>
      <c r="Y269" s="285">
        <f t="shared" si="404"/>
        <v>281060.89000000019</v>
      </c>
      <c r="Z269" s="494">
        <f t="shared" si="321"/>
        <v>6.25E-2</v>
      </c>
      <c r="AA269" s="285">
        <f t="shared" si="322"/>
        <v>1630.04</v>
      </c>
      <c r="AB269" s="285">
        <f t="shared" si="405"/>
        <v>166.18000000000006</v>
      </c>
      <c r="AC269" s="285">
        <f t="shared" si="323"/>
        <v>1463.86</v>
      </c>
      <c r="AD269" s="285">
        <f t="shared" ref="AD269:AE269" si="425">+AD268</f>
        <v>134.16999999999999</v>
      </c>
      <c r="AE269" s="285">
        <f t="shared" si="425"/>
        <v>188.55</v>
      </c>
      <c r="AF269" s="285">
        <f t="shared" si="407"/>
        <v>1952.76</v>
      </c>
      <c r="AG269" s="285">
        <f t="shared" si="408"/>
        <v>50298.689999999966</v>
      </c>
      <c r="AH269" s="285">
        <f t="shared" si="409"/>
        <v>287865.95000000013</v>
      </c>
      <c r="AI269" s="512">
        <f t="shared" si="392"/>
        <v>1665.6299999999728</v>
      </c>
      <c r="AJ269" s="512">
        <f t="shared" si="350"/>
        <v>-114267.7800000002</v>
      </c>
      <c r="AK269" s="512">
        <f t="shared" si="393"/>
        <v>-112602.15000000023</v>
      </c>
      <c r="AL269" s="285">
        <f t="shared" si="410"/>
        <v>280894.7100000002</v>
      </c>
      <c r="AM269" s="425">
        <f t="shared" si="331"/>
        <v>17</v>
      </c>
      <c r="AN269" s="14">
        <f t="shared" si="394"/>
        <v>1160.29</v>
      </c>
      <c r="AO269" s="14">
        <f t="shared" si="369"/>
        <v>196296.30000000005</v>
      </c>
      <c r="AP269" s="14">
        <f t="shared" si="395"/>
        <v>1179.76</v>
      </c>
      <c r="AS269" s="14">
        <f t="shared" si="325"/>
        <v>1160.29</v>
      </c>
      <c r="AT269" s="14">
        <f t="shared" si="332"/>
        <v>244340.63000000047</v>
      </c>
      <c r="AU269" s="285">
        <f t="shared" si="333"/>
        <v>1233.0217890362176</v>
      </c>
      <c r="AV269" s="285">
        <f t="shared" si="334"/>
        <v>232865.73740352326</v>
      </c>
    </row>
    <row r="270" spans="1:48" x14ac:dyDescent="0.25">
      <c r="A270" s="502">
        <f t="shared" si="397"/>
        <v>52059</v>
      </c>
      <c r="B270" s="285">
        <f t="shared" si="326"/>
        <v>40251.869999999959</v>
      </c>
      <c r="C270" s="14">
        <f t="shared" si="319"/>
        <v>450.28</v>
      </c>
      <c r="D270" s="14">
        <f t="shared" si="335"/>
        <v>324.48999999999995</v>
      </c>
      <c r="E270" s="14">
        <f t="shared" si="320"/>
        <v>125.79</v>
      </c>
      <c r="F270" s="14">
        <f t="shared" si="386"/>
        <v>134.16999999999999</v>
      </c>
      <c r="G270" s="14">
        <f t="shared" si="383"/>
        <v>188.55</v>
      </c>
      <c r="H270" s="14">
        <f t="shared" si="384"/>
        <v>773</v>
      </c>
      <c r="I270" s="285">
        <f t="shared" si="398"/>
        <v>57604.459999999985</v>
      </c>
      <c r="J270" s="285">
        <f t="shared" si="399"/>
        <v>57971.059999999969</v>
      </c>
      <c r="K270" s="285">
        <f t="shared" si="400"/>
        <v>39927.379999999961</v>
      </c>
      <c r="L270" s="425">
        <f t="shared" si="371"/>
        <v>17</v>
      </c>
      <c r="M270" s="425">
        <f t="shared" si="327"/>
        <v>211</v>
      </c>
      <c r="N270" s="285">
        <f t="shared" si="328"/>
        <v>166626.93</v>
      </c>
      <c r="O270" s="285">
        <f t="shared" si="401"/>
        <v>1610.57</v>
      </c>
      <c r="P270" s="285">
        <f t="shared" si="336"/>
        <v>742.71999999999991</v>
      </c>
      <c r="Q270" s="285">
        <f t="shared" si="402"/>
        <v>867.85</v>
      </c>
      <c r="R270" s="285">
        <f t="shared" si="389"/>
        <v>134.16999999999999</v>
      </c>
      <c r="S270" s="285">
        <f t="shared" si="390"/>
        <v>188.55</v>
      </c>
      <c r="T270" s="285">
        <f t="shared" si="387"/>
        <v>1933.29</v>
      </c>
      <c r="U270" s="285">
        <f t="shared" si="337"/>
        <v>95691.789999999935</v>
      </c>
      <c r="V270" s="285">
        <f t="shared" si="338"/>
        <v>245749.04999999996</v>
      </c>
      <c r="W270" s="285">
        <f t="shared" si="403"/>
        <v>165884.21</v>
      </c>
      <c r="X270" s="502">
        <f t="shared" si="329"/>
        <v>52059</v>
      </c>
      <c r="Y270" s="285">
        <f t="shared" si="404"/>
        <v>280894.7100000002</v>
      </c>
      <c r="Z270" s="494">
        <f t="shared" si="321"/>
        <v>6.25E-2</v>
      </c>
      <c r="AA270" s="285">
        <f t="shared" si="322"/>
        <v>1630.04</v>
      </c>
      <c r="AB270" s="285">
        <f t="shared" si="405"/>
        <v>167.04999999999995</v>
      </c>
      <c r="AC270" s="285">
        <f t="shared" si="323"/>
        <v>1462.99</v>
      </c>
      <c r="AD270" s="285">
        <f t="shared" ref="AD270:AE270" si="426">+AD269</f>
        <v>134.16999999999999</v>
      </c>
      <c r="AE270" s="285">
        <f t="shared" si="426"/>
        <v>188.55</v>
      </c>
      <c r="AF270" s="285">
        <f t="shared" si="407"/>
        <v>1952.76</v>
      </c>
      <c r="AG270" s="285">
        <f t="shared" si="408"/>
        <v>50465.739999999969</v>
      </c>
      <c r="AH270" s="285">
        <f t="shared" si="409"/>
        <v>289328.94000000012</v>
      </c>
      <c r="AI270" s="512">
        <f t="shared" si="392"/>
        <v>1646.1599999999728</v>
      </c>
      <c r="AJ270" s="512">
        <f t="shared" si="350"/>
        <v>-114843.45000000022</v>
      </c>
      <c r="AK270" s="512">
        <f t="shared" si="393"/>
        <v>-113197.29000000024</v>
      </c>
      <c r="AL270" s="285">
        <f t="shared" si="410"/>
        <v>280727.66000000021</v>
      </c>
      <c r="AM270" s="425">
        <f t="shared" si="331"/>
        <v>17</v>
      </c>
      <c r="AN270" s="14">
        <f t="shared" si="394"/>
        <v>1160.29</v>
      </c>
      <c r="AO270" s="14">
        <f t="shared" si="369"/>
        <v>195878.07000000007</v>
      </c>
      <c r="AP270" s="14">
        <f t="shared" si="395"/>
        <v>1179.76</v>
      </c>
      <c r="AS270" s="14">
        <f t="shared" si="325"/>
        <v>1160.29</v>
      </c>
      <c r="AT270" s="14">
        <f t="shared" si="332"/>
        <v>245500.92000000048</v>
      </c>
      <c r="AU270" s="285">
        <f t="shared" si="333"/>
        <v>1236.1043435088081</v>
      </c>
      <c r="AV270" s="285">
        <f t="shared" si="334"/>
        <v>234101.84174703207</v>
      </c>
    </row>
    <row r="271" spans="1:48" x14ac:dyDescent="0.25">
      <c r="A271" s="502">
        <f t="shared" si="397"/>
        <v>52089</v>
      </c>
      <c r="B271" s="285">
        <f t="shared" si="326"/>
        <v>39927.379999999961</v>
      </c>
      <c r="C271" s="14">
        <f t="shared" ref="C271:C334" si="427">IF(+$K270&lt;=0,0,$C$5)</f>
        <v>450.28</v>
      </c>
      <c r="D271" s="14">
        <f t="shared" si="335"/>
        <v>325.51</v>
      </c>
      <c r="E271" s="14">
        <f t="shared" ref="E271:E334" si="428">ROUND($B271*($C$3/12), 2)</f>
        <v>124.77</v>
      </c>
      <c r="F271" s="14">
        <f t="shared" si="386"/>
        <v>134.16999999999999</v>
      </c>
      <c r="G271" s="14">
        <f t="shared" si="383"/>
        <v>188.55</v>
      </c>
      <c r="H271" s="14">
        <f t="shared" si="384"/>
        <v>773</v>
      </c>
      <c r="I271" s="285">
        <f t="shared" si="398"/>
        <v>57929.969999999987</v>
      </c>
      <c r="J271" s="285">
        <f t="shared" si="399"/>
        <v>58095.829999999965</v>
      </c>
      <c r="K271" s="285">
        <f t="shared" si="400"/>
        <v>39601.869999999959</v>
      </c>
      <c r="L271" s="425">
        <f t="shared" si="371"/>
        <v>17</v>
      </c>
      <c r="M271" s="425">
        <f t="shared" si="327"/>
        <v>212</v>
      </c>
      <c r="N271" s="285">
        <f t="shared" si="328"/>
        <v>165884.21</v>
      </c>
      <c r="O271" s="285">
        <f t="shared" si="401"/>
        <v>1610.57</v>
      </c>
      <c r="P271" s="285">
        <f t="shared" si="336"/>
        <v>746.58999999999992</v>
      </c>
      <c r="Q271" s="285">
        <f t="shared" si="402"/>
        <v>863.98</v>
      </c>
      <c r="R271" s="285">
        <f t="shared" si="389"/>
        <v>134.16999999999999</v>
      </c>
      <c r="S271" s="285">
        <f t="shared" si="390"/>
        <v>188.55</v>
      </c>
      <c r="T271" s="285">
        <f t="shared" si="387"/>
        <v>1933.29</v>
      </c>
      <c r="U271" s="285">
        <f t="shared" si="337"/>
        <v>96438.379999999932</v>
      </c>
      <c r="V271" s="285">
        <f t="shared" si="338"/>
        <v>246613.02999999997</v>
      </c>
      <c r="W271" s="285">
        <f t="shared" si="403"/>
        <v>165137.62</v>
      </c>
      <c r="X271" s="502">
        <f t="shared" si="329"/>
        <v>52089</v>
      </c>
      <c r="Y271" s="285">
        <f t="shared" si="404"/>
        <v>280727.66000000021</v>
      </c>
      <c r="Z271" s="494">
        <f t="shared" ref="Z271:Z334" si="429">IF(L271&gt;4,$AA$9,$AA$8)</f>
        <v>6.25E-2</v>
      </c>
      <c r="AA271" s="285">
        <f t="shared" ref="AA271:AA334" si="430">IF($O$9&lt;=$A271,IF(+AL270&lt;=0,0,IF(Z271=$AA$8,$Z$8,$Z$9)),0)</f>
        <v>1630.04</v>
      </c>
      <c r="AB271" s="285">
        <f t="shared" si="405"/>
        <v>167.92000000000007</v>
      </c>
      <c r="AC271" s="285">
        <f t="shared" ref="AC271:AC334" si="431">IF($O$9&lt;=$A271,ROUND(Y271*(Z271/12),2),0)</f>
        <v>1462.12</v>
      </c>
      <c r="AD271" s="285">
        <f t="shared" ref="AD271:AE271" si="432">+AD270</f>
        <v>134.16999999999999</v>
      </c>
      <c r="AE271" s="285">
        <f t="shared" si="432"/>
        <v>188.55</v>
      </c>
      <c r="AF271" s="285">
        <f t="shared" si="407"/>
        <v>1952.76</v>
      </c>
      <c r="AG271" s="285">
        <f t="shared" si="408"/>
        <v>50633.659999999967</v>
      </c>
      <c r="AH271" s="285">
        <f t="shared" si="409"/>
        <v>290791.06000000011</v>
      </c>
      <c r="AI271" s="512">
        <f t="shared" si="392"/>
        <v>1626.6899999999728</v>
      </c>
      <c r="AJ271" s="512">
        <f t="shared" si="350"/>
        <v>-115422.12000000023</v>
      </c>
      <c r="AK271" s="512">
        <f t="shared" si="393"/>
        <v>-113795.43000000025</v>
      </c>
      <c r="AL271" s="285">
        <f t="shared" si="410"/>
        <v>280559.74000000022</v>
      </c>
      <c r="AM271" s="425">
        <f t="shared" si="331"/>
        <v>17</v>
      </c>
      <c r="AN271" s="14">
        <f t="shared" si="394"/>
        <v>1160.29</v>
      </c>
      <c r="AO271" s="14">
        <f t="shared" si="369"/>
        <v>195456.99000000005</v>
      </c>
      <c r="AP271" s="14">
        <f t="shared" si="395"/>
        <v>1179.76</v>
      </c>
      <c r="AS271" s="14">
        <f t="shared" ref="AS271:AS334" si="433">+AN271-AR271</f>
        <v>1160.29</v>
      </c>
      <c r="AT271" s="14">
        <f t="shared" si="332"/>
        <v>246661.21000000049</v>
      </c>
      <c r="AU271" s="285">
        <f t="shared" si="333"/>
        <v>1239.19460436758</v>
      </c>
      <c r="AV271" s="285">
        <f t="shared" si="334"/>
        <v>235341.03635139964</v>
      </c>
    </row>
    <row r="272" spans="1:48" x14ac:dyDescent="0.25">
      <c r="A272" s="502">
        <f t="shared" si="397"/>
        <v>52119</v>
      </c>
      <c r="B272" s="285">
        <f t="shared" ref="B272:B335" si="434">IF(+K271&lt;0,0,+K271)</f>
        <v>39601.869999999959</v>
      </c>
      <c r="C272" s="14">
        <f t="shared" si="427"/>
        <v>450.28</v>
      </c>
      <c r="D272" s="14">
        <f t="shared" si="335"/>
        <v>326.52</v>
      </c>
      <c r="E272" s="14">
        <f t="shared" si="428"/>
        <v>123.76</v>
      </c>
      <c r="F272" s="14">
        <f t="shared" si="386"/>
        <v>134.16999999999999</v>
      </c>
      <c r="G272" s="14">
        <f t="shared" si="383"/>
        <v>188.55</v>
      </c>
      <c r="H272" s="14">
        <f t="shared" si="384"/>
        <v>773</v>
      </c>
      <c r="I272" s="285">
        <f t="shared" si="398"/>
        <v>58256.489999999983</v>
      </c>
      <c r="J272" s="285">
        <f t="shared" si="399"/>
        <v>58219.589999999967</v>
      </c>
      <c r="K272" s="285">
        <f t="shared" si="400"/>
        <v>39275.349999999962</v>
      </c>
      <c r="L272" s="425">
        <f t="shared" si="371"/>
        <v>17</v>
      </c>
      <c r="M272" s="425">
        <f t="shared" ref="M272:M335" si="435">IF(N272&lt;&gt;"",IF(N272=$O$5,0,+M271+1),0)</f>
        <v>213</v>
      </c>
      <c r="N272" s="285">
        <f t="shared" ref="N272:N335" si="436">IF(+W271&lt;0,0,+W271)</f>
        <v>165137.62</v>
      </c>
      <c r="O272" s="285">
        <f t="shared" si="401"/>
        <v>1610.57</v>
      </c>
      <c r="P272" s="285">
        <f t="shared" si="336"/>
        <v>750.4799999999999</v>
      </c>
      <c r="Q272" s="285">
        <f t="shared" si="402"/>
        <v>860.09</v>
      </c>
      <c r="R272" s="285">
        <f t="shared" si="389"/>
        <v>134.16999999999999</v>
      </c>
      <c r="S272" s="285">
        <f t="shared" si="390"/>
        <v>188.55</v>
      </c>
      <c r="T272" s="285">
        <f t="shared" si="387"/>
        <v>1933.29</v>
      </c>
      <c r="U272" s="285">
        <f t="shared" si="337"/>
        <v>97188.859999999928</v>
      </c>
      <c r="V272" s="285">
        <f t="shared" si="338"/>
        <v>247473.11999999997</v>
      </c>
      <c r="W272" s="285">
        <f t="shared" si="403"/>
        <v>164387.13999999998</v>
      </c>
      <c r="X272" s="502">
        <f t="shared" ref="X272:X335" si="437">+A272</f>
        <v>52119</v>
      </c>
      <c r="Y272" s="285">
        <f t="shared" si="404"/>
        <v>280559.74000000022</v>
      </c>
      <c r="Z272" s="494">
        <f t="shared" si="429"/>
        <v>6.25E-2</v>
      </c>
      <c r="AA272" s="285">
        <f t="shared" si="430"/>
        <v>1630.04</v>
      </c>
      <c r="AB272" s="285">
        <f t="shared" si="405"/>
        <v>168.78999999999996</v>
      </c>
      <c r="AC272" s="285">
        <f t="shared" si="431"/>
        <v>1461.25</v>
      </c>
      <c r="AD272" s="285">
        <f t="shared" ref="AD272:AE272" si="438">+AD271</f>
        <v>134.16999999999999</v>
      </c>
      <c r="AE272" s="285">
        <f t="shared" si="438"/>
        <v>188.55</v>
      </c>
      <c r="AF272" s="285">
        <f t="shared" si="407"/>
        <v>1952.76</v>
      </c>
      <c r="AG272" s="285">
        <f t="shared" si="408"/>
        <v>50802.449999999968</v>
      </c>
      <c r="AH272" s="285">
        <f t="shared" si="409"/>
        <v>292252.31000000011</v>
      </c>
      <c r="AI272" s="512">
        <f t="shared" si="392"/>
        <v>1607.2199999999727</v>
      </c>
      <c r="AJ272" s="512">
        <f t="shared" si="350"/>
        <v>-116003.81000000026</v>
      </c>
      <c r="AK272" s="512">
        <f t="shared" si="393"/>
        <v>-114396.59000000029</v>
      </c>
      <c r="AL272" s="285">
        <f t="shared" si="410"/>
        <v>280390.95000000024</v>
      </c>
      <c r="AM272" s="425">
        <f t="shared" ref="AM272:AM335" si="439">+L272</f>
        <v>17</v>
      </c>
      <c r="AN272" s="14">
        <f t="shared" si="394"/>
        <v>1160.29</v>
      </c>
      <c r="AO272" s="14">
        <f t="shared" si="369"/>
        <v>195033.03000000009</v>
      </c>
      <c r="AP272" s="14">
        <f t="shared" si="395"/>
        <v>1179.76</v>
      </c>
      <c r="AS272" s="14">
        <f t="shared" si="433"/>
        <v>1160.29</v>
      </c>
      <c r="AT272" s="14">
        <f t="shared" ref="AT272:AT335" si="440">IF(W272&lt;=0,0,+AS272+AT271)</f>
        <v>247821.50000000049</v>
      </c>
      <c r="AU272" s="285">
        <f t="shared" ref="AU272:AU335" si="441">IF(W272&lt;=0,0,+($O$5+AV271)*$AQ$2/12)</f>
        <v>1242.2925908784989</v>
      </c>
      <c r="AV272" s="285">
        <f t="shared" ref="AV272:AV335" si="442">IF(W272&lt;=0,0,+AV271+AU272)</f>
        <v>236583.32894227814</v>
      </c>
    </row>
    <row r="273" spans="1:48" x14ac:dyDescent="0.25">
      <c r="A273" s="502">
        <f t="shared" si="397"/>
        <v>52149</v>
      </c>
      <c r="B273" s="285">
        <f t="shared" si="434"/>
        <v>39275.349999999962</v>
      </c>
      <c r="C273" s="14">
        <f t="shared" si="427"/>
        <v>450.28</v>
      </c>
      <c r="D273" s="14">
        <f t="shared" ref="D273:D336" si="443">+C273-E273</f>
        <v>327.53999999999996</v>
      </c>
      <c r="E273" s="14">
        <f t="shared" si="428"/>
        <v>122.74</v>
      </c>
      <c r="F273" s="14">
        <f t="shared" si="386"/>
        <v>134.16999999999999</v>
      </c>
      <c r="G273" s="14">
        <f t="shared" si="383"/>
        <v>188.55</v>
      </c>
      <c r="H273" s="14">
        <f t="shared" si="384"/>
        <v>773</v>
      </c>
      <c r="I273" s="285">
        <f t="shared" si="398"/>
        <v>58584.029999999984</v>
      </c>
      <c r="J273" s="285">
        <f t="shared" si="399"/>
        <v>58342.329999999965</v>
      </c>
      <c r="K273" s="285">
        <f t="shared" si="400"/>
        <v>38947.809999999961</v>
      </c>
      <c r="L273" s="425">
        <f t="shared" si="371"/>
        <v>17</v>
      </c>
      <c r="M273" s="425">
        <f t="shared" si="435"/>
        <v>214</v>
      </c>
      <c r="N273" s="285">
        <f t="shared" si="436"/>
        <v>164387.13999999998</v>
      </c>
      <c r="O273" s="285">
        <f t="shared" si="401"/>
        <v>1610.57</v>
      </c>
      <c r="P273" s="285">
        <f t="shared" ref="P273:P336" si="444">+O273-Q273</f>
        <v>754.39</v>
      </c>
      <c r="Q273" s="285">
        <f t="shared" si="402"/>
        <v>856.18</v>
      </c>
      <c r="R273" s="285">
        <f t="shared" si="389"/>
        <v>134.16999999999999</v>
      </c>
      <c r="S273" s="285">
        <f t="shared" si="390"/>
        <v>188.55</v>
      </c>
      <c r="T273" s="285">
        <f t="shared" si="387"/>
        <v>1933.29</v>
      </c>
      <c r="U273" s="285">
        <f t="shared" ref="U273:U336" si="445">+P273+U272</f>
        <v>97943.249999999927</v>
      </c>
      <c r="V273" s="285">
        <f t="shared" ref="V273:V336" si="446">+V272+Q273</f>
        <v>248329.29999999996</v>
      </c>
      <c r="W273" s="285">
        <f t="shared" si="403"/>
        <v>163632.74999999997</v>
      </c>
      <c r="X273" s="502">
        <f t="shared" si="437"/>
        <v>52149</v>
      </c>
      <c r="Y273" s="285">
        <f t="shared" si="404"/>
        <v>280390.95000000024</v>
      </c>
      <c r="Z273" s="494">
        <f t="shared" si="429"/>
        <v>6.25E-2</v>
      </c>
      <c r="AA273" s="285">
        <f t="shared" si="430"/>
        <v>1630.04</v>
      </c>
      <c r="AB273" s="285">
        <f t="shared" si="405"/>
        <v>169.67000000000007</v>
      </c>
      <c r="AC273" s="285">
        <f t="shared" si="431"/>
        <v>1460.37</v>
      </c>
      <c r="AD273" s="285">
        <f t="shared" ref="AD273:AE273" si="447">+AD272</f>
        <v>134.16999999999999</v>
      </c>
      <c r="AE273" s="285">
        <f t="shared" si="447"/>
        <v>188.55</v>
      </c>
      <c r="AF273" s="285">
        <f t="shared" si="407"/>
        <v>1952.76</v>
      </c>
      <c r="AG273" s="285">
        <f t="shared" si="408"/>
        <v>50972.119999999966</v>
      </c>
      <c r="AH273" s="285">
        <f t="shared" si="409"/>
        <v>293712.68000000011</v>
      </c>
      <c r="AI273" s="512">
        <f t="shared" si="392"/>
        <v>1587.7499999999727</v>
      </c>
      <c r="AJ273" s="512">
        <f t="shared" si="350"/>
        <v>-116588.53000000029</v>
      </c>
      <c r="AK273" s="512">
        <f t="shared" si="393"/>
        <v>-115000.78000000032</v>
      </c>
      <c r="AL273" s="285">
        <f t="shared" si="410"/>
        <v>280221.28000000026</v>
      </c>
      <c r="AM273" s="425">
        <f t="shared" si="439"/>
        <v>17</v>
      </c>
      <c r="AN273" s="14">
        <f t="shared" si="394"/>
        <v>1160.29</v>
      </c>
      <c r="AO273" s="14">
        <f t="shared" si="369"/>
        <v>194606.18000000005</v>
      </c>
      <c r="AP273" s="14">
        <f t="shared" si="395"/>
        <v>1179.76</v>
      </c>
      <c r="AS273" s="14">
        <f t="shared" si="433"/>
        <v>1160.29</v>
      </c>
      <c r="AT273" s="14">
        <f t="shared" si="440"/>
        <v>248981.7900000005</v>
      </c>
      <c r="AU273" s="285">
        <f t="shared" si="441"/>
        <v>1245.3983223556954</v>
      </c>
      <c r="AV273" s="285">
        <f t="shared" si="442"/>
        <v>237828.72726463384</v>
      </c>
    </row>
    <row r="274" spans="1:48" x14ac:dyDescent="0.25">
      <c r="A274" s="502">
        <f t="shared" si="397"/>
        <v>52179</v>
      </c>
      <c r="B274" s="285">
        <f t="shared" si="434"/>
        <v>38947.809999999961</v>
      </c>
      <c r="C274" s="14">
        <f t="shared" si="427"/>
        <v>450.28</v>
      </c>
      <c r="D274" s="14">
        <f t="shared" si="443"/>
        <v>328.57</v>
      </c>
      <c r="E274" s="14">
        <f t="shared" si="428"/>
        <v>121.71</v>
      </c>
      <c r="F274" s="14">
        <f t="shared" si="386"/>
        <v>134.16999999999999</v>
      </c>
      <c r="G274" s="14">
        <f t="shared" si="383"/>
        <v>188.55</v>
      </c>
      <c r="H274" s="14">
        <f t="shared" si="384"/>
        <v>773</v>
      </c>
      <c r="I274" s="285">
        <f t="shared" si="398"/>
        <v>58912.599999999984</v>
      </c>
      <c r="J274" s="285">
        <f t="shared" si="399"/>
        <v>58464.039999999964</v>
      </c>
      <c r="K274" s="285">
        <f t="shared" si="400"/>
        <v>38619.239999999962</v>
      </c>
      <c r="L274" s="425">
        <f t="shared" si="371"/>
        <v>17</v>
      </c>
      <c r="M274" s="425">
        <f t="shared" si="435"/>
        <v>215</v>
      </c>
      <c r="N274" s="285">
        <f t="shared" si="436"/>
        <v>163632.74999999997</v>
      </c>
      <c r="O274" s="285">
        <f t="shared" si="401"/>
        <v>1610.57</v>
      </c>
      <c r="P274" s="285">
        <f t="shared" si="444"/>
        <v>758.31999999999994</v>
      </c>
      <c r="Q274" s="285">
        <f t="shared" si="402"/>
        <v>852.25</v>
      </c>
      <c r="R274" s="285">
        <f t="shared" si="389"/>
        <v>134.16999999999999</v>
      </c>
      <c r="S274" s="285">
        <f t="shared" si="390"/>
        <v>188.55</v>
      </c>
      <c r="T274" s="285">
        <f t="shared" si="387"/>
        <v>1933.29</v>
      </c>
      <c r="U274" s="285">
        <f t="shared" si="445"/>
        <v>98701.569999999934</v>
      </c>
      <c r="V274" s="285">
        <f t="shared" si="446"/>
        <v>249181.54999999996</v>
      </c>
      <c r="W274" s="285">
        <f t="shared" si="403"/>
        <v>162874.42999999996</v>
      </c>
      <c r="X274" s="502">
        <f t="shared" si="437"/>
        <v>52179</v>
      </c>
      <c r="Y274" s="285">
        <f t="shared" si="404"/>
        <v>280221.28000000026</v>
      </c>
      <c r="Z274" s="494">
        <f t="shared" si="429"/>
        <v>6.25E-2</v>
      </c>
      <c r="AA274" s="285">
        <f t="shared" si="430"/>
        <v>1630.04</v>
      </c>
      <c r="AB274" s="285">
        <f t="shared" si="405"/>
        <v>170.54999999999995</v>
      </c>
      <c r="AC274" s="285">
        <f t="shared" si="431"/>
        <v>1459.49</v>
      </c>
      <c r="AD274" s="285">
        <f t="shared" ref="AD274:AE274" si="448">+AD273</f>
        <v>134.16999999999999</v>
      </c>
      <c r="AE274" s="285">
        <f t="shared" si="448"/>
        <v>188.55</v>
      </c>
      <c r="AF274" s="285">
        <f t="shared" si="407"/>
        <v>1952.76</v>
      </c>
      <c r="AG274" s="285">
        <f t="shared" si="408"/>
        <v>51142.669999999969</v>
      </c>
      <c r="AH274" s="285">
        <f t="shared" si="409"/>
        <v>295172.1700000001</v>
      </c>
      <c r="AI274" s="512">
        <f t="shared" si="392"/>
        <v>1568.2799999999727</v>
      </c>
      <c r="AJ274" s="512">
        <f t="shared" si="350"/>
        <v>-117176.30000000031</v>
      </c>
      <c r="AK274" s="512">
        <f t="shared" si="393"/>
        <v>-115608.02000000034</v>
      </c>
      <c r="AL274" s="285">
        <f t="shared" si="410"/>
        <v>280050.73000000027</v>
      </c>
      <c r="AM274" s="425">
        <f t="shared" si="439"/>
        <v>17</v>
      </c>
      <c r="AN274" s="14">
        <f t="shared" si="394"/>
        <v>1160.29</v>
      </c>
      <c r="AO274" s="14">
        <f t="shared" si="369"/>
        <v>194176.43000000005</v>
      </c>
      <c r="AP274" s="14">
        <f t="shared" si="395"/>
        <v>1179.76</v>
      </c>
      <c r="AS274" s="14">
        <f t="shared" si="433"/>
        <v>1160.29</v>
      </c>
      <c r="AT274" s="14">
        <f t="shared" si="440"/>
        <v>250142.08000000051</v>
      </c>
      <c r="AU274" s="285">
        <f t="shared" si="441"/>
        <v>1248.5118181615846</v>
      </c>
      <c r="AV274" s="285">
        <f t="shared" si="442"/>
        <v>239077.23908279542</v>
      </c>
    </row>
    <row r="275" spans="1:48" x14ac:dyDescent="0.25">
      <c r="A275" s="502">
        <f t="shared" si="397"/>
        <v>52209</v>
      </c>
      <c r="B275" s="285">
        <f t="shared" si="434"/>
        <v>38619.239999999962</v>
      </c>
      <c r="C275" s="14">
        <f t="shared" si="427"/>
        <v>450.28</v>
      </c>
      <c r="D275" s="14">
        <f t="shared" si="443"/>
        <v>329.59</v>
      </c>
      <c r="E275" s="14">
        <f t="shared" si="428"/>
        <v>120.69</v>
      </c>
      <c r="F275" s="14">
        <f t="shared" si="386"/>
        <v>134.16999999999999</v>
      </c>
      <c r="G275" s="14">
        <f t="shared" si="383"/>
        <v>188.55</v>
      </c>
      <c r="H275" s="14">
        <f t="shared" si="384"/>
        <v>773</v>
      </c>
      <c r="I275" s="285">
        <f t="shared" si="398"/>
        <v>59242.189999999981</v>
      </c>
      <c r="J275" s="285">
        <f t="shared" si="399"/>
        <v>58584.729999999967</v>
      </c>
      <c r="K275" s="285">
        <f t="shared" si="400"/>
        <v>38289.649999999965</v>
      </c>
      <c r="L275" s="425">
        <f t="shared" si="371"/>
        <v>18</v>
      </c>
      <c r="M275" s="425">
        <f t="shared" si="435"/>
        <v>216</v>
      </c>
      <c r="N275" s="285">
        <f t="shared" si="436"/>
        <v>162874.42999999996</v>
      </c>
      <c r="O275" s="285">
        <f t="shared" si="401"/>
        <v>1610.57</v>
      </c>
      <c r="P275" s="285">
        <f t="shared" si="444"/>
        <v>762.27</v>
      </c>
      <c r="Q275" s="285">
        <f t="shared" si="402"/>
        <v>848.3</v>
      </c>
      <c r="R275" s="285">
        <f t="shared" si="389"/>
        <v>134.16999999999999</v>
      </c>
      <c r="S275" s="285">
        <f t="shared" si="390"/>
        <v>188.55</v>
      </c>
      <c r="T275" s="285">
        <f t="shared" si="387"/>
        <v>1933.29</v>
      </c>
      <c r="U275" s="285">
        <f t="shared" si="445"/>
        <v>99463.839999999938</v>
      </c>
      <c r="V275" s="285">
        <f t="shared" si="446"/>
        <v>250029.84999999995</v>
      </c>
      <c r="W275" s="285">
        <f t="shared" si="403"/>
        <v>162112.15999999997</v>
      </c>
      <c r="X275" s="502">
        <f t="shared" si="437"/>
        <v>52209</v>
      </c>
      <c r="Y275" s="285">
        <f t="shared" si="404"/>
        <v>280050.73000000027</v>
      </c>
      <c r="Z275" s="494">
        <f t="shared" si="429"/>
        <v>6.25E-2</v>
      </c>
      <c r="AA275" s="285">
        <f t="shared" si="430"/>
        <v>1630.04</v>
      </c>
      <c r="AB275" s="285">
        <f t="shared" si="405"/>
        <v>171.44000000000005</v>
      </c>
      <c r="AC275" s="285">
        <f t="shared" si="431"/>
        <v>1458.6</v>
      </c>
      <c r="AD275" s="285">
        <f t="shared" ref="AD275:AE275" si="449">+AD274</f>
        <v>134.16999999999999</v>
      </c>
      <c r="AE275" s="285">
        <f t="shared" si="449"/>
        <v>188.55</v>
      </c>
      <c r="AF275" s="285">
        <f t="shared" si="407"/>
        <v>1952.76</v>
      </c>
      <c r="AG275" s="285">
        <f t="shared" si="408"/>
        <v>51314.109999999971</v>
      </c>
      <c r="AH275" s="285">
        <f t="shared" si="409"/>
        <v>296630.77000000008</v>
      </c>
      <c r="AI275" s="512">
        <f t="shared" si="392"/>
        <v>1548.8099999999727</v>
      </c>
      <c r="AJ275" s="512">
        <f t="shared" si="350"/>
        <v>-117767.1300000003</v>
      </c>
      <c r="AK275" s="512">
        <f t="shared" si="393"/>
        <v>-116218.32000000033</v>
      </c>
      <c r="AL275" s="285">
        <f t="shared" si="410"/>
        <v>279879.29000000027</v>
      </c>
      <c r="AM275" s="425">
        <f t="shared" si="439"/>
        <v>18</v>
      </c>
      <c r="AN275" s="14">
        <f t="shared" si="394"/>
        <v>1160.29</v>
      </c>
      <c r="AO275" s="14">
        <f t="shared" si="369"/>
        <v>193743.75000000009</v>
      </c>
      <c r="AP275" s="14">
        <f t="shared" si="395"/>
        <v>1179.76</v>
      </c>
      <c r="AS275" s="14">
        <f t="shared" si="433"/>
        <v>1160.29</v>
      </c>
      <c r="AT275" s="14">
        <f t="shared" si="440"/>
        <v>251302.37000000052</v>
      </c>
      <c r="AU275" s="285">
        <f t="shared" si="441"/>
        <v>1251.6330977069886</v>
      </c>
      <c r="AV275" s="285">
        <f t="shared" si="442"/>
        <v>240328.87218050243</v>
      </c>
    </row>
    <row r="276" spans="1:48" x14ac:dyDescent="0.25">
      <c r="A276" s="502">
        <f t="shared" si="397"/>
        <v>52239</v>
      </c>
      <c r="B276" s="285">
        <f t="shared" si="434"/>
        <v>38289.649999999965</v>
      </c>
      <c r="C276" s="14">
        <f t="shared" si="427"/>
        <v>450.28</v>
      </c>
      <c r="D276" s="14">
        <f t="shared" si="443"/>
        <v>330.62</v>
      </c>
      <c r="E276" s="14">
        <f t="shared" si="428"/>
        <v>119.66</v>
      </c>
      <c r="F276" s="14">
        <f t="shared" si="386"/>
        <v>134.16999999999999</v>
      </c>
      <c r="G276" s="14">
        <f t="shared" si="383"/>
        <v>188.55</v>
      </c>
      <c r="H276" s="14">
        <f t="shared" si="384"/>
        <v>773</v>
      </c>
      <c r="I276" s="285">
        <f t="shared" si="398"/>
        <v>59572.809999999983</v>
      </c>
      <c r="J276" s="285">
        <f t="shared" si="399"/>
        <v>58704.38999999997</v>
      </c>
      <c r="K276" s="285">
        <f t="shared" si="400"/>
        <v>37959.029999999962</v>
      </c>
      <c r="L276" s="425">
        <f t="shared" si="371"/>
        <v>18</v>
      </c>
      <c r="M276" s="425">
        <f t="shared" si="435"/>
        <v>217</v>
      </c>
      <c r="N276" s="285">
        <f t="shared" si="436"/>
        <v>162112.15999999997</v>
      </c>
      <c r="O276" s="285">
        <f t="shared" si="401"/>
        <v>1610.57</v>
      </c>
      <c r="P276" s="285">
        <f t="shared" si="444"/>
        <v>766.2399999999999</v>
      </c>
      <c r="Q276" s="285">
        <f t="shared" si="402"/>
        <v>844.33</v>
      </c>
      <c r="R276" s="285">
        <f t="shared" si="389"/>
        <v>134.16999999999999</v>
      </c>
      <c r="S276" s="285">
        <f t="shared" si="390"/>
        <v>188.55</v>
      </c>
      <c r="T276" s="285">
        <f t="shared" si="387"/>
        <v>1933.29</v>
      </c>
      <c r="U276" s="285">
        <f t="shared" si="445"/>
        <v>100230.07999999994</v>
      </c>
      <c r="V276" s="285">
        <f t="shared" si="446"/>
        <v>250874.17999999993</v>
      </c>
      <c r="W276" s="285">
        <f t="shared" si="403"/>
        <v>161345.91999999998</v>
      </c>
      <c r="X276" s="502">
        <f t="shared" si="437"/>
        <v>52239</v>
      </c>
      <c r="Y276" s="285">
        <f t="shared" si="404"/>
        <v>279879.29000000027</v>
      </c>
      <c r="Z276" s="494">
        <f t="shared" si="429"/>
        <v>6.25E-2</v>
      </c>
      <c r="AA276" s="285">
        <f t="shared" si="430"/>
        <v>1630.04</v>
      </c>
      <c r="AB276" s="285">
        <f t="shared" si="405"/>
        <v>172.33999999999992</v>
      </c>
      <c r="AC276" s="285">
        <f t="shared" si="431"/>
        <v>1457.7</v>
      </c>
      <c r="AD276" s="285">
        <f t="shared" ref="AD276:AE276" si="450">+AD275</f>
        <v>134.16999999999999</v>
      </c>
      <c r="AE276" s="285">
        <f t="shared" si="450"/>
        <v>188.55</v>
      </c>
      <c r="AF276" s="285">
        <f t="shared" si="407"/>
        <v>1952.76</v>
      </c>
      <c r="AG276" s="285">
        <f t="shared" si="408"/>
        <v>51486.449999999968</v>
      </c>
      <c r="AH276" s="285">
        <f t="shared" si="409"/>
        <v>298088.47000000009</v>
      </c>
      <c r="AI276" s="512">
        <f t="shared" si="392"/>
        <v>1529.3399999999726</v>
      </c>
      <c r="AJ276" s="512">
        <f t="shared" si="350"/>
        <v>-118361.03000000026</v>
      </c>
      <c r="AK276" s="512">
        <f t="shared" si="393"/>
        <v>-116831.69000000029</v>
      </c>
      <c r="AL276" s="285">
        <f t="shared" si="410"/>
        <v>279706.95000000024</v>
      </c>
      <c r="AM276" s="425">
        <f t="shared" si="439"/>
        <v>18</v>
      </c>
      <c r="AN276" s="14">
        <f t="shared" si="394"/>
        <v>1160.29</v>
      </c>
      <c r="AO276" s="14">
        <f t="shared" si="369"/>
        <v>193308.13000000006</v>
      </c>
      <c r="AP276" s="14">
        <f t="shared" si="395"/>
        <v>1179.76</v>
      </c>
      <c r="AS276" s="14">
        <f t="shared" si="433"/>
        <v>1160.29</v>
      </c>
      <c r="AT276" s="14">
        <f t="shared" si="440"/>
        <v>252462.66000000053</v>
      </c>
      <c r="AU276" s="285">
        <f t="shared" si="441"/>
        <v>1254.762180451256</v>
      </c>
      <c r="AV276" s="285">
        <f t="shared" si="442"/>
        <v>241583.63436095367</v>
      </c>
    </row>
    <row r="277" spans="1:48" x14ac:dyDescent="0.25">
      <c r="A277" s="502">
        <f t="shared" si="397"/>
        <v>52269</v>
      </c>
      <c r="B277" s="285">
        <f t="shared" si="434"/>
        <v>37959.029999999962</v>
      </c>
      <c r="C277" s="14">
        <f t="shared" si="427"/>
        <v>450.28</v>
      </c>
      <c r="D277" s="14">
        <f t="shared" si="443"/>
        <v>331.65999999999997</v>
      </c>
      <c r="E277" s="14">
        <f t="shared" si="428"/>
        <v>118.62</v>
      </c>
      <c r="F277" s="14">
        <f t="shared" si="386"/>
        <v>134.16999999999999</v>
      </c>
      <c r="G277" s="14">
        <f t="shared" si="383"/>
        <v>188.55</v>
      </c>
      <c r="H277" s="14">
        <f t="shared" si="384"/>
        <v>773</v>
      </c>
      <c r="I277" s="285">
        <f t="shared" si="398"/>
        <v>59904.469999999987</v>
      </c>
      <c r="J277" s="285">
        <f t="shared" si="399"/>
        <v>58823.009999999973</v>
      </c>
      <c r="K277" s="285">
        <f t="shared" si="400"/>
        <v>37627.369999999959</v>
      </c>
      <c r="L277" s="425">
        <f t="shared" si="371"/>
        <v>18</v>
      </c>
      <c r="M277" s="425">
        <f t="shared" si="435"/>
        <v>218</v>
      </c>
      <c r="N277" s="285">
        <f t="shared" si="436"/>
        <v>161345.91999999998</v>
      </c>
      <c r="O277" s="285">
        <f t="shared" si="401"/>
        <v>1610.57</v>
      </c>
      <c r="P277" s="285">
        <f t="shared" si="444"/>
        <v>770.2299999999999</v>
      </c>
      <c r="Q277" s="285">
        <f t="shared" si="402"/>
        <v>840.34</v>
      </c>
      <c r="R277" s="285">
        <f t="shared" si="389"/>
        <v>134.16999999999999</v>
      </c>
      <c r="S277" s="285">
        <f t="shared" si="390"/>
        <v>188.55</v>
      </c>
      <c r="T277" s="285">
        <f t="shared" si="387"/>
        <v>1933.29</v>
      </c>
      <c r="U277" s="285">
        <f t="shared" si="445"/>
        <v>101000.30999999994</v>
      </c>
      <c r="V277" s="285">
        <f t="shared" si="446"/>
        <v>251714.51999999993</v>
      </c>
      <c r="W277" s="285">
        <f t="shared" si="403"/>
        <v>160575.68999999997</v>
      </c>
      <c r="X277" s="502">
        <f t="shared" si="437"/>
        <v>52269</v>
      </c>
      <c r="Y277" s="285">
        <f t="shared" si="404"/>
        <v>279706.95000000024</v>
      </c>
      <c r="Z277" s="494">
        <f t="shared" si="429"/>
        <v>6.25E-2</v>
      </c>
      <c r="AA277" s="285">
        <f t="shared" si="430"/>
        <v>1630.04</v>
      </c>
      <c r="AB277" s="285">
        <f t="shared" si="405"/>
        <v>173.23000000000002</v>
      </c>
      <c r="AC277" s="285">
        <f t="shared" si="431"/>
        <v>1456.81</v>
      </c>
      <c r="AD277" s="285">
        <f t="shared" ref="AD277:AE277" si="451">+AD276</f>
        <v>134.16999999999999</v>
      </c>
      <c r="AE277" s="285">
        <f t="shared" si="451"/>
        <v>188.55</v>
      </c>
      <c r="AF277" s="285">
        <f t="shared" si="407"/>
        <v>1952.76</v>
      </c>
      <c r="AG277" s="285">
        <f t="shared" si="408"/>
        <v>51659.679999999971</v>
      </c>
      <c r="AH277" s="285">
        <f t="shared" si="409"/>
        <v>299545.28000000009</v>
      </c>
      <c r="AI277" s="512">
        <f t="shared" si="392"/>
        <v>1509.8699999999726</v>
      </c>
      <c r="AJ277" s="512">
        <f t="shared" si="350"/>
        <v>-118958.03000000029</v>
      </c>
      <c r="AK277" s="512">
        <f t="shared" si="393"/>
        <v>-117448.16000000032</v>
      </c>
      <c r="AL277" s="285">
        <f t="shared" si="410"/>
        <v>279533.72000000026</v>
      </c>
      <c r="AM277" s="425">
        <f t="shared" si="439"/>
        <v>18</v>
      </c>
      <c r="AN277" s="14">
        <f t="shared" si="394"/>
        <v>1160.29</v>
      </c>
      <c r="AO277" s="14">
        <f t="shared" si="369"/>
        <v>192869.56000000006</v>
      </c>
      <c r="AP277" s="14">
        <f t="shared" si="395"/>
        <v>1179.76</v>
      </c>
      <c r="AS277" s="14">
        <f t="shared" si="433"/>
        <v>1160.29</v>
      </c>
      <c r="AT277" s="14">
        <f t="shared" si="440"/>
        <v>253622.95000000054</v>
      </c>
      <c r="AU277" s="285">
        <f t="shared" si="441"/>
        <v>1257.8990859023841</v>
      </c>
      <c r="AV277" s="285">
        <f t="shared" si="442"/>
        <v>242841.53344685605</v>
      </c>
    </row>
    <row r="278" spans="1:48" ht="15.75" thickBot="1" x14ac:dyDescent="0.3">
      <c r="A278" s="505">
        <f t="shared" si="397"/>
        <v>52299</v>
      </c>
      <c r="B278" s="345">
        <f t="shared" si="434"/>
        <v>37627.369999999959</v>
      </c>
      <c r="C278" s="21">
        <f t="shared" si="427"/>
        <v>450.28</v>
      </c>
      <c r="D278" s="21">
        <f t="shared" si="443"/>
        <v>332.68999999999994</v>
      </c>
      <c r="E278" s="21">
        <f t="shared" si="428"/>
        <v>117.59</v>
      </c>
      <c r="F278" s="21">
        <f t="shared" si="386"/>
        <v>134.16999999999999</v>
      </c>
      <c r="G278" s="21">
        <f t="shared" si="383"/>
        <v>188.55</v>
      </c>
      <c r="H278" s="21">
        <f t="shared" si="384"/>
        <v>773</v>
      </c>
      <c r="I278" s="345">
        <f t="shared" si="398"/>
        <v>60237.159999999989</v>
      </c>
      <c r="J278" s="345">
        <f t="shared" si="399"/>
        <v>58940.599999999969</v>
      </c>
      <c r="K278" s="345">
        <f t="shared" si="400"/>
        <v>37294.679999999957</v>
      </c>
      <c r="L278" s="426">
        <f t="shared" si="371"/>
        <v>18</v>
      </c>
      <c r="M278" s="426">
        <f t="shared" si="435"/>
        <v>219</v>
      </c>
      <c r="N278" s="345">
        <f t="shared" si="436"/>
        <v>160575.68999999997</v>
      </c>
      <c r="O278" s="345">
        <f t="shared" si="401"/>
        <v>1610.57</v>
      </c>
      <c r="P278" s="345">
        <f t="shared" si="444"/>
        <v>774.2399999999999</v>
      </c>
      <c r="Q278" s="345">
        <f t="shared" si="402"/>
        <v>836.33</v>
      </c>
      <c r="R278" s="345">
        <f t="shared" si="389"/>
        <v>134.16999999999999</v>
      </c>
      <c r="S278" s="345">
        <f t="shared" si="390"/>
        <v>188.55</v>
      </c>
      <c r="T278" s="345">
        <f t="shared" si="387"/>
        <v>1933.29</v>
      </c>
      <c r="U278" s="345">
        <f t="shared" si="445"/>
        <v>101774.54999999994</v>
      </c>
      <c r="V278" s="345">
        <f t="shared" si="446"/>
        <v>252550.84999999992</v>
      </c>
      <c r="W278" s="345">
        <f t="shared" si="403"/>
        <v>159801.44999999998</v>
      </c>
      <c r="X278" s="505">
        <f t="shared" si="437"/>
        <v>52299</v>
      </c>
      <c r="Y278" s="345">
        <f t="shared" si="404"/>
        <v>279533.72000000026</v>
      </c>
      <c r="Z278" s="495">
        <f t="shared" si="429"/>
        <v>6.25E-2</v>
      </c>
      <c r="AA278" s="345">
        <f t="shared" si="430"/>
        <v>1630.04</v>
      </c>
      <c r="AB278" s="345">
        <f t="shared" si="405"/>
        <v>174.13999999999987</v>
      </c>
      <c r="AC278" s="345">
        <f t="shared" si="431"/>
        <v>1455.9</v>
      </c>
      <c r="AD278" s="345">
        <f t="shared" ref="AD278:AE278" si="452">+AD277</f>
        <v>134.16999999999999</v>
      </c>
      <c r="AE278" s="345">
        <f t="shared" si="452"/>
        <v>188.55</v>
      </c>
      <c r="AF278" s="345">
        <f t="shared" si="407"/>
        <v>1952.76</v>
      </c>
      <c r="AG278" s="345">
        <f t="shared" si="408"/>
        <v>51833.819999999971</v>
      </c>
      <c r="AH278" s="345">
        <f t="shared" si="409"/>
        <v>301001.18000000011</v>
      </c>
      <c r="AI278" s="513">
        <f t="shared" si="392"/>
        <v>1490.3999999999726</v>
      </c>
      <c r="AJ278" s="513">
        <f t="shared" si="350"/>
        <v>-119558.13000000027</v>
      </c>
      <c r="AK278" s="512">
        <f t="shared" si="393"/>
        <v>-118067.73000000029</v>
      </c>
      <c r="AL278" s="345">
        <f t="shared" si="410"/>
        <v>279359.58000000025</v>
      </c>
      <c r="AM278" s="426">
        <f t="shared" si="439"/>
        <v>18</v>
      </c>
      <c r="AN278" s="21">
        <f t="shared" si="394"/>
        <v>1160.29</v>
      </c>
      <c r="AO278" s="21">
        <f t="shared" si="369"/>
        <v>192428.01000000007</v>
      </c>
      <c r="AP278" s="21">
        <f t="shared" si="395"/>
        <v>1179.76</v>
      </c>
      <c r="AQ278" s="21"/>
      <c r="AR278" s="23"/>
      <c r="AS278" s="21">
        <f t="shared" si="433"/>
        <v>1160.29</v>
      </c>
      <c r="AT278" s="21">
        <f t="shared" si="440"/>
        <v>254783.24000000054</v>
      </c>
      <c r="AU278" s="345">
        <f t="shared" si="441"/>
        <v>1261.0438336171401</v>
      </c>
      <c r="AV278" s="345">
        <f t="shared" si="442"/>
        <v>244102.5772804732</v>
      </c>
    </row>
    <row r="279" spans="1:48" x14ac:dyDescent="0.25">
      <c r="A279" s="502">
        <f t="shared" si="397"/>
        <v>52329</v>
      </c>
      <c r="B279" s="285">
        <f t="shared" si="434"/>
        <v>37294.679999999957</v>
      </c>
      <c r="C279" s="14">
        <f t="shared" si="427"/>
        <v>450.28</v>
      </c>
      <c r="D279" s="14">
        <f t="shared" si="443"/>
        <v>333.72999999999996</v>
      </c>
      <c r="E279" s="14">
        <f t="shared" si="428"/>
        <v>116.55</v>
      </c>
      <c r="F279" s="14">
        <f t="shared" si="386"/>
        <v>134.16999999999999</v>
      </c>
      <c r="G279" s="14">
        <f t="shared" si="383"/>
        <v>188.55</v>
      </c>
      <c r="H279" s="14">
        <f t="shared" si="384"/>
        <v>773</v>
      </c>
      <c r="I279" s="285">
        <f t="shared" si="398"/>
        <v>60570.889999999992</v>
      </c>
      <c r="J279" s="285">
        <f t="shared" si="399"/>
        <v>59057.149999999972</v>
      </c>
      <c r="K279" s="285">
        <f t="shared" si="400"/>
        <v>36960.949999999953</v>
      </c>
      <c r="L279" s="425">
        <f t="shared" si="371"/>
        <v>18</v>
      </c>
      <c r="M279" s="425">
        <f t="shared" si="435"/>
        <v>220</v>
      </c>
      <c r="N279" s="285">
        <f t="shared" si="436"/>
        <v>159801.44999999998</v>
      </c>
      <c r="O279" s="285">
        <f t="shared" si="401"/>
        <v>1610.57</v>
      </c>
      <c r="P279" s="285">
        <f t="shared" si="444"/>
        <v>778.27</v>
      </c>
      <c r="Q279" s="285">
        <f t="shared" si="402"/>
        <v>832.3</v>
      </c>
      <c r="R279" s="285">
        <f t="shared" si="389"/>
        <v>134.16999999999999</v>
      </c>
      <c r="S279" s="285">
        <f t="shared" si="390"/>
        <v>188.55</v>
      </c>
      <c r="T279" s="285">
        <f t="shared" si="387"/>
        <v>1933.29</v>
      </c>
      <c r="U279" s="285">
        <f t="shared" si="445"/>
        <v>102552.81999999995</v>
      </c>
      <c r="V279" s="285">
        <f t="shared" si="446"/>
        <v>253383.14999999991</v>
      </c>
      <c r="W279" s="285">
        <f t="shared" si="403"/>
        <v>159023.18</v>
      </c>
      <c r="X279" s="502">
        <f t="shared" si="437"/>
        <v>52329</v>
      </c>
      <c r="Y279" s="285">
        <f t="shared" si="404"/>
        <v>279359.58000000025</v>
      </c>
      <c r="Z279" s="494">
        <f t="shared" si="429"/>
        <v>6.25E-2</v>
      </c>
      <c r="AA279" s="285">
        <f t="shared" si="430"/>
        <v>1630.04</v>
      </c>
      <c r="AB279" s="285">
        <f t="shared" si="405"/>
        <v>175.03999999999996</v>
      </c>
      <c r="AC279" s="285">
        <f t="shared" si="431"/>
        <v>1455</v>
      </c>
      <c r="AD279" s="285">
        <f t="shared" ref="AD279:AE279" si="453">+AD278</f>
        <v>134.16999999999999</v>
      </c>
      <c r="AE279" s="285">
        <f t="shared" si="453"/>
        <v>188.55</v>
      </c>
      <c r="AF279" s="285">
        <f t="shared" si="407"/>
        <v>1952.76</v>
      </c>
      <c r="AG279" s="285">
        <f t="shared" si="408"/>
        <v>52008.859999999971</v>
      </c>
      <c r="AH279" s="285">
        <f t="shared" si="409"/>
        <v>302456.18000000011</v>
      </c>
      <c r="AI279" s="512">
        <f t="shared" si="392"/>
        <v>1470.9299999999726</v>
      </c>
      <c r="AJ279" s="512">
        <f t="shared" si="350"/>
        <v>-120161.36000000028</v>
      </c>
      <c r="AK279" s="512">
        <f t="shared" si="393"/>
        <v>-118690.4300000003</v>
      </c>
      <c r="AL279" s="285">
        <f t="shared" si="410"/>
        <v>279184.54000000027</v>
      </c>
      <c r="AM279" s="425">
        <f t="shared" si="439"/>
        <v>18</v>
      </c>
      <c r="AN279" s="14">
        <f t="shared" si="394"/>
        <v>1160.29</v>
      </c>
      <c r="AO279" s="14">
        <f t="shared" si="369"/>
        <v>191983.47000000009</v>
      </c>
      <c r="AP279" s="14">
        <f t="shared" si="395"/>
        <v>1179.76</v>
      </c>
      <c r="AS279" s="14">
        <f t="shared" si="433"/>
        <v>1160.29</v>
      </c>
      <c r="AT279" s="14">
        <f t="shared" si="440"/>
        <v>255943.53000000055</v>
      </c>
      <c r="AU279" s="285">
        <f t="shared" si="441"/>
        <v>1264.196443201183</v>
      </c>
      <c r="AV279" s="285">
        <f t="shared" si="442"/>
        <v>245366.77372367439</v>
      </c>
    </row>
    <row r="280" spans="1:48" x14ac:dyDescent="0.25">
      <c r="A280" s="502">
        <f t="shared" si="397"/>
        <v>52359</v>
      </c>
      <c r="B280" s="285">
        <f t="shared" si="434"/>
        <v>36960.949999999953</v>
      </c>
      <c r="C280" s="14">
        <f t="shared" si="427"/>
        <v>450.28</v>
      </c>
      <c r="D280" s="14">
        <f t="shared" si="443"/>
        <v>334.78</v>
      </c>
      <c r="E280" s="14">
        <f t="shared" si="428"/>
        <v>115.5</v>
      </c>
      <c r="F280" s="14">
        <f t="shared" si="386"/>
        <v>134.16999999999999</v>
      </c>
      <c r="G280" s="14">
        <f t="shared" si="383"/>
        <v>188.55</v>
      </c>
      <c r="H280" s="14">
        <f t="shared" si="384"/>
        <v>773</v>
      </c>
      <c r="I280" s="285">
        <f t="shared" si="398"/>
        <v>60905.669999999991</v>
      </c>
      <c r="J280" s="285">
        <f t="shared" si="399"/>
        <v>59172.649999999972</v>
      </c>
      <c r="K280" s="285">
        <f t="shared" si="400"/>
        <v>36626.169999999955</v>
      </c>
      <c r="L280" s="425">
        <f t="shared" si="371"/>
        <v>18</v>
      </c>
      <c r="M280" s="425">
        <f t="shared" si="435"/>
        <v>221</v>
      </c>
      <c r="N280" s="285">
        <f t="shared" si="436"/>
        <v>159023.18</v>
      </c>
      <c r="O280" s="285">
        <f t="shared" si="401"/>
        <v>1610.57</v>
      </c>
      <c r="P280" s="285">
        <f t="shared" si="444"/>
        <v>782.31999999999994</v>
      </c>
      <c r="Q280" s="285">
        <f t="shared" si="402"/>
        <v>828.25</v>
      </c>
      <c r="R280" s="285">
        <f t="shared" si="389"/>
        <v>134.16999999999999</v>
      </c>
      <c r="S280" s="285">
        <f t="shared" si="390"/>
        <v>188.55</v>
      </c>
      <c r="T280" s="285">
        <f t="shared" si="387"/>
        <v>1933.29</v>
      </c>
      <c r="U280" s="285">
        <f t="shared" si="445"/>
        <v>103335.13999999996</v>
      </c>
      <c r="V280" s="285">
        <f t="shared" si="446"/>
        <v>254211.39999999991</v>
      </c>
      <c r="W280" s="285">
        <f t="shared" si="403"/>
        <v>158240.85999999999</v>
      </c>
      <c r="X280" s="502">
        <f t="shared" si="437"/>
        <v>52359</v>
      </c>
      <c r="Y280" s="285">
        <f t="shared" si="404"/>
        <v>279184.54000000027</v>
      </c>
      <c r="Z280" s="494">
        <f t="shared" si="429"/>
        <v>6.25E-2</v>
      </c>
      <c r="AA280" s="285">
        <f t="shared" si="430"/>
        <v>1630.04</v>
      </c>
      <c r="AB280" s="285">
        <f t="shared" si="405"/>
        <v>175.95000000000005</v>
      </c>
      <c r="AC280" s="285">
        <f t="shared" si="431"/>
        <v>1454.09</v>
      </c>
      <c r="AD280" s="285">
        <f t="shared" ref="AD280:AE280" si="454">+AD279</f>
        <v>134.16999999999999</v>
      </c>
      <c r="AE280" s="285">
        <f t="shared" si="454"/>
        <v>188.55</v>
      </c>
      <c r="AF280" s="285">
        <f t="shared" si="407"/>
        <v>1952.76</v>
      </c>
      <c r="AG280" s="285">
        <f t="shared" si="408"/>
        <v>52184.809999999969</v>
      </c>
      <c r="AH280" s="285">
        <f t="shared" si="409"/>
        <v>303910.27000000014</v>
      </c>
      <c r="AI280" s="512">
        <f t="shared" si="392"/>
        <v>1451.4599999999725</v>
      </c>
      <c r="AJ280" s="512">
        <f t="shared" si="350"/>
        <v>-120767.73000000027</v>
      </c>
      <c r="AK280" s="512">
        <f t="shared" si="393"/>
        <v>-119316.2700000003</v>
      </c>
      <c r="AL280" s="285">
        <f t="shared" si="410"/>
        <v>279008.59000000026</v>
      </c>
      <c r="AM280" s="425">
        <f t="shared" si="439"/>
        <v>18</v>
      </c>
      <c r="AN280" s="14">
        <f t="shared" si="394"/>
        <v>1160.29</v>
      </c>
      <c r="AO280" s="14">
        <f t="shared" si="369"/>
        <v>191535.93000000005</v>
      </c>
      <c r="AP280" s="14">
        <f t="shared" si="395"/>
        <v>1179.76</v>
      </c>
      <c r="AS280" s="14">
        <f t="shared" si="433"/>
        <v>1160.29</v>
      </c>
      <c r="AT280" s="14">
        <f t="shared" si="440"/>
        <v>257103.82000000056</v>
      </c>
      <c r="AU280" s="285">
        <f t="shared" si="441"/>
        <v>1267.3569343091858</v>
      </c>
      <c r="AV280" s="285">
        <f t="shared" si="442"/>
        <v>246634.13065798357</v>
      </c>
    </row>
    <row r="281" spans="1:48" x14ac:dyDescent="0.25">
      <c r="A281" s="502">
        <f t="shared" si="397"/>
        <v>52389</v>
      </c>
      <c r="B281" s="285">
        <f t="shared" si="434"/>
        <v>36626.169999999955</v>
      </c>
      <c r="C281" s="14">
        <f t="shared" si="427"/>
        <v>450.28</v>
      </c>
      <c r="D281" s="14">
        <f t="shared" si="443"/>
        <v>335.82</v>
      </c>
      <c r="E281" s="14">
        <f t="shared" si="428"/>
        <v>114.46</v>
      </c>
      <c r="F281" s="14">
        <f t="shared" si="386"/>
        <v>134.16999999999999</v>
      </c>
      <c r="G281" s="14">
        <f t="shared" si="383"/>
        <v>188.55</v>
      </c>
      <c r="H281" s="14">
        <f t="shared" si="384"/>
        <v>773</v>
      </c>
      <c r="I281" s="285">
        <f t="shared" si="398"/>
        <v>61241.489999999991</v>
      </c>
      <c r="J281" s="285">
        <f t="shared" si="399"/>
        <v>59287.109999999971</v>
      </c>
      <c r="K281" s="285">
        <f t="shared" si="400"/>
        <v>36290.349999999955</v>
      </c>
      <c r="L281" s="425">
        <f t="shared" si="371"/>
        <v>18</v>
      </c>
      <c r="M281" s="425">
        <f t="shared" si="435"/>
        <v>222</v>
      </c>
      <c r="N281" s="285">
        <f t="shared" si="436"/>
        <v>158240.85999999999</v>
      </c>
      <c r="O281" s="285">
        <f t="shared" si="401"/>
        <v>1610.57</v>
      </c>
      <c r="P281" s="285">
        <f t="shared" si="444"/>
        <v>786.4</v>
      </c>
      <c r="Q281" s="285">
        <f t="shared" si="402"/>
        <v>824.17</v>
      </c>
      <c r="R281" s="285">
        <f t="shared" si="389"/>
        <v>134.16999999999999</v>
      </c>
      <c r="S281" s="285">
        <f t="shared" si="390"/>
        <v>188.55</v>
      </c>
      <c r="T281" s="285">
        <f t="shared" si="387"/>
        <v>1933.29</v>
      </c>
      <c r="U281" s="285">
        <f t="shared" si="445"/>
        <v>104121.53999999995</v>
      </c>
      <c r="V281" s="285">
        <f t="shared" si="446"/>
        <v>255035.56999999992</v>
      </c>
      <c r="W281" s="285">
        <f t="shared" si="403"/>
        <v>157454.46</v>
      </c>
      <c r="X281" s="502">
        <f t="shared" si="437"/>
        <v>52389</v>
      </c>
      <c r="Y281" s="285">
        <f t="shared" si="404"/>
        <v>279008.59000000026</v>
      </c>
      <c r="Z281" s="494">
        <f t="shared" si="429"/>
        <v>6.25E-2</v>
      </c>
      <c r="AA281" s="285">
        <f t="shared" si="430"/>
        <v>1630.04</v>
      </c>
      <c r="AB281" s="285">
        <f t="shared" si="405"/>
        <v>176.86999999999989</v>
      </c>
      <c r="AC281" s="285">
        <f t="shared" si="431"/>
        <v>1453.17</v>
      </c>
      <c r="AD281" s="285">
        <f t="shared" ref="AD281:AE281" si="455">+AD280</f>
        <v>134.16999999999999</v>
      </c>
      <c r="AE281" s="285">
        <f t="shared" si="455"/>
        <v>188.55</v>
      </c>
      <c r="AF281" s="285">
        <f t="shared" si="407"/>
        <v>1952.76</v>
      </c>
      <c r="AG281" s="285">
        <f t="shared" si="408"/>
        <v>52361.679999999971</v>
      </c>
      <c r="AH281" s="285">
        <f t="shared" si="409"/>
        <v>305363.44000000012</v>
      </c>
      <c r="AI281" s="512">
        <f t="shared" si="392"/>
        <v>1431.9899999999725</v>
      </c>
      <c r="AJ281" s="512">
        <f t="shared" si="350"/>
        <v>-121377.26000000027</v>
      </c>
      <c r="AK281" s="512">
        <f t="shared" si="393"/>
        <v>-119945.2700000003</v>
      </c>
      <c r="AL281" s="285">
        <f t="shared" si="410"/>
        <v>278831.72000000026</v>
      </c>
      <c r="AM281" s="425">
        <f t="shared" si="439"/>
        <v>18</v>
      </c>
      <c r="AN281" s="14">
        <f t="shared" si="394"/>
        <v>1160.29</v>
      </c>
      <c r="AO281" s="14">
        <f t="shared" si="369"/>
        <v>191085.35000000006</v>
      </c>
      <c r="AP281" s="14">
        <f t="shared" si="395"/>
        <v>1179.76</v>
      </c>
      <c r="AS281" s="14">
        <f t="shared" si="433"/>
        <v>1160.29</v>
      </c>
      <c r="AT281" s="14">
        <f t="shared" si="440"/>
        <v>258264.11000000057</v>
      </c>
      <c r="AU281" s="285">
        <f t="shared" si="441"/>
        <v>1270.5253266449588</v>
      </c>
      <c r="AV281" s="285">
        <f t="shared" si="442"/>
        <v>247904.65598462854</v>
      </c>
    </row>
    <row r="282" spans="1:48" x14ac:dyDescent="0.25">
      <c r="A282" s="502">
        <f t="shared" si="397"/>
        <v>52419</v>
      </c>
      <c r="B282" s="285">
        <f t="shared" si="434"/>
        <v>36290.349999999955</v>
      </c>
      <c r="C282" s="14">
        <f t="shared" si="427"/>
        <v>450.28</v>
      </c>
      <c r="D282" s="14">
        <f t="shared" si="443"/>
        <v>336.87</v>
      </c>
      <c r="E282" s="14">
        <f t="shared" si="428"/>
        <v>113.41</v>
      </c>
      <c r="F282" s="14">
        <f t="shared" si="386"/>
        <v>134.16999999999999</v>
      </c>
      <c r="G282" s="14">
        <f t="shared" si="383"/>
        <v>188.55</v>
      </c>
      <c r="H282" s="14">
        <f t="shared" si="384"/>
        <v>773</v>
      </c>
      <c r="I282" s="285">
        <f t="shared" si="398"/>
        <v>61578.359999999993</v>
      </c>
      <c r="J282" s="285">
        <f t="shared" si="399"/>
        <v>59400.519999999975</v>
      </c>
      <c r="K282" s="285">
        <f t="shared" si="400"/>
        <v>35953.479999999952</v>
      </c>
      <c r="L282" s="425">
        <f t="shared" si="371"/>
        <v>18</v>
      </c>
      <c r="M282" s="425">
        <f t="shared" si="435"/>
        <v>223</v>
      </c>
      <c r="N282" s="285">
        <f t="shared" si="436"/>
        <v>157454.46</v>
      </c>
      <c r="O282" s="285">
        <f t="shared" si="401"/>
        <v>1610.57</v>
      </c>
      <c r="P282" s="285">
        <f t="shared" si="444"/>
        <v>790.4899999999999</v>
      </c>
      <c r="Q282" s="285">
        <f t="shared" si="402"/>
        <v>820.08</v>
      </c>
      <c r="R282" s="285">
        <f t="shared" si="389"/>
        <v>134.16999999999999</v>
      </c>
      <c r="S282" s="285">
        <f t="shared" si="390"/>
        <v>188.55</v>
      </c>
      <c r="T282" s="285">
        <f t="shared" si="387"/>
        <v>1933.29</v>
      </c>
      <c r="U282" s="285">
        <f t="shared" si="445"/>
        <v>104912.02999999996</v>
      </c>
      <c r="V282" s="285">
        <f t="shared" si="446"/>
        <v>255855.64999999991</v>
      </c>
      <c r="W282" s="285">
        <f t="shared" si="403"/>
        <v>156663.97</v>
      </c>
      <c r="X282" s="502">
        <f t="shared" si="437"/>
        <v>52419</v>
      </c>
      <c r="Y282" s="285">
        <f t="shared" si="404"/>
        <v>278831.72000000026</v>
      </c>
      <c r="Z282" s="494">
        <f t="shared" si="429"/>
        <v>6.25E-2</v>
      </c>
      <c r="AA282" s="285">
        <f t="shared" si="430"/>
        <v>1630.04</v>
      </c>
      <c r="AB282" s="285">
        <f t="shared" si="405"/>
        <v>177.78999999999996</v>
      </c>
      <c r="AC282" s="285">
        <f t="shared" si="431"/>
        <v>1452.25</v>
      </c>
      <c r="AD282" s="285">
        <f t="shared" ref="AD282:AE282" si="456">+AD281</f>
        <v>134.16999999999999</v>
      </c>
      <c r="AE282" s="285">
        <f t="shared" si="456"/>
        <v>188.55</v>
      </c>
      <c r="AF282" s="285">
        <f t="shared" si="407"/>
        <v>1952.76</v>
      </c>
      <c r="AG282" s="285">
        <f t="shared" si="408"/>
        <v>52539.469999999972</v>
      </c>
      <c r="AH282" s="285">
        <f t="shared" si="409"/>
        <v>306815.69000000012</v>
      </c>
      <c r="AI282" s="512">
        <f t="shared" si="392"/>
        <v>1412.5199999999725</v>
      </c>
      <c r="AJ282" s="512">
        <f t="shared" si="350"/>
        <v>-121989.96000000028</v>
      </c>
      <c r="AK282" s="512">
        <f t="shared" si="393"/>
        <v>-120577.44000000031</v>
      </c>
      <c r="AL282" s="285">
        <f t="shared" si="410"/>
        <v>278653.93000000028</v>
      </c>
      <c r="AM282" s="425">
        <f t="shared" si="439"/>
        <v>18</v>
      </c>
      <c r="AN282" s="14">
        <f t="shared" si="394"/>
        <v>1160.29</v>
      </c>
      <c r="AO282" s="14">
        <f t="shared" si="369"/>
        <v>190631.73000000004</v>
      </c>
      <c r="AP282" s="14">
        <f t="shared" si="395"/>
        <v>1179.76</v>
      </c>
      <c r="AS282" s="14">
        <f t="shared" si="433"/>
        <v>1160.29</v>
      </c>
      <c r="AT282" s="14">
        <f t="shared" si="440"/>
        <v>259424.40000000058</v>
      </c>
      <c r="AU282" s="285">
        <f t="shared" si="441"/>
        <v>1273.7016399615713</v>
      </c>
      <c r="AV282" s="285">
        <f t="shared" si="442"/>
        <v>249178.35762459011</v>
      </c>
    </row>
    <row r="283" spans="1:48" x14ac:dyDescent="0.25">
      <c r="A283" s="502">
        <f t="shared" si="397"/>
        <v>52449</v>
      </c>
      <c r="B283" s="285">
        <f t="shared" si="434"/>
        <v>35953.479999999952</v>
      </c>
      <c r="C283" s="14">
        <f t="shared" si="427"/>
        <v>450.28</v>
      </c>
      <c r="D283" s="14">
        <f t="shared" si="443"/>
        <v>337.92999999999995</v>
      </c>
      <c r="E283" s="14">
        <f t="shared" si="428"/>
        <v>112.35</v>
      </c>
      <c r="F283" s="14">
        <f t="shared" si="386"/>
        <v>134.16999999999999</v>
      </c>
      <c r="G283" s="14">
        <f t="shared" si="383"/>
        <v>188.55</v>
      </c>
      <c r="H283" s="14">
        <f t="shared" si="384"/>
        <v>773</v>
      </c>
      <c r="I283" s="285">
        <f t="shared" si="398"/>
        <v>61916.289999999994</v>
      </c>
      <c r="J283" s="285">
        <f t="shared" si="399"/>
        <v>59512.869999999974</v>
      </c>
      <c r="K283" s="285">
        <f t="shared" si="400"/>
        <v>35615.549999999952</v>
      </c>
      <c r="L283" s="425">
        <f t="shared" si="371"/>
        <v>18</v>
      </c>
      <c r="M283" s="425">
        <f t="shared" si="435"/>
        <v>224</v>
      </c>
      <c r="N283" s="285">
        <f t="shared" si="436"/>
        <v>156663.97</v>
      </c>
      <c r="O283" s="285">
        <f t="shared" si="401"/>
        <v>1610.57</v>
      </c>
      <c r="P283" s="285">
        <f t="shared" si="444"/>
        <v>794.6099999999999</v>
      </c>
      <c r="Q283" s="285">
        <f t="shared" si="402"/>
        <v>815.96</v>
      </c>
      <c r="R283" s="285">
        <f t="shared" si="389"/>
        <v>134.16999999999999</v>
      </c>
      <c r="S283" s="285">
        <f t="shared" si="390"/>
        <v>188.55</v>
      </c>
      <c r="T283" s="285">
        <f t="shared" si="387"/>
        <v>1933.29</v>
      </c>
      <c r="U283" s="285">
        <f t="shared" si="445"/>
        <v>105706.63999999996</v>
      </c>
      <c r="V283" s="285">
        <f t="shared" si="446"/>
        <v>256671.6099999999</v>
      </c>
      <c r="W283" s="285">
        <f t="shared" si="403"/>
        <v>155869.36000000002</v>
      </c>
      <c r="X283" s="502">
        <f t="shared" si="437"/>
        <v>52449</v>
      </c>
      <c r="Y283" s="285">
        <f t="shared" si="404"/>
        <v>278653.93000000028</v>
      </c>
      <c r="Z283" s="494">
        <f t="shared" si="429"/>
        <v>6.25E-2</v>
      </c>
      <c r="AA283" s="285">
        <f t="shared" si="430"/>
        <v>1630.04</v>
      </c>
      <c r="AB283" s="285">
        <f t="shared" si="405"/>
        <v>178.72000000000003</v>
      </c>
      <c r="AC283" s="285">
        <f t="shared" si="431"/>
        <v>1451.32</v>
      </c>
      <c r="AD283" s="285">
        <f t="shared" ref="AD283:AE283" si="457">+AD282</f>
        <v>134.16999999999999</v>
      </c>
      <c r="AE283" s="285">
        <f t="shared" si="457"/>
        <v>188.55</v>
      </c>
      <c r="AF283" s="285">
        <f t="shared" si="407"/>
        <v>1952.76</v>
      </c>
      <c r="AG283" s="285">
        <f t="shared" si="408"/>
        <v>52718.189999999973</v>
      </c>
      <c r="AH283" s="285">
        <f t="shared" si="409"/>
        <v>308267.01000000013</v>
      </c>
      <c r="AI283" s="512">
        <f t="shared" si="392"/>
        <v>1393.0499999999724</v>
      </c>
      <c r="AJ283" s="512">
        <f t="shared" ref="AJ283:AJ346" si="458">+W283-AL283</f>
        <v>-122605.8500000003</v>
      </c>
      <c r="AK283" s="512">
        <f t="shared" si="393"/>
        <v>-121212.80000000032</v>
      </c>
      <c r="AL283" s="285">
        <f t="shared" si="410"/>
        <v>278475.21000000031</v>
      </c>
      <c r="AM283" s="425">
        <f t="shared" si="439"/>
        <v>18</v>
      </c>
      <c r="AN283" s="14">
        <f t="shared" si="394"/>
        <v>1160.29</v>
      </c>
      <c r="AO283" s="14">
        <f t="shared" si="369"/>
        <v>190175.05000000005</v>
      </c>
      <c r="AP283" s="14">
        <f t="shared" si="395"/>
        <v>1179.76</v>
      </c>
      <c r="AS283" s="14">
        <f t="shared" si="433"/>
        <v>1160.29</v>
      </c>
      <c r="AT283" s="14">
        <f t="shared" si="440"/>
        <v>260584.69000000058</v>
      </c>
      <c r="AU283" s="285">
        <f t="shared" si="441"/>
        <v>1276.8858940614753</v>
      </c>
      <c r="AV283" s="285">
        <f t="shared" si="442"/>
        <v>250455.24351865158</v>
      </c>
    </row>
    <row r="284" spans="1:48" x14ac:dyDescent="0.25">
      <c r="A284" s="502">
        <f t="shared" si="397"/>
        <v>52479</v>
      </c>
      <c r="B284" s="285">
        <f t="shared" si="434"/>
        <v>35615.549999999952</v>
      </c>
      <c r="C284" s="14">
        <f t="shared" si="427"/>
        <v>450.28</v>
      </c>
      <c r="D284" s="14">
        <f t="shared" si="443"/>
        <v>338.97999999999996</v>
      </c>
      <c r="E284" s="14">
        <f t="shared" si="428"/>
        <v>111.3</v>
      </c>
      <c r="F284" s="14">
        <f t="shared" si="386"/>
        <v>134.16999999999999</v>
      </c>
      <c r="G284" s="14">
        <f t="shared" si="383"/>
        <v>188.55</v>
      </c>
      <c r="H284" s="14">
        <f t="shared" si="384"/>
        <v>773</v>
      </c>
      <c r="I284" s="285">
        <f t="shared" si="398"/>
        <v>62255.27</v>
      </c>
      <c r="J284" s="285">
        <f t="shared" si="399"/>
        <v>59624.169999999976</v>
      </c>
      <c r="K284" s="285">
        <f t="shared" si="400"/>
        <v>35276.569999999949</v>
      </c>
      <c r="L284" s="425">
        <f t="shared" si="371"/>
        <v>18</v>
      </c>
      <c r="M284" s="425">
        <f t="shared" si="435"/>
        <v>225</v>
      </c>
      <c r="N284" s="285">
        <f t="shared" si="436"/>
        <v>155869.36000000002</v>
      </c>
      <c r="O284" s="285">
        <f t="shared" si="401"/>
        <v>1610.57</v>
      </c>
      <c r="P284" s="285">
        <f t="shared" si="444"/>
        <v>798.74999999999989</v>
      </c>
      <c r="Q284" s="285">
        <f t="shared" si="402"/>
        <v>811.82</v>
      </c>
      <c r="R284" s="285">
        <f t="shared" si="389"/>
        <v>134.16999999999999</v>
      </c>
      <c r="S284" s="285">
        <f t="shared" si="390"/>
        <v>188.55</v>
      </c>
      <c r="T284" s="285">
        <f t="shared" si="387"/>
        <v>1933.29</v>
      </c>
      <c r="U284" s="285">
        <f t="shared" si="445"/>
        <v>106505.38999999996</v>
      </c>
      <c r="V284" s="285">
        <f t="shared" si="446"/>
        <v>257483.42999999991</v>
      </c>
      <c r="W284" s="285">
        <f t="shared" si="403"/>
        <v>155070.61000000002</v>
      </c>
      <c r="X284" s="502">
        <f t="shared" si="437"/>
        <v>52479</v>
      </c>
      <c r="Y284" s="285">
        <f t="shared" si="404"/>
        <v>278475.21000000031</v>
      </c>
      <c r="Z284" s="494">
        <f t="shared" si="429"/>
        <v>6.25E-2</v>
      </c>
      <c r="AA284" s="285">
        <f t="shared" si="430"/>
        <v>1630.04</v>
      </c>
      <c r="AB284" s="285">
        <f t="shared" si="405"/>
        <v>179.64999999999986</v>
      </c>
      <c r="AC284" s="285">
        <f t="shared" si="431"/>
        <v>1450.39</v>
      </c>
      <c r="AD284" s="285">
        <f t="shared" ref="AD284:AE284" si="459">+AD283</f>
        <v>134.16999999999999</v>
      </c>
      <c r="AE284" s="285">
        <f t="shared" si="459"/>
        <v>188.55</v>
      </c>
      <c r="AF284" s="285">
        <f t="shared" si="407"/>
        <v>1952.76</v>
      </c>
      <c r="AG284" s="285">
        <f t="shared" si="408"/>
        <v>52897.839999999975</v>
      </c>
      <c r="AH284" s="285">
        <f t="shared" si="409"/>
        <v>309717.40000000014</v>
      </c>
      <c r="AI284" s="512">
        <f t="shared" si="392"/>
        <v>1373.5799999999724</v>
      </c>
      <c r="AJ284" s="512">
        <f t="shared" si="458"/>
        <v>-123224.95000000027</v>
      </c>
      <c r="AK284" s="512">
        <f t="shared" si="393"/>
        <v>-121851.3700000003</v>
      </c>
      <c r="AL284" s="285">
        <f t="shared" si="410"/>
        <v>278295.56000000029</v>
      </c>
      <c r="AM284" s="425">
        <f t="shared" si="439"/>
        <v>18</v>
      </c>
      <c r="AN284" s="14">
        <f t="shared" si="394"/>
        <v>1160.29</v>
      </c>
      <c r="AO284" s="14">
        <f t="shared" si="369"/>
        <v>189715.28000000009</v>
      </c>
      <c r="AP284" s="14">
        <f t="shared" si="395"/>
        <v>1179.76</v>
      </c>
      <c r="AS284" s="14">
        <f t="shared" si="433"/>
        <v>1160.29</v>
      </c>
      <c r="AT284" s="14">
        <f t="shared" si="440"/>
        <v>261744.98000000059</v>
      </c>
      <c r="AU284" s="285">
        <f t="shared" si="441"/>
        <v>1280.0781087966288</v>
      </c>
      <c r="AV284" s="285">
        <f t="shared" si="442"/>
        <v>251735.3216274482</v>
      </c>
    </row>
    <row r="285" spans="1:48" x14ac:dyDescent="0.25">
      <c r="A285" s="502">
        <f t="shared" si="397"/>
        <v>52509</v>
      </c>
      <c r="B285" s="285">
        <f t="shared" si="434"/>
        <v>35276.569999999949</v>
      </c>
      <c r="C285" s="14">
        <f t="shared" si="427"/>
        <v>450.28</v>
      </c>
      <c r="D285" s="14">
        <f t="shared" si="443"/>
        <v>340.03999999999996</v>
      </c>
      <c r="E285" s="14">
        <f t="shared" si="428"/>
        <v>110.24</v>
      </c>
      <c r="F285" s="14">
        <f t="shared" si="386"/>
        <v>134.16999999999999</v>
      </c>
      <c r="G285" s="14">
        <f t="shared" si="383"/>
        <v>188.55</v>
      </c>
      <c r="H285" s="14">
        <f t="shared" si="384"/>
        <v>773</v>
      </c>
      <c r="I285" s="285">
        <f t="shared" si="398"/>
        <v>62595.31</v>
      </c>
      <c r="J285" s="285">
        <f t="shared" si="399"/>
        <v>59734.409999999974</v>
      </c>
      <c r="K285" s="285">
        <f t="shared" si="400"/>
        <v>34936.529999999948</v>
      </c>
      <c r="L285" s="425">
        <f t="shared" si="371"/>
        <v>18</v>
      </c>
      <c r="M285" s="425">
        <f t="shared" si="435"/>
        <v>226</v>
      </c>
      <c r="N285" s="285">
        <f t="shared" si="436"/>
        <v>155070.61000000002</v>
      </c>
      <c r="O285" s="285">
        <f t="shared" si="401"/>
        <v>1610.57</v>
      </c>
      <c r="P285" s="285">
        <f t="shared" si="444"/>
        <v>802.91</v>
      </c>
      <c r="Q285" s="285">
        <f t="shared" si="402"/>
        <v>807.66</v>
      </c>
      <c r="R285" s="285">
        <f t="shared" si="389"/>
        <v>134.16999999999999</v>
      </c>
      <c r="S285" s="285">
        <f t="shared" si="390"/>
        <v>188.55</v>
      </c>
      <c r="T285" s="285">
        <f t="shared" si="387"/>
        <v>1933.29</v>
      </c>
      <c r="U285" s="285">
        <f t="shared" si="445"/>
        <v>107308.29999999996</v>
      </c>
      <c r="V285" s="285">
        <f t="shared" si="446"/>
        <v>258291.08999999991</v>
      </c>
      <c r="W285" s="285">
        <f t="shared" si="403"/>
        <v>154267.70000000001</v>
      </c>
      <c r="X285" s="502">
        <f t="shared" si="437"/>
        <v>52509</v>
      </c>
      <c r="Y285" s="285">
        <f t="shared" si="404"/>
        <v>278295.56000000029</v>
      </c>
      <c r="Z285" s="494">
        <f t="shared" si="429"/>
        <v>6.25E-2</v>
      </c>
      <c r="AA285" s="285">
        <f t="shared" si="430"/>
        <v>1630.04</v>
      </c>
      <c r="AB285" s="285">
        <f t="shared" si="405"/>
        <v>180.57999999999993</v>
      </c>
      <c r="AC285" s="285">
        <f t="shared" si="431"/>
        <v>1449.46</v>
      </c>
      <c r="AD285" s="285">
        <f t="shared" ref="AD285:AE285" si="460">+AD284</f>
        <v>134.16999999999999</v>
      </c>
      <c r="AE285" s="285">
        <f t="shared" si="460"/>
        <v>188.55</v>
      </c>
      <c r="AF285" s="285">
        <f t="shared" si="407"/>
        <v>1952.76</v>
      </c>
      <c r="AG285" s="285">
        <f t="shared" si="408"/>
        <v>53078.419999999976</v>
      </c>
      <c r="AH285" s="285">
        <f t="shared" si="409"/>
        <v>311166.86000000016</v>
      </c>
      <c r="AI285" s="512">
        <f t="shared" si="392"/>
        <v>1354.1099999999724</v>
      </c>
      <c r="AJ285" s="512">
        <f t="shared" si="458"/>
        <v>-123847.28000000026</v>
      </c>
      <c r="AK285" s="512">
        <f t="shared" si="393"/>
        <v>-122493.17000000029</v>
      </c>
      <c r="AL285" s="285">
        <f t="shared" si="410"/>
        <v>278114.98000000027</v>
      </c>
      <c r="AM285" s="425">
        <f t="shared" si="439"/>
        <v>18</v>
      </c>
      <c r="AN285" s="14">
        <f t="shared" si="394"/>
        <v>1160.29</v>
      </c>
      <c r="AO285" s="14">
        <f t="shared" si="369"/>
        <v>189252.41000000006</v>
      </c>
      <c r="AP285" s="14">
        <f t="shared" si="395"/>
        <v>1179.76</v>
      </c>
      <c r="AS285" s="14">
        <f t="shared" si="433"/>
        <v>1160.29</v>
      </c>
      <c r="AT285" s="14">
        <f t="shared" si="440"/>
        <v>262905.2700000006</v>
      </c>
      <c r="AU285" s="285">
        <f t="shared" si="441"/>
        <v>1283.2783040686204</v>
      </c>
      <c r="AV285" s="285">
        <f t="shared" si="442"/>
        <v>253018.59993151683</v>
      </c>
    </row>
    <row r="286" spans="1:48" x14ac:dyDescent="0.25">
      <c r="A286" s="502">
        <f t="shared" si="397"/>
        <v>52539</v>
      </c>
      <c r="B286" s="285">
        <f t="shared" si="434"/>
        <v>34936.529999999948</v>
      </c>
      <c r="C286" s="14">
        <f t="shared" si="427"/>
        <v>450.28</v>
      </c>
      <c r="D286" s="14">
        <f t="shared" si="443"/>
        <v>341.09999999999997</v>
      </c>
      <c r="E286" s="14">
        <f t="shared" si="428"/>
        <v>109.18</v>
      </c>
      <c r="F286" s="14">
        <f t="shared" si="386"/>
        <v>134.16999999999999</v>
      </c>
      <c r="G286" s="14">
        <f t="shared" si="383"/>
        <v>188.55</v>
      </c>
      <c r="H286" s="14">
        <f t="shared" si="384"/>
        <v>773</v>
      </c>
      <c r="I286" s="285">
        <f t="shared" si="398"/>
        <v>62936.409999999996</v>
      </c>
      <c r="J286" s="285">
        <f t="shared" si="399"/>
        <v>59843.589999999975</v>
      </c>
      <c r="K286" s="285">
        <f t="shared" si="400"/>
        <v>34595.429999999949</v>
      </c>
      <c r="L286" s="425">
        <f t="shared" si="371"/>
        <v>18</v>
      </c>
      <c r="M286" s="425">
        <f t="shared" si="435"/>
        <v>227</v>
      </c>
      <c r="N286" s="285">
        <f t="shared" si="436"/>
        <v>154267.70000000001</v>
      </c>
      <c r="O286" s="285">
        <f t="shared" si="401"/>
        <v>1610.57</v>
      </c>
      <c r="P286" s="285">
        <f t="shared" si="444"/>
        <v>807.08999999999992</v>
      </c>
      <c r="Q286" s="285">
        <f t="shared" si="402"/>
        <v>803.48</v>
      </c>
      <c r="R286" s="285">
        <f t="shared" si="389"/>
        <v>134.16999999999999</v>
      </c>
      <c r="S286" s="285">
        <f t="shared" si="390"/>
        <v>188.55</v>
      </c>
      <c r="T286" s="285">
        <f t="shared" si="387"/>
        <v>1933.29</v>
      </c>
      <c r="U286" s="285">
        <f t="shared" si="445"/>
        <v>108115.38999999996</v>
      </c>
      <c r="V286" s="285">
        <f t="shared" si="446"/>
        <v>259094.56999999992</v>
      </c>
      <c r="W286" s="285">
        <f t="shared" si="403"/>
        <v>153460.61000000002</v>
      </c>
      <c r="X286" s="502">
        <f t="shared" si="437"/>
        <v>52539</v>
      </c>
      <c r="Y286" s="285">
        <f t="shared" si="404"/>
        <v>278114.98000000027</v>
      </c>
      <c r="Z286" s="494">
        <f t="shared" si="429"/>
        <v>6.25E-2</v>
      </c>
      <c r="AA286" s="285">
        <f t="shared" si="430"/>
        <v>1630.04</v>
      </c>
      <c r="AB286" s="285">
        <f t="shared" si="405"/>
        <v>181.51999999999998</v>
      </c>
      <c r="AC286" s="285">
        <f t="shared" si="431"/>
        <v>1448.52</v>
      </c>
      <c r="AD286" s="285">
        <f t="shared" ref="AD286:AE286" si="461">+AD285</f>
        <v>134.16999999999999</v>
      </c>
      <c r="AE286" s="285">
        <f t="shared" si="461"/>
        <v>188.55</v>
      </c>
      <c r="AF286" s="285">
        <f t="shared" si="407"/>
        <v>1952.76</v>
      </c>
      <c r="AG286" s="285">
        <f t="shared" si="408"/>
        <v>53259.939999999973</v>
      </c>
      <c r="AH286" s="285">
        <f t="shared" si="409"/>
        <v>312615.38000000018</v>
      </c>
      <c r="AI286" s="512">
        <f t="shared" si="392"/>
        <v>1334.6399999999724</v>
      </c>
      <c r="AJ286" s="512">
        <f t="shared" si="458"/>
        <v>-124472.85000000024</v>
      </c>
      <c r="AK286" s="512">
        <f t="shared" si="393"/>
        <v>-123138.21000000027</v>
      </c>
      <c r="AL286" s="285">
        <f t="shared" si="410"/>
        <v>277933.46000000025</v>
      </c>
      <c r="AM286" s="425">
        <f t="shared" si="439"/>
        <v>18</v>
      </c>
      <c r="AN286" s="14">
        <f t="shared" si="394"/>
        <v>1160.29</v>
      </c>
      <c r="AO286" s="14">
        <f t="shared" si="369"/>
        <v>188786.42000000004</v>
      </c>
      <c r="AP286" s="14">
        <f t="shared" si="395"/>
        <v>1179.76</v>
      </c>
      <c r="AS286" s="14">
        <f t="shared" si="433"/>
        <v>1160.29</v>
      </c>
      <c r="AT286" s="14">
        <f t="shared" si="440"/>
        <v>264065.56000000058</v>
      </c>
      <c r="AU286" s="285">
        <f t="shared" si="441"/>
        <v>1286.4864998287919</v>
      </c>
      <c r="AV286" s="285">
        <f t="shared" si="442"/>
        <v>254305.08643134561</v>
      </c>
    </row>
    <row r="287" spans="1:48" x14ac:dyDescent="0.25">
      <c r="A287" s="502">
        <f t="shared" si="397"/>
        <v>52569</v>
      </c>
      <c r="B287" s="285">
        <f t="shared" si="434"/>
        <v>34595.429999999949</v>
      </c>
      <c r="C287" s="14">
        <f t="shared" si="427"/>
        <v>450.28</v>
      </c>
      <c r="D287" s="14">
        <f t="shared" si="443"/>
        <v>342.16999999999996</v>
      </c>
      <c r="E287" s="14">
        <f t="shared" si="428"/>
        <v>108.11</v>
      </c>
      <c r="F287" s="14">
        <f t="shared" si="386"/>
        <v>134.16999999999999</v>
      </c>
      <c r="G287" s="14">
        <f t="shared" si="383"/>
        <v>188.55</v>
      </c>
      <c r="H287" s="14">
        <f t="shared" si="384"/>
        <v>773</v>
      </c>
      <c r="I287" s="285">
        <f t="shared" si="398"/>
        <v>63278.579999999994</v>
      </c>
      <c r="J287" s="285">
        <f t="shared" si="399"/>
        <v>59951.699999999975</v>
      </c>
      <c r="K287" s="285">
        <f t="shared" si="400"/>
        <v>34253.259999999951</v>
      </c>
      <c r="L287" s="425">
        <f t="shared" si="371"/>
        <v>19</v>
      </c>
      <c r="M287" s="425">
        <f t="shared" si="435"/>
        <v>228</v>
      </c>
      <c r="N287" s="285">
        <f t="shared" si="436"/>
        <v>153460.61000000002</v>
      </c>
      <c r="O287" s="285">
        <f t="shared" si="401"/>
        <v>1610.57</v>
      </c>
      <c r="P287" s="285">
        <f t="shared" si="444"/>
        <v>811.3</v>
      </c>
      <c r="Q287" s="285">
        <f t="shared" si="402"/>
        <v>799.27</v>
      </c>
      <c r="R287" s="285">
        <f t="shared" si="389"/>
        <v>134.16999999999999</v>
      </c>
      <c r="S287" s="285">
        <f t="shared" si="390"/>
        <v>188.55</v>
      </c>
      <c r="T287" s="285">
        <f t="shared" si="387"/>
        <v>1933.29</v>
      </c>
      <c r="U287" s="285">
        <f t="shared" si="445"/>
        <v>108926.68999999996</v>
      </c>
      <c r="V287" s="285">
        <f t="shared" si="446"/>
        <v>259893.83999999991</v>
      </c>
      <c r="W287" s="285">
        <f t="shared" si="403"/>
        <v>152649.31000000003</v>
      </c>
      <c r="X287" s="502">
        <f t="shared" si="437"/>
        <v>52569</v>
      </c>
      <c r="Y287" s="285">
        <f t="shared" si="404"/>
        <v>277933.46000000025</v>
      </c>
      <c r="Z287" s="494">
        <f t="shared" si="429"/>
        <v>6.25E-2</v>
      </c>
      <c r="AA287" s="285">
        <f t="shared" si="430"/>
        <v>1630.04</v>
      </c>
      <c r="AB287" s="285">
        <f t="shared" si="405"/>
        <v>182.47000000000003</v>
      </c>
      <c r="AC287" s="285">
        <f t="shared" si="431"/>
        <v>1447.57</v>
      </c>
      <c r="AD287" s="285">
        <f t="shared" ref="AD287:AE287" si="462">+AD286</f>
        <v>134.16999999999999</v>
      </c>
      <c r="AE287" s="285">
        <f t="shared" si="462"/>
        <v>188.55</v>
      </c>
      <c r="AF287" s="285">
        <f t="shared" si="407"/>
        <v>1952.76</v>
      </c>
      <c r="AG287" s="285">
        <f t="shared" si="408"/>
        <v>53442.409999999974</v>
      </c>
      <c r="AH287" s="285">
        <f t="shared" si="409"/>
        <v>314062.95000000019</v>
      </c>
      <c r="AI287" s="512">
        <f t="shared" si="392"/>
        <v>1315.1699999999723</v>
      </c>
      <c r="AJ287" s="512">
        <f t="shared" si="458"/>
        <v>-125101.68000000025</v>
      </c>
      <c r="AK287" s="512">
        <f t="shared" si="393"/>
        <v>-123786.51000000029</v>
      </c>
      <c r="AL287" s="285">
        <f t="shared" si="410"/>
        <v>277750.99000000028</v>
      </c>
      <c r="AM287" s="425">
        <f t="shared" si="439"/>
        <v>19</v>
      </c>
      <c r="AN287" s="14">
        <f t="shared" si="394"/>
        <v>1160.29</v>
      </c>
      <c r="AO287" s="14">
        <f t="shared" si="369"/>
        <v>188317.2900000001</v>
      </c>
      <c r="AP287" s="14">
        <f t="shared" si="395"/>
        <v>1179.76</v>
      </c>
      <c r="AS287" s="14">
        <f t="shared" si="433"/>
        <v>1160.29</v>
      </c>
      <c r="AT287" s="14">
        <f t="shared" si="440"/>
        <v>265225.85000000056</v>
      </c>
      <c r="AU287" s="285">
        <f t="shared" si="441"/>
        <v>1289.7027160783639</v>
      </c>
      <c r="AV287" s="285">
        <f t="shared" si="442"/>
        <v>255594.78914742399</v>
      </c>
    </row>
    <row r="288" spans="1:48" x14ac:dyDescent="0.25">
      <c r="A288" s="502">
        <f t="shared" si="397"/>
        <v>52599</v>
      </c>
      <c r="B288" s="285">
        <f t="shared" si="434"/>
        <v>34253.259999999951</v>
      </c>
      <c r="C288" s="14">
        <f t="shared" si="427"/>
        <v>450.28</v>
      </c>
      <c r="D288" s="14">
        <f t="shared" si="443"/>
        <v>343.23999999999995</v>
      </c>
      <c r="E288" s="14">
        <f t="shared" si="428"/>
        <v>107.04</v>
      </c>
      <c r="F288" s="14">
        <f t="shared" si="386"/>
        <v>134.16999999999999</v>
      </c>
      <c r="G288" s="14">
        <f t="shared" si="383"/>
        <v>188.55</v>
      </c>
      <c r="H288" s="14">
        <f t="shared" si="384"/>
        <v>773</v>
      </c>
      <c r="I288" s="285">
        <f t="shared" si="398"/>
        <v>63621.819999999992</v>
      </c>
      <c r="J288" s="285">
        <f t="shared" si="399"/>
        <v>60058.739999999976</v>
      </c>
      <c r="K288" s="285">
        <f t="shared" si="400"/>
        <v>33910.019999999953</v>
      </c>
      <c r="L288" s="425">
        <f t="shared" si="371"/>
        <v>19</v>
      </c>
      <c r="M288" s="425">
        <f t="shared" si="435"/>
        <v>229</v>
      </c>
      <c r="N288" s="285">
        <f t="shared" si="436"/>
        <v>152649.31000000003</v>
      </c>
      <c r="O288" s="285">
        <f t="shared" si="401"/>
        <v>1610.57</v>
      </c>
      <c r="P288" s="285">
        <f t="shared" si="444"/>
        <v>815.52</v>
      </c>
      <c r="Q288" s="285">
        <f t="shared" si="402"/>
        <v>795.05</v>
      </c>
      <c r="R288" s="285">
        <f t="shared" si="389"/>
        <v>134.16999999999999</v>
      </c>
      <c r="S288" s="285">
        <f t="shared" si="390"/>
        <v>188.55</v>
      </c>
      <c r="T288" s="285">
        <f t="shared" si="387"/>
        <v>1933.29</v>
      </c>
      <c r="U288" s="285">
        <f t="shared" si="445"/>
        <v>109742.20999999996</v>
      </c>
      <c r="V288" s="285">
        <f t="shared" si="446"/>
        <v>260688.8899999999</v>
      </c>
      <c r="W288" s="285">
        <f t="shared" si="403"/>
        <v>151833.79000000004</v>
      </c>
      <c r="X288" s="502">
        <f t="shared" si="437"/>
        <v>52599</v>
      </c>
      <c r="Y288" s="285">
        <f t="shared" si="404"/>
        <v>277750.99000000028</v>
      </c>
      <c r="Z288" s="494">
        <f t="shared" si="429"/>
        <v>6.25E-2</v>
      </c>
      <c r="AA288" s="285">
        <f t="shared" si="430"/>
        <v>1630.04</v>
      </c>
      <c r="AB288" s="285">
        <f t="shared" si="405"/>
        <v>183.42000000000007</v>
      </c>
      <c r="AC288" s="285">
        <f t="shared" si="431"/>
        <v>1446.62</v>
      </c>
      <c r="AD288" s="285">
        <f t="shared" ref="AD288:AE288" si="463">+AD287</f>
        <v>134.16999999999999</v>
      </c>
      <c r="AE288" s="285">
        <f t="shared" si="463"/>
        <v>188.55</v>
      </c>
      <c r="AF288" s="285">
        <f t="shared" si="407"/>
        <v>1952.76</v>
      </c>
      <c r="AG288" s="285">
        <f t="shared" si="408"/>
        <v>53625.829999999973</v>
      </c>
      <c r="AH288" s="285">
        <f t="shared" si="409"/>
        <v>315509.57000000018</v>
      </c>
      <c r="AI288" s="512">
        <f t="shared" si="392"/>
        <v>1295.6999999999723</v>
      </c>
      <c r="AJ288" s="512">
        <f t="shared" si="458"/>
        <v>-125733.78000000026</v>
      </c>
      <c r="AK288" s="512">
        <f t="shared" si="393"/>
        <v>-124438.08000000029</v>
      </c>
      <c r="AL288" s="285">
        <f t="shared" si="410"/>
        <v>277567.5700000003</v>
      </c>
      <c r="AM288" s="425">
        <f t="shared" si="439"/>
        <v>19</v>
      </c>
      <c r="AN288" s="14">
        <f t="shared" si="394"/>
        <v>1160.29</v>
      </c>
      <c r="AO288" s="14">
        <f t="shared" si="369"/>
        <v>187845.01000000007</v>
      </c>
      <c r="AP288" s="14">
        <f t="shared" si="395"/>
        <v>1179.76</v>
      </c>
      <c r="AS288" s="14">
        <f t="shared" si="433"/>
        <v>1160.29</v>
      </c>
      <c r="AT288" s="14">
        <f t="shared" si="440"/>
        <v>266386.14000000054</v>
      </c>
      <c r="AU288" s="285">
        <f t="shared" si="441"/>
        <v>1292.9269728685599</v>
      </c>
      <c r="AV288" s="285">
        <f t="shared" si="442"/>
        <v>256887.71612029255</v>
      </c>
    </row>
    <row r="289" spans="1:48" x14ac:dyDescent="0.25">
      <c r="A289" s="502">
        <f t="shared" si="397"/>
        <v>52629</v>
      </c>
      <c r="B289" s="285">
        <f t="shared" si="434"/>
        <v>33910.019999999953</v>
      </c>
      <c r="C289" s="14">
        <f t="shared" si="427"/>
        <v>450.28</v>
      </c>
      <c r="D289" s="14">
        <f t="shared" si="443"/>
        <v>344.30999999999995</v>
      </c>
      <c r="E289" s="14">
        <f t="shared" si="428"/>
        <v>105.97</v>
      </c>
      <c r="F289" s="14">
        <f t="shared" si="386"/>
        <v>134.16999999999999</v>
      </c>
      <c r="G289" s="14">
        <f t="shared" si="383"/>
        <v>188.55</v>
      </c>
      <c r="H289" s="14">
        <f t="shared" si="384"/>
        <v>773</v>
      </c>
      <c r="I289" s="285">
        <f t="shared" si="398"/>
        <v>63966.12999999999</v>
      </c>
      <c r="J289" s="285">
        <f t="shared" si="399"/>
        <v>60164.709999999977</v>
      </c>
      <c r="K289" s="285">
        <f t="shared" si="400"/>
        <v>33565.709999999955</v>
      </c>
      <c r="L289" s="425">
        <f t="shared" si="371"/>
        <v>19</v>
      </c>
      <c r="M289" s="425">
        <f t="shared" si="435"/>
        <v>230</v>
      </c>
      <c r="N289" s="285">
        <f t="shared" si="436"/>
        <v>151833.79000000004</v>
      </c>
      <c r="O289" s="285">
        <f t="shared" si="401"/>
        <v>1610.57</v>
      </c>
      <c r="P289" s="285">
        <f t="shared" si="444"/>
        <v>819.77</v>
      </c>
      <c r="Q289" s="285">
        <f t="shared" si="402"/>
        <v>790.8</v>
      </c>
      <c r="R289" s="285">
        <f t="shared" si="389"/>
        <v>134.16999999999999</v>
      </c>
      <c r="S289" s="285">
        <f t="shared" si="390"/>
        <v>188.55</v>
      </c>
      <c r="T289" s="285">
        <f t="shared" si="387"/>
        <v>1933.29</v>
      </c>
      <c r="U289" s="285">
        <f t="shared" si="445"/>
        <v>110561.97999999997</v>
      </c>
      <c r="V289" s="285">
        <f t="shared" si="446"/>
        <v>261479.68999999989</v>
      </c>
      <c r="W289" s="285">
        <f t="shared" si="403"/>
        <v>151014.02000000005</v>
      </c>
      <c r="X289" s="502">
        <f t="shared" si="437"/>
        <v>52629</v>
      </c>
      <c r="Y289" s="285">
        <f t="shared" si="404"/>
        <v>277567.5700000003</v>
      </c>
      <c r="Z289" s="494">
        <f t="shared" si="429"/>
        <v>6.25E-2</v>
      </c>
      <c r="AA289" s="285">
        <f t="shared" si="430"/>
        <v>1630.04</v>
      </c>
      <c r="AB289" s="285">
        <f t="shared" si="405"/>
        <v>184.37999999999988</v>
      </c>
      <c r="AC289" s="285">
        <f t="shared" si="431"/>
        <v>1445.66</v>
      </c>
      <c r="AD289" s="285">
        <f t="shared" ref="AD289:AE289" si="464">+AD288</f>
        <v>134.16999999999999</v>
      </c>
      <c r="AE289" s="285">
        <f t="shared" si="464"/>
        <v>188.55</v>
      </c>
      <c r="AF289" s="285">
        <f t="shared" si="407"/>
        <v>1952.76</v>
      </c>
      <c r="AG289" s="285">
        <f t="shared" si="408"/>
        <v>53810.20999999997</v>
      </c>
      <c r="AH289" s="285">
        <f t="shared" si="409"/>
        <v>316955.23000000016</v>
      </c>
      <c r="AI289" s="512">
        <f t="shared" si="392"/>
        <v>1276.2299999999723</v>
      </c>
      <c r="AJ289" s="512">
        <f t="shared" si="458"/>
        <v>-126369.17000000025</v>
      </c>
      <c r="AK289" s="512">
        <f t="shared" si="393"/>
        <v>-125092.94000000028</v>
      </c>
      <c r="AL289" s="285">
        <f t="shared" si="410"/>
        <v>277383.19000000029</v>
      </c>
      <c r="AM289" s="425">
        <f t="shared" si="439"/>
        <v>19</v>
      </c>
      <c r="AN289" s="14">
        <f t="shared" si="394"/>
        <v>1160.29</v>
      </c>
      <c r="AO289" s="14">
        <f t="shared" si="369"/>
        <v>187369.55000000005</v>
      </c>
      <c r="AP289" s="14">
        <f t="shared" si="395"/>
        <v>1179.76</v>
      </c>
      <c r="AS289" s="14">
        <f t="shared" si="433"/>
        <v>1160.29</v>
      </c>
      <c r="AT289" s="14">
        <f t="shared" si="440"/>
        <v>267546.43000000052</v>
      </c>
      <c r="AU289" s="285">
        <f t="shared" si="441"/>
        <v>1296.1592903007313</v>
      </c>
      <c r="AV289" s="285">
        <f t="shared" si="442"/>
        <v>258183.87541059329</v>
      </c>
    </row>
    <row r="290" spans="1:48" ht="15.75" thickBot="1" x14ac:dyDescent="0.3">
      <c r="A290" s="505">
        <f t="shared" si="397"/>
        <v>52659</v>
      </c>
      <c r="B290" s="345">
        <f t="shared" si="434"/>
        <v>33565.709999999955</v>
      </c>
      <c r="C290" s="21">
        <f t="shared" si="427"/>
        <v>450.28</v>
      </c>
      <c r="D290" s="21">
        <f t="shared" si="443"/>
        <v>345.39</v>
      </c>
      <c r="E290" s="21">
        <f t="shared" si="428"/>
        <v>104.89</v>
      </c>
      <c r="F290" s="21">
        <f t="shared" si="386"/>
        <v>134.16999999999999</v>
      </c>
      <c r="G290" s="21">
        <f t="shared" si="383"/>
        <v>188.55</v>
      </c>
      <c r="H290" s="21">
        <f t="shared" si="384"/>
        <v>773</v>
      </c>
      <c r="I290" s="345">
        <f t="shared" si="398"/>
        <v>64311.51999999999</v>
      </c>
      <c r="J290" s="345">
        <f t="shared" si="399"/>
        <v>60269.599999999977</v>
      </c>
      <c r="K290" s="345">
        <f t="shared" si="400"/>
        <v>33220.319999999956</v>
      </c>
      <c r="L290" s="426">
        <f t="shared" si="371"/>
        <v>19</v>
      </c>
      <c r="M290" s="426">
        <f t="shared" si="435"/>
        <v>231</v>
      </c>
      <c r="N290" s="345">
        <f t="shared" si="436"/>
        <v>151014.02000000005</v>
      </c>
      <c r="O290" s="345">
        <f t="shared" si="401"/>
        <v>1610.57</v>
      </c>
      <c r="P290" s="345">
        <f t="shared" si="444"/>
        <v>824.04</v>
      </c>
      <c r="Q290" s="345">
        <f t="shared" si="402"/>
        <v>786.53</v>
      </c>
      <c r="R290" s="345">
        <f t="shared" si="389"/>
        <v>134.16999999999999</v>
      </c>
      <c r="S290" s="345">
        <f t="shared" si="390"/>
        <v>188.55</v>
      </c>
      <c r="T290" s="345">
        <f t="shared" si="387"/>
        <v>1933.29</v>
      </c>
      <c r="U290" s="345">
        <f t="shared" si="445"/>
        <v>111386.01999999996</v>
      </c>
      <c r="V290" s="345">
        <f t="shared" si="446"/>
        <v>262266.21999999991</v>
      </c>
      <c r="W290" s="345">
        <f t="shared" si="403"/>
        <v>150189.98000000004</v>
      </c>
      <c r="X290" s="505">
        <f t="shared" si="437"/>
        <v>52659</v>
      </c>
      <c r="Y290" s="345">
        <f t="shared" si="404"/>
        <v>277383.19000000029</v>
      </c>
      <c r="Z290" s="495">
        <f t="shared" si="429"/>
        <v>6.25E-2</v>
      </c>
      <c r="AA290" s="345">
        <f t="shared" si="430"/>
        <v>1630.04</v>
      </c>
      <c r="AB290" s="345">
        <f t="shared" si="405"/>
        <v>185.33999999999992</v>
      </c>
      <c r="AC290" s="345">
        <f t="shared" si="431"/>
        <v>1444.7</v>
      </c>
      <c r="AD290" s="345">
        <f t="shared" ref="AD290:AE290" si="465">+AD289</f>
        <v>134.16999999999999</v>
      </c>
      <c r="AE290" s="345">
        <f t="shared" si="465"/>
        <v>188.55</v>
      </c>
      <c r="AF290" s="345">
        <f t="shared" si="407"/>
        <v>1952.76</v>
      </c>
      <c r="AG290" s="345">
        <f t="shared" si="408"/>
        <v>53995.549999999967</v>
      </c>
      <c r="AH290" s="345">
        <f t="shared" si="409"/>
        <v>318399.93000000017</v>
      </c>
      <c r="AI290" s="513">
        <f t="shared" si="392"/>
        <v>1256.7599999999723</v>
      </c>
      <c r="AJ290" s="513">
        <f t="shared" si="458"/>
        <v>-127007.87000000023</v>
      </c>
      <c r="AK290" s="512">
        <f t="shared" si="393"/>
        <v>-125751.11000000026</v>
      </c>
      <c r="AL290" s="345">
        <f t="shared" si="410"/>
        <v>277197.85000000027</v>
      </c>
      <c r="AM290" s="426">
        <f t="shared" si="439"/>
        <v>19</v>
      </c>
      <c r="AN290" s="21">
        <f t="shared" si="394"/>
        <v>1160.29</v>
      </c>
      <c r="AO290" s="21">
        <f t="shared" si="369"/>
        <v>186890.90000000008</v>
      </c>
      <c r="AP290" s="21">
        <f t="shared" si="395"/>
        <v>1179.76</v>
      </c>
      <c r="AQ290" s="21"/>
      <c r="AR290" s="23"/>
      <c r="AS290" s="21">
        <f t="shared" si="433"/>
        <v>1160.29</v>
      </c>
      <c r="AT290" s="21">
        <f t="shared" si="440"/>
        <v>268706.7200000005</v>
      </c>
      <c r="AU290" s="345">
        <f t="shared" si="441"/>
        <v>1299.399688526483</v>
      </c>
      <c r="AV290" s="345">
        <f t="shared" si="442"/>
        <v>259483.27509911978</v>
      </c>
    </row>
    <row r="291" spans="1:48" x14ac:dyDescent="0.25">
      <c r="A291" s="502">
        <f t="shared" si="397"/>
        <v>52689</v>
      </c>
      <c r="B291" s="285">
        <f t="shared" si="434"/>
        <v>33220.319999999956</v>
      </c>
      <c r="C291" s="14">
        <f t="shared" si="427"/>
        <v>450.28</v>
      </c>
      <c r="D291" s="14">
        <f t="shared" si="443"/>
        <v>346.46999999999997</v>
      </c>
      <c r="E291" s="14">
        <f t="shared" si="428"/>
        <v>103.81</v>
      </c>
      <c r="F291" s="14">
        <f t="shared" si="386"/>
        <v>134.16999999999999</v>
      </c>
      <c r="G291" s="14">
        <f t="shared" si="383"/>
        <v>188.55</v>
      </c>
      <c r="H291" s="14">
        <f t="shared" si="384"/>
        <v>773</v>
      </c>
      <c r="I291" s="285">
        <f t="shared" si="398"/>
        <v>64657.989999999991</v>
      </c>
      <c r="J291" s="285">
        <f t="shared" si="399"/>
        <v>60373.409999999974</v>
      </c>
      <c r="K291" s="285">
        <f t="shared" si="400"/>
        <v>32873.849999999955</v>
      </c>
      <c r="L291" s="425">
        <f t="shared" si="371"/>
        <v>19</v>
      </c>
      <c r="M291" s="425">
        <f t="shared" si="435"/>
        <v>232</v>
      </c>
      <c r="N291" s="285">
        <f t="shared" si="436"/>
        <v>150189.98000000004</v>
      </c>
      <c r="O291" s="285">
        <f t="shared" si="401"/>
        <v>1610.57</v>
      </c>
      <c r="P291" s="285">
        <f t="shared" si="444"/>
        <v>828.32999999999993</v>
      </c>
      <c r="Q291" s="285">
        <f t="shared" si="402"/>
        <v>782.24</v>
      </c>
      <c r="R291" s="285">
        <f t="shared" si="389"/>
        <v>134.16999999999999</v>
      </c>
      <c r="S291" s="285">
        <f t="shared" si="390"/>
        <v>188.55</v>
      </c>
      <c r="T291" s="285">
        <f t="shared" si="387"/>
        <v>1933.29</v>
      </c>
      <c r="U291" s="285">
        <f t="shared" si="445"/>
        <v>112214.34999999996</v>
      </c>
      <c r="V291" s="285">
        <f t="shared" si="446"/>
        <v>263048.4599999999</v>
      </c>
      <c r="W291" s="285">
        <f t="shared" si="403"/>
        <v>149361.65000000005</v>
      </c>
      <c r="X291" s="502">
        <f t="shared" si="437"/>
        <v>52689</v>
      </c>
      <c r="Y291" s="285">
        <f t="shared" si="404"/>
        <v>277197.85000000027</v>
      </c>
      <c r="Z291" s="494">
        <f t="shared" si="429"/>
        <v>6.25E-2</v>
      </c>
      <c r="AA291" s="285">
        <f t="shared" si="430"/>
        <v>1630.04</v>
      </c>
      <c r="AB291" s="285">
        <f t="shared" si="405"/>
        <v>186.29999999999995</v>
      </c>
      <c r="AC291" s="285">
        <f t="shared" si="431"/>
        <v>1443.74</v>
      </c>
      <c r="AD291" s="285">
        <f t="shared" ref="AD291:AE291" si="466">+AD290</f>
        <v>134.16999999999999</v>
      </c>
      <c r="AE291" s="285">
        <f t="shared" si="466"/>
        <v>188.55</v>
      </c>
      <c r="AF291" s="285">
        <f t="shared" si="407"/>
        <v>1952.76</v>
      </c>
      <c r="AG291" s="285">
        <f t="shared" si="408"/>
        <v>54181.849999999969</v>
      </c>
      <c r="AH291" s="285">
        <f t="shared" si="409"/>
        <v>319843.67000000016</v>
      </c>
      <c r="AI291" s="512">
        <f t="shared" si="392"/>
        <v>1237.2899999999722</v>
      </c>
      <c r="AJ291" s="512">
        <f t="shared" si="458"/>
        <v>-127649.90000000023</v>
      </c>
      <c r="AK291" s="512">
        <f t="shared" si="393"/>
        <v>-126412.61000000025</v>
      </c>
      <c r="AL291" s="285">
        <f t="shared" si="410"/>
        <v>277011.55000000028</v>
      </c>
      <c r="AM291" s="425">
        <f t="shared" si="439"/>
        <v>19</v>
      </c>
      <c r="AN291" s="14">
        <f t="shared" si="394"/>
        <v>1160.29</v>
      </c>
      <c r="AO291" s="14">
        <f t="shared" si="369"/>
        <v>186409.04000000004</v>
      </c>
      <c r="AP291" s="14">
        <f t="shared" si="395"/>
        <v>1179.76</v>
      </c>
      <c r="AS291" s="14">
        <f t="shared" si="433"/>
        <v>1160.29</v>
      </c>
      <c r="AT291" s="14">
        <f t="shared" si="440"/>
        <v>269867.01000000047</v>
      </c>
      <c r="AU291" s="285">
        <f t="shared" si="441"/>
        <v>1302.6481877477993</v>
      </c>
      <c r="AV291" s="285">
        <f t="shared" si="442"/>
        <v>260785.92328686759</v>
      </c>
    </row>
    <row r="292" spans="1:48" x14ac:dyDescent="0.25">
      <c r="A292" s="502">
        <f t="shared" si="397"/>
        <v>52719</v>
      </c>
      <c r="B292" s="285">
        <f t="shared" si="434"/>
        <v>32873.849999999955</v>
      </c>
      <c r="C292" s="14">
        <f t="shared" si="427"/>
        <v>450.28</v>
      </c>
      <c r="D292" s="14">
        <f t="shared" si="443"/>
        <v>347.54999999999995</v>
      </c>
      <c r="E292" s="14">
        <f t="shared" si="428"/>
        <v>102.73</v>
      </c>
      <c r="F292" s="14">
        <f t="shared" si="386"/>
        <v>134.16999999999999</v>
      </c>
      <c r="G292" s="14">
        <f t="shared" si="383"/>
        <v>188.55</v>
      </c>
      <c r="H292" s="14">
        <f t="shared" si="384"/>
        <v>773</v>
      </c>
      <c r="I292" s="285">
        <f t="shared" si="398"/>
        <v>65005.539999999994</v>
      </c>
      <c r="J292" s="285">
        <f t="shared" si="399"/>
        <v>60476.139999999978</v>
      </c>
      <c r="K292" s="285">
        <f t="shared" si="400"/>
        <v>32526.299999999956</v>
      </c>
      <c r="L292" s="425">
        <f t="shared" si="371"/>
        <v>19</v>
      </c>
      <c r="M292" s="425">
        <f t="shared" si="435"/>
        <v>233</v>
      </c>
      <c r="N292" s="285">
        <f t="shared" si="436"/>
        <v>149361.65000000005</v>
      </c>
      <c r="O292" s="285">
        <f t="shared" si="401"/>
        <v>1610.57</v>
      </c>
      <c r="P292" s="285">
        <f t="shared" si="444"/>
        <v>832.64</v>
      </c>
      <c r="Q292" s="285">
        <f t="shared" si="402"/>
        <v>777.93</v>
      </c>
      <c r="R292" s="285">
        <f t="shared" si="389"/>
        <v>134.16999999999999</v>
      </c>
      <c r="S292" s="285">
        <f t="shared" si="390"/>
        <v>188.55</v>
      </c>
      <c r="T292" s="285">
        <f t="shared" si="387"/>
        <v>1933.29</v>
      </c>
      <c r="U292" s="285">
        <f t="shared" si="445"/>
        <v>113046.98999999996</v>
      </c>
      <c r="V292" s="285">
        <f t="shared" si="446"/>
        <v>263826.3899999999</v>
      </c>
      <c r="W292" s="285">
        <f t="shared" si="403"/>
        <v>148529.01000000004</v>
      </c>
      <c r="X292" s="502">
        <f t="shared" si="437"/>
        <v>52719</v>
      </c>
      <c r="Y292" s="285">
        <f t="shared" si="404"/>
        <v>277011.55000000028</v>
      </c>
      <c r="Z292" s="494">
        <f t="shared" si="429"/>
        <v>6.25E-2</v>
      </c>
      <c r="AA292" s="285">
        <f t="shared" si="430"/>
        <v>1630.04</v>
      </c>
      <c r="AB292" s="285">
        <f t="shared" si="405"/>
        <v>187.26999999999998</v>
      </c>
      <c r="AC292" s="285">
        <f t="shared" si="431"/>
        <v>1442.77</v>
      </c>
      <c r="AD292" s="285">
        <f t="shared" ref="AD292:AE292" si="467">+AD291</f>
        <v>134.16999999999999</v>
      </c>
      <c r="AE292" s="285">
        <f t="shared" si="467"/>
        <v>188.55</v>
      </c>
      <c r="AF292" s="285">
        <f t="shared" si="407"/>
        <v>1952.76</v>
      </c>
      <c r="AG292" s="285">
        <f t="shared" si="408"/>
        <v>54369.119999999966</v>
      </c>
      <c r="AH292" s="285">
        <f t="shared" si="409"/>
        <v>321286.44000000018</v>
      </c>
      <c r="AI292" s="512">
        <f t="shared" si="392"/>
        <v>1217.8199999999722</v>
      </c>
      <c r="AJ292" s="512">
        <f t="shared" si="458"/>
        <v>-128295.27000000022</v>
      </c>
      <c r="AK292" s="512">
        <f t="shared" si="393"/>
        <v>-127077.45000000024</v>
      </c>
      <c r="AL292" s="285">
        <f t="shared" si="410"/>
        <v>276824.28000000026</v>
      </c>
      <c r="AM292" s="425">
        <f t="shared" si="439"/>
        <v>19</v>
      </c>
      <c r="AN292" s="14">
        <f t="shared" si="394"/>
        <v>1160.29</v>
      </c>
      <c r="AO292" s="14">
        <f t="shared" si="369"/>
        <v>185923.95000000004</v>
      </c>
      <c r="AP292" s="14">
        <f t="shared" si="395"/>
        <v>1179.76</v>
      </c>
      <c r="AS292" s="14">
        <f t="shared" si="433"/>
        <v>1160.29</v>
      </c>
      <c r="AT292" s="14">
        <f t="shared" si="440"/>
        <v>271027.30000000045</v>
      </c>
      <c r="AU292" s="285">
        <f t="shared" si="441"/>
        <v>1305.9048082171689</v>
      </c>
      <c r="AV292" s="285">
        <f t="shared" si="442"/>
        <v>262091.82809508475</v>
      </c>
    </row>
    <row r="293" spans="1:48" x14ac:dyDescent="0.25">
      <c r="A293" s="502">
        <f t="shared" si="397"/>
        <v>52749</v>
      </c>
      <c r="B293" s="285">
        <f t="shared" si="434"/>
        <v>32526.299999999956</v>
      </c>
      <c r="C293" s="14">
        <f t="shared" si="427"/>
        <v>450.28</v>
      </c>
      <c r="D293" s="14">
        <f t="shared" si="443"/>
        <v>348.64</v>
      </c>
      <c r="E293" s="14">
        <f t="shared" si="428"/>
        <v>101.64</v>
      </c>
      <c r="F293" s="14">
        <f t="shared" si="386"/>
        <v>134.16999999999999</v>
      </c>
      <c r="G293" s="14">
        <f t="shared" si="383"/>
        <v>188.55</v>
      </c>
      <c r="H293" s="14">
        <f t="shared" si="384"/>
        <v>773</v>
      </c>
      <c r="I293" s="285">
        <f t="shared" si="398"/>
        <v>65354.179999999993</v>
      </c>
      <c r="J293" s="285">
        <f t="shared" si="399"/>
        <v>60577.779999999977</v>
      </c>
      <c r="K293" s="285">
        <f t="shared" si="400"/>
        <v>32177.659999999956</v>
      </c>
      <c r="L293" s="425">
        <f t="shared" si="371"/>
        <v>19</v>
      </c>
      <c r="M293" s="425">
        <f t="shared" si="435"/>
        <v>234</v>
      </c>
      <c r="N293" s="285">
        <f t="shared" si="436"/>
        <v>148529.01000000004</v>
      </c>
      <c r="O293" s="285">
        <f t="shared" si="401"/>
        <v>1610.57</v>
      </c>
      <c r="P293" s="285">
        <f t="shared" si="444"/>
        <v>836.9799999999999</v>
      </c>
      <c r="Q293" s="285">
        <f t="shared" si="402"/>
        <v>773.59</v>
      </c>
      <c r="R293" s="285">
        <f t="shared" si="389"/>
        <v>134.16999999999999</v>
      </c>
      <c r="S293" s="285">
        <f t="shared" si="390"/>
        <v>188.55</v>
      </c>
      <c r="T293" s="285">
        <f t="shared" si="387"/>
        <v>1933.29</v>
      </c>
      <c r="U293" s="285">
        <f t="shared" si="445"/>
        <v>113883.96999999996</v>
      </c>
      <c r="V293" s="285">
        <f t="shared" si="446"/>
        <v>264599.97999999992</v>
      </c>
      <c r="W293" s="285">
        <f t="shared" si="403"/>
        <v>147692.03000000003</v>
      </c>
      <c r="X293" s="502">
        <f t="shared" si="437"/>
        <v>52749</v>
      </c>
      <c r="Y293" s="285">
        <f t="shared" si="404"/>
        <v>276824.28000000026</v>
      </c>
      <c r="Z293" s="494">
        <f t="shared" si="429"/>
        <v>6.25E-2</v>
      </c>
      <c r="AA293" s="285">
        <f t="shared" si="430"/>
        <v>1630.04</v>
      </c>
      <c r="AB293" s="285">
        <f t="shared" si="405"/>
        <v>188.25</v>
      </c>
      <c r="AC293" s="285">
        <f t="shared" si="431"/>
        <v>1441.79</v>
      </c>
      <c r="AD293" s="285">
        <f t="shared" ref="AD293:AE293" si="468">+AD292</f>
        <v>134.16999999999999</v>
      </c>
      <c r="AE293" s="285">
        <f t="shared" si="468"/>
        <v>188.55</v>
      </c>
      <c r="AF293" s="285">
        <f t="shared" si="407"/>
        <v>1952.76</v>
      </c>
      <c r="AG293" s="285">
        <f t="shared" si="408"/>
        <v>54557.369999999966</v>
      </c>
      <c r="AH293" s="285">
        <f t="shared" si="409"/>
        <v>322728.23000000016</v>
      </c>
      <c r="AI293" s="512">
        <f t="shared" si="392"/>
        <v>1198.3499999999722</v>
      </c>
      <c r="AJ293" s="512">
        <f t="shared" si="458"/>
        <v>-128944.00000000023</v>
      </c>
      <c r="AK293" s="512">
        <f t="shared" si="393"/>
        <v>-127745.65000000026</v>
      </c>
      <c r="AL293" s="285">
        <f t="shared" si="410"/>
        <v>276636.03000000026</v>
      </c>
      <c r="AM293" s="425">
        <f t="shared" si="439"/>
        <v>19</v>
      </c>
      <c r="AN293" s="14">
        <f t="shared" si="394"/>
        <v>1160.29</v>
      </c>
      <c r="AO293" s="14">
        <f t="shared" si="369"/>
        <v>185435.61000000004</v>
      </c>
      <c r="AP293" s="14">
        <f t="shared" si="395"/>
        <v>1179.76</v>
      </c>
      <c r="AS293" s="14">
        <f t="shared" si="433"/>
        <v>1160.29</v>
      </c>
      <c r="AT293" s="14">
        <f t="shared" si="440"/>
        <v>272187.59000000043</v>
      </c>
      <c r="AU293" s="285">
        <f t="shared" si="441"/>
        <v>1309.1695702377117</v>
      </c>
      <c r="AV293" s="285">
        <f t="shared" si="442"/>
        <v>263400.99766532244</v>
      </c>
    </row>
    <row r="294" spans="1:48" x14ac:dyDescent="0.25">
      <c r="A294" s="502">
        <f t="shared" si="397"/>
        <v>52779</v>
      </c>
      <c r="B294" s="285">
        <f t="shared" si="434"/>
        <v>32177.659999999956</v>
      </c>
      <c r="C294" s="14">
        <f t="shared" si="427"/>
        <v>450.28</v>
      </c>
      <c r="D294" s="14">
        <f t="shared" si="443"/>
        <v>349.71999999999997</v>
      </c>
      <c r="E294" s="14">
        <f t="shared" si="428"/>
        <v>100.56</v>
      </c>
      <c r="F294" s="14">
        <f t="shared" si="386"/>
        <v>134.16999999999999</v>
      </c>
      <c r="G294" s="14">
        <f t="shared" si="383"/>
        <v>188.55</v>
      </c>
      <c r="H294" s="14">
        <f t="shared" si="384"/>
        <v>773</v>
      </c>
      <c r="I294" s="285">
        <f t="shared" si="398"/>
        <v>65703.899999999994</v>
      </c>
      <c r="J294" s="285">
        <f t="shared" si="399"/>
        <v>60678.339999999975</v>
      </c>
      <c r="K294" s="285">
        <f t="shared" si="400"/>
        <v>31827.939999999955</v>
      </c>
      <c r="L294" s="425">
        <f t="shared" si="371"/>
        <v>19</v>
      </c>
      <c r="M294" s="425">
        <f t="shared" si="435"/>
        <v>235</v>
      </c>
      <c r="N294" s="285">
        <f t="shared" si="436"/>
        <v>147692.03000000003</v>
      </c>
      <c r="O294" s="285">
        <f t="shared" si="401"/>
        <v>1610.57</v>
      </c>
      <c r="P294" s="285">
        <f t="shared" si="444"/>
        <v>841.33999999999992</v>
      </c>
      <c r="Q294" s="285">
        <f t="shared" si="402"/>
        <v>769.23</v>
      </c>
      <c r="R294" s="285">
        <f t="shared" si="389"/>
        <v>134.16999999999999</v>
      </c>
      <c r="S294" s="285">
        <f t="shared" si="390"/>
        <v>188.55</v>
      </c>
      <c r="T294" s="285">
        <f t="shared" si="387"/>
        <v>1933.29</v>
      </c>
      <c r="U294" s="285">
        <f t="shared" si="445"/>
        <v>114725.30999999995</v>
      </c>
      <c r="V294" s="285">
        <f t="shared" si="446"/>
        <v>265369.2099999999</v>
      </c>
      <c r="W294" s="285">
        <f t="shared" si="403"/>
        <v>146850.69000000003</v>
      </c>
      <c r="X294" s="502">
        <f t="shared" si="437"/>
        <v>52779</v>
      </c>
      <c r="Y294" s="285">
        <f t="shared" si="404"/>
        <v>276636.03000000026</v>
      </c>
      <c r="Z294" s="494">
        <f t="shared" si="429"/>
        <v>6.25E-2</v>
      </c>
      <c r="AA294" s="285">
        <f t="shared" si="430"/>
        <v>1630.04</v>
      </c>
      <c r="AB294" s="285">
        <f t="shared" si="405"/>
        <v>189.23000000000002</v>
      </c>
      <c r="AC294" s="285">
        <f t="shared" si="431"/>
        <v>1440.81</v>
      </c>
      <c r="AD294" s="285">
        <f t="shared" ref="AD294:AE294" si="469">+AD293</f>
        <v>134.16999999999999</v>
      </c>
      <c r="AE294" s="285">
        <f t="shared" si="469"/>
        <v>188.55</v>
      </c>
      <c r="AF294" s="285">
        <f t="shared" si="407"/>
        <v>1952.76</v>
      </c>
      <c r="AG294" s="285">
        <f t="shared" si="408"/>
        <v>54746.599999999969</v>
      </c>
      <c r="AH294" s="285">
        <f t="shared" si="409"/>
        <v>324169.04000000015</v>
      </c>
      <c r="AI294" s="512">
        <f t="shared" si="392"/>
        <v>1178.8799999999721</v>
      </c>
      <c r="AJ294" s="512">
        <f t="shared" si="458"/>
        <v>-129596.11000000025</v>
      </c>
      <c r="AK294" s="512">
        <f t="shared" si="393"/>
        <v>-128417.23000000027</v>
      </c>
      <c r="AL294" s="285">
        <f t="shared" si="410"/>
        <v>276446.80000000028</v>
      </c>
      <c r="AM294" s="425">
        <f t="shared" si="439"/>
        <v>19</v>
      </c>
      <c r="AN294" s="14">
        <f t="shared" si="394"/>
        <v>1160.29</v>
      </c>
      <c r="AO294" s="14">
        <f t="shared" si="369"/>
        <v>184943.99000000011</v>
      </c>
      <c r="AP294" s="14">
        <f t="shared" si="395"/>
        <v>1179.76</v>
      </c>
      <c r="AS294" s="14">
        <f t="shared" si="433"/>
        <v>1160.29</v>
      </c>
      <c r="AT294" s="14">
        <f t="shared" si="440"/>
        <v>273347.88000000041</v>
      </c>
      <c r="AU294" s="285">
        <f t="shared" si="441"/>
        <v>1312.4424941633058</v>
      </c>
      <c r="AV294" s="285">
        <f t="shared" si="442"/>
        <v>264713.44015948573</v>
      </c>
    </row>
    <row r="295" spans="1:48" x14ac:dyDescent="0.25">
      <c r="A295" s="502">
        <f t="shared" si="397"/>
        <v>52809</v>
      </c>
      <c r="B295" s="285">
        <f t="shared" si="434"/>
        <v>31827.939999999955</v>
      </c>
      <c r="C295" s="14">
        <f t="shared" si="427"/>
        <v>450.28</v>
      </c>
      <c r="D295" s="14">
        <f t="shared" si="443"/>
        <v>350.82</v>
      </c>
      <c r="E295" s="14">
        <f t="shared" si="428"/>
        <v>99.46</v>
      </c>
      <c r="F295" s="14">
        <f t="shared" si="386"/>
        <v>134.16999999999999</v>
      </c>
      <c r="G295" s="14">
        <f t="shared" si="383"/>
        <v>188.55</v>
      </c>
      <c r="H295" s="14">
        <f t="shared" si="384"/>
        <v>773</v>
      </c>
      <c r="I295" s="285">
        <f t="shared" si="398"/>
        <v>66054.720000000001</v>
      </c>
      <c r="J295" s="285">
        <f t="shared" si="399"/>
        <v>60777.799999999974</v>
      </c>
      <c r="K295" s="285">
        <f t="shared" si="400"/>
        <v>31477.119999999955</v>
      </c>
      <c r="L295" s="425">
        <f t="shared" si="371"/>
        <v>19</v>
      </c>
      <c r="M295" s="425">
        <f t="shared" si="435"/>
        <v>236</v>
      </c>
      <c r="N295" s="285">
        <f t="shared" si="436"/>
        <v>146850.69000000003</v>
      </c>
      <c r="O295" s="285">
        <f t="shared" si="401"/>
        <v>1610.57</v>
      </c>
      <c r="P295" s="285">
        <f t="shared" si="444"/>
        <v>845.71999999999991</v>
      </c>
      <c r="Q295" s="285">
        <f t="shared" si="402"/>
        <v>764.85</v>
      </c>
      <c r="R295" s="285">
        <f t="shared" si="389"/>
        <v>134.16999999999999</v>
      </c>
      <c r="S295" s="285">
        <f t="shared" si="390"/>
        <v>188.55</v>
      </c>
      <c r="T295" s="285">
        <f t="shared" si="387"/>
        <v>1933.29</v>
      </c>
      <c r="U295" s="285">
        <f t="shared" si="445"/>
        <v>115571.02999999996</v>
      </c>
      <c r="V295" s="285">
        <f t="shared" si="446"/>
        <v>266134.05999999988</v>
      </c>
      <c r="W295" s="285">
        <f t="shared" si="403"/>
        <v>146004.97000000003</v>
      </c>
      <c r="X295" s="502">
        <f t="shared" si="437"/>
        <v>52809</v>
      </c>
      <c r="Y295" s="285">
        <f t="shared" si="404"/>
        <v>276446.80000000028</v>
      </c>
      <c r="Z295" s="494">
        <f t="shared" si="429"/>
        <v>6.25E-2</v>
      </c>
      <c r="AA295" s="285">
        <f t="shared" si="430"/>
        <v>1630.04</v>
      </c>
      <c r="AB295" s="285">
        <f t="shared" si="405"/>
        <v>190.21000000000004</v>
      </c>
      <c r="AC295" s="285">
        <f t="shared" si="431"/>
        <v>1439.83</v>
      </c>
      <c r="AD295" s="285">
        <f t="shared" ref="AD295:AE295" si="470">+AD294</f>
        <v>134.16999999999999</v>
      </c>
      <c r="AE295" s="285">
        <f t="shared" si="470"/>
        <v>188.55</v>
      </c>
      <c r="AF295" s="285">
        <f t="shared" si="407"/>
        <v>1952.76</v>
      </c>
      <c r="AG295" s="285">
        <f t="shared" si="408"/>
        <v>54936.809999999969</v>
      </c>
      <c r="AH295" s="285">
        <f t="shared" si="409"/>
        <v>325608.87000000017</v>
      </c>
      <c r="AI295" s="512">
        <f t="shared" si="392"/>
        <v>1159.4099999999721</v>
      </c>
      <c r="AJ295" s="512">
        <f t="shared" si="458"/>
        <v>-130251.62000000023</v>
      </c>
      <c r="AK295" s="512">
        <f t="shared" si="393"/>
        <v>-129092.21000000025</v>
      </c>
      <c r="AL295" s="285">
        <f t="shared" si="410"/>
        <v>276256.59000000026</v>
      </c>
      <c r="AM295" s="425">
        <f t="shared" si="439"/>
        <v>19</v>
      </c>
      <c r="AN295" s="14">
        <f t="shared" si="394"/>
        <v>1160.29</v>
      </c>
      <c r="AO295" s="14">
        <f t="shared" si="369"/>
        <v>184449.09000000003</v>
      </c>
      <c r="AP295" s="14">
        <f t="shared" si="395"/>
        <v>1179.76</v>
      </c>
      <c r="AS295" s="14">
        <f t="shared" si="433"/>
        <v>1160.29</v>
      </c>
      <c r="AT295" s="14">
        <f t="shared" si="440"/>
        <v>274508.17000000039</v>
      </c>
      <c r="AU295" s="285">
        <f t="shared" si="441"/>
        <v>1315.7236003987141</v>
      </c>
      <c r="AV295" s="285">
        <f t="shared" si="442"/>
        <v>266029.16375988442</v>
      </c>
    </row>
    <row r="296" spans="1:48" x14ac:dyDescent="0.25">
      <c r="A296" s="502">
        <f t="shared" si="397"/>
        <v>52839</v>
      </c>
      <c r="B296" s="285">
        <f t="shared" si="434"/>
        <v>31477.119999999955</v>
      </c>
      <c r="C296" s="14">
        <f t="shared" si="427"/>
        <v>450.28</v>
      </c>
      <c r="D296" s="14">
        <f t="shared" si="443"/>
        <v>351.90999999999997</v>
      </c>
      <c r="E296" s="14">
        <f t="shared" si="428"/>
        <v>98.37</v>
      </c>
      <c r="F296" s="14">
        <f t="shared" si="386"/>
        <v>134.16999999999999</v>
      </c>
      <c r="G296" s="14">
        <f t="shared" si="383"/>
        <v>188.55</v>
      </c>
      <c r="H296" s="14">
        <f t="shared" si="384"/>
        <v>773</v>
      </c>
      <c r="I296" s="285">
        <f t="shared" si="398"/>
        <v>66406.63</v>
      </c>
      <c r="J296" s="285">
        <f t="shared" si="399"/>
        <v>60876.169999999976</v>
      </c>
      <c r="K296" s="285">
        <f t="shared" si="400"/>
        <v>31125.209999999955</v>
      </c>
      <c r="L296" s="425">
        <f t="shared" si="371"/>
        <v>19</v>
      </c>
      <c r="M296" s="425">
        <f t="shared" si="435"/>
        <v>237</v>
      </c>
      <c r="N296" s="285">
        <f t="shared" si="436"/>
        <v>146004.97000000003</v>
      </c>
      <c r="O296" s="285">
        <f t="shared" si="401"/>
        <v>1610.57</v>
      </c>
      <c r="P296" s="285">
        <f t="shared" si="444"/>
        <v>850.12999999999988</v>
      </c>
      <c r="Q296" s="285">
        <f t="shared" si="402"/>
        <v>760.44</v>
      </c>
      <c r="R296" s="285">
        <f t="shared" si="389"/>
        <v>134.16999999999999</v>
      </c>
      <c r="S296" s="285">
        <f t="shared" si="390"/>
        <v>188.55</v>
      </c>
      <c r="T296" s="285">
        <f t="shared" si="387"/>
        <v>1933.29</v>
      </c>
      <c r="U296" s="285">
        <f t="shared" si="445"/>
        <v>116421.15999999996</v>
      </c>
      <c r="V296" s="285">
        <f t="shared" si="446"/>
        <v>266894.49999999988</v>
      </c>
      <c r="W296" s="285">
        <f t="shared" si="403"/>
        <v>145154.84000000003</v>
      </c>
      <c r="X296" s="502">
        <f t="shared" si="437"/>
        <v>52839</v>
      </c>
      <c r="Y296" s="285">
        <f t="shared" si="404"/>
        <v>276256.59000000026</v>
      </c>
      <c r="Z296" s="494">
        <f t="shared" si="429"/>
        <v>6.25E-2</v>
      </c>
      <c r="AA296" s="285">
        <f t="shared" si="430"/>
        <v>1630.04</v>
      </c>
      <c r="AB296" s="285">
        <f t="shared" si="405"/>
        <v>191.20000000000005</v>
      </c>
      <c r="AC296" s="285">
        <f t="shared" si="431"/>
        <v>1438.84</v>
      </c>
      <c r="AD296" s="285">
        <f t="shared" ref="AD296:AE296" si="471">+AD295</f>
        <v>134.16999999999999</v>
      </c>
      <c r="AE296" s="285">
        <f t="shared" si="471"/>
        <v>188.55</v>
      </c>
      <c r="AF296" s="285">
        <f t="shared" si="407"/>
        <v>1952.76</v>
      </c>
      <c r="AG296" s="285">
        <f t="shared" si="408"/>
        <v>55128.009999999966</v>
      </c>
      <c r="AH296" s="285">
        <f t="shared" si="409"/>
        <v>327047.7100000002</v>
      </c>
      <c r="AI296" s="512">
        <f t="shared" si="392"/>
        <v>1139.9399999999721</v>
      </c>
      <c r="AJ296" s="512">
        <f t="shared" si="458"/>
        <v>-130910.55000000022</v>
      </c>
      <c r="AK296" s="512">
        <f t="shared" si="393"/>
        <v>-129770.61000000025</v>
      </c>
      <c r="AL296" s="285">
        <f t="shared" si="410"/>
        <v>276065.39000000025</v>
      </c>
      <c r="AM296" s="425">
        <f t="shared" si="439"/>
        <v>19</v>
      </c>
      <c r="AN296" s="14">
        <f t="shared" si="394"/>
        <v>1160.29</v>
      </c>
      <c r="AO296" s="14">
        <f t="shared" si="369"/>
        <v>183950.87000000005</v>
      </c>
      <c r="AP296" s="14">
        <f t="shared" si="395"/>
        <v>1179.76</v>
      </c>
      <c r="AS296" s="14">
        <f t="shared" si="433"/>
        <v>1160.29</v>
      </c>
      <c r="AT296" s="14">
        <f t="shared" si="440"/>
        <v>275668.46000000037</v>
      </c>
      <c r="AU296" s="285">
        <f t="shared" si="441"/>
        <v>1319.0129093997109</v>
      </c>
      <c r="AV296" s="285">
        <f t="shared" si="442"/>
        <v>267348.17666928412</v>
      </c>
    </row>
    <row r="297" spans="1:48" x14ac:dyDescent="0.25">
      <c r="A297" s="502">
        <f t="shared" si="397"/>
        <v>52869</v>
      </c>
      <c r="B297" s="285">
        <f t="shared" si="434"/>
        <v>31125.209999999955</v>
      </c>
      <c r="C297" s="14">
        <f t="shared" si="427"/>
        <v>450.28</v>
      </c>
      <c r="D297" s="14">
        <f t="shared" si="443"/>
        <v>353.01</v>
      </c>
      <c r="E297" s="14">
        <f t="shared" si="428"/>
        <v>97.27</v>
      </c>
      <c r="F297" s="14">
        <f t="shared" si="386"/>
        <v>134.16999999999999</v>
      </c>
      <c r="G297" s="14">
        <f t="shared" si="383"/>
        <v>188.55</v>
      </c>
      <c r="H297" s="14">
        <f t="shared" si="384"/>
        <v>773</v>
      </c>
      <c r="I297" s="285">
        <f t="shared" si="398"/>
        <v>66759.64</v>
      </c>
      <c r="J297" s="285">
        <f t="shared" si="399"/>
        <v>60973.439999999973</v>
      </c>
      <c r="K297" s="285">
        <f t="shared" si="400"/>
        <v>30772.199999999957</v>
      </c>
      <c r="L297" s="425">
        <f t="shared" si="371"/>
        <v>19</v>
      </c>
      <c r="M297" s="425">
        <f t="shared" si="435"/>
        <v>238</v>
      </c>
      <c r="N297" s="285">
        <f t="shared" si="436"/>
        <v>145154.84000000003</v>
      </c>
      <c r="O297" s="285">
        <f t="shared" si="401"/>
        <v>1610.57</v>
      </c>
      <c r="P297" s="285">
        <f t="shared" si="444"/>
        <v>854.56</v>
      </c>
      <c r="Q297" s="285">
        <f t="shared" si="402"/>
        <v>756.01</v>
      </c>
      <c r="R297" s="285">
        <f t="shared" si="389"/>
        <v>134.16999999999999</v>
      </c>
      <c r="S297" s="285">
        <f t="shared" si="390"/>
        <v>188.55</v>
      </c>
      <c r="T297" s="285">
        <f t="shared" si="387"/>
        <v>1933.29</v>
      </c>
      <c r="U297" s="285">
        <f t="shared" si="445"/>
        <v>117275.71999999996</v>
      </c>
      <c r="V297" s="285">
        <f t="shared" si="446"/>
        <v>267650.50999999989</v>
      </c>
      <c r="W297" s="285">
        <f t="shared" si="403"/>
        <v>144300.28000000003</v>
      </c>
      <c r="X297" s="502">
        <f t="shared" si="437"/>
        <v>52869</v>
      </c>
      <c r="Y297" s="285">
        <f t="shared" si="404"/>
        <v>276065.39000000025</v>
      </c>
      <c r="Z297" s="494">
        <f t="shared" si="429"/>
        <v>6.25E-2</v>
      </c>
      <c r="AA297" s="285">
        <f t="shared" si="430"/>
        <v>1630.04</v>
      </c>
      <c r="AB297" s="285">
        <f t="shared" si="405"/>
        <v>192.20000000000005</v>
      </c>
      <c r="AC297" s="285">
        <f t="shared" si="431"/>
        <v>1437.84</v>
      </c>
      <c r="AD297" s="285">
        <f t="shared" ref="AD297:AE297" si="472">+AD296</f>
        <v>134.16999999999999</v>
      </c>
      <c r="AE297" s="285">
        <f t="shared" si="472"/>
        <v>188.55</v>
      </c>
      <c r="AF297" s="285">
        <f t="shared" si="407"/>
        <v>1952.76</v>
      </c>
      <c r="AG297" s="285">
        <f t="shared" si="408"/>
        <v>55320.209999999963</v>
      </c>
      <c r="AH297" s="285">
        <f t="shared" si="409"/>
        <v>328485.55000000022</v>
      </c>
      <c r="AI297" s="512">
        <f t="shared" si="392"/>
        <v>1120.4699999999721</v>
      </c>
      <c r="AJ297" s="512">
        <f t="shared" si="458"/>
        <v>-131572.91000000021</v>
      </c>
      <c r="AK297" s="512">
        <f t="shared" si="393"/>
        <v>-130452.44000000024</v>
      </c>
      <c r="AL297" s="285">
        <f t="shared" si="410"/>
        <v>275873.19000000024</v>
      </c>
      <c r="AM297" s="425">
        <f t="shared" si="439"/>
        <v>19</v>
      </c>
      <c r="AN297" s="14">
        <f t="shared" si="394"/>
        <v>1160.29</v>
      </c>
      <c r="AO297" s="14">
        <f t="shared" si="369"/>
        <v>183449.32000000007</v>
      </c>
      <c r="AP297" s="14">
        <f t="shared" si="395"/>
        <v>1179.76</v>
      </c>
      <c r="AS297" s="14">
        <f t="shared" si="433"/>
        <v>1160.29</v>
      </c>
      <c r="AT297" s="14">
        <f t="shared" si="440"/>
        <v>276828.75000000035</v>
      </c>
      <c r="AU297" s="285">
        <f t="shared" si="441"/>
        <v>1322.3104416732101</v>
      </c>
      <c r="AV297" s="285">
        <f t="shared" si="442"/>
        <v>268670.48711095733</v>
      </c>
    </row>
    <row r="298" spans="1:48" x14ac:dyDescent="0.25">
      <c r="A298" s="502">
        <f t="shared" si="397"/>
        <v>52899</v>
      </c>
      <c r="B298" s="285">
        <f t="shared" si="434"/>
        <v>30772.199999999957</v>
      </c>
      <c r="C298" s="14">
        <f t="shared" si="427"/>
        <v>450.28</v>
      </c>
      <c r="D298" s="14">
        <f t="shared" si="443"/>
        <v>354.12</v>
      </c>
      <c r="E298" s="14">
        <f t="shared" si="428"/>
        <v>96.16</v>
      </c>
      <c r="F298" s="14">
        <f t="shared" si="386"/>
        <v>134.16999999999999</v>
      </c>
      <c r="G298" s="14">
        <f t="shared" si="383"/>
        <v>188.55</v>
      </c>
      <c r="H298" s="14">
        <f t="shared" si="384"/>
        <v>773</v>
      </c>
      <c r="I298" s="285">
        <f t="shared" si="398"/>
        <v>67113.759999999995</v>
      </c>
      <c r="J298" s="285">
        <f t="shared" si="399"/>
        <v>61069.599999999977</v>
      </c>
      <c r="K298" s="285">
        <f t="shared" si="400"/>
        <v>30418.079999999958</v>
      </c>
      <c r="L298" s="425">
        <f t="shared" si="371"/>
        <v>19</v>
      </c>
      <c r="M298" s="425">
        <f t="shared" si="435"/>
        <v>239</v>
      </c>
      <c r="N298" s="285">
        <f t="shared" si="436"/>
        <v>144300.28000000003</v>
      </c>
      <c r="O298" s="285">
        <f t="shared" si="401"/>
        <v>1610.57</v>
      </c>
      <c r="P298" s="285">
        <f t="shared" si="444"/>
        <v>859.01</v>
      </c>
      <c r="Q298" s="285">
        <f t="shared" si="402"/>
        <v>751.56</v>
      </c>
      <c r="R298" s="285">
        <f t="shared" si="389"/>
        <v>134.16999999999999</v>
      </c>
      <c r="S298" s="285">
        <f t="shared" si="390"/>
        <v>188.55</v>
      </c>
      <c r="T298" s="285">
        <f t="shared" si="387"/>
        <v>1933.29</v>
      </c>
      <c r="U298" s="285">
        <f t="shared" si="445"/>
        <v>118134.72999999995</v>
      </c>
      <c r="V298" s="285">
        <f t="shared" si="446"/>
        <v>268402.06999999989</v>
      </c>
      <c r="W298" s="285">
        <f t="shared" si="403"/>
        <v>143441.27000000002</v>
      </c>
      <c r="X298" s="502">
        <f t="shared" si="437"/>
        <v>52899</v>
      </c>
      <c r="Y298" s="285">
        <f t="shared" si="404"/>
        <v>275873.19000000024</v>
      </c>
      <c r="Z298" s="494">
        <f t="shared" si="429"/>
        <v>6.25E-2</v>
      </c>
      <c r="AA298" s="285">
        <f t="shared" si="430"/>
        <v>1630.04</v>
      </c>
      <c r="AB298" s="285">
        <f t="shared" si="405"/>
        <v>193.20000000000005</v>
      </c>
      <c r="AC298" s="285">
        <f t="shared" si="431"/>
        <v>1436.84</v>
      </c>
      <c r="AD298" s="285">
        <f t="shared" ref="AD298:AE298" si="473">+AD297</f>
        <v>134.16999999999999</v>
      </c>
      <c r="AE298" s="285">
        <f t="shared" si="473"/>
        <v>188.55</v>
      </c>
      <c r="AF298" s="285">
        <f t="shared" si="407"/>
        <v>1952.76</v>
      </c>
      <c r="AG298" s="285">
        <f t="shared" si="408"/>
        <v>55513.40999999996</v>
      </c>
      <c r="AH298" s="285">
        <f t="shared" si="409"/>
        <v>329922.39000000025</v>
      </c>
      <c r="AI298" s="512">
        <f t="shared" si="392"/>
        <v>1100.999999999972</v>
      </c>
      <c r="AJ298" s="512">
        <f t="shared" si="458"/>
        <v>-132238.7200000002</v>
      </c>
      <c r="AK298" s="512">
        <f t="shared" si="393"/>
        <v>-131137.72000000023</v>
      </c>
      <c r="AL298" s="285">
        <f t="shared" si="410"/>
        <v>275679.99000000022</v>
      </c>
      <c r="AM298" s="425">
        <f t="shared" si="439"/>
        <v>19</v>
      </c>
      <c r="AN298" s="14">
        <f t="shared" si="394"/>
        <v>1160.29</v>
      </c>
      <c r="AO298" s="14">
        <f t="shared" si="369"/>
        <v>182944.43000000008</v>
      </c>
      <c r="AP298" s="14">
        <f t="shared" si="395"/>
        <v>1179.76</v>
      </c>
      <c r="AS298" s="14">
        <f t="shared" si="433"/>
        <v>1160.29</v>
      </c>
      <c r="AT298" s="14">
        <f t="shared" si="440"/>
        <v>277989.04000000033</v>
      </c>
      <c r="AU298" s="285">
        <f t="shared" si="441"/>
        <v>1325.6162177773931</v>
      </c>
      <c r="AV298" s="285">
        <f t="shared" si="442"/>
        <v>269996.10332873469</v>
      </c>
    </row>
    <row r="299" spans="1:48" x14ac:dyDescent="0.25">
      <c r="A299" s="502">
        <f t="shared" si="397"/>
        <v>52929</v>
      </c>
      <c r="B299" s="285">
        <f t="shared" si="434"/>
        <v>30418.079999999958</v>
      </c>
      <c r="C299" s="14">
        <f t="shared" si="427"/>
        <v>450.28</v>
      </c>
      <c r="D299" s="14">
        <f t="shared" si="443"/>
        <v>355.21999999999997</v>
      </c>
      <c r="E299" s="14">
        <f t="shared" si="428"/>
        <v>95.06</v>
      </c>
      <c r="F299" s="14">
        <f t="shared" si="386"/>
        <v>134.16999999999999</v>
      </c>
      <c r="G299" s="14">
        <f t="shared" si="383"/>
        <v>188.55</v>
      </c>
      <c r="H299" s="14">
        <f t="shared" si="384"/>
        <v>773</v>
      </c>
      <c r="I299" s="285">
        <f t="shared" si="398"/>
        <v>67468.98</v>
      </c>
      <c r="J299" s="285">
        <f t="shared" si="399"/>
        <v>61164.659999999974</v>
      </c>
      <c r="K299" s="285">
        <f t="shared" si="400"/>
        <v>30062.859999999957</v>
      </c>
      <c r="L299" s="425">
        <f t="shared" si="371"/>
        <v>20</v>
      </c>
      <c r="M299" s="425">
        <f t="shared" si="435"/>
        <v>240</v>
      </c>
      <c r="N299" s="285">
        <f t="shared" si="436"/>
        <v>143441.27000000002</v>
      </c>
      <c r="O299" s="285">
        <f t="shared" si="401"/>
        <v>1610.57</v>
      </c>
      <c r="P299" s="285">
        <f t="shared" si="444"/>
        <v>863.4799999999999</v>
      </c>
      <c r="Q299" s="285">
        <f t="shared" si="402"/>
        <v>747.09</v>
      </c>
      <c r="R299" s="285">
        <f t="shared" si="389"/>
        <v>134.16999999999999</v>
      </c>
      <c r="S299" s="285">
        <f t="shared" si="390"/>
        <v>188.55</v>
      </c>
      <c r="T299" s="285">
        <f t="shared" si="387"/>
        <v>1933.29</v>
      </c>
      <c r="U299" s="285">
        <f t="shared" si="445"/>
        <v>118998.20999999995</v>
      </c>
      <c r="V299" s="285">
        <f t="shared" si="446"/>
        <v>269149.15999999992</v>
      </c>
      <c r="W299" s="285">
        <f t="shared" si="403"/>
        <v>142577.79</v>
      </c>
      <c r="X299" s="502">
        <f t="shared" si="437"/>
        <v>52929</v>
      </c>
      <c r="Y299" s="285">
        <f t="shared" si="404"/>
        <v>275679.99000000022</v>
      </c>
      <c r="Z299" s="494">
        <f t="shared" si="429"/>
        <v>6.25E-2</v>
      </c>
      <c r="AA299" s="285">
        <f t="shared" si="430"/>
        <v>1630.04</v>
      </c>
      <c r="AB299" s="285">
        <f t="shared" si="405"/>
        <v>194.21000000000004</v>
      </c>
      <c r="AC299" s="285">
        <f t="shared" si="431"/>
        <v>1435.83</v>
      </c>
      <c r="AD299" s="285">
        <f t="shared" ref="AD299:AE299" si="474">+AD298</f>
        <v>134.16999999999999</v>
      </c>
      <c r="AE299" s="285">
        <f t="shared" si="474"/>
        <v>188.55</v>
      </c>
      <c r="AF299" s="285">
        <f t="shared" si="407"/>
        <v>1952.76</v>
      </c>
      <c r="AG299" s="285">
        <f t="shared" si="408"/>
        <v>55707.619999999959</v>
      </c>
      <c r="AH299" s="285">
        <f t="shared" si="409"/>
        <v>331358.22000000026</v>
      </c>
      <c r="AI299" s="512">
        <f t="shared" si="392"/>
        <v>1081.529999999972</v>
      </c>
      <c r="AJ299" s="512">
        <f t="shared" si="458"/>
        <v>-132907.99000000019</v>
      </c>
      <c r="AK299" s="512">
        <f t="shared" si="393"/>
        <v>-131826.46000000022</v>
      </c>
      <c r="AL299" s="285">
        <f t="shared" si="410"/>
        <v>275485.7800000002</v>
      </c>
      <c r="AM299" s="425">
        <f t="shared" si="439"/>
        <v>20</v>
      </c>
      <c r="AN299" s="14">
        <f t="shared" si="394"/>
        <v>1160.29</v>
      </c>
      <c r="AO299" s="14">
        <f t="shared" si="369"/>
        <v>182436.17000000004</v>
      </c>
      <c r="AP299" s="14">
        <f t="shared" si="395"/>
        <v>1179.76</v>
      </c>
      <c r="AS299" s="14">
        <f t="shared" si="433"/>
        <v>1160.29</v>
      </c>
      <c r="AT299" s="14">
        <f t="shared" si="440"/>
        <v>279149.33000000031</v>
      </c>
      <c r="AU299" s="285">
        <f t="shared" si="441"/>
        <v>1328.9302583218366</v>
      </c>
      <c r="AV299" s="285">
        <f t="shared" si="442"/>
        <v>271325.0335870565</v>
      </c>
    </row>
    <row r="300" spans="1:48" x14ac:dyDescent="0.25">
      <c r="A300" s="502">
        <f t="shared" si="397"/>
        <v>52959</v>
      </c>
      <c r="B300" s="285">
        <f t="shared" si="434"/>
        <v>30062.859999999957</v>
      </c>
      <c r="C300" s="14">
        <f t="shared" si="427"/>
        <v>450.28</v>
      </c>
      <c r="D300" s="14">
        <f t="shared" si="443"/>
        <v>356.33</v>
      </c>
      <c r="E300" s="14">
        <f t="shared" si="428"/>
        <v>93.95</v>
      </c>
      <c r="F300" s="14">
        <f t="shared" si="386"/>
        <v>134.16999999999999</v>
      </c>
      <c r="G300" s="14">
        <f t="shared" si="383"/>
        <v>188.55</v>
      </c>
      <c r="H300" s="14">
        <f t="shared" si="384"/>
        <v>773</v>
      </c>
      <c r="I300" s="285">
        <f t="shared" si="398"/>
        <v>67825.31</v>
      </c>
      <c r="J300" s="285">
        <f t="shared" si="399"/>
        <v>61258.609999999971</v>
      </c>
      <c r="K300" s="285">
        <f t="shared" si="400"/>
        <v>29706.529999999955</v>
      </c>
      <c r="L300" s="425">
        <f t="shared" si="371"/>
        <v>20</v>
      </c>
      <c r="M300" s="425">
        <f t="shared" si="435"/>
        <v>241</v>
      </c>
      <c r="N300" s="285">
        <f t="shared" si="436"/>
        <v>142577.79</v>
      </c>
      <c r="O300" s="285">
        <f t="shared" si="401"/>
        <v>1610.57</v>
      </c>
      <c r="P300" s="285">
        <f t="shared" si="444"/>
        <v>867.9799999999999</v>
      </c>
      <c r="Q300" s="285">
        <f t="shared" si="402"/>
        <v>742.59</v>
      </c>
      <c r="R300" s="285">
        <f t="shared" si="389"/>
        <v>134.16999999999999</v>
      </c>
      <c r="S300" s="285">
        <f t="shared" si="390"/>
        <v>188.55</v>
      </c>
      <c r="T300" s="285">
        <f t="shared" si="387"/>
        <v>1933.29</v>
      </c>
      <c r="U300" s="285">
        <f t="shared" si="445"/>
        <v>119866.18999999994</v>
      </c>
      <c r="V300" s="285">
        <f t="shared" si="446"/>
        <v>269891.74999999994</v>
      </c>
      <c r="W300" s="285">
        <f t="shared" si="403"/>
        <v>141709.81</v>
      </c>
      <c r="X300" s="502">
        <f t="shared" si="437"/>
        <v>52959</v>
      </c>
      <c r="Y300" s="285">
        <f t="shared" si="404"/>
        <v>275485.7800000002</v>
      </c>
      <c r="Z300" s="494">
        <f t="shared" si="429"/>
        <v>6.25E-2</v>
      </c>
      <c r="AA300" s="285">
        <f t="shared" si="430"/>
        <v>1630.04</v>
      </c>
      <c r="AB300" s="285">
        <f t="shared" si="405"/>
        <v>195.22000000000003</v>
      </c>
      <c r="AC300" s="285">
        <f t="shared" si="431"/>
        <v>1434.82</v>
      </c>
      <c r="AD300" s="285">
        <f t="shared" ref="AD300:AE300" si="475">+AD299</f>
        <v>134.16999999999999</v>
      </c>
      <c r="AE300" s="285">
        <f t="shared" si="475"/>
        <v>188.55</v>
      </c>
      <c r="AF300" s="285">
        <f t="shared" si="407"/>
        <v>1952.76</v>
      </c>
      <c r="AG300" s="285">
        <f t="shared" si="408"/>
        <v>55902.83999999996</v>
      </c>
      <c r="AH300" s="285">
        <f t="shared" si="409"/>
        <v>332793.04000000027</v>
      </c>
      <c r="AI300" s="512">
        <f t="shared" si="392"/>
        <v>1062.059999999972</v>
      </c>
      <c r="AJ300" s="512">
        <f t="shared" si="458"/>
        <v>-133580.75000000023</v>
      </c>
      <c r="AK300" s="512">
        <f t="shared" si="393"/>
        <v>-132518.69000000026</v>
      </c>
      <c r="AL300" s="285">
        <f t="shared" si="410"/>
        <v>275290.56000000023</v>
      </c>
      <c r="AM300" s="425">
        <f t="shared" si="439"/>
        <v>20</v>
      </c>
      <c r="AN300" s="14">
        <f t="shared" si="394"/>
        <v>1160.29</v>
      </c>
      <c r="AO300" s="14">
        <f t="shared" si="369"/>
        <v>181924.52000000008</v>
      </c>
      <c r="AP300" s="14">
        <f t="shared" si="395"/>
        <v>1179.76</v>
      </c>
      <c r="AS300" s="14">
        <f t="shared" si="433"/>
        <v>1160.29</v>
      </c>
      <c r="AT300" s="14">
        <f t="shared" si="440"/>
        <v>280309.62000000029</v>
      </c>
      <c r="AU300" s="285">
        <f t="shared" si="441"/>
        <v>1332.2525839676412</v>
      </c>
      <c r="AV300" s="285">
        <f t="shared" si="442"/>
        <v>272657.28617102414</v>
      </c>
    </row>
    <row r="301" spans="1:48" x14ac:dyDescent="0.25">
      <c r="A301" s="502">
        <f t="shared" si="397"/>
        <v>52989</v>
      </c>
      <c r="B301" s="285">
        <f t="shared" si="434"/>
        <v>29706.529999999955</v>
      </c>
      <c r="C301" s="14">
        <f t="shared" si="427"/>
        <v>450.28</v>
      </c>
      <c r="D301" s="14">
        <f t="shared" si="443"/>
        <v>357.45</v>
      </c>
      <c r="E301" s="14">
        <f t="shared" si="428"/>
        <v>92.83</v>
      </c>
      <c r="F301" s="14">
        <f t="shared" si="386"/>
        <v>134.16999999999999</v>
      </c>
      <c r="G301" s="14">
        <f t="shared" si="383"/>
        <v>188.55</v>
      </c>
      <c r="H301" s="14">
        <f t="shared" si="384"/>
        <v>773</v>
      </c>
      <c r="I301" s="285">
        <f t="shared" si="398"/>
        <v>68182.759999999995</v>
      </c>
      <c r="J301" s="285">
        <f t="shared" si="399"/>
        <v>61351.439999999973</v>
      </c>
      <c r="K301" s="285">
        <f t="shared" si="400"/>
        <v>29349.079999999954</v>
      </c>
      <c r="L301" s="425">
        <f t="shared" si="371"/>
        <v>20</v>
      </c>
      <c r="M301" s="425">
        <f t="shared" si="435"/>
        <v>242</v>
      </c>
      <c r="N301" s="285">
        <f t="shared" si="436"/>
        <v>141709.81</v>
      </c>
      <c r="O301" s="285">
        <f t="shared" si="401"/>
        <v>1610.57</v>
      </c>
      <c r="P301" s="285">
        <f t="shared" si="444"/>
        <v>872.49999999999989</v>
      </c>
      <c r="Q301" s="285">
        <f t="shared" si="402"/>
        <v>738.07</v>
      </c>
      <c r="R301" s="285">
        <f t="shared" si="389"/>
        <v>134.16999999999999</v>
      </c>
      <c r="S301" s="285">
        <f t="shared" si="390"/>
        <v>188.55</v>
      </c>
      <c r="T301" s="285">
        <f t="shared" si="387"/>
        <v>1933.29</v>
      </c>
      <c r="U301" s="285">
        <f t="shared" si="445"/>
        <v>120738.68999999994</v>
      </c>
      <c r="V301" s="285">
        <f t="shared" si="446"/>
        <v>270629.81999999995</v>
      </c>
      <c r="W301" s="285">
        <f t="shared" si="403"/>
        <v>140837.31</v>
      </c>
      <c r="X301" s="502">
        <f t="shared" si="437"/>
        <v>52989</v>
      </c>
      <c r="Y301" s="285">
        <f t="shared" si="404"/>
        <v>275290.56000000023</v>
      </c>
      <c r="Z301" s="494">
        <f t="shared" si="429"/>
        <v>6.25E-2</v>
      </c>
      <c r="AA301" s="285">
        <f t="shared" si="430"/>
        <v>1630.04</v>
      </c>
      <c r="AB301" s="285">
        <f t="shared" si="405"/>
        <v>196.23000000000002</v>
      </c>
      <c r="AC301" s="285">
        <f t="shared" si="431"/>
        <v>1433.81</v>
      </c>
      <c r="AD301" s="285">
        <f t="shared" ref="AD301:AE301" si="476">+AD300</f>
        <v>134.16999999999999</v>
      </c>
      <c r="AE301" s="285">
        <f t="shared" si="476"/>
        <v>188.55</v>
      </c>
      <c r="AF301" s="285">
        <f t="shared" si="407"/>
        <v>1952.76</v>
      </c>
      <c r="AG301" s="285">
        <f t="shared" si="408"/>
        <v>56099.069999999963</v>
      </c>
      <c r="AH301" s="285">
        <f t="shared" si="409"/>
        <v>334226.85000000027</v>
      </c>
      <c r="AI301" s="512">
        <f t="shared" si="392"/>
        <v>1042.589999999972</v>
      </c>
      <c r="AJ301" s="512">
        <f t="shared" si="458"/>
        <v>-134257.02000000025</v>
      </c>
      <c r="AK301" s="512">
        <f t="shared" si="393"/>
        <v>-133214.43000000028</v>
      </c>
      <c r="AL301" s="285">
        <f t="shared" si="410"/>
        <v>275094.33000000025</v>
      </c>
      <c r="AM301" s="425">
        <f t="shared" si="439"/>
        <v>20</v>
      </c>
      <c r="AN301" s="14">
        <f t="shared" si="394"/>
        <v>1160.29</v>
      </c>
      <c r="AO301" s="14">
        <f t="shared" ref="AO301:AO364" si="477">IF(W301&lt;=0,0,+$AA$5-$C$2+I301-U301)</f>
        <v>181409.47000000009</v>
      </c>
      <c r="AP301" s="14">
        <f t="shared" si="395"/>
        <v>1179.76</v>
      </c>
      <c r="AS301" s="14">
        <f t="shared" si="433"/>
        <v>1160.29</v>
      </c>
      <c r="AT301" s="14">
        <f t="shared" si="440"/>
        <v>281469.91000000027</v>
      </c>
      <c r="AU301" s="285">
        <f t="shared" si="441"/>
        <v>1335.5832154275604</v>
      </c>
      <c r="AV301" s="285">
        <f t="shared" si="442"/>
        <v>273992.86938645173</v>
      </c>
    </row>
    <row r="302" spans="1:48" ht="15.75" thickBot="1" x14ac:dyDescent="0.3">
      <c r="A302" s="505">
        <f t="shared" si="397"/>
        <v>53019</v>
      </c>
      <c r="B302" s="345">
        <f t="shared" si="434"/>
        <v>29349.079999999954</v>
      </c>
      <c r="C302" s="21">
        <f t="shared" si="427"/>
        <v>450.28</v>
      </c>
      <c r="D302" s="21">
        <f t="shared" si="443"/>
        <v>358.55999999999995</v>
      </c>
      <c r="E302" s="21">
        <f t="shared" si="428"/>
        <v>91.72</v>
      </c>
      <c r="F302" s="21">
        <f t="shared" si="386"/>
        <v>134.16999999999999</v>
      </c>
      <c r="G302" s="21">
        <f t="shared" si="383"/>
        <v>188.55</v>
      </c>
      <c r="H302" s="21">
        <f t="shared" si="384"/>
        <v>773</v>
      </c>
      <c r="I302" s="345">
        <f t="shared" si="398"/>
        <v>68541.319999999992</v>
      </c>
      <c r="J302" s="345">
        <f t="shared" si="399"/>
        <v>61443.159999999974</v>
      </c>
      <c r="K302" s="345">
        <f t="shared" si="400"/>
        <v>28990.519999999953</v>
      </c>
      <c r="L302" s="426">
        <f t="shared" si="371"/>
        <v>20</v>
      </c>
      <c r="M302" s="426">
        <f t="shared" si="435"/>
        <v>243</v>
      </c>
      <c r="N302" s="345">
        <f t="shared" si="436"/>
        <v>140837.31</v>
      </c>
      <c r="O302" s="345">
        <f t="shared" si="401"/>
        <v>1610.57</v>
      </c>
      <c r="P302" s="345">
        <f t="shared" si="444"/>
        <v>877.04</v>
      </c>
      <c r="Q302" s="345">
        <f t="shared" si="402"/>
        <v>733.53</v>
      </c>
      <c r="R302" s="345">
        <f t="shared" si="389"/>
        <v>134.16999999999999</v>
      </c>
      <c r="S302" s="345">
        <f t="shared" si="390"/>
        <v>188.55</v>
      </c>
      <c r="T302" s="345">
        <f t="shared" si="387"/>
        <v>1933.29</v>
      </c>
      <c r="U302" s="345">
        <f t="shared" si="445"/>
        <v>121615.72999999994</v>
      </c>
      <c r="V302" s="345">
        <f t="shared" si="446"/>
        <v>271363.34999999998</v>
      </c>
      <c r="W302" s="345">
        <f t="shared" si="403"/>
        <v>139960.26999999999</v>
      </c>
      <c r="X302" s="505">
        <f t="shared" si="437"/>
        <v>53019</v>
      </c>
      <c r="Y302" s="345">
        <f t="shared" si="404"/>
        <v>275094.33000000025</v>
      </c>
      <c r="Z302" s="495">
        <f t="shared" si="429"/>
        <v>6.25E-2</v>
      </c>
      <c r="AA302" s="345">
        <f t="shared" si="430"/>
        <v>1630.04</v>
      </c>
      <c r="AB302" s="345">
        <f t="shared" si="405"/>
        <v>197.26</v>
      </c>
      <c r="AC302" s="345">
        <f t="shared" si="431"/>
        <v>1432.78</v>
      </c>
      <c r="AD302" s="345">
        <f t="shared" ref="AD302:AE302" si="478">+AD301</f>
        <v>134.16999999999999</v>
      </c>
      <c r="AE302" s="345">
        <f t="shared" si="478"/>
        <v>188.55</v>
      </c>
      <c r="AF302" s="345">
        <f t="shared" si="407"/>
        <v>1952.76</v>
      </c>
      <c r="AG302" s="345">
        <f t="shared" si="408"/>
        <v>56296.329999999965</v>
      </c>
      <c r="AH302" s="345">
        <f t="shared" si="409"/>
        <v>335659.6300000003</v>
      </c>
      <c r="AI302" s="513">
        <f t="shared" si="392"/>
        <v>1023.1199999999719</v>
      </c>
      <c r="AJ302" s="513">
        <f t="shared" si="458"/>
        <v>-134936.80000000025</v>
      </c>
      <c r="AK302" s="512">
        <f t="shared" si="393"/>
        <v>-133913.68000000028</v>
      </c>
      <c r="AL302" s="345">
        <f t="shared" si="410"/>
        <v>274897.07000000024</v>
      </c>
      <c r="AM302" s="426">
        <f t="shared" si="439"/>
        <v>20</v>
      </c>
      <c r="AN302" s="21">
        <f t="shared" si="394"/>
        <v>1160.29</v>
      </c>
      <c r="AO302" s="21">
        <f t="shared" si="477"/>
        <v>180890.99000000011</v>
      </c>
      <c r="AP302" s="21">
        <f t="shared" si="395"/>
        <v>1179.76</v>
      </c>
      <c r="AQ302" s="21"/>
      <c r="AR302" s="23"/>
      <c r="AS302" s="21">
        <f t="shared" si="433"/>
        <v>1160.29</v>
      </c>
      <c r="AT302" s="21">
        <f t="shared" si="440"/>
        <v>282630.20000000024</v>
      </c>
      <c r="AU302" s="345">
        <f t="shared" si="441"/>
        <v>1338.9221734661294</v>
      </c>
      <c r="AV302" s="345">
        <f t="shared" si="442"/>
        <v>275331.79155991785</v>
      </c>
    </row>
    <row r="303" spans="1:48" x14ac:dyDescent="0.25">
      <c r="A303" s="502">
        <f t="shared" si="397"/>
        <v>53049</v>
      </c>
      <c r="B303" s="285">
        <f t="shared" si="434"/>
        <v>28990.519999999953</v>
      </c>
      <c r="C303" s="14">
        <f t="shared" si="427"/>
        <v>450.28</v>
      </c>
      <c r="D303" s="14">
        <f t="shared" si="443"/>
        <v>359.67999999999995</v>
      </c>
      <c r="E303" s="14">
        <f t="shared" si="428"/>
        <v>90.6</v>
      </c>
      <c r="F303" s="14">
        <f t="shared" si="386"/>
        <v>134.16999999999999</v>
      </c>
      <c r="G303" s="14">
        <f t="shared" si="383"/>
        <v>188.55</v>
      </c>
      <c r="H303" s="14">
        <f t="shared" si="384"/>
        <v>773</v>
      </c>
      <c r="I303" s="285">
        <f t="shared" si="398"/>
        <v>68900.999999999985</v>
      </c>
      <c r="J303" s="285">
        <f t="shared" si="399"/>
        <v>61533.759999999973</v>
      </c>
      <c r="K303" s="285">
        <f t="shared" si="400"/>
        <v>28630.839999999953</v>
      </c>
      <c r="L303" s="425">
        <f t="shared" ref="L303:L366" si="479">IF(MOD(M303,12)=0,M303/12,L302)</f>
        <v>20</v>
      </c>
      <c r="M303" s="425">
        <f t="shared" si="435"/>
        <v>244</v>
      </c>
      <c r="N303" s="285">
        <f t="shared" si="436"/>
        <v>139960.26999999999</v>
      </c>
      <c r="O303" s="285">
        <f t="shared" si="401"/>
        <v>1610.57</v>
      </c>
      <c r="P303" s="285">
        <f t="shared" si="444"/>
        <v>881.6099999999999</v>
      </c>
      <c r="Q303" s="285">
        <f t="shared" si="402"/>
        <v>728.96</v>
      </c>
      <c r="R303" s="285">
        <f t="shared" si="389"/>
        <v>134.16999999999999</v>
      </c>
      <c r="S303" s="285">
        <f t="shared" si="390"/>
        <v>188.55</v>
      </c>
      <c r="T303" s="285">
        <f t="shared" si="387"/>
        <v>1933.29</v>
      </c>
      <c r="U303" s="285">
        <f t="shared" si="445"/>
        <v>122497.33999999994</v>
      </c>
      <c r="V303" s="285">
        <f t="shared" si="446"/>
        <v>272092.31</v>
      </c>
      <c r="W303" s="285">
        <f t="shared" si="403"/>
        <v>139078.66</v>
      </c>
      <c r="X303" s="502">
        <f t="shared" si="437"/>
        <v>53049</v>
      </c>
      <c r="Y303" s="285">
        <f t="shared" si="404"/>
        <v>274897.07000000024</v>
      </c>
      <c r="Z303" s="494">
        <f t="shared" si="429"/>
        <v>6.25E-2</v>
      </c>
      <c r="AA303" s="285">
        <f t="shared" si="430"/>
        <v>1630.04</v>
      </c>
      <c r="AB303" s="285">
        <f t="shared" si="405"/>
        <v>198.27999999999997</v>
      </c>
      <c r="AC303" s="285">
        <f t="shared" si="431"/>
        <v>1431.76</v>
      </c>
      <c r="AD303" s="285">
        <f t="shared" ref="AD303:AE303" si="480">+AD302</f>
        <v>134.16999999999999</v>
      </c>
      <c r="AE303" s="285">
        <f t="shared" si="480"/>
        <v>188.55</v>
      </c>
      <c r="AF303" s="285">
        <f t="shared" si="407"/>
        <v>1952.76</v>
      </c>
      <c r="AG303" s="285">
        <f t="shared" si="408"/>
        <v>56494.609999999964</v>
      </c>
      <c r="AH303" s="285">
        <f t="shared" si="409"/>
        <v>337091.39000000031</v>
      </c>
      <c r="AI303" s="512">
        <f t="shared" si="392"/>
        <v>1003.6499999999719</v>
      </c>
      <c r="AJ303" s="512">
        <f t="shared" si="458"/>
        <v>-135620.13000000021</v>
      </c>
      <c r="AK303" s="512">
        <f t="shared" si="393"/>
        <v>-134616.48000000024</v>
      </c>
      <c r="AL303" s="285">
        <f t="shared" si="410"/>
        <v>274698.79000000021</v>
      </c>
      <c r="AM303" s="425">
        <f t="shared" si="439"/>
        <v>20</v>
      </c>
      <c r="AN303" s="14">
        <f t="shared" si="394"/>
        <v>1160.29</v>
      </c>
      <c r="AO303" s="14">
        <f t="shared" si="477"/>
        <v>180369.06000000008</v>
      </c>
      <c r="AP303" s="14">
        <f t="shared" si="395"/>
        <v>1179.76</v>
      </c>
      <c r="AS303" s="14">
        <f t="shared" si="433"/>
        <v>1160.29</v>
      </c>
      <c r="AT303" s="14">
        <f t="shared" si="440"/>
        <v>283790.49000000022</v>
      </c>
      <c r="AU303" s="285">
        <f t="shared" si="441"/>
        <v>1342.2694788997946</v>
      </c>
      <c r="AV303" s="285">
        <f t="shared" si="442"/>
        <v>276674.06103881763</v>
      </c>
    </row>
    <row r="304" spans="1:48" x14ac:dyDescent="0.25">
      <c r="A304" s="502">
        <f t="shared" si="397"/>
        <v>53079</v>
      </c>
      <c r="B304" s="285">
        <f t="shared" si="434"/>
        <v>28630.839999999953</v>
      </c>
      <c r="C304" s="14">
        <f t="shared" si="427"/>
        <v>450.28</v>
      </c>
      <c r="D304" s="14">
        <f t="shared" si="443"/>
        <v>360.80999999999995</v>
      </c>
      <c r="E304" s="14">
        <f t="shared" si="428"/>
        <v>89.47</v>
      </c>
      <c r="F304" s="14">
        <f t="shared" si="386"/>
        <v>134.16999999999999</v>
      </c>
      <c r="G304" s="14">
        <f t="shared" si="383"/>
        <v>188.55</v>
      </c>
      <c r="H304" s="14">
        <f t="shared" si="384"/>
        <v>773</v>
      </c>
      <c r="I304" s="285">
        <f t="shared" si="398"/>
        <v>69261.809999999983</v>
      </c>
      <c r="J304" s="285">
        <f t="shared" si="399"/>
        <v>61623.229999999974</v>
      </c>
      <c r="K304" s="285">
        <f t="shared" si="400"/>
        <v>28270.029999999952</v>
      </c>
      <c r="L304" s="425">
        <f t="shared" si="479"/>
        <v>20</v>
      </c>
      <c r="M304" s="425">
        <f t="shared" si="435"/>
        <v>245</v>
      </c>
      <c r="N304" s="285">
        <f t="shared" si="436"/>
        <v>139078.66</v>
      </c>
      <c r="O304" s="285">
        <f t="shared" si="401"/>
        <v>1610.57</v>
      </c>
      <c r="P304" s="285">
        <f t="shared" si="444"/>
        <v>886.19999999999993</v>
      </c>
      <c r="Q304" s="285">
        <f t="shared" si="402"/>
        <v>724.37</v>
      </c>
      <c r="R304" s="285">
        <f t="shared" si="389"/>
        <v>134.16999999999999</v>
      </c>
      <c r="S304" s="285">
        <f t="shared" si="390"/>
        <v>188.55</v>
      </c>
      <c r="T304" s="285">
        <f t="shared" si="387"/>
        <v>1933.29</v>
      </c>
      <c r="U304" s="285">
        <f t="shared" si="445"/>
        <v>123383.53999999994</v>
      </c>
      <c r="V304" s="285">
        <f t="shared" si="446"/>
        <v>272816.68</v>
      </c>
      <c r="W304" s="285">
        <f t="shared" si="403"/>
        <v>138192.46</v>
      </c>
      <c r="X304" s="502">
        <f t="shared" si="437"/>
        <v>53079</v>
      </c>
      <c r="Y304" s="285">
        <f t="shared" si="404"/>
        <v>274698.79000000021</v>
      </c>
      <c r="Z304" s="494">
        <f t="shared" si="429"/>
        <v>6.25E-2</v>
      </c>
      <c r="AA304" s="285">
        <f t="shared" si="430"/>
        <v>1630.04</v>
      </c>
      <c r="AB304" s="285">
        <f t="shared" si="405"/>
        <v>199.31999999999994</v>
      </c>
      <c r="AC304" s="285">
        <f t="shared" si="431"/>
        <v>1430.72</v>
      </c>
      <c r="AD304" s="285">
        <f t="shared" ref="AD304:AE304" si="481">+AD303</f>
        <v>134.16999999999999</v>
      </c>
      <c r="AE304" s="285">
        <f t="shared" si="481"/>
        <v>188.55</v>
      </c>
      <c r="AF304" s="285">
        <f t="shared" si="407"/>
        <v>1952.76</v>
      </c>
      <c r="AG304" s="285">
        <f t="shared" si="408"/>
        <v>56693.929999999964</v>
      </c>
      <c r="AH304" s="285">
        <f t="shared" si="409"/>
        <v>338522.11000000028</v>
      </c>
      <c r="AI304" s="512">
        <f t="shared" si="392"/>
        <v>984.17999999997187</v>
      </c>
      <c r="AJ304" s="512">
        <f t="shared" si="458"/>
        <v>-136307.01000000021</v>
      </c>
      <c r="AK304" s="512">
        <f t="shared" si="393"/>
        <v>-135322.83000000025</v>
      </c>
      <c r="AL304" s="285">
        <f t="shared" si="410"/>
        <v>274499.4700000002</v>
      </c>
      <c r="AM304" s="425">
        <f t="shared" si="439"/>
        <v>20</v>
      </c>
      <c r="AN304" s="14">
        <f t="shared" si="394"/>
        <v>1160.29</v>
      </c>
      <c r="AO304" s="14">
        <f t="shared" si="477"/>
        <v>179843.6700000001</v>
      </c>
      <c r="AP304" s="14">
        <f t="shared" si="395"/>
        <v>1179.76</v>
      </c>
      <c r="AS304" s="14">
        <f t="shared" si="433"/>
        <v>1160.29</v>
      </c>
      <c r="AT304" s="14">
        <f t="shared" si="440"/>
        <v>284950.7800000002</v>
      </c>
      <c r="AU304" s="285">
        <f t="shared" si="441"/>
        <v>1345.625152597044</v>
      </c>
      <c r="AV304" s="285">
        <f t="shared" si="442"/>
        <v>278019.68619141466</v>
      </c>
    </row>
    <row r="305" spans="1:48" x14ac:dyDescent="0.25">
      <c r="A305" s="502">
        <f t="shared" si="397"/>
        <v>53109</v>
      </c>
      <c r="B305" s="285">
        <f t="shared" si="434"/>
        <v>28270.029999999952</v>
      </c>
      <c r="C305" s="14">
        <f t="shared" si="427"/>
        <v>450.28</v>
      </c>
      <c r="D305" s="14">
        <f t="shared" si="443"/>
        <v>361.93999999999994</v>
      </c>
      <c r="E305" s="14">
        <f t="shared" si="428"/>
        <v>88.34</v>
      </c>
      <c r="F305" s="14">
        <f t="shared" si="386"/>
        <v>134.16999999999999</v>
      </c>
      <c r="G305" s="14">
        <f t="shared" si="383"/>
        <v>188.55</v>
      </c>
      <c r="H305" s="14">
        <f t="shared" si="384"/>
        <v>773</v>
      </c>
      <c r="I305" s="285">
        <f t="shared" si="398"/>
        <v>69623.749999999985</v>
      </c>
      <c r="J305" s="285">
        <f t="shared" si="399"/>
        <v>61711.569999999971</v>
      </c>
      <c r="K305" s="285">
        <f t="shared" si="400"/>
        <v>27908.089999999953</v>
      </c>
      <c r="L305" s="425">
        <f t="shared" si="479"/>
        <v>20</v>
      </c>
      <c r="M305" s="425">
        <f t="shared" si="435"/>
        <v>246</v>
      </c>
      <c r="N305" s="285">
        <f t="shared" si="436"/>
        <v>138192.46</v>
      </c>
      <c r="O305" s="285">
        <f t="shared" si="401"/>
        <v>1610.57</v>
      </c>
      <c r="P305" s="285">
        <f t="shared" si="444"/>
        <v>890.81999999999994</v>
      </c>
      <c r="Q305" s="285">
        <f t="shared" si="402"/>
        <v>719.75</v>
      </c>
      <c r="R305" s="285">
        <f t="shared" si="389"/>
        <v>134.16999999999999</v>
      </c>
      <c r="S305" s="285">
        <f t="shared" si="390"/>
        <v>188.55</v>
      </c>
      <c r="T305" s="285">
        <f t="shared" si="387"/>
        <v>1933.29</v>
      </c>
      <c r="U305" s="285">
        <f t="shared" si="445"/>
        <v>124274.35999999994</v>
      </c>
      <c r="V305" s="285">
        <f t="shared" si="446"/>
        <v>273536.43</v>
      </c>
      <c r="W305" s="285">
        <f t="shared" si="403"/>
        <v>137301.63999999998</v>
      </c>
      <c r="X305" s="502">
        <f t="shared" si="437"/>
        <v>53109</v>
      </c>
      <c r="Y305" s="285">
        <f t="shared" si="404"/>
        <v>274499.4700000002</v>
      </c>
      <c r="Z305" s="494">
        <f t="shared" si="429"/>
        <v>6.25E-2</v>
      </c>
      <c r="AA305" s="285">
        <f t="shared" si="430"/>
        <v>1630.04</v>
      </c>
      <c r="AB305" s="285">
        <f t="shared" si="405"/>
        <v>200.3599999999999</v>
      </c>
      <c r="AC305" s="285">
        <f t="shared" si="431"/>
        <v>1429.68</v>
      </c>
      <c r="AD305" s="285">
        <f t="shared" ref="AD305:AE305" si="482">+AD304</f>
        <v>134.16999999999999</v>
      </c>
      <c r="AE305" s="285">
        <f t="shared" si="482"/>
        <v>188.55</v>
      </c>
      <c r="AF305" s="285">
        <f t="shared" si="407"/>
        <v>1952.76</v>
      </c>
      <c r="AG305" s="285">
        <f t="shared" si="408"/>
        <v>56894.289999999964</v>
      </c>
      <c r="AH305" s="285">
        <f t="shared" si="409"/>
        <v>339951.79000000027</v>
      </c>
      <c r="AI305" s="512">
        <f t="shared" si="392"/>
        <v>964.70999999997184</v>
      </c>
      <c r="AJ305" s="512">
        <f t="shared" si="458"/>
        <v>-136997.47000000023</v>
      </c>
      <c r="AK305" s="512">
        <f t="shared" si="393"/>
        <v>-136032.76000000027</v>
      </c>
      <c r="AL305" s="285">
        <f t="shared" si="410"/>
        <v>274299.11000000022</v>
      </c>
      <c r="AM305" s="425">
        <f t="shared" si="439"/>
        <v>20</v>
      </c>
      <c r="AN305" s="14">
        <f t="shared" si="394"/>
        <v>1160.29</v>
      </c>
      <c r="AO305" s="14">
        <f t="shared" si="477"/>
        <v>179314.7900000001</v>
      </c>
      <c r="AP305" s="14">
        <f t="shared" si="395"/>
        <v>1179.76</v>
      </c>
      <c r="AS305" s="14">
        <f t="shared" si="433"/>
        <v>1160.29</v>
      </c>
      <c r="AT305" s="14">
        <f t="shared" si="440"/>
        <v>286111.07000000018</v>
      </c>
      <c r="AU305" s="285">
        <f t="shared" si="441"/>
        <v>1348.9892154785368</v>
      </c>
      <c r="AV305" s="285">
        <f t="shared" si="442"/>
        <v>279368.67540689319</v>
      </c>
    </row>
    <row r="306" spans="1:48" x14ac:dyDescent="0.25">
      <c r="A306" s="502">
        <f t="shared" si="397"/>
        <v>53139</v>
      </c>
      <c r="B306" s="285">
        <f t="shared" si="434"/>
        <v>27908.089999999953</v>
      </c>
      <c r="C306" s="14">
        <f t="shared" si="427"/>
        <v>450.28</v>
      </c>
      <c r="D306" s="14">
        <f t="shared" si="443"/>
        <v>363.07</v>
      </c>
      <c r="E306" s="14">
        <f t="shared" si="428"/>
        <v>87.21</v>
      </c>
      <c r="F306" s="14">
        <f t="shared" si="386"/>
        <v>134.16999999999999</v>
      </c>
      <c r="G306" s="14">
        <f t="shared" si="383"/>
        <v>188.55</v>
      </c>
      <c r="H306" s="14">
        <f t="shared" si="384"/>
        <v>773</v>
      </c>
      <c r="I306" s="285">
        <f t="shared" si="398"/>
        <v>69986.819999999992</v>
      </c>
      <c r="J306" s="285">
        <f t="shared" si="399"/>
        <v>61798.77999999997</v>
      </c>
      <c r="K306" s="285">
        <f t="shared" si="400"/>
        <v>27545.019999999953</v>
      </c>
      <c r="L306" s="425">
        <f t="shared" si="479"/>
        <v>20</v>
      </c>
      <c r="M306" s="425">
        <f t="shared" si="435"/>
        <v>247</v>
      </c>
      <c r="N306" s="285">
        <f t="shared" si="436"/>
        <v>137301.63999999998</v>
      </c>
      <c r="O306" s="285">
        <f t="shared" si="401"/>
        <v>1610.57</v>
      </c>
      <c r="P306" s="285">
        <f t="shared" si="444"/>
        <v>895.45999999999992</v>
      </c>
      <c r="Q306" s="285">
        <f t="shared" si="402"/>
        <v>715.11</v>
      </c>
      <c r="R306" s="285">
        <f t="shared" si="389"/>
        <v>134.16999999999999</v>
      </c>
      <c r="S306" s="285">
        <f t="shared" si="390"/>
        <v>188.55</v>
      </c>
      <c r="T306" s="285">
        <f t="shared" si="387"/>
        <v>1933.29</v>
      </c>
      <c r="U306" s="285">
        <f t="shared" si="445"/>
        <v>125169.81999999995</v>
      </c>
      <c r="V306" s="285">
        <f t="shared" si="446"/>
        <v>274251.53999999998</v>
      </c>
      <c r="W306" s="285">
        <f t="shared" si="403"/>
        <v>136406.18</v>
      </c>
      <c r="X306" s="502">
        <f t="shared" si="437"/>
        <v>53139</v>
      </c>
      <c r="Y306" s="285">
        <f t="shared" si="404"/>
        <v>274299.11000000022</v>
      </c>
      <c r="Z306" s="494">
        <f t="shared" si="429"/>
        <v>6.25E-2</v>
      </c>
      <c r="AA306" s="285">
        <f t="shared" si="430"/>
        <v>1630.04</v>
      </c>
      <c r="AB306" s="285">
        <f t="shared" si="405"/>
        <v>201.39999999999986</v>
      </c>
      <c r="AC306" s="285">
        <f t="shared" si="431"/>
        <v>1428.64</v>
      </c>
      <c r="AD306" s="285">
        <f t="shared" ref="AD306:AE306" si="483">+AD305</f>
        <v>134.16999999999999</v>
      </c>
      <c r="AE306" s="285">
        <f t="shared" si="483"/>
        <v>188.55</v>
      </c>
      <c r="AF306" s="285">
        <f t="shared" si="407"/>
        <v>1952.76</v>
      </c>
      <c r="AG306" s="285">
        <f t="shared" si="408"/>
        <v>57095.689999999966</v>
      </c>
      <c r="AH306" s="285">
        <f t="shared" si="409"/>
        <v>341380.43000000028</v>
      </c>
      <c r="AI306" s="512">
        <f t="shared" si="392"/>
        <v>945.23999999997181</v>
      </c>
      <c r="AJ306" s="512">
        <f t="shared" si="458"/>
        <v>-137691.5300000002</v>
      </c>
      <c r="AK306" s="512">
        <f t="shared" si="393"/>
        <v>-136746.29000000024</v>
      </c>
      <c r="AL306" s="285">
        <f t="shared" si="410"/>
        <v>274097.7100000002</v>
      </c>
      <c r="AM306" s="425">
        <f t="shared" si="439"/>
        <v>20</v>
      </c>
      <c r="AN306" s="14">
        <f t="shared" si="394"/>
        <v>1160.29</v>
      </c>
      <c r="AO306" s="14">
        <f t="shared" si="477"/>
        <v>178782.40000000008</v>
      </c>
      <c r="AP306" s="14">
        <f t="shared" si="395"/>
        <v>1179.76</v>
      </c>
      <c r="AS306" s="14">
        <f t="shared" si="433"/>
        <v>1160.29</v>
      </c>
      <c r="AT306" s="14">
        <f t="shared" si="440"/>
        <v>287271.36000000016</v>
      </c>
      <c r="AU306" s="285">
        <f t="shared" si="441"/>
        <v>1352.361688517233</v>
      </c>
      <c r="AV306" s="285">
        <f t="shared" si="442"/>
        <v>280721.0370954104</v>
      </c>
    </row>
    <row r="307" spans="1:48" x14ac:dyDescent="0.25">
      <c r="A307" s="502">
        <f t="shared" si="397"/>
        <v>53169</v>
      </c>
      <c r="B307" s="285">
        <f t="shared" si="434"/>
        <v>27545.019999999953</v>
      </c>
      <c r="C307" s="14">
        <f t="shared" si="427"/>
        <v>450.28</v>
      </c>
      <c r="D307" s="14">
        <f t="shared" si="443"/>
        <v>364.2</v>
      </c>
      <c r="E307" s="14">
        <f t="shared" si="428"/>
        <v>86.08</v>
      </c>
      <c r="F307" s="14">
        <f t="shared" si="386"/>
        <v>134.16999999999999</v>
      </c>
      <c r="G307" s="14">
        <f t="shared" si="383"/>
        <v>188.55</v>
      </c>
      <c r="H307" s="14">
        <f t="shared" si="384"/>
        <v>773</v>
      </c>
      <c r="I307" s="285">
        <f t="shared" si="398"/>
        <v>70351.01999999999</v>
      </c>
      <c r="J307" s="285">
        <f t="shared" si="399"/>
        <v>61884.859999999971</v>
      </c>
      <c r="K307" s="285">
        <f t="shared" si="400"/>
        <v>27180.819999999952</v>
      </c>
      <c r="L307" s="425">
        <f t="shared" si="479"/>
        <v>20</v>
      </c>
      <c r="M307" s="425">
        <f t="shared" si="435"/>
        <v>248</v>
      </c>
      <c r="N307" s="285">
        <f t="shared" si="436"/>
        <v>136406.18</v>
      </c>
      <c r="O307" s="285">
        <f t="shared" si="401"/>
        <v>1610.57</v>
      </c>
      <c r="P307" s="285">
        <f t="shared" si="444"/>
        <v>900.11999999999989</v>
      </c>
      <c r="Q307" s="285">
        <f t="shared" si="402"/>
        <v>710.45</v>
      </c>
      <c r="R307" s="285">
        <f t="shared" si="389"/>
        <v>134.16999999999999</v>
      </c>
      <c r="S307" s="285">
        <f t="shared" si="390"/>
        <v>188.55</v>
      </c>
      <c r="T307" s="285">
        <f t="shared" si="387"/>
        <v>1933.29</v>
      </c>
      <c r="U307" s="285">
        <f t="shared" si="445"/>
        <v>126069.93999999994</v>
      </c>
      <c r="V307" s="285">
        <f t="shared" si="446"/>
        <v>274961.99</v>
      </c>
      <c r="W307" s="285">
        <f t="shared" si="403"/>
        <v>135506.06</v>
      </c>
      <c r="X307" s="502">
        <f t="shared" si="437"/>
        <v>53169</v>
      </c>
      <c r="Y307" s="285">
        <f t="shared" si="404"/>
        <v>274097.7100000002</v>
      </c>
      <c r="Z307" s="494">
        <f t="shared" si="429"/>
        <v>6.25E-2</v>
      </c>
      <c r="AA307" s="285">
        <f t="shared" si="430"/>
        <v>1630.04</v>
      </c>
      <c r="AB307" s="285">
        <f t="shared" si="405"/>
        <v>202.45000000000005</v>
      </c>
      <c r="AC307" s="285">
        <f t="shared" si="431"/>
        <v>1427.59</v>
      </c>
      <c r="AD307" s="285">
        <f t="shared" ref="AD307:AE307" si="484">+AD306</f>
        <v>134.16999999999999</v>
      </c>
      <c r="AE307" s="285">
        <f t="shared" si="484"/>
        <v>188.55</v>
      </c>
      <c r="AF307" s="285">
        <f t="shared" si="407"/>
        <v>1952.76</v>
      </c>
      <c r="AG307" s="285">
        <f t="shared" si="408"/>
        <v>57298.139999999963</v>
      </c>
      <c r="AH307" s="285">
        <f t="shared" si="409"/>
        <v>342808.02000000031</v>
      </c>
      <c r="AI307" s="512">
        <f t="shared" si="392"/>
        <v>925.76999999997179</v>
      </c>
      <c r="AJ307" s="512">
        <f t="shared" si="458"/>
        <v>-138389.20000000019</v>
      </c>
      <c r="AK307" s="512">
        <f t="shared" si="393"/>
        <v>-137463.43000000023</v>
      </c>
      <c r="AL307" s="285">
        <f t="shared" si="410"/>
        <v>273895.26000000018</v>
      </c>
      <c r="AM307" s="425">
        <f t="shared" si="439"/>
        <v>20</v>
      </c>
      <c r="AN307" s="14">
        <f t="shared" si="394"/>
        <v>1160.29</v>
      </c>
      <c r="AO307" s="14">
        <f t="shared" si="477"/>
        <v>178246.4800000001</v>
      </c>
      <c r="AP307" s="14">
        <f t="shared" si="395"/>
        <v>1179.76</v>
      </c>
      <c r="AS307" s="14">
        <f t="shared" si="433"/>
        <v>1160.29</v>
      </c>
      <c r="AT307" s="14">
        <f t="shared" si="440"/>
        <v>288431.65000000014</v>
      </c>
      <c r="AU307" s="285">
        <f t="shared" si="441"/>
        <v>1355.7425927385259</v>
      </c>
      <c r="AV307" s="285">
        <f t="shared" si="442"/>
        <v>282076.77968814893</v>
      </c>
    </row>
    <row r="308" spans="1:48" x14ac:dyDescent="0.25">
      <c r="A308" s="502">
        <f t="shared" si="397"/>
        <v>53199</v>
      </c>
      <c r="B308" s="285">
        <f t="shared" si="434"/>
        <v>27180.819999999952</v>
      </c>
      <c r="C308" s="14">
        <f t="shared" si="427"/>
        <v>450.28</v>
      </c>
      <c r="D308" s="14">
        <f t="shared" si="443"/>
        <v>365.34</v>
      </c>
      <c r="E308" s="14">
        <f t="shared" si="428"/>
        <v>84.94</v>
      </c>
      <c r="F308" s="14">
        <f t="shared" si="386"/>
        <v>134.16999999999999</v>
      </c>
      <c r="G308" s="14">
        <f t="shared" si="383"/>
        <v>188.55</v>
      </c>
      <c r="H308" s="14">
        <f t="shared" si="384"/>
        <v>773</v>
      </c>
      <c r="I308" s="285">
        <f t="shared" si="398"/>
        <v>70716.359999999986</v>
      </c>
      <c r="J308" s="285">
        <f t="shared" si="399"/>
        <v>61969.799999999974</v>
      </c>
      <c r="K308" s="285">
        <f t="shared" si="400"/>
        <v>26815.479999999952</v>
      </c>
      <c r="L308" s="425">
        <f t="shared" si="479"/>
        <v>20</v>
      </c>
      <c r="M308" s="425">
        <f t="shared" si="435"/>
        <v>249</v>
      </c>
      <c r="N308" s="285">
        <f t="shared" si="436"/>
        <v>135506.06</v>
      </c>
      <c r="O308" s="285">
        <f t="shared" si="401"/>
        <v>1610.57</v>
      </c>
      <c r="P308" s="285">
        <f t="shared" si="444"/>
        <v>904.81</v>
      </c>
      <c r="Q308" s="285">
        <f t="shared" si="402"/>
        <v>705.76</v>
      </c>
      <c r="R308" s="285">
        <f t="shared" si="389"/>
        <v>134.16999999999999</v>
      </c>
      <c r="S308" s="285">
        <f t="shared" si="390"/>
        <v>188.55</v>
      </c>
      <c r="T308" s="285">
        <f t="shared" si="387"/>
        <v>1933.29</v>
      </c>
      <c r="U308" s="285">
        <f t="shared" si="445"/>
        <v>126974.74999999994</v>
      </c>
      <c r="V308" s="285">
        <f t="shared" si="446"/>
        <v>275667.75</v>
      </c>
      <c r="W308" s="285">
        <f t="shared" si="403"/>
        <v>134601.25</v>
      </c>
      <c r="X308" s="502">
        <f t="shared" si="437"/>
        <v>53199</v>
      </c>
      <c r="Y308" s="285">
        <f t="shared" si="404"/>
        <v>273895.26000000018</v>
      </c>
      <c r="Z308" s="494">
        <f t="shared" si="429"/>
        <v>6.25E-2</v>
      </c>
      <c r="AA308" s="285">
        <f t="shared" si="430"/>
        <v>1630.04</v>
      </c>
      <c r="AB308" s="285">
        <f t="shared" si="405"/>
        <v>203.5</v>
      </c>
      <c r="AC308" s="285">
        <f t="shared" si="431"/>
        <v>1426.54</v>
      </c>
      <c r="AD308" s="285">
        <f t="shared" ref="AD308:AE308" si="485">+AD307</f>
        <v>134.16999999999999</v>
      </c>
      <c r="AE308" s="285">
        <f t="shared" si="485"/>
        <v>188.55</v>
      </c>
      <c r="AF308" s="285">
        <f t="shared" si="407"/>
        <v>1952.76</v>
      </c>
      <c r="AG308" s="285">
        <f t="shared" si="408"/>
        <v>57501.639999999963</v>
      </c>
      <c r="AH308" s="285">
        <f t="shared" si="409"/>
        <v>344234.56000000029</v>
      </c>
      <c r="AI308" s="512">
        <f t="shared" si="392"/>
        <v>906.29999999997176</v>
      </c>
      <c r="AJ308" s="512">
        <f t="shared" si="458"/>
        <v>-139090.51000000018</v>
      </c>
      <c r="AK308" s="512">
        <f t="shared" si="393"/>
        <v>-138184.21000000022</v>
      </c>
      <c r="AL308" s="285">
        <f t="shared" si="410"/>
        <v>273691.76000000018</v>
      </c>
      <c r="AM308" s="425">
        <f t="shared" si="439"/>
        <v>20</v>
      </c>
      <c r="AN308" s="14">
        <f t="shared" si="394"/>
        <v>1160.29</v>
      </c>
      <c r="AO308" s="14">
        <f t="shared" si="477"/>
        <v>177707.01000000007</v>
      </c>
      <c r="AP308" s="14">
        <f t="shared" si="395"/>
        <v>1179.76</v>
      </c>
      <c r="AS308" s="14">
        <f t="shared" si="433"/>
        <v>1160.29</v>
      </c>
      <c r="AT308" s="14">
        <f t="shared" si="440"/>
        <v>289591.94000000012</v>
      </c>
      <c r="AU308" s="285">
        <f t="shared" si="441"/>
        <v>1359.1319492203725</v>
      </c>
      <c r="AV308" s="285">
        <f t="shared" si="442"/>
        <v>283435.91163736931</v>
      </c>
    </row>
    <row r="309" spans="1:48" x14ac:dyDescent="0.25">
      <c r="A309" s="502">
        <f t="shared" si="397"/>
        <v>53229</v>
      </c>
      <c r="B309" s="285">
        <f t="shared" si="434"/>
        <v>26815.479999999952</v>
      </c>
      <c r="C309" s="14">
        <f t="shared" si="427"/>
        <v>450.28</v>
      </c>
      <c r="D309" s="14">
        <f t="shared" si="443"/>
        <v>366.47999999999996</v>
      </c>
      <c r="E309" s="14">
        <f t="shared" si="428"/>
        <v>83.8</v>
      </c>
      <c r="F309" s="14">
        <f t="shared" si="386"/>
        <v>134.16999999999999</v>
      </c>
      <c r="G309" s="14">
        <f t="shared" si="383"/>
        <v>188.55</v>
      </c>
      <c r="H309" s="14">
        <f t="shared" si="384"/>
        <v>773</v>
      </c>
      <c r="I309" s="285">
        <f t="shared" si="398"/>
        <v>71082.839999999982</v>
      </c>
      <c r="J309" s="285">
        <f t="shared" si="399"/>
        <v>62053.599999999977</v>
      </c>
      <c r="K309" s="285">
        <f t="shared" si="400"/>
        <v>26448.999999999953</v>
      </c>
      <c r="L309" s="425">
        <f t="shared" si="479"/>
        <v>20</v>
      </c>
      <c r="M309" s="425">
        <f t="shared" si="435"/>
        <v>250</v>
      </c>
      <c r="N309" s="285">
        <f t="shared" si="436"/>
        <v>134601.25</v>
      </c>
      <c r="O309" s="285">
        <f t="shared" si="401"/>
        <v>1610.57</v>
      </c>
      <c r="P309" s="285">
        <f t="shared" si="444"/>
        <v>909.52</v>
      </c>
      <c r="Q309" s="285">
        <f t="shared" si="402"/>
        <v>701.05</v>
      </c>
      <c r="R309" s="285">
        <f t="shared" si="389"/>
        <v>134.16999999999999</v>
      </c>
      <c r="S309" s="285">
        <f t="shared" si="390"/>
        <v>188.55</v>
      </c>
      <c r="T309" s="285">
        <f t="shared" si="387"/>
        <v>1933.29</v>
      </c>
      <c r="U309" s="285">
        <f t="shared" si="445"/>
        <v>127884.26999999995</v>
      </c>
      <c r="V309" s="285">
        <f t="shared" si="446"/>
        <v>276368.8</v>
      </c>
      <c r="W309" s="285">
        <f t="shared" si="403"/>
        <v>133691.73000000001</v>
      </c>
      <c r="X309" s="502">
        <f t="shared" si="437"/>
        <v>53229</v>
      </c>
      <c r="Y309" s="285">
        <f t="shared" si="404"/>
        <v>273691.76000000018</v>
      </c>
      <c r="Z309" s="494">
        <f t="shared" si="429"/>
        <v>6.25E-2</v>
      </c>
      <c r="AA309" s="285">
        <f t="shared" si="430"/>
        <v>1630.04</v>
      </c>
      <c r="AB309" s="285">
        <f t="shared" si="405"/>
        <v>204.55999999999995</v>
      </c>
      <c r="AC309" s="285">
        <f t="shared" si="431"/>
        <v>1425.48</v>
      </c>
      <c r="AD309" s="285">
        <f t="shared" ref="AD309:AE309" si="486">+AD308</f>
        <v>134.16999999999999</v>
      </c>
      <c r="AE309" s="285">
        <f t="shared" si="486"/>
        <v>188.55</v>
      </c>
      <c r="AF309" s="285">
        <f t="shared" si="407"/>
        <v>1952.76</v>
      </c>
      <c r="AG309" s="285">
        <f t="shared" si="408"/>
        <v>57706.199999999961</v>
      </c>
      <c r="AH309" s="285">
        <f t="shared" si="409"/>
        <v>345660.04000000027</v>
      </c>
      <c r="AI309" s="512">
        <f t="shared" si="392"/>
        <v>886.82999999997173</v>
      </c>
      <c r="AJ309" s="512">
        <f t="shared" si="458"/>
        <v>-139795.47000000018</v>
      </c>
      <c r="AK309" s="512">
        <f t="shared" si="393"/>
        <v>-138908.64000000022</v>
      </c>
      <c r="AL309" s="285">
        <f t="shared" si="410"/>
        <v>273487.20000000019</v>
      </c>
      <c r="AM309" s="425">
        <f t="shared" si="439"/>
        <v>20</v>
      </c>
      <c r="AN309" s="14">
        <f t="shared" si="394"/>
        <v>1160.29</v>
      </c>
      <c r="AO309" s="14">
        <f t="shared" si="477"/>
        <v>177163.97000000003</v>
      </c>
      <c r="AP309" s="14">
        <f t="shared" si="395"/>
        <v>1179.76</v>
      </c>
      <c r="AS309" s="14">
        <f t="shared" si="433"/>
        <v>1160.29</v>
      </c>
      <c r="AT309" s="14">
        <f t="shared" si="440"/>
        <v>290752.2300000001</v>
      </c>
      <c r="AU309" s="285">
        <f t="shared" si="441"/>
        <v>1362.5297790934233</v>
      </c>
      <c r="AV309" s="285">
        <f t="shared" si="442"/>
        <v>284798.44141646271</v>
      </c>
    </row>
    <row r="310" spans="1:48" x14ac:dyDescent="0.25">
      <c r="A310" s="502">
        <f t="shared" si="397"/>
        <v>53259</v>
      </c>
      <c r="B310" s="285">
        <f t="shared" si="434"/>
        <v>26448.999999999953</v>
      </c>
      <c r="C310" s="14">
        <f t="shared" si="427"/>
        <v>450.28</v>
      </c>
      <c r="D310" s="14">
        <f t="shared" si="443"/>
        <v>367.63</v>
      </c>
      <c r="E310" s="14">
        <f t="shared" si="428"/>
        <v>82.65</v>
      </c>
      <c r="F310" s="14">
        <f t="shared" si="386"/>
        <v>134.16999999999999</v>
      </c>
      <c r="G310" s="14">
        <f t="shared" si="383"/>
        <v>188.55</v>
      </c>
      <c r="H310" s="14">
        <f t="shared" si="384"/>
        <v>773</v>
      </c>
      <c r="I310" s="285">
        <f t="shared" si="398"/>
        <v>71450.469999999987</v>
      </c>
      <c r="J310" s="285">
        <f t="shared" si="399"/>
        <v>62136.249999999978</v>
      </c>
      <c r="K310" s="285">
        <f t="shared" si="400"/>
        <v>26081.369999999952</v>
      </c>
      <c r="L310" s="425">
        <f t="shared" si="479"/>
        <v>20</v>
      </c>
      <c r="M310" s="425">
        <f t="shared" si="435"/>
        <v>251</v>
      </c>
      <c r="N310" s="285">
        <f t="shared" si="436"/>
        <v>133691.73000000001</v>
      </c>
      <c r="O310" s="285">
        <f t="shared" si="401"/>
        <v>1610.57</v>
      </c>
      <c r="P310" s="285">
        <f t="shared" si="444"/>
        <v>914.26</v>
      </c>
      <c r="Q310" s="285">
        <f t="shared" si="402"/>
        <v>696.31</v>
      </c>
      <c r="R310" s="285">
        <f t="shared" si="389"/>
        <v>134.16999999999999</v>
      </c>
      <c r="S310" s="285">
        <f t="shared" si="390"/>
        <v>188.55</v>
      </c>
      <c r="T310" s="285">
        <f t="shared" si="387"/>
        <v>1933.29</v>
      </c>
      <c r="U310" s="285">
        <f t="shared" si="445"/>
        <v>128798.52999999994</v>
      </c>
      <c r="V310" s="285">
        <f t="shared" si="446"/>
        <v>277065.11</v>
      </c>
      <c r="W310" s="285">
        <f t="shared" si="403"/>
        <v>132777.47</v>
      </c>
      <c r="X310" s="502">
        <f t="shared" si="437"/>
        <v>53259</v>
      </c>
      <c r="Y310" s="285">
        <f t="shared" si="404"/>
        <v>273487.20000000019</v>
      </c>
      <c r="Z310" s="494">
        <f t="shared" si="429"/>
        <v>6.25E-2</v>
      </c>
      <c r="AA310" s="285">
        <f t="shared" si="430"/>
        <v>1630.04</v>
      </c>
      <c r="AB310" s="285">
        <f t="shared" si="405"/>
        <v>205.62999999999988</v>
      </c>
      <c r="AC310" s="285">
        <f t="shared" si="431"/>
        <v>1424.41</v>
      </c>
      <c r="AD310" s="285">
        <f t="shared" ref="AD310:AE310" si="487">+AD309</f>
        <v>134.16999999999999</v>
      </c>
      <c r="AE310" s="285">
        <f t="shared" si="487"/>
        <v>188.55</v>
      </c>
      <c r="AF310" s="285">
        <f t="shared" si="407"/>
        <v>1952.76</v>
      </c>
      <c r="AG310" s="285">
        <f t="shared" si="408"/>
        <v>57911.829999999958</v>
      </c>
      <c r="AH310" s="285">
        <f t="shared" si="409"/>
        <v>347084.45000000024</v>
      </c>
      <c r="AI310" s="512">
        <f t="shared" si="392"/>
        <v>867.35999999997171</v>
      </c>
      <c r="AJ310" s="512">
        <f t="shared" si="458"/>
        <v>-140504.10000000018</v>
      </c>
      <c r="AK310" s="512">
        <f t="shared" si="393"/>
        <v>-139636.74000000019</v>
      </c>
      <c r="AL310" s="285">
        <f t="shared" si="410"/>
        <v>273281.57000000018</v>
      </c>
      <c r="AM310" s="425">
        <f t="shared" si="439"/>
        <v>20</v>
      </c>
      <c r="AN310" s="14">
        <f t="shared" si="394"/>
        <v>1160.29</v>
      </c>
      <c r="AO310" s="14">
        <f t="shared" si="477"/>
        <v>176617.34000000005</v>
      </c>
      <c r="AP310" s="14">
        <f t="shared" si="395"/>
        <v>1179.76</v>
      </c>
      <c r="AS310" s="14">
        <f t="shared" si="433"/>
        <v>1160.29</v>
      </c>
      <c r="AT310" s="14">
        <f t="shared" si="440"/>
        <v>291912.52000000008</v>
      </c>
      <c r="AU310" s="285">
        <f t="shared" si="441"/>
        <v>1365.9361035411566</v>
      </c>
      <c r="AV310" s="285">
        <f t="shared" si="442"/>
        <v>286164.37752000388</v>
      </c>
    </row>
    <row r="311" spans="1:48" x14ac:dyDescent="0.25">
      <c r="A311" s="502">
        <f t="shared" si="397"/>
        <v>53289</v>
      </c>
      <c r="B311" s="285">
        <f t="shared" si="434"/>
        <v>26081.369999999952</v>
      </c>
      <c r="C311" s="14">
        <f t="shared" si="427"/>
        <v>450.28</v>
      </c>
      <c r="D311" s="14">
        <f t="shared" si="443"/>
        <v>368.78</v>
      </c>
      <c r="E311" s="14">
        <f t="shared" si="428"/>
        <v>81.5</v>
      </c>
      <c r="F311" s="14">
        <f t="shared" si="386"/>
        <v>134.16999999999999</v>
      </c>
      <c r="G311" s="14">
        <f t="shared" si="383"/>
        <v>188.55</v>
      </c>
      <c r="H311" s="14">
        <f t="shared" si="384"/>
        <v>773</v>
      </c>
      <c r="I311" s="285">
        <f t="shared" si="398"/>
        <v>71819.249999999985</v>
      </c>
      <c r="J311" s="285">
        <f t="shared" si="399"/>
        <v>62217.749999999978</v>
      </c>
      <c r="K311" s="285">
        <f t="shared" si="400"/>
        <v>25712.589999999953</v>
      </c>
      <c r="L311" s="425">
        <f t="shared" si="479"/>
        <v>21</v>
      </c>
      <c r="M311" s="425">
        <f t="shared" si="435"/>
        <v>252</v>
      </c>
      <c r="N311" s="285">
        <f t="shared" si="436"/>
        <v>132777.47</v>
      </c>
      <c r="O311" s="285">
        <f t="shared" si="401"/>
        <v>1610.57</v>
      </c>
      <c r="P311" s="285">
        <f t="shared" si="444"/>
        <v>919.02</v>
      </c>
      <c r="Q311" s="285">
        <f t="shared" si="402"/>
        <v>691.55</v>
      </c>
      <c r="R311" s="285">
        <f t="shared" si="389"/>
        <v>134.16999999999999</v>
      </c>
      <c r="S311" s="285">
        <f t="shared" si="390"/>
        <v>188.55</v>
      </c>
      <c r="T311" s="285">
        <f t="shared" si="387"/>
        <v>1933.29</v>
      </c>
      <c r="U311" s="285">
        <f t="shared" si="445"/>
        <v>129717.54999999994</v>
      </c>
      <c r="V311" s="285">
        <f t="shared" si="446"/>
        <v>277756.65999999997</v>
      </c>
      <c r="W311" s="285">
        <f t="shared" si="403"/>
        <v>131858.45000000001</v>
      </c>
      <c r="X311" s="502">
        <f t="shared" si="437"/>
        <v>53289</v>
      </c>
      <c r="Y311" s="285">
        <f t="shared" si="404"/>
        <v>273281.57000000018</v>
      </c>
      <c r="Z311" s="494">
        <f t="shared" si="429"/>
        <v>6.25E-2</v>
      </c>
      <c r="AA311" s="285">
        <f t="shared" si="430"/>
        <v>1630.04</v>
      </c>
      <c r="AB311" s="285">
        <f t="shared" si="405"/>
        <v>206.70000000000005</v>
      </c>
      <c r="AC311" s="285">
        <f t="shared" si="431"/>
        <v>1423.34</v>
      </c>
      <c r="AD311" s="285">
        <f t="shared" ref="AD311:AE311" si="488">+AD310</f>
        <v>134.16999999999999</v>
      </c>
      <c r="AE311" s="285">
        <f t="shared" si="488"/>
        <v>188.55</v>
      </c>
      <c r="AF311" s="285">
        <f t="shared" si="407"/>
        <v>1952.76</v>
      </c>
      <c r="AG311" s="285">
        <f t="shared" si="408"/>
        <v>58118.529999999955</v>
      </c>
      <c r="AH311" s="285">
        <f t="shared" si="409"/>
        <v>348507.79000000027</v>
      </c>
      <c r="AI311" s="512">
        <f t="shared" si="392"/>
        <v>847.88999999997168</v>
      </c>
      <c r="AJ311" s="512">
        <f t="shared" si="458"/>
        <v>-141216.42000000016</v>
      </c>
      <c r="AK311" s="512">
        <f t="shared" si="393"/>
        <v>-140368.53000000017</v>
      </c>
      <c r="AL311" s="285">
        <f t="shared" si="410"/>
        <v>273074.87000000017</v>
      </c>
      <c r="AM311" s="425">
        <f t="shared" si="439"/>
        <v>21</v>
      </c>
      <c r="AN311" s="14">
        <f t="shared" si="394"/>
        <v>1160.29</v>
      </c>
      <c r="AO311" s="14">
        <f t="shared" si="477"/>
        <v>176067.10000000009</v>
      </c>
      <c r="AP311" s="14">
        <f t="shared" si="395"/>
        <v>1179.76</v>
      </c>
      <c r="AS311" s="14">
        <f t="shared" si="433"/>
        <v>1160.29</v>
      </c>
      <c r="AT311" s="14">
        <f t="shared" si="440"/>
        <v>293072.81000000006</v>
      </c>
      <c r="AU311" s="285">
        <f t="shared" si="441"/>
        <v>1369.3509438000094</v>
      </c>
      <c r="AV311" s="285">
        <f t="shared" si="442"/>
        <v>287533.72846380388</v>
      </c>
    </row>
    <row r="312" spans="1:48" x14ac:dyDescent="0.25">
      <c r="A312" s="502">
        <f t="shared" si="397"/>
        <v>53319</v>
      </c>
      <c r="B312" s="285">
        <f t="shared" si="434"/>
        <v>25712.589999999953</v>
      </c>
      <c r="C312" s="14">
        <f t="shared" si="427"/>
        <v>450.28</v>
      </c>
      <c r="D312" s="14">
        <f t="shared" si="443"/>
        <v>369.92999999999995</v>
      </c>
      <c r="E312" s="14">
        <f t="shared" si="428"/>
        <v>80.349999999999994</v>
      </c>
      <c r="F312" s="14">
        <f t="shared" si="386"/>
        <v>134.16999999999999</v>
      </c>
      <c r="G312" s="14">
        <f t="shared" si="383"/>
        <v>188.55</v>
      </c>
      <c r="H312" s="14">
        <f t="shared" si="384"/>
        <v>773</v>
      </c>
      <c r="I312" s="285">
        <f t="shared" si="398"/>
        <v>72189.179999999978</v>
      </c>
      <c r="J312" s="285">
        <f t="shared" si="399"/>
        <v>62298.099999999977</v>
      </c>
      <c r="K312" s="285">
        <f t="shared" si="400"/>
        <v>25342.659999999953</v>
      </c>
      <c r="L312" s="425">
        <f t="shared" si="479"/>
        <v>21</v>
      </c>
      <c r="M312" s="425">
        <f t="shared" si="435"/>
        <v>253</v>
      </c>
      <c r="N312" s="285">
        <f t="shared" si="436"/>
        <v>131858.45000000001</v>
      </c>
      <c r="O312" s="285">
        <f t="shared" si="401"/>
        <v>1610.57</v>
      </c>
      <c r="P312" s="285">
        <f t="shared" si="444"/>
        <v>923.81</v>
      </c>
      <c r="Q312" s="285">
        <f t="shared" si="402"/>
        <v>686.76</v>
      </c>
      <c r="R312" s="285">
        <f t="shared" si="389"/>
        <v>134.16999999999999</v>
      </c>
      <c r="S312" s="285">
        <f t="shared" si="390"/>
        <v>188.55</v>
      </c>
      <c r="T312" s="285">
        <f t="shared" si="387"/>
        <v>1933.29</v>
      </c>
      <c r="U312" s="285">
        <f t="shared" si="445"/>
        <v>130641.35999999994</v>
      </c>
      <c r="V312" s="285">
        <f t="shared" si="446"/>
        <v>278443.42</v>
      </c>
      <c r="W312" s="285">
        <f t="shared" si="403"/>
        <v>130934.64000000001</v>
      </c>
      <c r="X312" s="502">
        <f t="shared" si="437"/>
        <v>53319</v>
      </c>
      <c r="Y312" s="285">
        <f t="shared" si="404"/>
        <v>273074.87000000017</v>
      </c>
      <c r="Z312" s="494">
        <f t="shared" si="429"/>
        <v>6.25E-2</v>
      </c>
      <c r="AA312" s="285">
        <f t="shared" si="430"/>
        <v>1630.04</v>
      </c>
      <c r="AB312" s="285">
        <f t="shared" si="405"/>
        <v>207.77999999999997</v>
      </c>
      <c r="AC312" s="285">
        <f t="shared" si="431"/>
        <v>1422.26</v>
      </c>
      <c r="AD312" s="285">
        <f t="shared" ref="AD312:AE312" si="489">+AD311</f>
        <v>134.16999999999999</v>
      </c>
      <c r="AE312" s="285">
        <f t="shared" si="489"/>
        <v>188.55</v>
      </c>
      <c r="AF312" s="285">
        <f t="shared" si="407"/>
        <v>1952.76</v>
      </c>
      <c r="AG312" s="285">
        <f t="shared" si="408"/>
        <v>58326.309999999954</v>
      </c>
      <c r="AH312" s="285">
        <f t="shared" si="409"/>
        <v>349930.05000000028</v>
      </c>
      <c r="AI312" s="512">
        <f t="shared" si="392"/>
        <v>828.41999999997165</v>
      </c>
      <c r="AJ312" s="512">
        <f t="shared" si="458"/>
        <v>-141932.45000000013</v>
      </c>
      <c r="AK312" s="512">
        <f t="shared" si="393"/>
        <v>-141104.03000000014</v>
      </c>
      <c r="AL312" s="285">
        <f t="shared" si="410"/>
        <v>272867.09000000014</v>
      </c>
      <c r="AM312" s="425">
        <f t="shared" si="439"/>
        <v>21</v>
      </c>
      <c r="AN312" s="14">
        <f t="shared" si="394"/>
        <v>1160.29</v>
      </c>
      <c r="AO312" s="14">
        <f t="shared" si="477"/>
        <v>175513.22000000009</v>
      </c>
      <c r="AP312" s="14">
        <f t="shared" si="395"/>
        <v>1179.76</v>
      </c>
      <c r="AS312" s="14">
        <f t="shared" si="433"/>
        <v>1160.29</v>
      </c>
      <c r="AT312" s="14">
        <f t="shared" si="440"/>
        <v>294233.10000000003</v>
      </c>
      <c r="AU312" s="285">
        <f t="shared" si="441"/>
        <v>1372.7743211595098</v>
      </c>
      <c r="AV312" s="285">
        <f t="shared" si="442"/>
        <v>288906.50278496341</v>
      </c>
    </row>
    <row r="313" spans="1:48" x14ac:dyDescent="0.25">
      <c r="A313" s="502">
        <f t="shared" si="397"/>
        <v>53349</v>
      </c>
      <c r="B313" s="285">
        <f t="shared" si="434"/>
        <v>25342.659999999953</v>
      </c>
      <c r="C313" s="14">
        <f t="shared" si="427"/>
        <v>450.28</v>
      </c>
      <c r="D313" s="14">
        <f t="shared" si="443"/>
        <v>371.08</v>
      </c>
      <c r="E313" s="14">
        <f t="shared" si="428"/>
        <v>79.2</v>
      </c>
      <c r="F313" s="14">
        <f t="shared" si="386"/>
        <v>134.16999999999999</v>
      </c>
      <c r="G313" s="14">
        <f t="shared" si="383"/>
        <v>188.55</v>
      </c>
      <c r="H313" s="14">
        <f t="shared" si="384"/>
        <v>773</v>
      </c>
      <c r="I313" s="285">
        <f t="shared" si="398"/>
        <v>72560.25999999998</v>
      </c>
      <c r="J313" s="285">
        <f t="shared" si="399"/>
        <v>62377.299999999974</v>
      </c>
      <c r="K313" s="285">
        <f t="shared" si="400"/>
        <v>24971.579999999951</v>
      </c>
      <c r="L313" s="425">
        <f t="shared" si="479"/>
        <v>21</v>
      </c>
      <c r="M313" s="425">
        <f t="shared" si="435"/>
        <v>254</v>
      </c>
      <c r="N313" s="285">
        <f t="shared" si="436"/>
        <v>130934.64000000001</v>
      </c>
      <c r="O313" s="285">
        <f t="shared" si="401"/>
        <v>1610.57</v>
      </c>
      <c r="P313" s="285">
        <f t="shared" si="444"/>
        <v>928.61999999999989</v>
      </c>
      <c r="Q313" s="285">
        <f t="shared" si="402"/>
        <v>681.95</v>
      </c>
      <c r="R313" s="285">
        <f t="shared" si="389"/>
        <v>134.16999999999999</v>
      </c>
      <c r="S313" s="285">
        <f t="shared" si="390"/>
        <v>188.55</v>
      </c>
      <c r="T313" s="285">
        <f t="shared" si="387"/>
        <v>1933.29</v>
      </c>
      <c r="U313" s="285">
        <f t="shared" si="445"/>
        <v>131569.97999999995</v>
      </c>
      <c r="V313" s="285">
        <f t="shared" si="446"/>
        <v>279125.37</v>
      </c>
      <c r="W313" s="285">
        <f t="shared" si="403"/>
        <v>130006.02000000002</v>
      </c>
      <c r="X313" s="502">
        <f t="shared" si="437"/>
        <v>53349</v>
      </c>
      <c r="Y313" s="285">
        <f t="shared" si="404"/>
        <v>272867.09000000014</v>
      </c>
      <c r="Z313" s="494">
        <f t="shared" si="429"/>
        <v>6.25E-2</v>
      </c>
      <c r="AA313" s="285">
        <f t="shared" si="430"/>
        <v>1630.04</v>
      </c>
      <c r="AB313" s="285">
        <f t="shared" si="405"/>
        <v>208.8599999999999</v>
      </c>
      <c r="AC313" s="285">
        <f t="shared" si="431"/>
        <v>1421.18</v>
      </c>
      <c r="AD313" s="285">
        <f t="shared" ref="AD313:AE313" si="490">+AD312</f>
        <v>134.16999999999999</v>
      </c>
      <c r="AE313" s="285">
        <f t="shared" si="490"/>
        <v>188.55</v>
      </c>
      <c r="AF313" s="285">
        <f t="shared" si="407"/>
        <v>1952.76</v>
      </c>
      <c r="AG313" s="285">
        <f t="shared" si="408"/>
        <v>58535.169999999955</v>
      </c>
      <c r="AH313" s="285">
        <f t="shared" si="409"/>
        <v>351351.23000000027</v>
      </c>
      <c r="AI313" s="512">
        <f t="shared" si="392"/>
        <v>808.94999999997162</v>
      </c>
      <c r="AJ313" s="512">
        <f t="shared" si="458"/>
        <v>-142652.21000000014</v>
      </c>
      <c r="AK313" s="512">
        <f t="shared" si="393"/>
        <v>-141843.26000000015</v>
      </c>
      <c r="AL313" s="285">
        <f t="shared" si="410"/>
        <v>272658.23000000016</v>
      </c>
      <c r="AM313" s="425">
        <f t="shared" si="439"/>
        <v>21</v>
      </c>
      <c r="AN313" s="14">
        <f t="shared" si="394"/>
        <v>1160.29</v>
      </c>
      <c r="AO313" s="14">
        <f t="shared" si="477"/>
        <v>174955.68000000008</v>
      </c>
      <c r="AP313" s="14">
        <f t="shared" si="395"/>
        <v>1179.76</v>
      </c>
      <c r="AS313" s="14">
        <f t="shared" si="433"/>
        <v>1160.29</v>
      </c>
      <c r="AT313" s="14">
        <f t="shared" si="440"/>
        <v>295393.39</v>
      </c>
      <c r="AU313" s="285">
        <f t="shared" si="441"/>
        <v>1376.2062569624086</v>
      </c>
      <c r="AV313" s="285">
        <f t="shared" si="442"/>
        <v>290282.70904192579</v>
      </c>
    </row>
    <row r="314" spans="1:48" ht="15.75" thickBot="1" x14ac:dyDescent="0.3">
      <c r="A314" s="505">
        <f t="shared" si="397"/>
        <v>53379</v>
      </c>
      <c r="B314" s="345">
        <f t="shared" si="434"/>
        <v>24971.579999999951</v>
      </c>
      <c r="C314" s="21">
        <f t="shared" si="427"/>
        <v>450.28</v>
      </c>
      <c r="D314" s="21">
        <f t="shared" si="443"/>
        <v>372.23999999999995</v>
      </c>
      <c r="E314" s="21">
        <f t="shared" si="428"/>
        <v>78.040000000000006</v>
      </c>
      <c r="F314" s="21">
        <f t="shared" si="386"/>
        <v>134.16999999999999</v>
      </c>
      <c r="G314" s="21">
        <f t="shared" ref="G314:G377" si="491">+G313</f>
        <v>188.55</v>
      </c>
      <c r="H314" s="21">
        <f t="shared" ref="H314:H377" si="492">SUM(D314:G314)</f>
        <v>773</v>
      </c>
      <c r="I314" s="345">
        <f t="shared" si="398"/>
        <v>72932.499999999985</v>
      </c>
      <c r="J314" s="345">
        <f t="shared" si="399"/>
        <v>62455.339999999975</v>
      </c>
      <c r="K314" s="345">
        <f t="shared" si="400"/>
        <v>24599.339999999949</v>
      </c>
      <c r="L314" s="426">
        <f t="shared" si="479"/>
        <v>21</v>
      </c>
      <c r="M314" s="426">
        <f t="shared" si="435"/>
        <v>255</v>
      </c>
      <c r="N314" s="345">
        <f t="shared" si="436"/>
        <v>130006.02000000002</v>
      </c>
      <c r="O314" s="345">
        <f t="shared" si="401"/>
        <v>1610.57</v>
      </c>
      <c r="P314" s="345">
        <f t="shared" si="444"/>
        <v>933.45999999999992</v>
      </c>
      <c r="Q314" s="345">
        <f t="shared" si="402"/>
        <v>677.11</v>
      </c>
      <c r="R314" s="345">
        <f t="shared" si="389"/>
        <v>134.16999999999999</v>
      </c>
      <c r="S314" s="345">
        <f t="shared" si="390"/>
        <v>188.55</v>
      </c>
      <c r="T314" s="345">
        <f t="shared" si="387"/>
        <v>1933.29</v>
      </c>
      <c r="U314" s="345">
        <f t="shared" si="445"/>
        <v>132503.43999999994</v>
      </c>
      <c r="V314" s="345">
        <f t="shared" si="446"/>
        <v>279802.48</v>
      </c>
      <c r="W314" s="345">
        <f t="shared" si="403"/>
        <v>129072.56000000001</v>
      </c>
      <c r="X314" s="505">
        <f t="shared" si="437"/>
        <v>53379</v>
      </c>
      <c r="Y314" s="345">
        <f t="shared" si="404"/>
        <v>272658.23000000016</v>
      </c>
      <c r="Z314" s="495">
        <f t="shared" si="429"/>
        <v>6.25E-2</v>
      </c>
      <c r="AA314" s="345">
        <f t="shared" si="430"/>
        <v>1630.04</v>
      </c>
      <c r="AB314" s="345">
        <f t="shared" si="405"/>
        <v>209.95000000000005</v>
      </c>
      <c r="AC314" s="345">
        <f t="shared" si="431"/>
        <v>1420.09</v>
      </c>
      <c r="AD314" s="345">
        <f t="shared" ref="AD314:AE314" si="493">+AD313</f>
        <v>134.16999999999999</v>
      </c>
      <c r="AE314" s="345">
        <f t="shared" si="493"/>
        <v>188.55</v>
      </c>
      <c r="AF314" s="345">
        <f t="shared" si="407"/>
        <v>1952.76</v>
      </c>
      <c r="AG314" s="345">
        <f t="shared" si="408"/>
        <v>58745.119999999952</v>
      </c>
      <c r="AH314" s="345">
        <f t="shared" si="409"/>
        <v>352771.3200000003</v>
      </c>
      <c r="AI314" s="513">
        <f t="shared" si="392"/>
        <v>789.4799999999716</v>
      </c>
      <c r="AJ314" s="513">
        <f t="shared" si="458"/>
        <v>-143375.72000000015</v>
      </c>
      <c r="AK314" s="512">
        <f t="shared" si="393"/>
        <v>-142586.24000000017</v>
      </c>
      <c r="AL314" s="345">
        <f t="shared" si="410"/>
        <v>272448.28000000014</v>
      </c>
      <c r="AM314" s="426">
        <f t="shared" si="439"/>
        <v>21</v>
      </c>
      <c r="AN314" s="21">
        <f t="shared" si="394"/>
        <v>1160.29</v>
      </c>
      <c r="AO314" s="21">
        <f t="shared" si="477"/>
        <v>174394.46000000008</v>
      </c>
      <c r="AP314" s="21">
        <f t="shared" si="395"/>
        <v>1179.76</v>
      </c>
      <c r="AQ314" s="21"/>
      <c r="AR314" s="23"/>
      <c r="AS314" s="21">
        <f t="shared" si="433"/>
        <v>1160.29</v>
      </c>
      <c r="AT314" s="21">
        <f t="shared" si="440"/>
        <v>296553.68</v>
      </c>
      <c r="AU314" s="345">
        <f t="shared" si="441"/>
        <v>1379.6467726048147</v>
      </c>
      <c r="AV314" s="345">
        <f t="shared" si="442"/>
        <v>291662.35581453063</v>
      </c>
    </row>
    <row r="315" spans="1:48" x14ac:dyDescent="0.25">
      <c r="A315" s="502">
        <f t="shared" ref="A315:A378" si="494">IF(K315&lt;=0," ",+A314+30)</f>
        <v>53409</v>
      </c>
      <c r="B315" s="285">
        <f t="shared" si="434"/>
        <v>24599.339999999949</v>
      </c>
      <c r="C315" s="14">
        <f t="shared" si="427"/>
        <v>450.28</v>
      </c>
      <c r="D315" s="14">
        <f t="shared" si="443"/>
        <v>373.40999999999997</v>
      </c>
      <c r="E315" s="14">
        <f t="shared" si="428"/>
        <v>76.87</v>
      </c>
      <c r="F315" s="14">
        <f t="shared" ref="F315:F378" si="495">+F314</f>
        <v>134.16999999999999</v>
      </c>
      <c r="G315" s="14">
        <f t="shared" si="491"/>
        <v>188.55</v>
      </c>
      <c r="H315" s="14">
        <f t="shared" si="492"/>
        <v>773</v>
      </c>
      <c r="I315" s="285">
        <f t="shared" ref="I315:I378" si="496">$D315+$I314</f>
        <v>73305.909999999989</v>
      </c>
      <c r="J315" s="285">
        <f t="shared" ref="J315:J378" si="497">$E315+$J314</f>
        <v>62532.209999999977</v>
      </c>
      <c r="K315" s="285">
        <f t="shared" ref="K315:K378" si="498">+B315-D315</f>
        <v>24225.929999999949</v>
      </c>
      <c r="L315" s="425">
        <f t="shared" si="479"/>
        <v>21</v>
      </c>
      <c r="M315" s="425">
        <f t="shared" si="435"/>
        <v>256</v>
      </c>
      <c r="N315" s="285">
        <f t="shared" si="436"/>
        <v>129072.56000000001</v>
      </c>
      <c r="O315" s="285">
        <f t="shared" si="401"/>
        <v>1610.57</v>
      </c>
      <c r="P315" s="285">
        <f t="shared" si="444"/>
        <v>938.31999999999994</v>
      </c>
      <c r="Q315" s="285">
        <f t="shared" si="402"/>
        <v>672.25</v>
      </c>
      <c r="R315" s="285">
        <f t="shared" si="389"/>
        <v>134.16999999999999</v>
      </c>
      <c r="S315" s="285">
        <f t="shared" si="390"/>
        <v>188.55</v>
      </c>
      <c r="T315" s="285">
        <f t="shared" ref="T315:T378" si="499">SUM(P315:S315)</f>
        <v>1933.29</v>
      </c>
      <c r="U315" s="285">
        <f t="shared" si="445"/>
        <v>133441.75999999995</v>
      </c>
      <c r="V315" s="285">
        <f t="shared" si="446"/>
        <v>280474.73</v>
      </c>
      <c r="W315" s="285">
        <f t="shared" ref="W315:W378" si="500">+N315-P315</f>
        <v>128134.24</v>
      </c>
      <c r="X315" s="502">
        <f t="shared" si="437"/>
        <v>53409</v>
      </c>
      <c r="Y315" s="285">
        <f t="shared" si="404"/>
        <v>272448.28000000014</v>
      </c>
      <c r="Z315" s="494">
        <f t="shared" si="429"/>
        <v>6.25E-2</v>
      </c>
      <c r="AA315" s="285">
        <f t="shared" si="430"/>
        <v>1630.04</v>
      </c>
      <c r="AB315" s="285">
        <f t="shared" si="405"/>
        <v>211.03999999999996</v>
      </c>
      <c r="AC315" s="285">
        <f t="shared" si="431"/>
        <v>1419</v>
      </c>
      <c r="AD315" s="285">
        <f t="shared" ref="AD315:AE315" si="501">+AD314</f>
        <v>134.16999999999999</v>
      </c>
      <c r="AE315" s="285">
        <f t="shared" si="501"/>
        <v>188.55</v>
      </c>
      <c r="AF315" s="285">
        <f t="shared" si="407"/>
        <v>1952.76</v>
      </c>
      <c r="AG315" s="285">
        <f t="shared" si="408"/>
        <v>58956.159999999953</v>
      </c>
      <c r="AH315" s="285">
        <f t="shared" si="409"/>
        <v>354190.3200000003</v>
      </c>
      <c r="AI315" s="512">
        <f t="shared" si="392"/>
        <v>770.00999999997157</v>
      </c>
      <c r="AJ315" s="512">
        <f t="shared" si="458"/>
        <v>-144103.00000000017</v>
      </c>
      <c r="AK315" s="512">
        <f t="shared" si="393"/>
        <v>-143332.99000000019</v>
      </c>
      <c r="AL315" s="285">
        <f t="shared" si="410"/>
        <v>272237.24000000017</v>
      </c>
      <c r="AM315" s="425">
        <f t="shared" si="439"/>
        <v>21</v>
      </c>
      <c r="AN315" s="14">
        <f t="shared" si="394"/>
        <v>1160.29</v>
      </c>
      <c r="AO315" s="14">
        <f t="shared" si="477"/>
        <v>173829.55000000005</v>
      </c>
      <c r="AP315" s="14">
        <f t="shared" si="395"/>
        <v>1179.76</v>
      </c>
      <c r="AS315" s="14">
        <f t="shared" si="433"/>
        <v>1160.29</v>
      </c>
      <c r="AT315" s="14">
        <f t="shared" si="440"/>
        <v>297713.96999999997</v>
      </c>
      <c r="AU315" s="285">
        <f t="shared" si="441"/>
        <v>1383.0958895363265</v>
      </c>
      <c r="AV315" s="285">
        <f t="shared" si="442"/>
        <v>293045.45170406695</v>
      </c>
    </row>
    <row r="316" spans="1:48" x14ac:dyDescent="0.25">
      <c r="A316" s="502">
        <f t="shared" si="494"/>
        <v>53439</v>
      </c>
      <c r="B316" s="285">
        <f t="shared" si="434"/>
        <v>24225.929999999949</v>
      </c>
      <c r="C316" s="14">
        <f t="shared" si="427"/>
        <v>450.28</v>
      </c>
      <c r="D316" s="14">
        <f t="shared" si="443"/>
        <v>374.57</v>
      </c>
      <c r="E316" s="14">
        <f t="shared" si="428"/>
        <v>75.709999999999994</v>
      </c>
      <c r="F316" s="14">
        <f t="shared" si="495"/>
        <v>134.16999999999999</v>
      </c>
      <c r="G316" s="14">
        <f t="shared" si="491"/>
        <v>188.55</v>
      </c>
      <c r="H316" s="14">
        <f t="shared" si="492"/>
        <v>773</v>
      </c>
      <c r="I316" s="285">
        <f t="shared" si="496"/>
        <v>73680.479999999996</v>
      </c>
      <c r="J316" s="285">
        <f t="shared" si="497"/>
        <v>62607.919999999976</v>
      </c>
      <c r="K316" s="285">
        <f t="shared" si="498"/>
        <v>23851.35999999995</v>
      </c>
      <c r="L316" s="425">
        <f t="shared" si="479"/>
        <v>21</v>
      </c>
      <c r="M316" s="425">
        <f t="shared" si="435"/>
        <v>257</v>
      </c>
      <c r="N316" s="285">
        <f t="shared" si="436"/>
        <v>128134.24</v>
      </c>
      <c r="O316" s="285">
        <f t="shared" si="401"/>
        <v>1610.57</v>
      </c>
      <c r="P316" s="285">
        <f t="shared" si="444"/>
        <v>943.19999999999993</v>
      </c>
      <c r="Q316" s="285">
        <f t="shared" si="402"/>
        <v>667.37</v>
      </c>
      <c r="R316" s="285">
        <f t="shared" ref="R316:R379" si="502">+R315</f>
        <v>134.16999999999999</v>
      </c>
      <c r="S316" s="285">
        <f t="shared" ref="S316:S379" si="503">+S315</f>
        <v>188.55</v>
      </c>
      <c r="T316" s="285">
        <f t="shared" si="499"/>
        <v>1933.29</v>
      </c>
      <c r="U316" s="285">
        <f t="shared" si="445"/>
        <v>134384.95999999996</v>
      </c>
      <c r="V316" s="285">
        <f t="shared" si="446"/>
        <v>281142.09999999998</v>
      </c>
      <c r="W316" s="285">
        <f t="shared" si="500"/>
        <v>127191.04000000001</v>
      </c>
      <c r="X316" s="502">
        <f t="shared" si="437"/>
        <v>53439</v>
      </c>
      <c r="Y316" s="285">
        <f t="shared" si="404"/>
        <v>272237.24000000017</v>
      </c>
      <c r="Z316" s="494">
        <f t="shared" si="429"/>
        <v>6.25E-2</v>
      </c>
      <c r="AA316" s="285">
        <f t="shared" si="430"/>
        <v>1630.04</v>
      </c>
      <c r="AB316" s="285">
        <f t="shared" si="405"/>
        <v>212.13999999999987</v>
      </c>
      <c r="AC316" s="285">
        <f t="shared" si="431"/>
        <v>1417.9</v>
      </c>
      <c r="AD316" s="285">
        <f t="shared" ref="AD316:AE316" si="504">+AD315</f>
        <v>134.16999999999999</v>
      </c>
      <c r="AE316" s="285">
        <f t="shared" si="504"/>
        <v>188.55</v>
      </c>
      <c r="AF316" s="285">
        <f t="shared" si="407"/>
        <v>1952.76</v>
      </c>
      <c r="AG316" s="285">
        <f t="shared" si="408"/>
        <v>59168.299999999952</v>
      </c>
      <c r="AH316" s="285">
        <f t="shared" si="409"/>
        <v>355608.22000000032</v>
      </c>
      <c r="AI316" s="512">
        <f t="shared" ref="AI316:AI379" si="505">O316-AA316+AI315</f>
        <v>750.53999999997154</v>
      </c>
      <c r="AJ316" s="512">
        <f t="shared" si="458"/>
        <v>-144834.06000000014</v>
      </c>
      <c r="AK316" s="512">
        <f t="shared" ref="AK316:AK379" si="506">SUM(AI316:AJ316)</f>
        <v>-144083.52000000016</v>
      </c>
      <c r="AL316" s="285">
        <f t="shared" si="410"/>
        <v>272025.10000000015</v>
      </c>
      <c r="AM316" s="425">
        <f t="shared" si="439"/>
        <v>21</v>
      </c>
      <c r="AN316" s="14">
        <f t="shared" ref="AN316:AN379" si="507">IF(O316=0,0,+O316-C316)</f>
        <v>1160.29</v>
      </c>
      <c r="AO316" s="14">
        <f t="shared" si="477"/>
        <v>173260.92000000004</v>
      </c>
      <c r="AP316" s="14">
        <f t="shared" ref="AP316:AP379" si="508">IF($O316=0,0,+AA316-$C316)</f>
        <v>1179.76</v>
      </c>
      <c r="AS316" s="14">
        <f t="shared" si="433"/>
        <v>1160.29</v>
      </c>
      <c r="AT316" s="14">
        <f t="shared" si="440"/>
        <v>298874.25999999995</v>
      </c>
      <c r="AU316" s="285">
        <f t="shared" si="441"/>
        <v>1386.5536292601673</v>
      </c>
      <c r="AV316" s="285">
        <f t="shared" si="442"/>
        <v>294432.00533332711</v>
      </c>
    </row>
    <row r="317" spans="1:48" x14ac:dyDescent="0.25">
      <c r="A317" s="502">
        <f t="shared" si="494"/>
        <v>53469</v>
      </c>
      <c r="B317" s="285">
        <f t="shared" si="434"/>
        <v>23851.35999999995</v>
      </c>
      <c r="C317" s="14">
        <f t="shared" si="427"/>
        <v>450.28</v>
      </c>
      <c r="D317" s="14">
        <f t="shared" si="443"/>
        <v>375.73999999999995</v>
      </c>
      <c r="E317" s="14">
        <f t="shared" si="428"/>
        <v>74.540000000000006</v>
      </c>
      <c r="F317" s="14">
        <f t="shared" si="495"/>
        <v>134.16999999999999</v>
      </c>
      <c r="G317" s="14">
        <f t="shared" si="491"/>
        <v>188.55</v>
      </c>
      <c r="H317" s="14">
        <f t="shared" si="492"/>
        <v>773</v>
      </c>
      <c r="I317" s="285">
        <f t="shared" si="496"/>
        <v>74056.22</v>
      </c>
      <c r="J317" s="285">
        <f t="shared" si="497"/>
        <v>62682.459999999977</v>
      </c>
      <c r="K317" s="285">
        <f t="shared" si="498"/>
        <v>23475.619999999948</v>
      </c>
      <c r="L317" s="425">
        <f t="shared" si="479"/>
        <v>21</v>
      </c>
      <c r="M317" s="425">
        <f t="shared" si="435"/>
        <v>258</v>
      </c>
      <c r="N317" s="285">
        <f t="shared" si="436"/>
        <v>127191.04000000001</v>
      </c>
      <c r="O317" s="285">
        <f t="shared" si="401"/>
        <v>1610.57</v>
      </c>
      <c r="P317" s="285">
        <f t="shared" si="444"/>
        <v>948.11999999999989</v>
      </c>
      <c r="Q317" s="285">
        <f t="shared" si="402"/>
        <v>662.45</v>
      </c>
      <c r="R317" s="285">
        <f t="shared" si="502"/>
        <v>134.16999999999999</v>
      </c>
      <c r="S317" s="285">
        <f t="shared" si="503"/>
        <v>188.55</v>
      </c>
      <c r="T317" s="285">
        <f t="shared" si="499"/>
        <v>1933.29</v>
      </c>
      <c r="U317" s="285">
        <f t="shared" si="445"/>
        <v>135333.07999999996</v>
      </c>
      <c r="V317" s="285">
        <f t="shared" si="446"/>
        <v>281804.55</v>
      </c>
      <c r="W317" s="285">
        <f t="shared" si="500"/>
        <v>126242.92000000001</v>
      </c>
      <c r="X317" s="502">
        <f t="shared" si="437"/>
        <v>53469</v>
      </c>
      <c r="Y317" s="285">
        <f t="shared" si="404"/>
        <v>272025.10000000015</v>
      </c>
      <c r="Z317" s="494">
        <f t="shared" si="429"/>
        <v>6.25E-2</v>
      </c>
      <c r="AA317" s="285">
        <f t="shared" si="430"/>
        <v>1630.04</v>
      </c>
      <c r="AB317" s="285">
        <f t="shared" si="405"/>
        <v>213.24</v>
      </c>
      <c r="AC317" s="285">
        <f t="shared" si="431"/>
        <v>1416.8</v>
      </c>
      <c r="AD317" s="285">
        <f t="shared" ref="AD317:AE317" si="509">+AD316</f>
        <v>134.16999999999999</v>
      </c>
      <c r="AE317" s="285">
        <f t="shared" si="509"/>
        <v>188.55</v>
      </c>
      <c r="AF317" s="285">
        <f t="shared" si="407"/>
        <v>1952.76</v>
      </c>
      <c r="AG317" s="285">
        <f t="shared" si="408"/>
        <v>59381.53999999995</v>
      </c>
      <c r="AH317" s="285">
        <f t="shared" si="409"/>
        <v>357025.02000000031</v>
      </c>
      <c r="AI317" s="512">
        <f t="shared" si="505"/>
        <v>731.06999999997151</v>
      </c>
      <c r="AJ317" s="512">
        <f t="shared" si="458"/>
        <v>-145568.94000000015</v>
      </c>
      <c r="AK317" s="512">
        <f t="shared" si="506"/>
        <v>-144837.87000000017</v>
      </c>
      <c r="AL317" s="285">
        <f t="shared" si="410"/>
        <v>271811.86000000016</v>
      </c>
      <c r="AM317" s="425">
        <f t="shared" si="439"/>
        <v>21</v>
      </c>
      <c r="AN317" s="14">
        <f t="shared" si="507"/>
        <v>1160.29</v>
      </c>
      <c r="AO317" s="14">
        <f t="shared" si="477"/>
        <v>172688.54000000004</v>
      </c>
      <c r="AP317" s="14">
        <f t="shared" si="508"/>
        <v>1179.76</v>
      </c>
      <c r="AS317" s="14">
        <f t="shared" si="433"/>
        <v>1160.29</v>
      </c>
      <c r="AT317" s="14">
        <f t="shared" si="440"/>
        <v>300034.54999999993</v>
      </c>
      <c r="AU317" s="285">
        <f t="shared" si="441"/>
        <v>1390.0200133333176</v>
      </c>
      <c r="AV317" s="285">
        <f t="shared" si="442"/>
        <v>295822.0253466604</v>
      </c>
    </row>
    <row r="318" spans="1:48" x14ac:dyDescent="0.25">
      <c r="A318" s="502">
        <f t="shared" si="494"/>
        <v>53499</v>
      </c>
      <c r="B318" s="285">
        <f t="shared" si="434"/>
        <v>23475.619999999948</v>
      </c>
      <c r="C318" s="14">
        <f t="shared" si="427"/>
        <v>450.28</v>
      </c>
      <c r="D318" s="14">
        <f t="shared" si="443"/>
        <v>376.91999999999996</v>
      </c>
      <c r="E318" s="14">
        <f t="shared" si="428"/>
        <v>73.36</v>
      </c>
      <c r="F318" s="14">
        <f t="shared" si="495"/>
        <v>134.16999999999999</v>
      </c>
      <c r="G318" s="14">
        <f t="shared" si="491"/>
        <v>188.55</v>
      </c>
      <c r="H318" s="14">
        <f t="shared" si="492"/>
        <v>773</v>
      </c>
      <c r="I318" s="285">
        <f t="shared" si="496"/>
        <v>74433.14</v>
      </c>
      <c r="J318" s="285">
        <f t="shared" si="497"/>
        <v>62755.819999999978</v>
      </c>
      <c r="K318" s="285">
        <f t="shared" si="498"/>
        <v>23098.69999999995</v>
      </c>
      <c r="L318" s="425">
        <f t="shared" si="479"/>
        <v>21</v>
      </c>
      <c r="M318" s="425">
        <f t="shared" si="435"/>
        <v>259</v>
      </c>
      <c r="N318" s="285">
        <f t="shared" si="436"/>
        <v>126242.92000000001</v>
      </c>
      <c r="O318" s="285">
        <f t="shared" ref="O318:O381" si="510">IF($O$9&lt;=A318,IF(+$W317&lt;=0,0,$O$8),0)</f>
        <v>1610.57</v>
      </c>
      <c r="P318" s="285">
        <f t="shared" si="444"/>
        <v>953.05</v>
      </c>
      <c r="Q318" s="285">
        <f t="shared" ref="Q318:Q381" si="511">IF($O$9&lt;=A318,ROUND(N318*($O$6/12),2),0)</f>
        <v>657.52</v>
      </c>
      <c r="R318" s="285">
        <f t="shared" si="502"/>
        <v>134.16999999999999</v>
      </c>
      <c r="S318" s="285">
        <f t="shared" si="503"/>
        <v>188.55</v>
      </c>
      <c r="T318" s="285">
        <f t="shared" si="499"/>
        <v>1933.29</v>
      </c>
      <c r="U318" s="285">
        <f t="shared" si="445"/>
        <v>136286.12999999995</v>
      </c>
      <c r="V318" s="285">
        <f t="shared" si="446"/>
        <v>282462.07</v>
      </c>
      <c r="W318" s="285">
        <f t="shared" si="500"/>
        <v>125289.87000000001</v>
      </c>
      <c r="X318" s="502">
        <f t="shared" si="437"/>
        <v>53499</v>
      </c>
      <c r="Y318" s="285">
        <f t="shared" ref="Y318:Y381" si="512">IF(+AL317&lt;0,0,+AL317)</f>
        <v>271811.86000000016</v>
      </c>
      <c r="Z318" s="494">
        <f t="shared" si="429"/>
        <v>6.25E-2</v>
      </c>
      <c r="AA318" s="285">
        <f t="shared" si="430"/>
        <v>1630.04</v>
      </c>
      <c r="AB318" s="285">
        <f t="shared" ref="AB318:AB381" si="513">+AA318-AC318</f>
        <v>214.34999999999991</v>
      </c>
      <c r="AC318" s="285">
        <f t="shared" si="431"/>
        <v>1415.69</v>
      </c>
      <c r="AD318" s="285">
        <f t="shared" ref="AD318:AE318" si="514">+AD317</f>
        <v>134.16999999999999</v>
      </c>
      <c r="AE318" s="285">
        <f t="shared" si="514"/>
        <v>188.55</v>
      </c>
      <c r="AF318" s="285">
        <f t="shared" ref="AF318:AF381" si="515">SUM(AB318:AE318)</f>
        <v>1952.76</v>
      </c>
      <c r="AG318" s="285">
        <f t="shared" ref="AG318:AG381" si="516">+AB318+AG317</f>
        <v>59595.889999999948</v>
      </c>
      <c r="AH318" s="285">
        <f t="shared" ref="AH318:AH381" si="517">+AH317+AC318</f>
        <v>358440.71000000031</v>
      </c>
      <c r="AI318" s="512">
        <f t="shared" si="505"/>
        <v>711.59999999997149</v>
      </c>
      <c r="AJ318" s="512">
        <f t="shared" si="458"/>
        <v>-146307.64000000019</v>
      </c>
      <c r="AK318" s="512">
        <f t="shared" si="506"/>
        <v>-145596.04000000021</v>
      </c>
      <c r="AL318" s="285">
        <f t="shared" ref="AL318:AL381" si="518">+Y318-AB318</f>
        <v>271597.51000000018</v>
      </c>
      <c r="AM318" s="425">
        <f t="shared" si="439"/>
        <v>21</v>
      </c>
      <c r="AN318" s="14">
        <f t="shared" si="507"/>
        <v>1160.29</v>
      </c>
      <c r="AO318" s="14">
        <f t="shared" si="477"/>
        <v>172112.41000000009</v>
      </c>
      <c r="AP318" s="14">
        <f t="shared" si="508"/>
        <v>1179.76</v>
      </c>
      <c r="AS318" s="14">
        <f t="shared" si="433"/>
        <v>1160.29</v>
      </c>
      <c r="AT318" s="14">
        <f t="shared" si="440"/>
        <v>301194.83999999991</v>
      </c>
      <c r="AU318" s="285">
        <f t="shared" si="441"/>
        <v>1393.495063366651</v>
      </c>
      <c r="AV318" s="285">
        <f t="shared" si="442"/>
        <v>297215.52041002706</v>
      </c>
    </row>
    <row r="319" spans="1:48" x14ac:dyDescent="0.25">
      <c r="A319" s="502">
        <f t="shared" si="494"/>
        <v>53529</v>
      </c>
      <c r="B319" s="285">
        <f t="shared" si="434"/>
        <v>23098.69999999995</v>
      </c>
      <c r="C319" s="14">
        <f t="shared" si="427"/>
        <v>450.28</v>
      </c>
      <c r="D319" s="14">
        <f t="shared" si="443"/>
        <v>378.09999999999997</v>
      </c>
      <c r="E319" s="14">
        <f t="shared" si="428"/>
        <v>72.180000000000007</v>
      </c>
      <c r="F319" s="14">
        <f t="shared" si="495"/>
        <v>134.16999999999999</v>
      </c>
      <c r="G319" s="14">
        <f t="shared" si="491"/>
        <v>188.55</v>
      </c>
      <c r="H319" s="14">
        <f t="shared" si="492"/>
        <v>773</v>
      </c>
      <c r="I319" s="285">
        <f t="shared" si="496"/>
        <v>74811.240000000005</v>
      </c>
      <c r="J319" s="285">
        <f t="shared" si="497"/>
        <v>62827.999999999978</v>
      </c>
      <c r="K319" s="285">
        <f t="shared" si="498"/>
        <v>22720.599999999951</v>
      </c>
      <c r="L319" s="425">
        <f t="shared" si="479"/>
        <v>21</v>
      </c>
      <c r="M319" s="425">
        <f t="shared" si="435"/>
        <v>260</v>
      </c>
      <c r="N319" s="285">
        <f t="shared" si="436"/>
        <v>125289.87000000001</v>
      </c>
      <c r="O319" s="285">
        <f t="shared" si="510"/>
        <v>1610.57</v>
      </c>
      <c r="P319" s="285">
        <f t="shared" si="444"/>
        <v>958.02</v>
      </c>
      <c r="Q319" s="285">
        <f t="shared" si="511"/>
        <v>652.54999999999995</v>
      </c>
      <c r="R319" s="285">
        <f t="shared" si="502"/>
        <v>134.16999999999999</v>
      </c>
      <c r="S319" s="285">
        <f t="shared" si="503"/>
        <v>188.55</v>
      </c>
      <c r="T319" s="285">
        <f t="shared" si="499"/>
        <v>1933.29</v>
      </c>
      <c r="U319" s="285">
        <f t="shared" si="445"/>
        <v>137244.14999999994</v>
      </c>
      <c r="V319" s="285">
        <f t="shared" si="446"/>
        <v>283114.62</v>
      </c>
      <c r="W319" s="285">
        <f t="shared" si="500"/>
        <v>124331.85</v>
      </c>
      <c r="X319" s="502">
        <f t="shared" si="437"/>
        <v>53529</v>
      </c>
      <c r="Y319" s="285">
        <f t="shared" si="512"/>
        <v>271597.51000000018</v>
      </c>
      <c r="Z319" s="494">
        <f t="shared" si="429"/>
        <v>6.25E-2</v>
      </c>
      <c r="AA319" s="285">
        <f t="shared" si="430"/>
        <v>1630.04</v>
      </c>
      <c r="AB319" s="285">
        <f t="shared" si="513"/>
        <v>215.47000000000003</v>
      </c>
      <c r="AC319" s="285">
        <f t="shared" si="431"/>
        <v>1414.57</v>
      </c>
      <c r="AD319" s="285">
        <f t="shared" ref="AD319:AE319" si="519">+AD318</f>
        <v>134.16999999999999</v>
      </c>
      <c r="AE319" s="285">
        <f t="shared" si="519"/>
        <v>188.55</v>
      </c>
      <c r="AF319" s="285">
        <f t="shared" si="515"/>
        <v>1952.76</v>
      </c>
      <c r="AG319" s="285">
        <f t="shared" si="516"/>
        <v>59811.35999999995</v>
      </c>
      <c r="AH319" s="285">
        <f t="shared" si="517"/>
        <v>359855.28000000032</v>
      </c>
      <c r="AI319" s="512">
        <f t="shared" si="505"/>
        <v>692.12999999997146</v>
      </c>
      <c r="AJ319" s="512">
        <f t="shared" si="458"/>
        <v>-147050.19000000021</v>
      </c>
      <c r="AK319" s="512">
        <f t="shared" si="506"/>
        <v>-146358.06000000023</v>
      </c>
      <c r="AL319" s="285">
        <f t="shared" si="518"/>
        <v>271382.04000000021</v>
      </c>
      <c r="AM319" s="425">
        <f t="shared" si="439"/>
        <v>21</v>
      </c>
      <c r="AN319" s="14">
        <f t="shared" si="507"/>
        <v>1160.29</v>
      </c>
      <c r="AO319" s="14">
        <f t="shared" si="477"/>
        <v>171532.49000000008</v>
      </c>
      <c r="AP319" s="14">
        <f t="shared" si="508"/>
        <v>1179.76</v>
      </c>
      <c r="AS319" s="14">
        <f t="shared" si="433"/>
        <v>1160.29</v>
      </c>
      <c r="AT319" s="14">
        <f t="shared" si="440"/>
        <v>302355.12999999989</v>
      </c>
      <c r="AU319" s="285">
        <f t="shared" si="441"/>
        <v>1396.9788010250677</v>
      </c>
      <c r="AV319" s="285">
        <f t="shared" si="442"/>
        <v>298612.49921105214</v>
      </c>
    </row>
    <row r="320" spans="1:48" x14ac:dyDescent="0.25">
      <c r="A320" s="502">
        <f t="shared" si="494"/>
        <v>53559</v>
      </c>
      <c r="B320" s="285">
        <f t="shared" si="434"/>
        <v>22720.599999999951</v>
      </c>
      <c r="C320" s="14">
        <f t="shared" si="427"/>
        <v>450.28</v>
      </c>
      <c r="D320" s="14">
        <f t="shared" si="443"/>
        <v>379.28</v>
      </c>
      <c r="E320" s="14">
        <f t="shared" si="428"/>
        <v>71</v>
      </c>
      <c r="F320" s="14">
        <f t="shared" si="495"/>
        <v>134.16999999999999</v>
      </c>
      <c r="G320" s="14">
        <f t="shared" si="491"/>
        <v>188.55</v>
      </c>
      <c r="H320" s="14">
        <f t="shared" si="492"/>
        <v>773</v>
      </c>
      <c r="I320" s="285">
        <f t="shared" si="496"/>
        <v>75190.52</v>
      </c>
      <c r="J320" s="285">
        <f t="shared" si="497"/>
        <v>62898.999999999978</v>
      </c>
      <c r="K320" s="285">
        <f t="shared" si="498"/>
        <v>22341.319999999952</v>
      </c>
      <c r="L320" s="425">
        <f t="shared" si="479"/>
        <v>21</v>
      </c>
      <c r="M320" s="425">
        <f t="shared" si="435"/>
        <v>261</v>
      </c>
      <c r="N320" s="285">
        <f t="shared" si="436"/>
        <v>124331.85</v>
      </c>
      <c r="O320" s="285">
        <f t="shared" si="510"/>
        <v>1610.57</v>
      </c>
      <c r="P320" s="285">
        <f t="shared" si="444"/>
        <v>963.01</v>
      </c>
      <c r="Q320" s="285">
        <f t="shared" si="511"/>
        <v>647.55999999999995</v>
      </c>
      <c r="R320" s="285">
        <f t="shared" si="502"/>
        <v>134.16999999999999</v>
      </c>
      <c r="S320" s="285">
        <f t="shared" si="503"/>
        <v>188.55</v>
      </c>
      <c r="T320" s="285">
        <f t="shared" si="499"/>
        <v>1933.29</v>
      </c>
      <c r="U320" s="285">
        <f t="shared" si="445"/>
        <v>138207.15999999995</v>
      </c>
      <c r="V320" s="285">
        <f t="shared" si="446"/>
        <v>283762.18</v>
      </c>
      <c r="W320" s="285">
        <f t="shared" si="500"/>
        <v>123368.84000000001</v>
      </c>
      <c r="X320" s="502">
        <f t="shared" si="437"/>
        <v>53559</v>
      </c>
      <c r="Y320" s="285">
        <f t="shared" si="512"/>
        <v>271382.04000000021</v>
      </c>
      <c r="Z320" s="494">
        <f t="shared" si="429"/>
        <v>6.25E-2</v>
      </c>
      <c r="AA320" s="285">
        <f t="shared" si="430"/>
        <v>1630.04</v>
      </c>
      <c r="AB320" s="285">
        <f t="shared" si="513"/>
        <v>216.58999999999992</v>
      </c>
      <c r="AC320" s="285">
        <f t="shared" si="431"/>
        <v>1413.45</v>
      </c>
      <c r="AD320" s="285">
        <f t="shared" ref="AD320:AE320" si="520">+AD319</f>
        <v>134.16999999999999</v>
      </c>
      <c r="AE320" s="285">
        <f t="shared" si="520"/>
        <v>188.55</v>
      </c>
      <c r="AF320" s="285">
        <f t="shared" si="515"/>
        <v>1952.76</v>
      </c>
      <c r="AG320" s="285">
        <f t="shared" si="516"/>
        <v>60027.949999999946</v>
      </c>
      <c r="AH320" s="285">
        <f t="shared" si="517"/>
        <v>361268.73000000033</v>
      </c>
      <c r="AI320" s="512">
        <f t="shared" si="505"/>
        <v>672.65999999997143</v>
      </c>
      <c r="AJ320" s="512">
        <f t="shared" si="458"/>
        <v>-147796.61000000016</v>
      </c>
      <c r="AK320" s="512">
        <f t="shared" si="506"/>
        <v>-147123.95000000019</v>
      </c>
      <c r="AL320" s="285">
        <f t="shared" si="518"/>
        <v>271165.45000000019</v>
      </c>
      <c r="AM320" s="425">
        <f t="shared" si="439"/>
        <v>21</v>
      </c>
      <c r="AN320" s="14">
        <f t="shared" si="507"/>
        <v>1160.29</v>
      </c>
      <c r="AO320" s="14">
        <f t="shared" si="477"/>
        <v>170948.7600000001</v>
      </c>
      <c r="AP320" s="14">
        <f t="shared" si="508"/>
        <v>1179.76</v>
      </c>
      <c r="AS320" s="14">
        <f t="shared" si="433"/>
        <v>1160.29</v>
      </c>
      <c r="AT320" s="14">
        <f t="shared" si="440"/>
        <v>303515.41999999987</v>
      </c>
      <c r="AU320" s="285">
        <f t="shared" si="441"/>
        <v>1400.4712480276305</v>
      </c>
      <c r="AV320" s="285">
        <f t="shared" si="442"/>
        <v>300012.97045907978</v>
      </c>
    </row>
    <row r="321" spans="1:48" x14ac:dyDescent="0.25">
      <c r="A321" s="502">
        <f t="shared" si="494"/>
        <v>53589</v>
      </c>
      <c r="B321" s="285">
        <f t="shared" si="434"/>
        <v>22341.319999999952</v>
      </c>
      <c r="C321" s="14">
        <f t="shared" si="427"/>
        <v>450.28</v>
      </c>
      <c r="D321" s="14">
        <f t="shared" si="443"/>
        <v>380.46</v>
      </c>
      <c r="E321" s="14">
        <f t="shared" si="428"/>
        <v>69.819999999999993</v>
      </c>
      <c r="F321" s="14">
        <f t="shared" si="495"/>
        <v>134.16999999999999</v>
      </c>
      <c r="G321" s="14">
        <f t="shared" si="491"/>
        <v>188.55</v>
      </c>
      <c r="H321" s="14">
        <f t="shared" si="492"/>
        <v>773</v>
      </c>
      <c r="I321" s="285">
        <f t="shared" si="496"/>
        <v>75570.98000000001</v>
      </c>
      <c r="J321" s="285">
        <f t="shared" si="497"/>
        <v>62968.819999999978</v>
      </c>
      <c r="K321" s="285">
        <f t="shared" si="498"/>
        <v>21960.859999999953</v>
      </c>
      <c r="L321" s="425">
        <f t="shared" si="479"/>
        <v>21</v>
      </c>
      <c r="M321" s="425">
        <f t="shared" si="435"/>
        <v>262</v>
      </c>
      <c r="N321" s="285">
        <f t="shared" si="436"/>
        <v>123368.84000000001</v>
      </c>
      <c r="O321" s="285">
        <f t="shared" si="510"/>
        <v>1610.57</v>
      </c>
      <c r="P321" s="285">
        <f t="shared" si="444"/>
        <v>968.02</v>
      </c>
      <c r="Q321" s="285">
        <f t="shared" si="511"/>
        <v>642.54999999999995</v>
      </c>
      <c r="R321" s="285">
        <f t="shared" si="502"/>
        <v>134.16999999999999</v>
      </c>
      <c r="S321" s="285">
        <f t="shared" si="503"/>
        <v>188.55</v>
      </c>
      <c r="T321" s="285">
        <f t="shared" si="499"/>
        <v>1933.29</v>
      </c>
      <c r="U321" s="285">
        <f t="shared" si="445"/>
        <v>139175.17999999993</v>
      </c>
      <c r="V321" s="285">
        <f t="shared" si="446"/>
        <v>284404.73</v>
      </c>
      <c r="W321" s="285">
        <f t="shared" si="500"/>
        <v>122400.82</v>
      </c>
      <c r="X321" s="502">
        <f t="shared" si="437"/>
        <v>53589</v>
      </c>
      <c r="Y321" s="285">
        <f t="shared" si="512"/>
        <v>271165.45000000019</v>
      </c>
      <c r="Z321" s="494">
        <f t="shared" si="429"/>
        <v>6.25E-2</v>
      </c>
      <c r="AA321" s="285">
        <f t="shared" si="430"/>
        <v>1630.04</v>
      </c>
      <c r="AB321" s="285">
        <f t="shared" si="513"/>
        <v>217.72000000000003</v>
      </c>
      <c r="AC321" s="285">
        <f t="shared" si="431"/>
        <v>1412.32</v>
      </c>
      <c r="AD321" s="285">
        <f t="shared" ref="AD321:AE321" si="521">+AD320</f>
        <v>134.16999999999999</v>
      </c>
      <c r="AE321" s="285">
        <f t="shared" si="521"/>
        <v>188.55</v>
      </c>
      <c r="AF321" s="285">
        <f t="shared" si="515"/>
        <v>1952.76</v>
      </c>
      <c r="AG321" s="285">
        <f t="shared" si="516"/>
        <v>60245.669999999947</v>
      </c>
      <c r="AH321" s="285">
        <f t="shared" si="517"/>
        <v>362681.05000000034</v>
      </c>
      <c r="AI321" s="512">
        <f t="shared" si="505"/>
        <v>653.18999999997141</v>
      </c>
      <c r="AJ321" s="512">
        <f t="shared" si="458"/>
        <v>-148546.91000000021</v>
      </c>
      <c r="AK321" s="512">
        <f t="shared" si="506"/>
        <v>-147893.72000000023</v>
      </c>
      <c r="AL321" s="285">
        <f t="shared" si="518"/>
        <v>270947.73000000021</v>
      </c>
      <c r="AM321" s="425">
        <f t="shared" si="439"/>
        <v>21</v>
      </c>
      <c r="AN321" s="14">
        <f t="shared" si="507"/>
        <v>1160.29</v>
      </c>
      <c r="AO321" s="14">
        <f t="shared" si="477"/>
        <v>170361.20000000007</v>
      </c>
      <c r="AP321" s="14">
        <f t="shared" si="508"/>
        <v>1179.76</v>
      </c>
      <c r="AS321" s="14">
        <f t="shared" si="433"/>
        <v>1160.29</v>
      </c>
      <c r="AT321" s="14">
        <f t="shared" si="440"/>
        <v>304675.70999999985</v>
      </c>
      <c r="AU321" s="285">
        <f t="shared" si="441"/>
        <v>1403.9724261476995</v>
      </c>
      <c r="AV321" s="285">
        <f t="shared" si="442"/>
        <v>301416.9428852275</v>
      </c>
    </row>
    <row r="322" spans="1:48" x14ac:dyDescent="0.25">
      <c r="A322" s="502">
        <f t="shared" si="494"/>
        <v>53619</v>
      </c>
      <c r="B322" s="285">
        <f t="shared" si="434"/>
        <v>21960.859999999953</v>
      </c>
      <c r="C322" s="14">
        <f t="shared" si="427"/>
        <v>450.28</v>
      </c>
      <c r="D322" s="14">
        <f t="shared" si="443"/>
        <v>381.65</v>
      </c>
      <c r="E322" s="14">
        <f t="shared" si="428"/>
        <v>68.63</v>
      </c>
      <c r="F322" s="14">
        <f t="shared" si="495"/>
        <v>134.16999999999999</v>
      </c>
      <c r="G322" s="14">
        <f t="shared" si="491"/>
        <v>188.55</v>
      </c>
      <c r="H322" s="14">
        <f t="shared" si="492"/>
        <v>773</v>
      </c>
      <c r="I322" s="285">
        <f t="shared" si="496"/>
        <v>75952.63</v>
      </c>
      <c r="J322" s="285">
        <f t="shared" si="497"/>
        <v>63037.449999999975</v>
      </c>
      <c r="K322" s="285">
        <f t="shared" si="498"/>
        <v>21579.209999999952</v>
      </c>
      <c r="L322" s="425">
        <f t="shared" si="479"/>
        <v>21</v>
      </c>
      <c r="M322" s="425">
        <f t="shared" si="435"/>
        <v>263</v>
      </c>
      <c r="N322" s="285">
        <f t="shared" si="436"/>
        <v>122400.82</v>
      </c>
      <c r="O322" s="285">
        <f t="shared" si="510"/>
        <v>1610.57</v>
      </c>
      <c r="P322" s="285">
        <f t="shared" si="444"/>
        <v>973.06999999999994</v>
      </c>
      <c r="Q322" s="285">
        <f t="shared" si="511"/>
        <v>637.5</v>
      </c>
      <c r="R322" s="285">
        <f t="shared" si="502"/>
        <v>134.16999999999999</v>
      </c>
      <c r="S322" s="285">
        <f t="shared" si="503"/>
        <v>188.55</v>
      </c>
      <c r="T322" s="285">
        <f t="shared" si="499"/>
        <v>1933.29</v>
      </c>
      <c r="U322" s="285">
        <f t="shared" si="445"/>
        <v>140148.24999999994</v>
      </c>
      <c r="V322" s="285">
        <f t="shared" si="446"/>
        <v>285042.23</v>
      </c>
      <c r="W322" s="285">
        <f t="shared" si="500"/>
        <v>121427.75</v>
      </c>
      <c r="X322" s="502">
        <f t="shared" si="437"/>
        <v>53619</v>
      </c>
      <c r="Y322" s="285">
        <f t="shared" si="512"/>
        <v>270947.73000000021</v>
      </c>
      <c r="Z322" s="494">
        <f t="shared" si="429"/>
        <v>6.25E-2</v>
      </c>
      <c r="AA322" s="285">
        <f t="shared" si="430"/>
        <v>1630.04</v>
      </c>
      <c r="AB322" s="285">
        <f t="shared" si="513"/>
        <v>218.84999999999991</v>
      </c>
      <c r="AC322" s="285">
        <f t="shared" si="431"/>
        <v>1411.19</v>
      </c>
      <c r="AD322" s="285">
        <f t="shared" ref="AD322:AE322" si="522">+AD321</f>
        <v>134.16999999999999</v>
      </c>
      <c r="AE322" s="285">
        <f t="shared" si="522"/>
        <v>188.55</v>
      </c>
      <c r="AF322" s="285">
        <f t="shared" si="515"/>
        <v>1952.76</v>
      </c>
      <c r="AG322" s="285">
        <f t="shared" si="516"/>
        <v>60464.519999999946</v>
      </c>
      <c r="AH322" s="285">
        <f t="shared" si="517"/>
        <v>364092.24000000034</v>
      </c>
      <c r="AI322" s="512">
        <f t="shared" si="505"/>
        <v>633.71999999997138</v>
      </c>
      <c r="AJ322" s="512">
        <f t="shared" si="458"/>
        <v>-149301.13000000024</v>
      </c>
      <c r="AK322" s="512">
        <f t="shared" si="506"/>
        <v>-148667.41000000027</v>
      </c>
      <c r="AL322" s="285">
        <f t="shared" si="518"/>
        <v>270728.88000000024</v>
      </c>
      <c r="AM322" s="425">
        <f t="shared" si="439"/>
        <v>21</v>
      </c>
      <c r="AN322" s="14">
        <f t="shared" si="507"/>
        <v>1160.29</v>
      </c>
      <c r="AO322" s="14">
        <f t="shared" si="477"/>
        <v>169769.78000000009</v>
      </c>
      <c r="AP322" s="14">
        <f t="shared" si="508"/>
        <v>1179.76</v>
      </c>
      <c r="AS322" s="14">
        <f t="shared" si="433"/>
        <v>1160.29</v>
      </c>
      <c r="AT322" s="14">
        <f t="shared" si="440"/>
        <v>305835.99999999983</v>
      </c>
      <c r="AU322" s="285">
        <f t="shared" si="441"/>
        <v>1407.4823572130688</v>
      </c>
      <c r="AV322" s="285">
        <f t="shared" si="442"/>
        <v>302824.42524244054</v>
      </c>
    </row>
    <row r="323" spans="1:48" x14ac:dyDescent="0.25">
      <c r="A323" s="502">
        <f t="shared" si="494"/>
        <v>53649</v>
      </c>
      <c r="B323" s="285">
        <f t="shared" si="434"/>
        <v>21579.209999999952</v>
      </c>
      <c r="C323" s="14">
        <f t="shared" si="427"/>
        <v>450.28</v>
      </c>
      <c r="D323" s="14">
        <f t="shared" si="443"/>
        <v>382.84</v>
      </c>
      <c r="E323" s="14">
        <f t="shared" si="428"/>
        <v>67.44</v>
      </c>
      <c r="F323" s="14">
        <f t="shared" si="495"/>
        <v>134.16999999999999</v>
      </c>
      <c r="G323" s="14">
        <f t="shared" si="491"/>
        <v>188.55</v>
      </c>
      <c r="H323" s="14">
        <f t="shared" si="492"/>
        <v>773</v>
      </c>
      <c r="I323" s="285">
        <f t="shared" si="496"/>
        <v>76335.47</v>
      </c>
      <c r="J323" s="285">
        <f t="shared" si="497"/>
        <v>63104.889999999978</v>
      </c>
      <c r="K323" s="285">
        <f t="shared" si="498"/>
        <v>21196.369999999952</v>
      </c>
      <c r="L323" s="425">
        <f t="shared" si="479"/>
        <v>22</v>
      </c>
      <c r="M323" s="425">
        <f t="shared" si="435"/>
        <v>264</v>
      </c>
      <c r="N323" s="285">
        <f t="shared" si="436"/>
        <v>121427.75</v>
      </c>
      <c r="O323" s="285">
        <f t="shared" si="510"/>
        <v>1610.57</v>
      </c>
      <c r="P323" s="285">
        <f t="shared" si="444"/>
        <v>978.12999999999988</v>
      </c>
      <c r="Q323" s="285">
        <f t="shared" si="511"/>
        <v>632.44000000000005</v>
      </c>
      <c r="R323" s="285">
        <f t="shared" si="502"/>
        <v>134.16999999999999</v>
      </c>
      <c r="S323" s="285">
        <f t="shared" si="503"/>
        <v>188.55</v>
      </c>
      <c r="T323" s="285">
        <f t="shared" si="499"/>
        <v>1933.29</v>
      </c>
      <c r="U323" s="285">
        <f t="shared" si="445"/>
        <v>141126.37999999995</v>
      </c>
      <c r="V323" s="285">
        <f t="shared" si="446"/>
        <v>285674.67</v>
      </c>
      <c r="W323" s="285">
        <f t="shared" si="500"/>
        <v>120449.62</v>
      </c>
      <c r="X323" s="502">
        <f t="shared" si="437"/>
        <v>53649</v>
      </c>
      <c r="Y323" s="285">
        <f t="shared" si="512"/>
        <v>270728.88000000024</v>
      </c>
      <c r="Z323" s="494">
        <f t="shared" si="429"/>
        <v>6.25E-2</v>
      </c>
      <c r="AA323" s="285">
        <f t="shared" si="430"/>
        <v>1630.04</v>
      </c>
      <c r="AB323" s="285">
        <f t="shared" si="513"/>
        <v>219.99</v>
      </c>
      <c r="AC323" s="285">
        <f t="shared" si="431"/>
        <v>1410.05</v>
      </c>
      <c r="AD323" s="285">
        <f t="shared" ref="AD323:AE323" si="523">+AD322</f>
        <v>134.16999999999999</v>
      </c>
      <c r="AE323" s="285">
        <f t="shared" si="523"/>
        <v>188.55</v>
      </c>
      <c r="AF323" s="285">
        <f t="shared" si="515"/>
        <v>1952.76</v>
      </c>
      <c r="AG323" s="285">
        <f t="shared" si="516"/>
        <v>60684.509999999944</v>
      </c>
      <c r="AH323" s="285">
        <f t="shared" si="517"/>
        <v>365502.29000000033</v>
      </c>
      <c r="AI323" s="512">
        <f t="shared" si="505"/>
        <v>614.24999999997135</v>
      </c>
      <c r="AJ323" s="512">
        <f t="shared" si="458"/>
        <v>-150059.27000000025</v>
      </c>
      <c r="AK323" s="512">
        <f t="shared" si="506"/>
        <v>-149445.02000000028</v>
      </c>
      <c r="AL323" s="285">
        <f t="shared" si="518"/>
        <v>270508.89000000025</v>
      </c>
      <c r="AM323" s="425">
        <f t="shared" si="439"/>
        <v>22</v>
      </c>
      <c r="AN323" s="14">
        <f t="shared" si="507"/>
        <v>1160.29</v>
      </c>
      <c r="AO323" s="14">
        <f t="shared" si="477"/>
        <v>169174.49000000005</v>
      </c>
      <c r="AP323" s="14">
        <f t="shared" si="508"/>
        <v>1179.76</v>
      </c>
      <c r="AS323" s="14">
        <f t="shared" si="433"/>
        <v>1160.29</v>
      </c>
      <c r="AT323" s="14">
        <f t="shared" si="440"/>
        <v>306996.2899999998</v>
      </c>
      <c r="AU323" s="285">
        <f t="shared" si="441"/>
        <v>1411.0010631061014</v>
      </c>
      <c r="AV323" s="285">
        <f t="shared" si="442"/>
        <v>304235.42630554666</v>
      </c>
    </row>
    <row r="324" spans="1:48" x14ac:dyDescent="0.25">
      <c r="A324" s="502">
        <f t="shared" si="494"/>
        <v>53679</v>
      </c>
      <c r="B324" s="285">
        <f t="shared" si="434"/>
        <v>21196.369999999952</v>
      </c>
      <c r="C324" s="14">
        <f t="shared" si="427"/>
        <v>450.28</v>
      </c>
      <c r="D324" s="14">
        <f t="shared" si="443"/>
        <v>384.03999999999996</v>
      </c>
      <c r="E324" s="14">
        <f t="shared" si="428"/>
        <v>66.239999999999995</v>
      </c>
      <c r="F324" s="14">
        <f t="shared" si="495"/>
        <v>134.16999999999999</v>
      </c>
      <c r="G324" s="14">
        <f t="shared" si="491"/>
        <v>188.55</v>
      </c>
      <c r="H324" s="14">
        <f t="shared" si="492"/>
        <v>773</v>
      </c>
      <c r="I324" s="285">
        <f t="shared" si="496"/>
        <v>76719.509999999995</v>
      </c>
      <c r="J324" s="285">
        <f t="shared" si="497"/>
        <v>63171.129999999976</v>
      </c>
      <c r="K324" s="285">
        <f t="shared" si="498"/>
        <v>20812.329999999951</v>
      </c>
      <c r="L324" s="425">
        <f t="shared" si="479"/>
        <v>22</v>
      </c>
      <c r="M324" s="425">
        <f t="shared" si="435"/>
        <v>265</v>
      </c>
      <c r="N324" s="285">
        <f t="shared" si="436"/>
        <v>120449.62</v>
      </c>
      <c r="O324" s="285">
        <f t="shared" si="510"/>
        <v>1610.57</v>
      </c>
      <c r="P324" s="285">
        <f t="shared" si="444"/>
        <v>983.2299999999999</v>
      </c>
      <c r="Q324" s="285">
        <f t="shared" si="511"/>
        <v>627.34</v>
      </c>
      <c r="R324" s="285">
        <f t="shared" si="502"/>
        <v>134.16999999999999</v>
      </c>
      <c r="S324" s="285">
        <f t="shared" si="503"/>
        <v>188.55</v>
      </c>
      <c r="T324" s="285">
        <f t="shared" si="499"/>
        <v>1933.29</v>
      </c>
      <c r="U324" s="285">
        <f t="shared" si="445"/>
        <v>142109.60999999996</v>
      </c>
      <c r="V324" s="285">
        <f t="shared" si="446"/>
        <v>286302.01</v>
      </c>
      <c r="W324" s="285">
        <f t="shared" si="500"/>
        <v>119466.39</v>
      </c>
      <c r="X324" s="502">
        <f t="shared" si="437"/>
        <v>53679</v>
      </c>
      <c r="Y324" s="285">
        <f t="shared" si="512"/>
        <v>270508.89000000025</v>
      </c>
      <c r="Z324" s="494">
        <f t="shared" si="429"/>
        <v>6.25E-2</v>
      </c>
      <c r="AA324" s="285">
        <f t="shared" si="430"/>
        <v>1630.04</v>
      </c>
      <c r="AB324" s="285">
        <f t="shared" si="513"/>
        <v>221.13999999999987</v>
      </c>
      <c r="AC324" s="285">
        <f t="shared" si="431"/>
        <v>1408.9</v>
      </c>
      <c r="AD324" s="285">
        <f t="shared" ref="AD324:AE324" si="524">+AD323</f>
        <v>134.16999999999999</v>
      </c>
      <c r="AE324" s="285">
        <f t="shared" si="524"/>
        <v>188.55</v>
      </c>
      <c r="AF324" s="285">
        <f t="shared" si="515"/>
        <v>1952.76</v>
      </c>
      <c r="AG324" s="285">
        <f t="shared" si="516"/>
        <v>60905.649999999943</v>
      </c>
      <c r="AH324" s="285">
        <f t="shared" si="517"/>
        <v>366911.19000000035</v>
      </c>
      <c r="AI324" s="512">
        <f t="shared" si="505"/>
        <v>594.77999999997132</v>
      </c>
      <c r="AJ324" s="512">
        <f t="shared" si="458"/>
        <v>-150821.36000000022</v>
      </c>
      <c r="AK324" s="512">
        <f t="shared" si="506"/>
        <v>-150226.58000000025</v>
      </c>
      <c r="AL324" s="285">
        <f t="shared" si="518"/>
        <v>270287.75000000023</v>
      </c>
      <c r="AM324" s="425">
        <f t="shared" si="439"/>
        <v>22</v>
      </c>
      <c r="AN324" s="14">
        <f t="shared" si="507"/>
        <v>1160.29</v>
      </c>
      <c r="AO324" s="14">
        <f t="shared" si="477"/>
        <v>168575.30000000008</v>
      </c>
      <c r="AP324" s="14">
        <f t="shared" si="508"/>
        <v>1179.76</v>
      </c>
      <c r="AS324" s="14">
        <f t="shared" si="433"/>
        <v>1160.29</v>
      </c>
      <c r="AT324" s="14">
        <f t="shared" si="440"/>
        <v>308156.57999999978</v>
      </c>
      <c r="AU324" s="285">
        <f t="shared" si="441"/>
        <v>1414.5285657638667</v>
      </c>
      <c r="AV324" s="285">
        <f t="shared" si="442"/>
        <v>305649.9548713105</v>
      </c>
    </row>
    <row r="325" spans="1:48" x14ac:dyDescent="0.25">
      <c r="A325" s="502">
        <f t="shared" si="494"/>
        <v>53709</v>
      </c>
      <c r="B325" s="285">
        <f t="shared" si="434"/>
        <v>20812.329999999951</v>
      </c>
      <c r="C325" s="14">
        <f t="shared" si="427"/>
        <v>450.28</v>
      </c>
      <c r="D325" s="14">
        <f t="shared" si="443"/>
        <v>385.23999999999995</v>
      </c>
      <c r="E325" s="14">
        <f t="shared" si="428"/>
        <v>65.040000000000006</v>
      </c>
      <c r="F325" s="14">
        <f t="shared" si="495"/>
        <v>134.16999999999999</v>
      </c>
      <c r="G325" s="14">
        <f t="shared" si="491"/>
        <v>188.55</v>
      </c>
      <c r="H325" s="14">
        <f t="shared" si="492"/>
        <v>773</v>
      </c>
      <c r="I325" s="285">
        <f t="shared" si="496"/>
        <v>77104.75</v>
      </c>
      <c r="J325" s="285">
        <f t="shared" si="497"/>
        <v>63236.169999999976</v>
      </c>
      <c r="K325" s="285">
        <f t="shared" si="498"/>
        <v>20427.089999999949</v>
      </c>
      <c r="L325" s="425">
        <f t="shared" si="479"/>
        <v>22</v>
      </c>
      <c r="M325" s="425">
        <f t="shared" si="435"/>
        <v>266</v>
      </c>
      <c r="N325" s="285">
        <f t="shared" si="436"/>
        <v>119466.39</v>
      </c>
      <c r="O325" s="285">
        <f t="shared" si="510"/>
        <v>1610.57</v>
      </c>
      <c r="P325" s="285">
        <f t="shared" si="444"/>
        <v>988.34999999999991</v>
      </c>
      <c r="Q325" s="285">
        <f t="shared" si="511"/>
        <v>622.22</v>
      </c>
      <c r="R325" s="285">
        <f t="shared" si="502"/>
        <v>134.16999999999999</v>
      </c>
      <c r="S325" s="285">
        <f t="shared" si="503"/>
        <v>188.55</v>
      </c>
      <c r="T325" s="285">
        <f t="shared" si="499"/>
        <v>1933.29</v>
      </c>
      <c r="U325" s="285">
        <f t="shared" si="445"/>
        <v>143097.95999999996</v>
      </c>
      <c r="V325" s="285">
        <f t="shared" si="446"/>
        <v>286924.23</v>
      </c>
      <c r="W325" s="285">
        <f t="shared" si="500"/>
        <v>118478.04</v>
      </c>
      <c r="X325" s="502">
        <f t="shared" si="437"/>
        <v>53709</v>
      </c>
      <c r="Y325" s="285">
        <f t="shared" si="512"/>
        <v>270287.75000000023</v>
      </c>
      <c r="Z325" s="494">
        <f t="shared" si="429"/>
        <v>6.25E-2</v>
      </c>
      <c r="AA325" s="285">
        <f t="shared" si="430"/>
        <v>1630.04</v>
      </c>
      <c r="AB325" s="285">
        <f t="shared" si="513"/>
        <v>222.28999999999996</v>
      </c>
      <c r="AC325" s="285">
        <f t="shared" si="431"/>
        <v>1407.75</v>
      </c>
      <c r="AD325" s="285">
        <f t="shared" ref="AD325:AE325" si="525">+AD324</f>
        <v>134.16999999999999</v>
      </c>
      <c r="AE325" s="285">
        <f t="shared" si="525"/>
        <v>188.55</v>
      </c>
      <c r="AF325" s="285">
        <f t="shared" si="515"/>
        <v>1952.76</v>
      </c>
      <c r="AG325" s="285">
        <f t="shared" si="516"/>
        <v>61127.939999999944</v>
      </c>
      <c r="AH325" s="285">
        <f t="shared" si="517"/>
        <v>368318.94000000035</v>
      </c>
      <c r="AI325" s="512">
        <f t="shared" si="505"/>
        <v>575.3099999999713</v>
      </c>
      <c r="AJ325" s="512">
        <f t="shared" si="458"/>
        <v>-151587.42000000027</v>
      </c>
      <c r="AK325" s="512">
        <f t="shared" si="506"/>
        <v>-151012.11000000031</v>
      </c>
      <c r="AL325" s="285">
        <f t="shared" si="518"/>
        <v>270065.46000000025</v>
      </c>
      <c r="AM325" s="425">
        <f t="shared" si="439"/>
        <v>22</v>
      </c>
      <c r="AN325" s="14">
        <f t="shared" si="507"/>
        <v>1160.29</v>
      </c>
      <c r="AO325" s="14">
        <f t="shared" si="477"/>
        <v>167972.19000000006</v>
      </c>
      <c r="AP325" s="14">
        <f t="shared" si="508"/>
        <v>1179.76</v>
      </c>
      <c r="AS325" s="14">
        <f t="shared" si="433"/>
        <v>1160.29</v>
      </c>
      <c r="AT325" s="14">
        <f t="shared" si="440"/>
        <v>309316.86999999976</v>
      </c>
      <c r="AU325" s="285">
        <f t="shared" si="441"/>
        <v>1418.0648871782762</v>
      </c>
      <c r="AV325" s="285">
        <f t="shared" si="442"/>
        <v>307068.01975848881</v>
      </c>
    </row>
    <row r="326" spans="1:48" ht="15.75" thickBot="1" x14ac:dyDescent="0.3">
      <c r="A326" s="505">
        <f t="shared" si="494"/>
        <v>53739</v>
      </c>
      <c r="B326" s="345">
        <f t="shared" si="434"/>
        <v>20427.089999999949</v>
      </c>
      <c r="C326" s="21">
        <f t="shared" si="427"/>
        <v>450.28</v>
      </c>
      <c r="D326" s="21">
        <f t="shared" si="443"/>
        <v>386.45</v>
      </c>
      <c r="E326" s="21">
        <f t="shared" si="428"/>
        <v>63.83</v>
      </c>
      <c r="F326" s="21">
        <f t="shared" si="495"/>
        <v>134.16999999999999</v>
      </c>
      <c r="G326" s="21">
        <f t="shared" si="491"/>
        <v>188.55</v>
      </c>
      <c r="H326" s="21">
        <f t="shared" si="492"/>
        <v>773</v>
      </c>
      <c r="I326" s="345">
        <f t="shared" si="496"/>
        <v>77491.199999999997</v>
      </c>
      <c r="J326" s="345">
        <f t="shared" si="497"/>
        <v>63299.999999999978</v>
      </c>
      <c r="K326" s="345">
        <f t="shared" si="498"/>
        <v>20040.639999999948</v>
      </c>
      <c r="L326" s="426">
        <f t="shared" si="479"/>
        <v>22</v>
      </c>
      <c r="M326" s="426">
        <f t="shared" si="435"/>
        <v>267</v>
      </c>
      <c r="N326" s="345">
        <f t="shared" si="436"/>
        <v>118478.04</v>
      </c>
      <c r="O326" s="345">
        <f t="shared" si="510"/>
        <v>1610.57</v>
      </c>
      <c r="P326" s="345">
        <f t="shared" si="444"/>
        <v>993.49999999999989</v>
      </c>
      <c r="Q326" s="345">
        <f t="shared" si="511"/>
        <v>617.07000000000005</v>
      </c>
      <c r="R326" s="345">
        <f t="shared" si="502"/>
        <v>134.16999999999999</v>
      </c>
      <c r="S326" s="345">
        <f t="shared" si="503"/>
        <v>188.55</v>
      </c>
      <c r="T326" s="345">
        <f t="shared" si="499"/>
        <v>1933.29</v>
      </c>
      <c r="U326" s="345">
        <f t="shared" si="445"/>
        <v>144091.45999999996</v>
      </c>
      <c r="V326" s="345">
        <f t="shared" si="446"/>
        <v>287541.3</v>
      </c>
      <c r="W326" s="345">
        <f t="shared" si="500"/>
        <v>117484.54</v>
      </c>
      <c r="X326" s="505">
        <f t="shared" si="437"/>
        <v>53739</v>
      </c>
      <c r="Y326" s="345">
        <f t="shared" si="512"/>
        <v>270065.46000000025</v>
      </c>
      <c r="Z326" s="495">
        <f t="shared" si="429"/>
        <v>6.25E-2</v>
      </c>
      <c r="AA326" s="345">
        <f t="shared" si="430"/>
        <v>1630.04</v>
      </c>
      <c r="AB326" s="345">
        <f t="shared" si="513"/>
        <v>223.45000000000005</v>
      </c>
      <c r="AC326" s="345">
        <f t="shared" si="431"/>
        <v>1406.59</v>
      </c>
      <c r="AD326" s="345">
        <f t="shared" ref="AD326:AE326" si="526">+AD325</f>
        <v>134.16999999999999</v>
      </c>
      <c r="AE326" s="345">
        <f t="shared" si="526"/>
        <v>188.55</v>
      </c>
      <c r="AF326" s="345">
        <f t="shared" si="515"/>
        <v>1952.76</v>
      </c>
      <c r="AG326" s="345">
        <f t="shared" si="516"/>
        <v>61351.389999999941</v>
      </c>
      <c r="AH326" s="345">
        <f t="shared" si="517"/>
        <v>369725.53000000038</v>
      </c>
      <c r="AI326" s="513">
        <f t="shared" si="505"/>
        <v>555.83999999997127</v>
      </c>
      <c r="AJ326" s="513">
        <f t="shared" si="458"/>
        <v>-152357.47000000026</v>
      </c>
      <c r="AK326" s="512">
        <f t="shared" si="506"/>
        <v>-151801.6300000003</v>
      </c>
      <c r="AL326" s="345">
        <f t="shared" si="518"/>
        <v>269842.01000000024</v>
      </c>
      <c r="AM326" s="426">
        <f t="shared" si="439"/>
        <v>22</v>
      </c>
      <c r="AN326" s="21">
        <f t="shared" si="507"/>
        <v>1160.29</v>
      </c>
      <c r="AO326" s="21">
        <f t="shared" si="477"/>
        <v>167365.14000000007</v>
      </c>
      <c r="AP326" s="21">
        <f t="shared" si="508"/>
        <v>1179.76</v>
      </c>
      <c r="AQ326" s="21"/>
      <c r="AR326" s="23"/>
      <c r="AS326" s="21">
        <f t="shared" si="433"/>
        <v>1160.29</v>
      </c>
      <c r="AT326" s="21">
        <f t="shared" si="440"/>
        <v>310477.15999999974</v>
      </c>
      <c r="AU326" s="345">
        <f t="shared" si="441"/>
        <v>1421.6100493962219</v>
      </c>
      <c r="AV326" s="345">
        <f t="shared" si="442"/>
        <v>308489.62980788504</v>
      </c>
    </row>
    <row r="327" spans="1:48" x14ac:dyDescent="0.25">
      <c r="A327" s="502">
        <f t="shared" si="494"/>
        <v>53769</v>
      </c>
      <c r="B327" s="285">
        <f t="shared" si="434"/>
        <v>20040.639999999948</v>
      </c>
      <c r="C327" s="14">
        <f t="shared" si="427"/>
        <v>450.28</v>
      </c>
      <c r="D327" s="14">
        <f t="shared" si="443"/>
        <v>387.65</v>
      </c>
      <c r="E327" s="14">
        <f t="shared" si="428"/>
        <v>62.63</v>
      </c>
      <c r="F327" s="14">
        <f t="shared" si="495"/>
        <v>134.16999999999999</v>
      </c>
      <c r="G327" s="14">
        <f t="shared" si="491"/>
        <v>188.55</v>
      </c>
      <c r="H327" s="14">
        <f t="shared" si="492"/>
        <v>773</v>
      </c>
      <c r="I327" s="285">
        <f t="shared" si="496"/>
        <v>77878.849999999991</v>
      </c>
      <c r="J327" s="285">
        <f t="shared" si="497"/>
        <v>63362.629999999976</v>
      </c>
      <c r="K327" s="285">
        <f t="shared" si="498"/>
        <v>19652.989999999947</v>
      </c>
      <c r="L327" s="425">
        <f t="shared" si="479"/>
        <v>22</v>
      </c>
      <c r="M327" s="425">
        <f t="shared" si="435"/>
        <v>268</v>
      </c>
      <c r="N327" s="285">
        <f t="shared" si="436"/>
        <v>117484.54</v>
      </c>
      <c r="O327" s="285">
        <f t="shared" si="510"/>
        <v>1610.57</v>
      </c>
      <c r="P327" s="285">
        <f t="shared" si="444"/>
        <v>998.67</v>
      </c>
      <c r="Q327" s="285">
        <f t="shared" si="511"/>
        <v>611.9</v>
      </c>
      <c r="R327" s="285">
        <f t="shared" si="502"/>
        <v>134.16999999999999</v>
      </c>
      <c r="S327" s="285">
        <f t="shared" si="503"/>
        <v>188.55</v>
      </c>
      <c r="T327" s="285">
        <f t="shared" si="499"/>
        <v>1933.29</v>
      </c>
      <c r="U327" s="285">
        <f t="shared" si="445"/>
        <v>145090.12999999998</v>
      </c>
      <c r="V327" s="285">
        <f t="shared" si="446"/>
        <v>288153.2</v>
      </c>
      <c r="W327" s="285">
        <f t="shared" si="500"/>
        <v>116485.87</v>
      </c>
      <c r="X327" s="502">
        <f t="shared" si="437"/>
        <v>53769</v>
      </c>
      <c r="Y327" s="285">
        <f t="shared" si="512"/>
        <v>269842.01000000024</v>
      </c>
      <c r="Z327" s="494">
        <f t="shared" si="429"/>
        <v>6.25E-2</v>
      </c>
      <c r="AA327" s="285">
        <f t="shared" si="430"/>
        <v>1630.04</v>
      </c>
      <c r="AB327" s="285">
        <f t="shared" si="513"/>
        <v>224.6099999999999</v>
      </c>
      <c r="AC327" s="285">
        <f t="shared" si="431"/>
        <v>1405.43</v>
      </c>
      <c r="AD327" s="285">
        <f t="shared" ref="AD327:AE327" si="527">+AD326</f>
        <v>134.16999999999999</v>
      </c>
      <c r="AE327" s="285">
        <f t="shared" si="527"/>
        <v>188.55</v>
      </c>
      <c r="AF327" s="285">
        <f t="shared" si="515"/>
        <v>1952.76</v>
      </c>
      <c r="AG327" s="285">
        <f t="shared" si="516"/>
        <v>61575.999999999942</v>
      </c>
      <c r="AH327" s="285">
        <f t="shared" si="517"/>
        <v>371130.96000000037</v>
      </c>
      <c r="AI327" s="512">
        <f t="shared" si="505"/>
        <v>536.36999999997124</v>
      </c>
      <c r="AJ327" s="512">
        <f t="shared" si="458"/>
        <v>-153131.53000000026</v>
      </c>
      <c r="AK327" s="512">
        <f t="shared" si="506"/>
        <v>-152595.16000000029</v>
      </c>
      <c r="AL327" s="285">
        <f t="shared" si="518"/>
        <v>269617.40000000026</v>
      </c>
      <c r="AM327" s="425">
        <f t="shared" si="439"/>
        <v>22</v>
      </c>
      <c r="AN327" s="14">
        <f t="shared" si="507"/>
        <v>1160.29</v>
      </c>
      <c r="AO327" s="14">
        <f t="shared" si="477"/>
        <v>166754.12000000002</v>
      </c>
      <c r="AP327" s="14">
        <f t="shared" si="508"/>
        <v>1179.76</v>
      </c>
      <c r="AS327" s="14">
        <f t="shared" si="433"/>
        <v>1160.29</v>
      </c>
      <c r="AT327" s="14">
        <f t="shared" si="440"/>
        <v>311637.44999999972</v>
      </c>
      <c r="AU327" s="285">
        <f t="shared" si="441"/>
        <v>1425.1640745197126</v>
      </c>
      <c r="AV327" s="285">
        <f t="shared" si="442"/>
        <v>309914.79388240475</v>
      </c>
    </row>
    <row r="328" spans="1:48" x14ac:dyDescent="0.25">
      <c r="A328" s="502">
        <f t="shared" si="494"/>
        <v>53799</v>
      </c>
      <c r="B328" s="285">
        <f t="shared" si="434"/>
        <v>19652.989999999947</v>
      </c>
      <c r="C328" s="14">
        <f t="shared" si="427"/>
        <v>450.28</v>
      </c>
      <c r="D328" s="14">
        <f t="shared" si="443"/>
        <v>388.85999999999996</v>
      </c>
      <c r="E328" s="14">
        <f t="shared" si="428"/>
        <v>61.42</v>
      </c>
      <c r="F328" s="14">
        <f t="shared" si="495"/>
        <v>134.16999999999999</v>
      </c>
      <c r="G328" s="14">
        <f t="shared" si="491"/>
        <v>188.55</v>
      </c>
      <c r="H328" s="14">
        <f t="shared" si="492"/>
        <v>773</v>
      </c>
      <c r="I328" s="285">
        <f t="shared" si="496"/>
        <v>78267.709999999992</v>
      </c>
      <c r="J328" s="285">
        <f t="shared" si="497"/>
        <v>63424.049999999974</v>
      </c>
      <c r="K328" s="285">
        <f t="shared" si="498"/>
        <v>19264.129999999946</v>
      </c>
      <c r="L328" s="425">
        <f t="shared" si="479"/>
        <v>22</v>
      </c>
      <c r="M328" s="425">
        <f t="shared" si="435"/>
        <v>269</v>
      </c>
      <c r="N328" s="285">
        <f t="shared" si="436"/>
        <v>116485.87</v>
      </c>
      <c r="O328" s="285">
        <f t="shared" si="510"/>
        <v>1610.57</v>
      </c>
      <c r="P328" s="285">
        <f t="shared" si="444"/>
        <v>1003.8699999999999</v>
      </c>
      <c r="Q328" s="285">
        <f t="shared" si="511"/>
        <v>606.70000000000005</v>
      </c>
      <c r="R328" s="285">
        <f t="shared" si="502"/>
        <v>134.16999999999999</v>
      </c>
      <c r="S328" s="285">
        <f t="shared" si="503"/>
        <v>188.55</v>
      </c>
      <c r="T328" s="285">
        <f t="shared" si="499"/>
        <v>1933.29</v>
      </c>
      <c r="U328" s="285">
        <f t="shared" si="445"/>
        <v>146093.99999999997</v>
      </c>
      <c r="V328" s="285">
        <f t="shared" si="446"/>
        <v>288759.90000000002</v>
      </c>
      <c r="W328" s="285">
        <f t="shared" si="500"/>
        <v>115482</v>
      </c>
      <c r="X328" s="502">
        <f t="shared" si="437"/>
        <v>53799</v>
      </c>
      <c r="Y328" s="285">
        <f t="shared" si="512"/>
        <v>269617.40000000026</v>
      </c>
      <c r="Z328" s="494">
        <f t="shared" si="429"/>
        <v>6.25E-2</v>
      </c>
      <c r="AA328" s="285">
        <f t="shared" si="430"/>
        <v>1630.04</v>
      </c>
      <c r="AB328" s="285">
        <f t="shared" si="513"/>
        <v>225.77999999999997</v>
      </c>
      <c r="AC328" s="285">
        <f t="shared" si="431"/>
        <v>1404.26</v>
      </c>
      <c r="AD328" s="285">
        <f t="shared" ref="AD328:AE328" si="528">+AD327</f>
        <v>134.16999999999999</v>
      </c>
      <c r="AE328" s="285">
        <f t="shared" si="528"/>
        <v>188.55</v>
      </c>
      <c r="AF328" s="285">
        <f t="shared" si="515"/>
        <v>1952.76</v>
      </c>
      <c r="AG328" s="285">
        <f t="shared" si="516"/>
        <v>61801.779999999941</v>
      </c>
      <c r="AH328" s="285">
        <f t="shared" si="517"/>
        <v>372535.22000000038</v>
      </c>
      <c r="AI328" s="512">
        <f t="shared" si="505"/>
        <v>516.89999999997121</v>
      </c>
      <c r="AJ328" s="512">
        <f t="shared" si="458"/>
        <v>-153909.62000000023</v>
      </c>
      <c r="AK328" s="512">
        <f t="shared" si="506"/>
        <v>-153392.72000000026</v>
      </c>
      <c r="AL328" s="285">
        <f t="shared" si="518"/>
        <v>269391.62000000023</v>
      </c>
      <c r="AM328" s="425">
        <f t="shared" si="439"/>
        <v>22</v>
      </c>
      <c r="AN328" s="14">
        <f t="shared" si="507"/>
        <v>1160.29</v>
      </c>
      <c r="AO328" s="14">
        <f t="shared" si="477"/>
        <v>166139.11000000002</v>
      </c>
      <c r="AP328" s="14">
        <f t="shared" si="508"/>
        <v>1179.76</v>
      </c>
      <c r="AS328" s="14">
        <f t="shared" si="433"/>
        <v>1160.29</v>
      </c>
      <c r="AT328" s="14">
        <f t="shared" si="440"/>
        <v>312797.7399999997</v>
      </c>
      <c r="AU328" s="285">
        <f t="shared" si="441"/>
        <v>1428.7269847060115</v>
      </c>
      <c r="AV328" s="285">
        <f t="shared" si="442"/>
        <v>311343.52086711075</v>
      </c>
    </row>
    <row r="329" spans="1:48" x14ac:dyDescent="0.25">
      <c r="A329" s="502">
        <f t="shared" si="494"/>
        <v>53829</v>
      </c>
      <c r="B329" s="285">
        <f t="shared" si="434"/>
        <v>19264.129999999946</v>
      </c>
      <c r="C329" s="14">
        <f t="shared" si="427"/>
        <v>450.28</v>
      </c>
      <c r="D329" s="14">
        <f t="shared" si="443"/>
        <v>390.08</v>
      </c>
      <c r="E329" s="14">
        <f t="shared" si="428"/>
        <v>60.2</v>
      </c>
      <c r="F329" s="14">
        <f t="shared" si="495"/>
        <v>134.16999999999999</v>
      </c>
      <c r="G329" s="14">
        <f t="shared" si="491"/>
        <v>188.55</v>
      </c>
      <c r="H329" s="14">
        <f t="shared" si="492"/>
        <v>773</v>
      </c>
      <c r="I329" s="285">
        <f t="shared" si="496"/>
        <v>78657.789999999994</v>
      </c>
      <c r="J329" s="285">
        <f t="shared" si="497"/>
        <v>63484.249999999971</v>
      </c>
      <c r="K329" s="285">
        <f t="shared" si="498"/>
        <v>18874.049999999945</v>
      </c>
      <c r="L329" s="425">
        <f t="shared" si="479"/>
        <v>22</v>
      </c>
      <c r="M329" s="425">
        <f t="shared" si="435"/>
        <v>270</v>
      </c>
      <c r="N329" s="285">
        <f t="shared" si="436"/>
        <v>115482</v>
      </c>
      <c r="O329" s="285">
        <f t="shared" si="510"/>
        <v>1610.57</v>
      </c>
      <c r="P329" s="285">
        <f t="shared" si="444"/>
        <v>1009.0999999999999</v>
      </c>
      <c r="Q329" s="285">
        <f t="shared" si="511"/>
        <v>601.47</v>
      </c>
      <c r="R329" s="285">
        <f t="shared" si="502"/>
        <v>134.16999999999999</v>
      </c>
      <c r="S329" s="285">
        <f t="shared" si="503"/>
        <v>188.55</v>
      </c>
      <c r="T329" s="285">
        <f t="shared" si="499"/>
        <v>1933.29</v>
      </c>
      <c r="U329" s="285">
        <f t="shared" si="445"/>
        <v>147103.09999999998</v>
      </c>
      <c r="V329" s="285">
        <f t="shared" si="446"/>
        <v>289361.37</v>
      </c>
      <c r="W329" s="285">
        <f t="shared" si="500"/>
        <v>114472.9</v>
      </c>
      <c r="X329" s="502">
        <f t="shared" si="437"/>
        <v>53829</v>
      </c>
      <c r="Y329" s="285">
        <f t="shared" si="512"/>
        <v>269391.62000000023</v>
      </c>
      <c r="Z329" s="494">
        <f t="shared" si="429"/>
        <v>6.25E-2</v>
      </c>
      <c r="AA329" s="285">
        <f t="shared" si="430"/>
        <v>1630.04</v>
      </c>
      <c r="AB329" s="285">
        <f t="shared" si="513"/>
        <v>226.96000000000004</v>
      </c>
      <c r="AC329" s="285">
        <f t="shared" si="431"/>
        <v>1403.08</v>
      </c>
      <c r="AD329" s="285">
        <f t="shared" ref="AD329:AE329" si="529">+AD328</f>
        <v>134.16999999999999</v>
      </c>
      <c r="AE329" s="285">
        <f t="shared" si="529"/>
        <v>188.55</v>
      </c>
      <c r="AF329" s="285">
        <f t="shared" si="515"/>
        <v>1952.76</v>
      </c>
      <c r="AG329" s="285">
        <f t="shared" si="516"/>
        <v>62028.73999999994</v>
      </c>
      <c r="AH329" s="285">
        <f t="shared" si="517"/>
        <v>373938.3000000004</v>
      </c>
      <c r="AI329" s="512">
        <f t="shared" si="505"/>
        <v>497.42999999997119</v>
      </c>
      <c r="AJ329" s="512">
        <f t="shared" si="458"/>
        <v>-154691.76000000021</v>
      </c>
      <c r="AK329" s="512">
        <f t="shared" si="506"/>
        <v>-154194.33000000025</v>
      </c>
      <c r="AL329" s="285">
        <f t="shared" si="518"/>
        <v>269164.66000000021</v>
      </c>
      <c r="AM329" s="425">
        <f t="shared" si="439"/>
        <v>22</v>
      </c>
      <c r="AN329" s="14">
        <f t="shared" si="507"/>
        <v>1160.29</v>
      </c>
      <c r="AO329" s="14">
        <f t="shared" si="477"/>
        <v>165520.09000000003</v>
      </c>
      <c r="AP329" s="14">
        <f t="shared" si="508"/>
        <v>1179.76</v>
      </c>
      <c r="AS329" s="14">
        <f t="shared" si="433"/>
        <v>1160.29</v>
      </c>
      <c r="AT329" s="14">
        <f t="shared" si="440"/>
        <v>313958.02999999968</v>
      </c>
      <c r="AU329" s="285">
        <f t="shared" si="441"/>
        <v>1432.2988021677766</v>
      </c>
      <c r="AV329" s="285">
        <f t="shared" si="442"/>
        <v>312775.81966927851</v>
      </c>
    </row>
    <row r="330" spans="1:48" x14ac:dyDescent="0.25">
      <c r="A330" s="502">
        <f t="shared" si="494"/>
        <v>53859</v>
      </c>
      <c r="B330" s="285">
        <f t="shared" si="434"/>
        <v>18874.049999999945</v>
      </c>
      <c r="C330" s="14">
        <f t="shared" si="427"/>
        <v>450.28</v>
      </c>
      <c r="D330" s="14">
        <f t="shared" si="443"/>
        <v>391.29999999999995</v>
      </c>
      <c r="E330" s="14">
        <f t="shared" si="428"/>
        <v>58.98</v>
      </c>
      <c r="F330" s="14">
        <f t="shared" si="495"/>
        <v>134.16999999999999</v>
      </c>
      <c r="G330" s="14">
        <f t="shared" si="491"/>
        <v>188.55</v>
      </c>
      <c r="H330" s="14">
        <f t="shared" si="492"/>
        <v>773</v>
      </c>
      <c r="I330" s="285">
        <f t="shared" si="496"/>
        <v>79049.09</v>
      </c>
      <c r="J330" s="285">
        <f t="shared" si="497"/>
        <v>63543.229999999974</v>
      </c>
      <c r="K330" s="285">
        <f t="shared" si="498"/>
        <v>18482.749999999945</v>
      </c>
      <c r="L330" s="425">
        <f t="shared" si="479"/>
        <v>22</v>
      </c>
      <c r="M330" s="425">
        <f t="shared" si="435"/>
        <v>271</v>
      </c>
      <c r="N330" s="285">
        <f t="shared" si="436"/>
        <v>114472.9</v>
      </c>
      <c r="O330" s="285">
        <f t="shared" si="510"/>
        <v>1610.57</v>
      </c>
      <c r="P330" s="285">
        <f t="shared" si="444"/>
        <v>1014.3599999999999</v>
      </c>
      <c r="Q330" s="285">
        <f t="shared" si="511"/>
        <v>596.21</v>
      </c>
      <c r="R330" s="285">
        <f t="shared" si="502"/>
        <v>134.16999999999999</v>
      </c>
      <c r="S330" s="285">
        <f t="shared" si="503"/>
        <v>188.55</v>
      </c>
      <c r="T330" s="285">
        <f t="shared" si="499"/>
        <v>1933.29</v>
      </c>
      <c r="U330" s="285">
        <f t="shared" si="445"/>
        <v>148117.45999999996</v>
      </c>
      <c r="V330" s="285">
        <f t="shared" si="446"/>
        <v>289957.58</v>
      </c>
      <c r="W330" s="285">
        <f t="shared" si="500"/>
        <v>113458.54</v>
      </c>
      <c r="X330" s="502">
        <f t="shared" si="437"/>
        <v>53859</v>
      </c>
      <c r="Y330" s="285">
        <f t="shared" si="512"/>
        <v>269164.66000000021</v>
      </c>
      <c r="Z330" s="494">
        <f t="shared" si="429"/>
        <v>6.25E-2</v>
      </c>
      <c r="AA330" s="285">
        <f t="shared" si="430"/>
        <v>1630.04</v>
      </c>
      <c r="AB330" s="285">
        <f t="shared" si="513"/>
        <v>228.13999999999987</v>
      </c>
      <c r="AC330" s="285">
        <f t="shared" si="431"/>
        <v>1401.9</v>
      </c>
      <c r="AD330" s="285">
        <f t="shared" ref="AD330:AE330" si="530">+AD329</f>
        <v>134.16999999999999</v>
      </c>
      <c r="AE330" s="285">
        <f t="shared" si="530"/>
        <v>188.55</v>
      </c>
      <c r="AF330" s="285">
        <f t="shared" si="515"/>
        <v>1952.76</v>
      </c>
      <c r="AG330" s="285">
        <f t="shared" si="516"/>
        <v>62256.879999999939</v>
      </c>
      <c r="AH330" s="285">
        <f t="shared" si="517"/>
        <v>375340.20000000042</v>
      </c>
      <c r="AI330" s="512">
        <f t="shared" si="505"/>
        <v>477.95999999997116</v>
      </c>
      <c r="AJ330" s="512">
        <f t="shared" si="458"/>
        <v>-155477.98000000021</v>
      </c>
      <c r="AK330" s="512">
        <f t="shared" si="506"/>
        <v>-155000.02000000025</v>
      </c>
      <c r="AL330" s="285">
        <f t="shared" si="518"/>
        <v>268936.52000000019</v>
      </c>
      <c r="AM330" s="425">
        <f t="shared" si="439"/>
        <v>22</v>
      </c>
      <c r="AN330" s="14">
        <f t="shared" si="507"/>
        <v>1160.29</v>
      </c>
      <c r="AO330" s="14">
        <f t="shared" si="477"/>
        <v>164897.03000000003</v>
      </c>
      <c r="AP330" s="14">
        <f t="shared" si="508"/>
        <v>1179.76</v>
      </c>
      <c r="AS330" s="14">
        <f t="shared" si="433"/>
        <v>1160.29</v>
      </c>
      <c r="AT330" s="14">
        <f t="shared" si="440"/>
        <v>315118.31999999966</v>
      </c>
      <c r="AU330" s="285">
        <f t="shared" si="441"/>
        <v>1435.8795491731964</v>
      </c>
      <c r="AV330" s="285">
        <f t="shared" si="442"/>
        <v>314211.69921845169</v>
      </c>
    </row>
    <row r="331" spans="1:48" x14ac:dyDescent="0.25">
      <c r="A331" s="502">
        <f t="shared" si="494"/>
        <v>53889</v>
      </c>
      <c r="B331" s="285">
        <f t="shared" si="434"/>
        <v>18482.749999999945</v>
      </c>
      <c r="C331" s="14">
        <f t="shared" si="427"/>
        <v>450.28</v>
      </c>
      <c r="D331" s="14">
        <f t="shared" si="443"/>
        <v>392.52</v>
      </c>
      <c r="E331" s="14">
        <f t="shared" si="428"/>
        <v>57.76</v>
      </c>
      <c r="F331" s="14">
        <f t="shared" si="495"/>
        <v>134.16999999999999</v>
      </c>
      <c r="G331" s="14">
        <f t="shared" si="491"/>
        <v>188.55</v>
      </c>
      <c r="H331" s="14">
        <f t="shared" si="492"/>
        <v>773</v>
      </c>
      <c r="I331" s="285">
        <f t="shared" si="496"/>
        <v>79441.61</v>
      </c>
      <c r="J331" s="285">
        <f t="shared" si="497"/>
        <v>63600.989999999976</v>
      </c>
      <c r="K331" s="285">
        <f t="shared" si="498"/>
        <v>18090.229999999945</v>
      </c>
      <c r="L331" s="425">
        <f t="shared" si="479"/>
        <v>22</v>
      </c>
      <c r="M331" s="425">
        <f t="shared" si="435"/>
        <v>272</v>
      </c>
      <c r="N331" s="285">
        <f t="shared" si="436"/>
        <v>113458.54</v>
      </c>
      <c r="O331" s="285">
        <f t="shared" si="510"/>
        <v>1610.57</v>
      </c>
      <c r="P331" s="285">
        <f t="shared" si="444"/>
        <v>1019.64</v>
      </c>
      <c r="Q331" s="285">
        <f t="shared" si="511"/>
        <v>590.92999999999995</v>
      </c>
      <c r="R331" s="285">
        <f t="shared" si="502"/>
        <v>134.16999999999999</v>
      </c>
      <c r="S331" s="285">
        <f t="shared" si="503"/>
        <v>188.55</v>
      </c>
      <c r="T331" s="285">
        <f t="shared" si="499"/>
        <v>1933.29</v>
      </c>
      <c r="U331" s="285">
        <f t="shared" si="445"/>
        <v>149137.09999999998</v>
      </c>
      <c r="V331" s="285">
        <f t="shared" si="446"/>
        <v>290548.51</v>
      </c>
      <c r="W331" s="285">
        <f t="shared" si="500"/>
        <v>112438.9</v>
      </c>
      <c r="X331" s="502">
        <f t="shared" si="437"/>
        <v>53889</v>
      </c>
      <c r="Y331" s="285">
        <f t="shared" si="512"/>
        <v>268936.52000000019</v>
      </c>
      <c r="Z331" s="494">
        <f t="shared" si="429"/>
        <v>6.25E-2</v>
      </c>
      <c r="AA331" s="285">
        <f t="shared" si="430"/>
        <v>1630.04</v>
      </c>
      <c r="AB331" s="285">
        <f t="shared" si="513"/>
        <v>229.32999999999993</v>
      </c>
      <c r="AC331" s="285">
        <f t="shared" si="431"/>
        <v>1400.71</v>
      </c>
      <c r="AD331" s="285">
        <f t="shared" ref="AD331:AE331" si="531">+AD330</f>
        <v>134.16999999999999</v>
      </c>
      <c r="AE331" s="285">
        <f t="shared" si="531"/>
        <v>188.55</v>
      </c>
      <c r="AF331" s="285">
        <f t="shared" si="515"/>
        <v>1952.76</v>
      </c>
      <c r="AG331" s="285">
        <f t="shared" si="516"/>
        <v>62486.209999999941</v>
      </c>
      <c r="AH331" s="285">
        <f t="shared" si="517"/>
        <v>376740.91000000044</v>
      </c>
      <c r="AI331" s="512">
        <f t="shared" si="505"/>
        <v>458.48999999997113</v>
      </c>
      <c r="AJ331" s="512">
        <f t="shared" si="458"/>
        <v>-156268.29000000018</v>
      </c>
      <c r="AK331" s="512">
        <f t="shared" si="506"/>
        <v>-155809.80000000022</v>
      </c>
      <c r="AL331" s="285">
        <f t="shared" si="518"/>
        <v>268707.19000000018</v>
      </c>
      <c r="AM331" s="425">
        <f t="shared" si="439"/>
        <v>22</v>
      </c>
      <c r="AN331" s="14">
        <f t="shared" si="507"/>
        <v>1160.29</v>
      </c>
      <c r="AO331" s="14">
        <f t="shared" si="477"/>
        <v>164269.91000000003</v>
      </c>
      <c r="AP331" s="14">
        <f t="shared" si="508"/>
        <v>1179.76</v>
      </c>
      <c r="AS331" s="14">
        <f t="shared" si="433"/>
        <v>1160.29</v>
      </c>
      <c r="AT331" s="14">
        <f t="shared" si="440"/>
        <v>316278.60999999964</v>
      </c>
      <c r="AU331" s="285">
        <f t="shared" si="441"/>
        <v>1439.4692480461292</v>
      </c>
      <c r="AV331" s="285">
        <f t="shared" si="442"/>
        <v>315651.16846649779</v>
      </c>
    </row>
    <row r="332" spans="1:48" x14ac:dyDescent="0.25">
      <c r="A332" s="502">
        <f t="shared" si="494"/>
        <v>53919</v>
      </c>
      <c r="B332" s="285">
        <f t="shared" si="434"/>
        <v>18090.229999999945</v>
      </c>
      <c r="C332" s="14">
        <f t="shared" si="427"/>
        <v>450.28</v>
      </c>
      <c r="D332" s="14">
        <f t="shared" si="443"/>
        <v>393.75</v>
      </c>
      <c r="E332" s="14">
        <f t="shared" si="428"/>
        <v>56.53</v>
      </c>
      <c r="F332" s="14">
        <f t="shared" si="495"/>
        <v>134.16999999999999</v>
      </c>
      <c r="G332" s="14">
        <f t="shared" si="491"/>
        <v>188.55</v>
      </c>
      <c r="H332" s="14">
        <f t="shared" si="492"/>
        <v>773</v>
      </c>
      <c r="I332" s="285">
        <f t="shared" si="496"/>
        <v>79835.360000000001</v>
      </c>
      <c r="J332" s="285">
        <f t="shared" si="497"/>
        <v>63657.519999999975</v>
      </c>
      <c r="K332" s="285">
        <f t="shared" si="498"/>
        <v>17696.479999999945</v>
      </c>
      <c r="L332" s="425">
        <f t="shared" si="479"/>
        <v>22</v>
      </c>
      <c r="M332" s="425">
        <f t="shared" si="435"/>
        <v>273</v>
      </c>
      <c r="N332" s="285">
        <f t="shared" si="436"/>
        <v>112438.9</v>
      </c>
      <c r="O332" s="285">
        <f t="shared" si="510"/>
        <v>1610.57</v>
      </c>
      <c r="P332" s="285">
        <f t="shared" si="444"/>
        <v>1024.9499999999998</v>
      </c>
      <c r="Q332" s="285">
        <f t="shared" si="511"/>
        <v>585.62</v>
      </c>
      <c r="R332" s="285">
        <f t="shared" si="502"/>
        <v>134.16999999999999</v>
      </c>
      <c r="S332" s="285">
        <f t="shared" si="503"/>
        <v>188.55</v>
      </c>
      <c r="T332" s="285">
        <f t="shared" si="499"/>
        <v>1933.2899999999997</v>
      </c>
      <c r="U332" s="285">
        <f t="shared" si="445"/>
        <v>150162.04999999999</v>
      </c>
      <c r="V332" s="285">
        <f t="shared" si="446"/>
        <v>291134.13</v>
      </c>
      <c r="W332" s="285">
        <f t="shared" si="500"/>
        <v>111413.95</v>
      </c>
      <c r="X332" s="502">
        <f t="shared" si="437"/>
        <v>53919</v>
      </c>
      <c r="Y332" s="285">
        <f t="shared" si="512"/>
        <v>268707.19000000018</v>
      </c>
      <c r="Z332" s="494">
        <f t="shared" si="429"/>
        <v>6.25E-2</v>
      </c>
      <c r="AA332" s="285">
        <f t="shared" si="430"/>
        <v>1630.04</v>
      </c>
      <c r="AB332" s="285">
        <f t="shared" si="513"/>
        <v>230.51999999999998</v>
      </c>
      <c r="AC332" s="285">
        <f t="shared" si="431"/>
        <v>1399.52</v>
      </c>
      <c r="AD332" s="285">
        <f t="shared" ref="AD332:AE332" si="532">+AD331</f>
        <v>134.16999999999999</v>
      </c>
      <c r="AE332" s="285">
        <f t="shared" si="532"/>
        <v>188.55</v>
      </c>
      <c r="AF332" s="285">
        <f t="shared" si="515"/>
        <v>1952.76</v>
      </c>
      <c r="AG332" s="285">
        <f t="shared" si="516"/>
        <v>62716.729999999938</v>
      </c>
      <c r="AH332" s="285">
        <f t="shared" si="517"/>
        <v>378140.43000000046</v>
      </c>
      <c r="AI332" s="512">
        <f t="shared" si="505"/>
        <v>439.01999999997111</v>
      </c>
      <c r="AJ332" s="512">
        <f t="shared" si="458"/>
        <v>-157062.72000000015</v>
      </c>
      <c r="AK332" s="512">
        <f t="shared" si="506"/>
        <v>-156623.70000000019</v>
      </c>
      <c r="AL332" s="285">
        <f t="shared" si="518"/>
        <v>268476.67000000016</v>
      </c>
      <c r="AM332" s="425">
        <f t="shared" si="439"/>
        <v>22</v>
      </c>
      <c r="AN332" s="14">
        <f t="shared" si="507"/>
        <v>1160.29</v>
      </c>
      <c r="AO332" s="14">
        <f t="shared" si="477"/>
        <v>163638.71000000002</v>
      </c>
      <c r="AP332" s="14">
        <f t="shared" si="508"/>
        <v>1179.76</v>
      </c>
      <c r="AS332" s="14">
        <f t="shared" si="433"/>
        <v>1160.29</v>
      </c>
      <c r="AT332" s="14">
        <f t="shared" si="440"/>
        <v>317438.89999999962</v>
      </c>
      <c r="AU332" s="285">
        <f t="shared" si="441"/>
        <v>1443.0679211662446</v>
      </c>
      <c r="AV332" s="285">
        <f t="shared" si="442"/>
        <v>317094.23638766404</v>
      </c>
    </row>
    <row r="333" spans="1:48" x14ac:dyDescent="0.25">
      <c r="A333" s="502">
        <f t="shared" si="494"/>
        <v>53949</v>
      </c>
      <c r="B333" s="285">
        <f t="shared" si="434"/>
        <v>17696.479999999945</v>
      </c>
      <c r="C333" s="14">
        <f t="shared" si="427"/>
        <v>450.28</v>
      </c>
      <c r="D333" s="14">
        <f t="shared" si="443"/>
        <v>394.97999999999996</v>
      </c>
      <c r="E333" s="14">
        <f t="shared" si="428"/>
        <v>55.3</v>
      </c>
      <c r="F333" s="14">
        <f t="shared" si="495"/>
        <v>134.16999999999999</v>
      </c>
      <c r="G333" s="14">
        <f t="shared" si="491"/>
        <v>188.55</v>
      </c>
      <c r="H333" s="14">
        <f t="shared" si="492"/>
        <v>773</v>
      </c>
      <c r="I333" s="285">
        <f t="shared" si="496"/>
        <v>80230.34</v>
      </c>
      <c r="J333" s="285">
        <f t="shared" si="497"/>
        <v>63712.819999999978</v>
      </c>
      <c r="K333" s="285">
        <f t="shared" si="498"/>
        <v>17301.499999999945</v>
      </c>
      <c r="L333" s="425">
        <f t="shared" si="479"/>
        <v>22</v>
      </c>
      <c r="M333" s="425">
        <f t="shared" si="435"/>
        <v>274</v>
      </c>
      <c r="N333" s="285">
        <f t="shared" si="436"/>
        <v>111413.95</v>
      </c>
      <c r="O333" s="285">
        <f t="shared" si="510"/>
        <v>1610.57</v>
      </c>
      <c r="P333" s="285">
        <f t="shared" si="444"/>
        <v>1030.29</v>
      </c>
      <c r="Q333" s="285">
        <f t="shared" si="511"/>
        <v>580.28</v>
      </c>
      <c r="R333" s="285">
        <f t="shared" si="502"/>
        <v>134.16999999999999</v>
      </c>
      <c r="S333" s="285">
        <f t="shared" si="503"/>
        <v>188.55</v>
      </c>
      <c r="T333" s="285">
        <f t="shared" si="499"/>
        <v>1933.29</v>
      </c>
      <c r="U333" s="285">
        <f t="shared" si="445"/>
        <v>151192.34</v>
      </c>
      <c r="V333" s="285">
        <f t="shared" si="446"/>
        <v>291714.41000000003</v>
      </c>
      <c r="W333" s="285">
        <f t="shared" si="500"/>
        <v>110383.66</v>
      </c>
      <c r="X333" s="502">
        <f t="shared" si="437"/>
        <v>53949</v>
      </c>
      <c r="Y333" s="285">
        <f t="shared" si="512"/>
        <v>268476.67000000016</v>
      </c>
      <c r="Z333" s="494">
        <f t="shared" si="429"/>
        <v>6.25E-2</v>
      </c>
      <c r="AA333" s="285">
        <f t="shared" si="430"/>
        <v>1630.04</v>
      </c>
      <c r="AB333" s="285">
        <f t="shared" si="513"/>
        <v>231.72000000000003</v>
      </c>
      <c r="AC333" s="285">
        <f t="shared" si="431"/>
        <v>1398.32</v>
      </c>
      <c r="AD333" s="285">
        <f t="shared" ref="AD333:AE333" si="533">+AD332</f>
        <v>134.16999999999999</v>
      </c>
      <c r="AE333" s="285">
        <f t="shared" si="533"/>
        <v>188.55</v>
      </c>
      <c r="AF333" s="285">
        <f t="shared" si="515"/>
        <v>1952.76</v>
      </c>
      <c r="AG333" s="285">
        <f t="shared" si="516"/>
        <v>62948.449999999939</v>
      </c>
      <c r="AH333" s="285">
        <f t="shared" si="517"/>
        <v>379538.75000000047</v>
      </c>
      <c r="AI333" s="512">
        <f t="shared" si="505"/>
        <v>419.54999999997108</v>
      </c>
      <c r="AJ333" s="512">
        <f t="shared" si="458"/>
        <v>-157861.29000000018</v>
      </c>
      <c r="AK333" s="512">
        <f t="shared" si="506"/>
        <v>-157441.74000000022</v>
      </c>
      <c r="AL333" s="285">
        <f t="shared" si="518"/>
        <v>268244.95000000019</v>
      </c>
      <c r="AM333" s="425">
        <f t="shared" si="439"/>
        <v>22</v>
      </c>
      <c r="AN333" s="14">
        <f t="shared" si="507"/>
        <v>1160.29</v>
      </c>
      <c r="AO333" s="14">
        <f t="shared" si="477"/>
        <v>163003.4</v>
      </c>
      <c r="AP333" s="14">
        <f t="shared" si="508"/>
        <v>1179.76</v>
      </c>
      <c r="AS333" s="14">
        <f t="shared" si="433"/>
        <v>1160.29</v>
      </c>
      <c r="AT333" s="14">
        <f t="shared" si="440"/>
        <v>318599.18999999959</v>
      </c>
      <c r="AU333" s="285">
        <f t="shared" si="441"/>
        <v>1446.6755909691599</v>
      </c>
      <c r="AV333" s="285">
        <f t="shared" si="442"/>
        <v>318540.9119786332</v>
      </c>
    </row>
    <row r="334" spans="1:48" x14ac:dyDescent="0.25">
      <c r="A334" s="502">
        <f t="shared" si="494"/>
        <v>53979</v>
      </c>
      <c r="B334" s="285">
        <f t="shared" si="434"/>
        <v>17301.499999999945</v>
      </c>
      <c r="C334" s="14">
        <f t="shared" si="427"/>
        <v>450.28</v>
      </c>
      <c r="D334" s="14">
        <f t="shared" si="443"/>
        <v>396.21</v>
      </c>
      <c r="E334" s="14">
        <f t="shared" si="428"/>
        <v>54.07</v>
      </c>
      <c r="F334" s="14">
        <f t="shared" si="495"/>
        <v>134.16999999999999</v>
      </c>
      <c r="G334" s="14">
        <f t="shared" si="491"/>
        <v>188.55</v>
      </c>
      <c r="H334" s="14">
        <f t="shared" si="492"/>
        <v>773</v>
      </c>
      <c r="I334" s="285">
        <f t="shared" si="496"/>
        <v>80626.55</v>
      </c>
      <c r="J334" s="285">
        <f t="shared" si="497"/>
        <v>63766.889999999978</v>
      </c>
      <c r="K334" s="285">
        <f t="shared" si="498"/>
        <v>16905.289999999946</v>
      </c>
      <c r="L334" s="425">
        <f t="shared" si="479"/>
        <v>22</v>
      </c>
      <c r="M334" s="425">
        <f t="shared" si="435"/>
        <v>275</v>
      </c>
      <c r="N334" s="285">
        <f t="shared" si="436"/>
        <v>110383.66</v>
      </c>
      <c r="O334" s="285">
        <f t="shared" si="510"/>
        <v>1610.57</v>
      </c>
      <c r="P334" s="285">
        <f t="shared" si="444"/>
        <v>1035.6599999999999</v>
      </c>
      <c r="Q334" s="285">
        <f t="shared" si="511"/>
        <v>574.91</v>
      </c>
      <c r="R334" s="285">
        <f t="shared" si="502"/>
        <v>134.16999999999999</v>
      </c>
      <c r="S334" s="285">
        <f t="shared" si="503"/>
        <v>188.55</v>
      </c>
      <c r="T334" s="285">
        <f t="shared" si="499"/>
        <v>1933.2899999999997</v>
      </c>
      <c r="U334" s="285">
        <f t="shared" si="445"/>
        <v>152228</v>
      </c>
      <c r="V334" s="285">
        <f t="shared" si="446"/>
        <v>292289.32</v>
      </c>
      <c r="W334" s="285">
        <f t="shared" si="500"/>
        <v>109348</v>
      </c>
      <c r="X334" s="502">
        <f t="shared" si="437"/>
        <v>53979</v>
      </c>
      <c r="Y334" s="285">
        <f t="shared" si="512"/>
        <v>268244.95000000019</v>
      </c>
      <c r="Z334" s="494">
        <f t="shared" si="429"/>
        <v>6.25E-2</v>
      </c>
      <c r="AA334" s="285">
        <f t="shared" si="430"/>
        <v>1630.04</v>
      </c>
      <c r="AB334" s="285">
        <f t="shared" si="513"/>
        <v>232.93000000000006</v>
      </c>
      <c r="AC334" s="285">
        <f t="shared" si="431"/>
        <v>1397.11</v>
      </c>
      <c r="AD334" s="285">
        <f t="shared" ref="AD334:AE334" si="534">+AD333</f>
        <v>134.16999999999999</v>
      </c>
      <c r="AE334" s="285">
        <f t="shared" si="534"/>
        <v>188.55</v>
      </c>
      <c r="AF334" s="285">
        <f t="shared" si="515"/>
        <v>1952.76</v>
      </c>
      <c r="AG334" s="285">
        <f t="shared" si="516"/>
        <v>63181.379999999939</v>
      </c>
      <c r="AH334" s="285">
        <f t="shared" si="517"/>
        <v>380935.86000000045</v>
      </c>
      <c r="AI334" s="512">
        <f t="shared" si="505"/>
        <v>400.07999999997105</v>
      </c>
      <c r="AJ334" s="512">
        <f t="shared" si="458"/>
        <v>-158664.02000000019</v>
      </c>
      <c r="AK334" s="512">
        <f t="shared" si="506"/>
        <v>-158263.94000000024</v>
      </c>
      <c r="AL334" s="285">
        <f t="shared" si="518"/>
        <v>268012.02000000019</v>
      </c>
      <c r="AM334" s="425">
        <f t="shared" si="439"/>
        <v>22</v>
      </c>
      <c r="AN334" s="14">
        <f t="shared" si="507"/>
        <v>1160.29</v>
      </c>
      <c r="AO334" s="14">
        <f t="shared" si="477"/>
        <v>162363.95000000001</v>
      </c>
      <c r="AP334" s="14">
        <f t="shared" si="508"/>
        <v>1179.76</v>
      </c>
      <c r="AS334" s="14">
        <f t="shared" si="433"/>
        <v>1160.29</v>
      </c>
      <c r="AT334" s="14">
        <f t="shared" si="440"/>
        <v>319759.47999999957</v>
      </c>
      <c r="AU334" s="285">
        <f t="shared" si="441"/>
        <v>1450.292279946583</v>
      </c>
      <c r="AV334" s="285">
        <f t="shared" si="442"/>
        <v>319991.20425857976</v>
      </c>
    </row>
    <row r="335" spans="1:48" x14ac:dyDescent="0.25">
      <c r="A335" s="502">
        <f t="shared" si="494"/>
        <v>54009</v>
      </c>
      <c r="B335" s="285">
        <f t="shared" si="434"/>
        <v>16905.289999999946</v>
      </c>
      <c r="C335" s="14">
        <f t="shared" ref="C335:C398" si="535">IF(+$K334&lt;=0,0,$C$5)</f>
        <v>450.28</v>
      </c>
      <c r="D335" s="14">
        <f t="shared" si="443"/>
        <v>397.45</v>
      </c>
      <c r="E335" s="14">
        <f t="shared" ref="E335:E398" si="536">ROUND($B335*($C$3/12), 2)</f>
        <v>52.83</v>
      </c>
      <c r="F335" s="14">
        <f t="shared" si="495"/>
        <v>134.16999999999999</v>
      </c>
      <c r="G335" s="14">
        <f t="shared" si="491"/>
        <v>188.55</v>
      </c>
      <c r="H335" s="14">
        <f t="shared" si="492"/>
        <v>773</v>
      </c>
      <c r="I335" s="285">
        <f t="shared" si="496"/>
        <v>81024</v>
      </c>
      <c r="J335" s="285">
        <f t="shared" si="497"/>
        <v>63819.719999999979</v>
      </c>
      <c r="K335" s="285">
        <f t="shared" si="498"/>
        <v>16507.839999999946</v>
      </c>
      <c r="L335" s="425">
        <f t="shared" si="479"/>
        <v>23</v>
      </c>
      <c r="M335" s="425">
        <f t="shared" si="435"/>
        <v>276</v>
      </c>
      <c r="N335" s="285">
        <f t="shared" si="436"/>
        <v>109348</v>
      </c>
      <c r="O335" s="285">
        <f t="shared" si="510"/>
        <v>1610.57</v>
      </c>
      <c r="P335" s="285">
        <f t="shared" si="444"/>
        <v>1041.05</v>
      </c>
      <c r="Q335" s="285">
        <f t="shared" si="511"/>
        <v>569.52</v>
      </c>
      <c r="R335" s="285">
        <f t="shared" si="502"/>
        <v>134.16999999999999</v>
      </c>
      <c r="S335" s="285">
        <f t="shared" si="503"/>
        <v>188.55</v>
      </c>
      <c r="T335" s="285">
        <f t="shared" si="499"/>
        <v>1933.29</v>
      </c>
      <c r="U335" s="285">
        <f t="shared" si="445"/>
        <v>153269.04999999999</v>
      </c>
      <c r="V335" s="285">
        <f t="shared" si="446"/>
        <v>292858.84000000003</v>
      </c>
      <c r="W335" s="285">
        <f t="shared" si="500"/>
        <v>108306.95</v>
      </c>
      <c r="X335" s="502">
        <f t="shared" si="437"/>
        <v>54009</v>
      </c>
      <c r="Y335" s="285">
        <f t="shared" si="512"/>
        <v>268012.02000000019</v>
      </c>
      <c r="Z335" s="494">
        <f t="shared" ref="Z335:Z398" si="537">IF(L335&gt;4,$AA$9,$AA$8)</f>
        <v>6.25E-2</v>
      </c>
      <c r="AA335" s="285">
        <f t="shared" ref="AA335:AA398" si="538">IF($O$9&lt;=$A335,IF(+AL334&lt;=0,0,IF(Z335=$AA$8,$Z$8,$Z$9)),0)</f>
        <v>1630.04</v>
      </c>
      <c r="AB335" s="285">
        <f t="shared" si="513"/>
        <v>234.13999999999987</v>
      </c>
      <c r="AC335" s="285">
        <f t="shared" ref="AC335:AC398" si="539">IF($O$9&lt;=$A335,ROUND(Y335*(Z335/12),2),0)</f>
        <v>1395.9</v>
      </c>
      <c r="AD335" s="285">
        <f t="shared" ref="AD335:AE335" si="540">+AD334</f>
        <v>134.16999999999999</v>
      </c>
      <c r="AE335" s="285">
        <f t="shared" si="540"/>
        <v>188.55</v>
      </c>
      <c r="AF335" s="285">
        <f t="shared" si="515"/>
        <v>1952.76</v>
      </c>
      <c r="AG335" s="285">
        <f t="shared" si="516"/>
        <v>63415.519999999939</v>
      </c>
      <c r="AH335" s="285">
        <f t="shared" si="517"/>
        <v>382331.76000000047</v>
      </c>
      <c r="AI335" s="512">
        <f t="shared" si="505"/>
        <v>380.60999999997102</v>
      </c>
      <c r="AJ335" s="512">
        <f t="shared" si="458"/>
        <v>-159470.93000000017</v>
      </c>
      <c r="AK335" s="512">
        <f t="shared" si="506"/>
        <v>-159090.32000000021</v>
      </c>
      <c r="AL335" s="285">
        <f t="shared" si="518"/>
        <v>267777.88000000018</v>
      </c>
      <c r="AM335" s="425">
        <f t="shared" si="439"/>
        <v>23</v>
      </c>
      <c r="AN335" s="14">
        <f t="shared" si="507"/>
        <v>1160.29</v>
      </c>
      <c r="AO335" s="14">
        <f t="shared" si="477"/>
        <v>161720.35000000003</v>
      </c>
      <c r="AP335" s="14">
        <f t="shared" si="508"/>
        <v>1179.76</v>
      </c>
      <c r="AS335" s="14">
        <f t="shared" ref="AS335:AS398" si="541">+AN335-AR335</f>
        <v>1160.29</v>
      </c>
      <c r="AT335" s="14">
        <f t="shared" si="440"/>
        <v>320919.76999999955</v>
      </c>
      <c r="AU335" s="285">
        <f t="shared" si="441"/>
        <v>1453.9180106464494</v>
      </c>
      <c r="AV335" s="285">
        <f t="shared" si="442"/>
        <v>321445.12226922624</v>
      </c>
    </row>
    <row r="336" spans="1:48" x14ac:dyDescent="0.25">
      <c r="A336" s="502">
        <f t="shared" si="494"/>
        <v>54039</v>
      </c>
      <c r="B336" s="285">
        <f t="shared" ref="B336:B373" si="542">IF(+K335&lt;0,0,+K335)</f>
        <v>16507.839999999946</v>
      </c>
      <c r="C336" s="14">
        <f t="shared" si="535"/>
        <v>450.28</v>
      </c>
      <c r="D336" s="14">
        <f t="shared" si="443"/>
        <v>398.68999999999994</v>
      </c>
      <c r="E336" s="14">
        <f t="shared" si="536"/>
        <v>51.59</v>
      </c>
      <c r="F336" s="14">
        <f t="shared" si="495"/>
        <v>134.16999999999999</v>
      </c>
      <c r="G336" s="14">
        <f t="shared" si="491"/>
        <v>188.55</v>
      </c>
      <c r="H336" s="14">
        <f t="shared" si="492"/>
        <v>773</v>
      </c>
      <c r="I336" s="285">
        <f t="shared" si="496"/>
        <v>81422.69</v>
      </c>
      <c r="J336" s="285">
        <f t="shared" si="497"/>
        <v>63871.309999999976</v>
      </c>
      <c r="K336" s="285">
        <f t="shared" si="498"/>
        <v>16109.149999999945</v>
      </c>
      <c r="L336" s="425">
        <f t="shared" si="479"/>
        <v>23</v>
      </c>
      <c r="M336" s="425">
        <f t="shared" ref="M336:M399" si="543">IF(N336&lt;&gt;"",IF(N336=$O$5,0,+M335+1),0)</f>
        <v>277</v>
      </c>
      <c r="N336" s="285">
        <f t="shared" ref="N336:N399" si="544">IF(+W335&lt;0,0,+W335)</f>
        <v>108306.95</v>
      </c>
      <c r="O336" s="285">
        <f t="shared" si="510"/>
        <v>1610.57</v>
      </c>
      <c r="P336" s="285">
        <f t="shared" si="444"/>
        <v>1046.4699999999998</v>
      </c>
      <c r="Q336" s="285">
        <f t="shared" si="511"/>
        <v>564.1</v>
      </c>
      <c r="R336" s="285">
        <f t="shared" si="502"/>
        <v>134.16999999999999</v>
      </c>
      <c r="S336" s="285">
        <f t="shared" si="503"/>
        <v>188.55</v>
      </c>
      <c r="T336" s="285">
        <f t="shared" si="499"/>
        <v>1933.2899999999997</v>
      </c>
      <c r="U336" s="285">
        <f t="shared" si="445"/>
        <v>154315.51999999999</v>
      </c>
      <c r="V336" s="285">
        <f t="shared" si="446"/>
        <v>293422.94</v>
      </c>
      <c r="W336" s="285">
        <f t="shared" si="500"/>
        <v>107260.48</v>
      </c>
      <c r="X336" s="502">
        <f t="shared" ref="X336:X399" si="545">+A336</f>
        <v>54039</v>
      </c>
      <c r="Y336" s="285">
        <f t="shared" si="512"/>
        <v>267777.88000000018</v>
      </c>
      <c r="Z336" s="494">
        <f t="shared" si="537"/>
        <v>6.25E-2</v>
      </c>
      <c r="AA336" s="285">
        <f t="shared" si="538"/>
        <v>1630.04</v>
      </c>
      <c r="AB336" s="285">
        <f t="shared" si="513"/>
        <v>235.3599999999999</v>
      </c>
      <c r="AC336" s="285">
        <f t="shared" si="539"/>
        <v>1394.68</v>
      </c>
      <c r="AD336" s="285">
        <f t="shared" ref="AD336:AE336" si="546">+AD335</f>
        <v>134.16999999999999</v>
      </c>
      <c r="AE336" s="285">
        <f t="shared" si="546"/>
        <v>188.55</v>
      </c>
      <c r="AF336" s="285">
        <f t="shared" si="515"/>
        <v>1952.76</v>
      </c>
      <c r="AG336" s="285">
        <f t="shared" si="516"/>
        <v>63650.879999999939</v>
      </c>
      <c r="AH336" s="285">
        <f t="shared" si="517"/>
        <v>383726.44000000047</v>
      </c>
      <c r="AI336" s="512">
        <f t="shared" si="505"/>
        <v>361.139999999971</v>
      </c>
      <c r="AJ336" s="512">
        <f t="shared" si="458"/>
        <v>-160282.04000000021</v>
      </c>
      <c r="AK336" s="512">
        <f t="shared" si="506"/>
        <v>-159920.90000000023</v>
      </c>
      <c r="AL336" s="285">
        <f t="shared" si="518"/>
        <v>267542.52000000019</v>
      </c>
      <c r="AM336" s="425">
        <f t="shared" ref="AM336:AM399" si="547">+L336</f>
        <v>23</v>
      </c>
      <c r="AN336" s="14">
        <f t="shared" si="507"/>
        <v>1160.29</v>
      </c>
      <c r="AO336" s="14">
        <f t="shared" si="477"/>
        <v>161072.57000000004</v>
      </c>
      <c r="AP336" s="14">
        <f t="shared" si="508"/>
        <v>1179.76</v>
      </c>
      <c r="AS336" s="14">
        <f t="shared" si="541"/>
        <v>1160.29</v>
      </c>
      <c r="AT336" s="14">
        <f t="shared" ref="AT336:AT399" si="548">IF(W336&lt;=0,0,+AS336+AT335)</f>
        <v>322080.05999999953</v>
      </c>
      <c r="AU336" s="285">
        <f t="shared" ref="AU336:AU399" si="549">IF(W336&lt;=0,0,+($O$5+AV335)*$AQ$2/12)</f>
        <v>1457.5528056730654</v>
      </c>
      <c r="AV336" s="285">
        <f t="shared" ref="AV336:AV399" si="550">IF(W336&lt;=0,0,+AV335+AU336)</f>
        <v>322902.67507489928</v>
      </c>
    </row>
    <row r="337" spans="1:48" x14ac:dyDescent="0.25">
      <c r="A337" s="502">
        <f t="shared" si="494"/>
        <v>54069</v>
      </c>
      <c r="B337" s="285">
        <f t="shared" si="542"/>
        <v>16109.149999999945</v>
      </c>
      <c r="C337" s="14">
        <f t="shared" si="535"/>
        <v>450.28</v>
      </c>
      <c r="D337" s="14">
        <f t="shared" ref="D337:D400" si="551">+C337-E337</f>
        <v>399.93999999999994</v>
      </c>
      <c r="E337" s="14">
        <f t="shared" si="536"/>
        <v>50.34</v>
      </c>
      <c r="F337" s="14">
        <f t="shared" si="495"/>
        <v>134.16999999999999</v>
      </c>
      <c r="G337" s="14">
        <f t="shared" si="491"/>
        <v>188.55</v>
      </c>
      <c r="H337" s="14">
        <f t="shared" si="492"/>
        <v>773</v>
      </c>
      <c r="I337" s="285">
        <f t="shared" si="496"/>
        <v>81822.63</v>
      </c>
      <c r="J337" s="285">
        <f t="shared" si="497"/>
        <v>63921.649999999972</v>
      </c>
      <c r="K337" s="285">
        <f t="shared" si="498"/>
        <v>15709.209999999945</v>
      </c>
      <c r="L337" s="425">
        <f t="shared" si="479"/>
        <v>23</v>
      </c>
      <c r="M337" s="425">
        <f t="shared" si="543"/>
        <v>278</v>
      </c>
      <c r="N337" s="285">
        <f t="shared" si="544"/>
        <v>107260.48</v>
      </c>
      <c r="O337" s="285">
        <f t="shared" si="510"/>
        <v>1610.57</v>
      </c>
      <c r="P337" s="285">
        <f t="shared" ref="P337:P400" si="552">+O337-Q337</f>
        <v>1051.92</v>
      </c>
      <c r="Q337" s="285">
        <f t="shared" si="511"/>
        <v>558.65</v>
      </c>
      <c r="R337" s="285">
        <f t="shared" si="502"/>
        <v>134.16999999999999</v>
      </c>
      <c r="S337" s="285">
        <f t="shared" si="503"/>
        <v>188.55</v>
      </c>
      <c r="T337" s="285">
        <f t="shared" si="499"/>
        <v>1933.2900000000002</v>
      </c>
      <c r="U337" s="285">
        <f t="shared" ref="U337:U400" si="553">+P337+U336</f>
        <v>155367.44</v>
      </c>
      <c r="V337" s="285">
        <f t="shared" ref="V337:V400" si="554">+V336+Q337</f>
        <v>293981.59000000003</v>
      </c>
      <c r="W337" s="285">
        <f t="shared" si="500"/>
        <v>106208.56</v>
      </c>
      <c r="X337" s="502">
        <f t="shared" si="545"/>
        <v>54069</v>
      </c>
      <c r="Y337" s="285">
        <f t="shared" si="512"/>
        <v>267542.52000000019</v>
      </c>
      <c r="Z337" s="494">
        <f t="shared" si="537"/>
        <v>6.25E-2</v>
      </c>
      <c r="AA337" s="285">
        <f t="shared" si="538"/>
        <v>1630.04</v>
      </c>
      <c r="AB337" s="285">
        <f t="shared" si="513"/>
        <v>236.58999999999992</v>
      </c>
      <c r="AC337" s="285">
        <f t="shared" si="539"/>
        <v>1393.45</v>
      </c>
      <c r="AD337" s="285">
        <f t="shared" ref="AD337:AE337" si="555">+AD336</f>
        <v>134.16999999999999</v>
      </c>
      <c r="AE337" s="285">
        <f t="shared" si="555"/>
        <v>188.55</v>
      </c>
      <c r="AF337" s="285">
        <f t="shared" si="515"/>
        <v>1952.76</v>
      </c>
      <c r="AG337" s="285">
        <f t="shared" si="516"/>
        <v>63887.469999999936</v>
      </c>
      <c r="AH337" s="285">
        <f t="shared" si="517"/>
        <v>385119.89000000048</v>
      </c>
      <c r="AI337" s="512">
        <f t="shared" si="505"/>
        <v>341.66999999997097</v>
      </c>
      <c r="AJ337" s="512">
        <f t="shared" si="458"/>
        <v>-161097.37000000017</v>
      </c>
      <c r="AK337" s="512">
        <f t="shared" si="506"/>
        <v>-160755.70000000019</v>
      </c>
      <c r="AL337" s="285">
        <f t="shared" si="518"/>
        <v>267305.93000000017</v>
      </c>
      <c r="AM337" s="425">
        <f t="shared" si="547"/>
        <v>23</v>
      </c>
      <c r="AN337" s="14">
        <f t="shared" si="507"/>
        <v>1160.29</v>
      </c>
      <c r="AO337" s="14">
        <f t="shared" si="477"/>
        <v>160420.59000000003</v>
      </c>
      <c r="AP337" s="14">
        <f t="shared" si="508"/>
        <v>1179.76</v>
      </c>
      <c r="AS337" s="14">
        <f t="shared" si="541"/>
        <v>1160.29</v>
      </c>
      <c r="AT337" s="14">
        <f t="shared" si="548"/>
        <v>323240.34999999951</v>
      </c>
      <c r="AU337" s="285">
        <f t="shared" si="549"/>
        <v>1461.1966876872484</v>
      </c>
      <c r="AV337" s="285">
        <f t="shared" si="550"/>
        <v>324363.87176258652</v>
      </c>
    </row>
    <row r="338" spans="1:48" ht="15.75" thickBot="1" x14ac:dyDescent="0.3">
      <c r="A338" s="505">
        <f t="shared" si="494"/>
        <v>54099</v>
      </c>
      <c r="B338" s="345">
        <f t="shared" si="542"/>
        <v>15709.209999999945</v>
      </c>
      <c r="C338" s="21">
        <f t="shared" si="535"/>
        <v>450.28</v>
      </c>
      <c r="D338" s="21">
        <f t="shared" si="551"/>
        <v>401.18999999999994</v>
      </c>
      <c r="E338" s="21">
        <f t="shared" si="536"/>
        <v>49.09</v>
      </c>
      <c r="F338" s="21">
        <f t="shared" si="495"/>
        <v>134.16999999999999</v>
      </c>
      <c r="G338" s="21">
        <f t="shared" si="491"/>
        <v>188.55</v>
      </c>
      <c r="H338" s="21">
        <f t="shared" si="492"/>
        <v>773</v>
      </c>
      <c r="I338" s="345">
        <f t="shared" si="496"/>
        <v>82223.820000000007</v>
      </c>
      <c r="J338" s="345">
        <f t="shared" si="497"/>
        <v>63970.739999999969</v>
      </c>
      <c r="K338" s="345">
        <f t="shared" si="498"/>
        <v>15308.019999999944</v>
      </c>
      <c r="L338" s="426">
        <f t="shared" si="479"/>
        <v>23</v>
      </c>
      <c r="M338" s="426">
        <f t="shared" si="543"/>
        <v>279</v>
      </c>
      <c r="N338" s="345">
        <f t="shared" si="544"/>
        <v>106208.56</v>
      </c>
      <c r="O338" s="345">
        <f t="shared" si="510"/>
        <v>1610.57</v>
      </c>
      <c r="P338" s="345">
        <f t="shared" si="552"/>
        <v>1057.4000000000001</v>
      </c>
      <c r="Q338" s="345">
        <f t="shared" si="511"/>
        <v>553.16999999999996</v>
      </c>
      <c r="R338" s="345">
        <f t="shared" si="502"/>
        <v>134.16999999999999</v>
      </c>
      <c r="S338" s="345">
        <f t="shared" si="503"/>
        <v>188.55</v>
      </c>
      <c r="T338" s="345">
        <f t="shared" si="499"/>
        <v>1933.2900000000002</v>
      </c>
      <c r="U338" s="345">
        <f t="shared" si="553"/>
        <v>156424.84</v>
      </c>
      <c r="V338" s="345">
        <f t="shared" si="554"/>
        <v>294534.76</v>
      </c>
      <c r="W338" s="345">
        <f t="shared" si="500"/>
        <v>105151.16</v>
      </c>
      <c r="X338" s="505">
        <f t="shared" si="545"/>
        <v>54099</v>
      </c>
      <c r="Y338" s="345">
        <f t="shared" si="512"/>
        <v>267305.93000000017</v>
      </c>
      <c r="Z338" s="495">
        <f t="shared" si="537"/>
        <v>6.25E-2</v>
      </c>
      <c r="AA338" s="345">
        <f t="shared" si="538"/>
        <v>1630.04</v>
      </c>
      <c r="AB338" s="345">
        <f t="shared" si="513"/>
        <v>237.81999999999994</v>
      </c>
      <c r="AC338" s="345">
        <f t="shared" si="539"/>
        <v>1392.22</v>
      </c>
      <c r="AD338" s="345">
        <f t="shared" ref="AD338:AE338" si="556">+AD337</f>
        <v>134.16999999999999</v>
      </c>
      <c r="AE338" s="345">
        <f t="shared" si="556"/>
        <v>188.55</v>
      </c>
      <c r="AF338" s="345">
        <f t="shared" si="515"/>
        <v>1952.76</v>
      </c>
      <c r="AG338" s="345">
        <f t="shared" si="516"/>
        <v>64125.289999999935</v>
      </c>
      <c r="AH338" s="345">
        <f t="shared" si="517"/>
        <v>386512.11000000045</v>
      </c>
      <c r="AI338" s="513">
        <f t="shared" si="505"/>
        <v>322.19999999997094</v>
      </c>
      <c r="AJ338" s="513">
        <f t="shared" si="458"/>
        <v>-161916.95000000016</v>
      </c>
      <c r="AK338" s="512">
        <f t="shared" si="506"/>
        <v>-161594.75000000017</v>
      </c>
      <c r="AL338" s="345">
        <f t="shared" si="518"/>
        <v>267068.11000000016</v>
      </c>
      <c r="AM338" s="426">
        <f t="shared" si="547"/>
        <v>23</v>
      </c>
      <c r="AN338" s="21">
        <f t="shared" si="507"/>
        <v>1160.29</v>
      </c>
      <c r="AO338" s="21">
        <f t="shared" si="477"/>
        <v>159764.38000000003</v>
      </c>
      <c r="AP338" s="21">
        <f t="shared" si="508"/>
        <v>1179.76</v>
      </c>
      <c r="AQ338" s="21"/>
      <c r="AR338" s="23"/>
      <c r="AS338" s="21">
        <f t="shared" si="541"/>
        <v>1160.29</v>
      </c>
      <c r="AT338" s="21">
        <f t="shared" si="548"/>
        <v>324400.63999999949</v>
      </c>
      <c r="AU338" s="345">
        <f t="shared" si="549"/>
        <v>1464.8496794064661</v>
      </c>
      <c r="AV338" s="345">
        <f t="shared" si="550"/>
        <v>325828.72144199297</v>
      </c>
    </row>
    <row r="339" spans="1:48" x14ac:dyDescent="0.25">
      <c r="A339" s="502">
        <f t="shared" si="494"/>
        <v>54129</v>
      </c>
      <c r="B339" s="285">
        <f t="shared" si="542"/>
        <v>15308.019999999944</v>
      </c>
      <c r="C339" s="14">
        <f t="shared" si="535"/>
        <v>450.28</v>
      </c>
      <c r="D339" s="14">
        <f t="shared" si="551"/>
        <v>402.43999999999994</v>
      </c>
      <c r="E339" s="14">
        <f t="shared" si="536"/>
        <v>47.84</v>
      </c>
      <c r="F339" s="14">
        <f t="shared" si="495"/>
        <v>134.16999999999999</v>
      </c>
      <c r="G339" s="14">
        <f t="shared" si="491"/>
        <v>188.55</v>
      </c>
      <c r="H339" s="14">
        <f t="shared" si="492"/>
        <v>773</v>
      </c>
      <c r="I339" s="285">
        <f t="shared" si="496"/>
        <v>82626.260000000009</v>
      </c>
      <c r="J339" s="285">
        <f t="shared" si="497"/>
        <v>64018.579999999965</v>
      </c>
      <c r="K339" s="285">
        <f t="shared" si="498"/>
        <v>14905.579999999944</v>
      </c>
      <c r="L339" s="425">
        <f t="shared" si="479"/>
        <v>23</v>
      </c>
      <c r="M339" s="425">
        <f t="shared" si="543"/>
        <v>280</v>
      </c>
      <c r="N339" s="285">
        <f t="shared" si="544"/>
        <v>105151.16</v>
      </c>
      <c r="O339" s="285">
        <f t="shared" si="510"/>
        <v>1610.57</v>
      </c>
      <c r="P339" s="285">
        <f t="shared" si="552"/>
        <v>1062.9099999999999</v>
      </c>
      <c r="Q339" s="285">
        <f t="shared" si="511"/>
        <v>547.66</v>
      </c>
      <c r="R339" s="285">
        <f t="shared" si="502"/>
        <v>134.16999999999999</v>
      </c>
      <c r="S339" s="285">
        <f t="shared" si="503"/>
        <v>188.55</v>
      </c>
      <c r="T339" s="285">
        <f t="shared" si="499"/>
        <v>1933.2899999999997</v>
      </c>
      <c r="U339" s="285">
        <f t="shared" si="553"/>
        <v>157487.75</v>
      </c>
      <c r="V339" s="285">
        <f t="shared" si="554"/>
        <v>295082.42</v>
      </c>
      <c r="W339" s="285">
        <f t="shared" si="500"/>
        <v>104088.25</v>
      </c>
      <c r="X339" s="502">
        <f t="shared" si="545"/>
        <v>54129</v>
      </c>
      <c r="Y339" s="285">
        <f t="shared" si="512"/>
        <v>267068.11000000016</v>
      </c>
      <c r="Z339" s="494">
        <f t="shared" si="537"/>
        <v>6.25E-2</v>
      </c>
      <c r="AA339" s="285">
        <f t="shared" si="538"/>
        <v>1630.04</v>
      </c>
      <c r="AB339" s="285">
        <f t="shared" si="513"/>
        <v>239.05999999999995</v>
      </c>
      <c r="AC339" s="285">
        <f t="shared" si="539"/>
        <v>1390.98</v>
      </c>
      <c r="AD339" s="285">
        <f t="shared" ref="AD339:AE339" si="557">+AD338</f>
        <v>134.16999999999999</v>
      </c>
      <c r="AE339" s="285">
        <f t="shared" si="557"/>
        <v>188.55</v>
      </c>
      <c r="AF339" s="285">
        <f t="shared" si="515"/>
        <v>1952.76</v>
      </c>
      <c r="AG339" s="285">
        <f t="shared" si="516"/>
        <v>64364.349999999933</v>
      </c>
      <c r="AH339" s="285">
        <f t="shared" si="517"/>
        <v>387903.09000000043</v>
      </c>
      <c r="AI339" s="512">
        <f t="shared" si="505"/>
        <v>302.72999999997091</v>
      </c>
      <c r="AJ339" s="512">
        <f t="shared" si="458"/>
        <v>-162740.80000000016</v>
      </c>
      <c r="AK339" s="512">
        <f t="shared" si="506"/>
        <v>-162438.07000000018</v>
      </c>
      <c r="AL339" s="285">
        <f t="shared" si="518"/>
        <v>266829.05000000016</v>
      </c>
      <c r="AM339" s="425">
        <f t="shared" si="547"/>
        <v>23</v>
      </c>
      <c r="AN339" s="14">
        <f t="shared" si="507"/>
        <v>1160.29</v>
      </c>
      <c r="AO339" s="14">
        <f t="shared" si="477"/>
        <v>159103.91000000003</v>
      </c>
      <c r="AP339" s="14">
        <f t="shared" si="508"/>
        <v>1179.76</v>
      </c>
      <c r="AS339" s="14">
        <f t="shared" si="541"/>
        <v>1160.29</v>
      </c>
      <c r="AT339" s="14">
        <f t="shared" si="548"/>
        <v>325560.92999999947</v>
      </c>
      <c r="AU339" s="285">
        <f t="shared" si="549"/>
        <v>1468.5118036049826</v>
      </c>
      <c r="AV339" s="285">
        <f t="shared" si="550"/>
        <v>327297.23324559792</v>
      </c>
    </row>
    <row r="340" spans="1:48" x14ac:dyDescent="0.25">
      <c r="A340" s="502">
        <f t="shared" si="494"/>
        <v>54159</v>
      </c>
      <c r="B340" s="285">
        <f t="shared" si="542"/>
        <v>14905.579999999944</v>
      </c>
      <c r="C340" s="14">
        <f t="shared" si="535"/>
        <v>450.28</v>
      </c>
      <c r="D340" s="14">
        <f t="shared" si="551"/>
        <v>403.7</v>
      </c>
      <c r="E340" s="14">
        <f t="shared" si="536"/>
        <v>46.58</v>
      </c>
      <c r="F340" s="14">
        <f t="shared" si="495"/>
        <v>134.16999999999999</v>
      </c>
      <c r="G340" s="14">
        <f t="shared" si="491"/>
        <v>188.55</v>
      </c>
      <c r="H340" s="14">
        <f t="shared" si="492"/>
        <v>773</v>
      </c>
      <c r="I340" s="285">
        <f t="shared" si="496"/>
        <v>83029.960000000006</v>
      </c>
      <c r="J340" s="285">
        <f t="shared" si="497"/>
        <v>64065.159999999967</v>
      </c>
      <c r="K340" s="285">
        <f t="shared" si="498"/>
        <v>14501.879999999943</v>
      </c>
      <c r="L340" s="425">
        <f t="shared" si="479"/>
        <v>23</v>
      </c>
      <c r="M340" s="425">
        <f t="shared" si="543"/>
        <v>281</v>
      </c>
      <c r="N340" s="285">
        <f t="shared" si="544"/>
        <v>104088.25</v>
      </c>
      <c r="O340" s="285">
        <f t="shared" si="510"/>
        <v>1610.57</v>
      </c>
      <c r="P340" s="285">
        <f t="shared" si="552"/>
        <v>1068.44</v>
      </c>
      <c r="Q340" s="285">
        <f t="shared" si="511"/>
        <v>542.13</v>
      </c>
      <c r="R340" s="285">
        <f t="shared" si="502"/>
        <v>134.16999999999999</v>
      </c>
      <c r="S340" s="285">
        <f t="shared" si="503"/>
        <v>188.55</v>
      </c>
      <c r="T340" s="285">
        <f t="shared" si="499"/>
        <v>1933.2900000000002</v>
      </c>
      <c r="U340" s="285">
        <f t="shared" si="553"/>
        <v>158556.19</v>
      </c>
      <c r="V340" s="285">
        <f t="shared" si="554"/>
        <v>295624.55</v>
      </c>
      <c r="W340" s="285">
        <f t="shared" si="500"/>
        <v>103019.81</v>
      </c>
      <c r="X340" s="502">
        <f t="shared" si="545"/>
        <v>54159</v>
      </c>
      <c r="Y340" s="285">
        <f t="shared" si="512"/>
        <v>266829.05000000016</v>
      </c>
      <c r="Z340" s="494">
        <f t="shared" si="537"/>
        <v>6.25E-2</v>
      </c>
      <c r="AA340" s="285">
        <f t="shared" si="538"/>
        <v>1630.04</v>
      </c>
      <c r="AB340" s="285">
        <f t="shared" si="513"/>
        <v>240.30999999999995</v>
      </c>
      <c r="AC340" s="285">
        <f t="shared" si="539"/>
        <v>1389.73</v>
      </c>
      <c r="AD340" s="285">
        <f t="shared" ref="AD340:AE340" si="558">+AD339</f>
        <v>134.16999999999999</v>
      </c>
      <c r="AE340" s="285">
        <f t="shared" si="558"/>
        <v>188.55</v>
      </c>
      <c r="AF340" s="285">
        <f t="shared" si="515"/>
        <v>1952.76</v>
      </c>
      <c r="AG340" s="285">
        <f t="shared" si="516"/>
        <v>64604.659999999931</v>
      </c>
      <c r="AH340" s="285">
        <f t="shared" si="517"/>
        <v>389292.82000000041</v>
      </c>
      <c r="AI340" s="512">
        <f t="shared" si="505"/>
        <v>283.25999999997089</v>
      </c>
      <c r="AJ340" s="512">
        <f t="shared" si="458"/>
        <v>-163568.93000000017</v>
      </c>
      <c r="AK340" s="512">
        <f t="shared" si="506"/>
        <v>-163285.67000000019</v>
      </c>
      <c r="AL340" s="285">
        <f t="shared" si="518"/>
        <v>266588.74000000017</v>
      </c>
      <c r="AM340" s="425">
        <f t="shared" si="547"/>
        <v>23</v>
      </c>
      <c r="AN340" s="14">
        <f t="shared" si="507"/>
        <v>1160.29</v>
      </c>
      <c r="AO340" s="14">
        <f t="shared" si="477"/>
        <v>158439.17000000004</v>
      </c>
      <c r="AP340" s="14">
        <f t="shared" si="508"/>
        <v>1179.76</v>
      </c>
      <c r="AS340" s="14">
        <f t="shared" si="541"/>
        <v>1160.29</v>
      </c>
      <c r="AT340" s="14">
        <f t="shared" si="548"/>
        <v>326721.21999999945</v>
      </c>
      <c r="AU340" s="285">
        <f t="shared" si="549"/>
        <v>1472.1830831139948</v>
      </c>
      <c r="AV340" s="285">
        <f t="shared" si="550"/>
        <v>328769.4163287119</v>
      </c>
    </row>
    <row r="341" spans="1:48" x14ac:dyDescent="0.25">
      <c r="A341" s="502">
        <f t="shared" si="494"/>
        <v>54189</v>
      </c>
      <c r="B341" s="285">
        <f t="shared" si="542"/>
        <v>14501.879999999943</v>
      </c>
      <c r="C341" s="14">
        <f t="shared" si="535"/>
        <v>450.28</v>
      </c>
      <c r="D341" s="14">
        <f t="shared" si="551"/>
        <v>404.96</v>
      </c>
      <c r="E341" s="14">
        <f t="shared" si="536"/>
        <v>45.32</v>
      </c>
      <c r="F341" s="14">
        <f t="shared" si="495"/>
        <v>134.16999999999999</v>
      </c>
      <c r="G341" s="14">
        <f t="shared" si="491"/>
        <v>188.55</v>
      </c>
      <c r="H341" s="14">
        <f t="shared" si="492"/>
        <v>773</v>
      </c>
      <c r="I341" s="285">
        <f t="shared" si="496"/>
        <v>83434.920000000013</v>
      </c>
      <c r="J341" s="285">
        <f t="shared" si="497"/>
        <v>64110.479999999967</v>
      </c>
      <c r="K341" s="285">
        <f t="shared" si="498"/>
        <v>14096.919999999944</v>
      </c>
      <c r="L341" s="425">
        <f t="shared" si="479"/>
        <v>23</v>
      </c>
      <c r="M341" s="425">
        <f t="shared" si="543"/>
        <v>282</v>
      </c>
      <c r="N341" s="285">
        <f t="shared" si="544"/>
        <v>103019.81</v>
      </c>
      <c r="O341" s="285">
        <f t="shared" si="510"/>
        <v>1610.57</v>
      </c>
      <c r="P341" s="285">
        <f t="shared" si="552"/>
        <v>1074.01</v>
      </c>
      <c r="Q341" s="285">
        <f t="shared" si="511"/>
        <v>536.55999999999995</v>
      </c>
      <c r="R341" s="285">
        <f t="shared" si="502"/>
        <v>134.16999999999999</v>
      </c>
      <c r="S341" s="285">
        <f t="shared" si="503"/>
        <v>188.55</v>
      </c>
      <c r="T341" s="285">
        <f t="shared" si="499"/>
        <v>1933.29</v>
      </c>
      <c r="U341" s="285">
        <f t="shared" si="553"/>
        <v>159630.20000000001</v>
      </c>
      <c r="V341" s="285">
        <f t="shared" si="554"/>
        <v>296161.11</v>
      </c>
      <c r="W341" s="285">
        <f t="shared" si="500"/>
        <v>101945.8</v>
      </c>
      <c r="X341" s="502">
        <f t="shared" si="545"/>
        <v>54189</v>
      </c>
      <c r="Y341" s="285">
        <f t="shared" si="512"/>
        <v>266588.74000000017</v>
      </c>
      <c r="Z341" s="494">
        <f t="shared" si="537"/>
        <v>6.25E-2</v>
      </c>
      <c r="AA341" s="285">
        <f t="shared" si="538"/>
        <v>1630.04</v>
      </c>
      <c r="AB341" s="285">
        <f t="shared" si="513"/>
        <v>241.55999999999995</v>
      </c>
      <c r="AC341" s="285">
        <f t="shared" si="539"/>
        <v>1388.48</v>
      </c>
      <c r="AD341" s="285">
        <f t="shared" ref="AD341:AE341" si="559">+AD340</f>
        <v>134.16999999999999</v>
      </c>
      <c r="AE341" s="285">
        <f t="shared" si="559"/>
        <v>188.55</v>
      </c>
      <c r="AF341" s="285">
        <f t="shared" si="515"/>
        <v>1952.76</v>
      </c>
      <c r="AG341" s="285">
        <f t="shared" si="516"/>
        <v>64846.219999999928</v>
      </c>
      <c r="AH341" s="285">
        <f t="shared" si="517"/>
        <v>390681.3000000004</v>
      </c>
      <c r="AI341" s="512">
        <f t="shared" si="505"/>
        <v>263.78999999997086</v>
      </c>
      <c r="AJ341" s="512">
        <f t="shared" si="458"/>
        <v>-164401.38000000018</v>
      </c>
      <c r="AK341" s="512">
        <f t="shared" si="506"/>
        <v>-164137.5900000002</v>
      </c>
      <c r="AL341" s="285">
        <f t="shared" si="518"/>
        <v>266347.18000000017</v>
      </c>
      <c r="AM341" s="425">
        <f t="shared" si="547"/>
        <v>23</v>
      </c>
      <c r="AN341" s="14">
        <f t="shared" si="507"/>
        <v>1160.29</v>
      </c>
      <c r="AO341" s="14">
        <f t="shared" si="477"/>
        <v>157770.12000000005</v>
      </c>
      <c r="AP341" s="14">
        <f t="shared" si="508"/>
        <v>1179.76</v>
      </c>
      <c r="AS341" s="14">
        <f t="shared" si="541"/>
        <v>1160.29</v>
      </c>
      <c r="AT341" s="14">
        <f t="shared" si="548"/>
        <v>327881.50999999943</v>
      </c>
      <c r="AU341" s="285">
        <f t="shared" si="549"/>
        <v>1475.8635408217797</v>
      </c>
      <c r="AV341" s="285">
        <f t="shared" si="550"/>
        <v>330245.27986953367</v>
      </c>
    </row>
    <row r="342" spans="1:48" x14ac:dyDescent="0.25">
      <c r="A342" s="502">
        <f t="shared" si="494"/>
        <v>54219</v>
      </c>
      <c r="B342" s="285">
        <f t="shared" si="542"/>
        <v>14096.919999999944</v>
      </c>
      <c r="C342" s="14">
        <f t="shared" si="535"/>
        <v>450.28</v>
      </c>
      <c r="D342" s="14">
        <f t="shared" si="551"/>
        <v>406.22999999999996</v>
      </c>
      <c r="E342" s="14">
        <f t="shared" si="536"/>
        <v>44.05</v>
      </c>
      <c r="F342" s="14">
        <f t="shared" si="495"/>
        <v>134.16999999999999</v>
      </c>
      <c r="G342" s="14">
        <f t="shared" si="491"/>
        <v>188.55</v>
      </c>
      <c r="H342" s="14">
        <f t="shared" si="492"/>
        <v>773</v>
      </c>
      <c r="I342" s="285">
        <f t="shared" si="496"/>
        <v>83841.150000000009</v>
      </c>
      <c r="J342" s="285">
        <f t="shared" si="497"/>
        <v>64154.52999999997</v>
      </c>
      <c r="K342" s="285">
        <f t="shared" si="498"/>
        <v>13690.689999999944</v>
      </c>
      <c r="L342" s="425">
        <f t="shared" si="479"/>
        <v>23</v>
      </c>
      <c r="M342" s="425">
        <f t="shared" si="543"/>
        <v>283</v>
      </c>
      <c r="N342" s="285">
        <f t="shared" si="544"/>
        <v>101945.8</v>
      </c>
      <c r="O342" s="285">
        <f t="shared" si="510"/>
        <v>1610.57</v>
      </c>
      <c r="P342" s="285">
        <f t="shared" si="552"/>
        <v>1079.5999999999999</v>
      </c>
      <c r="Q342" s="285">
        <f t="shared" si="511"/>
        <v>530.97</v>
      </c>
      <c r="R342" s="285">
        <f t="shared" si="502"/>
        <v>134.16999999999999</v>
      </c>
      <c r="S342" s="285">
        <f t="shared" si="503"/>
        <v>188.55</v>
      </c>
      <c r="T342" s="285">
        <f t="shared" si="499"/>
        <v>1933.29</v>
      </c>
      <c r="U342" s="285">
        <f t="shared" si="553"/>
        <v>160709.80000000002</v>
      </c>
      <c r="V342" s="285">
        <f t="shared" si="554"/>
        <v>296692.07999999996</v>
      </c>
      <c r="W342" s="285">
        <f t="shared" si="500"/>
        <v>100866.2</v>
      </c>
      <c r="X342" s="502">
        <f t="shared" si="545"/>
        <v>54219</v>
      </c>
      <c r="Y342" s="285">
        <f t="shared" si="512"/>
        <v>266347.18000000017</v>
      </c>
      <c r="Z342" s="494">
        <f t="shared" si="537"/>
        <v>6.25E-2</v>
      </c>
      <c r="AA342" s="285">
        <f t="shared" si="538"/>
        <v>1630.04</v>
      </c>
      <c r="AB342" s="285">
        <f t="shared" si="513"/>
        <v>242.81999999999994</v>
      </c>
      <c r="AC342" s="285">
        <f t="shared" si="539"/>
        <v>1387.22</v>
      </c>
      <c r="AD342" s="285">
        <f t="shared" ref="AD342:AE342" si="560">+AD341</f>
        <v>134.16999999999999</v>
      </c>
      <c r="AE342" s="285">
        <f t="shared" si="560"/>
        <v>188.55</v>
      </c>
      <c r="AF342" s="285">
        <f t="shared" si="515"/>
        <v>1952.76</v>
      </c>
      <c r="AG342" s="285">
        <f t="shared" si="516"/>
        <v>65089.039999999928</v>
      </c>
      <c r="AH342" s="285">
        <f t="shared" si="517"/>
        <v>392068.52000000037</v>
      </c>
      <c r="AI342" s="512">
        <f t="shared" si="505"/>
        <v>244.31999999997083</v>
      </c>
      <c r="AJ342" s="512">
        <f t="shared" si="458"/>
        <v>-165238.16000000015</v>
      </c>
      <c r="AK342" s="512">
        <f t="shared" si="506"/>
        <v>-164993.84000000017</v>
      </c>
      <c r="AL342" s="285">
        <f t="shared" si="518"/>
        <v>266104.36000000016</v>
      </c>
      <c r="AM342" s="425">
        <f t="shared" si="547"/>
        <v>23</v>
      </c>
      <c r="AN342" s="14">
        <f t="shared" si="507"/>
        <v>1160.29</v>
      </c>
      <c r="AO342" s="14">
        <f t="shared" si="477"/>
        <v>157096.75000000003</v>
      </c>
      <c r="AP342" s="14">
        <f t="shared" si="508"/>
        <v>1179.76</v>
      </c>
      <c r="AS342" s="14">
        <f t="shared" si="541"/>
        <v>1160.29</v>
      </c>
      <c r="AT342" s="14">
        <f t="shared" si="548"/>
        <v>329041.79999999941</v>
      </c>
      <c r="AU342" s="285">
        <f t="shared" si="549"/>
        <v>1479.5531996738339</v>
      </c>
      <c r="AV342" s="285">
        <f t="shared" si="550"/>
        <v>331724.8330692075</v>
      </c>
    </row>
    <row r="343" spans="1:48" x14ac:dyDescent="0.25">
      <c r="A343" s="502">
        <f t="shared" si="494"/>
        <v>54249</v>
      </c>
      <c r="B343" s="285">
        <f t="shared" si="542"/>
        <v>13690.689999999944</v>
      </c>
      <c r="C343" s="14">
        <f t="shared" si="535"/>
        <v>450.28</v>
      </c>
      <c r="D343" s="14">
        <f t="shared" si="551"/>
        <v>407.5</v>
      </c>
      <c r="E343" s="14">
        <f t="shared" si="536"/>
        <v>42.78</v>
      </c>
      <c r="F343" s="14">
        <f t="shared" si="495"/>
        <v>134.16999999999999</v>
      </c>
      <c r="G343" s="14">
        <f t="shared" si="491"/>
        <v>188.55</v>
      </c>
      <c r="H343" s="14">
        <f t="shared" si="492"/>
        <v>773</v>
      </c>
      <c r="I343" s="285">
        <f t="shared" si="496"/>
        <v>84248.650000000009</v>
      </c>
      <c r="J343" s="285">
        <f t="shared" si="497"/>
        <v>64197.309999999969</v>
      </c>
      <c r="K343" s="285">
        <f t="shared" si="498"/>
        <v>13283.189999999944</v>
      </c>
      <c r="L343" s="425">
        <f t="shared" si="479"/>
        <v>23</v>
      </c>
      <c r="M343" s="425">
        <f t="shared" si="543"/>
        <v>284</v>
      </c>
      <c r="N343" s="285">
        <f t="shared" si="544"/>
        <v>100866.2</v>
      </c>
      <c r="O343" s="285">
        <f t="shared" si="510"/>
        <v>1610.57</v>
      </c>
      <c r="P343" s="285">
        <f t="shared" si="552"/>
        <v>1085.23</v>
      </c>
      <c r="Q343" s="285">
        <f t="shared" si="511"/>
        <v>525.34</v>
      </c>
      <c r="R343" s="285">
        <f t="shared" si="502"/>
        <v>134.16999999999999</v>
      </c>
      <c r="S343" s="285">
        <f t="shared" si="503"/>
        <v>188.55</v>
      </c>
      <c r="T343" s="285">
        <f t="shared" si="499"/>
        <v>1933.2900000000002</v>
      </c>
      <c r="U343" s="285">
        <f t="shared" si="553"/>
        <v>161795.03000000003</v>
      </c>
      <c r="V343" s="285">
        <f t="shared" si="554"/>
        <v>297217.42</v>
      </c>
      <c r="W343" s="285">
        <f t="shared" si="500"/>
        <v>99780.97</v>
      </c>
      <c r="X343" s="502">
        <f t="shared" si="545"/>
        <v>54249</v>
      </c>
      <c r="Y343" s="285">
        <f t="shared" si="512"/>
        <v>266104.36000000016</v>
      </c>
      <c r="Z343" s="494">
        <f t="shared" si="537"/>
        <v>6.25E-2</v>
      </c>
      <c r="AA343" s="285">
        <f t="shared" si="538"/>
        <v>1630.04</v>
      </c>
      <c r="AB343" s="285">
        <f t="shared" si="513"/>
        <v>244.07999999999993</v>
      </c>
      <c r="AC343" s="285">
        <f t="shared" si="539"/>
        <v>1385.96</v>
      </c>
      <c r="AD343" s="285">
        <f t="shared" ref="AD343:AE343" si="561">+AD342</f>
        <v>134.16999999999999</v>
      </c>
      <c r="AE343" s="285">
        <f t="shared" si="561"/>
        <v>188.55</v>
      </c>
      <c r="AF343" s="285">
        <f t="shared" si="515"/>
        <v>1952.76</v>
      </c>
      <c r="AG343" s="285">
        <f t="shared" si="516"/>
        <v>65333.11999999993</v>
      </c>
      <c r="AH343" s="285">
        <f t="shared" si="517"/>
        <v>393454.48000000039</v>
      </c>
      <c r="AI343" s="512">
        <f t="shared" si="505"/>
        <v>224.84999999997081</v>
      </c>
      <c r="AJ343" s="512">
        <f t="shared" si="458"/>
        <v>-166079.31000000014</v>
      </c>
      <c r="AK343" s="512">
        <f t="shared" si="506"/>
        <v>-165854.46000000017</v>
      </c>
      <c r="AL343" s="285">
        <f t="shared" si="518"/>
        <v>265860.28000000014</v>
      </c>
      <c r="AM343" s="425">
        <f t="shared" si="547"/>
        <v>23</v>
      </c>
      <c r="AN343" s="14">
        <f t="shared" si="507"/>
        <v>1160.29</v>
      </c>
      <c r="AO343" s="14">
        <f t="shared" si="477"/>
        <v>156419.02000000002</v>
      </c>
      <c r="AP343" s="14">
        <f t="shared" si="508"/>
        <v>1179.76</v>
      </c>
      <c r="AS343" s="14">
        <f t="shared" si="541"/>
        <v>1160.29</v>
      </c>
      <c r="AT343" s="14">
        <f t="shared" si="548"/>
        <v>330202.08999999939</v>
      </c>
      <c r="AU343" s="285">
        <f t="shared" si="549"/>
        <v>1483.2520826730188</v>
      </c>
      <c r="AV343" s="285">
        <f t="shared" si="550"/>
        <v>333208.08515188051</v>
      </c>
    </row>
    <row r="344" spans="1:48" x14ac:dyDescent="0.25">
      <c r="A344" s="502">
        <f t="shared" si="494"/>
        <v>54279</v>
      </c>
      <c r="B344" s="285">
        <f t="shared" si="542"/>
        <v>13283.189999999944</v>
      </c>
      <c r="C344" s="14">
        <f t="shared" si="535"/>
        <v>450.28</v>
      </c>
      <c r="D344" s="14">
        <f t="shared" si="551"/>
        <v>408.77</v>
      </c>
      <c r="E344" s="14">
        <f t="shared" si="536"/>
        <v>41.51</v>
      </c>
      <c r="F344" s="14">
        <f t="shared" si="495"/>
        <v>134.16999999999999</v>
      </c>
      <c r="G344" s="14">
        <f t="shared" si="491"/>
        <v>188.55</v>
      </c>
      <c r="H344" s="14">
        <f t="shared" si="492"/>
        <v>773</v>
      </c>
      <c r="I344" s="285">
        <f t="shared" si="496"/>
        <v>84657.420000000013</v>
      </c>
      <c r="J344" s="285">
        <f t="shared" si="497"/>
        <v>64238.819999999971</v>
      </c>
      <c r="K344" s="285">
        <f t="shared" si="498"/>
        <v>12874.419999999944</v>
      </c>
      <c r="L344" s="425">
        <f t="shared" si="479"/>
        <v>23</v>
      </c>
      <c r="M344" s="425">
        <f t="shared" si="543"/>
        <v>285</v>
      </c>
      <c r="N344" s="285">
        <f t="shared" si="544"/>
        <v>99780.97</v>
      </c>
      <c r="O344" s="285">
        <f t="shared" si="510"/>
        <v>1610.57</v>
      </c>
      <c r="P344" s="285">
        <f t="shared" si="552"/>
        <v>1090.8799999999999</v>
      </c>
      <c r="Q344" s="285">
        <f t="shared" si="511"/>
        <v>519.69000000000005</v>
      </c>
      <c r="R344" s="285">
        <f t="shared" si="502"/>
        <v>134.16999999999999</v>
      </c>
      <c r="S344" s="285">
        <f t="shared" si="503"/>
        <v>188.55</v>
      </c>
      <c r="T344" s="285">
        <f t="shared" si="499"/>
        <v>1933.29</v>
      </c>
      <c r="U344" s="285">
        <f t="shared" si="553"/>
        <v>162885.91000000003</v>
      </c>
      <c r="V344" s="285">
        <f t="shared" si="554"/>
        <v>297737.11</v>
      </c>
      <c r="W344" s="285">
        <f t="shared" si="500"/>
        <v>98690.09</v>
      </c>
      <c r="X344" s="502">
        <f t="shared" si="545"/>
        <v>54279</v>
      </c>
      <c r="Y344" s="285">
        <f t="shared" si="512"/>
        <v>265860.28000000014</v>
      </c>
      <c r="Z344" s="494">
        <f t="shared" si="537"/>
        <v>6.25E-2</v>
      </c>
      <c r="AA344" s="285">
        <f t="shared" si="538"/>
        <v>1630.04</v>
      </c>
      <c r="AB344" s="285">
        <f t="shared" si="513"/>
        <v>245.34999999999991</v>
      </c>
      <c r="AC344" s="285">
        <f t="shared" si="539"/>
        <v>1384.69</v>
      </c>
      <c r="AD344" s="285">
        <f t="shared" ref="AD344:AE344" si="562">+AD343</f>
        <v>134.16999999999999</v>
      </c>
      <c r="AE344" s="285">
        <f t="shared" si="562"/>
        <v>188.55</v>
      </c>
      <c r="AF344" s="285">
        <f t="shared" si="515"/>
        <v>1952.76</v>
      </c>
      <c r="AG344" s="285">
        <f t="shared" si="516"/>
        <v>65578.469999999928</v>
      </c>
      <c r="AH344" s="285">
        <f t="shared" si="517"/>
        <v>394839.17000000039</v>
      </c>
      <c r="AI344" s="512">
        <f t="shared" si="505"/>
        <v>205.37999999997078</v>
      </c>
      <c r="AJ344" s="512">
        <f t="shared" si="458"/>
        <v>-166924.84000000017</v>
      </c>
      <c r="AK344" s="512">
        <f t="shared" si="506"/>
        <v>-166719.4600000002</v>
      </c>
      <c r="AL344" s="285">
        <f t="shared" si="518"/>
        <v>265614.93000000017</v>
      </c>
      <c r="AM344" s="425">
        <f t="shared" si="547"/>
        <v>23</v>
      </c>
      <c r="AN344" s="14">
        <f t="shared" si="507"/>
        <v>1160.29</v>
      </c>
      <c r="AO344" s="14">
        <f t="shared" si="477"/>
        <v>155736.91000000003</v>
      </c>
      <c r="AP344" s="14">
        <f t="shared" si="508"/>
        <v>1179.76</v>
      </c>
      <c r="AS344" s="14">
        <f t="shared" si="541"/>
        <v>1160.29</v>
      </c>
      <c r="AT344" s="14">
        <f t="shared" si="548"/>
        <v>331362.37999999936</v>
      </c>
      <c r="AU344" s="285">
        <f t="shared" si="549"/>
        <v>1486.9602128797012</v>
      </c>
      <c r="AV344" s="285">
        <f t="shared" si="550"/>
        <v>334695.04536476021</v>
      </c>
    </row>
    <row r="345" spans="1:48" x14ac:dyDescent="0.25">
      <c r="A345" s="502">
        <f t="shared" si="494"/>
        <v>54309</v>
      </c>
      <c r="B345" s="285">
        <f t="shared" si="542"/>
        <v>12874.419999999944</v>
      </c>
      <c r="C345" s="14">
        <f t="shared" si="535"/>
        <v>450.28</v>
      </c>
      <c r="D345" s="14">
        <f t="shared" si="551"/>
        <v>410.04999999999995</v>
      </c>
      <c r="E345" s="14">
        <f t="shared" si="536"/>
        <v>40.229999999999997</v>
      </c>
      <c r="F345" s="14">
        <f t="shared" si="495"/>
        <v>134.16999999999999</v>
      </c>
      <c r="G345" s="14">
        <f t="shared" si="491"/>
        <v>188.55</v>
      </c>
      <c r="H345" s="14">
        <f t="shared" si="492"/>
        <v>773</v>
      </c>
      <c r="I345" s="285">
        <f t="shared" si="496"/>
        <v>85067.470000000016</v>
      </c>
      <c r="J345" s="285">
        <f t="shared" si="497"/>
        <v>64279.049999999974</v>
      </c>
      <c r="K345" s="285">
        <f t="shared" si="498"/>
        <v>12464.369999999944</v>
      </c>
      <c r="L345" s="425">
        <f t="shared" si="479"/>
        <v>23</v>
      </c>
      <c r="M345" s="425">
        <f t="shared" si="543"/>
        <v>286</v>
      </c>
      <c r="N345" s="285">
        <f t="shared" si="544"/>
        <v>98690.09</v>
      </c>
      <c r="O345" s="285">
        <f t="shared" si="510"/>
        <v>1610.57</v>
      </c>
      <c r="P345" s="285">
        <f t="shared" si="552"/>
        <v>1096.56</v>
      </c>
      <c r="Q345" s="285">
        <f t="shared" si="511"/>
        <v>514.01</v>
      </c>
      <c r="R345" s="285">
        <f t="shared" si="502"/>
        <v>134.16999999999999</v>
      </c>
      <c r="S345" s="285">
        <f t="shared" si="503"/>
        <v>188.55</v>
      </c>
      <c r="T345" s="285">
        <f t="shared" si="499"/>
        <v>1933.29</v>
      </c>
      <c r="U345" s="285">
        <f t="shared" si="553"/>
        <v>163982.47000000003</v>
      </c>
      <c r="V345" s="285">
        <f t="shared" si="554"/>
        <v>298251.12</v>
      </c>
      <c r="W345" s="285">
        <f t="shared" si="500"/>
        <v>97593.53</v>
      </c>
      <c r="X345" s="502">
        <f t="shared" si="545"/>
        <v>54309</v>
      </c>
      <c r="Y345" s="285">
        <f t="shared" si="512"/>
        <v>265614.93000000017</v>
      </c>
      <c r="Z345" s="494">
        <f t="shared" si="537"/>
        <v>6.25E-2</v>
      </c>
      <c r="AA345" s="285">
        <f t="shared" si="538"/>
        <v>1630.04</v>
      </c>
      <c r="AB345" s="285">
        <f t="shared" si="513"/>
        <v>246.62999999999988</v>
      </c>
      <c r="AC345" s="285">
        <f t="shared" si="539"/>
        <v>1383.41</v>
      </c>
      <c r="AD345" s="285">
        <f t="shared" ref="AD345:AE345" si="563">+AD344</f>
        <v>134.16999999999999</v>
      </c>
      <c r="AE345" s="285">
        <f t="shared" si="563"/>
        <v>188.55</v>
      </c>
      <c r="AF345" s="285">
        <f t="shared" si="515"/>
        <v>1952.76</v>
      </c>
      <c r="AG345" s="285">
        <f t="shared" si="516"/>
        <v>65825.099999999933</v>
      </c>
      <c r="AH345" s="285">
        <f t="shared" si="517"/>
        <v>396222.58000000037</v>
      </c>
      <c r="AI345" s="512">
        <f t="shared" si="505"/>
        <v>185.90999999997075</v>
      </c>
      <c r="AJ345" s="512">
        <f t="shared" si="458"/>
        <v>-167774.77000000016</v>
      </c>
      <c r="AK345" s="512">
        <f t="shared" si="506"/>
        <v>-167588.86000000019</v>
      </c>
      <c r="AL345" s="285">
        <f t="shared" si="518"/>
        <v>265368.30000000016</v>
      </c>
      <c r="AM345" s="425">
        <f t="shared" si="547"/>
        <v>23</v>
      </c>
      <c r="AN345" s="14">
        <f t="shared" si="507"/>
        <v>1160.29</v>
      </c>
      <c r="AO345" s="14">
        <f t="shared" si="477"/>
        <v>155050.40000000002</v>
      </c>
      <c r="AP345" s="14">
        <f t="shared" si="508"/>
        <v>1179.76</v>
      </c>
      <c r="AS345" s="14">
        <f t="shared" si="541"/>
        <v>1160.29</v>
      </c>
      <c r="AT345" s="14">
        <f t="shared" si="548"/>
        <v>332522.66999999934</v>
      </c>
      <c r="AU345" s="285">
        <f t="shared" si="549"/>
        <v>1490.6776134119007</v>
      </c>
      <c r="AV345" s="285">
        <f t="shared" si="550"/>
        <v>336185.72297817213</v>
      </c>
    </row>
    <row r="346" spans="1:48" x14ac:dyDescent="0.25">
      <c r="A346" s="502">
        <f t="shared" si="494"/>
        <v>54339</v>
      </c>
      <c r="B346" s="285">
        <f t="shared" si="542"/>
        <v>12464.369999999944</v>
      </c>
      <c r="C346" s="14">
        <f t="shared" si="535"/>
        <v>450.28</v>
      </c>
      <c r="D346" s="14">
        <f t="shared" si="551"/>
        <v>411.33</v>
      </c>
      <c r="E346" s="14">
        <f t="shared" si="536"/>
        <v>38.950000000000003</v>
      </c>
      <c r="F346" s="14">
        <f t="shared" si="495"/>
        <v>134.16999999999999</v>
      </c>
      <c r="G346" s="14">
        <f t="shared" si="491"/>
        <v>188.55</v>
      </c>
      <c r="H346" s="14">
        <f t="shared" si="492"/>
        <v>773</v>
      </c>
      <c r="I346" s="285">
        <f t="shared" si="496"/>
        <v>85478.800000000017</v>
      </c>
      <c r="J346" s="285">
        <f t="shared" si="497"/>
        <v>64317.999999999971</v>
      </c>
      <c r="K346" s="285">
        <f t="shared" si="498"/>
        <v>12053.039999999944</v>
      </c>
      <c r="L346" s="425">
        <f t="shared" si="479"/>
        <v>23</v>
      </c>
      <c r="M346" s="425">
        <f t="shared" si="543"/>
        <v>287</v>
      </c>
      <c r="N346" s="285">
        <f t="shared" si="544"/>
        <v>97593.53</v>
      </c>
      <c r="O346" s="285">
        <f t="shared" si="510"/>
        <v>1610.57</v>
      </c>
      <c r="P346" s="285">
        <f t="shared" si="552"/>
        <v>1102.27</v>
      </c>
      <c r="Q346" s="285">
        <f t="shared" si="511"/>
        <v>508.3</v>
      </c>
      <c r="R346" s="285">
        <f t="shared" si="502"/>
        <v>134.16999999999999</v>
      </c>
      <c r="S346" s="285">
        <f t="shared" si="503"/>
        <v>188.55</v>
      </c>
      <c r="T346" s="285">
        <f t="shared" si="499"/>
        <v>1933.29</v>
      </c>
      <c r="U346" s="285">
        <f t="shared" si="553"/>
        <v>165084.74000000002</v>
      </c>
      <c r="V346" s="285">
        <f t="shared" si="554"/>
        <v>298759.42</v>
      </c>
      <c r="W346" s="285">
        <f t="shared" si="500"/>
        <v>96491.26</v>
      </c>
      <c r="X346" s="502">
        <f t="shared" si="545"/>
        <v>54339</v>
      </c>
      <c r="Y346" s="285">
        <f t="shared" si="512"/>
        <v>265368.30000000016</v>
      </c>
      <c r="Z346" s="494">
        <f t="shared" si="537"/>
        <v>6.25E-2</v>
      </c>
      <c r="AA346" s="285">
        <f t="shared" si="538"/>
        <v>1630.04</v>
      </c>
      <c r="AB346" s="285">
        <f t="shared" si="513"/>
        <v>247.90999999999985</v>
      </c>
      <c r="AC346" s="285">
        <f t="shared" si="539"/>
        <v>1382.13</v>
      </c>
      <c r="AD346" s="285">
        <f t="shared" ref="AD346:AE346" si="564">+AD345</f>
        <v>134.16999999999999</v>
      </c>
      <c r="AE346" s="285">
        <f t="shared" si="564"/>
        <v>188.55</v>
      </c>
      <c r="AF346" s="285">
        <f t="shared" si="515"/>
        <v>1952.76</v>
      </c>
      <c r="AG346" s="285">
        <f t="shared" si="516"/>
        <v>66073.009999999937</v>
      </c>
      <c r="AH346" s="285">
        <f t="shared" si="517"/>
        <v>397604.71000000037</v>
      </c>
      <c r="AI346" s="512">
        <f t="shared" si="505"/>
        <v>166.43999999997072</v>
      </c>
      <c r="AJ346" s="512">
        <f t="shared" si="458"/>
        <v>-168629.13000000018</v>
      </c>
      <c r="AK346" s="512">
        <f t="shared" si="506"/>
        <v>-168462.69000000021</v>
      </c>
      <c r="AL346" s="285">
        <f t="shared" si="518"/>
        <v>265120.39000000019</v>
      </c>
      <c r="AM346" s="425">
        <f t="shared" si="547"/>
        <v>23</v>
      </c>
      <c r="AN346" s="14">
        <f t="shared" si="507"/>
        <v>1160.29</v>
      </c>
      <c r="AO346" s="14">
        <f t="shared" si="477"/>
        <v>154359.46000000005</v>
      </c>
      <c r="AP346" s="14">
        <f t="shared" si="508"/>
        <v>1179.76</v>
      </c>
      <c r="AS346" s="14">
        <f t="shared" si="541"/>
        <v>1160.29</v>
      </c>
      <c r="AT346" s="14">
        <f t="shared" si="548"/>
        <v>333682.95999999932</v>
      </c>
      <c r="AU346" s="285">
        <f t="shared" si="549"/>
        <v>1494.4043074454303</v>
      </c>
      <c r="AV346" s="285">
        <f t="shared" si="550"/>
        <v>337680.12728561758</v>
      </c>
    </row>
    <row r="347" spans="1:48" x14ac:dyDescent="0.25">
      <c r="A347" s="502">
        <f t="shared" si="494"/>
        <v>54369</v>
      </c>
      <c r="B347" s="285">
        <f t="shared" si="542"/>
        <v>12053.039999999944</v>
      </c>
      <c r="C347" s="14">
        <f t="shared" si="535"/>
        <v>450.28</v>
      </c>
      <c r="D347" s="14">
        <f t="shared" si="551"/>
        <v>412.60999999999996</v>
      </c>
      <c r="E347" s="14">
        <f t="shared" si="536"/>
        <v>37.67</v>
      </c>
      <c r="F347" s="14">
        <f t="shared" si="495"/>
        <v>134.16999999999999</v>
      </c>
      <c r="G347" s="14">
        <f t="shared" si="491"/>
        <v>188.55</v>
      </c>
      <c r="H347" s="14">
        <f t="shared" si="492"/>
        <v>773</v>
      </c>
      <c r="I347" s="285">
        <f t="shared" si="496"/>
        <v>85891.410000000018</v>
      </c>
      <c r="J347" s="285">
        <f t="shared" si="497"/>
        <v>64355.669999999969</v>
      </c>
      <c r="K347" s="285">
        <f t="shared" si="498"/>
        <v>11640.429999999944</v>
      </c>
      <c r="L347" s="425">
        <f t="shared" si="479"/>
        <v>24</v>
      </c>
      <c r="M347" s="425">
        <f t="shared" si="543"/>
        <v>288</v>
      </c>
      <c r="N347" s="285">
        <f t="shared" si="544"/>
        <v>96491.26</v>
      </c>
      <c r="O347" s="285">
        <f t="shared" si="510"/>
        <v>1610.57</v>
      </c>
      <c r="P347" s="285">
        <f t="shared" si="552"/>
        <v>1108.01</v>
      </c>
      <c r="Q347" s="285">
        <f t="shared" si="511"/>
        <v>502.56</v>
      </c>
      <c r="R347" s="285">
        <f t="shared" si="502"/>
        <v>134.16999999999999</v>
      </c>
      <c r="S347" s="285">
        <f t="shared" si="503"/>
        <v>188.55</v>
      </c>
      <c r="T347" s="285">
        <f t="shared" si="499"/>
        <v>1933.29</v>
      </c>
      <c r="U347" s="285">
        <f t="shared" si="553"/>
        <v>166192.75000000003</v>
      </c>
      <c r="V347" s="285">
        <f t="shared" si="554"/>
        <v>299261.98</v>
      </c>
      <c r="W347" s="285">
        <f t="shared" si="500"/>
        <v>95383.25</v>
      </c>
      <c r="X347" s="502">
        <f t="shared" si="545"/>
        <v>54369</v>
      </c>
      <c r="Y347" s="285">
        <f t="shared" si="512"/>
        <v>265120.39000000019</v>
      </c>
      <c r="Z347" s="494">
        <f t="shared" si="537"/>
        <v>6.25E-2</v>
      </c>
      <c r="AA347" s="285">
        <f t="shared" si="538"/>
        <v>1630.04</v>
      </c>
      <c r="AB347" s="285">
        <f t="shared" si="513"/>
        <v>249.20000000000005</v>
      </c>
      <c r="AC347" s="285">
        <f t="shared" si="539"/>
        <v>1380.84</v>
      </c>
      <c r="AD347" s="285">
        <f t="shared" ref="AD347:AE347" si="565">+AD346</f>
        <v>134.16999999999999</v>
      </c>
      <c r="AE347" s="285">
        <f t="shared" si="565"/>
        <v>188.55</v>
      </c>
      <c r="AF347" s="285">
        <f t="shared" si="515"/>
        <v>1952.76</v>
      </c>
      <c r="AG347" s="285">
        <f t="shared" si="516"/>
        <v>66322.209999999934</v>
      </c>
      <c r="AH347" s="285">
        <f t="shared" si="517"/>
        <v>398985.5500000004</v>
      </c>
      <c r="AI347" s="512">
        <f t="shared" si="505"/>
        <v>146.9699999999707</v>
      </c>
      <c r="AJ347" s="512">
        <f t="shared" ref="AJ347:AJ410" si="566">+W347-AL347</f>
        <v>-169487.94000000018</v>
      </c>
      <c r="AK347" s="512">
        <f t="shared" si="506"/>
        <v>-169340.9700000002</v>
      </c>
      <c r="AL347" s="285">
        <f t="shared" si="518"/>
        <v>264871.19000000018</v>
      </c>
      <c r="AM347" s="425">
        <f t="shared" si="547"/>
        <v>24</v>
      </c>
      <c r="AN347" s="14">
        <f t="shared" si="507"/>
        <v>1160.29</v>
      </c>
      <c r="AO347" s="14">
        <f t="shared" si="477"/>
        <v>153664.06000000003</v>
      </c>
      <c r="AP347" s="14">
        <f t="shared" si="508"/>
        <v>1179.76</v>
      </c>
      <c r="AS347" s="14">
        <f t="shared" si="541"/>
        <v>1160.29</v>
      </c>
      <c r="AT347" s="14">
        <f t="shared" si="548"/>
        <v>334843.2499999993</v>
      </c>
      <c r="AU347" s="285">
        <f t="shared" si="549"/>
        <v>1498.1403182140441</v>
      </c>
      <c r="AV347" s="285">
        <f t="shared" si="550"/>
        <v>339178.2676038316</v>
      </c>
    </row>
    <row r="348" spans="1:48" x14ac:dyDescent="0.25">
      <c r="A348" s="502">
        <f t="shared" si="494"/>
        <v>54399</v>
      </c>
      <c r="B348" s="285">
        <f t="shared" si="542"/>
        <v>11640.429999999944</v>
      </c>
      <c r="C348" s="14">
        <f t="shared" si="535"/>
        <v>450.28</v>
      </c>
      <c r="D348" s="14">
        <f t="shared" si="551"/>
        <v>413.9</v>
      </c>
      <c r="E348" s="14">
        <f t="shared" si="536"/>
        <v>36.380000000000003</v>
      </c>
      <c r="F348" s="14">
        <f t="shared" si="495"/>
        <v>134.16999999999999</v>
      </c>
      <c r="G348" s="14">
        <f t="shared" si="491"/>
        <v>188.55</v>
      </c>
      <c r="H348" s="14">
        <f t="shared" si="492"/>
        <v>773</v>
      </c>
      <c r="I348" s="285">
        <f t="shared" si="496"/>
        <v>86305.310000000012</v>
      </c>
      <c r="J348" s="285">
        <f t="shared" si="497"/>
        <v>64392.049999999967</v>
      </c>
      <c r="K348" s="285">
        <f t="shared" si="498"/>
        <v>11226.529999999944</v>
      </c>
      <c r="L348" s="425">
        <f t="shared" si="479"/>
        <v>24</v>
      </c>
      <c r="M348" s="425">
        <f t="shared" si="543"/>
        <v>289</v>
      </c>
      <c r="N348" s="285">
        <f t="shared" si="544"/>
        <v>95383.25</v>
      </c>
      <c r="O348" s="285">
        <f t="shared" si="510"/>
        <v>1610.57</v>
      </c>
      <c r="P348" s="285">
        <f t="shared" si="552"/>
        <v>1113.78</v>
      </c>
      <c r="Q348" s="285">
        <f t="shared" si="511"/>
        <v>496.79</v>
      </c>
      <c r="R348" s="285">
        <f t="shared" si="502"/>
        <v>134.16999999999999</v>
      </c>
      <c r="S348" s="285">
        <f t="shared" si="503"/>
        <v>188.55</v>
      </c>
      <c r="T348" s="285">
        <f t="shared" si="499"/>
        <v>1933.29</v>
      </c>
      <c r="U348" s="285">
        <f t="shared" si="553"/>
        <v>167306.53000000003</v>
      </c>
      <c r="V348" s="285">
        <f t="shared" si="554"/>
        <v>299758.76999999996</v>
      </c>
      <c r="W348" s="285">
        <f t="shared" si="500"/>
        <v>94269.47</v>
      </c>
      <c r="X348" s="502">
        <f t="shared" si="545"/>
        <v>54399</v>
      </c>
      <c r="Y348" s="285">
        <f t="shared" si="512"/>
        <v>264871.19000000018</v>
      </c>
      <c r="Z348" s="494">
        <f t="shared" si="537"/>
        <v>6.25E-2</v>
      </c>
      <c r="AA348" s="285">
        <f t="shared" si="538"/>
        <v>1630.04</v>
      </c>
      <c r="AB348" s="285">
        <f t="shared" si="513"/>
        <v>250.5</v>
      </c>
      <c r="AC348" s="285">
        <f t="shared" si="539"/>
        <v>1379.54</v>
      </c>
      <c r="AD348" s="285">
        <f t="shared" ref="AD348:AE348" si="567">+AD347</f>
        <v>134.16999999999999</v>
      </c>
      <c r="AE348" s="285">
        <f t="shared" si="567"/>
        <v>188.55</v>
      </c>
      <c r="AF348" s="285">
        <f t="shared" si="515"/>
        <v>1952.76</v>
      </c>
      <c r="AG348" s="285">
        <f t="shared" si="516"/>
        <v>66572.709999999934</v>
      </c>
      <c r="AH348" s="285">
        <f t="shared" si="517"/>
        <v>400365.09000000037</v>
      </c>
      <c r="AI348" s="512">
        <f t="shared" si="505"/>
        <v>127.49999999997067</v>
      </c>
      <c r="AJ348" s="512">
        <f t="shared" si="566"/>
        <v>-170351.22000000018</v>
      </c>
      <c r="AK348" s="512">
        <f t="shared" si="506"/>
        <v>-170223.7200000002</v>
      </c>
      <c r="AL348" s="285">
        <f t="shared" si="518"/>
        <v>264620.69000000018</v>
      </c>
      <c r="AM348" s="425">
        <f t="shared" si="547"/>
        <v>24</v>
      </c>
      <c r="AN348" s="14">
        <f t="shared" si="507"/>
        <v>1160.29</v>
      </c>
      <c r="AO348" s="14">
        <f t="shared" si="477"/>
        <v>152964.18</v>
      </c>
      <c r="AP348" s="14">
        <f t="shared" si="508"/>
        <v>1179.76</v>
      </c>
      <c r="AS348" s="14">
        <f t="shared" si="541"/>
        <v>1160.29</v>
      </c>
      <c r="AT348" s="14">
        <f t="shared" si="548"/>
        <v>336003.53999999928</v>
      </c>
      <c r="AU348" s="285">
        <f t="shared" si="549"/>
        <v>1501.885669009579</v>
      </c>
      <c r="AV348" s="285">
        <f t="shared" si="550"/>
        <v>340680.15327284118</v>
      </c>
    </row>
    <row r="349" spans="1:48" x14ac:dyDescent="0.25">
      <c r="A349" s="502">
        <f t="shared" si="494"/>
        <v>54429</v>
      </c>
      <c r="B349" s="285">
        <f t="shared" si="542"/>
        <v>11226.529999999944</v>
      </c>
      <c r="C349" s="14">
        <f t="shared" si="535"/>
        <v>450.28</v>
      </c>
      <c r="D349" s="14">
        <f t="shared" si="551"/>
        <v>415.2</v>
      </c>
      <c r="E349" s="14">
        <f t="shared" si="536"/>
        <v>35.08</v>
      </c>
      <c r="F349" s="14">
        <f t="shared" si="495"/>
        <v>134.16999999999999</v>
      </c>
      <c r="G349" s="14">
        <f t="shared" si="491"/>
        <v>188.55</v>
      </c>
      <c r="H349" s="14">
        <f t="shared" si="492"/>
        <v>773</v>
      </c>
      <c r="I349" s="285">
        <f t="shared" si="496"/>
        <v>86720.510000000009</v>
      </c>
      <c r="J349" s="285">
        <f t="shared" si="497"/>
        <v>64427.129999999968</v>
      </c>
      <c r="K349" s="285">
        <f t="shared" si="498"/>
        <v>10811.329999999944</v>
      </c>
      <c r="L349" s="425">
        <f t="shared" si="479"/>
        <v>24</v>
      </c>
      <c r="M349" s="425">
        <f t="shared" si="543"/>
        <v>290</v>
      </c>
      <c r="N349" s="285">
        <f t="shared" si="544"/>
        <v>94269.47</v>
      </c>
      <c r="O349" s="285">
        <f t="shared" si="510"/>
        <v>1610.57</v>
      </c>
      <c r="P349" s="285">
        <f t="shared" si="552"/>
        <v>1119.58</v>
      </c>
      <c r="Q349" s="285">
        <f t="shared" si="511"/>
        <v>490.99</v>
      </c>
      <c r="R349" s="285">
        <f t="shared" si="502"/>
        <v>134.16999999999999</v>
      </c>
      <c r="S349" s="285">
        <f t="shared" si="503"/>
        <v>188.55</v>
      </c>
      <c r="T349" s="285">
        <f t="shared" si="499"/>
        <v>1933.29</v>
      </c>
      <c r="U349" s="285">
        <f t="shared" si="553"/>
        <v>168426.11000000002</v>
      </c>
      <c r="V349" s="285">
        <f t="shared" si="554"/>
        <v>300249.75999999995</v>
      </c>
      <c r="W349" s="285">
        <f t="shared" si="500"/>
        <v>93149.89</v>
      </c>
      <c r="X349" s="502">
        <f t="shared" si="545"/>
        <v>54429</v>
      </c>
      <c r="Y349" s="285">
        <f t="shared" si="512"/>
        <v>264620.69000000018</v>
      </c>
      <c r="Z349" s="494">
        <f t="shared" si="537"/>
        <v>6.25E-2</v>
      </c>
      <c r="AA349" s="285">
        <f t="shared" si="538"/>
        <v>1630.04</v>
      </c>
      <c r="AB349" s="285">
        <f t="shared" si="513"/>
        <v>251.80999999999995</v>
      </c>
      <c r="AC349" s="285">
        <f t="shared" si="539"/>
        <v>1378.23</v>
      </c>
      <c r="AD349" s="285">
        <f t="shared" ref="AD349:AE349" si="568">+AD348</f>
        <v>134.16999999999999</v>
      </c>
      <c r="AE349" s="285">
        <f t="shared" si="568"/>
        <v>188.55</v>
      </c>
      <c r="AF349" s="285">
        <f t="shared" si="515"/>
        <v>1952.76</v>
      </c>
      <c r="AG349" s="285">
        <f t="shared" si="516"/>
        <v>66824.519999999931</v>
      </c>
      <c r="AH349" s="285">
        <f t="shared" si="517"/>
        <v>401743.32000000036</v>
      </c>
      <c r="AI349" s="512">
        <f t="shared" si="505"/>
        <v>108.02999999997064</v>
      </c>
      <c r="AJ349" s="512">
        <f t="shared" si="566"/>
        <v>-171218.99000000017</v>
      </c>
      <c r="AK349" s="512">
        <f t="shared" si="506"/>
        <v>-171110.9600000002</v>
      </c>
      <c r="AL349" s="285">
        <f t="shared" si="518"/>
        <v>264368.88000000018</v>
      </c>
      <c r="AM349" s="425">
        <f t="shared" si="547"/>
        <v>24</v>
      </c>
      <c r="AN349" s="14">
        <f t="shared" si="507"/>
        <v>1160.29</v>
      </c>
      <c r="AO349" s="14">
        <f t="shared" si="477"/>
        <v>152259.80000000002</v>
      </c>
      <c r="AP349" s="14">
        <f t="shared" si="508"/>
        <v>1179.76</v>
      </c>
      <c r="AS349" s="14">
        <f t="shared" si="541"/>
        <v>1160.29</v>
      </c>
      <c r="AT349" s="14">
        <f t="shared" si="548"/>
        <v>337163.82999999926</v>
      </c>
      <c r="AU349" s="285">
        <f t="shared" si="549"/>
        <v>1505.6403831821028</v>
      </c>
      <c r="AV349" s="285">
        <f t="shared" si="550"/>
        <v>342185.79365602328</v>
      </c>
    </row>
    <row r="350" spans="1:48" ht="15.75" thickBot="1" x14ac:dyDescent="0.3">
      <c r="A350" s="505">
        <f t="shared" si="494"/>
        <v>54459</v>
      </c>
      <c r="B350" s="345">
        <f t="shared" si="542"/>
        <v>10811.329999999944</v>
      </c>
      <c r="C350" s="21">
        <f t="shared" si="535"/>
        <v>450.28</v>
      </c>
      <c r="D350" s="21">
        <f t="shared" si="551"/>
        <v>416.48999999999995</v>
      </c>
      <c r="E350" s="21">
        <f t="shared" si="536"/>
        <v>33.79</v>
      </c>
      <c r="F350" s="21">
        <f t="shared" si="495"/>
        <v>134.16999999999999</v>
      </c>
      <c r="G350" s="21">
        <f t="shared" si="491"/>
        <v>188.55</v>
      </c>
      <c r="H350" s="21">
        <f t="shared" si="492"/>
        <v>773</v>
      </c>
      <c r="I350" s="345">
        <f t="shared" si="496"/>
        <v>87137.000000000015</v>
      </c>
      <c r="J350" s="345">
        <f t="shared" si="497"/>
        <v>64460.919999999969</v>
      </c>
      <c r="K350" s="345">
        <f t="shared" si="498"/>
        <v>10394.839999999944</v>
      </c>
      <c r="L350" s="426">
        <f t="shared" si="479"/>
        <v>24</v>
      </c>
      <c r="M350" s="426">
        <f t="shared" si="543"/>
        <v>291</v>
      </c>
      <c r="N350" s="345">
        <f t="shared" si="544"/>
        <v>93149.89</v>
      </c>
      <c r="O350" s="345">
        <f t="shared" si="510"/>
        <v>1610.57</v>
      </c>
      <c r="P350" s="345">
        <f t="shared" si="552"/>
        <v>1125.4099999999999</v>
      </c>
      <c r="Q350" s="345">
        <f t="shared" si="511"/>
        <v>485.16</v>
      </c>
      <c r="R350" s="345">
        <f t="shared" si="502"/>
        <v>134.16999999999999</v>
      </c>
      <c r="S350" s="345">
        <f t="shared" si="503"/>
        <v>188.55</v>
      </c>
      <c r="T350" s="345">
        <f t="shared" si="499"/>
        <v>1933.29</v>
      </c>
      <c r="U350" s="345">
        <f t="shared" si="553"/>
        <v>169551.52000000002</v>
      </c>
      <c r="V350" s="345">
        <f t="shared" si="554"/>
        <v>300734.91999999993</v>
      </c>
      <c r="W350" s="345">
        <f t="shared" si="500"/>
        <v>92024.48</v>
      </c>
      <c r="X350" s="505">
        <f t="shared" si="545"/>
        <v>54459</v>
      </c>
      <c r="Y350" s="345">
        <f t="shared" si="512"/>
        <v>264368.88000000018</v>
      </c>
      <c r="Z350" s="495">
        <f t="shared" si="537"/>
        <v>6.25E-2</v>
      </c>
      <c r="AA350" s="345">
        <f t="shared" si="538"/>
        <v>1630.04</v>
      </c>
      <c r="AB350" s="345">
        <f t="shared" si="513"/>
        <v>253.11999999999989</v>
      </c>
      <c r="AC350" s="345">
        <f t="shared" si="539"/>
        <v>1376.92</v>
      </c>
      <c r="AD350" s="345">
        <f t="shared" ref="AD350:AE350" si="569">+AD349</f>
        <v>134.16999999999999</v>
      </c>
      <c r="AE350" s="345">
        <f t="shared" si="569"/>
        <v>188.55</v>
      </c>
      <c r="AF350" s="345">
        <f t="shared" si="515"/>
        <v>1952.76</v>
      </c>
      <c r="AG350" s="345">
        <f t="shared" si="516"/>
        <v>67077.639999999927</v>
      </c>
      <c r="AH350" s="345">
        <f t="shared" si="517"/>
        <v>403120.24000000034</v>
      </c>
      <c r="AI350" s="513">
        <f t="shared" si="505"/>
        <v>88.559999999970614</v>
      </c>
      <c r="AJ350" s="513">
        <f t="shared" si="566"/>
        <v>-172091.2800000002</v>
      </c>
      <c r="AK350" s="512">
        <f t="shared" si="506"/>
        <v>-172002.72000000023</v>
      </c>
      <c r="AL350" s="345">
        <f t="shared" si="518"/>
        <v>264115.76000000018</v>
      </c>
      <c r="AM350" s="426">
        <f t="shared" si="547"/>
        <v>24</v>
      </c>
      <c r="AN350" s="21">
        <f t="shared" si="507"/>
        <v>1160.29</v>
      </c>
      <c r="AO350" s="21">
        <f t="shared" si="477"/>
        <v>151550.88</v>
      </c>
      <c r="AP350" s="21">
        <f t="shared" si="508"/>
        <v>1179.76</v>
      </c>
      <c r="AQ350" s="21"/>
      <c r="AR350" s="23"/>
      <c r="AS350" s="21">
        <f t="shared" si="541"/>
        <v>1160.29</v>
      </c>
      <c r="AT350" s="21">
        <f t="shared" si="548"/>
        <v>338324.11999999924</v>
      </c>
      <c r="AU350" s="345">
        <f t="shared" si="549"/>
        <v>1509.404484140058</v>
      </c>
      <c r="AV350" s="345">
        <f t="shared" si="550"/>
        <v>343695.19814016332</v>
      </c>
    </row>
    <row r="351" spans="1:48" x14ac:dyDescent="0.25">
      <c r="A351" s="502">
        <f t="shared" si="494"/>
        <v>54489</v>
      </c>
      <c r="B351" s="285">
        <f t="shared" si="542"/>
        <v>10394.839999999944</v>
      </c>
      <c r="C351" s="14">
        <f t="shared" si="535"/>
        <v>450.28</v>
      </c>
      <c r="D351" s="14">
        <f t="shared" si="551"/>
        <v>417.79999999999995</v>
      </c>
      <c r="E351" s="14">
        <f t="shared" si="536"/>
        <v>32.479999999999997</v>
      </c>
      <c r="F351" s="14">
        <f t="shared" si="495"/>
        <v>134.16999999999999</v>
      </c>
      <c r="G351" s="14">
        <f t="shared" si="491"/>
        <v>188.55</v>
      </c>
      <c r="H351" s="14">
        <f t="shared" si="492"/>
        <v>773</v>
      </c>
      <c r="I351" s="285">
        <f t="shared" si="496"/>
        <v>87554.800000000017</v>
      </c>
      <c r="J351" s="285">
        <f t="shared" si="497"/>
        <v>64493.399999999972</v>
      </c>
      <c r="K351" s="285">
        <f t="shared" si="498"/>
        <v>9977.0399999999445</v>
      </c>
      <c r="L351" s="425">
        <f t="shared" si="479"/>
        <v>24</v>
      </c>
      <c r="M351" s="425">
        <f t="shared" si="543"/>
        <v>292</v>
      </c>
      <c r="N351" s="285">
        <f t="shared" si="544"/>
        <v>92024.48</v>
      </c>
      <c r="O351" s="285">
        <f t="shared" si="510"/>
        <v>1610.57</v>
      </c>
      <c r="P351" s="285">
        <f t="shared" si="552"/>
        <v>1131.28</v>
      </c>
      <c r="Q351" s="285">
        <f t="shared" si="511"/>
        <v>479.29</v>
      </c>
      <c r="R351" s="285">
        <f t="shared" si="502"/>
        <v>134.16999999999999</v>
      </c>
      <c r="S351" s="285">
        <f t="shared" si="503"/>
        <v>188.55</v>
      </c>
      <c r="T351" s="285">
        <f t="shared" si="499"/>
        <v>1933.29</v>
      </c>
      <c r="U351" s="285">
        <f t="shared" si="553"/>
        <v>170682.80000000002</v>
      </c>
      <c r="V351" s="285">
        <f t="shared" si="554"/>
        <v>301214.2099999999</v>
      </c>
      <c r="W351" s="285">
        <f t="shared" si="500"/>
        <v>90893.2</v>
      </c>
      <c r="X351" s="502">
        <f t="shared" si="545"/>
        <v>54489</v>
      </c>
      <c r="Y351" s="285">
        <f t="shared" si="512"/>
        <v>264115.76000000018</v>
      </c>
      <c r="Z351" s="494">
        <f t="shared" si="537"/>
        <v>6.25E-2</v>
      </c>
      <c r="AA351" s="285">
        <f t="shared" si="538"/>
        <v>1630.04</v>
      </c>
      <c r="AB351" s="285">
        <f t="shared" si="513"/>
        <v>254.44000000000005</v>
      </c>
      <c r="AC351" s="285">
        <f t="shared" si="539"/>
        <v>1375.6</v>
      </c>
      <c r="AD351" s="285">
        <f t="shared" ref="AD351:AE351" si="570">+AD350</f>
        <v>134.16999999999999</v>
      </c>
      <c r="AE351" s="285">
        <f t="shared" si="570"/>
        <v>188.55</v>
      </c>
      <c r="AF351" s="285">
        <f t="shared" si="515"/>
        <v>1952.76</v>
      </c>
      <c r="AG351" s="285">
        <f t="shared" si="516"/>
        <v>67332.079999999929</v>
      </c>
      <c r="AH351" s="285">
        <f t="shared" si="517"/>
        <v>404495.84000000032</v>
      </c>
      <c r="AI351" s="512">
        <f t="shared" si="505"/>
        <v>69.089999999970587</v>
      </c>
      <c r="AJ351" s="512">
        <f t="shared" si="566"/>
        <v>-172968.12000000017</v>
      </c>
      <c r="AK351" s="512">
        <f t="shared" si="506"/>
        <v>-172899.0300000002</v>
      </c>
      <c r="AL351" s="285">
        <f t="shared" si="518"/>
        <v>263861.32000000018</v>
      </c>
      <c r="AM351" s="425">
        <f t="shared" si="547"/>
        <v>24</v>
      </c>
      <c r="AN351" s="14">
        <f t="shared" si="507"/>
        <v>1160.29</v>
      </c>
      <c r="AO351" s="14">
        <f t="shared" si="477"/>
        <v>150837.40000000005</v>
      </c>
      <c r="AP351" s="14">
        <f t="shared" si="508"/>
        <v>1179.76</v>
      </c>
      <c r="AS351" s="14">
        <f t="shared" si="541"/>
        <v>1160.29</v>
      </c>
      <c r="AT351" s="14">
        <f t="shared" si="548"/>
        <v>339484.40999999922</v>
      </c>
      <c r="AU351" s="285">
        <f t="shared" si="549"/>
        <v>1513.1779953504083</v>
      </c>
      <c r="AV351" s="285">
        <f t="shared" si="550"/>
        <v>345208.37613551371</v>
      </c>
    </row>
    <row r="352" spans="1:48" x14ac:dyDescent="0.25">
      <c r="A352" s="502">
        <f t="shared" si="494"/>
        <v>54519</v>
      </c>
      <c r="B352" s="285">
        <f t="shared" si="542"/>
        <v>9977.0399999999445</v>
      </c>
      <c r="C352" s="14">
        <f t="shared" si="535"/>
        <v>450.28</v>
      </c>
      <c r="D352" s="14">
        <f t="shared" si="551"/>
        <v>419.09999999999997</v>
      </c>
      <c r="E352" s="14">
        <f t="shared" si="536"/>
        <v>31.18</v>
      </c>
      <c r="F352" s="14">
        <f t="shared" si="495"/>
        <v>134.16999999999999</v>
      </c>
      <c r="G352" s="14">
        <f t="shared" si="491"/>
        <v>188.55</v>
      </c>
      <c r="H352" s="14">
        <f t="shared" si="492"/>
        <v>773</v>
      </c>
      <c r="I352" s="285">
        <f t="shared" si="496"/>
        <v>87973.900000000023</v>
      </c>
      <c r="J352" s="285">
        <f t="shared" si="497"/>
        <v>64524.579999999973</v>
      </c>
      <c r="K352" s="285">
        <f t="shared" si="498"/>
        <v>9557.9399999999441</v>
      </c>
      <c r="L352" s="425">
        <f t="shared" si="479"/>
        <v>24</v>
      </c>
      <c r="M352" s="425">
        <f t="shared" si="543"/>
        <v>293</v>
      </c>
      <c r="N352" s="285">
        <f t="shared" si="544"/>
        <v>90893.2</v>
      </c>
      <c r="O352" s="285">
        <f t="shared" si="510"/>
        <v>1610.57</v>
      </c>
      <c r="P352" s="285">
        <f t="shared" si="552"/>
        <v>1137.17</v>
      </c>
      <c r="Q352" s="285">
        <f t="shared" si="511"/>
        <v>473.4</v>
      </c>
      <c r="R352" s="285">
        <f t="shared" si="502"/>
        <v>134.16999999999999</v>
      </c>
      <c r="S352" s="285">
        <f t="shared" si="503"/>
        <v>188.55</v>
      </c>
      <c r="T352" s="285">
        <f t="shared" si="499"/>
        <v>1933.2900000000002</v>
      </c>
      <c r="U352" s="285">
        <f t="shared" si="553"/>
        <v>171819.97000000003</v>
      </c>
      <c r="V352" s="285">
        <f t="shared" si="554"/>
        <v>301687.60999999993</v>
      </c>
      <c r="W352" s="285">
        <f t="shared" si="500"/>
        <v>89756.03</v>
      </c>
      <c r="X352" s="502">
        <f t="shared" si="545"/>
        <v>54519</v>
      </c>
      <c r="Y352" s="285">
        <f t="shared" si="512"/>
        <v>263861.32000000018</v>
      </c>
      <c r="Z352" s="494">
        <f t="shared" si="537"/>
        <v>6.25E-2</v>
      </c>
      <c r="AA352" s="285">
        <f t="shared" si="538"/>
        <v>1630.04</v>
      </c>
      <c r="AB352" s="285">
        <f t="shared" si="513"/>
        <v>255.76</v>
      </c>
      <c r="AC352" s="285">
        <f t="shared" si="539"/>
        <v>1374.28</v>
      </c>
      <c r="AD352" s="285">
        <f t="shared" ref="AD352:AE352" si="571">+AD351</f>
        <v>134.16999999999999</v>
      </c>
      <c r="AE352" s="285">
        <f t="shared" si="571"/>
        <v>188.55</v>
      </c>
      <c r="AF352" s="285">
        <f t="shared" si="515"/>
        <v>1952.76</v>
      </c>
      <c r="AG352" s="285">
        <f t="shared" si="516"/>
        <v>67587.839999999924</v>
      </c>
      <c r="AH352" s="285">
        <f t="shared" si="517"/>
        <v>405870.12000000034</v>
      </c>
      <c r="AI352" s="512">
        <f t="shared" si="505"/>
        <v>49.61999999997056</v>
      </c>
      <c r="AJ352" s="512">
        <f t="shared" si="566"/>
        <v>-173849.53000000017</v>
      </c>
      <c r="AK352" s="512">
        <f t="shared" si="506"/>
        <v>-173799.91000000021</v>
      </c>
      <c r="AL352" s="285">
        <f t="shared" si="518"/>
        <v>263605.56000000017</v>
      </c>
      <c r="AM352" s="425">
        <f t="shared" si="547"/>
        <v>24</v>
      </c>
      <c r="AN352" s="14">
        <f t="shared" si="507"/>
        <v>1160.29</v>
      </c>
      <c r="AO352" s="14">
        <f t="shared" si="477"/>
        <v>150119.33000000002</v>
      </c>
      <c r="AP352" s="14">
        <f t="shared" si="508"/>
        <v>1179.76</v>
      </c>
      <c r="AS352" s="14">
        <f t="shared" si="541"/>
        <v>1160.29</v>
      </c>
      <c r="AT352" s="14">
        <f t="shared" si="548"/>
        <v>340644.6999999992</v>
      </c>
      <c r="AU352" s="285">
        <f t="shared" si="549"/>
        <v>1516.960940338784</v>
      </c>
      <c r="AV352" s="285">
        <f t="shared" si="550"/>
        <v>346725.3370758525</v>
      </c>
    </row>
    <row r="353" spans="1:48" x14ac:dyDescent="0.25">
      <c r="A353" s="502">
        <f t="shared" si="494"/>
        <v>54549</v>
      </c>
      <c r="B353" s="285">
        <f t="shared" si="542"/>
        <v>9557.9399999999441</v>
      </c>
      <c r="C353" s="14">
        <f t="shared" si="535"/>
        <v>450.28</v>
      </c>
      <c r="D353" s="14">
        <f t="shared" si="551"/>
        <v>420.40999999999997</v>
      </c>
      <c r="E353" s="14">
        <f t="shared" si="536"/>
        <v>29.87</v>
      </c>
      <c r="F353" s="14">
        <f t="shared" si="495"/>
        <v>134.16999999999999</v>
      </c>
      <c r="G353" s="14">
        <f t="shared" si="491"/>
        <v>188.55</v>
      </c>
      <c r="H353" s="14">
        <f t="shared" si="492"/>
        <v>773</v>
      </c>
      <c r="I353" s="285">
        <f t="shared" si="496"/>
        <v>88394.310000000027</v>
      </c>
      <c r="J353" s="285">
        <f t="shared" si="497"/>
        <v>64554.449999999975</v>
      </c>
      <c r="K353" s="285">
        <f t="shared" si="498"/>
        <v>9137.5299999999443</v>
      </c>
      <c r="L353" s="425">
        <f t="shared" si="479"/>
        <v>24</v>
      </c>
      <c r="M353" s="425">
        <f t="shared" si="543"/>
        <v>294</v>
      </c>
      <c r="N353" s="285">
        <f t="shared" si="544"/>
        <v>89756.03</v>
      </c>
      <c r="O353" s="285">
        <f t="shared" si="510"/>
        <v>1610.57</v>
      </c>
      <c r="P353" s="285">
        <f t="shared" si="552"/>
        <v>1143.0899999999999</v>
      </c>
      <c r="Q353" s="285">
        <f t="shared" si="511"/>
        <v>467.48</v>
      </c>
      <c r="R353" s="285">
        <f t="shared" si="502"/>
        <v>134.16999999999999</v>
      </c>
      <c r="S353" s="285">
        <f t="shared" si="503"/>
        <v>188.55</v>
      </c>
      <c r="T353" s="285">
        <f t="shared" si="499"/>
        <v>1933.29</v>
      </c>
      <c r="U353" s="285">
        <f t="shared" si="553"/>
        <v>172963.06000000003</v>
      </c>
      <c r="V353" s="285">
        <f t="shared" si="554"/>
        <v>302155.08999999991</v>
      </c>
      <c r="W353" s="285">
        <f t="shared" si="500"/>
        <v>88612.94</v>
      </c>
      <c r="X353" s="502">
        <f t="shared" si="545"/>
        <v>54549</v>
      </c>
      <c r="Y353" s="285">
        <f t="shared" si="512"/>
        <v>263605.56000000017</v>
      </c>
      <c r="Z353" s="494">
        <f t="shared" si="537"/>
        <v>6.25E-2</v>
      </c>
      <c r="AA353" s="285">
        <f t="shared" si="538"/>
        <v>1630.04</v>
      </c>
      <c r="AB353" s="285">
        <f t="shared" si="513"/>
        <v>257.08999999999992</v>
      </c>
      <c r="AC353" s="285">
        <f t="shared" si="539"/>
        <v>1372.95</v>
      </c>
      <c r="AD353" s="285">
        <f t="shared" ref="AD353:AE353" si="572">+AD352</f>
        <v>134.16999999999999</v>
      </c>
      <c r="AE353" s="285">
        <f t="shared" si="572"/>
        <v>188.55</v>
      </c>
      <c r="AF353" s="285">
        <f t="shared" si="515"/>
        <v>1952.76</v>
      </c>
      <c r="AG353" s="285">
        <f t="shared" si="516"/>
        <v>67844.92999999992</v>
      </c>
      <c r="AH353" s="285">
        <f t="shared" si="517"/>
        <v>407243.07000000036</v>
      </c>
      <c r="AI353" s="512">
        <f t="shared" si="505"/>
        <v>30.149999999970532</v>
      </c>
      <c r="AJ353" s="512">
        <f t="shared" si="566"/>
        <v>-174735.53000000014</v>
      </c>
      <c r="AK353" s="512">
        <f t="shared" si="506"/>
        <v>-174705.38000000018</v>
      </c>
      <c r="AL353" s="285">
        <f t="shared" si="518"/>
        <v>263348.47000000015</v>
      </c>
      <c r="AM353" s="425">
        <f t="shared" si="547"/>
        <v>24</v>
      </c>
      <c r="AN353" s="14">
        <f t="shared" si="507"/>
        <v>1160.29</v>
      </c>
      <c r="AO353" s="14">
        <f t="shared" si="477"/>
        <v>149396.65000000005</v>
      </c>
      <c r="AP353" s="14">
        <f t="shared" si="508"/>
        <v>1179.76</v>
      </c>
      <c r="AS353" s="14">
        <f t="shared" si="541"/>
        <v>1160.29</v>
      </c>
      <c r="AT353" s="14">
        <f t="shared" si="548"/>
        <v>341804.98999999918</v>
      </c>
      <c r="AU353" s="285">
        <f t="shared" si="549"/>
        <v>1520.7533426896314</v>
      </c>
      <c r="AV353" s="285">
        <f t="shared" si="550"/>
        <v>348246.09041854215</v>
      </c>
    </row>
    <row r="354" spans="1:48" x14ac:dyDescent="0.25">
      <c r="A354" s="502">
        <f t="shared" si="494"/>
        <v>54579</v>
      </c>
      <c r="B354" s="285">
        <f t="shared" si="542"/>
        <v>9137.5299999999443</v>
      </c>
      <c r="C354" s="14">
        <f t="shared" si="535"/>
        <v>450.28</v>
      </c>
      <c r="D354" s="14">
        <f t="shared" si="551"/>
        <v>421.72999999999996</v>
      </c>
      <c r="E354" s="14">
        <f t="shared" si="536"/>
        <v>28.55</v>
      </c>
      <c r="F354" s="14">
        <f t="shared" si="495"/>
        <v>134.16999999999999</v>
      </c>
      <c r="G354" s="14">
        <f t="shared" si="491"/>
        <v>188.55</v>
      </c>
      <c r="H354" s="14">
        <f t="shared" si="492"/>
        <v>773</v>
      </c>
      <c r="I354" s="285">
        <f t="shared" si="496"/>
        <v>88816.040000000023</v>
      </c>
      <c r="J354" s="285">
        <f t="shared" si="497"/>
        <v>64582.999999999978</v>
      </c>
      <c r="K354" s="285">
        <f t="shared" si="498"/>
        <v>8715.7999999999447</v>
      </c>
      <c r="L354" s="425">
        <f t="shared" si="479"/>
        <v>24</v>
      </c>
      <c r="M354" s="425">
        <f t="shared" si="543"/>
        <v>295</v>
      </c>
      <c r="N354" s="285">
        <f t="shared" si="544"/>
        <v>88612.94</v>
      </c>
      <c r="O354" s="285">
        <f t="shared" si="510"/>
        <v>1610.57</v>
      </c>
      <c r="P354" s="285">
        <f t="shared" si="552"/>
        <v>1149.04</v>
      </c>
      <c r="Q354" s="285">
        <f t="shared" si="511"/>
        <v>461.53</v>
      </c>
      <c r="R354" s="285">
        <f t="shared" si="502"/>
        <v>134.16999999999999</v>
      </c>
      <c r="S354" s="285">
        <f t="shared" si="503"/>
        <v>188.55</v>
      </c>
      <c r="T354" s="285">
        <f t="shared" si="499"/>
        <v>1933.29</v>
      </c>
      <c r="U354" s="285">
        <f t="shared" si="553"/>
        <v>174112.10000000003</v>
      </c>
      <c r="V354" s="285">
        <f t="shared" si="554"/>
        <v>302616.61999999994</v>
      </c>
      <c r="W354" s="285">
        <f t="shared" si="500"/>
        <v>87463.900000000009</v>
      </c>
      <c r="X354" s="502">
        <f t="shared" si="545"/>
        <v>54579</v>
      </c>
      <c r="Y354" s="285">
        <f t="shared" si="512"/>
        <v>263348.47000000015</v>
      </c>
      <c r="Z354" s="494">
        <f t="shared" si="537"/>
        <v>6.25E-2</v>
      </c>
      <c r="AA354" s="285">
        <f t="shared" si="538"/>
        <v>1630.04</v>
      </c>
      <c r="AB354" s="285">
        <f t="shared" si="513"/>
        <v>258.43000000000006</v>
      </c>
      <c r="AC354" s="285">
        <f t="shared" si="539"/>
        <v>1371.61</v>
      </c>
      <c r="AD354" s="285">
        <f t="shared" ref="AD354:AE354" si="573">+AD353</f>
        <v>134.16999999999999</v>
      </c>
      <c r="AE354" s="285">
        <f t="shared" si="573"/>
        <v>188.55</v>
      </c>
      <c r="AF354" s="285">
        <f t="shared" si="515"/>
        <v>1952.76</v>
      </c>
      <c r="AG354" s="285">
        <f t="shared" si="516"/>
        <v>68103.359999999913</v>
      </c>
      <c r="AH354" s="285">
        <f t="shared" si="517"/>
        <v>408614.68000000034</v>
      </c>
      <c r="AI354" s="512">
        <f t="shared" si="505"/>
        <v>10.679999999970505</v>
      </c>
      <c r="AJ354" s="512">
        <f t="shared" si="566"/>
        <v>-175626.14000000013</v>
      </c>
      <c r="AK354" s="512">
        <f t="shared" si="506"/>
        <v>-175615.46000000017</v>
      </c>
      <c r="AL354" s="285">
        <f t="shared" si="518"/>
        <v>263090.04000000015</v>
      </c>
      <c r="AM354" s="425">
        <f t="shared" si="547"/>
        <v>24</v>
      </c>
      <c r="AN354" s="14">
        <f t="shared" si="507"/>
        <v>1160.29</v>
      </c>
      <c r="AO354" s="14">
        <f t="shared" si="477"/>
        <v>148669.34000000003</v>
      </c>
      <c r="AP354" s="14">
        <f t="shared" si="508"/>
        <v>1179.76</v>
      </c>
      <c r="AS354" s="14">
        <f t="shared" si="541"/>
        <v>1160.29</v>
      </c>
      <c r="AT354" s="14">
        <f t="shared" si="548"/>
        <v>342965.27999999915</v>
      </c>
      <c r="AU354" s="285">
        <f t="shared" si="549"/>
        <v>1524.5552260463553</v>
      </c>
      <c r="AV354" s="285">
        <f t="shared" si="550"/>
        <v>349770.64564458851</v>
      </c>
    </row>
    <row r="355" spans="1:48" x14ac:dyDescent="0.25">
      <c r="A355" s="502">
        <f t="shared" si="494"/>
        <v>54609</v>
      </c>
      <c r="B355" s="285">
        <f t="shared" si="542"/>
        <v>8715.7999999999447</v>
      </c>
      <c r="C355" s="14">
        <f t="shared" si="535"/>
        <v>450.28</v>
      </c>
      <c r="D355" s="14">
        <f t="shared" si="551"/>
        <v>423.03999999999996</v>
      </c>
      <c r="E355" s="14">
        <f t="shared" si="536"/>
        <v>27.24</v>
      </c>
      <c r="F355" s="14">
        <f t="shared" si="495"/>
        <v>134.16999999999999</v>
      </c>
      <c r="G355" s="14">
        <f t="shared" si="491"/>
        <v>188.55</v>
      </c>
      <c r="H355" s="14">
        <f t="shared" si="492"/>
        <v>773</v>
      </c>
      <c r="I355" s="285">
        <f t="shared" si="496"/>
        <v>89239.080000000016</v>
      </c>
      <c r="J355" s="285">
        <f t="shared" si="497"/>
        <v>64610.239999999976</v>
      </c>
      <c r="K355" s="285">
        <f t="shared" si="498"/>
        <v>8292.7599999999438</v>
      </c>
      <c r="L355" s="425">
        <f t="shared" si="479"/>
        <v>24</v>
      </c>
      <c r="M355" s="425">
        <f t="shared" si="543"/>
        <v>296</v>
      </c>
      <c r="N355" s="285">
        <f t="shared" si="544"/>
        <v>87463.900000000009</v>
      </c>
      <c r="O355" s="285">
        <f t="shared" si="510"/>
        <v>1610.57</v>
      </c>
      <c r="P355" s="285">
        <f t="shared" si="552"/>
        <v>1155.03</v>
      </c>
      <c r="Q355" s="285">
        <f t="shared" si="511"/>
        <v>455.54</v>
      </c>
      <c r="R355" s="285">
        <f t="shared" si="502"/>
        <v>134.16999999999999</v>
      </c>
      <c r="S355" s="285">
        <f t="shared" si="503"/>
        <v>188.55</v>
      </c>
      <c r="T355" s="285">
        <f t="shared" si="499"/>
        <v>1933.29</v>
      </c>
      <c r="U355" s="285">
        <f t="shared" si="553"/>
        <v>175267.13000000003</v>
      </c>
      <c r="V355" s="285">
        <f t="shared" si="554"/>
        <v>303072.15999999992</v>
      </c>
      <c r="W355" s="285">
        <f t="shared" si="500"/>
        <v>86308.87000000001</v>
      </c>
      <c r="X355" s="502">
        <f t="shared" si="545"/>
        <v>54609</v>
      </c>
      <c r="Y355" s="285">
        <f t="shared" si="512"/>
        <v>263090.04000000015</v>
      </c>
      <c r="Z355" s="494">
        <f t="shared" si="537"/>
        <v>6.25E-2</v>
      </c>
      <c r="AA355" s="285">
        <f t="shared" si="538"/>
        <v>1630.04</v>
      </c>
      <c r="AB355" s="285">
        <f t="shared" si="513"/>
        <v>259.77999999999997</v>
      </c>
      <c r="AC355" s="285">
        <f t="shared" si="539"/>
        <v>1370.26</v>
      </c>
      <c r="AD355" s="285">
        <f t="shared" ref="AD355:AE355" si="574">+AD354</f>
        <v>134.16999999999999</v>
      </c>
      <c r="AE355" s="285">
        <f t="shared" si="574"/>
        <v>188.55</v>
      </c>
      <c r="AF355" s="285">
        <f t="shared" si="515"/>
        <v>1952.76</v>
      </c>
      <c r="AG355" s="285">
        <f t="shared" si="516"/>
        <v>68363.139999999912</v>
      </c>
      <c r="AH355" s="285">
        <f t="shared" si="517"/>
        <v>409984.94000000035</v>
      </c>
      <c r="AI355" s="512">
        <f t="shared" si="505"/>
        <v>-8.7900000000295222</v>
      </c>
      <c r="AJ355" s="512">
        <f t="shared" si="566"/>
        <v>-176521.39000000013</v>
      </c>
      <c r="AK355" s="512">
        <f t="shared" si="506"/>
        <v>-176530.18000000017</v>
      </c>
      <c r="AL355" s="285">
        <f t="shared" si="518"/>
        <v>262830.26000000013</v>
      </c>
      <c r="AM355" s="425">
        <f t="shared" si="547"/>
        <v>24</v>
      </c>
      <c r="AN355" s="14">
        <f t="shared" si="507"/>
        <v>1160.29</v>
      </c>
      <c r="AO355" s="14">
        <f t="shared" si="477"/>
        <v>147937.35</v>
      </c>
      <c r="AP355" s="14">
        <f t="shared" si="508"/>
        <v>1179.76</v>
      </c>
      <c r="AS355" s="14">
        <f t="shared" si="541"/>
        <v>1160.29</v>
      </c>
      <c r="AT355" s="14">
        <f t="shared" si="548"/>
        <v>344125.56999999913</v>
      </c>
      <c r="AU355" s="285">
        <f t="shared" si="549"/>
        <v>1528.3666141114711</v>
      </c>
      <c r="AV355" s="285">
        <f t="shared" si="550"/>
        <v>351299.01225869998</v>
      </c>
    </row>
    <row r="356" spans="1:48" x14ac:dyDescent="0.25">
      <c r="A356" s="502">
        <f t="shared" si="494"/>
        <v>54639</v>
      </c>
      <c r="B356" s="285">
        <f t="shared" si="542"/>
        <v>8292.7599999999438</v>
      </c>
      <c r="C356" s="14">
        <f t="shared" si="535"/>
        <v>450.28</v>
      </c>
      <c r="D356" s="14">
        <f t="shared" si="551"/>
        <v>424.36999999999995</v>
      </c>
      <c r="E356" s="14">
        <f t="shared" si="536"/>
        <v>25.91</v>
      </c>
      <c r="F356" s="14">
        <f t="shared" si="495"/>
        <v>134.16999999999999</v>
      </c>
      <c r="G356" s="14">
        <f t="shared" si="491"/>
        <v>188.55</v>
      </c>
      <c r="H356" s="14">
        <f t="shared" si="492"/>
        <v>773</v>
      </c>
      <c r="I356" s="285">
        <f t="shared" si="496"/>
        <v>89663.450000000012</v>
      </c>
      <c r="J356" s="285">
        <f t="shared" si="497"/>
        <v>64636.14999999998</v>
      </c>
      <c r="K356" s="285">
        <f t="shared" si="498"/>
        <v>7868.3899999999439</v>
      </c>
      <c r="L356" s="425">
        <f t="shared" si="479"/>
        <v>24</v>
      </c>
      <c r="M356" s="425">
        <f t="shared" si="543"/>
        <v>297</v>
      </c>
      <c r="N356" s="285">
        <f t="shared" si="544"/>
        <v>86308.87000000001</v>
      </c>
      <c r="O356" s="285">
        <f t="shared" si="510"/>
        <v>1610.57</v>
      </c>
      <c r="P356" s="285">
        <f t="shared" si="552"/>
        <v>1161.04</v>
      </c>
      <c r="Q356" s="285">
        <f t="shared" si="511"/>
        <v>449.53</v>
      </c>
      <c r="R356" s="285">
        <f t="shared" si="502"/>
        <v>134.16999999999999</v>
      </c>
      <c r="S356" s="285">
        <f t="shared" si="503"/>
        <v>188.55</v>
      </c>
      <c r="T356" s="285">
        <f t="shared" si="499"/>
        <v>1933.29</v>
      </c>
      <c r="U356" s="285">
        <f t="shared" si="553"/>
        <v>176428.17000000004</v>
      </c>
      <c r="V356" s="285">
        <f t="shared" si="554"/>
        <v>303521.68999999994</v>
      </c>
      <c r="W356" s="285">
        <f t="shared" si="500"/>
        <v>85147.830000000016</v>
      </c>
      <c r="X356" s="502">
        <f t="shared" si="545"/>
        <v>54639</v>
      </c>
      <c r="Y356" s="285">
        <f t="shared" si="512"/>
        <v>262830.26000000013</v>
      </c>
      <c r="Z356" s="494">
        <f t="shared" si="537"/>
        <v>6.25E-2</v>
      </c>
      <c r="AA356" s="285">
        <f t="shared" si="538"/>
        <v>1630.04</v>
      </c>
      <c r="AB356" s="285">
        <f t="shared" si="513"/>
        <v>261.12999999999988</v>
      </c>
      <c r="AC356" s="285">
        <f t="shared" si="539"/>
        <v>1368.91</v>
      </c>
      <c r="AD356" s="285">
        <f t="shared" ref="AD356:AE356" si="575">+AD355</f>
        <v>134.16999999999999</v>
      </c>
      <c r="AE356" s="285">
        <f t="shared" si="575"/>
        <v>188.55</v>
      </c>
      <c r="AF356" s="285">
        <f t="shared" si="515"/>
        <v>1952.76</v>
      </c>
      <c r="AG356" s="285">
        <f t="shared" si="516"/>
        <v>68624.269999999917</v>
      </c>
      <c r="AH356" s="285">
        <f t="shared" si="517"/>
        <v>411353.85000000033</v>
      </c>
      <c r="AI356" s="512">
        <f t="shared" si="505"/>
        <v>-28.260000000029549</v>
      </c>
      <c r="AJ356" s="512">
        <f t="shared" si="566"/>
        <v>-177421.3000000001</v>
      </c>
      <c r="AK356" s="512">
        <f t="shared" si="506"/>
        <v>-177449.56000000014</v>
      </c>
      <c r="AL356" s="285">
        <f t="shared" si="518"/>
        <v>262569.13000000012</v>
      </c>
      <c r="AM356" s="425">
        <f t="shared" si="547"/>
        <v>24</v>
      </c>
      <c r="AN356" s="14">
        <f t="shared" si="507"/>
        <v>1160.29</v>
      </c>
      <c r="AO356" s="14">
        <f t="shared" si="477"/>
        <v>147200.68</v>
      </c>
      <c r="AP356" s="14">
        <f t="shared" si="508"/>
        <v>1179.76</v>
      </c>
      <c r="AS356" s="14">
        <f t="shared" si="541"/>
        <v>1160.29</v>
      </c>
      <c r="AT356" s="14">
        <f t="shared" si="548"/>
        <v>345285.85999999911</v>
      </c>
      <c r="AU356" s="285">
        <f t="shared" si="549"/>
        <v>1532.18753064675</v>
      </c>
      <c r="AV356" s="285">
        <f t="shared" si="550"/>
        <v>352831.19978934672</v>
      </c>
    </row>
    <row r="357" spans="1:48" x14ac:dyDescent="0.25">
      <c r="A357" s="502">
        <f t="shared" si="494"/>
        <v>54669</v>
      </c>
      <c r="B357" s="285">
        <f t="shared" si="542"/>
        <v>7868.3899999999439</v>
      </c>
      <c r="C357" s="14">
        <f t="shared" si="535"/>
        <v>450.28</v>
      </c>
      <c r="D357" s="14">
        <f t="shared" si="551"/>
        <v>425.69</v>
      </c>
      <c r="E357" s="14">
        <f t="shared" si="536"/>
        <v>24.59</v>
      </c>
      <c r="F357" s="14">
        <f t="shared" si="495"/>
        <v>134.16999999999999</v>
      </c>
      <c r="G357" s="14">
        <f t="shared" si="491"/>
        <v>188.55</v>
      </c>
      <c r="H357" s="14">
        <f t="shared" si="492"/>
        <v>773</v>
      </c>
      <c r="I357" s="285">
        <f t="shared" si="496"/>
        <v>90089.140000000014</v>
      </c>
      <c r="J357" s="285">
        <f t="shared" si="497"/>
        <v>64660.739999999976</v>
      </c>
      <c r="K357" s="285">
        <f t="shared" si="498"/>
        <v>7442.6999999999443</v>
      </c>
      <c r="L357" s="425">
        <f t="shared" si="479"/>
        <v>24</v>
      </c>
      <c r="M357" s="425">
        <f t="shared" si="543"/>
        <v>298</v>
      </c>
      <c r="N357" s="285">
        <f t="shared" si="544"/>
        <v>85147.830000000016</v>
      </c>
      <c r="O357" s="285">
        <f t="shared" si="510"/>
        <v>1610.57</v>
      </c>
      <c r="P357" s="285">
        <f t="shared" si="552"/>
        <v>1167.0899999999999</v>
      </c>
      <c r="Q357" s="285">
        <f t="shared" si="511"/>
        <v>443.48</v>
      </c>
      <c r="R357" s="285">
        <f t="shared" si="502"/>
        <v>134.16999999999999</v>
      </c>
      <c r="S357" s="285">
        <f t="shared" si="503"/>
        <v>188.55</v>
      </c>
      <c r="T357" s="285">
        <f t="shared" si="499"/>
        <v>1933.29</v>
      </c>
      <c r="U357" s="285">
        <f t="shared" si="553"/>
        <v>177595.26000000004</v>
      </c>
      <c r="V357" s="285">
        <f t="shared" si="554"/>
        <v>303965.16999999993</v>
      </c>
      <c r="W357" s="285">
        <f t="shared" si="500"/>
        <v>83980.74000000002</v>
      </c>
      <c r="X357" s="502">
        <f t="shared" si="545"/>
        <v>54669</v>
      </c>
      <c r="Y357" s="285">
        <f t="shared" si="512"/>
        <v>262569.13000000012</v>
      </c>
      <c r="Z357" s="494">
        <f t="shared" si="537"/>
        <v>6.25E-2</v>
      </c>
      <c r="AA357" s="285">
        <f t="shared" si="538"/>
        <v>1630.04</v>
      </c>
      <c r="AB357" s="285">
        <f t="shared" si="513"/>
        <v>262.49</v>
      </c>
      <c r="AC357" s="285">
        <f t="shared" si="539"/>
        <v>1367.55</v>
      </c>
      <c r="AD357" s="285">
        <f t="shared" ref="AD357:AE357" si="576">+AD356</f>
        <v>134.16999999999999</v>
      </c>
      <c r="AE357" s="285">
        <f t="shared" si="576"/>
        <v>188.55</v>
      </c>
      <c r="AF357" s="285">
        <f t="shared" si="515"/>
        <v>1952.76</v>
      </c>
      <c r="AG357" s="285">
        <f t="shared" si="516"/>
        <v>68886.759999999922</v>
      </c>
      <c r="AH357" s="285">
        <f t="shared" si="517"/>
        <v>412721.40000000031</v>
      </c>
      <c r="AI357" s="512">
        <f t="shared" si="505"/>
        <v>-47.730000000029577</v>
      </c>
      <c r="AJ357" s="512">
        <f t="shared" si="566"/>
        <v>-178325.90000000011</v>
      </c>
      <c r="AK357" s="512">
        <f t="shared" si="506"/>
        <v>-178373.63000000015</v>
      </c>
      <c r="AL357" s="285">
        <f t="shared" si="518"/>
        <v>262306.64000000013</v>
      </c>
      <c r="AM357" s="425">
        <f t="shared" si="547"/>
        <v>24</v>
      </c>
      <c r="AN357" s="14">
        <f t="shared" si="507"/>
        <v>1160.29</v>
      </c>
      <c r="AO357" s="14">
        <f t="shared" si="477"/>
        <v>146459.28</v>
      </c>
      <c r="AP357" s="14">
        <f t="shared" si="508"/>
        <v>1179.76</v>
      </c>
      <c r="AS357" s="14">
        <f t="shared" si="541"/>
        <v>1160.29</v>
      </c>
      <c r="AT357" s="14">
        <f t="shared" si="548"/>
        <v>346446.14999999909</v>
      </c>
      <c r="AU357" s="285">
        <f t="shared" si="549"/>
        <v>1536.0179994733664</v>
      </c>
      <c r="AV357" s="285">
        <f t="shared" si="550"/>
        <v>354367.2177888201</v>
      </c>
    </row>
    <row r="358" spans="1:48" x14ac:dyDescent="0.25">
      <c r="A358" s="502">
        <f t="shared" si="494"/>
        <v>54699</v>
      </c>
      <c r="B358" s="285">
        <f t="shared" si="542"/>
        <v>7442.6999999999443</v>
      </c>
      <c r="C358" s="14">
        <f t="shared" si="535"/>
        <v>450.28</v>
      </c>
      <c r="D358" s="14">
        <f t="shared" si="551"/>
        <v>427.02</v>
      </c>
      <c r="E358" s="14">
        <f t="shared" si="536"/>
        <v>23.26</v>
      </c>
      <c r="F358" s="14">
        <f t="shared" si="495"/>
        <v>134.16999999999999</v>
      </c>
      <c r="G358" s="14">
        <f t="shared" si="491"/>
        <v>188.55</v>
      </c>
      <c r="H358" s="14">
        <f t="shared" si="492"/>
        <v>773</v>
      </c>
      <c r="I358" s="285">
        <f t="shared" si="496"/>
        <v>90516.160000000018</v>
      </c>
      <c r="J358" s="285">
        <f t="shared" si="497"/>
        <v>64683.999999999978</v>
      </c>
      <c r="K358" s="285">
        <f t="shared" si="498"/>
        <v>7015.6799999999439</v>
      </c>
      <c r="L358" s="425">
        <f t="shared" si="479"/>
        <v>24</v>
      </c>
      <c r="M358" s="425">
        <f t="shared" si="543"/>
        <v>299</v>
      </c>
      <c r="N358" s="285">
        <f t="shared" si="544"/>
        <v>83980.74000000002</v>
      </c>
      <c r="O358" s="285">
        <f t="shared" si="510"/>
        <v>1610.57</v>
      </c>
      <c r="P358" s="285">
        <f t="shared" si="552"/>
        <v>1173.17</v>
      </c>
      <c r="Q358" s="285">
        <f t="shared" si="511"/>
        <v>437.4</v>
      </c>
      <c r="R358" s="285">
        <f t="shared" si="502"/>
        <v>134.16999999999999</v>
      </c>
      <c r="S358" s="285">
        <f t="shared" si="503"/>
        <v>188.55</v>
      </c>
      <c r="T358" s="285">
        <f t="shared" si="499"/>
        <v>1933.2900000000002</v>
      </c>
      <c r="U358" s="285">
        <f t="shared" si="553"/>
        <v>178768.43000000005</v>
      </c>
      <c r="V358" s="285">
        <f t="shared" si="554"/>
        <v>304402.56999999995</v>
      </c>
      <c r="W358" s="285">
        <f t="shared" si="500"/>
        <v>82807.570000000022</v>
      </c>
      <c r="X358" s="502">
        <f t="shared" si="545"/>
        <v>54699</v>
      </c>
      <c r="Y358" s="285">
        <f t="shared" si="512"/>
        <v>262306.64000000013</v>
      </c>
      <c r="Z358" s="494">
        <f t="shared" si="537"/>
        <v>6.25E-2</v>
      </c>
      <c r="AA358" s="285">
        <f t="shared" si="538"/>
        <v>1630.04</v>
      </c>
      <c r="AB358" s="285">
        <f t="shared" si="513"/>
        <v>263.8599999999999</v>
      </c>
      <c r="AC358" s="285">
        <f t="shared" si="539"/>
        <v>1366.18</v>
      </c>
      <c r="AD358" s="285">
        <f t="shared" ref="AD358:AE358" si="577">+AD357</f>
        <v>134.16999999999999</v>
      </c>
      <c r="AE358" s="285">
        <f t="shared" si="577"/>
        <v>188.55</v>
      </c>
      <c r="AF358" s="285">
        <f t="shared" si="515"/>
        <v>1952.76</v>
      </c>
      <c r="AG358" s="285">
        <f t="shared" si="516"/>
        <v>69150.619999999923</v>
      </c>
      <c r="AH358" s="285">
        <f t="shared" si="517"/>
        <v>414087.58000000031</v>
      </c>
      <c r="AI358" s="512">
        <f t="shared" si="505"/>
        <v>-67.200000000029604</v>
      </c>
      <c r="AJ358" s="512">
        <f t="shared" si="566"/>
        <v>-179235.21000000014</v>
      </c>
      <c r="AK358" s="512">
        <f t="shared" si="506"/>
        <v>-179302.41000000018</v>
      </c>
      <c r="AL358" s="285">
        <f t="shared" si="518"/>
        <v>262042.78000000014</v>
      </c>
      <c r="AM358" s="425">
        <f t="shared" si="547"/>
        <v>24</v>
      </c>
      <c r="AN358" s="14">
        <f t="shared" si="507"/>
        <v>1160.29</v>
      </c>
      <c r="AO358" s="14">
        <f t="shared" si="477"/>
        <v>145713.13</v>
      </c>
      <c r="AP358" s="14">
        <f t="shared" si="508"/>
        <v>1179.76</v>
      </c>
      <c r="AS358" s="14">
        <f t="shared" si="541"/>
        <v>1160.29</v>
      </c>
      <c r="AT358" s="14">
        <f t="shared" si="548"/>
        <v>347606.43999999907</v>
      </c>
      <c r="AU358" s="285">
        <f t="shared" si="549"/>
        <v>1539.8580444720503</v>
      </c>
      <c r="AV358" s="285">
        <f t="shared" si="550"/>
        <v>355907.07583329215</v>
      </c>
    </row>
    <row r="359" spans="1:48" x14ac:dyDescent="0.25">
      <c r="A359" s="502">
        <f t="shared" si="494"/>
        <v>54729</v>
      </c>
      <c r="B359" s="285">
        <f t="shared" si="542"/>
        <v>7015.6799999999439</v>
      </c>
      <c r="C359" s="14">
        <f t="shared" si="535"/>
        <v>450.28</v>
      </c>
      <c r="D359" s="14">
        <f t="shared" si="551"/>
        <v>428.35999999999996</v>
      </c>
      <c r="E359" s="14">
        <f t="shared" si="536"/>
        <v>21.92</v>
      </c>
      <c r="F359" s="14">
        <f t="shared" si="495"/>
        <v>134.16999999999999</v>
      </c>
      <c r="G359" s="14">
        <f t="shared" si="491"/>
        <v>188.55</v>
      </c>
      <c r="H359" s="14">
        <f t="shared" si="492"/>
        <v>773</v>
      </c>
      <c r="I359" s="285">
        <f t="shared" si="496"/>
        <v>90944.520000000019</v>
      </c>
      <c r="J359" s="285">
        <f t="shared" si="497"/>
        <v>64705.919999999976</v>
      </c>
      <c r="K359" s="285">
        <f t="shared" si="498"/>
        <v>6587.3199999999442</v>
      </c>
      <c r="L359" s="425">
        <f t="shared" si="479"/>
        <v>25</v>
      </c>
      <c r="M359" s="425">
        <f t="shared" si="543"/>
        <v>300</v>
      </c>
      <c r="N359" s="285">
        <f t="shared" si="544"/>
        <v>82807.570000000022</v>
      </c>
      <c r="O359" s="285">
        <f t="shared" si="510"/>
        <v>1610.57</v>
      </c>
      <c r="P359" s="285">
        <f t="shared" si="552"/>
        <v>1179.28</v>
      </c>
      <c r="Q359" s="285">
        <f t="shared" si="511"/>
        <v>431.29</v>
      </c>
      <c r="R359" s="285">
        <f t="shared" si="502"/>
        <v>134.16999999999999</v>
      </c>
      <c r="S359" s="285">
        <f t="shared" si="503"/>
        <v>188.55</v>
      </c>
      <c r="T359" s="285">
        <f t="shared" si="499"/>
        <v>1933.29</v>
      </c>
      <c r="U359" s="285">
        <f t="shared" si="553"/>
        <v>179947.71000000005</v>
      </c>
      <c r="V359" s="285">
        <f t="shared" si="554"/>
        <v>304833.85999999993</v>
      </c>
      <c r="W359" s="285">
        <f t="shared" si="500"/>
        <v>81628.290000000023</v>
      </c>
      <c r="X359" s="502">
        <f t="shared" si="545"/>
        <v>54729</v>
      </c>
      <c r="Y359" s="285">
        <f t="shared" si="512"/>
        <v>262042.78000000014</v>
      </c>
      <c r="Z359" s="494">
        <f t="shared" si="537"/>
        <v>6.25E-2</v>
      </c>
      <c r="AA359" s="285">
        <f t="shared" si="538"/>
        <v>1630.04</v>
      </c>
      <c r="AB359" s="285">
        <f t="shared" si="513"/>
        <v>265.23</v>
      </c>
      <c r="AC359" s="285">
        <f t="shared" si="539"/>
        <v>1364.81</v>
      </c>
      <c r="AD359" s="285">
        <f t="shared" ref="AD359:AE359" si="578">+AD358</f>
        <v>134.16999999999999</v>
      </c>
      <c r="AE359" s="285">
        <f t="shared" si="578"/>
        <v>188.55</v>
      </c>
      <c r="AF359" s="285">
        <f t="shared" si="515"/>
        <v>1952.76</v>
      </c>
      <c r="AG359" s="285">
        <f t="shared" si="516"/>
        <v>69415.849999999919</v>
      </c>
      <c r="AH359" s="285">
        <f t="shared" si="517"/>
        <v>415452.39000000031</v>
      </c>
      <c r="AI359" s="512">
        <f t="shared" si="505"/>
        <v>-86.670000000029631</v>
      </c>
      <c r="AJ359" s="512">
        <f t="shared" si="566"/>
        <v>-180149.26000000013</v>
      </c>
      <c r="AK359" s="512">
        <f t="shared" si="506"/>
        <v>-180235.93000000017</v>
      </c>
      <c r="AL359" s="285">
        <f t="shared" si="518"/>
        <v>261777.55000000013</v>
      </c>
      <c r="AM359" s="425">
        <f t="shared" si="547"/>
        <v>25</v>
      </c>
      <c r="AN359" s="14">
        <f t="shared" si="507"/>
        <v>1160.29</v>
      </c>
      <c r="AO359" s="14">
        <f t="shared" si="477"/>
        <v>144962.21</v>
      </c>
      <c r="AP359" s="14">
        <f t="shared" si="508"/>
        <v>1179.76</v>
      </c>
      <c r="AS359" s="14">
        <f t="shared" si="541"/>
        <v>1160.29</v>
      </c>
      <c r="AT359" s="14">
        <f t="shared" si="548"/>
        <v>348766.72999999905</v>
      </c>
      <c r="AU359" s="285">
        <f t="shared" si="549"/>
        <v>1543.7076895832306</v>
      </c>
      <c r="AV359" s="285">
        <f t="shared" si="550"/>
        <v>357450.7835228754</v>
      </c>
    </row>
    <row r="360" spans="1:48" x14ac:dyDescent="0.25">
      <c r="A360" s="502">
        <f t="shared" si="494"/>
        <v>54759</v>
      </c>
      <c r="B360" s="285">
        <f t="shared" si="542"/>
        <v>6587.3199999999442</v>
      </c>
      <c r="C360" s="14">
        <f t="shared" si="535"/>
        <v>450.28</v>
      </c>
      <c r="D360" s="14">
        <f t="shared" si="551"/>
        <v>429.69</v>
      </c>
      <c r="E360" s="14">
        <f t="shared" si="536"/>
        <v>20.59</v>
      </c>
      <c r="F360" s="14">
        <f t="shared" si="495"/>
        <v>134.16999999999999</v>
      </c>
      <c r="G360" s="14">
        <f t="shared" si="491"/>
        <v>188.55</v>
      </c>
      <c r="H360" s="14">
        <f t="shared" si="492"/>
        <v>773</v>
      </c>
      <c r="I360" s="285">
        <f t="shared" si="496"/>
        <v>91374.210000000021</v>
      </c>
      <c r="J360" s="285">
        <f t="shared" si="497"/>
        <v>64726.509999999973</v>
      </c>
      <c r="K360" s="285">
        <f t="shared" si="498"/>
        <v>6157.6299999999446</v>
      </c>
      <c r="L360" s="425">
        <f t="shared" si="479"/>
        <v>25</v>
      </c>
      <c r="M360" s="425">
        <f t="shared" si="543"/>
        <v>301</v>
      </c>
      <c r="N360" s="285">
        <f t="shared" si="544"/>
        <v>81628.290000000023</v>
      </c>
      <c r="O360" s="285">
        <f t="shared" si="510"/>
        <v>1610.57</v>
      </c>
      <c r="P360" s="285">
        <f t="shared" si="552"/>
        <v>1185.42</v>
      </c>
      <c r="Q360" s="285">
        <f t="shared" si="511"/>
        <v>425.15</v>
      </c>
      <c r="R360" s="285">
        <f t="shared" si="502"/>
        <v>134.16999999999999</v>
      </c>
      <c r="S360" s="285">
        <f t="shared" si="503"/>
        <v>188.55</v>
      </c>
      <c r="T360" s="285">
        <f t="shared" si="499"/>
        <v>1933.2900000000002</v>
      </c>
      <c r="U360" s="285">
        <f t="shared" si="553"/>
        <v>181133.13000000006</v>
      </c>
      <c r="V360" s="285">
        <f t="shared" si="554"/>
        <v>305259.00999999995</v>
      </c>
      <c r="W360" s="285">
        <f t="shared" si="500"/>
        <v>80442.870000000024</v>
      </c>
      <c r="X360" s="502">
        <f t="shared" si="545"/>
        <v>54759</v>
      </c>
      <c r="Y360" s="285">
        <f t="shared" si="512"/>
        <v>261777.55000000013</v>
      </c>
      <c r="Z360" s="494">
        <f t="shared" si="537"/>
        <v>6.25E-2</v>
      </c>
      <c r="AA360" s="285">
        <f t="shared" si="538"/>
        <v>1630.04</v>
      </c>
      <c r="AB360" s="285">
        <f t="shared" si="513"/>
        <v>266.61999999999989</v>
      </c>
      <c r="AC360" s="285">
        <f t="shared" si="539"/>
        <v>1363.42</v>
      </c>
      <c r="AD360" s="285">
        <f t="shared" ref="AD360:AE360" si="579">+AD359</f>
        <v>134.16999999999999</v>
      </c>
      <c r="AE360" s="285">
        <f t="shared" si="579"/>
        <v>188.55</v>
      </c>
      <c r="AF360" s="285">
        <f t="shared" si="515"/>
        <v>1952.76</v>
      </c>
      <c r="AG360" s="285">
        <f t="shared" si="516"/>
        <v>69682.469999999914</v>
      </c>
      <c r="AH360" s="285">
        <f t="shared" si="517"/>
        <v>416815.81000000029</v>
      </c>
      <c r="AI360" s="512">
        <f t="shared" si="505"/>
        <v>-106.14000000002966</v>
      </c>
      <c r="AJ360" s="512">
        <f t="shared" si="566"/>
        <v>-181068.06000000011</v>
      </c>
      <c r="AK360" s="512">
        <f t="shared" si="506"/>
        <v>-181174.20000000016</v>
      </c>
      <c r="AL360" s="285">
        <f t="shared" si="518"/>
        <v>261510.93000000014</v>
      </c>
      <c r="AM360" s="425">
        <f t="shared" si="547"/>
        <v>25</v>
      </c>
      <c r="AN360" s="14">
        <f t="shared" si="507"/>
        <v>1160.29</v>
      </c>
      <c r="AO360" s="14">
        <f t="shared" si="477"/>
        <v>144206.47999999998</v>
      </c>
      <c r="AP360" s="14">
        <f t="shared" si="508"/>
        <v>1179.76</v>
      </c>
      <c r="AS360" s="14">
        <f t="shared" si="541"/>
        <v>1160.29</v>
      </c>
      <c r="AT360" s="14">
        <f t="shared" si="548"/>
        <v>349927.01999999903</v>
      </c>
      <c r="AU360" s="285">
        <f t="shared" si="549"/>
        <v>1547.5669588071885</v>
      </c>
      <c r="AV360" s="285">
        <f t="shared" si="550"/>
        <v>358998.35048168257</v>
      </c>
    </row>
    <row r="361" spans="1:48" x14ac:dyDescent="0.25">
      <c r="A361" s="502">
        <f t="shared" si="494"/>
        <v>54789</v>
      </c>
      <c r="B361" s="285">
        <f t="shared" si="542"/>
        <v>6157.6299999999446</v>
      </c>
      <c r="C361" s="14">
        <f t="shared" si="535"/>
        <v>450.28</v>
      </c>
      <c r="D361" s="14">
        <f t="shared" si="551"/>
        <v>431.03999999999996</v>
      </c>
      <c r="E361" s="14">
        <f t="shared" si="536"/>
        <v>19.239999999999998</v>
      </c>
      <c r="F361" s="14">
        <f t="shared" si="495"/>
        <v>134.16999999999999</v>
      </c>
      <c r="G361" s="14">
        <f t="shared" si="491"/>
        <v>188.55</v>
      </c>
      <c r="H361" s="14">
        <f t="shared" si="492"/>
        <v>773</v>
      </c>
      <c r="I361" s="285">
        <f t="shared" si="496"/>
        <v>91805.250000000015</v>
      </c>
      <c r="J361" s="285">
        <f t="shared" si="497"/>
        <v>64745.749999999971</v>
      </c>
      <c r="K361" s="285">
        <f t="shared" si="498"/>
        <v>5726.5899999999447</v>
      </c>
      <c r="L361" s="425">
        <f t="shared" si="479"/>
        <v>25</v>
      </c>
      <c r="M361" s="425">
        <f t="shared" si="543"/>
        <v>302</v>
      </c>
      <c r="N361" s="285">
        <f t="shared" si="544"/>
        <v>80442.870000000024</v>
      </c>
      <c r="O361" s="285">
        <f t="shared" si="510"/>
        <v>1610.57</v>
      </c>
      <c r="P361" s="285">
        <f t="shared" si="552"/>
        <v>1191.5999999999999</v>
      </c>
      <c r="Q361" s="285">
        <f t="shared" si="511"/>
        <v>418.97</v>
      </c>
      <c r="R361" s="285">
        <f t="shared" si="502"/>
        <v>134.16999999999999</v>
      </c>
      <c r="S361" s="285">
        <f t="shared" si="503"/>
        <v>188.55</v>
      </c>
      <c r="T361" s="285">
        <f t="shared" si="499"/>
        <v>1933.29</v>
      </c>
      <c r="U361" s="285">
        <f t="shared" si="553"/>
        <v>182324.73000000007</v>
      </c>
      <c r="V361" s="285">
        <f t="shared" si="554"/>
        <v>305677.97999999992</v>
      </c>
      <c r="W361" s="285">
        <f t="shared" si="500"/>
        <v>79251.270000000019</v>
      </c>
      <c r="X361" s="502">
        <f t="shared" si="545"/>
        <v>54789</v>
      </c>
      <c r="Y361" s="285">
        <f t="shared" si="512"/>
        <v>261510.93000000014</v>
      </c>
      <c r="Z361" s="494">
        <f t="shared" si="537"/>
        <v>6.25E-2</v>
      </c>
      <c r="AA361" s="285">
        <f t="shared" si="538"/>
        <v>1630.04</v>
      </c>
      <c r="AB361" s="285">
        <f t="shared" si="513"/>
        <v>268</v>
      </c>
      <c r="AC361" s="285">
        <f t="shared" si="539"/>
        <v>1362.04</v>
      </c>
      <c r="AD361" s="285">
        <f t="shared" ref="AD361:AE361" si="580">+AD360</f>
        <v>134.16999999999999</v>
      </c>
      <c r="AE361" s="285">
        <f t="shared" si="580"/>
        <v>188.55</v>
      </c>
      <c r="AF361" s="285">
        <f t="shared" si="515"/>
        <v>1952.76</v>
      </c>
      <c r="AG361" s="285">
        <f t="shared" si="516"/>
        <v>69950.469999999914</v>
      </c>
      <c r="AH361" s="285">
        <f t="shared" si="517"/>
        <v>418177.85000000027</v>
      </c>
      <c r="AI361" s="512">
        <f t="shared" si="505"/>
        <v>-125.61000000002969</v>
      </c>
      <c r="AJ361" s="512">
        <f t="shared" si="566"/>
        <v>-181991.66000000012</v>
      </c>
      <c r="AK361" s="512">
        <f t="shared" si="506"/>
        <v>-182117.27000000014</v>
      </c>
      <c r="AL361" s="285">
        <f t="shared" si="518"/>
        <v>261242.93000000014</v>
      </c>
      <c r="AM361" s="425">
        <f t="shared" si="547"/>
        <v>25</v>
      </c>
      <c r="AN361" s="14">
        <f t="shared" si="507"/>
        <v>1160.29</v>
      </c>
      <c r="AO361" s="14">
        <f t="shared" si="477"/>
        <v>143445.91999999995</v>
      </c>
      <c r="AP361" s="14">
        <f t="shared" si="508"/>
        <v>1179.76</v>
      </c>
      <c r="AS361" s="14">
        <f t="shared" si="541"/>
        <v>1160.29</v>
      </c>
      <c r="AT361" s="14">
        <f t="shared" si="548"/>
        <v>351087.30999999901</v>
      </c>
      <c r="AU361" s="285">
        <f t="shared" si="549"/>
        <v>1551.4358762042064</v>
      </c>
      <c r="AV361" s="285">
        <f t="shared" si="550"/>
        <v>360549.7863578868</v>
      </c>
    </row>
    <row r="362" spans="1:48" ht="15.75" thickBot="1" x14ac:dyDescent="0.3">
      <c r="A362" s="505">
        <f t="shared" si="494"/>
        <v>54819</v>
      </c>
      <c r="B362" s="345">
        <f t="shared" si="542"/>
        <v>5726.5899999999447</v>
      </c>
      <c r="C362" s="21">
        <f t="shared" si="535"/>
        <v>450.28</v>
      </c>
      <c r="D362" s="21">
        <f t="shared" si="551"/>
        <v>432.38</v>
      </c>
      <c r="E362" s="21">
        <f t="shared" si="536"/>
        <v>17.899999999999999</v>
      </c>
      <c r="F362" s="21">
        <f t="shared" si="495"/>
        <v>134.16999999999999</v>
      </c>
      <c r="G362" s="21">
        <f t="shared" si="491"/>
        <v>188.55</v>
      </c>
      <c r="H362" s="21">
        <f t="shared" si="492"/>
        <v>773</v>
      </c>
      <c r="I362" s="345">
        <f t="shared" si="496"/>
        <v>92237.630000000019</v>
      </c>
      <c r="J362" s="345">
        <f t="shared" si="497"/>
        <v>64763.649999999972</v>
      </c>
      <c r="K362" s="345">
        <f t="shared" si="498"/>
        <v>5294.2099999999446</v>
      </c>
      <c r="L362" s="426">
        <f t="shared" si="479"/>
        <v>25</v>
      </c>
      <c r="M362" s="426">
        <f t="shared" si="543"/>
        <v>303</v>
      </c>
      <c r="N362" s="345">
        <f t="shared" si="544"/>
        <v>79251.270000000019</v>
      </c>
      <c r="O362" s="345">
        <f t="shared" si="510"/>
        <v>1610.57</v>
      </c>
      <c r="P362" s="345">
        <f t="shared" si="552"/>
        <v>1197.8</v>
      </c>
      <c r="Q362" s="345">
        <f t="shared" si="511"/>
        <v>412.77</v>
      </c>
      <c r="R362" s="345">
        <f t="shared" si="502"/>
        <v>134.16999999999999</v>
      </c>
      <c r="S362" s="345">
        <f t="shared" si="503"/>
        <v>188.55</v>
      </c>
      <c r="T362" s="345">
        <f t="shared" si="499"/>
        <v>1933.29</v>
      </c>
      <c r="U362" s="345">
        <f t="shared" si="553"/>
        <v>183522.53000000006</v>
      </c>
      <c r="V362" s="345">
        <f t="shared" si="554"/>
        <v>306090.74999999994</v>
      </c>
      <c r="W362" s="345">
        <f t="shared" si="500"/>
        <v>78053.470000000016</v>
      </c>
      <c r="X362" s="505">
        <f t="shared" si="545"/>
        <v>54819</v>
      </c>
      <c r="Y362" s="345">
        <f t="shared" si="512"/>
        <v>261242.93000000014</v>
      </c>
      <c r="Z362" s="495">
        <f t="shared" si="537"/>
        <v>6.25E-2</v>
      </c>
      <c r="AA362" s="345">
        <f t="shared" si="538"/>
        <v>1630.04</v>
      </c>
      <c r="AB362" s="345">
        <f t="shared" si="513"/>
        <v>269.39999999999986</v>
      </c>
      <c r="AC362" s="345">
        <f t="shared" si="539"/>
        <v>1360.64</v>
      </c>
      <c r="AD362" s="345">
        <f t="shared" ref="AD362:AE362" si="581">+AD361</f>
        <v>134.16999999999999</v>
      </c>
      <c r="AE362" s="345">
        <f t="shared" si="581"/>
        <v>188.55</v>
      </c>
      <c r="AF362" s="345">
        <f t="shared" si="515"/>
        <v>1952.76</v>
      </c>
      <c r="AG362" s="345">
        <f t="shared" si="516"/>
        <v>70219.869999999908</v>
      </c>
      <c r="AH362" s="345">
        <f t="shared" si="517"/>
        <v>419538.49000000028</v>
      </c>
      <c r="AI362" s="513">
        <f t="shared" si="505"/>
        <v>-145.08000000002971</v>
      </c>
      <c r="AJ362" s="513">
        <f t="shared" si="566"/>
        <v>-182920.06000000011</v>
      </c>
      <c r="AK362" s="512">
        <f t="shared" si="506"/>
        <v>-183065.14000000013</v>
      </c>
      <c r="AL362" s="345">
        <f t="shared" si="518"/>
        <v>260973.53000000014</v>
      </c>
      <c r="AM362" s="426">
        <f t="shared" si="547"/>
        <v>25</v>
      </c>
      <c r="AN362" s="21">
        <f t="shared" si="507"/>
        <v>1160.29</v>
      </c>
      <c r="AO362" s="21">
        <f t="shared" si="477"/>
        <v>142680.49999999997</v>
      </c>
      <c r="AP362" s="21">
        <f t="shared" si="508"/>
        <v>1179.76</v>
      </c>
      <c r="AQ362" s="21"/>
      <c r="AR362" s="23"/>
      <c r="AS362" s="21">
        <f t="shared" si="541"/>
        <v>1160.29</v>
      </c>
      <c r="AT362" s="21">
        <f t="shared" si="548"/>
        <v>352247.59999999899</v>
      </c>
      <c r="AU362" s="345">
        <f t="shared" si="549"/>
        <v>1555.3144658947169</v>
      </c>
      <c r="AV362" s="345">
        <f t="shared" si="550"/>
        <v>362105.10082378151</v>
      </c>
    </row>
    <row r="363" spans="1:48" x14ac:dyDescent="0.25">
      <c r="A363" s="502">
        <f t="shared" si="494"/>
        <v>54849</v>
      </c>
      <c r="B363" s="285">
        <f t="shared" si="542"/>
        <v>5294.2099999999446</v>
      </c>
      <c r="C363" s="14">
        <f t="shared" si="535"/>
        <v>450.28</v>
      </c>
      <c r="D363" s="14">
        <f t="shared" si="551"/>
        <v>433.73999999999995</v>
      </c>
      <c r="E363" s="14">
        <f t="shared" si="536"/>
        <v>16.54</v>
      </c>
      <c r="F363" s="14">
        <f t="shared" si="495"/>
        <v>134.16999999999999</v>
      </c>
      <c r="G363" s="14">
        <f t="shared" si="491"/>
        <v>188.55</v>
      </c>
      <c r="H363" s="14">
        <f t="shared" si="492"/>
        <v>773</v>
      </c>
      <c r="I363" s="285">
        <f t="shared" si="496"/>
        <v>92671.370000000024</v>
      </c>
      <c r="J363" s="285">
        <f t="shared" si="497"/>
        <v>64780.189999999973</v>
      </c>
      <c r="K363" s="285">
        <f t="shared" si="498"/>
        <v>4860.4699999999448</v>
      </c>
      <c r="L363" s="425">
        <f t="shared" si="479"/>
        <v>25</v>
      </c>
      <c r="M363" s="425">
        <f t="shared" si="543"/>
        <v>304</v>
      </c>
      <c r="N363" s="285">
        <f t="shared" si="544"/>
        <v>78053.470000000016</v>
      </c>
      <c r="O363" s="285">
        <f t="shared" si="510"/>
        <v>1610.57</v>
      </c>
      <c r="P363" s="285">
        <f t="shared" si="552"/>
        <v>1204.04</v>
      </c>
      <c r="Q363" s="285">
        <f t="shared" si="511"/>
        <v>406.53</v>
      </c>
      <c r="R363" s="285">
        <f t="shared" si="502"/>
        <v>134.16999999999999</v>
      </c>
      <c r="S363" s="285">
        <f t="shared" si="503"/>
        <v>188.55</v>
      </c>
      <c r="T363" s="285">
        <f t="shared" si="499"/>
        <v>1933.29</v>
      </c>
      <c r="U363" s="285">
        <f t="shared" si="553"/>
        <v>184726.57000000007</v>
      </c>
      <c r="V363" s="285">
        <f t="shared" si="554"/>
        <v>306497.27999999997</v>
      </c>
      <c r="W363" s="285">
        <f t="shared" si="500"/>
        <v>76849.430000000022</v>
      </c>
      <c r="X363" s="502">
        <f t="shared" si="545"/>
        <v>54849</v>
      </c>
      <c r="Y363" s="285">
        <f t="shared" si="512"/>
        <v>260973.53000000014</v>
      </c>
      <c r="Z363" s="494">
        <f t="shared" si="537"/>
        <v>6.25E-2</v>
      </c>
      <c r="AA363" s="285">
        <f t="shared" si="538"/>
        <v>1630.04</v>
      </c>
      <c r="AB363" s="285">
        <f t="shared" si="513"/>
        <v>270.79999999999995</v>
      </c>
      <c r="AC363" s="285">
        <f t="shared" si="539"/>
        <v>1359.24</v>
      </c>
      <c r="AD363" s="285">
        <f t="shared" ref="AD363:AE363" si="582">+AD362</f>
        <v>134.16999999999999</v>
      </c>
      <c r="AE363" s="285">
        <f t="shared" si="582"/>
        <v>188.55</v>
      </c>
      <c r="AF363" s="285">
        <f t="shared" si="515"/>
        <v>1952.76</v>
      </c>
      <c r="AG363" s="285">
        <f t="shared" si="516"/>
        <v>70490.669999999911</v>
      </c>
      <c r="AH363" s="285">
        <f t="shared" si="517"/>
        <v>420897.73000000027</v>
      </c>
      <c r="AI363" s="512">
        <f t="shared" si="505"/>
        <v>-164.55000000002974</v>
      </c>
      <c r="AJ363" s="512">
        <f t="shared" si="566"/>
        <v>-183853.30000000013</v>
      </c>
      <c r="AK363" s="512">
        <f t="shared" si="506"/>
        <v>-184017.85000000015</v>
      </c>
      <c r="AL363" s="285">
        <f t="shared" si="518"/>
        <v>260702.73000000016</v>
      </c>
      <c r="AM363" s="425">
        <f t="shared" si="547"/>
        <v>25</v>
      </c>
      <c r="AN363" s="14">
        <f t="shared" si="507"/>
        <v>1160.29</v>
      </c>
      <c r="AO363" s="14">
        <f t="shared" si="477"/>
        <v>141910.19999999995</v>
      </c>
      <c r="AP363" s="14">
        <f t="shared" si="508"/>
        <v>1179.76</v>
      </c>
      <c r="AS363" s="14">
        <f t="shared" si="541"/>
        <v>1160.29</v>
      </c>
      <c r="AT363" s="14">
        <f t="shared" si="548"/>
        <v>353407.88999999897</v>
      </c>
      <c r="AU363" s="285">
        <f t="shared" si="549"/>
        <v>1559.2027520594536</v>
      </c>
      <c r="AV363" s="285">
        <f t="shared" si="550"/>
        <v>363664.30357584095</v>
      </c>
    </row>
    <row r="364" spans="1:48" x14ac:dyDescent="0.25">
      <c r="A364" s="502">
        <f t="shared" si="494"/>
        <v>54879</v>
      </c>
      <c r="B364" s="285">
        <f t="shared" si="542"/>
        <v>4860.4699999999448</v>
      </c>
      <c r="C364" s="14">
        <f t="shared" si="535"/>
        <v>450.28</v>
      </c>
      <c r="D364" s="14">
        <f t="shared" si="551"/>
        <v>435.09</v>
      </c>
      <c r="E364" s="14">
        <f t="shared" si="536"/>
        <v>15.19</v>
      </c>
      <c r="F364" s="14">
        <f t="shared" si="495"/>
        <v>134.16999999999999</v>
      </c>
      <c r="G364" s="14">
        <f t="shared" si="491"/>
        <v>188.55</v>
      </c>
      <c r="H364" s="14">
        <f t="shared" si="492"/>
        <v>773</v>
      </c>
      <c r="I364" s="285">
        <f t="shared" si="496"/>
        <v>93106.460000000021</v>
      </c>
      <c r="J364" s="285">
        <f t="shared" si="497"/>
        <v>64795.379999999976</v>
      </c>
      <c r="K364" s="285">
        <f t="shared" si="498"/>
        <v>4425.3799999999446</v>
      </c>
      <c r="L364" s="425">
        <f t="shared" si="479"/>
        <v>25</v>
      </c>
      <c r="M364" s="425">
        <f t="shared" si="543"/>
        <v>305</v>
      </c>
      <c r="N364" s="285">
        <f t="shared" si="544"/>
        <v>76849.430000000022</v>
      </c>
      <c r="O364" s="285">
        <f t="shared" si="510"/>
        <v>1610.57</v>
      </c>
      <c r="P364" s="285">
        <f t="shared" si="552"/>
        <v>1210.31</v>
      </c>
      <c r="Q364" s="285">
        <f t="shared" si="511"/>
        <v>400.26</v>
      </c>
      <c r="R364" s="285">
        <f t="shared" si="502"/>
        <v>134.16999999999999</v>
      </c>
      <c r="S364" s="285">
        <f t="shared" si="503"/>
        <v>188.55</v>
      </c>
      <c r="T364" s="285">
        <f t="shared" si="499"/>
        <v>1933.29</v>
      </c>
      <c r="U364" s="285">
        <f t="shared" si="553"/>
        <v>185936.88000000006</v>
      </c>
      <c r="V364" s="285">
        <f t="shared" si="554"/>
        <v>306897.53999999998</v>
      </c>
      <c r="W364" s="285">
        <f t="shared" si="500"/>
        <v>75639.120000000024</v>
      </c>
      <c r="X364" s="502">
        <f t="shared" si="545"/>
        <v>54879</v>
      </c>
      <c r="Y364" s="285">
        <f t="shared" si="512"/>
        <v>260702.73000000016</v>
      </c>
      <c r="Z364" s="494">
        <f t="shared" si="537"/>
        <v>6.25E-2</v>
      </c>
      <c r="AA364" s="285">
        <f t="shared" si="538"/>
        <v>1630.04</v>
      </c>
      <c r="AB364" s="285">
        <f t="shared" si="513"/>
        <v>272.21000000000004</v>
      </c>
      <c r="AC364" s="285">
        <f t="shared" si="539"/>
        <v>1357.83</v>
      </c>
      <c r="AD364" s="285">
        <f t="shared" ref="AD364:AE364" si="583">+AD363</f>
        <v>134.16999999999999</v>
      </c>
      <c r="AE364" s="285">
        <f t="shared" si="583"/>
        <v>188.55</v>
      </c>
      <c r="AF364" s="285">
        <f t="shared" si="515"/>
        <v>1952.76</v>
      </c>
      <c r="AG364" s="285">
        <f t="shared" si="516"/>
        <v>70762.879999999917</v>
      </c>
      <c r="AH364" s="285">
        <f t="shared" si="517"/>
        <v>422255.56000000029</v>
      </c>
      <c r="AI364" s="512">
        <f t="shared" si="505"/>
        <v>-184.02000000002977</v>
      </c>
      <c r="AJ364" s="512">
        <f t="shared" si="566"/>
        <v>-184791.40000000014</v>
      </c>
      <c r="AK364" s="512">
        <f t="shared" si="506"/>
        <v>-184975.42000000016</v>
      </c>
      <c r="AL364" s="285">
        <f t="shared" si="518"/>
        <v>260430.52000000016</v>
      </c>
      <c r="AM364" s="425">
        <f t="shared" si="547"/>
        <v>25</v>
      </c>
      <c r="AN364" s="14">
        <f t="shared" si="507"/>
        <v>1160.29</v>
      </c>
      <c r="AO364" s="14">
        <f t="shared" si="477"/>
        <v>141134.97999999998</v>
      </c>
      <c r="AP364" s="14">
        <f t="shared" si="508"/>
        <v>1179.76</v>
      </c>
      <c r="AS364" s="14">
        <f t="shared" si="541"/>
        <v>1160.29</v>
      </c>
      <c r="AT364" s="14">
        <f t="shared" si="548"/>
        <v>354568.17999999895</v>
      </c>
      <c r="AU364" s="285">
        <f t="shared" si="549"/>
        <v>1563.1007589396024</v>
      </c>
      <c r="AV364" s="285">
        <f t="shared" si="550"/>
        <v>365227.40433478053</v>
      </c>
    </row>
    <row r="365" spans="1:48" x14ac:dyDescent="0.25">
      <c r="A365" s="502">
        <f t="shared" si="494"/>
        <v>54909</v>
      </c>
      <c r="B365" s="285">
        <f t="shared" si="542"/>
        <v>4425.3799999999446</v>
      </c>
      <c r="C365" s="14">
        <f t="shared" si="535"/>
        <v>450.28</v>
      </c>
      <c r="D365" s="14">
        <f t="shared" si="551"/>
        <v>436.45</v>
      </c>
      <c r="E365" s="14">
        <f t="shared" si="536"/>
        <v>13.83</v>
      </c>
      <c r="F365" s="14">
        <f t="shared" si="495"/>
        <v>134.16999999999999</v>
      </c>
      <c r="G365" s="14">
        <f t="shared" si="491"/>
        <v>188.55</v>
      </c>
      <c r="H365" s="14">
        <f t="shared" si="492"/>
        <v>773</v>
      </c>
      <c r="I365" s="285">
        <f t="shared" si="496"/>
        <v>93542.910000000018</v>
      </c>
      <c r="J365" s="285">
        <f t="shared" si="497"/>
        <v>64809.209999999977</v>
      </c>
      <c r="K365" s="285">
        <f t="shared" si="498"/>
        <v>3988.9299999999448</v>
      </c>
      <c r="L365" s="425">
        <f t="shared" si="479"/>
        <v>25</v>
      </c>
      <c r="M365" s="425">
        <f t="shared" si="543"/>
        <v>306</v>
      </c>
      <c r="N365" s="285">
        <f t="shared" si="544"/>
        <v>75639.120000000024</v>
      </c>
      <c r="O365" s="285">
        <f t="shared" si="510"/>
        <v>1610.57</v>
      </c>
      <c r="P365" s="285">
        <f t="shared" si="552"/>
        <v>1216.6199999999999</v>
      </c>
      <c r="Q365" s="285">
        <f t="shared" si="511"/>
        <v>393.95</v>
      </c>
      <c r="R365" s="285">
        <f t="shared" si="502"/>
        <v>134.16999999999999</v>
      </c>
      <c r="S365" s="285">
        <f t="shared" si="503"/>
        <v>188.55</v>
      </c>
      <c r="T365" s="285">
        <f t="shared" si="499"/>
        <v>1933.29</v>
      </c>
      <c r="U365" s="285">
        <f t="shared" si="553"/>
        <v>187153.50000000006</v>
      </c>
      <c r="V365" s="285">
        <f t="shared" si="554"/>
        <v>307291.49</v>
      </c>
      <c r="W365" s="285">
        <f t="shared" si="500"/>
        <v>74422.500000000029</v>
      </c>
      <c r="X365" s="502">
        <f t="shared" si="545"/>
        <v>54909</v>
      </c>
      <c r="Y365" s="285">
        <f t="shared" si="512"/>
        <v>260430.52000000016</v>
      </c>
      <c r="Z365" s="494">
        <f t="shared" si="537"/>
        <v>6.25E-2</v>
      </c>
      <c r="AA365" s="285">
        <f t="shared" si="538"/>
        <v>1630.04</v>
      </c>
      <c r="AB365" s="285">
        <f t="shared" si="513"/>
        <v>273.62999999999988</v>
      </c>
      <c r="AC365" s="285">
        <f t="shared" si="539"/>
        <v>1356.41</v>
      </c>
      <c r="AD365" s="285">
        <f t="shared" ref="AD365:AE365" si="584">+AD364</f>
        <v>134.16999999999999</v>
      </c>
      <c r="AE365" s="285">
        <f t="shared" si="584"/>
        <v>188.55</v>
      </c>
      <c r="AF365" s="285">
        <f t="shared" si="515"/>
        <v>1952.76</v>
      </c>
      <c r="AG365" s="285">
        <f t="shared" si="516"/>
        <v>71036.509999999922</v>
      </c>
      <c r="AH365" s="285">
        <f t="shared" si="517"/>
        <v>423611.97000000026</v>
      </c>
      <c r="AI365" s="512">
        <f t="shared" si="505"/>
        <v>-203.4900000000298</v>
      </c>
      <c r="AJ365" s="512">
        <f t="shared" si="566"/>
        <v>-185734.39000000013</v>
      </c>
      <c r="AK365" s="512">
        <f t="shared" si="506"/>
        <v>-185937.88000000015</v>
      </c>
      <c r="AL365" s="285">
        <f t="shared" si="518"/>
        <v>260156.89000000016</v>
      </c>
      <c r="AM365" s="425">
        <f t="shared" si="547"/>
        <v>25</v>
      </c>
      <c r="AN365" s="14">
        <f t="shared" si="507"/>
        <v>1160.29</v>
      </c>
      <c r="AO365" s="14">
        <f t="shared" ref="AO365:AO428" si="585">IF(W365&lt;=0,0,+$AA$5-$C$2+I365-U365)</f>
        <v>140354.81</v>
      </c>
      <c r="AP365" s="14">
        <f t="shared" si="508"/>
        <v>1179.76</v>
      </c>
      <c r="AS365" s="14">
        <f t="shared" si="541"/>
        <v>1160.29</v>
      </c>
      <c r="AT365" s="14">
        <f t="shared" si="548"/>
        <v>355728.46999999892</v>
      </c>
      <c r="AU365" s="285">
        <f t="shared" si="549"/>
        <v>1567.0085108369512</v>
      </c>
      <c r="AV365" s="285">
        <f t="shared" si="550"/>
        <v>366794.41284561745</v>
      </c>
    </row>
    <row r="366" spans="1:48" x14ac:dyDescent="0.25">
      <c r="A366" s="502">
        <f t="shared" si="494"/>
        <v>54939</v>
      </c>
      <c r="B366" s="285">
        <f t="shared" si="542"/>
        <v>3988.9299999999448</v>
      </c>
      <c r="C366" s="14">
        <f t="shared" si="535"/>
        <v>450.28</v>
      </c>
      <c r="D366" s="14">
        <f t="shared" si="551"/>
        <v>437.80999999999995</v>
      </c>
      <c r="E366" s="14">
        <f t="shared" si="536"/>
        <v>12.47</v>
      </c>
      <c r="F366" s="14">
        <f t="shared" si="495"/>
        <v>134.16999999999999</v>
      </c>
      <c r="G366" s="14">
        <f t="shared" si="491"/>
        <v>188.55</v>
      </c>
      <c r="H366" s="14">
        <f t="shared" si="492"/>
        <v>773</v>
      </c>
      <c r="I366" s="285">
        <f t="shared" si="496"/>
        <v>93980.720000000016</v>
      </c>
      <c r="J366" s="285">
        <f t="shared" si="497"/>
        <v>64821.679999999978</v>
      </c>
      <c r="K366" s="285">
        <f t="shared" si="498"/>
        <v>3551.1199999999449</v>
      </c>
      <c r="L366" s="425">
        <f t="shared" si="479"/>
        <v>25</v>
      </c>
      <c r="M366" s="425">
        <f t="shared" si="543"/>
        <v>307</v>
      </c>
      <c r="N366" s="285">
        <f t="shared" si="544"/>
        <v>74422.500000000029</v>
      </c>
      <c r="O366" s="285">
        <f t="shared" si="510"/>
        <v>1610.57</v>
      </c>
      <c r="P366" s="285">
        <f t="shared" si="552"/>
        <v>1222.9499999999998</v>
      </c>
      <c r="Q366" s="285">
        <f t="shared" si="511"/>
        <v>387.62</v>
      </c>
      <c r="R366" s="285">
        <f t="shared" si="502"/>
        <v>134.16999999999999</v>
      </c>
      <c r="S366" s="285">
        <f t="shared" si="503"/>
        <v>188.55</v>
      </c>
      <c r="T366" s="285">
        <f t="shared" si="499"/>
        <v>1933.2899999999997</v>
      </c>
      <c r="U366" s="285">
        <f t="shared" si="553"/>
        <v>188376.45000000007</v>
      </c>
      <c r="V366" s="285">
        <f t="shared" si="554"/>
        <v>307679.11</v>
      </c>
      <c r="W366" s="285">
        <f t="shared" si="500"/>
        <v>73199.550000000032</v>
      </c>
      <c r="X366" s="502">
        <f t="shared" si="545"/>
        <v>54939</v>
      </c>
      <c r="Y366" s="285">
        <f t="shared" si="512"/>
        <v>260156.89000000016</v>
      </c>
      <c r="Z366" s="494">
        <f t="shared" si="537"/>
        <v>6.25E-2</v>
      </c>
      <c r="AA366" s="285">
        <f t="shared" si="538"/>
        <v>1630.04</v>
      </c>
      <c r="AB366" s="285">
        <f t="shared" si="513"/>
        <v>275.05999999999995</v>
      </c>
      <c r="AC366" s="285">
        <f t="shared" si="539"/>
        <v>1354.98</v>
      </c>
      <c r="AD366" s="285">
        <f t="shared" ref="AD366:AE366" si="586">+AD365</f>
        <v>134.16999999999999</v>
      </c>
      <c r="AE366" s="285">
        <f t="shared" si="586"/>
        <v>188.55</v>
      </c>
      <c r="AF366" s="285">
        <f t="shared" si="515"/>
        <v>1952.76</v>
      </c>
      <c r="AG366" s="285">
        <f t="shared" si="516"/>
        <v>71311.56999999992</v>
      </c>
      <c r="AH366" s="285">
        <f t="shared" si="517"/>
        <v>424966.95000000024</v>
      </c>
      <c r="AI366" s="512">
        <f t="shared" si="505"/>
        <v>-222.96000000002982</v>
      </c>
      <c r="AJ366" s="512">
        <f t="shared" si="566"/>
        <v>-186682.28000000014</v>
      </c>
      <c r="AK366" s="512">
        <f t="shared" si="506"/>
        <v>-186905.24000000017</v>
      </c>
      <c r="AL366" s="285">
        <f t="shared" si="518"/>
        <v>259881.83000000016</v>
      </c>
      <c r="AM366" s="425">
        <f t="shared" si="547"/>
        <v>25</v>
      </c>
      <c r="AN366" s="14">
        <f t="shared" si="507"/>
        <v>1160.29</v>
      </c>
      <c r="AO366" s="14">
        <f t="shared" si="585"/>
        <v>139569.66999999998</v>
      </c>
      <c r="AP366" s="14">
        <f t="shared" si="508"/>
        <v>1179.76</v>
      </c>
      <c r="AS366" s="14">
        <f t="shared" si="541"/>
        <v>1160.29</v>
      </c>
      <c r="AT366" s="14">
        <f t="shared" si="548"/>
        <v>356888.7599999989</v>
      </c>
      <c r="AU366" s="285">
        <f t="shared" si="549"/>
        <v>1570.9260321140434</v>
      </c>
      <c r="AV366" s="285">
        <f t="shared" si="550"/>
        <v>368365.33887773147</v>
      </c>
    </row>
    <row r="367" spans="1:48" x14ac:dyDescent="0.25">
      <c r="A367" s="502">
        <f t="shared" si="494"/>
        <v>54969</v>
      </c>
      <c r="B367" s="285">
        <f t="shared" si="542"/>
        <v>3551.1199999999449</v>
      </c>
      <c r="C367" s="14">
        <f t="shared" si="535"/>
        <v>450.28</v>
      </c>
      <c r="D367" s="14">
        <f t="shared" si="551"/>
        <v>439.17999999999995</v>
      </c>
      <c r="E367" s="14">
        <f t="shared" si="536"/>
        <v>11.1</v>
      </c>
      <c r="F367" s="14">
        <f t="shared" si="495"/>
        <v>134.16999999999999</v>
      </c>
      <c r="G367" s="14">
        <f t="shared" si="491"/>
        <v>188.55</v>
      </c>
      <c r="H367" s="14">
        <f t="shared" si="492"/>
        <v>773</v>
      </c>
      <c r="I367" s="285">
        <f t="shared" si="496"/>
        <v>94419.900000000009</v>
      </c>
      <c r="J367" s="285">
        <f t="shared" si="497"/>
        <v>64832.779999999977</v>
      </c>
      <c r="K367" s="285">
        <f t="shared" si="498"/>
        <v>3111.939999999945</v>
      </c>
      <c r="L367" s="425">
        <f t="shared" ref="L367:L430" si="587">IF(MOD(M367,12)=0,M367/12,L366)</f>
        <v>25</v>
      </c>
      <c r="M367" s="425">
        <f t="shared" si="543"/>
        <v>308</v>
      </c>
      <c r="N367" s="285">
        <f t="shared" si="544"/>
        <v>73199.550000000032</v>
      </c>
      <c r="O367" s="285">
        <f t="shared" si="510"/>
        <v>1610.57</v>
      </c>
      <c r="P367" s="285">
        <f t="shared" si="552"/>
        <v>1229.32</v>
      </c>
      <c r="Q367" s="285">
        <f t="shared" si="511"/>
        <v>381.25</v>
      </c>
      <c r="R367" s="285">
        <f t="shared" si="502"/>
        <v>134.16999999999999</v>
      </c>
      <c r="S367" s="285">
        <f t="shared" si="503"/>
        <v>188.55</v>
      </c>
      <c r="T367" s="285">
        <f t="shared" si="499"/>
        <v>1933.29</v>
      </c>
      <c r="U367" s="285">
        <f t="shared" si="553"/>
        <v>189605.77000000008</v>
      </c>
      <c r="V367" s="285">
        <f t="shared" si="554"/>
        <v>308060.36</v>
      </c>
      <c r="W367" s="285">
        <f t="shared" si="500"/>
        <v>71970.230000000025</v>
      </c>
      <c r="X367" s="502">
        <f t="shared" si="545"/>
        <v>54969</v>
      </c>
      <c r="Y367" s="285">
        <f t="shared" si="512"/>
        <v>259881.83000000016</v>
      </c>
      <c r="Z367" s="494">
        <f t="shared" si="537"/>
        <v>6.25E-2</v>
      </c>
      <c r="AA367" s="285">
        <f t="shared" si="538"/>
        <v>1630.04</v>
      </c>
      <c r="AB367" s="285">
        <f t="shared" si="513"/>
        <v>276.49</v>
      </c>
      <c r="AC367" s="285">
        <f t="shared" si="539"/>
        <v>1353.55</v>
      </c>
      <c r="AD367" s="285">
        <f t="shared" ref="AD367:AE367" si="588">+AD366</f>
        <v>134.16999999999999</v>
      </c>
      <c r="AE367" s="285">
        <f t="shared" si="588"/>
        <v>188.55</v>
      </c>
      <c r="AF367" s="285">
        <f t="shared" si="515"/>
        <v>1952.76</v>
      </c>
      <c r="AG367" s="285">
        <f t="shared" si="516"/>
        <v>71588.059999999925</v>
      </c>
      <c r="AH367" s="285">
        <f t="shared" si="517"/>
        <v>426320.50000000023</v>
      </c>
      <c r="AI367" s="512">
        <f t="shared" si="505"/>
        <v>-242.43000000002985</v>
      </c>
      <c r="AJ367" s="512">
        <f t="shared" si="566"/>
        <v>-187635.11000000016</v>
      </c>
      <c r="AK367" s="512">
        <f t="shared" si="506"/>
        <v>-187877.54000000018</v>
      </c>
      <c r="AL367" s="285">
        <f t="shared" si="518"/>
        <v>259605.34000000017</v>
      </c>
      <c r="AM367" s="425">
        <f t="shared" si="547"/>
        <v>25</v>
      </c>
      <c r="AN367" s="14">
        <f t="shared" si="507"/>
        <v>1160.29</v>
      </c>
      <c r="AO367" s="14">
        <f t="shared" si="585"/>
        <v>138779.52999999997</v>
      </c>
      <c r="AP367" s="14">
        <f t="shared" si="508"/>
        <v>1179.76</v>
      </c>
      <c r="AS367" s="14">
        <f t="shared" si="541"/>
        <v>1160.29</v>
      </c>
      <c r="AT367" s="14">
        <f t="shared" si="548"/>
        <v>358049.04999999888</v>
      </c>
      <c r="AU367" s="285">
        <f t="shared" si="549"/>
        <v>1574.8533471943285</v>
      </c>
      <c r="AV367" s="285">
        <f t="shared" si="550"/>
        <v>369940.19222492579</v>
      </c>
    </row>
    <row r="368" spans="1:48" x14ac:dyDescent="0.25">
      <c r="A368" s="502">
        <f t="shared" si="494"/>
        <v>54999</v>
      </c>
      <c r="B368" s="285">
        <f t="shared" si="542"/>
        <v>3111.939999999945</v>
      </c>
      <c r="C368" s="14">
        <f t="shared" si="535"/>
        <v>450.28</v>
      </c>
      <c r="D368" s="14">
        <f t="shared" si="551"/>
        <v>440.55999999999995</v>
      </c>
      <c r="E368" s="14">
        <f t="shared" si="536"/>
        <v>9.7200000000000006</v>
      </c>
      <c r="F368" s="14">
        <f t="shared" si="495"/>
        <v>134.16999999999999</v>
      </c>
      <c r="G368" s="14">
        <f t="shared" si="491"/>
        <v>188.55</v>
      </c>
      <c r="H368" s="14">
        <f t="shared" si="492"/>
        <v>773</v>
      </c>
      <c r="I368" s="285">
        <f t="shared" si="496"/>
        <v>94860.46</v>
      </c>
      <c r="J368" s="285">
        <f t="shared" si="497"/>
        <v>64842.499999999978</v>
      </c>
      <c r="K368" s="285">
        <f t="shared" si="498"/>
        <v>2671.3799999999451</v>
      </c>
      <c r="L368" s="425">
        <f t="shared" si="587"/>
        <v>25</v>
      </c>
      <c r="M368" s="425">
        <f t="shared" si="543"/>
        <v>309</v>
      </c>
      <c r="N368" s="285">
        <f t="shared" si="544"/>
        <v>71970.230000000025</v>
      </c>
      <c r="O368" s="285">
        <f t="shared" si="510"/>
        <v>1610.57</v>
      </c>
      <c r="P368" s="285">
        <f t="shared" si="552"/>
        <v>1235.73</v>
      </c>
      <c r="Q368" s="285">
        <f t="shared" si="511"/>
        <v>374.84</v>
      </c>
      <c r="R368" s="285">
        <f t="shared" si="502"/>
        <v>134.16999999999999</v>
      </c>
      <c r="S368" s="285">
        <f t="shared" si="503"/>
        <v>188.55</v>
      </c>
      <c r="T368" s="285">
        <f t="shared" si="499"/>
        <v>1933.29</v>
      </c>
      <c r="U368" s="285">
        <f t="shared" si="553"/>
        <v>190841.50000000009</v>
      </c>
      <c r="V368" s="285">
        <f t="shared" si="554"/>
        <v>308435.20000000001</v>
      </c>
      <c r="W368" s="285">
        <f t="shared" si="500"/>
        <v>70734.500000000029</v>
      </c>
      <c r="X368" s="502">
        <f t="shared" si="545"/>
        <v>54999</v>
      </c>
      <c r="Y368" s="285">
        <f t="shared" si="512"/>
        <v>259605.34000000017</v>
      </c>
      <c r="Z368" s="494">
        <f t="shared" si="537"/>
        <v>6.25E-2</v>
      </c>
      <c r="AA368" s="285">
        <f t="shared" si="538"/>
        <v>1630.04</v>
      </c>
      <c r="AB368" s="285">
        <f t="shared" si="513"/>
        <v>277.93000000000006</v>
      </c>
      <c r="AC368" s="285">
        <f t="shared" si="539"/>
        <v>1352.11</v>
      </c>
      <c r="AD368" s="285">
        <f t="shared" ref="AD368:AE368" si="589">+AD367</f>
        <v>134.16999999999999</v>
      </c>
      <c r="AE368" s="285">
        <f t="shared" si="589"/>
        <v>188.55</v>
      </c>
      <c r="AF368" s="285">
        <f t="shared" si="515"/>
        <v>1952.76</v>
      </c>
      <c r="AG368" s="285">
        <f t="shared" si="516"/>
        <v>71865.989999999918</v>
      </c>
      <c r="AH368" s="285">
        <f t="shared" si="517"/>
        <v>427672.61000000022</v>
      </c>
      <c r="AI368" s="512">
        <f t="shared" si="505"/>
        <v>-261.90000000002988</v>
      </c>
      <c r="AJ368" s="512">
        <f t="shared" si="566"/>
        <v>-188592.91000000015</v>
      </c>
      <c r="AK368" s="512">
        <f t="shared" si="506"/>
        <v>-188854.81000000017</v>
      </c>
      <c r="AL368" s="285">
        <f t="shared" si="518"/>
        <v>259327.41000000018</v>
      </c>
      <c r="AM368" s="425">
        <f t="shared" si="547"/>
        <v>25</v>
      </c>
      <c r="AN368" s="14">
        <f t="shared" si="507"/>
        <v>1160.29</v>
      </c>
      <c r="AO368" s="14">
        <f t="shared" si="585"/>
        <v>137984.35999999996</v>
      </c>
      <c r="AP368" s="14">
        <f t="shared" si="508"/>
        <v>1179.76</v>
      </c>
      <c r="AS368" s="14">
        <f t="shared" si="541"/>
        <v>1160.29</v>
      </c>
      <c r="AT368" s="14">
        <f t="shared" si="548"/>
        <v>359209.33999999886</v>
      </c>
      <c r="AU368" s="285">
        <f t="shared" si="549"/>
        <v>1578.7904805623145</v>
      </c>
      <c r="AV368" s="285">
        <f t="shared" si="550"/>
        <v>371518.9827054881</v>
      </c>
    </row>
    <row r="369" spans="1:48" x14ac:dyDescent="0.25">
      <c r="A369" s="502">
        <f t="shared" si="494"/>
        <v>55029</v>
      </c>
      <c r="B369" s="285">
        <f t="shared" si="542"/>
        <v>2671.3799999999451</v>
      </c>
      <c r="C369" s="14">
        <f t="shared" si="535"/>
        <v>450.28</v>
      </c>
      <c r="D369" s="14">
        <f t="shared" si="551"/>
        <v>441.92999999999995</v>
      </c>
      <c r="E369" s="14">
        <f t="shared" si="536"/>
        <v>8.35</v>
      </c>
      <c r="F369" s="14">
        <f t="shared" si="495"/>
        <v>134.16999999999999</v>
      </c>
      <c r="G369" s="14">
        <f t="shared" si="491"/>
        <v>188.55</v>
      </c>
      <c r="H369" s="14">
        <f t="shared" si="492"/>
        <v>773</v>
      </c>
      <c r="I369" s="285">
        <f t="shared" si="496"/>
        <v>95302.39</v>
      </c>
      <c r="J369" s="285">
        <f t="shared" si="497"/>
        <v>64850.849999999977</v>
      </c>
      <c r="K369" s="285">
        <f t="shared" si="498"/>
        <v>2229.4499999999452</v>
      </c>
      <c r="L369" s="425">
        <f t="shared" si="587"/>
        <v>25</v>
      </c>
      <c r="M369" s="425">
        <f t="shared" si="543"/>
        <v>310</v>
      </c>
      <c r="N369" s="285">
        <f t="shared" si="544"/>
        <v>70734.500000000029</v>
      </c>
      <c r="O369" s="285">
        <f t="shared" si="510"/>
        <v>1610.57</v>
      </c>
      <c r="P369" s="285">
        <f t="shared" si="552"/>
        <v>1242.1599999999999</v>
      </c>
      <c r="Q369" s="285">
        <f t="shared" si="511"/>
        <v>368.41</v>
      </c>
      <c r="R369" s="285">
        <f t="shared" si="502"/>
        <v>134.16999999999999</v>
      </c>
      <c r="S369" s="285">
        <f t="shared" si="503"/>
        <v>188.55</v>
      </c>
      <c r="T369" s="285">
        <f t="shared" si="499"/>
        <v>1933.29</v>
      </c>
      <c r="U369" s="285">
        <f t="shared" si="553"/>
        <v>192083.66000000009</v>
      </c>
      <c r="V369" s="285">
        <f t="shared" si="554"/>
        <v>308803.61</v>
      </c>
      <c r="W369" s="285">
        <f t="shared" si="500"/>
        <v>69492.340000000026</v>
      </c>
      <c r="X369" s="502">
        <f t="shared" si="545"/>
        <v>55029</v>
      </c>
      <c r="Y369" s="285">
        <f t="shared" si="512"/>
        <v>259327.41000000018</v>
      </c>
      <c r="Z369" s="494">
        <f t="shared" si="537"/>
        <v>6.25E-2</v>
      </c>
      <c r="AA369" s="285">
        <f t="shared" si="538"/>
        <v>1630.04</v>
      </c>
      <c r="AB369" s="285">
        <f t="shared" si="513"/>
        <v>279.37999999999988</v>
      </c>
      <c r="AC369" s="285">
        <f t="shared" si="539"/>
        <v>1350.66</v>
      </c>
      <c r="AD369" s="285">
        <f t="shared" ref="AD369:AE369" si="590">+AD368</f>
        <v>134.16999999999999</v>
      </c>
      <c r="AE369" s="285">
        <f t="shared" si="590"/>
        <v>188.55</v>
      </c>
      <c r="AF369" s="285">
        <f t="shared" si="515"/>
        <v>1952.76</v>
      </c>
      <c r="AG369" s="285">
        <f t="shared" si="516"/>
        <v>72145.369999999923</v>
      </c>
      <c r="AH369" s="285">
        <f t="shared" si="517"/>
        <v>429023.27000000019</v>
      </c>
      <c r="AI369" s="512">
        <f t="shared" si="505"/>
        <v>-281.3700000000299</v>
      </c>
      <c r="AJ369" s="512">
        <f t="shared" si="566"/>
        <v>-189555.69000000015</v>
      </c>
      <c r="AK369" s="512">
        <f t="shared" si="506"/>
        <v>-189837.06000000017</v>
      </c>
      <c r="AL369" s="285">
        <f t="shared" si="518"/>
        <v>259048.03000000017</v>
      </c>
      <c r="AM369" s="425">
        <f t="shared" si="547"/>
        <v>25</v>
      </c>
      <c r="AN369" s="14">
        <f t="shared" si="507"/>
        <v>1160.29</v>
      </c>
      <c r="AO369" s="14">
        <f t="shared" si="585"/>
        <v>137184.12999999995</v>
      </c>
      <c r="AP369" s="14">
        <f t="shared" si="508"/>
        <v>1179.76</v>
      </c>
      <c r="AS369" s="14">
        <f t="shared" si="541"/>
        <v>1160.29</v>
      </c>
      <c r="AT369" s="14">
        <f t="shared" si="548"/>
        <v>360369.62999999884</v>
      </c>
      <c r="AU369" s="285">
        <f t="shared" si="549"/>
        <v>1582.73745676372</v>
      </c>
      <c r="AV369" s="285">
        <f t="shared" si="550"/>
        <v>373101.72016225185</v>
      </c>
    </row>
    <row r="370" spans="1:48" x14ac:dyDescent="0.25">
      <c r="A370" s="502">
        <f t="shared" si="494"/>
        <v>55059</v>
      </c>
      <c r="B370" s="285">
        <f t="shared" si="542"/>
        <v>2229.4499999999452</v>
      </c>
      <c r="C370" s="14">
        <f t="shared" si="535"/>
        <v>450.28</v>
      </c>
      <c r="D370" s="14">
        <f t="shared" si="551"/>
        <v>443.30999999999995</v>
      </c>
      <c r="E370" s="14">
        <f t="shared" si="536"/>
        <v>6.97</v>
      </c>
      <c r="F370" s="14">
        <f t="shared" si="495"/>
        <v>134.16999999999999</v>
      </c>
      <c r="G370" s="14">
        <f t="shared" si="491"/>
        <v>188.55</v>
      </c>
      <c r="H370" s="14">
        <f t="shared" si="492"/>
        <v>773</v>
      </c>
      <c r="I370" s="285">
        <f t="shared" si="496"/>
        <v>95745.7</v>
      </c>
      <c r="J370" s="285">
        <f t="shared" si="497"/>
        <v>64857.819999999978</v>
      </c>
      <c r="K370" s="285">
        <f t="shared" si="498"/>
        <v>1786.1399999999453</v>
      </c>
      <c r="L370" s="425">
        <f t="shared" si="587"/>
        <v>25</v>
      </c>
      <c r="M370" s="425">
        <f t="shared" si="543"/>
        <v>311</v>
      </c>
      <c r="N370" s="285">
        <f t="shared" si="544"/>
        <v>69492.340000000026</v>
      </c>
      <c r="O370" s="285">
        <f t="shared" si="510"/>
        <v>1610.57</v>
      </c>
      <c r="P370" s="285">
        <f t="shared" si="552"/>
        <v>1248.6299999999999</v>
      </c>
      <c r="Q370" s="285">
        <f t="shared" si="511"/>
        <v>361.94</v>
      </c>
      <c r="R370" s="285">
        <f t="shared" si="502"/>
        <v>134.16999999999999</v>
      </c>
      <c r="S370" s="285">
        <f t="shared" si="503"/>
        <v>188.55</v>
      </c>
      <c r="T370" s="285">
        <f t="shared" si="499"/>
        <v>1933.29</v>
      </c>
      <c r="U370" s="285">
        <f t="shared" si="553"/>
        <v>193332.2900000001</v>
      </c>
      <c r="V370" s="285">
        <f t="shared" si="554"/>
        <v>309165.55</v>
      </c>
      <c r="W370" s="285">
        <f t="shared" si="500"/>
        <v>68243.710000000021</v>
      </c>
      <c r="X370" s="502">
        <f t="shared" si="545"/>
        <v>55059</v>
      </c>
      <c r="Y370" s="285">
        <f t="shared" si="512"/>
        <v>259048.03000000017</v>
      </c>
      <c r="Z370" s="494">
        <f t="shared" si="537"/>
        <v>6.25E-2</v>
      </c>
      <c r="AA370" s="285">
        <f t="shared" si="538"/>
        <v>1630.04</v>
      </c>
      <c r="AB370" s="285">
        <f t="shared" si="513"/>
        <v>280.82999999999993</v>
      </c>
      <c r="AC370" s="285">
        <f t="shared" si="539"/>
        <v>1349.21</v>
      </c>
      <c r="AD370" s="285">
        <f t="shared" ref="AD370:AE370" si="591">+AD369</f>
        <v>134.16999999999999</v>
      </c>
      <c r="AE370" s="285">
        <f t="shared" si="591"/>
        <v>188.55</v>
      </c>
      <c r="AF370" s="285">
        <f t="shared" si="515"/>
        <v>1952.76</v>
      </c>
      <c r="AG370" s="285">
        <f t="shared" si="516"/>
        <v>72426.199999999924</v>
      </c>
      <c r="AH370" s="285">
        <f t="shared" si="517"/>
        <v>430372.48000000021</v>
      </c>
      <c r="AI370" s="512">
        <f t="shared" si="505"/>
        <v>-300.84000000002993</v>
      </c>
      <c r="AJ370" s="512">
        <f t="shared" si="566"/>
        <v>-190523.49000000017</v>
      </c>
      <c r="AK370" s="512">
        <f t="shared" si="506"/>
        <v>-190824.33000000019</v>
      </c>
      <c r="AL370" s="285">
        <f t="shared" si="518"/>
        <v>258767.20000000019</v>
      </c>
      <c r="AM370" s="425">
        <f t="shared" si="547"/>
        <v>25</v>
      </c>
      <c r="AN370" s="14">
        <f t="shared" si="507"/>
        <v>1160.29</v>
      </c>
      <c r="AO370" s="14">
        <f t="shared" si="585"/>
        <v>136378.80999999994</v>
      </c>
      <c r="AP370" s="14">
        <f t="shared" si="508"/>
        <v>1179.76</v>
      </c>
      <c r="AS370" s="14">
        <f t="shared" si="541"/>
        <v>1160.29</v>
      </c>
      <c r="AT370" s="14">
        <f t="shared" si="548"/>
        <v>361529.91999999882</v>
      </c>
      <c r="AU370" s="285">
        <f t="shared" si="549"/>
        <v>1586.6943004056295</v>
      </c>
      <c r="AV370" s="285">
        <f t="shared" si="550"/>
        <v>374688.41446265747</v>
      </c>
    </row>
    <row r="371" spans="1:48" x14ac:dyDescent="0.25">
      <c r="A371" s="502">
        <f t="shared" si="494"/>
        <v>55089</v>
      </c>
      <c r="B371" s="285">
        <f t="shared" si="542"/>
        <v>1786.1399999999453</v>
      </c>
      <c r="C371" s="14">
        <f t="shared" si="535"/>
        <v>450.28</v>
      </c>
      <c r="D371" s="14">
        <f t="shared" si="551"/>
        <v>444.7</v>
      </c>
      <c r="E371" s="14">
        <f t="shared" si="536"/>
        <v>5.58</v>
      </c>
      <c r="F371" s="14">
        <f t="shared" si="495"/>
        <v>134.16999999999999</v>
      </c>
      <c r="G371" s="14">
        <f t="shared" si="491"/>
        <v>188.55</v>
      </c>
      <c r="H371" s="14">
        <f t="shared" si="492"/>
        <v>773</v>
      </c>
      <c r="I371" s="285">
        <f t="shared" si="496"/>
        <v>96190.399999999994</v>
      </c>
      <c r="J371" s="285">
        <f t="shared" si="497"/>
        <v>64863.39999999998</v>
      </c>
      <c r="K371" s="285">
        <f t="shared" si="498"/>
        <v>1341.4399999999453</v>
      </c>
      <c r="L371" s="425">
        <f t="shared" si="587"/>
        <v>26</v>
      </c>
      <c r="M371" s="425">
        <f t="shared" si="543"/>
        <v>312</v>
      </c>
      <c r="N371" s="285">
        <f t="shared" si="544"/>
        <v>68243.710000000021</v>
      </c>
      <c r="O371" s="285">
        <f t="shared" si="510"/>
        <v>1610.57</v>
      </c>
      <c r="P371" s="285">
        <f t="shared" si="552"/>
        <v>1255.1299999999999</v>
      </c>
      <c r="Q371" s="285">
        <f t="shared" si="511"/>
        <v>355.44</v>
      </c>
      <c r="R371" s="285">
        <f t="shared" si="502"/>
        <v>134.16999999999999</v>
      </c>
      <c r="S371" s="285">
        <f t="shared" si="503"/>
        <v>188.55</v>
      </c>
      <c r="T371" s="285">
        <f t="shared" si="499"/>
        <v>1933.29</v>
      </c>
      <c r="U371" s="285">
        <f t="shared" si="553"/>
        <v>194587.4200000001</v>
      </c>
      <c r="V371" s="285">
        <f t="shared" si="554"/>
        <v>309520.99</v>
      </c>
      <c r="W371" s="285">
        <f t="shared" si="500"/>
        <v>66988.580000000016</v>
      </c>
      <c r="X371" s="502">
        <f t="shared" si="545"/>
        <v>55089</v>
      </c>
      <c r="Y371" s="285">
        <f t="shared" si="512"/>
        <v>258767.20000000019</v>
      </c>
      <c r="Z371" s="494">
        <f t="shared" si="537"/>
        <v>6.25E-2</v>
      </c>
      <c r="AA371" s="285">
        <f t="shared" si="538"/>
        <v>1630.04</v>
      </c>
      <c r="AB371" s="285">
        <f t="shared" si="513"/>
        <v>282.28999999999996</v>
      </c>
      <c r="AC371" s="285">
        <f t="shared" si="539"/>
        <v>1347.75</v>
      </c>
      <c r="AD371" s="285">
        <f t="shared" ref="AD371:AE371" si="592">+AD370</f>
        <v>134.16999999999999</v>
      </c>
      <c r="AE371" s="285">
        <f t="shared" si="592"/>
        <v>188.55</v>
      </c>
      <c r="AF371" s="285">
        <f t="shared" si="515"/>
        <v>1952.76</v>
      </c>
      <c r="AG371" s="285">
        <f t="shared" si="516"/>
        <v>72708.489999999918</v>
      </c>
      <c r="AH371" s="285">
        <f t="shared" si="517"/>
        <v>431720.23000000021</v>
      </c>
      <c r="AI371" s="512">
        <f t="shared" si="505"/>
        <v>-320.31000000002996</v>
      </c>
      <c r="AJ371" s="512">
        <f t="shared" si="566"/>
        <v>-191496.33000000016</v>
      </c>
      <c r="AK371" s="512">
        <f t="shared" si="506"/>
        <v>-191816.64000000019</v>
      </c>
      <c r="AL371" s="285">
        <f t="shared" si="518"/>
        <v>258484.91000000018</v>
      </c>
      <c r="AM371" s="425">
        <f t="shared" si="547"/>
        <v>26</v>
      </c>
      <c r="AN371" s="14">
        <f t="shared" si="507"/>
        <v>1160.29</v>
      </c>
      <c r="AO371" s="14">
        <f t="shared" si="585"/>
        <v>135568.37999999995</v>
      </c>
      <c r="AP371" s="14">
        <f t="shared" si="508"/>
        <v>1179.76</v>
      </c>
      <c r="AS371" s="14">
        <f t="shared" si="541"/>
        <v>1160.29</v>
      </c>
      <c r="AT371" s="14">
        <f t="shared" si="548"/>
        <v>362690.2099999988</v>
      </c>
      <c r="AU371" s="285">
        <f t="shared" si="549"/>
        <v>1590.6610361566436</v>
      </c>
      <c r="AV371" s="285">
        <f t="shared" si="550"/>
        <v>376279.07549881411</v>
      </c>
    </row>
    <row r="372" spans="1:48" x14ac:dyDescent="0.25">
      <c r="A372" s="502">
        <f t="shared" si="494"/>
        <v>55119</v>
      </c>
      <c r="B372" s="285">
        <f t="shared" si="542"/>
        <v>1341.4399999999453</v>
      </c>
      <c r="C372" s="14">
        <f t="shared" si="535"/>
        <v>450.28</v>
      </c>
      <c r="D372" s="14">
        <f t="shared" si="551"/>
        <v>446.09</v>
      </c>
      <c r="E372" s="14">
        <f t="shared" si="536"/>
        <v>4.1900000000000004</v>
      </c>
      <c r="F372" s="14">
        <f t="shared" si="495"/>
        <v>134.16999999999999</v>
      </c>
      <c r="G372" s="14">
        <f t="shared" si="491"/>
        <v>188.55</v>
      </c>
      <c r="H372" s="14">
        <f t="shared" si="492"/>
        <v>773</v>
      </c>
      <c r="I372" s="285">
        <f t="shared" si="496"/>
        <v>96636.489999999991</v>
      </c>
      <c r="J372" s="285">
        <f t="shared" si="497"/>
        <v>64867.589999999982</v>
      </c>
      <c r="K372" s="285">
        <f t="shared" si="498"/>
        <v>895.34999999994534</v>
      </c>
      <c r="L372" s="425">
        <f t="shared" si="587"/>
        <v>26</v>
      </c>
      <c r="M372" s="425">
        <f t="shared" si="543"/>
        <v>313</v>
      </c>
      <c r="N372" s="285">
        <f t="shared" si="544"/>
        <v>66988.580000000016</v>
      </c>
      <c r="O372" s="285">
        <f t="shared" si="510"/>
        <v>1610.57</v>
      </c>
      <c r="P372" s="285">
        <f t="shared" si="552"/>
        <v>1261.67</v>
      </c>
      <c r="Q372" s="285">
        <f t="shared" si="511"/>
        <v>348.9</v>
      </c>
      <c r="R372" s="285">
        <f t="shared" si="502"/>
        <v>134.16999999999999</v>
      </c>
      <c r="S372" s="285">
        <f t="shared" si="503"/>
        <v>188.55</v>
      </c>
      <c r="T372" s="285">
        <f t="shared" si="499"/>
        <v>1933.2900000000002</v>
      </c>
      <c r="U372" s="285">
        <f t="shared" si="553"/>
        <v>195849.09000000011</v>
      </c>
      <c r="V372" s="285">
        <f t="shared" si="554"/>
        <v>309869.89</v>
      </c>
      <c r="W372" s="285">
        <f t="shared" si="500"/>
        <v>65726.910000000018</v>
      </c>
      <c r="X372" s="502">
        <f t="shared" si="545"/>
        <v>55119</v>
      </c>
      <c r="Y372" s="285">
        <f t="shared" si="512"/>
        <v>258484.91000000018</v>
      </c>
      <c r="Z372" s="494">
        <f t="shared" si="537"/>
        <v>6.25E-2</v>
      </c>
      <c r="AA372" s="285">
        <f t="shared" si="538"/>
        <v>1630.04</v>
      </c>
      <c r="AB372" s="285">
        <f t="shared" si="513"/>
        <v>283.76</v>
      </c>
      <c r="AC372" s="285">
        <f t="shared" si="539"/>
        <v>1346.28</v>
      </c>
      <c r="AD372" s="285">
        <f t="shared" ref="AD372:AE372" si="593">+AD371</f>
        <v>134.16999999999999</v>
      </c>
      <c r="AE372" s="285">
        <f t="shared" si="593"/>
        <v>188.55</v>
      </c>
      <c r="AF372" s="285">
        <f t="shared" si="515"/>
        <v>1952.76</v>
      </c>
      <c r="AG372" s="285">
        <f t="shared" si="516"/>
        <v>72992.249999999913</v>
      </c>
      <c r="AH372" s="285">
        <f t="shared" si="517"/>
        <v>433066.51000000024</v>
      </c>
      <c r="AI372" s="512">
        <f t="shared" si="505"/>
        <v>-339.78000000002999</v>
      </c>
      <c r="AJ372" s="512">
        <f t="shared" si="566"/>
        <v>-192474.24000000017</v>
      </c>
      <c r="AK372" s="512">
        <f t="shared" si="506"/>
        <v>-192814.02000000019</v>
      </c>
      <c r="AL372" s="285">
        <f t="shared" si="518"/>
        <v>258201.15000000017</v>
      </c>
      <c r="AM372" s="425">
        <f t="shared" si="547"/>
        <v>26</v>
      </c>
      <c r="AN372" s="14">
        <f t="shared" si="507"/>
        <v>1160.29</v>
      </c>
      <c r="AO372" s="14">
        <f t="shared" si="585"/>
        <v>134752.7999999999</v>
      </c>
      <c r="AP372" s="14">
        <f t="shared" si="508"/>
        <v>1179.76</v>
      </c>
      <c r="AS372" s="14">
        <f t="shared" si="541"/>
        <v>1160.29</v>
      </c>
      <c r="AT372" s="14">
        <f t="shared" si="548"/>
        <v>363850.49999999878</v>
      </c>
      <c r="AU372" s="285">
        <f t="shared" si="549"/>
        <v>1594.6376887470351</v>
      </c>
      <c r="AV372" s="285">
        <f t="shared" si="550"/>
        <v>377873.71318756114</v>
      </c>
    </row>
    <row r="373" spans="1:48" x14ac:dyDescent="0.25">
      <c r="A373" s="502">
        <f t="shared" si="494"/>
        <v>55149</v>
      </c>
      <c r="B373" s="285">
        <f t="shared" si="542"/>
        <v>895.34999999994534</v>
      </c>
      <c r="C373" s="14">
        <f t="shared" si="535"/>
        <v>450.28</v>
      </c>
      <c r="D373" s="14">
        <f t="shared" si="551"/>
        <v>447.47999999999996</v>
      </c>
      <c r="E373" s="14">
        <f t="shared" si="536"/>
        <v>2.8</v>
      </c>
      <c r="F373" s="14">
        <f t="shared" si="495"/>
        <v>134.16999999999999</v>
      </c>
      <c r="G373" s="14">
        <f t="shared" si="491"/>
        <v>188.55</v>
      </c>
      <c r="H373" s="14">
        <f t="shared" si="492"/>
        <v>773</v>
      </c>
      <c r="I373" s="285">
        <f t="shared" si="496"/>
        <v>97083.969999999987</v>
      </c>
      <c r="J373" s="285">
        <f t="shared" si="497"/>
        <v>64870.389999999985</v>
      </c>
      <c r="K373" s="285">
        <f t="shared" si="498"/>
        <v>447.86999999994538</v>
      </c>
      <c r="L373" s="425">
        <f t="shared" si="587"/>
        <v>26</v>
      </c>
      <c r="M373" s="425">
        <f t="shared" si="543"/>
        <v>314</v>
      </c>
      <c r="N373" s="285">
        <f t="shared" si="544"/>
        <v>65726.910000000018</v>
      </c>
      <c r="O373" s="285">
        <f t="shared" si="510"/>
        <v>1610.57</v>
      </c>
      <c r="P373" s="285">
        <f t="shared" si="552"/>
        <v>1268.24</v>
      </c>
      <c r="Q373" s="285">
        <f t="shared" si="511"/>
        <v>342.33</v>
      </c>
      <c r="R373" s="285">
        <f t="shared" si="502"/>
        <v>134.16999999999999</v>
      </c>
      <c r="S373" s="285">
        <f t="shared" si="503"/>
        <v>188.55</v>
      </c>
      <c r="T373" s="285">
        <f t="shared" si="499"/>
        <v>1933.29</v>
      </c>
      <c r="U373" s="285">
        <f t="shared" si="553"/>
        <v>197117.3300000001</v>
      </c>
      <c r="V373" s="285">
        <f t="shared" si="554"/>
        <v>310212.22000000003</v>
      </c>
      <c r="W373" s="285">
        <f t="shared" si="500"/>
        <v>64458.67000000002</v>
      </c>
      <c r="X373" s="502">
        <f t="shared" si="545"/>
        <v>55149</v>
      </c>
      <c r="Y373" s="285">
        <f t="shared" si="512"/>
        <v>258201.15000000017</v>
      </c>
      <c r="Z373" s="494">
        <f t="shared" si="537"/>
        <v>6.25E-2</v>
      </c>
      <c r="AA373" s="285">
        <f t="shared" si="538"/>
        <v>1630.04</v>
      </c>
      <c r="AB373" s="285">
        <f t="shared" si="513"/>
        <v>285.24</v>
      </c>
      <c r="AC373" s="285">
        <f t="shared" si="539"/>
        <v>1344.8</v>
      </c>
      <c r="AD373" s="285">
        <f t="shared" ref="AD373:AE373" si="594">+AD372</f>
        <v>134.16999999999999</v>
      </c>
      <c r="AE373" s="285">
        <f t="shared" si="594"/>
        <v>188.55</v>
      </c>
      <c r="AF373" s="285">
        <f t="shared" si="515"/>
        <v>1952.76</v>
      </c>
      <c r="AG373" s="285">
        <f t="shared" si="516"/>
        <v>73277.489999999918</v>
      </c>
      <c r="AH373" s="285">
        <f t="shared" si="517"/>
        <v>434411.31000000023</v>
      </c>
      <c r="AI373" s="512">
        <f t="shared" si="505"/>
        <v>-359.25000000003001</v>
      </c>
      <c r="AJ373" s="512">
        <f t="shared" si="566"/>
        <v>-193457.24000000017</v>
      </c>
      <c r="AK373" s="512">
        <f t="shared" si="506"/>
        <v>-193816.49000000019</v>
      </c>
      <c r="AL373" s="285">
        <f t="shared" si="518"/>
        <v>257915.91000000018</v>
      </c>
      <c r="AM373" s="425">
        <f t="shared" si="547"/>
        <v>26</v>
      </c>
      <c r="AN373" s="14">
        <f t="shared" si="507"/>
        <v>1160.29</v>
      </c>
      <c r="AO373" s="14">
        <f t="shared" si="585"/>
        <v>133932.03999999989</v>
      </c>
      <c r="AP373" s="14">
        <f t="shared" si="508"/>
        <v>1179.76</v>
      </c>
      <c r="AS373" s="14">
        <f t="shared" si="541"/>
        <v>1160.29</v>
      </c>
      <c r="AT373" s="14">
        <f t="shared" si="548"/>
        <v>365010.78999999876</v>
      </c>
      <c r="AU373" s="285">
        <f t="shared" si="549"/>
        <v>1598.6242829689027</v>
      </c>
      <c r="AV373" s="285">
        <f t="shared" si="550"/>
        <v>379472.33747053007</v>
      </c>
    </row>
    <row r="374" spans="1:48" ht="15.75" thickBot="1" x14ac:dyDescent="0.3">
      <c r="A374" s="505" t="str">
        <f t="shared" si="494"/>
        <v xml:space="preserve"> </v>
      </c>
      <c r="B374" s="345">
        <f>IF(+K373&lt;0,0,+K373)</f>
        <v>447.86999999994538</v>
      </c>
      <c r="C374" s="21">
        <f t="shared" si="535"/>
        <v>450.28</v>
      </c>
      <c r="D374" s="21">
        <f t="shared" si="551"/>
        <v>448.88</v>
      </c>
      <c r="E374" s="21">
        <f t="shared" si="536"/>
        <v>1.4</v>
      </c>
      <c r="F374" s="21">
        <f t="shared" si="495"/>
        <v>134.16999999999999</v>
      </c>
      <c r="G374" s="21">
        <f t="shared" si="491"/>
        <v>188.55</v>
      </c>
      <c r="H374" s="21">
        <f t="shared" si="492"/>
        <v>773</v>
      </c>
      <c r="I374" s="345">
        <f t="shared" si="496"/>
        <v>97532.849999999991</v>
      </c>
      <c r="J374" s="345">
        <f t="shared" si="497"/>
        <v>64871.789999999986</v>
      </c>
      <c r="K374" s="345">
        <f t="shared" si="498"/>
        <v>-1.0100000000546174</v>
      </c>
      <c r="L374" s="426">
        <f t="shared" si="587"/>
        <v>26</v>
      </c>
      <c r="M374" s="426">
        <f t="shared" si="543"/>
        <v>315</v>
      </c>
      <c r="N374" s="345">
        <f t="shared" si="544"/>
        <v>64458.67000000002</v>
      </c>
      <c r="O374" s="345">
        <f t="shared" si="510"/>
        <v>1610.57</v>
      </c>
      <c r="P374" s="345">
        <f t="shared" si="552"/>
        <v>1274.8499999999999</v>
      </c>
      <c r="Q374" s="345">
        <f t="shared" si="511"/>
        <v>335.72</v>
      </c>
      <c r="R374" s="345">
        <f t="shared" si="502"/>
        <v>134.16999999999999</v>
      </c>
      <c r="S374" s="345">
        <f t="shared" si="503"/>
        <v>188.55</v>
      </c>
      <c r="T374" s="345">
        <f t="shared" si="499"/>
        <v>1933.29</v>
      </c>
      <c r="U374" s="345">
        <f t="shared" si="553"/>
        <v>198392.18000000011</v>
      </c>
      <c r="V374" s="345">
        <f t="shared" si="554"/>
        <v>310547.94</v>
      </c>
      <c r="W374" s="345">
        <f t="shared" si="500"/>
        <v>63183.820000000022</v>
      </c>
      <c r="X374" s="505" t="str">
        <f t="shared" si="545"/>
        <v xml:space="preserve"> </v>
      </c>
      <c r="Y374" s="345">
        <f t="shared" si="512"/>
        <v>257915.91000000018</v>
      </c>
      <c r="Z374" s="495">
        <f t="shared" si="537"/>
        <v>6.25E-2</v>
      </c>
      <c r="AA374" s="345">
        <f t="shared" si="538"/>
        <v>1630.04</v>
      </c>
      <c r="AB374" s="345">
        <f t="shared" si="513"/>
        <v>286.73</v>
      </c>
      <c r="AC374" s="345">
        <f t="shared" si="539"/>
        <v>1343.31</v>
      </c>
      <c r="AD374" s="345">
        <f t="shared" ref="AD374:AE374" si="595">+AD373</f>
        <v>134.16999999999999</v>
      </c>
      <c r="AE374" s="345">
        <f t="shared" si="595"/>
        <v>188.55</v>
      </c>
      <c r="AF374" s="345">
        <f t="shared" si="515"/>
        <v>1952.76</v>
      </c>
      <c r="AG374" s="345">
        <f t="shared" si="516"/>
        <v>73564.219999999914</v>
      </c>
      <c r="AH374" s="345">
        <f t="shared" si="517"/>
        <v>435754.62000000023</v>
      </c>
      <c r="AI374" s="513">
        <f t="shared" si="505"/>
        <v>-378.72000000003004</v>
      </c>
      <c r="AJ374" s="513">
        <f t="shared" si="566"/>
        <v>-194445.36000000016</v>
      </c>
      <c r="AK374" s="512">
        <f t="shared" si="506"/>
        <v>-194824.08000000019</v>
      </c>
      <c r="AL374" s="345">
        <f t="shared" si="518"/>
        <v>257629.18000000017</v>
      </c>
      <c r="AM374" s="426">
        <f t="shared" si="547"/>
        <v>26</v>
      </c>
      <c r="AN374" s="21">
        <f t="shared" si="507"/>
        <v>1160.29</v>
      </c>
      <c r="AO374" s="21">
        <f t="shared" si="585"/>
        <v>133106.06999999989</v>
      </c>
      <c r="AP374" s="21">
        <f t="shared" si="508"/>
        <v>1179.76</v>
      </c>
      <c r="AQ374" s="21"/>
      <c r="AR374" s="23"/>
      <c r="AS374" s="21">
        <f t="shared" si="541"/>
        <v>1160.29</v>
      </c>
      <c r="AT374" s="21">
        <f t="shared" si="548"/>
        <v>366171.07999999874</v>
      </c>
      <c r="AU374" s="345">
        <f t="shared" si="549"/>
        <v>1602.6208436763252</v>
      </c>
      <c r="AV374" s="345">
        <f t="shared" si="550"/>
        <v>381074.95831420639</v>
      </c>
    </row>
    <row r="375" spans="1:48" x14ac:dyDescent="0.25">
      <c r="A375" s="502" t="str">
        <f t="shared" si="494"/>
        <v xml:space="preserve"> </v>
      </c>
      <c r="B375" s="285">
        <f>IF(+$K374&lt;0,0,+K374)</f>
        <v>0</v>
      </c>
      <c r="C375" s="14">
        <f t="shared" si="535"/>
        <v>0</v>
      </c>
      <c r="D375" s="14">
        <f t="shared" si="551"/>
        <v>0</v>
      </c>
      <c r="E375" s="14">
        <f t="shared" si="536"/>
        <v>0</v>
      </c>
      <c r="F375" s="14">
        <f t="shared" si="495"/>
        <v>134.16999999999999</v>
      </c>
      <c r="G375" s="14">
        <f t="shared" si="491"/>
        <v>188.55</v>
      </c>
      <c r="H375" s="14">
        <f t="shared" si="492"/>
        <v>322.72000000000003</v>
      </c>
      <c r="I375" s="285">
        <f t="shared" si="496"/>
        <v>97532.849999999991</v>
      </c>
      <c r="J375" s="285">
        <f t="shared" si="497"/>
        <v>64871.789999999986</v>
      </c>
      <c r="K375" s="285">
        <f t="shared" si="498"/>
        <v>0</v>
      </c>
      <c r="L375" s="425">
        <f t="shared" si="587"/>
        <v>26</v>
      </c>
      <c r="M375" s="425">
        <f t="shared" si="543"/>
        <v>316</v>
      </c>
      <c r="N375" s="285">
        <f t="shared" si="544"/>
        <v>63183.820000000022</v>
      </c>
      <c r="O375" s="285">
        <f t="shared" si="510"/>
        <v>1610.57</v>
      </c>
      <c r="P375" s="285">
        <f t="shared" si="552"/>
        <v>1281.49</v>
      </c>
      <c r="Q375" s="285">
        <f t="shared" si="511"/>
        <v>329.08</v>
      </c>
      <c r="R375" s="285">
        <f t="shared" si="502"/>
        <v>134.16999999999999</v>
      </c>
      <c r="S375" s="285">
        <f t="shared" si="503"/>
        <v>188.55</v>
      </c>
      <c r="T375" s="285">
        <f t="shared" si="499"/>
        <v>1933.29</v>
      </c>
      <c r="U375" s="285">
        <f t="shared" si="553"/>
        <v>199673.6700000001</v>
      </c>
      <c r="V375" s="285">
        <f t="shared" si="554"/>
        <v>310877.02</v>
      </c>
      <c r="W375" s="285">
        <f t="shared" si="500"/>
        <v>61902.330000000024</v>
      </c>
      <c r="X375" s="502" t="str">
        <f t="shared" si="545"/>
        <v xml:space="preserve"> </v>
      </c>
      <c r="Y375" s="285">
        <f t="shared" si="512"/>
        <v>257629.18000000017</v>
      </c>
      <c r="Z375" s="494">
        <f t="shared" si="537"/>
        <v>6.25E-2</v>
      </c>
      <c r="AA375" s="285">
        <f t="shared" si="538"/>
        <v>1630.04</v>
      </c>
      <c r="AB375" s="285">
        <f t="shared" si="513"/>
        <v>288.22000000000003</v>
      </c>
      <c r="AC375" s="285">
        <f t="shared" si="539"/>
        <v>1341.82</v>
      </c>
      <c r="AD375" s="285">
        <f t="shared" ref="AD375:AE375" si="596">+AD374</f>
        <v>134.16999999999999</v>
      </c>
      <c r="AE375" s="285">
        <f t="shared" si="596"/>
        <v>188.55</v>
      </c>
      <c r="AF375" s="285">
        <f t="shared" si="515"/>
        <v>1952.76</v>
      </c>
      <c r="AG375" s="285">
        <f t="shared" si="516"/>
        <v>73852.439999999915</v>
      </c>
      <c r="AH375" s="285">
        <f t="shared" si="517"/>
        <v>437096.44000000024</v>
      </c>
      <c r="AI375" s="512">
        <f t="shared" si="505"/>
        <v>-398.19000000003007</v>
      </c>
      <c r="AJ375" s="512">
        <f t="shared" si="566"/>
        <v>-195438.63000000015</v>
      </c>
      <c r="AK375" s="512">
        <f t="shared" si="506"/>
        <v>-195836.82000000018</v>
      </c>
      <c r="AL375" s="285">
        <f t="shared" si="518"/>
        <v>257340.96000000017</v>
      </c>
      <c r="AM375" s="425">
        <f t="shared" si="547"/>
        <v>26</v>
      </c>
      <c r="AN375" s="14">
        <f t="shared" si="507"/>
        <v>1610.57</v>
      </c>
      <c r="AO375" s="14">
        <f t="shared" si="585"/>
        <v>131824.5799999999</v>
      </c>
      <c r="AP375" s="14">
        <f t="shared" si="508"/>
        <v>1630.04</v>
      </c>
      <c r="AS375" s="14">
        <f t="shared" si="541"/>
        <v>1610.57</v>
      </c>
      <c r="AT375" s="14">
        <f t="shared" si="548"/>
        <v>367781.64999999874</v>
      </c>
      <c r="AU375" s="285">
        <f t="shared" si="549"/>
        <v>1606.6273957855162</v>
      </c>
      <c r="AV375" s="285">
        <f t="shared" si="550"/>
        <v>382681.58570999192</v>
      </c>
    </row>
    <row r="376" spans="1:48" x14ac:dyDescent="0.25">
      <c r="A376" s="502" t="str">
        <f t="shared" si="494"/>
        <v xml:space="preserve"> </v>
      </c>
      <c r="B376" s="285">
        <f t="shared" ref="B376:B439" si="597">IF(+K375&lt;0,0,+K375)</f>
        <v>0</v>
      </c>
      <c r="C376" s="14">
        <f t="shared" si="535"/>
        <v>0</v>
      </c>
      <c r="D376" s="14">
        <f t="shared" si="551"/>
        <v>0</v>
      </c>
      <c r="E376" s="14">
        <f t="shared" si="536"/>
        <v>0</v>
      </c>
      <c r="F376" s="14">
        <f t="shared" si="495"/>
        <v>134.16999999999999</v>
      </c>
      <c r="G376" s="14">
        <f t="shared" si="491"/>
        <v>188.55</v>
      </c>
      <c r="H376" s="14">
        <f t="shared" si="492"/>
        <v>322.72000000000003</v>
      </c>
      <c r="I376" s="285">
        <f t="shared" si="496"/>
        <v>97532.849999999991</v>
      </c>
      <c r="J376" s="285">
        <f t="shared" si="497"/>
        <v>64871.789999999986</v>
      </c>
      <c r="K376" s="285">
        <f t="shared" si="498"/>
        <v>0</v>
      </c>
      <c r="L376" s="425">
        <f t="shared" si="587"/>
        <v>26</v>
      </c>
      <c r="M376" s="425">
        <f t="shared" si="543"/>
        <v>317</v>
      </c>
      <c r="N376" s="285">
        <f t="shared" si="544"/>
        <v>61902.330000000024</v>
      </c>
      <c r="O376" s="285">
        <f t="shared" si="510"/>
        <v>1610.57</v>
      </c>
      <c r="P376" s="285">
        <f t="shared" si="552"/>
        <v>1288.1599999999999</v>
      </c>
      <c r="Q376" s="285">
        <f t="shared" si="511"/>
        <v>322.41000000000003</v>
      </c>
      <c r="R376" s="285">
        <f t="shared" si="502"/>
        <v>134.16999999999999</v>
      </c>
      <c r="S376" s="285">
        <f t="shared" si="503"/>
        <v>188.55</v>
      </c>
      <c r="T376" s="285">
        <f t="shared" si="499"/>
        <v>1933.29</v>
      </c>
      <c r="U376" s="285">
        <f t="shared" si="553"/>
        <v>200961.8300000001</v>
      </c>
      <c r="V376" s="285">
        <f t="shared" si="554"/>
        <v>311199.43</v>
      </c>
      <c r="W376" s="285">
        <f t="shared" si="500"/>
        <v>60614.170000000027</v>
      </c>
      <c r="X376" s="502" t="str">
        <f t="shared" si="545"/>
        <v xml:space="preserve"> </v>
      </c>
      <c r="Y376" s="285">
        <f t="shared" si="512"/>
        <v>257340.96000000017</v>
      </c>
      <c r="Z376" s="494">
        <f t="shared" si="537"/>
        <v>6.25E-2</v>
      </c>
      <c r="AA376" s="285">
        <f t="shared" si="538"/>
        <v>1630.04</v>
      </c>
      <c r="AB376" s="285">
        <f t="shared" si="513"/>
        <v>289.72000000000003</v>
      </c>
      <c r="AC376" s="285">
        <f t="shared" si="539"/>
        <v>1340.32</v>
      </c>
      <c r="AD376" s="285">
        <f t="shared" ref="AD376:AE376" si="598">+AD375</f>
        <v>134.16999999999999</v>
      </c>
      <c r="AE376" s="285">
        <f t="shared" si="598"/>
        <v>188.55</v>
      </c>
      <c r="AF376" s="285">
        <f t="shared" si="515"/>
        <v>1952.76</v>
      </c>
      <c r="AG376" s="285">
        <f t="shared" si="516"/>
        <v>74142.159999999916</v>
      </c>
      <c r="AH376" s="285">
        <f t="shared" si="517"/>
        <v>438436.76000000024</v>
      </c>
      <c r="AI376" s="512">
        <f t="shared" si="505"/>
        <v>-417.6600000000301</v>
      </c>
      <c r="AJ376" s="512">
        <f t="shared" si="566"/>
        <v>-196437.07000000012</v>
      </c>
      <c r="AK376" s="512">
        <f t="shared" si="506"/>
        <v>-196854.73000000016</v>
      </c>
      <c r="AL376" s="285">
        <f t="shared" si="518"/>
        <v>257051.24000000017</v>
      </c>
      <c r="AM376" s="425">
        <f t="shared" si="547"/>
        <v>26</v>
      </c>
      <c r="AN376" s="14">
        <f t="shared" si="507"/>
        <v>1610.57</v>
      </c>
      <c r="AO376" s="14">
        <f t="shared" si="585"/>
        <v>130536.4199999999</v>
      </c>
      <c r="AP376" s="14">
        <f t="shared" si="508"/>
        <v>1630.04</v>
      </c>
      <c r="AS376" s="14">
        <f t="shared" si="541"/>
        <v>1610.57</v>
      </c>
      <c r="AT376" s="14">
        <f t="shared" si="548"/>
        <v>369392.21999999875</v>
      </c>
      <c r="AU376" s="285">
        <f t="shared" si="549"/>
        <v>1610.6439642749795</v>
      </c>
      <c r="AV376" s="285">
        <f t="shared" si="550"/>
        <v>384292.22967426688</v>
      </c>
    </row>
    <row r="377" spans="1:48" x14ac:dyDescent="0.25">
      <c r="A377" s="502" t="str">
        <f t="shared" si="494"/>
        <v xml:space="preserve"> </v>
      </c>
      <c r="B377" s="285">
        <f t="shared" si="597"/>
        <v>0</v>
      </c>
      <c r="C377" s="14">
        <f t="shared" si="535"/>
        <v>0</v>
      </c>
      <c r="D377" s="14">
        <f t="shared" si="551"/>
        <v>0</v>
      </c>
      <c r="E377" s="14">
        <f t="shared" si="536"/>
        <v>0</v>
      </c>
      <c r="F377" s="14">
        <f t="shared" si="495"/>
        <v>134.16999999999999</v>
      </c>
      <c r="G377" s="14">
        <f t="shared" si="491"/>
        <v>188.55</v>
      </c>
      <c r="H377" s="14">
        <f t="shared" si="492"/>
        <v>322.72000000000003</v>
      </c>
      <c r="I377" s="285">
        <f t="shared" si="496"/>
        <v>97532.849999999991</v>
      </c>
      <c r="J377" s="285">
        <f t="shared" si="497"/>
        <v>64871.789999999986</v>
      </c>
      <c r="K377" s="285">
        <f t="shared" si="498"/>
        <v>0</v>
      </c>
      <c r="L377" s="425">
        <f t="shared" si="587"/>
        <v>26</v>
      </c>
      <c r="M377" s="425">
        <f t="shared" si="543"/>
        <v>318</v>
      </c>
      <c r="N377" s="285">
        <f t="shared" si="544"/>
        <v>60614.170000000027</v>
      </c>
      <c r="O377" s="285">
        <f t="shared" si="510"/>
        <v>1610.57</v>
      </c>
      <c r="P377" s="285">
        <f t="shared" si="552"/>
        <v>1294.8699999999999</v>
      </c>
      <c r="Q377" s="285">
        <f t="shared" si="511"/>
        <v>315.7</v>
      </c>
      <c r="R377" s="285">
        <f t="shared" si="502"/>
        <v>134.16999999999999</v>
      </c>
      <c r="S377" s="285">
        <f t="shared" si="503"/>
        <v>188.55</v>
      </c>
      <c r="T377" s="285">
        <f t="shared" si="499"/>
        <v>1933.29</v>
      </c>
      <c r="U377" s="285">
        <f t="shared" si="553"/>
        <v>202256.7000000001</v>
      </c>
      <c r="V377" s="285">
        <f t="shared" si="554"/>
        <v>311515.13</v>
      </c>
      <c r="W377" s="285">
        <f t="shared" si="500"/>
        <v>59319.300000000025</v>
      </c>
      <c r="X377" s="502" t="str">
        <f t="shared" si="545"/>
        <v xml:space="preserve"> </v>
      </c>
      <c r="Y377" s="285">
        <f t="shared" si="512"/>
        <v>257051.24000000017</v>
      </c>
      <c r="Z377" s="494">
        <f t="shared" si="537"/>
        <v>6.25E-2</v>
      </c>
      <c r="AA377" s="285">
        <f t="shared" si="538"/>
        <v>1630.04</v>
      </c>
      <c r="AB377" s="285">
        <f t="shared" si="513"/>
        <v>291.23</v>
      </c>
      <c r="AC377" s="285">
        <f t="shared" si="539"/>
        <v>1338.81</v>
      </c>
      <c r="AD377" s="285">
        <f t="shared" ref="AD377:AE377" si="599">+AD376</f>
        <v>134.16999999999999</v>
      </c>
      <c r="AE377" s="285">
        <f t="shared" si="599"/>
        <v>188.55</v>
      </c>
      <c r="AF377" s="285">
        <f t="shared" si="515"/>
        <v>1952.76</v>
      </c>
      <c r="AG377" s="285">
        <f t="shared" si="516"/>
        <v>74433.389999999912</v>
      </c>
      <c r="AH377" s="285">
        <f t="shared" si="517"/>
        <v>439775.57000000024</v>
      </c>
      <c r="AI377" s="512">
        <f t="shared" si="505"/>
        <v>-437.13000000003012</v>
      </c>
      <c r="AJ377" s="512">
        <f t="shared" si="566"/>
        <v>-197440.71000000014</v>
      </c>
      <c r="AK377" s="512">
        <f t="shared" si="506"/>
        <v>-197877.84000000017</v>
      </c>
      <c r="AL377" s="285">
        <f t="shared" si="518"/>
        <v>256760.01000000015</v>
      </c>
      <c r="AM377" s="425">
        <f t="shared" si="547"/>
        <v>26</v>
      </c>
      <c r="AN377" s="14">
        <f t="shared" si="507"/>
        <v>1610.57</v>
      </c>
      <c r="AO377" s="14">
        <f t="shared" si="585"/>
        <v>129241.5499999999</v>
      </c>
      <c r="AP377" s="14">
        <f t="shared" si="508"/>
        <v>1630.04</v>
      </c>
      <c r="AS377" s="14">
        <f t="shared" si="541"/>
        <v>1610.57</v>
      </c>
      <c r="AT377" s="14">
        <f t="shared" si="548"/>
        <v>371002.78999999876</v>
      </c>
      <c r="AU377" s="285">
        <f t="shared" si="549"/>
        <v>1614.670574185667</v>
      </c>
      <c r="AV377" s="285">
        <f t="shared" si="550"/>
        <v>385906.90024845256</v>
      </c>
    </row>
    <row r="378" spans="1:48" x14ac:dyDescent="0.25">
      <c r="A378" s="502" t="str">
        <f t="shared" si="494"/>
        <v xml:space="preserve"> </v>
      </c>
      <c r="B378" s="285">
        <f t="shared" si="597"/>
        <v>0</v>
      </c>
      <c r="C378" s="14">
        <f t="shared" si="535"/>
        <v>0</v>
      </c>
      <c r="D378" s="14">
        <f t="shared" si="551"/>
        <v>0</v>
      </c>
      <c r="E378" s="14">
        <f t="shared" si="536"/>
        <v>0</v>
      </c>
      <c r="F378" s="14">
        <f t="shared" si="495"/>
        <v>134.16999999999999</v>
      </c>
      <c r="G378" s="14">
        <f t="shared" ref="G378:G441" si="600">+G377</f>
        <v>188.55</v>
      </c>
      <c r="H378" s="14">
        <f t="shared" ref="H378:H441" si="601">SUM(D378:G378)</f>
        <v>322.72000000000003</v>
      </c>
      <c r="I378" s="285">
        <f t="shared" si="496"/>
        <v>97532.849999999991</v>
      </c>
      <c r="J378" s="285">
        <f t="shared" si="497"/>
        <v>64871.789999999986</v>
      </c>
      <c r="K378" s="285">
        <f t="shared" si="498"/>
        <v>0</v>
      </c>
      <c r="L378" s="425">
        <f t="shared" si="587"/>
        <v>26</v>
      </c>
      <c r="M378" s="425">
        <f t="shared" si="543"/>
        <v>319</v>
      </c>
      <c r="N378" s="285">
        <f t="shared" si="544"/>
        <v>59319.300000000025</v>
      </c>
      <c r="O378" s="285">
        <f t="shared" si="510"/>
        <v>1610.57</v>
      </c>
      <c r="P378" s="285">
        <f t="shared" si="552"/>
        <v>1301.6199999999999</v>
      </c>
      <c r="Q378" s="285">
        <f t="shared" si="511"/>
        <v>308.95</v>
      </c>
      <c r="R378" s="285">
        <f t="shared" si="502"/>
        <v>134.16999999999999</v>
      </c>
      <c r="S378" s="285">
        <f t="shared" si="503"/>
        <v>188.55</v>
      </c>
      <c r="T378" s="285">
        <f t="shared" si="499"/>
        <v>1933.29</v>
      </c>
      <c r="U378" s="285">
        <f t="shared" si="553"/>
        <v>203558.32000000009</v>
      </c>
      <c r="V378" s="285">
        <f t="shared" si="554"/>
        <v>311824.08</v>
      </c>
      <c r="W378" s="285">
        <f t="shared" si="500"/>
        <v>58017.680000000022</v>
      </c>
      <c r="X378" s="502" t="str">
        <f t="shared" si="545"/>
        <v xml:space="preserve"> </v>
      </c>
      <c r="Y378" s="285">
        <f t="shared" si="512"/>
        <v>256760.01000000015</v>
      </c>
      <c r="Z378" s="494">
        <f t="shared" si="537"/>
        <v>6.25E-2</v>
      </c>
      <c r="AA378" s="285">
        <f t="shared" si="538"/>
        <v>1630.04</v>
      </c>
      <c r="AB378" s="285">
        <f t="shared" si="513"/>
        <v>292.75</v>
      </c>
      <c r="AC378" s="285">
        <f t="shared" si="539"/>
        <v>1337.29</v>
      </c>
      <c r="AD378" s="285">
        <f t="shared" ref="AD378:AE378" si="602">+AD377</f>
        <v>134.16999999999999</v>
      </c>
      <c r="AE378" s="285">
        <f t="shared" si="602"/>
        <v>188.55</v>
      </c>
      <c r="AF378" s="285">
        <f t="shared" si="515"/>
        <v>1952.76</v>
      </c>
      <c r="AG378" s="285">
        <f t="shared" si="516"/>
        <v>74726.139999999912</v>
      </c>
      <c r="AH378" s="285">
        <f t="shared" si="517"/>
        <v>441112.86000000022</v>
      </c>
      <c r="AI378" s="512">
        <f t="shared" si="505"/>
        <v>-456.60000000003015</v>
      </c>
      <c r="AJ378" s="512">
        <f t="shared" si="566"/>
        <v>-198449.58000000013</v>
      </c>
      <c r="AK378" s="512">
        <f t="shared" si="506"/>
        <v>-198906.18000000017</v>
      </c>
      <c r="AL378" s="285">
        <f t="shared" si="518"/>
        <v>256467.26000000015</v>
      </c>
      <c r="AM378" s="425">
        <f t="shared" si="547"/>
        <v>26</v>
      </c>
      <c r="AN378" s="14">
        <f t="shared" si="507"/>
        <v>1610.57</v>
      </c>
      <c r="AO378" s="14">
        <f t="shared" si="585"/>
        <v>127939.92999999991</v>
      </c>
      <c r="AP378" s="14">
        <f t="shared" si="508"/>
        <v>1630.04</v>
      </c>
      <c r="AS378" s="14">
        <f t="shared" si="541"/>
        <v>1610.57</v>
      </c>
      <c r="AT378" s="14">
        <f t="shared" si="548"/>
        <v>372613.35999999876</v>
      </c>
      <c r="AU378" s="285">
        <f t="shared" si="549"/>
        <v>1618.7072506211314</v>
      </c>
      <c r="AV378" s="285">
        <f t="shared" si="550"/>
        <v>387525.60749907367</v>
      </c>
    </row>
    <row r="379" spans="1:48" x14ac:dyDescent="0.25">
      <c r="A379" s="502" t="str">
        <f t="shared" ref="A379:A442" si="603">IF(K379&lt;=0," ",+A378+30)</f>
        <v xml:space="preserve"> </v>
      </c>
      <c r="B379" s="285">
        <f t="shared" si="597"/>
        <v>0</v>
      </c>
      <c r="C379" s="14">
        <f t="shared" si="535"/>
        <v>0</v>
      </c>
      <c r="D379" s="14">
        <f t="shared" si="551"/>
        <v>0</v>
      </c>
      <c r="E379" s="14">
        <f t="shared" si="536"/>
        <v>0</v>
      </c>
      <c r="F379" s="14">
        <f t="shared" ref="F379:F442" si="604">+F378</f>
        <v>134.16999999999999</v>
      </c>
      <c r="G379" s="14">
        <f t="shared" si="600"/>
        <v>188.55</v>
      </c>
      <c r="H379" s="14">
        <f t="shared" si="601"/>
        <v>322.72000000000003</v>
      </c>
      <c r="I379" s="285">
        <f t="shared" ref="I379:I442" si="605">$D379+$I378</f>
        <v>97532.849999999991</v>
      </c>
      <c r="J379" s="285">
        <f t="shared" ref="J379:J442" si="606">$E379+$J378</f>
        <v>64871.789999999986</v>
      </c>
      <c r="K379" s="285">
        <f t="shared" ref="K379:K442" si="607">+B379-D379</f>
        <v>0</v>
      </c>
      <c r="L379" s="425">
        <f t="shared" si="587"/>
        <v>26</v>
      </c>
      <c r="M379" s="425">
        <f t="shared" si="543"/>
        <v>320</v>
      </c>
      <c r="N379" s="285">
        <f t="shared" si="544"/>
        <v>58017.680000000022</v>
      </c>
      <c r="O379" s="285">
        <f t="shared" si="510"/>
        <v>1610.57</v>
      </c>
      <c r="P379" s="285">
        <f t="shared" si="552"/>
        <v>1308.3899999999999</v>
      </c>
      <c r="Q379" s="285">
        <f t="shared" si="511"/>
        <v>302.18</v>
      </c>
      <c r="R379" s="285">
        <f t="shared" si="502"/>
        <v>134.16999999999999</v>
      </c>
      <c r="S379" s="285">
        <f t="shared" si="503"/>
        <v>188.55</v>
      </c>
      <c r="T379" s="285">
        <f t="shared" ref="T379:T442" si="608">SUM(P379:S379)</f>
        <v>1933.29</v>
      </c>
      <c r="U379" s="285">
        <f t="shared" si="553"/>
        <v>204866.71000000011</v>
      </c>
      <c r="V379" s="285">
        <f t="shared" si="554"/>
        <v>312126.26</v>
      </c>
      <c r="W379" s="285">
        <f t="shared" ref="W379:W442" si="609">+N379-P379</f>
        <v>56709.290000000023</v>
      </c>
      <c r="X379" s="502" t="str">
        <f t="shared" si="545"/>
        <v xml:space="preserve"> </v>
      </c>
      <c r="Y379" s="285">
        <f t="shared" si="512"/>
        <v>256467.26000000015</v>
      </c>
      <c r="Z379" s="494">
        <f t="shared" si="537"/>
        <v>6.25E-2</v>
      </c>
      <c r="AA379" s="285">
        <f t="shared" si="538"/>
        <v>1630.04</v>
      </c>
      <c r="AB379" s="285">
        <f t="shared" si="513"/>
        <v>294.27</v>
      </c>
      <c r="AC379" s="285">
        <f t="shared" si="539"/>
        <v>1335.77</v>
      </c>
      <c r="AD379" s="285">
        <f t="shared" ref="AD379:AE379" si="610">+AD378</f>
        <v>134.16999999999999</v>
      </c>
      <c r="AE379" s="285">
        <f t="shared" si="610"/>
        <v>188.55</v>
      </c>
      <c r="AF379" s="285">
        <f t="shared" si="515"/>
        <v>1952.76</v>
      </c>
      <c r="AG379" s="285">
        <f t="shared" si="516"/>
        <v>75020.409999999916</v>
      </c>
      <c r="AH379" s="285">
        <f t="shared" si="517"/>
        <v>442448.63000000024</v>
      </c>
      <c r="AI379" s="512">
        <f t="shared" si="505"/>
        <v>-476.07000000003018</v>
      </c>
      <c r="AJ379" s="512">
        <f t="shared" si="566"/>
        <v>-199463.70000000013</v>
      </c>
      <c r="AK379" s="512">
        <f t="shared" si="506"/>
        <v>-199939.77000000016</v>
      </c>
      <c r="AL379" s="285">
        <f t="shared" si="518"/>
        <v>256172.99000000017</v>
      </c>
      <c r="AM379" s="425">
        <f t="shared" si="547"/>
        <v>26</v>
      </c>
      <c r="AN379" s="14">
        <f t="shared" si="507"/>
        <v>1610.57</v>
      </c>
      <c r="AO379" s="14">
        <f t="shared" si="585"/>
        <v>126631.53999999989</v>
      </c>
      <c r="AP379" s="14">
        <f t="shared" si="508"/>
        <v>1630.04</v>
      </c>
      <c r="AS379" s="14">
        <f t="shared" si="541"/>
        <v>1610.57</v>
      </c>
      <c r="AT379" s="14">
        <f t="shared" si="548"/>
        <v>374223.92999999877</v>
      </c>
      <c r="AU379" s="285">
        <f t="shared" si="549"/>
        <v>1622.7540187476843</v>
      </c>
      <c r="AV379" s="285">
        <f t="shared" si="550"/>
        <v>389148.36151782132</v>
      </c>
    </row>
    <row r="380" spans="1:48" x14ac:dyDescent="0.25">
      <c r="A380" s="502" t="str">
        <f t="shared" si="603"/>
        <v xml:space="preserve"> </v>
      </c>
      <c r="B380" s="285">
        <f t="shared" si="597"/>
        <v>0</v>
      </c>
      <c r="C380" s="14">
        <f t="shared" si="535"/>
        <v>0</v>
      </c>
      <c r="D380" s="14">
        <f t="shared" si="551"/>
        <v>0</v>
      </c>
      <c r="E380" s="14">
        <f t="shared" si="536"/>
        <v>0</v>
      </c>
      <c r="F380" s="14">
        <f t="shared" si="604"/>
        <v>134.16999999999999</v>
      </c>
      <c r="G380" s="14">
        <f t="shared" si="600"/>
        <v>188.55</v>
      </c>
      <c r="H380" s="14">
        <f t="shared" si="601"/>
        <v>322.72000000000003</v>
      </c>
      <c r="I380" s="285">
        <f t="shared" si="605"/>
        <v>97532.849999999991</v>
      </c>
      <c r="J380" s="285">
        <f t="shared" si="606"/>
        <v>64871.789999999986</v>
      </c>
      <c r="K380" s="285">
        <f t="shared" si="607"/>
        <v>0</v>
      </c>
      <c r="L380" s="425">
        <f t="shared" si="587"/>
        <v>26</v>
      </c>
      <c r="M380" s="425">
        <f t="shared" si="543"/>
        <v>321</v>
      </c>
      <c r="N380" s="285">
        <f t="shared" si="544"/>
        <v>56709.290000000023</v>
      </c>
      <c r="O380" s="285">
        <f t="shared" si="510"/>
        <v>1610.57</v>
      </c>
      <c r="P380" s="285">
        <f t="shared" si="552"/>
        <v>1315.21</v>
      </c>
      <c r="Q380" s="285">
        <f t="shared" si="511"/>
        <v>295.36</v>
      </c>
      <c r="R380" s="285">
        <f t="shared" ref="R380:R443" si="611">+R379</f>
        <v>134.16999999999999</v>
      </c>
      <c r="S380" s="285">
        <f t="shared" ref="S380:S443" si="612">+S379</f>
        <v>188.55</v>
      </c>
      <c r="T380" s="285">
        <f t="shared" si="608"/>
        <v>1933.2900000000002</v>
      </c>
      <c r="U380" s="285">
        <f t="shared" si="553"/>
        <v>206181.9200000001</v>
      </c>
      <c r="V380" s="285">
        <f t="shared" si="554"/>
        <v>312421.62</v>
      </c>
      <c r="W380" s="285">
        <f t="shared" si="609"/>
        <v>55394.080000000024</v>
      </c>
      <c r="X380" s="502" t="str">
        <f t="shared" si="545"/>
        <v xml:space="preserve"> </v>
      </c>
      <c r="Y380" s="285">
        <f t="shared" si="512"/>
        <v>256172.99000000017</v>
      </c>
      <c r="Z380" s="494">
        <f t="shared" si="537"/>
        <v>6.25E-2</v>
      </c>
      <c r="AA380" s="285">
        <f t="shared" si="538"/>
        <v>1630.04</v>
      </c>
      <c r="AB380" s="285">
        <f t="shared" si="513"/>
        <v>295.80999999999995</v>
      </c>
      <c r="AC380" s="285">
        <f t="shared" si="539"/>
        <v>1334.23</v>
      </c>
      <c r="AD380" s="285">
        <f t="shared" ref="AD380:AE380" si="613">+AD379</f>
        <v>134.16999999999999</v>
      </c>
      <c r="AE380" s="285">
        <f t="shared" si="613"/>
        <v>188.55</v>
      </c>
      <c r="AF380" s="285">
        <f t="shared" si="515"/>
        <v>1952.76</v>
      </c>
      <c r="AG380" s="285">
        <f t="shared" si="516"/>
        <v>75316.219999999914</v>
      </c>
      <c r="AH380" s="285">
        <f t="shared" si="517"/>
        <v>443782.86000000022</v>
      </c>
      <c r="AI380" s="512">
        <f t="shared" ref="AI380:AI443" si="614">O380-AA380+AI379</f>
        <v>-495.5400000000302</v>
      </c>
      <c r="AJ380" s="512">
        <f t="shared" si="566"/>
        <v>-200483.10000000015</v>
      </c>
      <c r="AK380" s="512">
        <f t="shared" ref="AK380:AK443" si="615">SUM(AI380:AJ380)</f>
        <v>-200978.64000000019</v>
      </c>
      <c r="AL380" s="285">
        <f t="shared" si="518"/>
        <v>255877.18000000017</v>
      </c>
      <c r="AM380" s="425">
        <f t="shared" si="547"/>
        <v>26</v>
      </c>
      <c r="AN380" s="14">
        <f t="shared" ref="AN380:AN443" si="616">IF(O380=0,0,+O380-C380)</f>
        <v>1610.57</v>
      </c>
      <c r="AO380" s="14">
        <f t="shared" si="585"/>
        <v>125316.3299999999</v>
      </c>
      <c r="AP380" s="14">
        <f t="shared" ref="AP380:AP443" si="617">IF($O380=0,0,+AA380-$C380)</f>
        <v>1630.04</v>
      </c>
      <c r="AS380" s="14">
        <f t="shared" si="541"/>
        <v>1610.57</v>
      </c>
      <c r="AT380" s="14">
        <f t="shared" si="548"/>
        <v>375834.49999999878</v>
      </c>
      <c r="AU380" s="285">
        <f t="shared" si="549"/>
        <v>1626.8109037945533</v>
      </c>
      <c r="AV380" s="285">
        <f t="shared" si="550"/>
        <v>390775.17242161586</v>
      </c>
    </row>
    <row r="381" spans="1:48" x14ac:dyDescent="0.25">
      <c r="A381" s="502" t="str">
        <f t="shared" si="603"/>
        <v xml:space="preserve"> </v>
      </c>
      <c r="B381" s="285">
        <f t="shared" si="597"/>
        <v>0</v>
      </c>
      <c r="C381" s="14">
        <f t="shared" si="535"/>
        <v>0</v>
      </c>
      <c r="D381" s="14">
        <f t="shared" si="551"/>
        <v>0</v>
      </c>
      <c r="E381" s="14">
        <f t="shared" si="536"/>
        <v>0</v>
      </c>
      <c r="F381" s="14">
        <f t="shared" si="604"/>
        <v>134.16999999999999</v>
      </c>
      <c r="G381" s="14">
        <f t="shared" si="600"/>
        <v>188.55</v>
      </c>
      <c r="H381" s="14">
        <f t="shared" si="601"/>
        <v>322.72000000000003</v>
      </c>
      <c r="I381" s="285">
        <f t="shared" si="605"/>
        <v>97532.849999999991</v>
      </c>
      <c r="J381" s="285">
        <f t="shared" si="606"/>
        <v>64871.789999999986</v>
      </c>
      <c r="K381" s="285">
        <f t="shared" si="607"/>
        <v>0</v>
      </c>
      <c r="L381" s="425">
        <f t="shared" si="587"/>
        <v>26</v>
      </c>
      <c r="M381" s="425">
        <f t="shared" si="543"/>
        <v>322</v>
      </c>
      <c r="N381" s="285">
        <f t="shared" si="544"/>
        <v>55394.080000000024</v>
      </c>
      <c r="O381" s="285">
        <f t="shared" si="510"/>
        <v>1610.57</v>
      </c>
      <c r="P381" s="285">
        <f t="shared" si="552"/>
        <v>1322.06</v>
      </c>
      <c r="Q381" s="285">
        <f t="shared" si="511"/>
        <v>288.51</v>
      </c>
      <c r="R381" s="285">
        <f t="shared" si="611"/>
        <v>134.16999999999999</v>
      </c>
      <c r="S381" s="285">
        <f t="shared" si="612"/>
        <v>188.55</v>
      </c>
      <c r="T381" s="285">
        <f t="shared" si="608"/>
        <v>1933.29</v>
      </c>
      <c r="U381" s="285">
        <f t="shared" si="553"/>
        <v>207503.9800000001</v>
      </c>
      <c r="V381" s="285">
        <f t="shared" si="554"/>
        <v>312710.13</v>
      </c>
      <c r="W381" s="285">
        <f t="shared" si="609"/>
        <v>54072.020000000026</v>
      </c>
      <c r="X381" s="502" t="str">
        <f t="shared" si="545"/>
        <v xml:space="preserve"> </v>
      </c>
      <c r="Y381" s="285">
        <f t="shared" si="512"/>
        <v>255877.18000000017</v>
      </c>
      <c r="Z381" s="494">
        <f t="shared" si="537"/>
        <v>6.25E-2</v>
      </c>
      <c r="AA381" s="285">
        <f t="shared" si="538"/>
        <v>1630.04</v>
      </c>
      <c r="AB381" s="285">
        <f t="shared" si="513"/>
        <v>297.34999999999991</v>
      </c>
      <c r="AC381" s="285">
        <f t="shared" si="539"/>
        <v>1332.69</v>
      </c>
      <c r="AD381" s="285">
        <f t="shared" ref="AD381:AE381" si="618">+AD380</f>
        <v>134.16999999999999</v>
      </c>
      <c r="AE381" s="285">
        <f t="shared" si="618"/>
        <v>188.55</v>
      </c>
      <c r="AF381" s="285">
        <f t="shared" si="515"/>
        <v>1952.76</v>
      </c>
      <c r="AG381" s="285">
        <f t="shared" si="516"/>
        <v>75613.56999999992</v>
      </c>
      <c r="AH381" s="285">
        <f t="shared" si="517"/>
        <v>445115.55000000022</v>
      </c>
      <c r="AI381" s="512">
        <f t="shared" si="614"/>
        <v>-515.01000000003023</v>
      </c>
      <c r="AJ381" s="512">
        <f t="shared" si="566"/>
        <v>-201507.81000000014</v>
      </c>
      <c r="AK381" s="512">
        <f t="shared" si="615"/>
        <v>-202022.82000000018</v>
      </c>
      <c r="AL381" s="285">
        <f t="shared" si="518"/>
        <v>255579.83000000016</v>
      </c>
      <c r="AM381" s="425">
        <f t="shared" si="547"/>
        <v>26</v>
      </c>
      <c r="AN381" s="14">
        <f t="shared" si="616"/>
        <v>1610.57</v>
      </c>
      <c r="AO381" s="14">
        <f t="shared" si="585"/>
        <v>123994.2699999999</v>
      </c>
      <c r="AP381" s="14">
        <f t="shared" si="617"/>
        <v>1630.04</v>
      </c>
      <c r="AS381" s="14">
        <f t="shared" si="541"/>
        <v>1610.57</v>
      </c>
      <c r="AT381" s="14">
        <f t="shared" si="548"/>
        <v>377445.06999999878</v>
      </c>
      <c r="AU381" s="285">
        <f t="shared" si="549"/>
        <v>1630.8779310540394</v>
      </c>
      <c r="AV381" s="285">
        <f t="shared" si="550"/>
        <v>392406.0503526699</v>
      </c>
    </row>
    <row r="382" spans="1:48" x14ac:dyDescent="0.25">
      <c r="A382" s="502" t="str">
        <f t="shared" si="603"/>
        <v xml:space="preserve"> </v>
      </c>
      <c r="B382" s="285">
        <f t="shared" si="597"/>
        <v>0</v>
      </c>
      <c r="C382" s="14">
        <f t="shared" si="535"/>
        <v>0</v>
      </c>
      <c r="D382" s="14">
        <f t="shared" si="551"/>
        <v>0</v>
      </c>
      <c r="E382" s="14">
        <f t="shared" si="536"/>
        <v>0</v>
      </c>
      <c r="F382" s="14">
        <f t="shared" si="604"/>
        <v>134.16999999999999</v>
      </c>
      <c r="G382" s="14">
        <f t="shared" si="600"/>
        <v>188.55</v>
      </c>
      <c r="H382" s="14">
        <f t="shared" si="601"/>
        <v>322.72000000000003</v>
      </c>
      <c r="I382" s="285">
        <f t="shared" si="605"/>
        <v>97532.849999999991</v>
      </c>
      <c r="J382" s="285">
        <f t="shared" si="606"/>
        <v>64871.789999999986</v>
      </c>
      <c r="K382" s="285">
        <f t="shared" si="607"/>
        <v>0</v>
      </c>
      <c r="L382" s="425">
        <f t="shared" si="587"/>
        <v>26</v>
      </c>
      <c r="M382" s="425">
        <f t="shared" si="543"/>
        <v>323</v>
      </c>
      <c r="N382" s="285">
        <f t="shared" si="544"/>
        <v>54072.020000000026</v>
      </c>
      <c r="O382" s="285">
        <f t="shared" ref="O382:O445" si="619">IF($O$9&lt;=A382,IF(+$W381&lt;=0,0,$O$8),0)</f>
        <v>1610.57</v>
      </c>
      <c r="P382" s="285">
        <f t="shared" si="552"/>
        <v>1328.94</v>
      </c>
      <c r="Q382" s="285">
        <f t="shared" ref="Q382:Q445" si="620">IF($O$9&lt;=A382,ROUND(N382*($O$6/12),2),0)</f>
        <v>281.63</v>
      </c>
      <c r="R382" s="285">
        <f t="shared" si="611"/>
        <v>134.16999999999999</v>
      </c>
      <c r="S382" s="285">
        <f t="shared" si="612"/>
        <v>188.55</v>
      </c>
      <c r="T382" s="285">
        <f t="shared" si="608"/>
        <v>1933.2900000000002</v>
      </c>
      <c r="U382" s="285">
        <f t="shared" si="553"/>
        <v>208832.9200000001</v>
      </c>
      <c r="V382" s="285">
        <f t="shared" si="554"/>
        <v>312991.76</v>
      </c>
      <c r="W382" s="285">
        <f t="shared" si="609"/>
        <v>52743.080000000024</v>
      </c>
      <c r="X382" s="502" t="str">
        <f t="shared" si="545"/>
        <v xml:space="preserve"> </v>
      </c>
      <c r="Y382" s="285">
        <f t="shared" ref="Y382:Y445" si="621">IF(+AL381&lt;0,0,+AL381)</f>
        <v>255579.83000000016</v>
      </c>
      <c r="Z382" s="494">
        <f t="shared" si="537"/>
        <v>6.25E-2</v>
      </c>
      <c r="AA382" s="285">
        <f t="shared" si="538"/>
        <v>1630.04</v>
      </c>
      <c r="AB382" s="285">
        <f t="shared" ref="AB382:AB445" si="622">+AA382-AC382</f>
        <v>298.89999999999986</v>
      </c>
      <c r="AC382" s="285">
        <f t="shared" si="539"/>
        <v>1331.14</v>
      </c>
      <c r="AD382" s="285">
        <f t="shared" ref="AD382:AE382" si="623">+AD381</f>
        <v>134.16999999999999</v>
      </c>
      <c r="AE382" s="285">
        <f t="shared" si="623"/>
        <v>188.55</v>
      </c>
      <c r="AF382" s="285">
        <f t="shared" ref="AF382:AF445" si="624">SUM(AB382:AE382)</f>
        <v>1952.76</v>
      </c>
      <c r="AG382" s="285">
        <f t="shared" ref="AG382:AG445" si="625">+AB382+AG381</f>
        <v>75912.469999999914</v>
      </c>
      <c r="AH382" s="285">
        <f t="shared" ref="AH382:AH445" si="626">+AH381+AC382</f>
        <v>446446.69000000024</v>
      </c>
      <c r="AI382" s="512">
        <f t="shared" si="614"/>
        <v>-534.48000000003026</v>
      </c>
      <c r="AJ382" s="512">
        <f t="shared" si="566"/>
        <v>-202537.85000000015</v>
      </c>
      <c r="AK382" s="512">
        <f t="shared" si="615"/>
        <v>-203072.33000000019</v>
      </c>
      <c r="AL382" s="285">
        <f t="shared" ref="AL382:AL445" si="627">+Y382-AB382</f>
        <v>255280.93000000017</v>
      </c>
      <c r="AM382" s="425">
        <f t="shared" si="547"/>
        <v>26</v>
      </c>
      <c r="AN382" s="14">
        <f t="shared" si="616"/>
        <v>1610.57</v>
      </c>
      <c r="AO382" s="14">
        <f t="shared" si="585"/>
        <v>122665.3299999999</v>
      </c>
      <c r="AP382" s="14">
        <f t="shared" si="617"/>
        <v>1630.04</v>
      </c>
      <c r="AS382" s="14">
        <f t="shared" si="541"/>
        <v>1610.57</v>
      </c>
      <c r="AT382" s="14">
        <f t="shared" si="548"/>
        <v>379055.63999999879</v>
      </c>
      <c r="AU382" s="285">
        <f t="shared" si="549"/>
        <v>1634.9551258816746</v>
      </c>
      <c r="AV382" s="285">
        <f t="shared" si="550"/>
        <v>394041.00547855155</v>
      </c>
    </row>
    <row r="383" spans="1:48" x14ac:dyDescent="0.25">
      <c r="A383" s="502" t="str">
        <f t="shared" si="603"/>
        <v xml:space="preserve"> </v>
      </c>
      <c r="B383" s="285">
        <f t="shared" si="597"/>
        <v>0</v>
      </c>
      <c r="C383" s="14">
        <f t="shared" si="535"/>
        <v>0</v>
      </c>
      <c r="D383" s="14">
        <f t="shared" si="551"/>
        <v>0</v>
      </c>
      <c r="E383" s="14">
        <f t="shared" si="536"/>
        <v>0</v>
      </c>
      <c r="F383" s="14">
        <f t="shared" si="604"/>
        <v>134.16999999999999</v>
      </c>
      <c r="G383" s="14">
        <f t="shared" si="600"/>
        <v>188.55</v>
      </c>
      <c r="H383" s="14">
        <f t="shared" si="601"/>
        <v>322.72000000000003</v>
      </c>
      <c r="I383" s="285">
        <f t="shared" si="605"/>
        <v>97532.849999999991</v>
      </c>
      <c r="J383" s="285">
        <f t="shared" si="606"/>
        <v>64871.789999999986</v>
      </c>
      <c r="K383" s="285">
        <f t="shared" si="607"/>
        <v>0</v>
      </c>
      <c r="L383" s="425">
        <f t="shared" si="587"/>
        <v>27</v>
      </c>
      <c r="M383" s="425">
        <f t="shared" si="543"/>
        <v>324</v>
      </c>
      <c r="N383" s="285">
        <f t="shared" si="544"/>
        <v>52743.080000000024</v>
      </c>
      <c r="O383" s="285">
        <f t="shared" si="619"/>
        <v>1610.57</v>
      </c>
      <c r="P383" s="285">
        <f t="shared" si="552"/>
        <v>1335.87</v>
      </c>
      <c r="Q383" s="285">
        <f t="shared" si="620"/>
        <v>274.7</v>
      </c>
      <c r="R383" s="285">
        <f t="shared" si="611"/>
        <v>134.16999999999999</v>
      </c>
      <c r="S383" s="285">
        <f t="shared" si="612"/>
        <v>188.55</v>
      </c>
      <c r="T383" s="285">
        <f t="shared" si="608"/>
        <v>1933.29</v>
      </c>
      <c r="U383" s="285">
        <f t="shared" si="553"/>
        <v>210168.7900000001</v>
      </c>
      <c r="V383" s="285">
        <f t="shared" si="554"/>
        <v>313266.46000000002</v>
      </c>
      <c r="W383" s="285">
        <f t="shared" si="609"/>
        <v>51407.210000000021</v>
      </c>
      <c r="X383" s="502" t="str">
        <f t="shared" si="545"/>
        <v xml:space="preserve"> </v>
      </c>
      <c r="Y383" s="285">
        <f t="shared" si="621"/>
        <v>255280.93000000017</v>
      </c>
      <c r="Z383" s="494">
        <f t="shared" si="537"/>
        <v>6.25E-2</v>
      </c>
      <c r="AA383" s="285">
        <f t="shared" si="538"/>
        <v>1630.04</v>
      </c>
      <c r="AB383" s="285">
        <f t="shared" si="622"/>
        <v>300.45000000000005</v>
      </c>
      <c r="AC383" s="285">
        <f t="shared" si="539"/>
        <v>1329.59</v>
      </c>
      <c r="AD383" s="285">
        <f t="shared" ref="AD383:AE383" si="628">+AD382</f>
        <v>134.16999999999999</v>
      </c>
      <c r="AE383" s="285">
        <f t="shared" si="628"/>
        <v>188.55</v>
      </c>
      <c r="AF383" s="285">
        <f t="shared" si="624"/>
        <v>1952.76</v>
      </c>
      <c r="AG383" s="285">
        <f t="shared" si="625"/>
        <v>76212.919999999911</v>
      </c>
      <c r="AH383" s="285">
        <f t="shared" si="626"/>
        <v>447776.28000000026</v>
      </c>
      <c r="AI383" s="512">
        <f t="shared" si="614"/>
        <v>-553.95000000003029</v>
      </c>
      <c r="AJ383" s="512">
        <f t="shared" si="566"/>
        <v>-203573.27000000014</v>
      </c>
      <c r="AK383" s="512">
        <f t="shared" si="615"/>
        <v>-204127.22000000018</v>
      </c>
      <c r="AL383" s="285">
        <f t="shared" si="627"/>
        <v>254980.48000000016</v>
      </c>
      <c r="AM383" s="425">
        <f t="shared" si="547"/>
        <v>27</v>
      </c>
      <c r="AN383" s="14">
        <f t="shared" si="616"/>
        <v>1610.57</v>
      </c>
      <c r="AO383" s="14">
        <f t="shared" si="585"/>
        <v>121329.4599999999</v>
      </c>
      <c r="AP383" s="14">
        <f t="shared" si="617"/>
        <v>1630.04</v>
      </c>
      <c r="AS383" s="14">
        <f t="shared" si="541"/>
        <v>1610.57</v>
      </c>
      <c r="AT383" s="14">
        <f t="shared" si="548"/>
        <v>380666.2099999988</v>
      </c>
      <c r="AU383" s="285">
        <f t="shared" si="549"/>
        <v>1639.0425136963788</v>
      </c>
      <c r="AV383" s="285">
        <f t="shared" si="550"/>
        <v>395680.04799224791</v>
      </c>
    </row>
    <row r="384" spans="1:48" x14ac:dyDescent="0.25">
      <c r="A384" s="502" t="str">
        <f t="shared" si="603"/>
        <v xml:space="preserve"> </v>
      </c>
      <c r="B384" s="285">
        <f t="shared" si="597"/>
        <v>0</v>
      </c>
      <c r="C384" s="14">
        <f t="shared" si="535"/>
        <v>0</v>
      </c>
      <c r="D384" s="14">
        <f t="shared" si="551"/>
        <v>0</v>
      </c>
      <c r="E384" s="14">
        <f t="shared" si="536"/>
        <v>0</v>
      </c>
      <c r="F384" s="14">
        <f t="shared" si="604"/>
        <v>134.16999999999999</v>
      </c>
      <c r="G384" s="14">
        <f t="shared" si="600"/>
        <v>188.55</v>
      </c>
      <c r="H384" s="14">
        <f t="shared" si="601"/>
        <v>322.72000000000003</v>
      </c>
      <c r="I384" s="285">
        <f t="shared" si="605"/>
        <v>97532.849999999991</v>
      </c>
      <c r="J384" s="285">
        <f t="shared" si="606"/>
        <v>64871.789999999986</v>
      </c>
      <c r="K384" s="285">
        <f t="shared" si="607"/>
        <v>0</v>
      </c>
      <c r="L384" s="425">
        <f t="shared" si="587"/>
        <v>27</v>
      </c>
      <c r="M384" s="425">
        <f t="shared" si="543"/>
        <v>325</v>
      </c>
      <c r="N384" s="285">
        <f t="shared" si="544"/>
        <v>51407.210000000021</v>
      </c>
      <c r="O384" s="285">
        <f t="shared" si="619"/>
        <v>1610.57</v>
      </c>
      <c r="P384" s="285">
        <f t="shared" si="552"/>
        <v>1342.82</v>
      </c>
      <c r="Q384" s="285">
        <f t="shared" si="620"/>
        <v>267.75</v>
      </c>
      <c r="R384" s="285">
        <f t="shared" si="611"/>
        <v>134.16999999999999</v>
      </c>
      <c r="S384" s="285">
        <f t="shared" si="612"/>
        <v>188.55</v>
      </c>
      <c r="T384" s="285">
        <f t="shared" si="608"/>
        <v>1933.29</v>
      </c>
      <c r="U384" s="285">
        <f t="shared" si="553"/>
        <v>211511.6100000001</v>
      </c>
      <c r="V384" s="285">
        <f t="shared" si="554"/>
        <v>313534.21000000002</v>
      </c>
      <c r="W384" s="285">
        <f t="shared" si="609"/>
        <v>50064.390000000021</v>
      </c>
      <c r="X384" s="502" t="str">
        <f t="shared" si="545"/>
        <v xml:space="preserve"> </v>
      </c>
      <c r="Y384" s="285">
        <f t="shared" si="621"/>
        <v>254980.48000000016</v>
      </c>
      <c r="Z384" s="494">
        <f t="shared" si="537"/>
        <v>6.25E-2</v>
      </c>
      <c r="AA384" s="285">
        <f t="shared" si="538"/>
        <v>1630.04</v>
      </c>
      <c r="AB384" s="285">
        <f t="shared" si="622"/>
        <v>302.02</v>
      </c>
      <c r="AC384" s="285">
        <f t="shared" si="539"/>
        <v>1328.02</v>
      </c>
      <c r="AD384" s="285">
        <f t="shared" ref="AD384:AE384" si="629">+AD383</f>
        <v>134.16999999999999</v>
      </c>
      <c r="AE384" s="285">
        <f t="shared" si="629"/>
        <v>188.55</v>
      </c>
      <c r="AF384" s="285">
        <f t="shared" si="624"/>
        <v>1952.76</v>
      </c>
      <c r="AG384" s="285">
        <f t="shared" si="625"/>
        <v>76514.939999999915</v>
      </c>
      <c r="AH384" s="285">
        <f t="shared" si="626"/>
        <v>449104.30000000028</v>
      </c>
      <c r="AI384" s="512">
        <f t="shared" si="614"/>
        <v>-573.42000000003031</v>
      </c>
      <c r="AJ384" s="512">
        <f t="shared" si="566"/>
        <v>-204614.07000000015</v>
      </c>
      <c r="AK384" s="512">
        <f t="shared" si="615"/>
        <v>-205187.49000000019</v>
      </c>
      <c r="AL384" s="285">
        <f t="shared" si="627"/>
        <v>254678.46000000017</v>
      </c>
      <c r="AM384" s="425">
        <f t="shared" si="547"/>
        <v>27</v>
      </c>
      <c r="AN384" s="14">
        <f t="shared" si="616"/>
        <v>1610.57</v>
      </c>
      <c r="AO384" s="14">
        <f t="shared" si="585"/>
        <v>119986.6399999999</v>
      </c>
      <c r="AP384" s="14">
        <f t="shared" si="617"/>
        <v>1630.04</v>
      </c>
      <c r="AS384" s="14">
        <f t="shared" si="541"/>
        <v>1610.57</v>
      </c>
      <c r="AT384" s="14">
        <f t="shared" si="548"/>
        <v>382276.77999999881</v>
      </c>
      <c r="AU384" s="285">
        <f t="shared" si="549"/>
        <v>1643.1401199806196</v>
      </c>
      <c r="AV384" s="285">
        <f t="shared" si="550"/>
        <v>397323.18811222853</v>
      </c>
    </row>
    <row r="385" spans="1:48" x14ac:dyDescent="0.25">
      <c r="A385" s="502" t="str">
        <f t="shared" si="603"/>
        <v xml:space="preserve"> </v>
      </c>
      <c r="B385" s="285">
        <f t="shared" si="597"/>
        <v>0</v>
      </c>
      <c r="C385" s="14">
        <f t="shared" si="535"/>
        <v>0</v>
      </c>
      <c r="D385" s="14">
        <f t="shared" si="551"/>
        <v>0</v>
      </c>
      <c r="E385" s="14">
        <f t="shared" si="536"/>
        <v>0</v>
      </c>
      <c r="F385" s="14">
        <f t="shared" si="604"/>
        <v>134.16999999999999</v>
      </c>
      <c r="G385" s="14">
        <f t="shared" si="600"/>
        <v>188.55</v>
      </c>
      <c r="H385" s="14">
        <f t="shared" si="601"/>
        <v>322.72000000000003</v>
      </c>
      <c r="I385" s="285">
        <f t="shared" si="605"/>
        <v>97532.849999999991</v>
      </c>
      <c r="J385" s="285">
        <f t="shared" si="606"/>
        <v>64871.789999999986</v>
      </c>
      <c r="K385" s="285">
        <f t="shared" si="607"/>
        <v>0</v>
      </c>
      <c r="L385" s="425">
        <f t="shared" si="587"/>
        <v>27</v>
      </c>
      <c r="M385" s="425">
        <f t="shared" si="543"/>
        <v>326</v>
      </c>
      <c r="N385" s="285">
        <f t="shared" si="544"/>
        <v>50064.390000000021</v>
      </c>
      <c r="O385" s="285">
        <f t="shared" si="619"/>
        <v>1610.57</v>
      </c>
      <c r="P385" s="285">
        <f t="shared" si="552"/>
        <v>1349.82</v>
      </c>
      <c r="Q385" s="285">
        <f t="shared" si="620"/>
        <v>260.75</v>
      </c>
      <c r="R385" s="285">
        <f t="shared" si="611"/>
        <v>134.16999999999999</v>
      </c>
      <c r="S385" s="285">
        <f t="shared" si="612"/>
        <v>188.55</v>
      </c>
      <c r="T385" s="285">
        <f t="shared" si="608"/>
        <v>1933.29</v>
      </c>
      <c r="U385" s="285">
        <f t="shared" si="553"/>
        <v>212861.43000000011</v>
      </c>
      <c r="V385" s="285">
        <f t="shared" si="554"/>
        <v>313794.96000000002</v>
      </c>
      <c r="W385" s="285">
        <f t="shared" si="609"/>
        <v>48714.570000000022</v>
      </c>
      <c r="X385" s="502" t="str">
        <f t="shared" si="545"/>
        <v xml:space="preserve"> </v>
      </c>
      <c r="Y385" s="285">
        <f t="shared" si="621"/>
        <v>254678.46000000017</v>
      </c>
      <c r="Z385" s="494">
        <f t="shared" si="537"/>
        <v>6.25E-2</v>
      </c>
      <c r="AA385" s="285">
        <f t="shared" si="538"/>
        <v>1630.04</v>
      </c>
      <c r="AB385" s="285">
        <f t="shared" si="622"/>
        <v>303.58999999999992</v>
      </c>
      <c r="AC385" s="285">
        <f t="shared" si="539"/>
        <v>1326.45</v>
      </c>
      <c r="AD385" s="285">
        <f t="shared" ref="AD385:AE385" si="630">+AD384</f>
        <v>134.16999999999999</v>
      </c>
      <c r="AE385" s="285">
        <f t="shared" si="630"/>
        <v>188.55</v>
      </c>
      <c r="AF385" s="285">
        <f t="shared" si="624"/>
        <v>1952.76</v>
      </c>
      <c r="AG385" s="285">
        <f t="shared" si="625"/>
        <v>76818.529999999912</v>
      </c>
      <c r="AH385" s="285">
        <f t="shared" si="626"/>
        <v>450430.75000000029</v>
      </c>
      <c r="AI385" s="512">
        <f t="shared" si="614"/>
        <v>-592.89000000003034</v>
      </c>
      <c r="AJ385" s="512">
        <f t="shared" si="566"/>
        <v>-205660.30000000016</v>
      </c>
      <c r="AK385" s="512">
        <f t="shared" si="615"/>
        <v>-206253.19000000021</v>
      </c>
      <c r="AL385" s="285">
        <f t="shared" si="627"/>
        <v>254374.87000000017</v>
      </c>
      <c r="AM385" s="425">
        <f t="shared" si="547"/>
        <v>27</v>
      </c>
      <c r="AN385" s="14">
        <f t="shared" si="616"/>
        <v>1610.57</v>
      </c>
      <c r="AO385" s="14">
        <f t="shared" si="585"/>
        <v>118636.81999999989</v>
      </c>
      <c r="AP385" s="14">
        <f t="shared" si="617"/>
        <v>1630.04</v>
      </c>
      <c r="AS385" s="14">
        <f t="shared" si="541"/>
        <v>1610.57</v>
      </c>
      <c r="AT385" s="14">
        <f t="shared" si="548"/>
        <v>383887.34999999881</v>
      </c>
      <c r="AU385" s="285">
        <f t="shared" si="549"/>
        <v>1647.2479702805713</v>
      </c>
      <c r="AV385" s="285">
        <f t="shared" si="550"/>
        <v>398970.43608250911</v>
      </c>
    </row>
    <row r="386" spans="1:48" ht="15.75" thickBot="1" x14ac:dyDescent="0.3">
      <c r="A386" s="505" t="str">
        <f t="shared" si="603"/>
        <v xml:space="preserve"> </v>
      </c>
      <c r="B386" s="345">
        <f t="shared" si="597"/>
        <v>0</v>
      </c>
      <c r="C386" s="21">
        <f t="shared" si="535"/>
        <v>0</v>
      </c>
      <c r="D386" s="21">
        <f t="shared" si="551"/>
        <v>0</v>
      </c>
      <c r="E386" s="21">
        <f t="shared" si="536"/>
        <v>0</v>
      </c>
      <c r="F386" s="21">
        <f t="shared" si="604"/>
        <v>134.16999999999999</v>
      </c>
      <c r="G386" s="21">
        <f t="shared" si="600"/>
        <v>188.55</v>
      </c>
      <c r="H386" s="21">
        <f t="shared" si="601"/>
        <v>322.72000000000003</v>
      </c>
      <c r="I386" s="345">
        <f t="shared" si="605"/>
        <v>97532.849999999991</v>
      </c>
      <c r="J386" s="345">
        <f t="shared" si="606"/>
        <v>64871.789999999986</v>
      </c>
      <c r="K386" s="345">
        <f t="shared" si="607"/>
        <v>0</v>
      </c>
      <c r="L386" s="426">
        <f t="shared" si="587"/>
        <v>27</v>
      </c>
      <c r="M386" s="426">
        <f t="shared" si="543"/>
        <v>327</v>
      </c>
      <c r="N386" s="345">
        <f t="shared" si="544"/>
        <v>48714.570000000022</v>
      </c>
      <c r="O386" s="345">
        <f t="shared" si="619"/>
        <v>1610.57</v>
      </c>
      <c r="P386" s="345">
        <f t="shared" si="552"/>
        <v>1356.85</v>
      </c>
      <c r="Q386" s="345">
        <f t="shared" si="620"/>
        <v>253.72</v>
      </c>
      <c r="R386" s="345">
        <f t="shared" si="611"/>
        <v>134.16999999999999</v>
      </c>
      <c r="S386" s="345">
        <f t="shared" si="612"/>
        <v>188.55</v>
      </c>
      <c r="T386" s="345">
        <f t="shared" si="608"/>
        <v>1933.29</v>
      </c>
      <c r="U386" s="345">
        <f t="shared" si="553"/>
        <v>214218.28000000012</v>
      </c>
      <c r="V386" s="345">
        <f t="shared" si="554"/>
        <v>314048.68</v>
      </c>
      <c r="W386" s="345">
        <f t="shared" si="609"/>
        <v>47357.720000000023</v>
      </c>
      <c r="X386" s="505" t="str">
        <f t="shared" si="545"/>
        <v xml:space="preserve"> </v>
      </c>
      <c r="Y386" s="345">
        <f t="shared" si="621"/>
        <v>254374.87000000017</v>
      </c>
      <c r="Z386" s="495">
        <f t="shared" si="537"/>
        <v>6.25E-2</v>
      </c>
      <c r="AA386" s="345">
        <f t="shared" si="538"/>
        <v>1630.04</v>
      </c>
      <c r="AB386" s="345">
        <f t="shared" si="622"/>
        <v>305.17000000000007</v>
      </c>
      <c r="AC386" s="345">
        <f t="shared" si="539"/>
        <v>1324.87</v>
      </c>
      <c r="AD386" s="345">
        <f t="shared" ref="AD386:AE386" si="631">+AD385</f>
        <v>134.16999999999999</v>
      </c>
      <c r="AE386" s="345">
        <f t="shared" si="631"/>
        <v>188.55</v>
      </c>
      <c r="AF386" s="345">
        <f t="shared" si="624"/>
        <v>1952.76</v>
      </c>
      <c r="AG386" s="345">
        <f t="shared" si="625"/>
        <v>77123.69999999991</v>
      </c>
      <c r="AH386" s="345">
        <f t="shared" si="626"/>
        <v>451755.62000000029</v>
      </c>
      <c r="AI386" s="513">
        <f t="shared" si="614"/>
        <v>-612.36000000003037</v>
      </c>
      <c r="AJ386" s="513">
        <f t="shared" si="566"/>
        <v>-206711.98000000013</v>
      </c>
      <c r="AK386" s="512">
        <f t="shared" si="615"/>
        <v>-207324.34000000017</v>
      </c>
      <c r="AL386" s="345">
        <f t="shared" si="627"/>
        <v>254069.70000000016</v>
      </c>
      <c r="AM386" s="426">
        <f t="shared" si="547"/>
        <v>27</v>
      </c>
      <c r="AN386" s="21">
        <f t="shared" si="616"/>
        <v>1610.57</v>
      </c>
      <c r="AO386" s="21">
        <f t="shared" si="585"/>
        <v>117279.96999999988</v>
      </c>
      <c r="AP386" s="21">
        <f t="shared" si="617"/>
        <v>1630.04</v>
      </c>
      <c r="AQ386" s="21"/>
      <c r="AR386" s="23"/>
      <c r="AS386" s="21">
        <f t="shared" si="541"/>
        <v>1610.57</v>
      </c>
      <c r="AT386" s="21">
        <f t="shared" si="548"/>
        <v>385497.91999999882</v>
      </c>
      <c r="AU386" s="345">
        <f t="shared" si="549"/>
        <v>1651.3660902062727</v>
      </c>
      <c r="AV386" s="345">
        <f t="shared" si="550"/>
        <v>400621.80217271537</v>
      </c>
    </row>
    <row r="387" spans="1:48" x14ac:dyDescent="0.25">
      <c r="A387" s="502" t="str">
        <f t="shared" si="603"/>
        <v xml:space="preserve"> </v>
      </c>
      <c r="B387" s="285">
        <f t="shared" si="597"/>
        <v>0</v>
      </c>
      <c r="C387" s="14">
        <f t="shared" si="535"/>
        <v>0</v>
      </c>
      <c r="D387" s="14">
        <f t="shared" si="551"/>
        <v>0</v>
      </c>
      <c r="E387" s="14">
        <f t="shared" si="536"/>
        <v>0</v>
      </c>
      <c r="F387" s="14">
        <f t="shared" si="604"/>
        <v>134.16999999999999</v>
      </c>
      <c r="G387" s="14">
        <f t="shared" si="600"/>
        <v>188.55</v>
      </c>
      <c r="H387" s="14">
        <f t="shared" si="601"/>
        <v>322.72000000000003</v>
      </c>
      <c r="I387" s="285">
        <f t="shared" si="605"/>
        <v>97532.849999999991</v>
      </c>
      <c r="J387" s="285">
        <f t="shared" si="606"/>
        <v>64871.789999999986</v>
      </c>
      <c r="K387" s="285">
        <f t="shared" si="607"/>
        <v>0</v>
      </c>
      <c r="L387" s="425">
        <f t="shared" si="587"/>
        <v>27</v>
      </c>
      <c r="M387" s="425">
        <f t="shared" si="543"/>
        <v>328</v>
      </c>
      <c r="N387" s="285">
        <f t="shared" si="544"/>
        <v>47357.720000000023</v>
      </c>
      <c r="O387" s="285">
        <f t="shared" si="619"/>
        <v>1610.57</v>
      </c>
      <c r="P387" s="285">
        <f t="shared" si="552"/>
        <v>1363.9199999999998</v>
      </c>
      <c r="Q387" s="285">
        <f t="shared" si="620"/>
        <v>246.65</v>
      </c>
      <c r="R387" s="285">
        <f t="shared" si="611"/>
        <v>134.16999999999999</v>
      </c>
      <c r="S387" s="285">
        <f t="shared" si="612"/>
        <v>188.55</v>
      </c>
      <c r="T387" s="285">
        <f t="shared" si="608"/>
        <v>1933.29</v>
      </c>
      <c r="U387" s="285">
        <f t="shared" si="553"/>
        <v>215582.20000000013</v>
      </c>
      <c r="V387" s="285">
        <f t="shared" si="554"/>
        <v>314295.33</v>
      </c>
      <c r="W387" s="285">
        <f t="shared" si="609"/>
        <v>45993.800000000025</v>
      </c>
      <c r="X387" s="502" t="str">
        <f t="shared" si="545"/>
        <v xml:space="preserve"> </v>
      </c>
      <c r="Y387" s="285">
        <f t="shared" si="621"/>
        <v>254069.70000000016</v>
      </c>
      <c r="Z387" s="494">
        <f t="shared" si="537"/>
        <v>6.25E-2</v>
      </c>
      <c r="AA387" s="285">
        <f t="shared" si="538"/>
        <v>1630.04</v>
      </c>
      <c r="AB387" s="285">
        <f t="shared" si="622"/>
        <v>306.76</v>
      </c>
      <c r="AC387" s="285">
        <f t="shared" si="539"/>
        <v>1323.28</v>
      </c>
      <c r="AD387" s="285">
        <f t="shared" ref="AD387:AE387" si="632">+AD386</f>
        <v>134.16999999999999</v>
      </c>
      <c r="AE387" s="285">
        <f t="shared" si="632"/>
        <v>188.55</v>
      </c>
      <c r="AF387" s="285">
        <f t="shared" si="624"/>
        <v>1952.76</v>
      </c>
      <c r="AG387" s="285">
        <f t="shared" si="625"/>
        <v>77430.459999999905</v>
      </c>
      <c r="AH387" s="285">
        <f t="shared" si="626"/>
        <v>453078.90000000031</v>
      </c>
      <c r="AI387" s="512">
        <f t="shared" si="614"/>
        <v>-631.8300000000304</v>
      </c>
      <c r="AJ387" s="512">
        <f t="shared" si="566"/>
        <v>-207769.14000000013</v>
      </c>
      <c r="AK387" s="512">
        <f t="shared" si="615"/>
        <v>-208400.97000000015</v>
      </c>
      <c r="AL387" s="285">
        <f t="shared" si="627"/>
        <v>253762.94000000015</v>
      </c>
      <c r="AM387" s="425">
        <f t="shared" si="547"/>
        <v>27</v>
      </c>
      <c r="AN387" s="14">
        <f t="shared" si="616"/>
        <v>1610.57</v>
      </c>
      <c r="AO387" s="14">
        <f t="shared" si="585"/>
        <v>115916.04999999987</v>
      </c>
      <c r="AP387" s="14">
        <f t="shared" si="617"/>
        <v>1630.04</v>
      </c>
      <c r="AS387" s="14">
        <f t="shared" si="541"/>
        <v>1610.57</v>
      </c>
      <c r="AT387" s="14">
        <f t="shared" si="548"/>
        <v>387108.48999999883</v>
      </c>
      <c r="AU387" s="285">
        <f t="shared" si="549"/>
        <v>1655.4945054317884</v>
      </c>
      <c r="AV387" s="285">
        <f t="shared" si="550"/>
        <v>402277.29667814716</v>
      </c>
    </row>
    <row r="388" spans="1:48" x14ac:dyDescent="0.25">
      <c r="A388" s="502" t="str">
        <f t="shared" si="603"/>
        <v xml:space="preserve"> </v>
      </c>
      <c r="B388" s="285">
        <f t="shared" si="597"/>
        <v>0</v>
      </c>
      <c r="C388" s="14">
        <f t="shared" si="535"/>
        <v>0</v>
      </c>
      <c r="D388" s="14">
        <f t="shared" si="551"/>
        <v>0</v>
      </c>
      <c r="E388" s="14">
        <f t="shared" si="536"/>
        <v>0</v>
      </c>
      <c r="F388" s="14">
        <f t="shared" si="604"/>
        <v>134.16999999999999</v>
      </c>
      <c r="G388" s="14">
        <f t="shared" si="600"/>
        <v>188.55</v>
      </c>
      <c r="H388" s="14">
        <f t="shared" si="601"/>
        <v>322.72000000000003</v>
      </c>
      <c r="I388" s="285">
        <f t="shared" si="605"/>
        <v>97532.849999999991</v>
      </c>
      <c r="J388" s="285">
        <f t="shared" si="606"/>
        <v>64871.789999999986</v>
      </c>
      <c r="K388" s="285">
        <f t="shared" si="607"/>
        <v>0</v>
      </c>
      <c r="L388" s="425">
        <f t="shared" si="587"/>
        <v>27</v>
      </c>
      <c r="M388" s="425">
        <f t="shared" si="543"/>
        <v>329</v>
      </c>
      <c r="N388" s="285">
        <f t="shared" si="544"/>
        <v>45993.800000000025</v>
      </c>
      <c r="O388" s="285">
        <f t="shared" si="619"/>
        <v>1610.57</v>
      </c>
      <c r="P388" s="285">
        <f t="shared" si="552"/>
        <v>1371.02</v>
      </c>
      <c r="Q388" s="285">
        <f t="shared" si="620"/>
        <v>239.55</v>
      </c>
      <c r="R388" s="285">
        <f t="shared" si="611"/>
        <v>134.16999999999999</v>
      </c>
      <c r="S388" s="285">
        <f t="shared" si="612"/>
        <v>188.55</v>
      </c>
      <c r="T388" s="285">
        <f t="shared" si="608"/>
        <v>1933.29</v>
      </c>
      <c r="U388" s="285">
        <f t="shared" si="553"/>
        <v>216953.22000000012</v>
      </c>
      <c r="V388" s="285">
        <f t="shared" si="554"/>
        <v>314534.88</v>
      </c>
      <c r="W388" s="285">
        <f t="shared" si="609"/>
        <v>44622.780000000028</v>
      </c>
      <c r="X388" s="502" t="str">
        <f t="shared" si="545"/>
        <v xml:space="preserve"> </v>
      </c>
      <c r="Y388" s="285">
        <f t="shared" si="621"/>
        <v>253762.94000000015</v>
      </c>
      <c r="Z388" s="494">
        <f t="shared" si="537"/>
        <v>6.25E-2</v>
      </c>
      <c r="AA388" s="285">
        <f t="shared" si="538"/>
        <v>1630.04</v>
      </c>
      <c r="AB388" s="285">
        <f t="shared" si="622"/>
        <v>308.3599999999999</v>
      </c>
      <c r="AC388" s="285">
        <f t="shared" si="539"/>
        <v>1321.68</v>
      </c>
      <c r="AD388" s="285">
        <f t="shared" ref="AD388:AE388" si="633">+AD387</f>
        <v>134.16999999999999</v>
      </c>
      <c r="AE388" s="285">
        <f t="shared" si="633"/>
        <v>188.55</v>
      </c>
      <c r="AF388" s="285">
        <f t="shared" si="624"/>
        <v>1952.76</v>
      </c>
      <c r="AG388" s="285">
        <f t="shared" si="625"/>
        <v>77738.819999999905</v>
      </c>
      <c r="AH388" s="285">
        <f t="shared" si="626"/>
        <v>454400.58000000031</v>
      </c>
      <c r="AI388" s="512">
        <f t="shared" si="614"/>
        <v>-651.30000000003042</v>
      </c>
      <c r="AJ388" s="512">
        <f t="shared" si="566"/>
        <v>-208831.80000000013</v>
      </c>
      <c r="AK388" s="512">
        <f t="shared" si="615"/>
        <v>-209483.10000000015</v>
      </c>
      <c r="AL388" s="285">
        <f t="shared" si="627"/>
        <v>253454.58000000016</v>
      </c>
      <c r="AM388" s="425">
        <f t="shared" si="547"/>
        <v>27</v>
      </c>
      <c r="AN388" s="14">
        <f t="shared" si="616"/>
        <v>1610.57</v>
      </c>
      <c r="AO388" s="14">
        <f t="shared" si="585"/>
        <v>114545.02999999988</v>
      </c>
      <c r="AP388" s="14">
        <f t="shared" si="617"/>
        <v>1630.04</v>
      </c>
      <c r="AS388" s="14">
        <f t="shared" si="541"/>
        <v>1610.57</v>
      </c>
      <c r="AT388" s="14">
        <f t="shared" si="548"/>
        <v>388719.05999999883</v>
      </c>
      <c r="AU388" s="285">
        <f t="shared" si="549"/>
        <v>1659.633241695368</v>
      </c>
      <c r="AV388" s="285">
        <f t="shared" si="550"/>
        <v>403936.92991984251</v>
      </c>
    </row>
    <row r="389" spans="1:48" x14ac:dyDescent="0.25">
      <c r="A389" s="502" t="str">
        <f t="shared" si="603"/>
        <v xml:space="preserve"> </v>
      </c>
      <c r="B389" s="285">
        <f t="shared" si="597"/>
        <v>0</v>
      </c>
      <c r="C389" s="14">
        <f t="shared" si="535"/>
        <v>0</v>
      </c>
      <c r="D389" s="14">
        <f t="shared" si="551"/>
        <v>0</v>
      </c>
      <c r="E389" s="14">
        <f t="shared" si="536"/>
        <v>0</v>
      </c>
      <c r="F389" s="14">
        <f t="shared" si="604"/>
        <v>134.16999999999999</v>
      </c>
      <c r="G389" s="14">
        <f t="shared" si="600"/>
        <v>188.55</v>
      </c>
      <c r="H389" s="14">
        <f t="shared" si="601"/>
        <v>322.72000000000003</v>
      </c>
      <c r="I389" s="285">
        <f t="shared" si="605"/>
        <v>97532.849999999991</v>
      </c>
      <c r="J389" s="285">
        <f t="shared" si="606"/>
        <v>64871.789999999986</v>
      </c>
      <c r="K389" s="285">
        <f t="shared" si="607"/>
        <v>0</v>
      </c>
      <c r="L389" s="425">
        <f t="shared" si="587"/>
        <v>27</v>
      </c>
      <c r="M389" s="425">
        <f t="shared" si="543"/>
        <v>330</v>
      </c>
      <c r="N389" s="285">
        <f t="shared" si="544"/>
        <v>44622.780000000028</v>
      </c>
      <c r="O389" s="285">
        <f t="shared" si="619"/>
        <v>1610.57</v>
      </c>
      <c r="P389" s="285">
        <f t="shared" si="552"/>
        <v>1378.1599999999999</v>
      </c>
      <c r="Q389" s="285">
        <f t="shared" si="620"/>
        <v>232.41</v>
      </c>
      <c r="R389" s="285">
        <f t="shared" si="611"/>
        <v>134.16999999999999</v>
      </c>
      <c r="S389" s="285">
        <f t="shared" si="612"/>
        <v>188.55</v>
      </c>
      <c r="T389" s="285">
        <f t="shared" si="608"/>
        <v>1933.29</v>
      </c>
      <c r="U389" s="285">
        <f t="shared" si="553"/>
        <v>218331.38000000012</v>
      </c>
      <c r="V389" s="285">
        <f t="shared" si="554"/>
        <v>314767.28999999998</v>
      </c>
      <c r="W389" s="285">
        <f t="shared" si="609"/>
        <v>43244.620000000024</v>
      </c>
      <c r="X389" s="502" t="str">
        <f t="shared" si="545"/>
        <v xml:space="preserve"> </v>
      </c>
      <c r="Y389" s="285">
        <f t="shared" si="621"/>
        <v>253454.58000000016</v>
      </c>
      <c r="Z389" s="494">
        <f t="shared" si="537"/>
        <v>6.25E-2</v>
      </c>
      <c r="AA389" s="285">
        <f t="shared" si="538"/>
        <v>1630.04</v>
      </c>
      <c r="AB389" s="285">
        <f t="shared" si="622"/>
        <v>309.96000000000004</v>
      </c>
      <c r="AC389" s="285">
        <f t="shared" si="539"/>
        <v>1320.08</v>
      </c>
      <c r="AD389" s="285">
        <f t="shared" ref="AD389:AE389" si="634">+AD388</f>
        <v>134.16999999999999</v>
      </c>
      <c r="AE389" s="285">
        <f t="shared" si="634"/>
        <v>188.55</v>
      </c>
      <c r="AF389" s="285">
        <f t="shared" si="624"/>
        <v>1952.76</v>
      </c>
      <c r="AG389" s="285">
        <f t="shared" si="625"/>
        <v>78048.779999999912</v>
      </c>
      <c r="AH389" s="285">
        <f t="shared" si="626"/>
        <v>455720.66000000032</v>
      </c>
      <c r="AI389" s="512">
        <f t="shared" si="614"/>
        <v>-670.77000000003045</v>
      </c>
      <c r="AJ389" s="512">
        <f t="shared" si="566"/>
        <v>-209900.00000000015</v>
      </c>
      <c r="AK389" s="512">
        <f t="shared" si="615"/>
        <v>-210570.77000000016</v>
      </c>
      <c r="AL389" s="285">
        <f t="shared" si="627"/>
        <v>253144.62000000017</v>
      </c>
      <c r="AM389" s="425">
        <f t="shared" si="547"/>
        <v>27</v>
      </c>
      <c r="AN389" s="14">
        <f t="shared" si="616"/>
        <v>1610.57</v>
      </c>
      <c r="AO389" s="14">
        <f t="shared" si="585"/>
        <v>113166.86999999988</v>
      </c>
      <c r="AP389" s="14">
        <f t="shared" si="617"/>
        <v>1630.04</v>
      </c>
      <c r="AS389" s="14">
        <f t="shared" si="541"/>
        <v>1610.57</v>
      </c>
      <c r="AT389" s="14">
        <f t="shared" si="548"/>
        <v>390329.62999999884</v>
      </c>
      <c r="AU389" s="285">
        <f t="shared" si="549"/>
        <v>1663.7823247996064</v>
      </c>
      <c r="AV389" s="285">
        <f t="shared" si="550"/>
        <v>405600.71224464214</v>
      </c>
    </row>
    <row r="390" spans="1:48" x14ac:dyDescent="0.25">
      <c r="A390" s="502" t="str">
        <f t="shared" si="603"/>
        <v xml:space="preserve"> </v>
      </c>
      <c r="B390" s="285">
        <f t="shared" si="597"/>
        <v>0</v>
      </c>
      <c r="C390" s="14">
        <f t="shared" si="535"/>
        <v>0</v>
      </c>
      <c r="D390" s="14">
        <f t="shared" si="551"/>
        <v>0</v>
      </c>
      <c r="E390" s="14">
        <f t="shared" si="536"/>
        <v>0</v>
      </c>
      <c r="F390" s="14">
        <f t="shared" si="604"/>
        <v>134.16999999999999</v>
      </c>
      <c r="G390" s="14">
        <f t="shared" si="600"/>
        <v>188.55</v>
      </c>
      <c r="H390" s="14">
        <f t="shared" si="601"/>
        <v>322.72000000000003</v>
      </c>
      <c r="I390" s="285">
        <f t="shared" si="605"/>
        <v>97532.849999999991</v>
      </c>
      <c r="J390" s="285">
        <f t="shared" si="606"/>
        <v>64871.789999999986</v>
      </c>
      <c r="K390" s="285">
        <f t="shared" si="607"/>
        <v>0</v>
      </c>
      <c r="L390" s="425">
        <f t="shared" si="587"/>
        <v>27</v>
      </c>
      <c r="M390" s="425">
        <f t="shared" si="543"/>
        <v>331</v>
      </c>
      <c r="N390" s="285">
        <f t="shared" si="544"/>
        <v>43244.620000000024</v>
      </c>
      <c r="O390" s="285">
        <f t="shared" si="619"/>
        <v>1610.57</v>
      </c>
      <c r="P390" s="285">
        <f t="shared" si="552"/>
        <v>1385.34</v>
      </c>
      <c r="Q390" s="285">
        <f t="shared" si="620"/>
        <v>225.23</v>
      </c>
      <c r="R390" s="285">
        <f t="shared" si="611"/>
        <v>134.16999999999999</v>
      </c>
      <c r="S390" s="285">
        <f t="shared" si="612"/>
        <v>188.55</v>
      </c>
      <c r="T390" s="285">
        <f t="shared" si="608"/>
        <v>1933.29</v>
      </c>
      <c r="U390" s="285">
        <f t="shared" si="553"/>
        <v>219716.72000000012</v>
      </c>
      <c r="V390" s="285">
        <f t="shared" si="554"/>
        <v>314992.51999999996</v>
      </c>
      <c r="W390" s="285">
        <f t="shared" si="609"/>
        <v>41859.280000000028</v>
      </c>
      <c r="X390" s="502" t="str">
        <f t="shared" si="545"/>
        <v xml:space="preserve"> </v>
      </c>
      <c r="Y390" s="285">
        <f t="shared" si="621"/>
        <v>253144.62000000017</v>
      </c>
      <c r="Z390" s="494">
        <f t="shared" si="537"/>
        <v>6.25E-2</v>
      </c>
      <c r="AA390" s="285">
        <f t="shared" si="538"/>
        <v>1630.04</v>
      </c>
      <c r="AB390" s="285">
        <f t="shared" si="622"/>
        <v>311.57999999999993</v>
      </c>
      <c r="AC390" s="285">
        <f t="shared" si="539"/>
        <v>1318.46</v>
      </c>
      <c r="AD390" s="285">
        <f t="shared" ref="AD390:AE390" si="635">+AD389</f>
        <v>134.16999999999999</v>
      </c>
      <c r="AE390" s="285">
        <f t="shared" si="635"/>
        <v>188.55</v>
      </c>
      <c r="AF390" s="285">
        <f t="shared" si="624"/>
        <v>1952.76</v>
      </c>
      <c r="AG390" s="285">
        <f t="shared" si="625"/>
        <v>78360.359999999913</v>
      </c>
      <c r="AH390" s="285">
        <f t="shared" si="626"/>
        <v>457039.12000000034</v>
      </c>
      <c r="AI390" s="512">
        <f t="shared" si="614"/>
        <v>-690.24000000003048</v>
      </c>
      <c r="AJ390" s="512">
        <f t="shared" si="566"/>
        <v>-210973.76000000015</v>
      </c>
      <c r="AK390" s="512">
        <f t="shared" si="615"/>
        <v>-211664.00000000017</v>
      </c>
      <c r="AL390" s="285">
        <f t="shared" si="627"/>
        <v>252833.04000000018</v>
      </c>
      <c r="AM390" s="425">
        <f t="shared" si="547"/>
        <v>27</v>
      </c>
      <c r="AN390" s="14">
        <f t="shared" si="616"/>
        <v>1610.57</v>
      </c>
      <c r="AO390" s="14">
        <f t="shared" si="585"/>
        <v>111781.52999999988</v>
      </c>
      <c r="AP390" s="14">
        <f t="shared" si="617"/>
        <v>1630.04</v>
      </c>
      <c r="AS390" s="14">
        <f t="shared" si="541"/>
        <v>1610.57</v>
      </c>
      <c r="AT390" s="14">
        <f t="shared" si="548"/>
        <v>391940.19999999885</v>
      </c>
      <c r="AU390" s="285">
        <f t="shared" si="549"/>
        <v>1667.9417806116055</v>
      </c>
      <c r="AV390" s="285">
        <f t="shared" si="550"/>
        <v>407268.65402525372</v>
      </c>
    </row>
    <row r="391" spans="1:48" x14ac:dyDescent="0.25">
      <c r="A391" s="502" t="str">
        <f t="shared" si="603"/>
        <v xml:space="preserve"> </v>
      </c>
      <c r="B391" s="285">
        <f t="shared" si="597"/>
        <v>0</v>
      </c>
      <c r="C391" s="14">
        <f t="shared" si="535"/>
        <v>0</v>
      </c>
      <c r="D391" s="14">
        <f t="shared" si="551"/>
        <v>0</v>
      </c>
      <c r="E391" s="14">
        <f t="shared" si="536"/>
        <v>0</v>
      </c>
      <c r="F391" s="14">
        <f t="shared" si="604"/>
        <v>134.16999999999999</v>
      </c>
      <c r="G391" s="14">
        <f t="shared" si="600"/>
        <v>188.55</v>
      </c>
      <c r="H391" s="14">
        <f t="shared" si="601"/>
        <v>322.72000000000003</v>
      </c>
      <c r="I391" s="285">
        <f t="shared" si="605"/>
        <v>97532.849999999991</v>
      </c>
      <c r="J391" s="285">
        <f t="shared" si="606"/>
        <v>64871.789999999986</v>
      </c>
      <c r="K391" s="285">
        <f t="shared" si="607"/>
        <v>0</v>
      </c>
      <c r="L391" s="425">
        <f t="shared" si="587"/>
        <v>27</v>
      </c>
      <c r="M391" s="425">
        <f t="shared" si="543"/>
        <v>332</v>
      </c>
      <c r="N391" s="285">
        <f t="shared" si="544"/>
        <v>41859.280000000028</v>
      </c>
      <c r="O391" s="285">
        <f t="shared" si="619"/>
        <v>1610.57</v>
      </c>
      <c r="P391" s="285">
        <f t="shared" si="552"/>
        <v>1392.55</v>
      </c>
      <c r="Q391" s="285">
        <f t="shared" si="620"/>
        <v>218.02</v>
      </c>
      <c r="R391" s="285">
        <f t="shared" si="611"/>
        <v>134.16999999999999</v>
      </c>
      <c r="S391" s="285">
        <f t="shared" si="612"/>
        <v>188.55</v>
      </c>
      <c r="T391" s="285">
        <f t="shared" si="608"/>
        <v>1933.29</v>
      </c>
      <c r="U391" s="285">
        <f t="shared" si="553"/>
        <v>221109.27000000011</v>
      </c>
      <c r="V391" s="285">
        <f t="shared" si="554"/>
        <v>315210.53999999998</v>
      </c>
      <c r="W391" s="285">
        <f t="shared" si="609"/>
        <v>40466.730000000025</v>
      </c>
      <c r="X391" s="502" t="str">
        <f t="shared" si="545"/>
        <v xml:space="preserve"> </v>
      </c>
      <c r="Y391" s="285">
        <f t="shared" si="621"/>
        <v>252833.04000000018</v>
      </c>
      <c r="Z391" s="494">
        <f t="shared" si="537"/>
        <v>6.25E-2</v>
      </c>
      <c r="AA391" s="285">
        <f t="shared" si="538"/>
        <v>1630.04</v>
      </c>
      <c r="AB391" s="285">
        <f t="shared" si="622"/>
        <v>313.20000000000005</v>
      </c>
      <c r="AC391" s="285">
        <f t="shared" si="539"/>
        <v>1316.84</v>
      </c>
      <c r="AD391" s="285">
        <f t="shared" ref="AD391:AE391" si="636">+AD390</f>
        <v>134.16999999999999</v>
      </c>
      <c r="AE391" s="285">
        <f t="shared" si="636"/>
        <v>188.55</v>
      </c>
      <c r="AF391" s="285">
        <f t="shared" si="624"/>
        <v>1952.76</v>
      </c>
      <c r="AG391" s="285">
        <f t="shared" si="625"/>
        <v>78673.55999999991</v>
      </c>
      <c r="AH391" s="285">
        <f t="shared" si="626"/>
        <v>458355.96000000037</v>
      </c>
      <c r="AI391" s="512">
        <f t="shared" si="614"/>
        <v>-709.7100000000305</v>
      </c>
      <c r="AJ391" s="512">
        <f t="shared" si="566"/>
        <v>-212053.11000000016</v>
      </c>
      <c r="AK391" s="512">
        <f t="shared" si="615"/>
        <v>-212762.82000000018</v>
      </c>
      <c r="AL391" s="285">
        <f t="shared" si="627"/>
        <v>252519.84000000017</v>
      </c>
      <c r="AM391" s="425">
        <f t="shared" si="547"/>
        <v>27</v>
      </c>
      <c r="AN391" s="14">
        <f t="shared" si="616"/>
        <v>1610.57</v>
      </c>
      <c r="AO391" s="14">
        <f t="shared" si="585"/>
        <v>110388.97999999989</v>
      </c>
      <c r="AP391" s="14">
        <f t="shared" si="617"/>
        <v>1630.04</v>
      </c>
      <c r="AS391" s="14">
        <f t="shared" si="541"/>
        <v>1610.57</v>
      </c>
      <c r="AT391" s="14">
        <f t="shared" si="548"/>
        <v>393550.76999999885</v>
      </c>
      <c r="AU391" s="285">
        <f t="shared" si="549"/>
        <v>1672.1116350631344</v>
      </c>
      <c r="AV391" s="285">
        <f t="shared" si="550"/>
        <v>408940.76566031686</v>
      </c>
    </row>
    <row r="392" spans="1:48" x14ac:dyDescent="0.25">
      <c r="A392" s="502" t="str">
        <f t="shared" si="603"/>
        <v xml:space="preserve"> </v>
      </c>
      <c r="B392" s="285">
        <f t="shared" si="597"/>
        <v>0</v>
      </c>
      <c r="C392" s="14">
        <f t="shared" si="535"/>
        <v>0</v>
      </c>
      <c r="D392" s="14">
        <f t="shared" si="551"/>
        <v>0</v>
      </c>
      <c r="E392" s="14">
        <f t="shared" si="536"/>
        <v>0</v>
      </c>
      <c r="F392" s="14">
        <f t="shared" si="604"/>
        <v>134.16999999999999</v>
      </c>
      <c r="G392" s="14">
        <f t="shared" si="600"/>
        <v>188.55</v>
      </c>
      <c r="H392" s="14">
        <f t="shared" si="601"/>
        <v>322.72000000000003</v>
      </c>
      <c r="I392" s="285">
        <f t="shared" si="605"/>
        <v>97532.849999999991</v>
      </c>
      <c r="J392" s="285">
        <f t="shared" si="606"/>
        <v>64871.789999999986</v>
      </c>
      <c r="K392" s="285">
        <f t="shared" si="607"/>
        <v>0</v>
      </c>
      <c r="L392" s="425">
        <f t="shared" si="587"/>
        <v>27</v>
      </c>
      <c r="M392" s="425">
        <f t="shared" si="543"/>
        <v>333</v>
      </c>
      <c r="N392" s="285">
        <f t="shared" si="544"/>
        <v>40466.730000000025</v>
      </c>
      <c r="O392" s="285">
        <f t="shared" si="619"/>
        <v>1610.57</v>
      </c>
      <c r="P392" s="285">
        <f t="shared" si="552"/>
        <v>1399.81</v>
      </c>
      <c r="Q392" s="285">
        <f t="shared" si="620"/>
        <v>210.76</v>
      </c>
      <c r="R392" s="285">
        <f t="shared" si="611"/>
        <v>134.16999999999999</v>
      </c>
      <c r="S392" s="285">
        <f t="shared" si="612"/>
        <v>188.55</v>
      </c>
      <c r="T392" s="285">
        <f t="shared" si="608"/>
        <v>1933.29</v>
      </c>
      <c r="U392" s="285">
        <f t="shared" si="553"/>
        <v>222509.0800000001</v>
      </c>
      <c r="V392" s="285">
        <f t="shared" si="554"/>
        <v>315421.3</v>
      </c>
      <c r="W392" s="285">
        <f t="shared" si="609"/>
        <v>39066.920000000027</v>
      </c>
      <c r="X392" s="502" t="str">
        <f t="shared" si="545"/>
        <v xml:space="preserve"> </v>
      </c>
      <c r="Y392" s="285">
        <f t="shared" si="621"/>
        <v>252519.84000000017</v>
      </c>
      <c r="Z392" s="494">
        <f t="shared" si="537"/>
        <v>6.25E-2</v>
      </c>
      <c r="AA392" s="285">
        <f t="shared" si="538"/>
        <v>1630.04</v>
      </c>
      <c r="AB392" s="285">
        <f t="shared" si="622"/>
        <v>314.82999999999993</v>
      </c>
      <c r="AC392" s="285">
        <f t="shared" si="539"/>
        <v>1315.21</v>
      </c>
      <c r="AD392" s="285">
        <f t="shared" ref="AD392:AE392" si="637">+AD391</f>
        <v>134.16999999999999</v>
      </c>
      <c r="AE392" s="285">
        <f t="shared" si="637"/>
        <v>188.55</v>
      </c>
      <c r="AF392" s="285">
        <f t="shared" si="624"/>
        <v>1952.76</v>
      </c>
      <c r="AG392" s="285">
        <f t="shared" si="625"/>
        <v>78988.389999999912</v>
      </c>
      <c r="AH392" s="285">
        <f t="shared" si="626"/>
        <v>459671.17000000039</v>
      </c>
      <c r="AI392" s="512">
        <f t="shared" si="614"/>
        <v>-729.18000000003053</v>
      </c>
      <c r="AJ392" s="512">
        <f t="shared" si="566"/>
        <v>-213138.09000000014</v>
      </c>
      <c r="AK392" s="512">
        <f t="shared" si="615"/>
        <v>-213867.27000000016</v>
      </c>
      <c r="AL392" s="285">
        <f t="shared" si="627"/>
        <v>252205.01000000018</v>
      </c>
      <c r="AM392" s="425">
        <f t="shared" si="547"/>
        <v>27</v>
      </c>
      <c r="AN392" s="14">
        <f t="shared" si="616"/>
        <v>1610.57</v>
      </c>
      <c r="AO392" s="14">
        <f t="shared" si="585"/>
        <v>108989.1699999999</v>
      </c>
      <c r="AP392" s="14">
        <f t="shared" si="617"/>
        <v>1630.04</v>
      </c>
      <c r="AS392" s="14">
        <f t="shared" si="541"/>
        <v>1610.57</v>
      </c>
      <c r="AT392" s="14">
        <f t="shared" si="548"/>
        <v>395161.33999999886</v>
      </c>
      <c r="AU392" s="285">
        <f t="shared" si="549"/>
        <v>1676.2919141507921</v>
      </c>
      <c r="AV392" s="285">
        <f t="shared" si="550"/>
        <v>410617.05757446768</v>
      </c>
    </row>
    <row r="393" spans="1:48" x14ac:dyDescent="0.25">
      <c r="A393" s="502" t="str">
        <f t="shared" si="603"/>
        <v xml:space="preserve"> </v>
      </c>
      <c r="B393" s="285">
        <f t="shared" si="597"/>
        <v>0</v>
      </c>
      <c r="C393" s="14">
        <f t="shared" si="535"/>
        <v>0</v>
      </c>
      <c r="D393" s="14">
        <f t="shared" si="551"/>
        <v>0</v>
      </c>
      <c r="E393" s="14">
        <f t="shared" si="536"/>
        <v>0</v>
      </c>
      <c r="F393" s="14">
        <f t="shared" si="604"/>
        <v>134.16999999999999</v>
      </c>
      <c r="G393" s="14">
        <f t="shared" si="600"/>
        <v>188.55</v>
      </c>
      <c r="H393" s="14">
        <f t="shared" si="601"/>
        <v>322.72000000000003</v>
      </c>
      <c r="I393" s="285">
        <f t="shared" si="605"/>
        <v>97532.849999999991</v>
      </c>
      <c r="J393" s="285">
        <f t="shared" si="606"/>
        <v>64871.789999999986</v>
      </c>
      <c r="K393" s="285">
        <f t="shared" si="607"/>
        <v>0</v>
      </c>
      <c r="L393" s="425">
        <f t="shared" si="587"/>
        <v>27</v>
      </c>
      <c r="M393" s="425">
        <f t="shared" si="543"/>
        <v>334</v>
      </c>
      <c r="N393" s="285">
        <f t="shared" si="544"/>
        <v>39066.920000000027</v>
      </c>
      <c r="O393" s="285">
        <f t="shared" si="619"/>
        <v>1610.57</v>
      </c>
      <c r="P393" s="285">
        <f t="shared" si="552"/>
        <v>1407.1</v>
      </c>
      <c r="Q393" s="285">
        <f t="shared" si="620"/>
        <v>203.47</v>
      </c>
      <c r="R393" s="285">
        <f t="shared" si="611"/>
        <v>134.16999999999999</v>
      </c>
      <c r="S393" s="285">
        <f t="shared" si="612"/>
        <v>188.55</v>
      </c>
      <c r="T393" s="285">
        <f t="shared" si="608"/>
        <v>1933.29</v>
      </c>
      <c r="U393" s="285">
        <f t="shared" si="553"/>
        <v>223916.18000000011</v>
      </c>
      <c r="V393" s="285">
        <f t="shared" si="554"/>
        <v>315624.76999999996</v>
      </c>
      <c r="W393" s="285">
        <f t="shared" si="609"/>
        <v>37659.820000000029</v>
      </c>
      <c r="X393" s="502" t="str">
        <f t="shared" si="545"/>
        <v xml:space="preserve"> </v>
      </c>
      <c r="Y393" s="285">
        <f t="shared" si="621"/>
        <v>252205.01000000018</v>
      </c>
      <c r="Z393" s="494">
        <f t="shared" si="537"/>
        <v>6.25E-2</v>
      </c>
      <c r="AA393" s="285">
        <f t="shared" si="538"/>
        <v>1630.04</v>
      </c>
      <c r="AB393" s="285">
        <f t="shared" si="622"/>
        <v>316.47000000000003</v>
      </c>
      <c r="AC393" s="285">
        <f t="shared" si="539"/>
        <v>1313.57</v>
      </c>
      <c r="AD393" s="285">
        <f t="shared" ref="AD393:AE393" si="638">+AD392</f>
        <v>134.16999999999999</v>
      </c>
      <c r="AE393" s="285">
        <f t="shared" si="638"/>
        <v>188.55</v>
      </c>
      <c r="AF393" s="285">
        <f t="shared" si="624"/>
        <v>1952.76</v>
      </c>
      <c r="AG393" s="285">
        <f t="shared" si="625"/>
        <v>79304.859999999913</v>
      </c>
      <c r="AH393" s="285">
        <f t="shared" si="626"/>
        <v>460984.7400000004</v>
      </c>
      <c r="AI393" s="512">
        <f t="shared" si="614"/>
        <v>-748.65000000003056</v>
      </c>
      <c r="AJ393" s="512">
        <f t="shared" si="566"/>
        <v>-214228.72000000015</v>
      </c>
      <c r="AK393" s="512">
        <f t="shared" si="615"/>
        <v>-214977.37000000017</v>
      </c>
      <c r="AL393" s="285">
        <f t="shared" si="627"/>
        <v>251888.54000000018</v>
      </c>
      <c r="AM393" s="425">
        <f t="shared" si="547"/>
        <v>27</v>
      </c>
      <c r="AN393" s="14">
        <f t="shared" si="616"/>
        <v>1610.57</v>
      </c>
      <c r="AO393" s="14">
        <f t="shared" si="585"/>
        <v>107582.06999999989</v>
      </c>
      <c r="AP393" s="14">
        <f t="shared" si="617"/>
        <v>1630.04</v>
      </c>
      <c r="AS393" s="14">
        <f t="shared" si="541"/>
        <v>1610.57</v>
      </c>
      <c r="AT393" s="14">
        <f t="shared" si="548"/>
        <v>396771.90999999887</v>
      </c>
      <c r="AU393" s="285">
        <f t="shared" si="549"/>
        <v>1680.4826439361693</v>
      </c>
      <c r="AV393" s="285">
        <f t="shared" si="550"/>
        <v>412297.54021840385</v>
      </c>
    </row>
    <row r="394" spans="1:48" x14ac:dyDescent="0.25">
      <c r="A394" s="502" t="str">
        <f t="shared" si="603"/>
        <v xml:space="preserve"> </v>
      </c>
      <c r="B394" s="285">
        <f t="shared" si="597"/>
        <v>0</v>
      </c>
      <c r="C394" s="14">
        <f t="shared" si="535"/>
        <v>0</v>
      </c>
      <c r="D394" s="14">
        <f t="shared" si="551"/>
        <v>0</v>
      </c>
      <c r="E394" s="14">
        <f t="shared" si="536"/>
        <v>0</v>
      </c>
      <c r="F394" s="14">
        <f t="shared" si="604"/>
        <v>134.16999999999999</v>
      </c>
      <c r="G394" s="14">
        <f t="shared" si="600"/>
        <v>188.55</v>
      </c>
      <c r="H394" s="14">
        <f t="shared" si="601"/>
        <v>322.72000000000003</v>
      </c>
      <c r="I394" s="285">
        <f t="shared" si="605"/>
        <v>97532.849999999991</v>
      </c>
      <c r="J394" s="285">
        <f t="shared" si="606"/>
        <v>64871.789999999986</v>
      </c>
      <c r="K394" s="285">
        <f t="shared" si="607"/>
        <v>0</v>
      </c>
      <c r="L394" s="425">
        <f t="shared" si="587"/>
        <v>27</v>
      </c>
      <c r="M394" s="425">
        <f t="shared" si="543"/>
        <v>335</v>
      </c>
      <c r="N394" s="285">
        <f t="shared" si="544"/>
        <v>37659.820000000029</v>
      </c>
      <c r="O394" s="285">
        <f t="shared" si="619"/>
        <v>1610.57</v>
      </c>
      <c r="P394" s="285">
        <f t="shared" si="552"/>
        <v>1414.4299999999998</v>
      </c>
      <c r="Q394" s="285">
        <f t="shared" si="620"/>
        <v>196.14</v>
      </c>
      <c r="R394" s="285">
        <f t="shared" si="611"/>
        <v>134.16999999999999</v>
      </c>
      <c r="S394" s="285">
        <f t="shared" si="612"/>
        <v>188.55</v>
      </c>
      <c r="T394" s="285">
        <f t="shared" si="608"/>
        <v>1933.2899999999997</v>
      </c>
      <c r="U394" s="285">
        <f t="shared" si="553"/>
        <v>225330.6100000001</v>
      </c>
      <c r="V394" s="285">
        <f t="shared" si="554"/>
        <v>315820.90999999997</v>
      </c>
      <c r="W394" s="285">
        <f t="shared" si="609"/>
        <v>36245.390000000029</v>
      </c>
      <c r="X394" s="502" t="str">
        <f t="shared" si="545"/>
        <v xml:space="preserve"> </v>
      </c>
      <c r="Y394" s="285">
        <f t="shared" si="621"/>
        <v>251888.54000000018</v>
      </c>
      <c r="Z394" s="494">
        <f t="shared" si="537"/>
        <v>6.25E-2</v>
      </c>
      <c r="AA394" s="285">
        <f t="shared" si="538"/>
        <v>1630.04</v>
      </c>
      <c r="AB394" s="285">
        <f t="shared" si="622"/>
        <v>318.11999999999989</v>
      </c>
      <c r="AC394" s="285">
        <f t="shared" si="539"/>
        <v>1311.92</v>
      </c>
      <c r="AD394" s="285">
        <f t="shared" ref="AD394:AE394" si="639">+AD393</f>
        <v>134.16999999999999</v>
      </c>
      <c r="AE394" s="285">
        <f t="shared" si="639"/>
        <v>188.55</v>
      </c>
      <c r="AF394" s="285">
        <f t="shared" si="624"/>
        <v>1952.76</v>
      </c>
      <c r="AG394" s="285">
        <f t="shared" si="625"/>
        <v>79622.979999999909</v>
      </c>
      <c r="AH394" s="285">
        <f t="shared" si="626"/>
        <v>462296.66000000038</v>
      </c>
      <c r="AI394" s="512">
        <f t="shared" si="614"/>
        <v>-768.12000000003059</v>
      </c>
      <c r="AJ394" s="512">
        <f t="shared" si="566"/>
        <v>-215325.03000000014</v>
      </c>
      <c r="AK394" s="512">
        <f t="shared" si="615"/>
        <v>-216093.15000000017</v>
      </c>
      <c r="AL394" s="285">
        <f t="shared" si="627"/>
        <v>251570.42000000019</v>
      </c>
      <c r="AM394" s="425">
        <f t="shared" si="547"/>
        <v>27</v>
      </c>
      <c r="AN394" s="14">
        <f t="shared" si="616"/>
        <v>1610.57</v>
      </c>
      <c r="AO394" s="14">
        <f t="shared" si="585"/>
        <v>106167.6399999999</v>
      </c>
      <c r="AP394" s="14">
        <f t="shared" si="617"/>
        <v>1630.04</v>
      </c>
      <c r="AS394" s="14">
        <f t="shared" si="541"/>
        <v>1610.57</v>
      </c>
      <c r="AT394" s="14">
        <f t="shared" si="548"/>
        <v>398382.47999999888</v>
      </c>
      <c r="AU394" s="285">
        <f t="shared" si="549"/>
        <v>1684.6838505460094</v>
      </c>
      <c r="AV394" s="285">
        <f t="shared" si="550"/>
        <v>413982.22406894987</v>
      </c>
    </row>
    <row r="395" spans="1:48" x14ac:dyDescent="0.25">
      <c r="A395" s="502" t="str">
        <f t="shared" si="603"/>
        <v xml:space="preserve"> </v>
      </c>
      <c r="B395" s="285">
        <f t="shared" si="597"/>
        <v>0</v>
      </c>
      <c r="C395" s="14">
        <f t="shared" si="535"/>
        <v>0</v>
      </c>
      <c r="D395" s="14">
        <f t="shared" si="551"/>
        <v>0</v>
      </c>
      <c r="E395" s="14">
        <f t="shared" si="536"/>
        <v>0</v>
      </c>
      <c r="F395" s="14">
        <f t="shared" si="604"/>
        <v>134.16999999999999</v>
      </c>
      <c r="G395" s="14">
        <f t="shared" si="600"/>
        <v>188.55</v>
      </c>
      <c r="H395" s="14">
        <f t="shared" si="601"/>
        <v>322.72000000000003</v>
      </c>
      <c r="I395" s="285">
        <f t="shared" si="605"/>
        <v>97532.849999999991</v>
      </c>
      <c r="J395" s="285">
        <f t="shared" si="606"/>
        <v>64871.789999999986</v>
      </c>
      <c r="K395" s="285">
        <f t="shared" si="607"/>
        <v>0</v>
      </c>
      <c r="L395" s="425">
        <f t="shared" si="587"/>
        <v>28</v>
      </c>
      <c r="M395" s="425">
        <f t="shared" si="543"/>
        <v>336</v>
      </c>
      <c r="N395" s="285">
        <f t="shared" si="544"/>
        <v>36245.390000000029</v>
      </c>
      <c r="O395" s="285">
        <f t="shared" si="619"/>
        <v>1610.57</v>
      </c>
      <c r="P395" s="285">
        <f t="shared" si="552"/>
        <v>1421.79</v>
      </c>
      <c r="Q395" s="285">
        <f t="shared" si="620"/>
        <v>188.78</v>
      </c>
      <c r="R395" s="285">
        <f t="shared" si="611"/>
        <v>134.16999999999999</v>
      </c>
      <c r="S395" s="285">
        <f t="shared" si="612"/>
        <v>188.55</v>
      </c>
      <c r="T395" s="285">
        <f t="shared" si="608"/>
        <v>1933.29</v>
      </c>
      <c r="U395" s="285">
        <f t="shared" si="553"/>
        <v>226752.40000000011</v>
      </c>
      <c r="V395" s="285">
        <f t="shared" si="554"/>
        <v>316009.69</v>
      </c>
      <c r="W395" s="285">
        <f t="shared" si="609"/>
        <v>34823.600000000028</v>
      </c>
      <c r="X395" s="502" t="str">
        <f t="shared" si="545"/>
        <v xml:space="preserve"> </v>
      </c>
      <c r="Y395" s="285">
        <f t="shared" si="621"/>
        <v>251570.42000000019</v>
      </c>
      <c r="Z395" s="494">
        <f t="shared" si="537"/>
        <v>6.25E-2</v>
      </c>
      <c r="AA395" s="285">
        <f t="shared" si="538"/>
        <v>1630.04</v>
      </c>
      <c r="AB395" s="285">
        <f t="shared" si="622"/>
        <v>319.77999999999997</v>
      </c>
      <c r="AC395" s="285">
        <f t="shared" si="539"/>
        <v>1310.26</v>
      </c>
      <c r="AD395" s="285">
        <f t="shared" ref="AD395:AE395" si="640">+AD394</f>
        <v>134.16999999999999</v>
      </c>
      <c r="AE395" s="285">
        <f t="shared" si="640"/>
        <v>188.55</v>
      </c>
      <c r="AF395" s="285">
        <f t="shared" si="624"/>
        <v>1952.76</v>
      </c>
      <c r="AG395" s="285">
        <f t="shared" si="625"/>
        <v>79942.759999999907</v>
      </c>
      <c r="AH395" s="285">
        <f t="shared" si="626"/>
        <v>463606.92000000039</v>
      </c>
      <c r="AI395" s="512">
        <f t="shared" si="614"/>
        <v>-787.59000000003061</v>
      </c>
      <c r="AJ395" s="512">
        <f t="shared" si="566"/>
        <v>-216427.04000000015</v>
      </c>
      <c r="AK395" s="512">
        <f t="shared" si="615"/>
        <v>-217214.63000000018</v>
      </c>
      <c r="AL395" s="285">
        <f t="shared" si="627"/>
        <v>251250.64000000019</v>
      </c>
      <c r="AM395" s="425">
        <f t="shared" si="547"/>
        <v>28</v>
      </c>
      <c r="AN395" s="14">
        <f t="shared" si="616"/>
        <v>1610.57</v>
      </c>
      <c r="AO395" s="14">
        <f t="shared" si="585"/>
        <v>104745.84999999989</v>
      </c>
      <c r="AP395" s="14">
        <f t="shared" si="617"/>
        <v>1630.04</v>
      </c>
      <c r="AS395" s="14">
        <f t="shared" si="541"/>
        <v>1610.57</v>
      </c>
      <c r="AT395" s="14">
        <f t="shared" si="548"/>
        <v>399993.04999999888</v>
      </c>
      <c r="AU395" s="285">
        <f t="shared" si="549"/>
        <v>1688.8955601723746</v>
      </c>
      <c r="AV395" s="285">
        <f t="shared" si="550"/>
        <v>415671.11962912226</v>
      </c>
    </row>
    <row r="396" spans="1:48" x14ac:dyDescent="0.25">
      <c r="A396" s="502" t="str">
        <f t="shared" si="603"/>
        <v xml:space="preserve"> </v>
      </c>
      <c r="B396" s="285">
        <f t="shared" si="597"/>
        <v>0</v>
      </c>
      <c r="C396" s="14">
        <f t="shared" si="535"/>
        <v>0</v>
      </c>
      <c r="D396" s="14">
        <f t="shared" si="551"/>
        <v>0</v>
      </c>
      <c r="E396" s="14">
        <f t="shared" si="536"/>
        <v>0</v>
      </c>
      <c r="F396" s="14">
        <f t="shared" si="604"/>
        <v>134.16999999999999</v>
      </c>
      <c r="G396" s="14">
        <f t="shared" si="600"/>
        <v>188.55</v>
      </c>
      <c r="H396" s="14">
        <f t="shared" si="601"/>
        <v>322.72000000000003</v>
      </c>
      <c r="I396" s="285">
        <f t="shared" si="605"/>
        <v>97532.849999999991</v>
      </c>
      <c r="J396" s="285">
        <f t="shared" si="606"/>
        <v>64871.789999999986</v>
      </c>
      <c r="K396" s="285">
        <f t="shared" si="607"/>
        <v>0</v>
      </c>
      <c r="L396" s="425">
        <f t="shared" si="587"/>
        <v>28</v>
      </c>
      <c r="M396" s="425">
        <f t="shared" si="543"/>
        <v>337</v>
      </c>
      <c r="N396" s="285">
        <f t="shared" si="544"/>
        <v>34823.600000000028</v>
      </c>
      <c r="O396" s="285">
        <f t="shared" si="619"/>
        <v>1610.57</v>
      </c>
      <c r="P396" s="285">
        <f t="shared" si="552"/>
        <v>1429.1999999999998</v>
      </c>
      <c r="Q396" s="285">
        <f t="shared" si="620"/>
        <v>181.37</v>
      </c>
      <c r="R396" s="285">
        <f t="shared" si="611"/>
        <v>134.16999999999999</v>
      </c>
      <c r="S396" s="285">
        <f t="shared" si="612"/>
        <v>188.55</v>
      </c>
      <c r="T396" s="285">
        <f t="shared" si="608"/>
        <v>1933.2899999999997</v>
      </c>
      <c r="U396" s="285">
        <f t="shared" si="553"/>
        <v>228181.60000000012</v>
      </c>
      <c r="V396" s="285">
        <f t="shared" si="554"/>
        <v>316191.06</v>
      </c>
      <c r="W396" s="285">
        <f t="shared" si="609"/>
        <v>33394.400000000031</v>
      </c>
      <c r="X396" s="502" t="str">
        <f t="shared" si="545"/>
        <v xml:space="preserve"> </v>
      </c>
      <c r="Y396" s="285">
        <f t="shared" si="621"/>
        <v>251250.64000000019</v>
      </c>
      <c r="Z396" s="494">
        <f t="shared" si="537"/>
        <v>6.25E-2</v>
      </c>
      <c r="AA396" s="285">
        <f t="shared" si="538"/>
        <v>1630.04</v>
      </c>
      <c r="AB396" s="285">
        <f t="shared" si="622"/>
        <v>321.44000000000005</v>
      </c>
      <c r="AC396" s="285">
        <f t="shared" si="539"/>
        <v>1308.5999999999999</v>
      </c>
      <c r="AD396" s="285">
        <f t="shared" ref="AD396:AE396" si="641">+AD395</f>
        <v>134.16999999999999</v>
      </c>
      <c r="AE396" s="285">
        <f t="shared" si="641"/>
        <v>188.55</v>
      </c>
      <c r="AF396" s="285">
        <f t="shared" si="624"/>
        <v>1952.76</v>
      </c>
      <c r="AG396" s="285">
        <f t="shared" si="625"/>
        <v>80264.19999999991</v>
      </c>
      <c r="AH396" s="285">
        <f t="shared" si="626"/>
        <v>464915.52000000037</v>
      </c>
      <c r="AI396" s="512">
        <f t="shared" si="614"/>
        <v>-807.06000000003064</v>
      </c>
      <c r="AJ396" s="512">
        <f t="shared" si="566"/>
        <v>-217534.80000000016</v>
      </c>
      <c r="AK396" s="512">
        <f t="shared" si="615"/>
        <v>-218341.86000000019</v>
      </c>
      <c r="AL396" s="285">
        <f t="shared" si="627"/>
        <v>250929.20000000019</v>
      </c>
      <c r="AM396" s="425">
        <f t="shared" si="547"/>
        <v>28</v>
      </c>
      <c r="AN396" s="14">
        <f t="shared" si="616"/>
        <v>1610.57</v>
      </c>
      <c r="AO396" s="14">
        <f t="shared" si="585"/>
        <v>103316.64999999988</v>
      </c>
      <c r="AP396" s="14">
        <f t="shared" si="617"/>
        <v>1630.04</v>
      </c>
      <c r="AS396" s="14">
        <f t="shared" si="541"/>
        <v>1610.57</v>
      </c>
      <c r="AT396" s="14">
        <f t="shared" si="548"/>
        <v>401603.61999999889</v>
      </c>
      <c r="AU396" s="285">
        <f t="shared" si="549"/>
        <v>1693.1177990728056</v>
      </c>
      <c r="AV396" s="285">
        <f t="shared" si="550"/>
        <v>417364.23742819508</v>
      </c>
    </row>
    <row r="397" spans="1:48" x14ac:dyDescent="0.25">
      <c r="A397" s="502" t="str">
        <f t="shared" si="603"/>
        <v xml:space="preserve"> </v>
      </c>
      <c r="B397" s="285">
        <f t="shared" si="597"/>
        <v>0</v>
      </c>
      <c r="C397" s="14">
        <f t="shared" si="535"/>
        <v>0</v>
      </c>
      <c r="D397" s="14">
        <f t="shared" si="551"/>
        <v>0</v>
      </c>
      <c r="E397" s="14">
        <f t="shared" si="536"/>
        <v>0</v>
      </c>
      <c r="F397" s="14">
        <f t="shared" si="604"/>
        <v>134.16999999999999</v>
      </c>
      <c r="G397" s="14">
        <f t="shared" si="600"/>
        <v>188.55</v>
      </c>
      <c r="H397" s="14">
        <f t="shared" si="601"/>
        <v>322.72000000000003</v>
      </c>
      <c r="I397" s="285">
        <f t="shared" si="605"/>
        <v>97532.849999999991</v>
      </c>
      <c r="J397" s="285">
        <f t="shared" si="606"/>
        <v>64871.789999999986</v>
      </c>
      <c r="K397" s="285">
        <f t="shared" si="607"/>
        <v>0</v>
      </c>
      <c r="L397" s="425">
        <f t="shared" si="587"/>
        <v>28</v>
      </c>
      <c r="M397" s="425">
        <f t="shared" si="543"/>
        <v>338</v>
      </c>
      <c r="N397" s="285">
        <f t="shared" si="544"/>
        <v>33394.400000000031</v>
      </c>
      <c r="O397" s="285">
        <f t="shared" si="619"/>
        <v>1610.57</v>
      </c>
      <c r="P397" s="285">
        <f t="shared" si="552"/>
        <v>1436.6399999999999</v>
      </c>
      <c r="Q397" s="285">
        <f t="shared" si="620"/>
        <v>173.93</v>
      </c>
      <c r="R397" s="285">
        <f t="shared" si="611"/>
        <v>134.16999999999999</v>
      </c>
      <c r="S397" s="285">
        <f t="shared" si="612"/>
        <v>188.55</v>
      </c>
      <c r="T397" s="285">
        <f t="shared" si="608"/>
        <v>1933.29</v>
      </c>
      <c r="U397" s="285">
        <f t="shared" si="553"/>
        <v>229618.24000000014</v>
      </c>
      <c r="V397" s="285">
        <f t="shared" si="554"/>
        <v>316364.99</v>
      </c>
      <c r="W397" s="285">
        <f t="shared" si="609"/>
        <v>31957.760000000031</v>
      </c>
      <c r="X397" s="502" t="str">
        <f t="shared" si="545"/>
        <v xml:space="preserve"> </v>
      </c>
      <c r="Y397" s="285">
        <f t="shared" si="621"/>
        <v>250929.20000000019</v>
      </c>
      <c r="Z397" s="494">
        <f t="shared" si="537"/>
        <v>6.25E-2</v>
      </c>
      <c r="AA397" s="285">
        <f t="shared" si="538"/>
        <v>1630.04</v>
      </c>
      <c r="AB397" s="285">
        <f t="shared" si="622"/>
        <v>323.11999999999989</v>
      </c>
      <c r="AC397" s="285">
        <f t="shared" si="539"/>
        <v>1306.92</v>
      </c>
      <c r="AD397" s="285">
        <f t="shared" ref="AD397:AE397" si="642">+AD396</f>
        <v>134.16999999999999</v>
      </c>
      <c r="AE397" s="285">
        <f t="shared" si="642"/>
        <v>188.55</v>
      </c>
      <c r="AF397" s="285">
        <f t="shared" si="624"/>
        <v>1952.76</v>
      </c>
      <c r="AG397" s="285">
        <f t="shared" si="625"/>
        <v>80587.319999999905</v>
      </c>
      <c r="AH397" s="285">
        <f t="shared" si="626"/>
        <v>466222.44000000035</v>
      </c>
      <c r="AI397" s="512">
        <f t="shared" si="614"/>
        <v>-826.53000000003067</v>
      </c>
      <c r="AJ397" s="512">
        <f t="shared" si="566"/>
        <v>-218648.32000000015</v>
      </c>
      <c r="AK397" s="512">
        <f t="shared" si="615"/>
        <v>-219474.85000000018</v>
      </c>
      <c r="AL397" s="285">
        <f t="shared" si="627"/>
        <v>250606.08000000019</v>
      </c>
      <c r="AM397" s="425">
        <f t="shared" si="547"/>
        <v>28</v>
      </c>
      <c r="AN397" s="14">
        <f t="shared" si="616"/>
        <v>1610.57</v>
      </c>
      <c r="AO397" s="14">
        <f t="shared" si="585"/>
        <v>101880.00999999986</v>
      </c>
      <c r="AP397" s="14">
        <f t="shared" si="617"/>
        <v>1630.04</v>
      </c>
      <c r="AS397" s="14">
        <f t="shared" si="541"/>
        <v>1610.57</v>
      </c>
      <c r="AT397" s="14">
        <f t="shared" si="548"/>
        <v>403214.1899999989</v>
      </c>
      <c r="AU397" s="285">
        <f t="shared" si="549"/>
        <v>1697.3505935704877</v>
      </c>
      <c r="AV397" s="285">
        <f t="shared" si="550"/>
        <v>419061.58802176558</v>
      </c>
    </row>
    <row r="398" spans="1:48" ht="15.75" thickBot="1" x14ac:dyDescent="0.3">
      <c r="A398" s="505" t="str">
        <f t="shared" si="603"/>
        <v xml:space="preserve"> </v>
      </c>
      <c r="B398" s="345">
        <f t="shared" si="597"/>
        <v>0</v>
      </c>
      <c r="C398" s="21">
        <f t="shared" si="535"/>
        <v>0</v>
      </c>
      <c r="D398" s="21">
        <f t="shared" si="551"/>
        <v>0</v>
      </c>
      <c r="E398" s="21">
        <f t="shared" si="536"/>
        <v>0</v>
      </c>
      <c r="F398" s="21">
        <f t="shared" si="604"/>
        <v>134.16999999999999</v>
      </c>
      <c r="G398" s="21">
        <f t="shared" si="600"/>
        <v>188.55</v>
      </c>
      <c r="H398" s="21">
        <f t="shared" si="601"/>
        <v>322.72000000000003</v>
      </c>
      <c r="I398" s="345">
        <f t="shared" si="605"/>
        <v>97532.849999999991</v>
      </c>
      <c r="J398" s="345">
        <f t="shared" si="606"/>
        <v>64871.789999999986</v>
      </c>
      <c r="K398" s="345">
        <f t="shared" si="607"/>
        <v>0</v>
      </c>
      <c r="L398" s="426">
        <f t="shared" si="587"/>
        <v>28</v>
      </c>
      <c r="M398" s="426">
        <f t="shared" si="543"/>
        <v>339</v>
      </c>
      <c r="N398" s="345">
        <f t="shared" si="544"/>
        <v>31957.760000000031</v>
      </c>
      <c r="O398" s="345">
        <f t="shared" si="619"/>
        <v>1610.57</v>
      </c>
      <c r="P398" s="345">
        <f t="shared" si="552"/>
        <v>1444.12</v>
      </c>
      <c r="Q398" s="345">
        <f t="shared" si="620"/>
        <v>166.45</v>
      </c>
      <c r="R398" s="345">
        <f t="shared" si="611"/>
        <v>134.16999999999999</v>
      </c>
      <c r="S398" s="345">
        <f t="shared" si="612"/>
        <v>188.55</v>
      </c>
      <c r="T398" s="345">
        <f t="shared" si="608"/>
        <v>1933.29</v>
      </c>
      <c r="U398" s="345">
        <f t="shared" si="553"/>
        <v>231062.36000000013</v>
      </c>
      <c r="V398" s="345">
        <f t="shared" si="554"/>
        <v>316531.44</v>
      </c>
      <c r="W398" s="345">
        <f t="shared" si="609"/>
        <v>30513.640000000032</v>
      </c>
      <c r="X398" s="505" t="str">
        <f t="shared" si="545"/>
        <v xml:space="preserve"> </v>
      </c>
      <c r="Y398" s="345">
        <f t="shared" si="621"/>
        <v>250606.08000000019</v>
      </c>
      <c r="Z398" s="495">
        <f t="shared" si="537"/>
        <v>6.25E-2</v>
      </c>
      <c r="AA398" s="345">
        <f t="shared" si="538"/>
        <v>1630.04</v>
      </c>
      <c r="AB398" s="345">
        <f t="shared" si="622"/>
        <v>324.79999999999995</v>
      </c>
      <c r="AC398" s="345">
        <f t="shared" si="539"/>
        <v>1305.24</v>
      </c>
      <c r="AD398" s="345">
        <f t="shared" ref="AD398:AE398" si="643">+AD397</f>
        <v>134.16999999999999</v>
      </c>
      <c r="AE398" s="345">
        <f t="shared" si="643"/>
        <v>188.55</v>
      </c>
      <c r="AF398" s="345">
        <f t="shared" si="624"/>
        <v>1952.76</v>
      </c>
      <c r="AG398" s="345">
        <f t="shared" si="625"/>
        <v>80912.119999999908</v>
      </c>
      <c r="AH398" s="345">
        <f t="shared" si="626"/>
        <v>467527.68000000034</v>
      </c>
      <c r="AI398" s="513">
        <f t="shared" si="614"/>
        <v>-846.0000000000307</v>
      </c>
      <c r="AJ398" s="513">
        <f t="shared" si="566"/>
        <v>-219767.64000000016</v>
      </c>
      <c r="AK398" s="512">
        <f t="shared" si="615"/>
        <v>-220613.64000000019</v>
      </c>
      <c r="AL398" s="345">
        <f t="shared" si="627"/>
        <v>250281.2800000002</v>
      </c>
      <c r="AM398" s="426">
        <f t="shared" si="547"/>
        <v>28</v>
      </c>
      <c r="AN398" s="21">
        <f t="shared" si="616"/>
        <v>1610.57</v>
      </c>
      <c r="AO398" s="21">
        <f t="shared" si="585"/>
        <v>100435.88999999987</v>
      </c>
      <c r="AP398" s="21">
        <f t="shared" si="617"/>
        <v>1630.04</v>
      </c>
      <c r="AQ398" s="21"/>
      <c r="AR398" s="23"/>
      <c r="AS398" s="21">
        <f t="shared" si="541"/>
        <v>1610.57</v>
      </c>
      <c r="AT398" s="21">
        <f t="shared" si="548"/>
        <v>404824.7599999989</v>
      </c>
      <c r="AU398" s="345">
        <f t="shared" si="549"/>
        <v>1701.5939700544138</v>
      </c>
      <c r="AV398" s="345">
        <f t="shared" si="550"/>
        <v>420763.18199181999</v>
      </c>
    </row>
    <row r="399" spans="1:48" x14ac:dyDescent="0.25">
      <c r="A399" s="502" t="str">
        <f t="shared" si="603"/>
        <v xml:space="preserve"> </v>
      </c>
      <c r="B399" s="285">
        <f t="shared" si="597"/>
        <v>0</v>
      </c>
      <c r="C399" s="14">
        <f t="shared" ref="C399:C462" si="644">IF(+$K398&lt;=0,0,$C$5)</f>
        <v>0</v>
      </c>
      <c r="D399" s="14">
        <f t="shared" si="551"/>
        <v>0</v>
      </c>
      <c r="E399" s="14">
        <f t="shared" ref="E399:E462" si="645">ROUND($B399*($C$3/12), 2)</f>
        <v>0</v>
      </c>
      <c r="F399" s="14">
        <f t="shared" si="604"/>
        <v>134.16999999999999</v>
      </c>
      <c r="G399" s="14">
        <f t="shared" si="600"/>
        <v>188.55</v>
      </c>
      <c r="H399" s="14">
        <f t="shared" si="601"/>
        <v>322.72000000000003</v>
      </c>
      <c r="I399" s="285">
        <f t="shared" si="605"/>
        <v>97532.849999999991</v>
      </c>
      <c r="J399" s="285">
        <f t="shared" si="606"/>
        <v>64871.789999999986</v>
      </c>
      <c r="K399" s="285">
        <f t="shared" si="607"/>
        <v>0</v>
      </c>
      <c r="L399" s="425">
        <f t="shared" si="587"/>
        <v>28</v>
      </c>
      <c r="M399" s="425">
        <f t="shared" si="543"/>
        <v>340</v>
      </c>
      <c r="N399" s="285">
        <f t="shared" si="544"/>
        <v>30513.640000000032</v>
      </c>
      <c r="O399" s="285">
        <f t="shared" si="619"/>
        <v>1610.57</v>
      </c>
      <c r="P399" s="285">
        <f t="shared" si="552"/>
        <v>1451.6399999999999</v>
      </c>
      <c r="Q399" s="285">
        <f t="shared" si="620"/>
        <v>158.93</v>
      </c>
      <c r="R399" s="285">
        <f t="shared" si="611"/>
        <v>134.16999999999999</v>
      </c>
      <c r="S399" s="285">
        <f t="shared" si="612"/>
        <v>188.55</v>
      </c>
      <c r="T399" s="285">
        <f t="shared" si="608"/>
        <v>1933.29</v>
      </c>
      <c r="U399" s="285">
        <f t="shared" si="553"/>
        <v>232514.00000000015</v>
      </c>
      <c r="V399" s="285">
        <f t="shared" si="554"/>
        <v>316690.37</v>
      </c>
      <c r="W399" s="285">
        <f t="shared" si="609"/>
        <v>29062.000000000033</v>
      </c>
      <c r="X399" s="502" t="str">
        <f t="shared" si="545"/>
        <v xml:space="preserve"> </v>
      </c>
      <c r="Y399" s="285">
        <f t="shared" si="621"/>
        <v>250281.2800000002</v>
      </c>
      <c r="Z399" s="494">
        <f t="shared" ref="Z399:Z462" si="646">IF(L399&gt;4,$AA$9,$AA$8)</f>
        <v>6.25E-2</v>
      </c>
      <c r="AA399" s="285">
        <f t="shared" ref="AA399:AA462" si="647">IF($O$9&lt;=$A399,IF(+AL398&lt;=0,0,IF(Z399=$AA$8,$Z$8,$Z$9)),0)</f>
        <v>1630.04</v>
      </c>
      <c r="AB399" s="285">
        <f t="shared" si="622"/>
        <v>326.49</v>
      </c>
      <c r="AC399" s="285">
        <f t="shared" ref="AC399:AC462" si="648">IF($O$9&lt;=$A399,ROUND(Y399*(Z399/12),2),0)</f>
        <v>1303.55</v>
      </c>
      <c r="AD399" s="285">
        <f t="shared" ref="AD399:AE399" si="649">+AD398</f>
        <v>134.16999999999999</v>
      </c>
      <c r="AE399" s="285">
        <f t="shared" si="649"/>
        <v>188.55</v>
      </c>
      <c r="AF399" s="285">
        <f t="shared" si="624"/>
        <v>1952.76</v>
      </c>
      <c r="AG399" s="285">
        <f t="shared" si="625"/>
        <v>81238.609999999913</v>
      </c>
      <c r="AH399" s="285">
        <f t="shared" si="626"/>
        <v>468831.23000000033</v>
      </c>
      <c r="AI399" s="512">
        <f t="shared" si="614"/>
        <v>-865.47000000003072</v>
      </c>
      <c r="AJ399" s="512">
        <f t="shared" si="566"/>
        <v>-220892.79000000018</v>
      </c>
      <c r="AK399" s="512">
        <f t="shared" si="615"/>
        <v>-221758.26000000021</v>
      </c>
      <c r="AL399" s="285">
        <f t="shared" si="627"/>
        <v>249954.79000000021</v>
      </c>
      <c r="AM399" s="425">
        <f t="shared" si="547"/>
        <v>28</v>
      </c>
      <c r="AN399" s="14">
        <f t="shared" si="616"/>
        <v>1610.57</v>
      </c>
      <c r="AO399" s="14">
        <f t="shared" si="585"/>
        <v>98984.249999999854</v>
      </c>
      <c r="AP399" s="14">
        <f t="shared" si="617"/>
        <v>1630.04</v>
      </c>
      <c r="AS399" s="14">
        <f t="shared" ref="AS399:AS462" si="650">+AN399-AR399</f>
        <v>1610.57</v>
      </c>
      <c r="AT399" s="14">
        <f t="shared" si="548"/>
        <v>406435.32999999891</v>
      </c>
      <c r="AU399" s="285">
        <f t="shared" si="549"/>
        <v>1705.84795497955</v>
      </c>
      <c r="AV399" s="285">
        <f t="shared" si="550"/>
        <v>422469.02994679956</v>
      </c>
    </row>
    <row r="400" spans="1:48" x14ac:dyDescent="0.25">
      <c r="A400" s="502" t="str">
        <f t="shared" si="603"/>
        <v xml:space="preserve"> </v>
      </c>
      <c r="B400" s="285">
        <f t="shared" si="597"/>
        <v>0</v>
      </c>
      <c r="C400" s="14">
        <f t="shared" si="644"/>
        <v>0</v>
      </c>
      <c r="D400" s="14">
        <f t="shared" si="551"/>
        <v>0</v>
      </c>
      <c r="E400" s="14">
        <f t="shared" si="645"/>
        <v>0</v>
      </c>
      <c r="F400" s="14">
        <f t="shared" si="604"/>
        <v>134.16999999999999</v>
      </c>
      <c r="G400" s="14">
        <f t="shared" si="600"/>
        <v>188.55</v>
      </c>
      <c r="H400" s="14">
        <f t="shared" si="601"/>
        <v>322.72000000000003</v>
      </c>
      <c r="I400" s="285">
        <f t="shared" si="605"/>
        <v>97532.849999999991</v>
      </c>
      <c r="J400" s="285">
        <f t="shared" si="606"/>
        <v>64871.789999999986</v>
      </c>
      <c r="K400" s="285">
        <f t="shared" si="607"/>
        <v>0</v>
      </c>
      <c r="L400" s="425">
        <f t="shared" si="587"/>
        <v>28</v>
      </c>
      <c r="M400" s="425">
        <f t="shared" ref="M400:M463" si="651">IF(N400&lt;&gt;"",IF(N400=$O$5,0,+M399+1),0)</f>
        <v>341</v>
      </c>
      <c r="N400" s="285">
        <f t="shared" ref="N400:N417" si="652">IF(+W399&lt;0,0,+W399)</f>
        <v>29062.000000000033</v>
      </c>
      <c r="O400" s="285">
        <f t="shared" si="619"/>
        <v>1610.57</v>
      </c>
      <c r="P400" s="285">
        <f t="shared" si="552"/>
        <v>1459.21</v>
      </c>
      <c r="Q400" s="285">
        <f t="shared" si="620"/>
        <v>151.36000000000001</v>
      </c>
      <c r="R400" s="285">
        <f t="shared" si="611"/>
        <v>134.16999999999999</v>
      </c>
      <c r="S400" s="285">
        <f t="shared" si="612"/>
        <v>188.55</v>
      </c>
      <c r="T400" s="285">
        <f t="shared" si="608"/>
        <v>1933.2900000000002</v>
      </c>
      <c r="U400" s="285">
        <f t="shared" si="553"/>
        <v>233973.21000000014</v>
      </c>
      <c r="V400" s="285">
        <f t="shared" si="554"/>
        <v>316841.73</v>
      </c>
      <c r="W400" s="285">
        <f t="shared" si="609"/>
        <v>27602.790000000034</v>
      </c>
      <c r="X400" s="502" t="str">
        <f t="shared" ref="X400:X463" si="653">+A400</f>
        <v xml:space="preserve"> </v>
      </c>
      <c r="Y400" s="285">
        <f t="shared" si="621"/>
        <v>249954.79000000021</v>
      </c>
      <c r="Z400" s="494">
        <f t="shared" si="646"/>
        <v>6.25E-2</v>
      </c>
      <c r="AA400" s="285">
        <f t="shared" si="647"/>
        <v>1630.04</v>
      </c>
      <c r="AB400" s="285">
        <f t="shared" si="622"/>
        <v>328.19000000000005</v>
      </c>
      <c r="AC400" s="285">
        <f t="shared" si="648"/>
        <v>1301.8499999999999</v>
      </c>
      <c r="AD400" s="285">
        <f t="shared" ref="AD400:AE400" si="654">+AD399</f>
        <v>134.16999999999999</v>
      </c>
      <c r="AE400" s="285">
        <f t="shared" si="654"/>
        <v>188.55</v>
      </c>
      <c r="AF400" s="285">
        <f t="shared" si="624"/>
        <v>1952.76</v>
      </c>
      <c r="AG400" s="285">
        <f t="shared" si="625"/>
        <v>81566.799999999916</v>
      </c>
      <c r="AH400" s="285">
        <f t="shared" si="626"/>
        <v>470133.08000000031</v>
      </c>
      <c r="AI400" s="512">
        <f t="shared" si="614"/>
        <v>-884.94000000003075</v>
      </c>
      <c r="AJ400" s="512">
        <f t="shared" si="566"/>
        <v>-222023.81000000017</v>
      </c>
      <c r="AK400" s="512">
        <f t="shared" si="615"/>
        <v>-222908.7500000002</v>
      </c>
      <c r="AL400" s="285">
        <f t="shared" si="627"/>
        <v>249626.60000000021</v>
      </c>
      <c r="AM400" s="425">
        <f t="shared" ref="AM400:AM463" si="655">+L400</f>
        <v>28</v>
      </c>
      <c r="AN400" s="14">
        <f t="shared" si="616"/>
        <v>1610.57</v>
      </c>
      <c r="AO400" s="14">
        <f t="shared" si="585"/>
        <v>97525.039999999863</v>
      </c>
      <c r="AP400" s="14">
        <f t="shared" si="617"/>
        <v>1630.04</v>
      </c>
      <c r="AS400" s="14">
        <f t="shared" si="650"/>
        <v>1610.57</v>
      </c>
      <c r="AT400" s="14">
        <f t="shared" ref="AT400:AT463" si="656">IF(W400&lt;=0,0,+AS400+AT399)</f>
        <v>408045.89999999892</v>
      </c>
      <c r="AU400" s="285">
        <f t="shared" ref="AU400:AU463" si="657">IF(W400&lt;=0,0,+($O$5+AV399)*$AQ$2/12)</f>
        <v>1710.112574866999</v>
      </c>
      <c r="AV400" s="285">
        <f t="shared" ref="AV400:AV463" si="658">IF(W400&lt;=0,0,+AV399+AU400)</f>
        <v>424179.14252166654</v>
      </c>
    </row>
    <row r="401" spans="1:48" x14ac:dyDescent="0.25">
      <c r="A401" s="502" t="str">
        <f t="shared" si="603"/>
        <v xml:space="preserve"> </v>
      </c>
      <c r="B401" s="285">
        <f t="shared" si="597"/>
        <v>0</v>
      </c>
      <c r="C401" s="14">
        <f t="shared" si="644"/>
        <v>0</v>
      </c>
      <c r="D401" s="14">
        <f t="shared" ref="D401:D464" si="659">+C401-E401</f>
        <v>0</v>
      </c>
      <c r="E401" s="14">
        <f t="shared" si="645"/>
        <v>0</v>
      </c>
      <c r="F401" s="14">
        <f t="shared" si="604"/>
        <v>134.16999999999999</v>
      </c>
      <c r="G401" s="14">
        <f t="shared" si="600"/>
        <v>188.55</v>
      </c>
      <c r="H401" s="14">
        <f t="shared" si="601"/>
        <v>322.72000000000003</v>
      </c>
      <c r="I401" s="285">
        <f t="shared" si="605"/>
        <v>97532.849999999991</v>
      </c>
      <c r="J401" s="285">
        <f t="shared" si="606"/>
        <v>64871.789999999986</v>
      </c>
      <c r="K401" s="285">
        <f t="shared" si="607"/>
        <v>0</v>
      </c>
      <c r="L401" s="425">
        <f t="shared" si="587"/>
        <v>28</v>
      </c>
      <c r="M401" s="425">
        <f t="shared" si="651"/>
        <v>342</v>
      </c>
      <c r="N401" s="285">
        <f t="shared" si="652"/>
        <v>27602.790000000034</v>
      </c>
      <c r="O401" s="285">
        <f t="shared" si="619"/>
        <v>1610.57</v>
      </c>
      <c r="P401" s="285">
        <f t="shared" ref="P401:P464" si="660">+O401-Q401</f>
        <v>1466.81</v>
      </c>
      <c r="Q401" s="285">
        <f t="shared" si="620"/>
        <v>143.76</v>
      </c>
      <c r="R401" s="285">
        <f t="shared" si="611"/>
        <v>134.16999999999999</v>
      </c>
      <c r="S401" s="285">
        <f t="shared" si="612"/>
        <v>188.55</v>
      </c>
      <c r="T401" s="285">
        <f t="shared" si="608"/>
        <v>1933.29</v>
      </c>
      <c r="U401" s="285">
        <f t="shared" ref="U401:U464" si="661">+P401+U400</f>
        <v>235440.02000000014</v>
      </c>
      <c r="V401" s="285">
        <f t="shared" ref="V401:V464" si="662">+V400+Q401</f>
        <v>316985.49</v>
      </c>
      <c r="W401" s="285">
        <f t="shared" si="609"/>
        <v>26135.980000000032</v>
      </c>
      <c r="X401" s="502" t="str">
        <f t="shared" si="653"/>
        <v xml:space="preserve"> </v>
      </c>
      <c r="Y401" s="285">
        <f t="shared" si="621"/>
        <v>249626.60000000021</v>
      </c>
      <c r="Z401" s="494">
        <f t="shared" si="646"/>
        <v>6.25E-2</v>
      </c>
      <c r="AA401" s="285">
        <f t="shared" si="647"/>
        <v>1630.04</v>
      </c>
      <c r="AB401" s="285">
        <f t="shared" si="622"/>
        <v>329.89999999999986</v>
      </c>
      <c r="AC401" s="285">
        <f t="shared" si="648"/>
        <v>1300.1400000000001</v>
      </c>
      <c r="AD401" s="285">
        <f t="shared" ref="AD401:AE401" si="663">+AD400</f>
        <v>134.16999999999999</v>
      </c>
      <c r="AE401" s="285">
        <f t="shared" si="663"/>
        <v>188.55</v>
      </c>
      <c r="AF401" s="285">
        <f t="shared" si="624"/>
        <v>1952.76</v>
      </c>
      <c r="AG401" s="285">
        <f t="shared" si="625"/>
        <v>81896.69999999991</v>
      </c>
      <c r="AH401" s="285">
        <f t="shared" si="626"/>
        <v>471433.22000000032</v>
      </c>
      <c r="AI401" s="512">
        <f t="shared" si="614"/>
        <v>-904.41000000003078</v>
      </c>
      <c r="AJ401" s="512">
        <f t="shared" si="566"/>
        <v>-223160.72000000018</v>
      </c>
      <c r="AK401" s="512">
        <f t="shared" si="615"/>
        <v>-224065.13000000021</v>
      </c>
      <c r="AL401" s="285">
        <f t="shared" si="627"/>
        <v>249296.70000000022</v>
      </c>
      <c r="AM401" s="425">
        <f t="shared" si="655"/>
        <v>28</v>
      </c>
      <c r="AN401" s="14">
        <f t="shared" si="616"/>
        <v>1610.57</v>
      </c>
      <c r="AO401" s="14">
        <f t="shared" si="585"/>
        <v>96058.229999999865</v>
      </c>
      <c r="AP401" s="14">
        <f t="shared" si="617"/>
        <v>1630.04</v>
      </c>
      <c r="AS401" s="14">
        <f t="shared" si="650"/>
        <v>1610.57</v>
      </c>
      <c r="AT401" s="14">
        <f t="shared" si="656"/>
        <v>409656.46999999892</v>
      </c>
      <c r="AU401" s="285">
        <f t="shared" si="657"/>
        <v>1714.3878563041665</v>
      </c>
      <c r="AV401" s="285">
        <f t="shared" si="658"/>
        <v>425893.53037797072</v>
      </c>
    </row>
    <row r="402" spans="1:48" x14ac:dyDescent="0.25">
      <c r="A402" s="502" t="str">
        <f t="shared" si="603"/>
        <v xml:space="preserve"> </v>
      </c>
      <c r="B402" s="285">
        <f t="shared" si="597"/>
        <v>0</v>
      </c>
      <c r="C402" s="14">
        <f t="shared" si="644"/>
        <v>0</v>
      </c>
      <c r="D402" s="14">
        <f t="shared" si="659"/>
        <v>0</v>
      </c>
      <c r="E402" s="14">
        <f t="shared" si="645"/>
        <v>0</v>
      </c>
      <c r="F402" s="14">
        <f t="shared" si="604"/>
        <v>134.16999999999999</v>
      </c>
      <c r="G402" s="14">
        <f t="shared" si="600"/>
        <v>188.55</v>
      </c>
      <c r="H402" s="14">
        <f t="shared" si="601"/>
        <v>322.72000000000003</v>
      </c>
      <c r="I402" s="285">
        <f t="shared" si="605"/>
        <v>97532.849999999991</v>
      </c>
      <c r="J402" s="285">
        <f t="shared" si="606"/>
        <v>64871.789999999986</v>
      </c>
      <c r="K402" s="285">
        <f t="shared" si="607"/>
        <v>0</v>
      </c>
      <c r="L402" s="425">
        <f t="shared" si="587"/>
        <v>28</v>
      </c>
      <c r="M402" s="425">
        <f t="shared" si="651"/>
        <v>343</v>
      </c>
      <c r="N402" s="285">
        <f t="shared" si="652"/>
        <v>26135.980000000032</v>
      </c>
      <c r="O402" s="285">
        <f t="shared" si="619"/>
        <v>1610.57</v>
      </c>
      <c r="P402" s="285">
        <f t="shared" si="660"/>
        <v>1474.4499999999998</v>
      </c>
      <c r="Q402" s="285">
        <f t="shared" si="620"/>
        <v>136.12</v>
      </c>
      <c r="R402" s="285">
        <f t="shared" si="611"/>
        <v>134.16999999999999</v>
      </c>
      <c r="S402" s="285">
        <f t="shared" si="612"/>
        <v>188.55</v>
      </c>
      <c r="T402" s="285">
        <f t="shared" si="608"/>
        <v>1933.2899999999997</v>
      </c>
      <c r="U402" s="285">
        <f t="shared" si="661"/>
        <v>236914.47000000015</v>
      </c>
      <c r="V402" s="285">
        <f t="shared" si="662"/>
        <v>317121.61</v>
      </c>
      <c r="W402" s="285">
        <f t="shared" si="609"/>
        <v>24661.530000000032</v>
      </c>
      <c r="X402" s="502" t="str">
        <f t="shared" si="653"/>
        <v xml:space="preserve"> </v>
      </c>
      <c r="Y402" s="285">
        <f t="shared" si="621"/>
        <v>249296.70000000022</v>
      </c>
      <c r="Z402" s="494">
        <f t="shared" si="646"/>
        <v>6.25E-2</v>
      </c>
      <c r="AA402" s="285">
        <f t="shared" si="647"/>
        <v>1630.04</v>
      </c>
      <c r="AB402" s="285">
        <f t="shared" si="622"/>
        <v>331.61999999999989</v>
      </c>
      <c r="AC402" s="285">
        <f t="shared" si="648"/>
        <v>1298.42</v>
      </c>
      <c r="AD402" s="285">
        <f t="shared" ref="AD402:AE402" si="664">+AD401</f>
        <v>134.16999999999999</v>
      </c>
      <c r="AE402" s="285">
        <f t="shared" si="664"/>
        <v>188.55</v>
      </c>
      <c r="AF402" s="285">
        <f t="shared" si="624"/>
        <v>1952.76</v>
      </c>
      <c r="AG402" s="285">
        <f t="shared" si="625"/>
        <v>82228.319999999905</v>
      </c>
      <c r="AH402" s="285">
        <f t="shared" si="626"/>
        <v>472731.64000000031</v>
      </c>
      <c r="AI402" s="512">
        <f t="shared" si="614"/>
        <v>-923.8800000000308</v>
      </c>
      <c r="AJ402" s="512">
        <f t="shared" si="566"/>
        <v>-224303.55000000019</v>
      </c>
      <c r="AK402" s="512">
        <f t="shared" si="615"/>
        <v>-225227.43000000023</v>
      </c>
      <c r="AL402" s="285">
        <f t="shared" si="627"/>
        <v>248965.08000000022</v>
      </c>
      <c r="AM402" s="425">
        <f t="shared" si="655"/>
        <v>28</v>
      </c>
      <c r="AN402" s="14">
        <f t="shared" si="616"/>
        <v>1610.57</v>
      </c>
      <c r="AO402" s="14">
        <f t="shared" si="585"/>
        <v>94583.779999999853</v>
      </c>
      <c r="AP402" s="14">
        <f t="shared" si="617"/>
        <v>1630.04</v>
      </c>
      <c r="AS402" s="14">
        <f t="shared" si="650"/>
        <v>1610.57</v>
      </c>
      <c r="AT402" s="14">
        <f t="shared" si="656"/>
        <v>411267.03999999893</v>
      </c>
      <c r="AU402" s="285">
        <f t="shared" si="657"/>
        <v>1718.6738259449269</v>
      </c>
      <c r="AV402" s="285">
        <f t="shared" si="658"/>
        <v>427612.20420391567</v>
      </c>
    </row>
    <row r="403" spans="1:48" x14ac:dyDescent="0.25">
      <c r="A403" s="502" t="str">
        <f t="shared" si="603"/>
        <v xml:space="preserve"> </v>
      </c>
      <c r="B403" s="285">
        <f t="shared" si="597"/>
        <v>0</v>
      </c>
      <c r="C403" s="14">
        <f t="shared" si="644"/>
        <v>0</v>
      </c>
      <c r="D403" s="14">
        <f t="shared" si="659"/>
        <v>0</v>
      </c>
      <c r="E403" s="14">
        <f t="shared" si="645"/>
        <v>0</v>
      </c>
      <c r="F403" s="14">
        <f t="shared" si="604"/>
        <v>134.16999999999999</v>
      </c>
      <c r="G403" s="14">
        <f t="shared" si="600"/>
        <v>188.55</v>
      </c>
      <c r="H403" s="14">
        <f t="shared" si="601"/>
        <v>322.72000000000003</v>
      </c>
      <c r="I403" s="285">
        <f t="shared" si="605"/>
        <v>97532.849999999991</v>
      </c>
      <c r="J403" s="285">
        <f t="shared" si="606"/>
        <v>64871.789999999986</v>
      </c>
      <c r="K403" s="285">
        <f t="shared" si="607"/>
        <v>0</v>
      </c>
      <c r="L403" s="425">
        <f t="shared" si="587"/>
        <v>28</v>
      </c>
      <c r="M403" s="425">
        <f t="shared" si="651"/>
        <v>344</v>
      </c>
      <c r="N403" s="285">
        <f t="shared" si="652"/>
        <v>24661.530000000032</v>
      </c>
      <c r="O403" s="285">
        <f t="shared" si="619"/>
        <v>1610.57</v>
      </c>
      <c r="P403" s="285">
        <f t="shared" si="660"/>
        <v>1482.12</v>
      </c>
      <c r="Q403" s="285">
        <f t="shared" si="620"/>
        <v>128.44999999999999</v>
      </c>
      <c r="R403" s="285">
        <f t="shared" si="611"/>
        <v>134.16999999999999</v>
      </c>
      <c r="S403" s="285">
        <f t="shared" si="612"/>
        <v>188.55</v>
      </c>
      <c r="T403" s="285">
        <f t="shared" si="608"/>
        <v>1933.29</v>
      </c>
      <c r="U403" s="285">
        <f t="shared" si="661"/>
        <v>238396.59000000014</v>
      </c>
      <c r="V403" s="285">
        <f t="shared" si="662"/>
        <v>317250.06</v>
      </c>
      <c r="W403" s="285">
        <f t="shared" si="609"/>
        <v>23179.410000000033</v>
      </c>
      <c r="X403" s="502" t="str">
        <f t="shared" si="653"/>
        <v xml:space="preserve"> </v>
      </c>
      <c r="Y403" s="285">
        <f t="shared" si="621"/>
        <v>248965.08000000022</v>
      </c>
      <c r="Z403" s="494">
        <f t="shared" si="646"/>
        <v>6.25E-2</v>
      </c>
      <c r="AA403" s="285">
        <f t="shared" si="647"/>
        <v>1630.04</v>
      </c>
      <c r="AB403" s="285">
        <f t="shared" si="622"/>
        <v>333.34999999999991</v>
      </c>
      <c r="AC403" s="285">
        <f t="shared" si="648"/>
        <v>1296.69</v>
      </c>
      <c r="AD403" s="285">
        <f t="shared" ref="AD403:AE403" si="665">+AD402</f>
        <v>134.16999999999999</v>
      </c>
      <c r="AE403" s="285">
        <f t="shared" si="665"/>
        <v>188.55</v>
      </c>
      <c r="AF403" s="285">
        <f t="shared" si="624"/>
        <v>1952.76</v>
      </c>
      <c r="AG403" s="285">
        <f t="shared" si="625"/>
        <v>82561.669999999911</v>
      </c>
      <c r="AH403" s="285">
        <f t="shared" si="626"/>
        <v>474028.33000000031</v>
      </c>
      <c r="AI403" s="512">
        <f t="shared" si="614"/>
        <v>-943.35000000003083</v>
      </c>
      <c r="AJ403" s="512">
        <f t="shared" si="566"/>
        <v>-225452.32000000018</v>
      </c>
      <c r="AK403" s="512">
        <f t="shared" si="615"/>
        <v>-226395.67000000022</v>
      </c>
      <c r="AL403" s="285">
        <f t="shared" si="627"/>
        <v>248631.73000000021</v>
      </c>
      <c r="AM403" s="425">
        <f t="shared" si="655"/>
        <v>28</v>
      </c>
      <c r="AN403" s="14">
        <f t="shared" si="616"/>
        <v>1610.57</v>
      </c>
      <c r="AO403" s="14">
        <f t="shared" si="585"/>
        <v>93101.659999999858</v>
      </c>
      <c r="AP403" s="14">
        <f t="shared" si="617"/>
        <v>1630.04</v>
      </c>
      <c r="AS403" s="14">
        <f t="shared" si="650"/>
        <v>1610.57</v>
      </c>
      <c r="AT403" s="14">
        <f t="shared" si="656"/>
        <v>412877.60999999894</v>
      </c>
      <c r="AU403" s="285">
        <f t="shared" si="657"/>
        <v>1722.9705105097892</v>
      </c>
      <c r="AV403" s="285">
        <f t="shared" si="658"/>
        <v>429335.17471442546</v>
      </c>
    </row>
    <row r="404" spans="1:48" x14ac:dyDescent="0.25">
      <c r="A404" s="502" t="str">
        <f t="shared" si="603"/>
        <v xml:space="preserve"> </v>
      </c>
      <c r="B404" s="285">
        <f t="shared" si="597"/>
        <v>0</v>
      </c>
      <c r="C404" s="14">
        <f t="shared" si="644"/>
        <v>0</v>
      </c>
      <c r="D404" s="14">
        <f t="shared" si="659"/>
        <v>0</v>
      </c>
      <c r="E404" s="14">
        <f t="shared" si="645"/>
        <v>0</v>
      </c>
      <c r="F404" s="14">
        <f t="shared" si="604"/>
        <v>134.16999999999999</v>
      </c>
      <c r="G404" s="14">
        <f t="shared" si="600"/>
        <v>188.55</v>
      </c>
      <c r="H404" s="14">
        <f t="shared" si="601"/>
        <v>322.72000000000003</v>
      </c>
      <c r="I404" s="285">
        <f t="shared" si="605"/>
        <v>97532.849999999991</v>
      </c>
      <c r="J404" s="285">
        <f t="shared" si="606"/>
        <v>64871.789999999986</v>
      </c>
      <c r="K404" s="285">
        <f t="shared" si="607"/>
        <v>0</v>
      </c>
      <c r="L404" s="425">
        <f t="shared" si="587"/>
        <v>28</v>
      </c>
      <c r="M404" s="425">
        <f t="shared" si="651"/>
        <v>345</v>
      </c>
      <c r="N404" s="285">
        <f t="shared" si="652"/>
        <v>23179.410000000033</v>
      </c>
      <c r="O404" s="285">
        <f t="shared" si="619"/>
        <v>1610.57</v>
      </c>
      <c r="P404" s="285">
        <f t="shared" si="660"/>
        <v>1489.84</v>
      </c>
      <c r="Q404" s="285">
        <f t="shared" si="620"/>
        <v>120.73</v>
      </c>
      <c r="R404" s="285">
        <f t="shared" si="611"/>
        <v>134.16999999999999</v>
      </c>
      <c r="S404" s="285">
        <f t="shared" si="612"/>
        <v>188.55</v>
      </c>
      <c r="T404" s="285">
        <f t="shared" si="608"/>
        <v>1933.29</v>
      </c>
      <c r="U404" s="285">
        <f t="shared" si="661"/>
        <v>239886.43000000014</v>
      </c>
      <c r="V404" s="285">
        <f t="shared" si="662"/>
        <v>317370.78999999998</v>
      </c>
      <c r="W404" s="285">
        <f t="shared" si="609"/>
        <v>21689.570000000032</v>
      </c>
      <c r="X404" s="502" t="str">
        <f t="shared" si="653"/>
        <v xml:space="preserve"> </v>
      </c>
      <c r="Y404" s="285">
        <f t="shared" si="621"/>
        <v>248631.73000000021</v>
      </c>
      <c r="Z404" s="494">
        <f t="shared" si="646"/>
        <v>6.25E-2</v>
      </c>
      <c r="AA404" s="285">
        <f t="shared" si="647"/>
        <v>1630.04</v>
      </c>
      <c r="AB404" s="285">
        <f t="shared" si="622"/>
        <v>335.07999999999993</v>
      </c>
      <c r="AC404" s="285">
        <f t="shared" si="648"/>
        <v>1294.96</v>
      </c>
      <c r="AD404" s="285">
        <f t="shared" ref="AD404:AE404" si="666">+AD403</f>
        <v>134.16999999999999</v>
      </c>
      <c r="AE404" s="285">
        <f t="shared" si="666"/>
        <v>188.55</v>
      </c>
      <c r="AF404" s="285">
        <f t="shared" si="624"/>
        <v>1952.76</v>
      </c>
      <c r="AG404" s="285">
        <f t="shared" si="625"/>
        <v>82896.749999999913</v>
      </c>
      <c r="AH404" s="285">
        <f t="shared" si="626"/>
        <v>475323.29000000033</v>
      </c>
      <c r="AI404" s="512">
        <f t="shared" si="614"/>
        <v>-962.82000000003086</v>
      </c>
      <c r="AJ404" s="512">
        <f t="shared" si="566"/>
        <v>-226607.08000000019</v>
      </c>
      <c r="AK404" s="512">
        <f t="shared" si="615"/>
        <v>-227569.90000000023</v>
      </c>
      <c r="AL404" s="285">
        <f t="shared" si="627"/>
        <v>248296.65000000023</v>
      </c>
      <c r="AM404" s="425">
        <f t="shared" si="655"/>
        <v>28</v>
      </c>
      <c r="AN404" s="14">
        <f t="shared" si="616"/>
        <v>1610.57</v>
      </c>
      <c r="AO404" s="14">
        <f t="shared" si="585"/>
        <v>91611.819999999861</v>
      </c>
      <c r="AP404" s="14">
        <f t="shared" si="617"/>
        <v>1630.04</v>
      </c>
      <c r="AS404" s="14">
        <f t="shared" si="650"/>
        <v>1610.57</v>
      </c>
      <c r="AT404" s="14">
        <f t="shared" si="656"/>
        <v>414488.17999999895</v>
      </c>
      <c r="AU404" s="285">
        <f t="shared" si="657"/>
        <v>1727.2779367860637</v>
      </c>
      <c r="AV404" s="285">
        <f t="shared" si="658"/>
        <v>431062.45265121153</v>
      </c>
    </row>
    <row r="405" spans="1:48" x14ac:dyDescent="0.25">
      <c r="A405" s="502" t="str">
        <f t="shared" si="603"/>
        <v xml:space="preserve"> </v>
      </c>
      <c r="B405" s="285">
        <f t="shared" si="597"/>
        <v>0</v>
      </c>
      <c r="C405" s="14">
        <f t="shared" si="644"/>
        <v>0</v>
      </c>
      <c r="D405" s="14">
        <f t="shared" si="659"/>
        <v>0</v>
      </c>
      <c r="E405" s="14">
        <f t="shared" si="645"/>
        <v>0</v>
      </c>
      <c r="F405" s="14">
        <f t="shared" si="604"/>
        <v>134.16999999999999</v>
      </c>
      <c r="G405" s="14">
        <f t="shared" si="600"/>
        <v>188.55</v>
      </c>
      <c r="H405" s="14">
        <f t="shared" si="601"/>
        <v>322.72000000000003</v>
      </c>
      <c r="I405" s="285">
        <f t="shared" si="605"/>
        <v>97532.849999999991</v>
      </c>
      <c r="J405" s="285">
        <f t="shared" si="606"/>
        <v>64871.789999999986</v>
      </c>
      <c r="K405" s="285">
        <f t="shared" si="607"/>
        <v>0</v>
      </c>
      <c r="L405" s="425">
        <f t="shared" si="587"/>
        <v>28</v>
      </c>
      <c r="M405" s="425">
        <f t="shared" si="651"/>
        <v>346</v>
      </c>
      <c r="N405" s="285">
        <f t="shared" si="652"/>
        <v>21689.570000000032</v>
      </c>
      <c r="O405" s="285">
        <f t="shared" si="619"/>
        <v>1610.57</v>
      </c>
      <c r="P405" s="285">
        <f t="shared" si="660"/>
        <v>1497.6</v>
      </c>
      <c r="Q405" s="285">
        <f t="shared" si="620"/>
        <v>112.97</v>
      </c>
      <c r="R405" s="285">
        <f t="shared" si="611"/>
        <v>134.16999999999999</v>
      </c>
      <c r="S405" s="285">
        <f t="shared" si="612"/>
        <v>188.55</v>
      </c>
      <c r="T405" s="285">
        <f t="shared" si="608"/>
        <v>1933.29</v>
      </c>
      <c r="U405" s="285">
        <f t="shared" si="661"/>
        <v>241384.03000000014</v>
      </c>
      <c r="V405" s="285">
        <f t="shared" si="662"/>
        <v>317483.75999999995</v>
      </c>
      <c r="W405" s="285">
        <f t="shared" si="609"/>
        <v>20191.970000000034</v>
      </c>
      <c r="X405" s="502" t="str">
        <f t="shared" si="653"/>
        <v xml:space="preserve"> </v>
      </c>
      <c r="Y405" s="285">
        <f t="shared" si="621"/>
        <v>248296.65000000023</v>
      </c>
      <c r="Z405" s="494">
        <f t="shared" si="646"/>
        <v>6.25E-2</v>
      </c>
      <c r="AA405" s="285">
        <f t="shared" si="647"/>
        <v>1630.04</v>
      </c>
      <c r="AB405" s="285">
        <f t="shared" si="622"/>
        <v>336.82999999999993</v>
      </c>
      <c r="AC405" s="285">
        <f t="shared" si="648"/>
        <v>1293.21</v>
      </c>
      <c r="AD405" s="285">
        <f t="shared" ref="AD405:AE405" si="667">+AD404</f>
        <v>134.16999999999999</v>
      </c>
      <c r="AE405" s="285">
        <f t="shared" si="667"/>
        <v>188.55</v>
      </c>
      <c r="AF405" s="285">
        <f t="shared" si="624"/>
        <v>1952.76</v>
      </c>
      <c r="AG405" s="285">
        <f t="shared" si="625"/>
        <v>83233.579999999914</v>
      </c>
      <c r="AH405" s="285">
        <f t="shared" si="626"/>
        <v>476616.50000000035</v>
      </c>
      <c r="AI405" s="512">
        <f t="shared" si="614"/>
        <v>-982.29000000003089</v>
      </c>
      <c r="AJ405" s="512">
        <f t="shared" si="566"/>
        <v>-227767.85000000021</v>
      </c>
      <c r="AK405" s="512">
        <f t="shared" si="615"/>
        <v>-228750.14000000025</v>
      </c>
      <c r="AL405" s="285">
        <f t="shared" si="627"/>
        <v>247959.82000000024</v>
      </c>
      <c r="AM405" s="425">
        <f t="shared" si="655"/>
        <v>28</v>
      </c>
      <c r="AN405" s="14">
        <f t="shared" si="616"/>
        <v>1610.57</v>
      </c>
      <c r="AO405" s="14">
        <f t="shared" si="585"/>
        <v>90114.219999999856</v>
      </c>
      <c r="AP405" s="14">
        <f t="shared" si="617"/>
        <v>1630.04</v>
      </c>
      <c r="AS405" s="14">
        <f t="shared" si="650"/>
        <v>1610.57</v>
      </c>
      <c r="AT405" s="14">
        <f t="shared" si="656"/>
        <v>416098.74999999895</v>
      </c>
      <c r="AU405" s="285">
        <f t="shared" si="657"/>
        <v>1731.5961316280288</v>
      </c>
      <c r="AV405" s="285">
        <f t="shared" si="658"/>
        <v>432794.04878283956</v>
      </c>
    </row>
    <row r="406" spans="1:48" x14ac:dyDescent="0.25">
      <c r="A406" s="502" t="str">
        <f t="shared" si="603"/>
        <v xml:space="preserve"> </v>
      </c>
      <c r="B406" s="285">
        <f t="shared" si="597"/>
        <v>0</v>
      </c>
      <c r="C406" s="14">
        <f t="shared" si="644"/>
        <v>0</v>
      </c>
      <c r="D406" s="14">
        <f t="shared" si="659"/>
        <v>0</v>
      </c>
      <c r="E406" s="14">
        <f t="shared" si="645"/>
        <v>0</v>
      </c>
      <c r="F406" s="14">
        <f t="shared" si="604"/>
        <v>134.16999999999999</v>
      </c>
      <c r="G406" s="14">
        <f t="shared" si="600"/>
        <v>188.55</v>
      </c>
      <c r="H406" s="14">
        <f t="shared" si="601"/>
        <v>322.72000000000003</v>
      </c>
      <c r="I406" s="285">
        <f t="shared" si="605"/>
        <v>97532.849999999991</v>
      </c>
      <c r="J406" s="285">
        <f t="shared" si="606"/>
        <v>64871.789999999986</v>
      </c>
      <c r="K406" s="285">
        <f t="shared" si="607"/>
        <v>0</v>
      </c>
      <c r="L406" s="425">
        <f t="shared" si="587"/>
        <v>28</v>
      </c>
      <c r="M406" s="425">
        <f t="shared" si="651"/>
        <v>347</v>
      </c>
      <c r="N406" s="285">
        <f t="shared" si="652"/>
        <v>20191.970000000034</v>
      </c>
      <c r="O406" s="285">
        <f t="shared" si="619"/>
        <v>1610.57</v>
      </c>
      <c r="P406" s="285">
        <f t="shared" si="660"/>
        <v>1505.3999999999999</v>
      </c>
      <c r="Q406" s="285">
        <f t="shared" si="620"/>
        <v>105.17</v>
      </c>
      <c r="R406" s="285">
        <f t="shared" si="611"/>
        <v>134.16999999999999</v>
      </c>
      <c r="S406" s="285">
        <f t="shared" si="612"/>
        <v>188.55</v>
      </c>
      <c r="T406" s="285">
        <f t="shared" si="608"/>
        <v>1933.29</v>
      </c>
      <c r="U406" s="285">
        <f t="shared" si="661"/>
        <v>242889.43000000014</v>
      </c>
      <c r="V406" s="285">
        <f t="shared" si="662"/>
        <v>317588.92999999993</v>
      </c>
      <c r="W406" s="285">
        <f t="shared" si="609"/>
        <v>18686.570000000032</v>
      </c>
      <c r="X406" s="502" t="str">
        <f t="shared" si="653"/>
        <v xml:space="preserve"> </v>
      </c>
      <c r="Y406" s="285">
        <f t="shared" si="621"/>
        <v>247959.82000000024</v>
      </c>
      <c r="Z406" s="494">
        <f t="shared" si="646"/>
        <v>6.25E-2</v>
      </c>
      <c r="AA406" s="285">
        <f t="shared" si="647"/>
        <v>1630.04</v>
      </c>
      <c r="AB406" s="285">
        <f t="shared" si="622"/>
        <v>338.57999999999993</v>
      </c>
      <c r="AC406" s="285">
        <f t="shared" si="648"/>
        <v>1291.46</v>
      </c>
      <c r="AD406" s="285">
        <f t="shared" ref="AD406:AE406" si="668">+AD405</f>
        <v>134.16999999999999</v>
      </c>
      <c r="AE406" s="285">
        <f t="shared" si="668"/>
        <v>188.55</v>
      </c>
      <c r="AF406" s="285">
        <f t="shared" si="624"/>
        <v>1952.76</v>
      </c>
      <c r="AG406" s="285">
        <f t="shared" si="625"/>
        <v>83572.159999999916</v>
      </c>
      <c r="AH406" s="285">
        <f t="shared" si="626"/>
        <v>477907.96000000037</v>
      </c>
      <c r="AI406" s="512">
        <f t="shared" si="614"/>
        <v>-1001.7600000000309</v>
      </c>
      <c r="AJ406" s="512">
        <f t="shared" si="566"/>
        <v>-228934.67000000022</v>
      </c>
      <c r="AK406" s="512">
        <f t="shared" si="615"/>
        <v>-229936.43000000025</v>
      </c>
      <c r="AL406" s="285">
        <f t="shared" si="627"/>
        <v>247621.24000000025</v>
      </c>
      <c r="AM406" s="425">
        <f t="shared" si="655"/>
        <v>28</v>
      </c>
      <c r="AN406" s="14">
        <f t="shared" si="616"/>
        <v>1610.57</v>
      </c>
      <c r="AO406" s="14">
        <f t="shared" si="585"/>
        <v>88608.819999999861</v>
      </c>
      <c r="AP406" s="14">
        <f t="shared" si="617"/>
        <v>1630.04</v>
      </c>
      <c r="AS406" s="14">
        <f t="shared" si="650"/>
        <v>1610.57</v>
      </c>
      <c r="AT406" s="14">
        <f t="shared" si="656"/>
        <v>417709.31999999896</v>
      </c>
      <c r="AU406" s="285">
        <f t="shared" si="657"/>
        <v>1735.9251219570988</v>
      </c>
      <c r="AV406" s="285">
        <f t="shared" si="658"/>
        <v>434529.97390479664</v>
      </c>
    </row>
    <row r="407" spans="1:48" x14ac:dyDescent="0.25">
      <c r="A407" s="502" t="str">
        <f t="shared" si="603"/>
        <v xml:space="preserve"> </v>
      </c>
      <c r="B407" s="285">
        <f t="shared" si="597"/>
        <v>0</v>
      </c>
      <c r="C407" s="14">
        <f t="shared" si="644"/>
        <v>0</v>
      </c>
      <c r="D407" s="14">
        <f t="shared" si="659"/>
        <v>0</v>
      </c>
      <c r="E407" s="14">
        <f t="shared" si="645"/>
        <v>0</v>
      </c>
      <c r="F407" s="14">
        <f t="shared" si="604"/>
        <v>134.16999999999999</v>
      </c>
      <c r="G407" s="14">
        <f t="shared" si="600"/>
        <v>188.55</v>
      </c>
      <c r="H407" s="14">
        <f t="shared" si="601"/>
        <v>322.72000000000003</v>
      </c>
      <c r="I407" s="285">
        <f t="shared" si="605"/>
        <v>97532.849999999991</v>
      </c>
      <c r="J407" s="285">
        <f t="shared" si="606"/>
        <v>64871.789999999986</v>
      </c>
      <c r="K407" s="285">
        <f t="shared" si="607"/>
        <v>0</v>
      </c>
      <c r="L407" s="425">
        <f t="shared" si="587"/>
        <v>29</v>
      </c>
      <c r="M407" s="425">
        <f t="shared" si="651"/>
        <v>348</v>
      </c>
      <c r="N407" s="285">
        <f t="shared" si="652"/>
        <v>18686.570000000032</v>
      </c>
      <c r="O407" s="285">
        <f t="shared" si="619"/>
        <v>1610.57</v>
      </c>
      <c r="P407" s="285">
        <f t="shared" si="660"/>
        <v>1513.24</v>
      </c>
      <c r="Q407" s="285">
        <f t="shared" si="620"/>
        <v>97.33</v>
      </c>
      <c r="R407" s="285">
        <f t="shared" si="611"/>
        <v>134.16999999999999</v>
      </c>
      <c r="S407" s="285">
        <f t="shared" si="612"/>
        <v>188.55</v>
      </c>
      <c r="T407" s="285">
        <f t="shared" si="608"/>
        <v>1933.29</v>
      </c>
      <c r="U407" s="285">
        <f t="shared" si="661"/>
        <v>244402.67000000013</v>
      </c>
      <c r="V407" s="285">
        <f t="shared" si="662"/>
        <v>317686.25999999995</v>
      </c>
      <c r="W407" s="285">
        <f t="shared" si="609"/>
        <v>17173.330000000031</v>
      </c>
      <c r="X407" s="502" t="str">
        <f t="shared" si="653"/>
        <v xml:space="preserve"> </v>
      </c>
      <c r="Y407" s="285">
        <f t="shared" si="621"/>
        <v>247621.24000000025</v>
      </c>
      <c r="Z407" s="494">
        <f t="shared" si="646"/>
        <v>6.25E-2</v>
      </c>
      <c r="AA407" s="285">
        <f t="shared" si="647"/>
        <v>1630.04</v>
      </c>
      <c r="AB407" s="285">
        <f t="shared" si="622"/>
        <v>340.34999999999991</v>
      </c>
      <c r="AC407" s="285">
        <f t="shared" si="648"/>
        <v>1289.69</v>
      </c>
      <c r="AD407" s="285">
        <f t="shared" ref="AD407:AE407" si="669">+AD406</f>
        <v>134.16999999999999</v>
      </c>
      <c r="AE407" s="285">
        <f t="shared" si="669"/>
        <v>188.55</v>
      </c>
      <c r="AF407" s="285">
        <f t="shared" si="624"/>
        <v>1952.76</v>
      </c>
      <c r="AG407" s="285">
        <f t="shared" si="625"/>
        <v>83912.509999999922</v>
      </c>
      <c r="AH407" s="285">
        <f t="shared" si="626"/>
        <v>479197.65000000037</v>
      </c>
      <c r="AI407" s="512">
        <f t="shared" si="614"/>
        <v>-1021.2300000000309</v>
      </c>
      <c r="AJ407" s="512">
        <f t="shared" si="566"/>
        <v>-230107.56000000023</v>
      </c>
      <c r="AK407" s="512">
        <f t="shared" si="615"/>
        <v>-231128.79000000027</v>
      </c>
      <c r="AL407" s="285">
        <f t="shared" si="627"/>
        <v>247280.89000000025</v>
      </c>
      <c r="AM407" s="425">
        <f t="shared" si="655"/>
        <v>29</v>
      </c>
      <c r="AN407" s="14">
        <f t="shared" si="616"/>
        <v>1610.57</v>
      </c>
      <c r="AO407" s="14">
        <f t="shared" si="585"/>
        <v>87095.579999999871</v>
      </c>
      <c r="AP407" s="14">
        <f t="shared" si="617"/>
        <v>1630.04</v>
      </c>
      <c r="AS407" s="14">
        <f t="shared" si="650"/>
        <v>1610.57</v>
      </c>
      <c r="AT407" s="14">
        <f t="shared" si="656"/>
        <v>419319.88999999897</v>
      </c>
      <c r="AU407" s="285">
        <f t="shared" si="657"/>
        <v>1740.2649347619915</v>
      </c>
      <c r="AV407" s="285">
        <f t="shared" si="658"/>
        <v>436270.23883955862</v>
      </c>
    </row>
    <row r="408" spans="1:48" x14ac:dyDescent="0.25">
      <c r="A408" s="502" t="str">
        <f t="shared" si="603"/>
        <v xml:space="preserve"> </v>
      </c>
      <c r="B408" s="285">
        <f t="shared" si="597"/>
        <v>0</v>
      </c>
      <c r="C408" s="14">
        <f t="shared" si="644"/>
        <v>0</v>
      </c>
      <c r="D408" s="14">
        <f t="shared" si="659"/>
        <v>0</v>
      </c>
      <c r="E408" s="14">
        <f t="shared" si="645"/>
        <v>0</v>
      </c>
      <c r="F408" s="14">
        <f t="shared" si="604"/>
        <v>134.16999999999999</v>
      </c>
      <c r="G408" s="14">
        <f t="shared" si="600"/>
        <v>188.55</v>
      </c>
      <c r="H408" s="14">
        <f t="shared" si="601"/>
        <v>322.72000000000003</v>
      </c>
      <c r="I408" s="285">
        <f t="shared" si="605"/>
        <v>97532.849999999991</v>
      </c>
      <c r="J408" s="285">
        <f t="shared" si="606"/>
        <v>64871.789999999986</v>
      </c>
      <c r="K408" s="285">
        <f t="shared" si="607"/>
        <v>0</v>
      </c>
      <c r="L408" s="425">
        <f t="shared" si="587"/>
        <v>29</v>
      </c>
      <c r="M408" s="425">
        <f t="shared" si="651"/>
        <v>349</v>
      </c>
      <c r="N408" s="285">
        <f t="shared" si="652"/>
        <v>17173.330000000031</v>
      </c>
      <c r="O408" s="285">
        <f t="shared" si="619"/>
        <v>1610.57</v>
      </c>
      <c r="P408" s="285">
        <f t="shared" si="660"/>
        <v>1521.1299999999999</v>
      </c>
      <c r="Q408" s="285">
        <f t="shared" si="620"/>
        <v>89.44</v>
      </c>
      <c r="R408" s="285">
        <f t="shared" si="611"/>
        <v>134.16999999999999</v>
      </c>
      <c r="S408" s="285">
        <f t="shared" si="612"/>
        <v>188.55</v>
      </c>
      <c r="T408" s="285">
        <f t="shared" si="608"/>
        <v>1933.29</v>
      </c>
      <c r="U408" s="285">
        <f t="shared" si="661"/>
        <v>245923.80000000013</v>
      </c>
      <c r="V408" s="285">
        <f t="shared" si="662"/>
        <v>317775.69999999995</v>
      </c>
      <c r="W408" s="285">
        <f t="shared" si="609"/>
        <v>15652.200000000032</v>
      </c>
      <c r="X408" s="502" t="str">
        <f t="shared" si="653"/>
        <v xml:space="preserve"> </v>
      </c>
      <c r="Y408" s="285">
        <f t="shared" si="621"/>
        <v>247280.89000000025</v>
      </c>
      <c r="Z408" s="494">
        <f t="shared" si="646"/>
        <v>6.25E-2</v>
      </c>
      <c r="AA408" s="285">
        <f t="shared" si="647"/>
        <v>1630.04</v>
      </c>
      <c r="AB408" s="285">
        <f t="shared" si="622"/>
        <v>342.11999999999989</v>
      </c>
      <c r="AC408" s="285">
        <f t="shared" si="648"/>
        <v>1287.92</v>
      </c>
      <c r="AD408" s="285">
        <f t="shared" ref="AD408:AE408" si="670">+AD407</f>
        <v>134.16999999999999</v>
      </c>
      <c r="AE408" s="285">
        <f t="shared" si="670"/>
        <v>188.55</v>
      </c>
      <c r="AF408" s="285">
        <f t="shared" si="624"/>
        <v>1952.76</v>
      </c>
      <c r="AG408" s="285">
        <f t="shared" si="625"/>
        <v>84254.629999999917</v>
      </c>
      <c r="AH408" s="285">
        <f t="shared" si="626"/>
        <v>480485.57000000036</v>
      </c>
      <c r="AI408" s="512">
        <f t="shared" si="614"/>
        <v>-1040.700000000031</v>
      </c>
      <c r="AJ408" s="512">
        <f t="shared" si="566"/>
        <v>-231286.57000000021</v>
      </c>
      <c r="AK408" s="512">
        <f t="shared" si="615"/>
        <v>-232327.27000000025</v>
      </c>
      <c r="AL408" s="285">
        <f t="shared" si="627"/>
        <v>246938.77000000025</v>
      </c>
      <c r="AM408" s="425">
        <f t="shared" si="655"/>
        <v>29</v>
      </c>
      <c r="AN408" s="14">
        <f t="shared" si="616"/>
        <v>1610.57</v>
      </c>
      <c r="AO408" s="14">
        <f t="shared" si="585"/>
        <v>85574.449999999866</v>
      </c>
      <c r="AP408" s="14">
        <f t="shared" si="617"/>
        <v>1630.04</v>
      </c>
      <c r="AS408" s="14">
        <f t="shared" si="650"/>
        <v>1610.57</v>
      </c>
      <c r="AT408" s="14">
        <f t="shared" si="656"/>
        <v>420930.45999999897</v>
      </c>
      <c r="AU408" s="285">
        <f t="shared" si="657"/>
        <v>1744.6155970988964</v>
      </c>
      <c r="AV408" s="285">
        <f t="shared" si="658"/>
        <v>438014.85443665751</v>
      </c>
    </row>
    <row r="409" spans="1:48" x14ac:dyDescent="0.25">
      <c r="A409" s="502" t="str">
        <f t="shared" si="603"/>
        <v xml:space="preserve"> </v>
      </c>
      <c r="B409" s="285">
        <f t="shared" si="597"/>
        <v>0</v>
      </c>
      <c r="C409" s="14">
        <f t="shared" si="644"/>
        <v>0</v>
      </c>
      <c r="D409" s="14">
        <f t="shared" si="659"/>
        <v>0</v>
      </c>
      <c r="E409" s="14">
        <f t="shared" si="645"/>
        <v>0</v>
      </c>
      <c r="F409" s="14">
        <f t="shared" si="604"/>
        <v>134.16999999999999</v>
      </c>
      <c r="G409" s="14">
        <f t="shared" si="600"/>
        <v>188.55</v>
      </c>
      <c r="H409" s="14">
        <f t="shared" si="601"/>
        <v>322.72000000000003</v>
      </c>
      <c r="I409" s="285">
        <f t="shared" si="605"/>
        <v>97532.849999999991</v>
      </c>
      <c r="J409" s="285">
        <f t="shared" si="606"/>
        <v>64871.789999999986</v>
      </c>
      <c r="K409" s="285">
        <f t="shared" si="607"/>
        <v>0</v>
      </c>
      <c r="L409" s="425">
        <f t="shared" si="587"/>
        <v>29</v>
      </c>
      <c r="M409" s="425">
        <f t="shared" si="651"/>
        <v>350</v>
      </c>
      <c r="N409" s="285">
        <f t="shared" si="652"/>
        <v>15652.200000000032</v>
      </c>
      <c r="O409" s="285">
        <f t="shared" si="619"/>
        <v>1610.57</v>
      </c>
      <c r="P409" s="285">
        <f t="shared" si="660"/>
        <v>1529.05</v>
      </c>
      <c r="Q409" s="285">
        <f t="shared" si="620"/>
        <v>81.52</v>
      </c>
      <c r="R409" s="285">
        <f t="shared" si="611"/>
        <v>134.16999999999999</v>
      </c>
      <c r="S409" s="285">
        <f t="shared" si="612"/>
        <v>188.55</v>
      </c>
      <c r="T409" s="285">
        <f t="shared" si="608"/>
        <v>1933.29</v>
      </c>
      <c r="U409" s="285">
        <f t="shared" si="661"/>
        <v>247452.85000000012</v>
      </c>
      <c r="V409" s="285">
        <f t="shared" si="662"/>
        <v>317857.21999999997</v>
      </c>
      <c r="W409" s="285">
        <f t="shared" si="609"/>
        <v>14123.150000000032</v>
      </c>
      <c r="X409" s="502" t="str">
        <f t="shared" si="653"/>
        <v xml:space="preserve"> </v>
      </c>
      <c r="Y409" s="285">
        <f t="shared" si="621"/>
        <v>246938.77000000025</v>
      </c>
      <c r="Z409" s="494">
        <f t="shared" si="646"/>
        <v>6.25E-2</v>
      </c>
      <c r="AA409" s="285">
        <f t="shared" si="647"/>
        <v>1630.04</v>
      </c>
      <c r="AB409" s="285">
        <f t="shared" si="622"/>
        <v>343.89999999999986</v>
      </c>
      <c r="AC409" s="285">
        <f t="shared" si="648"/>
        <v>1286.1400000000001</v>
      </c>
      <c r="AD409" s="285">
        <f t="shared" ref="AD409:AE409" si="671">+AD408</f>
        <v>134.16999999999999</v>
      </c>
      <c r="AE409" s="285">
        <f t="shared" si="671"/>
        <v>188.55</v>
      </c>
      <c r="AF409" s="285">
        <f t="shared" si="624"/>
        <v>1952.76</v>
      </c>
      <c r="AG409" s="285">
        <f t="shared" si="625"/>
        <v>84598.529999999912</v>
      </c>
      <c r="AH409" s="285">
        <f t="shared" si="626"/>
        <v>481771.71000000037</v>
      </c>
      <c r="AI409" s="512">
        <f t="shared" si="614"/>
        <v>-1060.170000000031</v>
      </c>
      <c r="AJ409" s="512">
        <f t="shared" si="566"/>
        <v>-232471.72000000023</v>
      </c>
      <c r="AK409" s="512">
        <f t="shared" si="615"/>
        <v>-233531.89000000028</v>
      </c>
      <c r="AL409" s="285">
        <f t="shared" si="627"/>
        <v>246594.87000000026</v>
      </c>
      <c r="AM409" s="425">
        <f t="shared" si="655"/>
        <v>29</v>
      </c>
      <c r="AN409" s="14">
        <f t="shared" si="616"/>
        <v>1610.57</v>
      </c>
      <c r="AO409" s="14">
        <f t="shared" si="585"/>
        <v>84045.399999999878</v>
      </c>
      <c r="AP409" s="14">
        <f t="shared" si="617"/>
        <v>1630.04</v>
      </c>
      <c r="AS409" s="14">
        <f t="shared" si="650"/>
        <v>1610.57</v>
      </c>
      <c r="AT409" s="14">
        <f t="shared" si="656"/>
        <v>422541.02999999898</v>
      </c>
      <c r="AU409" s="285">
        <f t="shared" si="657"/>
        <v>1748.9771360916438</v>
      </c>
      <c r="AV409" s="285">
        <f t="shared" si="658"/>
        <v>439763.83157274913</v>
      </c>
    </row>
    <row r="410" spans="1:48" ht="15.75" thickBot="1" x14ac:dyDescent="0.3">
      <c r="A410" s="505" t="str">
        <f t="shared" si="603"/>
        <v xml:space="preserve"> </v>
      </c>
      <c r="B410" s="345">
        <f t="shared" si="597"/>
        <v>0</v>
      </c>
      <c r="C410" s="21">
        <f t="shared" si="644"/>
        <v>0</v>
      </c>
      <c r="D410" s="21">
        <f t="shared" si="659"/>
        <v>0</v>
      </c>
      <c r="E410" s="21">
        <f t="shared" si="645"/>
        <v>0</v>
      </c>
      <c r="F410" s="21">
        <f t="shared" si="604"/>
        <v>134.16999999999999</v>
      </c>
      <c r="G410" s="21">
        <f t="shared" si="600"/>
        <v>188.55</v>
      </c>
      <c r="H410" s="21">
        <f t="shared" si="601"/>
        <v>322.72000000000003</v>
      </c>
      <c r="I410" s="345">
        <f t="shared" si="605"/>
        <v>97532.849999999991</v>
      </c>
      <c r="J410" s="345">
        <f t="shared" si="606"/>
        <v>64871.789999999986</v>
      </c>
      <c r="K410" s="345">
        <f t="shared" si="607"/>
        <v>0</v>
      </c>
      <c r="L410" s="426">
        <f t="shared" si="587"/>
        <v>29</v>
      </c>
      <c r="M410" s="426">
        <f t="shared" si="651"/>
        <v>351</v>
      </c>
      <c r="N410" s="345">
        <f t="shared" si="652"/>
        <v>14123.150000000032</v>
      </c>
      <c r="O410" s="345">
        <f t="shared" si="619"/>
        <v>1610.57</v>
      </c>
      <c r="P410" s="345">
        <f t="shared" si="660"/>
        <v>1537.01</v>
      </c>
      <c r="Q410" s="345">
        <f t="shared" si="620"/>
        <v>73.56</v>
      </c>
      <c r="R410" s="345">
        <f t="shared" si="611"/>
        <v>134.16999999999999</v>
      </c>
      <c r="S410" s="345">
        <f t="shared" si="612"/>
        <v>188.55</v>
      </c>
      <c r="T410" s="345">
        <f t="shared" si="608"/>
        <v>1933.29</v>
      </c>
      <c r="U410" s="345">
        <f t="shared" si="661"/>
        <v>248989.86000000013</v>
      </c>
      <c r="V410" s="345">
        <f t="shared" si="662"/>
        <v>317930.77999999997</v>
      </c>
      <c r="W410" s="345">
        <f t="shared" si="609"/>
        <v>12586.140000000032</v>
      </c>
      <c r="X410" s="505" t="str">
        <f t="shared" si="653"/>
        <v xml:space="preserve"> </v>
      </c>
      <c r="Y410" s="345">
        <f t="shared" si="621"/>
        <v>246594.87000000026</v>
      </c>
      <c r="Z410" s="495">
        <f t="shared" si="646"/>
        <v>6.25E-2</v>
      </c>
      <c r="AA410" s="345">
        <f t="shared" si="647"/>
        <v>1630.04</v>
      </c>
      <c r="AB410" s="345">
        <f t="shared" si="622"/>
        <v>345.69000000000005</v>
      </c>
      <c r="AC410" s="345">
        <f t="shared" si="648"/>
        <v>1284.3499999999999</v>
      </c>
      <c r="AD410" s="345">
        <f t="shared" ref="AD410:AE410" si="672">+AD409</f>
        <v>134.16999999999999</v>
      </c>
      <c r="AE410" s="345">
        <f t="shared" si="672"/>
        <v>188.55</v>
      </c>
      <c r="AF410" s="345">
        <f t="shared" si="624"/>
        <v>1952.76</v>
      </c>
      <c r="AG410" s="345">
        <f t="shared" si="625"/>
        <v>84944.219999999914</v>
      </c>
      <c r="AH410" s="345">
        <f t="shared" si="626"/>
        <v>483056.06000000035</v>
      </c>
      <c r="AI410" s="513">
        <f t="shared" si="614"/>
        <v>-1079.640000000031</v>
      </c>
      <c r="AJ410" s="513">
        <f t="shared" si="566"/>
        <v>-233663.04000000021</v>
      </c>
      <c r="AK410" s="512">
        <f t="shared" si="615"/>
        <v>-234742.68000000025</v>
      </c>
      <c r="AL410" s="345">
        <f t="shared" si="627"/>
        <v>246249.18000000025</v>
      </c>
      <c r="AM410" s="426">
        <f t="shared" si="655"/>
        <v>29</v>
      </c>
      <c r="AN410" s="21">
        <f t="shared" si="616"/>
        <v>1610.57</v>
      </c>
      <c r="AO410" s="21">
        <f t="shared" si="585"/>
        <v>82508.389999999868</v>
      </c>
      <c r="AP410" s="21">
        <f t="shared" si="617"/>
        <v>1630.04</v>
      </c>
      <c r="AQ410" s="21"/>
      <c r="AR410" s="23"/>
      <c r="AS410" s="21">
        <f t="shared" si="650"/>
        <v>1610.57</v>
      </c>
      <c r="AT410" s="21">
        <f t="shared" si="656"/>
        <v>424151.59999999899</v>
      </c>
      <c r="AU410" s="345">
        <f t="shared" si="657"/>
        <v>1753.3495789318729</v>
      </c>
      <c r="AV410" s="345">
        <f t="shared" si="658"/>
        <v>441517.181151681</v>
      </c>
    </row>
    <row r="411" spans="1:48" x14ac:dyDescent="0.25">
      <c r="A411" s="502" t="str">
        <f t="shared" si="603"/>
        <v xml:space="preserve"> </v>
      </c>
      <c r="B411" s="285">
        <f t="shared" si="597"/>
        <v>0</v>
      </c>
      <c r="C411" s="14">
        <f t="shared" si="644"/>
        <v>0</v>
      </c>
      <c r="D411" s="14">
        <f t="shared" si="659"/>
        <v>0</v>
      </c>
      <c r="E411" s="14">
        <f t="shared" si="645"/>
        <v>0</v>
      </c>
      <c r="F411" s="14">
        <f t="shared" si="604"/>
        <v>134.16999999999999</v>
      </c>
      <c r="G411" s="14">
        <f t="shared" si="600"/>
        <v>188.55</v>
      </c>
      <c r="H411" s="14">
        <f t="shared" si="601"/>
        <v>322.72000000000003</v>
      </c>
      <c r="I411" s="285">
        <f t="shared" si="605"/>
        <v>97532.849999999991</v>
      </c>
      <c r="J411" s="285">
        <f t="shared" si="606"/>
        <v>64871.789999999986</v>
      </c>
      <c r="K411" s="285">
        <f t="shared" si="607"/>
        <v>0</v>
      </c>
      <c r="L411" s="425">
        <f t="shared" si="587"/>
        <v>29</v>
      </c>
      <c r="M411" s="425">
        <f t="shared" si="651"/>
        <v>352</v>
      </c>
      <c r="N411" s="285">
        <f t="shared" si="652"/>
        <v>12586.140000000032</v>
      </c>
      <c r="O411" s="285">
        <f t="shared" si="619"/>
        <v>1610.57</v>
      </c>
      <c r="P411" s="285">
        <f t="shared" si="660"/>
        <v>1545.02</v>
      </c>
      <c r="Q411" s="285">
        <f t="shared" si="620"/>
        <v>65.55</v>
      </c>
      <c r="R411" s="285">
        <f t="shared" si="611"/>
        <v>134.16999999999999</v>
      </c>
      <c r="S411" s="285">
        <f t="shared" si="612"/>
        <v>188.55</v>
      </c>
      <c r="T411" s="285">
        <f t="shared" si="608"/>
        <v>1933.29</v>
      </c>
      <c r="U411" s="285">
        <f t="shared" si="661"/>
        <v>250534.88000000012</v>
      </c>
      <c r="V411" s="285">
        <f t="shared" si="662"/>
        <v>317996.32999999996</v>
      </c>
      <c r="W411" s="285">
        <f t="shared" si="609"/>
        <v>11041.120000000032</v>
      </c>
      <c r="X411" s="502" t="str">
        <f t="shared" si="653"/>
        <v xml:space="preserve"> </v>
      </c>
      <c r="Y411" s="285">
        <f t="shared" si="621"/>
        <v>246249.18000000025</v>
      </c>
      <c r="Z411" s="494">
        <f t="shared" si="646"/>
        <v>6.25E-2</v>
      </c>
      <c r="AA411" s="285">
        <f t="shared" si="647"/>
        <v>1630.04</v>
      </c>
      <c r="AB411" s="285">
        <f t="shared" si="622"/>
        <v>347.49</v>
      </c>
      <c r="AC411" s="285">
        <f t="shared" si="648"/>
        <v>1282.55</v>
      </c>
      <c r="AD411" s="285">
        <f t="shared" ref="AD411:AE411" si="673">+AD410</f>
        <v>134.16999999999999</v>
      </c>
      <c r="AE411" s="285">
        <f t="shared" si="673"/>
        <v>188.55</v>
      </c>
      <c r="AF411" s="285">
        <f t="shared" si="624"/>
        <v>1952.76</v>
      </c>
      <c r="AG411" s="285">
        <f t="shared" si="625"/>
        <v>85291.709999999919</v>
      </c>
      <c r="AH411" s="285">
        <f t="shared" si="626"/>
        <v>484338.61000000034</v>
      </c>
      <c r="AI411" s="512">
        <f t="shared" si="614"/>
        <v>-1099.1100000000311</v>
      </c>
      <c r="AJ411" s="512">
        <f t="shared" ref="AJ411:AJ474" si="674">+W411-AL411</f>
        <v>-234860.57000000024</v>
      </c>
      <c r="AK411" s="512">
        <f t="shared" si="615"/>
        <v>-235959.68000000028</v>
      </c>
      <c r="AL411" s="285">
        <f t="shared" si="627"/>
        <v>245901.69000000026</v>
      </c>
      <c r="AM411" s="425">
        <f t="shared" si="655"/>
        <v>29</v>
      </c>
      <c r="AN411" s="14">
        <f t="shared" si="616"/>
        <v>1610.57</v>
      </c>
      <c r="AO411" s="14">
        <f t="shared" si="585"/>
        <v>80963.369999999879</v>
      </c>
      <c r="AP411" s="14">
        <f t="shared" si="617"/>
        <v>1630.04</v>
      </c>
      <c r="AS411" s="14">
        <f t="shared" si="650"/>
        <v>1610.57</v>
      </c>
      <c r="AT411" s="14">
        <f t="shared" si="656"/>
        <v>425762.16999999899</v>
      </c>
      <c r="AU411" s="285">
        <f t="shared" si="657"/>
        <v>1757.7329528792025</v>
      </c>
      <c r="AV411" s="285">
        <f t="shared" si="658"/>
        <v>443274.91410456022</v>
      </c>
    </row>
    <row r="412" spans="1:48" x14ac:dyDescent="0.25">
      <c r="A412" s="502" t="str">
        <f t="shared" si="603"/>
        <v xml:space="preserve"> </v>
      </c>
      <c r="B412" s="285">
        <f t="shared" si="597"/>
        <v>0</v>
      </c>
      <c r="C412" s="14">
        <f t="shared" si="644"/>
        <v>0</v>
      </c>
      <c r="D412" s="14">
        <f t="shared" si="659"/>
        <v>0</v>
      </c>
      <c r="E412" s="14">
        <f t="shared" si="645"/>
        <v>0</v>
      </c>
      <c r="F412" s="14">
        <f t="shared" si="604"/>
        <v>134.16999999999999</v>
      </c>
      <c r="G412" s="14">
        <f t="shared" si="600"/>
        <v>188.55</v>
      </c>
      <c r="H412" s="14">
        <f t="shared" si="601"/>
        <v>322.72000000000003</v>
      </c>
      <c r="I412" s="285">
        <f t="shared" si="605"/>
        <v>97532.849999999991</v>
      </c>
      <c r="J412" s="285">
        <f t="shared" si="606"/>
        <v>64871.789999999986</v>
      </c>
      <c r="K412" s="285">
        <f t="shared" si="607"/>
        <v>0</v>
      </c>
      <c r="L412" s="425">
        <f t="shared" si="587"/>
        <v>29</v>
      </c>
      <c r="M412" s="425">
        <f t="shared" si="651"/>
        <v>353</v>
      </c>
      <c r="N412" s="285">
        <f t="shared" si="652"/>
        <v>11041.120000000032</v>
      </c>
      <c r="O412" s="285">
        <f t="shared" si="619"/>
        <v>1610.57</v>
      </c>
      <c r="P412" s="285">
        <f t="shared" si="660"/>
        <v>1553.06</v>
      </c>
      <c r="Q412" s="285">
        <f t="shared" si="620"/>
        <v>57.51</v>
      </c>
      <c r="R412" s="285">
        <f t="shared" si="611"/>
        <v>134.16999999999999</v>
      </c>
      <c r="S412" s="285">
        <f t="shared" si="612"/>
        <v>188.55</v>
      </c>
      <c r="T412" s="285">
        <f t="shared" si="608"/>
        <v>1933.29</v>
      </c>
      <c r="U412" s="285">
        <f t="shared" si="661"/>
        <v>252087.94000000012</v>
      </c>
      <c r="V412" s="285">
        <f t="shared" si="662"/>
        <v>318053.83999999997</v>
      </c>
      <c r="W412" s="285">
        <f t="shared" si="609"/>
        <v>9488.0600000000322</v>
      </c>
      <c r="X412" s="502" t="str">
        <f t="shared" si="653"/>
        <v xml:space="preserve"> </v>
      </c>
      <c r="Y412" s="285">
        <f t="shared" si="621"/>
        <v>245901.69000000026</v>
      </c>
      <c r="Z412" s="494">
        <f t="shared" si="646"/>
        <v>6.25E-2</v>
      </c>
      <c r="AA412" s="285">
        <f t="shared" si="647"/>
        <v>1630.04</v>
      </c>
      <c r="AB412" s="285">
        <f t="shared" si="622"/>
        <v>349.29999999999995</v>
      </c>
      <c r="AC412" s="285">
        <f t="shared" si="648"/>
        <v>1280.74</v>
      </c>
      <c r="AD412" s="285">
        <f t="shared" ref="AD412:AE412" si="675">+AD411</f>
        <v>134.16999999999999</v>
      </c>
      <c r="AE412" s="285">
        <f t="shared" si="675"/>
        <v>188.55</v>
      </c>
      <c r="AF412" s="285">
        <f t="shared" si="624"/>
        <v>1952.76</v>
      </c>
      <c r="AG412" s="285">
        <f t="shared" si="625"/>
        <v>85641.009999999922</v>
      </c>
      <c r="AH412" s="285">
        <f t="shared" si="626"/>
        <v>485619.35000000033</v>
      </c>
      <c r="AI412" s="512">
        <f t="shared" si="614"/>
        <v>-1118.5800000000311</v>
      </c>
      <c r="AJ412" s="512">
        <f t="shared" si="674"/>
        <v>-236064.33000000025</v>
      </c>
      <c r="AK412" s="512">
        <f t="shared" si="615"/>
        <v>-237182.91000000029</v>
      </c>
      <c r="AL412" s="285">
        <f t="shared" si="627"/>
        <v>245552.39000000028</v>
      </c>
      <c r="AM412" s="425">
        <f t="shared" si="655"/>
        <v>29</v>
      </c>
      <c r="AN412" s="14">
        <f t="shared" si="616"/>
        <v>1610.57</v>
      </c>
      <c r="AO412" s="14">
        <f t="shared" si="585"/>
        <v>79410.309999999881</v>
      </c>
      <c r="AP412" s="14">
        <f t="shared" si="617"/>
        <v>1630.04</v>
      </c>
      <c r="AS412" s="14">
        <f t="shared" si="650"/>
        <v>1610.57</v>
      </c>
      <c r="AT412" s="14">
        <f t="shared" si="656"/>
        <v>427372.739999999</v>
      </c>
      <c r="AU412" s="285">
        <f t="shared" si="657"/>
        <v>1762.1272852614004</v>
      </c>
      <c r="AV412" s="285">
        <f t="shared" si="658"/>
        <v>445037.04138982162</v>
      </c>
    </row>
    <row r="413" spans="1:48" x14ac:dyDescent="0.25">
      <c r="A413" s="502" t="str">
        <f t="shared" si="603"/>
        <v xml:space="preserve"> </v>
      </c>
      <c r="B413" s="285">
        <f t="shared" si="597"/>
        <v>0</v>
      </c>
      <c r="C413" s="14">
        <f t="shared" si="644"/>
        <v>0</v>
      </c>
      <c r="D413" s="14">
        <f t="shared" si="659"/>
        <v>0</v>
      </c>
      <c r="E413" s="14">
        <f t="shared" si="645"/>
        <v>0</v>
      </c>
      <c r="F413" s="14">
        <f t="shared" si="604"/>
        <v>134.16999999999999</v>
      </c>
      <c r="G413" s="14">
        <f t="shared" si="600"/>
        <v>188.55</v>
      </c>
      <c r="H413" s="14">
        <f t="shared" si="601"/>
        <v>322.72000000000003</v>
      </c>
      <c r="I413" s="285">
        <f t="shared" si="605"/>
        <v>97532.849999999991</v>
      </c>
      <c r="J413" s="285">
        <f t="shared" si="606"/>
        <v>64871.789999999986</v>
      </c>
      <c r="K413" s="285">
        <f t="shared" si="607"/>
        <v>0</v>
      </c>
      <c r="L413" s="425">
        <f t="shared" si="587"/>
        <v>29</v>
      </c>
      <c r="M413" s="425">
        <f t="shared" si="651"/>
        <v>354</v>
      </c>
      <c r="N413" s="285">
        <f t="shared" si="652"/>
        <v>9488.0600000000322</v>
      </c>
      <c r="O413" s="285">
        <f t="shared" si="619"/>
        <v>1610.57</v>
      </c>
      <c r="P413" s="285">
        <f t="shared" si="660"/>
        <v>1561.1499999999999</v>
      </c>
      <c r="Q413" s="285">
        <f t="shared" si="620"/>
        <v>49.42</v>
      </c>
      <c r="R413" s="285">
        <f t="shared" si="611"/>
        <v>134.16999999999999</v>
      </c>
      <c r="S413" s="285">
        <f t="shared" si="612"/>
        <v>188.55</v>
      </c>
      <c r="T413" s="285">
        <f t="shared" si="608"/>
        <v>1933.29</v>
      </c>
      <c r="U413" s="285">
        <f t="shared" si="661"/>
        <v>253649.09000000011</v>
      </c>
      <c r="V413" s="285">
        <f t="shared" si="662"/>
        <v>318103.25999999995</v>
      </c>
      <c r="W413" s="285">
        <f t="shared" si="609"/>
        <v>7926.9100000000326</v>
      </c>
      <c r="X413" s="502" t="str">
        <f t="shared" si="653"/>
        <v xml:space="preserve"> </v>
      </c>
      <c r="Y413" s="285">
        <f t="shared" si="621"/>
        <v>245552.39000000028</v>
      </c>
      <c r="Z413" s="494">
        <f t="shared" si="646"/>
        <v>6.25E-2</v>
      </c>
      <c r="AA413" s="285">
        <f t="shared" si="647"/>
        <v>1630.04</v>
      </c>
      <c r="AB413" s="285">
        <f t="shared" si="622"/>
        <v>351.11999999999989</v>
      </c>
      <c r="AC413" s="285">
        <f t="shared" si="648"/>
        <v>1278.92</v>
      </c>
      <c r="AD413" s="285">
        <f t="shared" ref="AD413:AE413" si="676">+AD412</f>
        <v>134.16999999999999</v>
      </c>
      <c r="AE413" s="285">
        <f t="shared" si="676"/>
        <v>188.55</v>
      </c>
      <c r="AF413" s="285">
        <f t="shared" si="624"/>
        <v>1952.76</v>
      </c>
      <c r="AG413" s="285">
        <f t="shared" si="625"/>
        <v>85992.129999999917</v>
      </c>
      <c r="AH413" s="285">
        <f t="shared" si="626"/>
        <v>486898.27000000031</v>
      </c>
      <c r="AI413" s="512">
        <f t="shared" si="614"/>
        <v>-1138.0500000000311</v>
      </c>
      <c r="AJ413" s="512">
        <f t="shared" si="674"/>
        <v>-237274.36000000025</v>
      </c>
      <c r="AK413" s="512">
        <f t="shared" si="615"/>
        <v>-238412.41000000027</v>
      </c>
      <c r="AL413" s="285">
        <f t="shared" si="627"/>
        <v>245201.27000000028</v>
      </c>
      <c r="AM413" s="425">
        <f t="shared" si="655"/>
        <v>29</v>
      </c>
      <c r="AN413" s="14">
        <f t="shared" si="616"/>
        <v>1610.57</v>
      </c>
      <c r="AO413" s="14">
        <f t="shared" si="585"/>
        <v>77849.159999999887</v>
      </c>
      <c r="AP413" s="14">
        <f t="shared" si="617"/>
        <v>1630.04</v>
      </c>
      <c r="AS413" s="14">
        <f t="shared" si="650"/>
        <v>1610.57</v>
      </c>
      <c r="AT413" s="14">
        <f t="shared" si="656"/>
        <v>428983.30999999901</v>
      </c>
      <c r="AU413" s="285">
        <f t="shared" si="657"/>
        <v>1766.532603474554</v>
      </c>
      <c r="AV413" s="285">
        <f t="shared" si="658"/>
        <v>446803.57399329619</v>
      </c>
    </row>
    <row r="414" spans="1:48" x14ac:dyDescent="0.25">
      <c r="A414" s="502" t="str">
        <f t="shared" si="603"/>
        <v xml:space="preserve"> </v>
      </c>
      <c r="B414" s="285">
        <f t="shared" si="597"/>
        <v>0</v>
      </c>
      <c r="C414" s="14">
        <f t="shared" si="644"/>
        <v>0</v>
      </c>
      <c r="D414" s="14">
        <f t="shared" si="659"/>
        <v>0</v>
      </c>
      <c r="E414" s="14">
        <f t="shared" si="645"/>
        <v>0</v>
      </c>
      <c r="F414" s="14">
        <f t="shared" si="604"/>
        <v>134.16999999999999</v>
      </c>
      <c r="G414" s="14">
        <f t="shared" si="600"/>
        <v>188.55</v>
      </c>
      <c r="H414" s="14">
        <f t="shared" si="601"/>
        <v>322.72000000000003</v>
      </c>
      <c r="I414" s="285">
        <f t="shared" si="605"/>
        <v>97532.849999999991</v>
      </c>
      <c r="J414" s="285">
        <f t="shared" si="606"/>
        <v>64871.789999999986</v>
      </c>
      <c r="K414" s="285">
        <f t="shared" si="607"/>
        <v>0</v>
      </c>
      <c r="L414" s="425">
        <f t="shared" si="587"/>
        <v>29</v>
      </c>
      <c r="M414" s="425">
        <f t="shared" si="651"/>
        <v>355</v>
      </c>
      <c r="N414" s="285">
        <f t="shared" si="652"/>
        <v>7926.9100000000326</v>
      </c>
      <c r="O414" s="285">
        <f t="shared" si="619"/>
        <v>1610.57</v>
      </c>
      <c r="P414" s="285">
        <f t="shared" si="660"/>
        <v>1569.28</v>
      </c>
      <c r="Q414" s="285">
        <f t="shared" si="620"/>
        <v>41.29</v>
      </c>
      <c r="R414" s="285">
        <f t="shared" si="611"/>
        <v>134.16999999999999</v>
      </c>
      <c r="S414" s="285">
        <f t="shared" si="612"/>
        <v>188.55</v>
      </c>
      <c r="T414" s="285">
        <f t="shared" si="608"/>
        <v>1933.29</v>
      </c>
      <c r="U414" s="285">
        <f t="shared" si="661"/>
        <v>255218.37000000011</v>
      </c>
      <c r="V414" s="285">
        <f t="shared" si="662"/>
        <v>318144.54999999993</v>
      </c>
      <c r="W414" s="285">
        <f t="shared" si="609"/>
        <v>6357.6300000000329</v>
      </c>
      <c r="X414" s="502" t="str">
        <f t="shared" si="653"/>
        <v xml:space="preserve"> </v>
      </c>
      <c r="Y414" s="285">
        <f t="shared" si="621"/>
        <v>245201.27000000028</v>
      </c>
      <c r="Z414" s="494">
        <f t="shared" si="646"/>
        <v>6.25E-2</v>
      </c>
      <c r="AA414" s="285">
        <f t="shared" si="647"/>
        <v>1630.04</v>
      </c>
      <c r="AB414" s="285">
        <f t="shared" si="622"/>
        <v>352.95000000000005</v>
      </c>
      <c r="AC414" s="285">
        <f t="shared" si="648"/>
        <v>1277.0899999999999</v>
      </c>
      <c r="AD414" s="285">
        <f t="shared" ref="AD414:AE414" si="677">+AD413</f>
        <v>134.16999999999999</v>
      </c>
      <c r="AE414" s="285">
        <f t="shared" si="677"/>
        <v>188.55</v>
      </c>
      <c r="AF414" s="285">
        <f t="shared" si="624"/>
        <v>1952.76</v>
      </c>
      <c r="AG414" s="285">
        <f t="shared" si="625"/>
        <v>86345.079999999914</v>
      </c>
      <c r="AH414" s="285">
        <f t="shared" si="626"/>
        <v>488175.36000000034</v>
      </c>
      <c r="AI414" s="512">
        <f t="shared" si="614"/>
        <v>-1157.5200000000311</v>
      </c>
      <c r="AJ414" s="512">
        <f t="shared" si="674"/>
        <v>-238490.69000000024</v>
      </c>
      <c r="AK414" s="512">
        <f t="shared" si="615"/>
        <v>-239648.21000000025</v>
      </c>
      <c r="AL414" s="285">
        <f t="shared" si="627"/>
        <v>244848.32000000027</v>
      </c>
      <c r="AM414" s="425">
        <f t="shared" si="655"/>
        <v>29</v>
      </c>
      <c r="AN414" s="14">
        <f t="shared" si="616"/>
        <v>1610.57</v>
      </c>
      <c r="AO414" s="14">
        <f t="shared" si="585"/>
        <v>76279.879999999888</v>
      </c>
      <c r="AP414" s="14">
        <f t="shared" si="617"/>
        <v>1630.04</v>
      </c>
      <c r="AS414" s="14">
        <f t="shared" si="650"/>
        <v>1610.57</v>
      </c>
      <c r="AT414" s="14">
        <f t="shared" si="656"/>
        <v>430593.87999999902</v>
      </c>
      <c r="AU414" s="285">
        <f t="shared" si="657"/>
        <v>1770.9489349832402</v>
      </c>
      <c r="AV414" s="285">
        <f t="shared" si="658"/>
        <v>448574.52292827942</v>
      </c>
    </row>
    <row r="415" spans="1:48" x14ac:dyDescent="0.25">
      <c r="A415" s="502" t="str">
        <f t="shared" si="603"/>
        <v xml:space="preserve"> </v>
      </c>
      <c r="B415" s="285">
        <f t="shared" si="597"/>
        <v>0</v>
      </c>
      <c r="C415" s="14">
        <f t="shared" si="644"/>
        <v>0</v>
      </c>
      <c r="D415" s="14">
        <f t="shared" si="659"/>
        <v>0</v>
      </c>
      <c r="E415" s="14">
        <f t="shared" si="645"/>
        <v>0</v>
      </c>
      <c r="F415" s="14">
        <f t="shared" si="604"/>
        <v>134.16999999999999</v>
      </c>
      <c r="G415" s="14">
        <f t="shared" si="600"/>
        <v>188.55</v>
      </c>
      <c r="H415" s="14">
        <f t="shared" si="601"/>
        <v>322.72000000000003</v>
      </c>
      <c r="I415" s="285">
        <f t="shared" si="605"/>
        <v>97532.849999999991</v>
      </c>
      <c r="J415" s="285">
        <f t="shared" si="606"/>
        <v>64871.789999999986</v>
      </c>
      <c r="K415" s="285">
        <f t="shared" si="607"/>
        <v>0</v>
      </c>
      <c r="L415" s="425">
        <f t="shared" si="587"/>
        <v>29</v>
      </c>
      <c r="M415" s="425">
        <f t="shared" si="651"/>
        <v>356</v>
      </c>
      <c r="N415" s="285">
        <f t="shared" si="652"/>
        <v>6357.6300000000329</v>
      </c>
      <c r="O415" s="285">
        <f t="shared" si="619"/>
        <v>1610.57</v>
      </c>
      <c r="P415" s="285">
        <f t="shared" si="660"/>
        <v>1577.46</v>
      </c>
      <c r="Q415" s="285">
        <f t="shared" si="620"/>
        <v>33.11</v>
      </c>
      <c r="R415" s="285">
        <f t="shared" si="611"/>
        <v>134.16999999999999</v>
      </c>
      <c r="S415" s="285">
        <f t="shared" si="612"/>
        <v>188.55</v>
      </c>
      <c r="T415" s="285">
        <f t="shared" si="608"/>
        <v>1933.29</v>
      </c>
      <c r="U415" s="285">
        <f t="shared" si="661"/>
        <v>256795.8300000001</v>
      </c>
      <c r="V415" s="285">
        <f t="shared" si="662"/>
        <v>318177.65999999992</v>
      </c>
      <c r="W415" s="285">
        <f t="shared" si="609"/>
        <v>4780.1700000000328</v>
      </c>
      <c r="X415" s="502" t="str">
        <f t="shared" si="653"/>
        <v xml:space="preserve"> </v>
      </c>
      <c r="Y415" s="285">
        <f t="shared" si="621"/>
        <v>244848.32000000027</v>
      </c>
      <c r="Z415" s="494">
        <f t="shared" si="646"/>
        <v>6.25E-2</v>
      </c>
      <c r="AA415" s="285">
        <f t="shared" si="647"/>
        <v>1630.04</v>
      </c>
      <c r="AB415" s="285">
        <f t="shared" si="622"/>
        <v>354.78999999999996</v>
      </c>
      <c r="AC415" s="285">
        <f t="shared" si="648"/>
        <v>1275.25</v>
      </c>
      <c r="AD415" s="285">
        <f t="shared" ref="AD415:AE415" si="678">+AD414</f>
        <v>134.16999999999999</v>
      </c>
      <c r="AE415" s="285">
        <f t="shared" si="678"/>
        <v>188.55</v>
      </c>
      <c r="AF415" s="285">
        <f t="shared" si="624"/>
        <v>1952.76</v>
      </c>
      <c r="AG415" s="285">
        <f t="shared" si="625"/>
        <v>86699.869999999908</v>
      </c>
      <c r="AH415" s="285">
        <f t="shared" si="626"/>
        <v>489450.61000000034</v>
      </c>
      <c r="AI415" s="512">
        <f t="shared" si="614"/>
        <v>-1176.9900000000312</v>
      </c>
      <c r="AJ415" s="512">
        <f t="shared" si="674"/>
        <v>-239713.36000000022</v>
      </c>
      <c r="AK415" s="512">
        <f t="shared" si="615"/>
        <v>-240890.35000000024</v>
      </c>
      <c r="AL415" s="285">
        <f t="shared" si="627"/>
        <v>244493.53000000026</v>
      </c>
      <c r="AM415" s="425">
        <f t="shared" si="655"/>
        <v>29</v>
      </c>
      <c r="AN415" s="14">
        <f t="shared" si="616"/>
        <v>1610.57</v>
      </c>
      <c r="AO415" s="14">
        <f t="shared" si="585"/>
        <v>74702.419999999896</v>
      </c>
      <c r="AP415" s="14">
        <f t="shared" si="617"/>
        <v>1630.04</v>
      </c>
      <c r="AS415" s="14">
        <f t="shared" si="650"/>
        <v>1610.57</v>
      </c>
      <c r="AT415" s="14">
        <f t="shared" si="656"/>
        <v>432204.44999999902</v>
      </c>
      <c r="AU415" s="285">
        <f t="shared" si="657"/>
        <v>1775.3763073206983</v>
      </c>
      <c r="AV415" s="285">
        <f t="shared" si="658"/>
        <v>450349.89923560014</v>
      </c>
    </row>
    <row r="416" spans="1:48" x14ac:dyDescent="0.25">
      <c r="A416" s="502" t="str">
        <f t="shared" si="603"/>
        <v xml:space="preserve"> </v>
      </c>
      <c r="B416" s="285">
        <f t="shared" si="597"/>
        <v>0</v>
      </c>
      <c r="C416" s="14">
        <f t="shared" si="644"/>
        <v>0</v>
      </c>
      <c r="D416" s="14">
        <f t="shared" si="659"/>
        <v>0</v>
      </c>
      <c r="E416" s="14">
        <f t="shared" si="645"/>
        <v>0</v>
      </c>
      <c r="F416" s="14">
        <f t="shared" si="604"/>
        <v>134.16999999999999</v>
      </c>
      <c r="G416" s="14">
        <f t="shared" si="600"/>
        <v>188.55</v>
      </c>
      <c r="H416" s="14">
        <f t="shared" si="601"/>
        <v>322.72000000000003</v>
      </c>
      <c r="I416" s="285">
        <f t="shared" si="605"/>
        <v>97532.849999999991</v>
      </c>
      <c r="J416" s="285">
        <f t="shared" si="606"/>
        <v>64871.789999999986</v>
      </c>
      <c r="K416" s="285">
        <f t="shared" si="607"/>
        <v>0</v>
      </c>
      <c r="L416" s="425">
        <f t="shared" si="587"/>
        <v>29</v>
      </c>
      <c r="M416" s="425">
        <f t="shared" si="651"/>
        <v>357</v>
      </c>
      <c r="N416" s="285">
        <f t="shared" si="652"/>
        <v>4780.1700000000328</v>
      </c>
      <c r="O416" s="285">
        <f t="shared" si="619"/>
        <v>1610.57</v>
      </c>
      <c r="P416" s="285">
        <f t="shared" si="660"/>
        <v>1585.6699999999998</v>
      </c>
      <c r="Q416" s="285">
        <f t="shared" si="620"/>
        <v>24.9</v>
      </c>
      <c r="R416" s="285">
        <f t="shared" si="611"/>
        <v>134.16999999999999</v>
      </c>
      <c r="S416" s="285">
        <f t="shared" si="612"/>
        <v>188.55</v>
      </c>
      <c r="T416" s="285">
        <f t="shared" si="608"/>
        <v>1933.29</v>
      </c>
      <c r="U416" s="285">
        <f t="shared" si="661"/>
        <v>258381.50000000012</v>
      </c>
      <c r="V416" s="285">
        <f t="shared" si="662"/>
        <v>318202.55999999994</v>
      </c>
      <c r="W416" s="285">
        <f t="shared" si="609"/>
        <v>3194.5000000000327</v>
      </c>
      <c r="X416" s="502" t="str">
        <f t="shared" si="653"/>
        <v xml:space="preserve"> </v>
      </c>
      <c r="Y416" s="285">
        <f t="shared" si="621"/>
        <v>244493.53000000026</v>
      </c>
      <c r="Z416" s="494">
        <f t="shared" si="646"/>
        <v>6.25E-2</v>
      </c>
      <c r="AA416" s="285">
        <f t="shared" si="647"/>
        <v>1630.04</v>
      </c>
      <c r="AB416" s="285">
        <f t="shared" si="622"/>
        <v>356.63999999999987</v>
      </c>
      <c r="AC416" s="285">
        <f t="shared" si="648"/>
        <v>1273.4000000000001</v>
      </c>
      <c r="AD416" s="285">
        <f t="shared" ref="AD416:AE416" si="679">+AD415</f>
        <v>134.16999999999999</v>
      </c>
      <c r="AE416" s="285">
        <f t="shared" si="679"/>
        <v>188.55</v>
      </c>
      <c r="AF416" s="285">
        <f t="shared" si="624"/>
        <v>1952.76</v>
      </c>
      <c r="AG416" s="285">
        <f t="shared" si="625"/>
        <v>87056.509999999907</v>
      </c>
      <c r="AH416" s="285">
        <f t="shared" si="626"/>
        <v>490724.01000000036</v>
      </c>
      <c r="AI416" s="512">
        <f t="shared" si="614"/>
        <v>-1196.4600000000312</v>
      </c>
      <c r="AJ416" s="512">
        <f t="shared" si="674"/>
        <v>-240942.39000000022</v>
      </c>
      <c r="AK416" s="512">
        <f t="shared" si="615"/>
        <v>-242138.85000000024</v>
      </c>
      <c r="AL416" s="285">
        <f t="shared" si="627"/>
        <v>244136.89000000025</v>
      </c>
      <c r="AM416" s="425">
        <f t="shared" si="655"/>
        <v>29</v>
      </c>
      <c r="AN416" s="14">
        <f t="shared" si="616"/>
        <v>1610.57</v>
      </c>
      <c r="AO416" s="14">
        <f t="shared" si="585"/>
        <v>73116.749999999884</v>
      </c>
      <c r="AP416" s="14">
        <f t="shared" si="617"/>
        <v>1630.04</v>
      </c>
      <c r="AS416" s="14">
        <f t="shared" si="650"/>
        <v>1610.57</v>
      </c>
      <c r="AT416" s="14">
        <f t="shared" si="656"/>
        <v>433815.01999999903</v>
      </c>
      <c r="AU416" s="285">
        <f t="shared" si="657"/>
        <v>1779.8147480890002</v>
      </c>
      <c r="AV416" s="285">
        <f t="shared" si="658"/>
        <v>452129.71398368914</v>
      </c>
    </row>
    <row r="417" spans="1:48" x14ac:dyDescent="0.25">
      <c r="A417" s="502" t="str">
        <f t="shared" si="603"/>
        <v xml:space="preserve"> </v>
      </c>
      <c r="B417" s="285">
        <f t="shared" si="597"/>
        <v>0</v>
      </c>
      <c r="C417" s="14">
        <f t="shared" si="644"/>
        <v>0</v>
      </c>
      <c r="D417" s="14">
        <f t="shared" si="659"/>
        <v>0</v>
      </c>
      <c r="E417" s="14">
        <f t="shared" si="645"/>
        <v>0</v>
      </c>
      <c r="F417" s="14">
        <f t="shared" si="604"/>
        <v>134.16999999999999</v>
      </c>
      <c r="G417" s="14">
        <f t="shared" si="600"/>
        <v>188.55</v>
      </c>
      <c r="H417" s="14">
        <f t="shared" si="601"/>
        <v>322.72000000000003</v>
      </c>
      <c r="I417" s="285">
        <f t="shared" si="605"/>
        <v>97532.849999999991</v>
      </c>
      <c r="J417" s="285">
        <f t="shared" si="606"/>
        <v>64871.789999999986</v>
      </c>
      <c r="K417" s="285">
        <f t="shared" si="607"/>
        <v>0</v>
      </c>
      <c r="L417" s="425">
        <f t="shared" si="587"/>
        <v>29</v>
      </c>
      <c r="M417" s="425">
        <f t="shared" si="651"/>
        <v>358</v>
      </c>
      <c r="N417" s="285">
        <f t="shared" si="652"/>
        <v>3194.5000000000327</v>
      </c>
      <c r="O417" s="285">
        <f t="shared" si="619"/>
        <v>1610.57</v>
      </c>
      <c r="P417" s="285">
        <f t="shared" si="660"/>
        <v>1593.9299999999998</v>
      </c>
      <c r="Q417" s="285">
        <f t="shared" si="620"/>
        <v>16.64</v>
      </c>
      <c r="R417" s="285">
        <f t="shared" si="611"/>
        <v>134.16999999999999</v>
      </c>
      <c r="S417" s="285">
        <f t="shared" si="612"/>
        <v>188.55</v>
      </c>
      <c r="T417" s="285">
        <f t="shared" si="608"/>
        <v>1933.29</v>
      </c>
      <c r="U417" s="285">
        <f t="shared" si="661"/>
        <v>259975.43000000011</v>
      </c>
      <c r="V417" s="285">
        <f t="shared" si="662"/>
        <v>318219.19999999995</v>
      </c>
      <c r="W417" s="285">
        <f t="shared" si="609"/>
        <v>1600.5700000000329</v>
      </c>
      <c r="X417" s="502" t="str">
        <f t="shared" si="653"/>
        <v xml:space="preserve"> </v>
      </c>
      <c r="Y417" s="285">
        <f t="shared" si="621"/>
        <v>244136.89000000025</v>
      </c>
      <c r="Z417" s="494">
        <f t="shared" si="646"/>
        <v>6.25E-2</v>
      </c>
      <c r="AA417" s="285">
        <f t="shared" si="647"/>
        <v>1630.04</v>
      </c>
      <c r="AB417" s="285">
        <f t="shared" si="622"/>
        <v>358.49</v>
      </c>
      <c r="AC417" s="285">
        <f t="shared" si="648"/>
        <v>1271.55</v>
      </c>
      <c r="AD417" s="285">
        <f t="shared" ref="AD417:AE417" si="680">+AD416</f>
        <v>134.16999999999999</v>
      </c>
      <c r="AE417" s="285">
        <f t="shared" si="680"/>
        <v>188.55</v>
      </c>
      <c r="AF417" s="285">
        <f t="shared" si="624"/>
        <v>1952.76</v>
      </c>
      <c r="AG417" s="285">
        <f t="shared" si="625"/>
        <v>87414.999999999913</v>
      </c>
      <c r="AH417" s="285">
        <f t="shared" si="626"/>
        <v>491995.56000000035</v>
      </c>
      <c r="AI417" s="512">
        <f t="shared" si="614"/>
        <v>-1215.9300000000312</v>
      </c>
      <c r="AJ417" s="512">
        <f t="shared" si="674"/>
        <v>-242177.83000000022</v>
      </c>
      <c r="AK417" s="512">
        <f t="shared" si="615"/>
        <v>-243393.76000000024</v>
      </c>
      <c r="AL417" s="285">
        <f t="shared" si="627"/>
        <v>243778.40000000026</v>
      </c>
      <c r="AM417" s="425">
        <f t="shared" si="655"/>
        <v>29</v>
      </c>
      <c r="AN417" s="14">
        <f t="shared" si="616"/>
        <v>1610.57</v>
      </c>
      <c r="AO417" s="14">
        <f t="shared" si="585"/>
        <v>71522.819999999891</v>
      </c>
      <c r="AP417" s="14">
        <f t="shared" si="617"/>
        <v>1630.04</v>
      </c>
      <c r="AS417" s="14">
        <f t="shared" si="650"/>
        <v>1610.57</v>
      </c>
      <c r="AT417" s="14">
        <f t="shared" si="656"/>
        <v>435425.58999999904</v>
      </c>
      <c r="AU417" s="285">
        <f t="shared" si="657"/>
        <v>1784.264284959223</v>
      </c>
      <c r="AV417" s="285">
        <f t="shared" si="658"/>
        <v>453913.97826864838</v>
      </c>
    </row>
    <row r="418" spans="1:48" x14ac:dyDescent="0.25">
      <c r="A418" s="502" t="str">
        <f t="shared" si="603"/>
        <v xml:space="preserve"> </v>
      </c>
      <c r="B418" s="285">
        <f t="shared" si="597"/>
        <v>0</v>
      </c>
      <c r="C418" s="14">
        <f t="shared" si="644"/>
        <v>0</v>
      </c>
      <c r="D418" s="14">
        <f t="shared" si="659"/>
        <v>0</v>
      </c>
      <c r="E418" s="14">
        <f t="shared" si="645"/>
        <v>0</v>
      </c>
      <c r="F418" s="14">
        <f t="shared" si="604"/>
        <v>134.16999999999999</v>
      </c>
      <c r="G418" s="14">
        <f t="shared" si="600"/>
        <v>188.55</v>
      </c>
      <c r="H418" s="14">
        <f t="shared" si="601"/>
        <v>322.72000000000003</v>
      </c>
      <c r="I418" s="285">
        <f t="shared" si="605"/>
        <v>97532.849999999991</v>
      </c>
      <c r="J418" s="285">
        <f t="shared" si="606"/>
        <v>64871.789999999986</v>
      </c>
      <c r="K418" s="285">
        <f t="shared" si="607"/>
        <v>0</v>
      </c>
      <c r="L418" s="425">
        <f t="shared" si="587"/>
        <v>29</v>
      </c>
      <c r="M418" s="425">
        <f t="shared" si="651"/>
        <v>359</v>
      </c>
      <c r="N418" s="285">
        <f t="shared" ref="N418:N481" si="681">IF(+W417&lt;0,0,+W417)</f>
        <v>1600.5700000000329</v>
      </c>
      <c r="O418" s="285">
        <f t="shared" si="619"/>
        <v>1610.57</v>
      </c>
      <c r="P418" s="285">
        <f t="shared" si="660"/>
        <v>1602.23</v>
      </c>
      <c r="Q418" s="285">
        <f t="shared" si="620"/>
        <v>8.34</v>
      </c>
      <c r="R418" s="285">
        <f t="shared" si="611"/>
        <v>134.16999999999999</v>
      </c>
      <c r="S418" s="285">
        <f t="shared" si="612"/>
        <v>188.55</v>
      </c>
      <c r="T418" s="285">
        <f t="shared" si="608"/>
        <v>1933.29</v>
      </c>
      <c r="U418" s="285">
        <f t="shared" si="661"/>
        <v>261577.66000000012</v>
      </c>
      <c r="V418" s="285">
        <f t="shared" si="662"/>
        <v>318227.53999999998</v>
      </c>
      <c r="W418" s="285">
        <f t="shared" si="609"/>
        <v>-1.6599999999671127</v>
      </c>
      <c r="X418" s="502" t="str">
        <f t="shared" si="653"/>
        <v xml:space="preserve"> </v>
      </c>
      <c r="Y418" s="285">
        <f t="shared" si="621"/>
        <v>243778.40000000026</v>
      </c>
      <c r="Z418" s="494">
        <f t="shared" si="646"/>
        <v>6.25E-2</v>
      </c>
      <c r="AA418" s="285">
        <f t="shared" si="647"/>
        <v>1630.04</v>
      </c>
      <c r="AB418" s="285">
        <f t="shared" si="622"/>
        <v>360.3599999999999</v>
      </c>
      <c r="AC418" s="285">
        <f t="shared" si="648"/>
        <v>1269.68</v>
      </c>
      <c r="AD418" s="285">
        <f t="shared" ref="AD418:AE418" si="682">+AD417</f>
        <v>134.16999999999999</v>
      </c>
      <c r="AE418" s="285">
        <f t="shared" si="682"/>
        <v>188.55</v>
      </c>
      <c r="AF418" s="285">
        <f t="shared" si="624"/>
        <v>1952.76</v>
      </c>
      <c r="AG418" s="285">
        <f t="shared" si="625"/>
        <v>87775.359999999913</v>
      </c>
      <c r="AH418" s="285">
        <f t="shared" si="626"/>
        <v>493265.24000000034</v>
      </c>
      <c r="AI418" s="512">
        <f t="shared" si="614"/>
        <v>-1235.4000000000312</v>
      </c>
      <c r="AJ418" s="512">
        <f t="shared" si="674"/>
        <v>-243419.70000000024</v>
      </c>
      <c r="AK418" s="512">
        <f t="shared" si="615"/>
        <v>-244655.10000000027</v>
      </c>
      <c r="AL418" s="285">
        <f t="shared" si="627"/>
        <v>243418.04000000027</v>
      </c>
      <c r="AM418" s="425">
        <f t="shared" si="655"/>
        <v>29</v>
      </c>
      <c r="AN418" s="14">
        <f t="shared" si="616"/>
        <v>1610.57</v>
      </c>
      <c r="AO418" s="14">
        <f t="shared" si="585"/>
        <v>0</v>
      </c>
      <c r="AP418" s="14">
        <f t="shared" si="617"/>
        <v>1630.04</v>
      </c>
      <c r="AS418" s="14">
        <f t="shared" si="650"/>
        <v>1610.57</v>
      </c>
      <c r="AT418" s="14">
        <f t="shared" si="656"/>
        <v>0</v>
      </c>
      <c r="AU418" s="285">
        <f t="shared" si="657"/>
        <v>0</v>
      </c>
      <c r="AV418" s="285">
        <f t="shared" si="658"/>
        <v>0</v>
      </c>
    </row>
    <row r="419" spans="1:48" x14ac:dyDescent="0.25">
      <c r="A419" s="502" t="str">
        <f t="shared" si="603"/>
        <v xml:space="preserve"> </v>
      </c>
      <c r="B419" s="285">
        <f t="shared" si="597"/>
        <v>0</v>
      </c>
      <c r="C419" s="14">
        <f t="shared" si="644"/>
        <v>0</v>
      </c>
      <c r="D419" s="14">
        <f t="shared" si="659"/>
        <v>0</v>
      </c>
      <c r="E419" s="14">
        <f t="shared" si="645"/>
        <v>0</v>
      </c>
      <c r="F419" s="14">
        <f t="shared" si="604"/>
        <v>134.16999999999999</v>
      </c>
      <c r="G419" s="14">
        <f t="shared" si="600"/>
        <v>188.55</v>
      </c>
      <c r="H419" s="14">
        <f t="shared" si="601"/>
        <v>322.72000000000003</v>
      </c>
      <c r="I419" s="285">
        <f t="shared" si="605"/>
        <v>97532.849999999991</v>
      </c>
      <c r="J419" s="285">
        <f t="shared" si="606"/>
        <v>64871.789999999986</v>
      </c>
      <c r="K419" s="285">
        <f t="shared" si="607"/>
        <v>0</v>
      </c>
      <c r="L419" s="425">
        <f t="shared" si="587"/>
        <v>30</v>
      </c>
      <c r="M419" s="425">
        <f t="shared" si="651"/>
        <v>360</v>
      </c>
      <c r="N419" s="285">
        <f t="shared" si="681"/>
        <v>0</v>
      </c>
      <c r="O419" s="285">
        <f t="shared" si="619"/>
        <v>0</v>
      </c>
      <c r="P419" s="285">
        <f t="shared" si="660"/>
        <v>0</v>
      </c>
      <c r="Q419" s="285">
        <f t="shared" si="620"/>
        <v>0</v>
      </c>
      <c r="R419" s="285">
        <f t="shared" si="611"/>
        <v>134.16999999999999</v>
      </c>
      <c r="S419" s="285">
        <f t="shared" si="612"/>
        <v>188.55</v>
      </c>
      <c r="T419" s="285">
        <f t="shared" si="608"/>
        <v>322.72000000000003</v>
      </c>
      <c r="U419" s="285">
        <f t="shared" si="661"/>
        <v>261577.66000000012</v>
      </c>
      <c r="V419" s="285">
        <f t="shared" si="662"/>
        <v>318227.53999999998</v>
      </c>
      <c r="W419" s="285">
        <f t="shared" si="609"/>
        <v>0</v>
      </c>
      <c r="X419" s="502" t="str">
        <f t="shared" si="653"/>
        <v xml:space="preserve"> </v>
      </c>
      <c r="Y419" s="285">
        <f t="shared" si="621"/>
        <v>243418.04000000027</v>
      </c>
      <c r="Z419" s="494">
        <f t="shared" si="646"/>
        <v>6.25E-2</v>
      </c>
      <c r="AA419" s="285">
        <f t="shared" si="647"/>
        <v>1630.04</v>
      </c>
      <c r="AB419" s="285">
        <f t="shared" si="622"/>
        <v>362.24</v>
      </c>
      <c r="AC419" s="285">
        <f t="shared" si="648"/>
        <v>1267.8</v>
      </c>
      <c r="AD419" s="285">
        <f t="shared" ref="AD419:AE419" si="683">+AD418</f>
        <v>134.16999999999999</v>
      </c>
      <c r="AE419" s="285">
        <f t="shared" si="683"/>
        <v>188.55</v>
      </c>
      <c r="AF419" s="285">
        <f t="shared" si="624"/>
        <v>1952.76</v>
      </c>
      <c r="AG419" s="285">
        <f t="shared" si="625"/>
        <v>88137.599999999919</v>
      </c>
      <c r="AH419" s="285">
        <f t="shared" si="626"/>
        <v>494533.04000000033</v>
      </c>
      <c r="AI419" s="512">
        <f t="shared" si="614"/>
        <v>-2865.4400000000314</v>
      </c>
      <c r="AJ419" s="512">
        <f t="shared" si="674"/>
        <v>-243055.80000000028</v>
      </c>
      <c r="AK419" s="512">
        <f t="shared" si="615"/>
        <v>-245921.24000000031</v>
      </c>
      <c r="AL419" s="285">
        <f t="shared" si="627"/>
        <v>243055.80000000028</v>
      </c>
      <c r="AM419" s="425">
        <f t="shared" si="655"/>
        <v>30</v>
      </c>
      <c r="AN419" s="14">
        <f t="shared" si="616"/>
        <v>0</v>
      </c>
      <c r="AO419" s="14">
        <f t="shared" si="585"/>
        <v>0</v>
      </c>
      <c r="AP419" s="14">
        <f t="shared" si="617"/>
        <v>0</v>
      </c>
      <c r="AS419" s="14">
        <f t="shared" si="650"/>
        <v>0</v>
      </c>
      <c r="AT419" s="14">
        <f t="shared" si="656"/>
        <v>0</v>
      </c>
      <c r="AU419" s="285">
        <f t="shared" si="657"/>
        <v>0</v>
      </c>
      <c r="AV419" s="285">
        <f t="shared" si="658"/>
        <v>0</v>
      </c>
    </row>
    <row r="420" spans="1:48" x14ac:dyDescent="0.25">
      <c r="A420" s="502" t="str">
        <f t="shared" si="603"/>
        <v xml:space="preserve"> </v>
      </c>
      <c r="B420" s="285">
        <f t="shared" si="597"/>
        <v>0</v>
      </c>
      <c r="C420" s="14">
        <f t="shared" si="644"/>
        <v>0</v>
      </c>
      <c r="D420" s="14">
        <f t="shared" si="659"/>
        <v>0</v>
      </c>
      <c r="E420" s="14">
        <f t="shared" si="645"/>
        <v>0</v>
      </c>
      <c r="F420" s="14">
        <f t="shared" si="604"/>
        <v>134.16999999999999</v>
      </c>
      <c r="G420" s="14">
        <f t="shared" si="600"/>
        <v>188.55</v>
      </c>
      <c r="H420" s="14">
        <f t="shared" si="601"/>
        <v>322.72000000000003</v>
      </c>
      <c r="I420" s="285">
        <f t="shared" si="605"/>
        <v>97532.849999999991</v>
      </c>
      <c r="J420" s="285">
        <f t="shared" si="606"/>
        <v>64871.789999999986</v>
      </c>
      <c r="K420" s="285">
        <f t="shared" si="607"/>
        <v>0</v>
      </c>
      <c r="L420" s="425">
        <f t="shared" si="587"/>
        <v>30</v>
      </c>
      <c r="M420" s="425">
        <f t="shared" si="651"/>
        <v>361</v>
      </c>
      <c r="N420" s="285">
        <f t="shared" si="681"/>
        <v>0</v>
      </c>
      <c r="O420" s="285">
        <f t="shared" si="619"/>
        <v>0</v>
      </c>
      <c r="P420" s="285">
        <f t="shared" si="660"/>
        <v>0</v>
      </c>
      <c r="Q420" s="285">
        <f t="shared" si="620"/>
        <v>0</v>
      </c>
      <c r="R420" s="285">
        <f t="shared" si="611"/>
        <v>134.16999999999999</v>
      </c>
      <c r="S420" s="285">
        <f t="shared" si="612"/>
        <v>188.55</v>
      </c>
      <c r="T420" s="285">
        <f t="shared" si="608"/>
        <v>322.72000000000003</v>
      </c>
      <c r="U420" s="285">
        <f t="shared" si="661"/>
        <v>261577.66000000012</v>
      </c>
      <c r="V420" s="285">
        <f t="shared" si="662"/>
        <v>318227.53999999998</v>
      </c>
      <c r="W420" s="285">
        <f t="shared" si="609"/>
        <v>0</v>
      </c>
      <c r="X420" s="502" t="str">
        <f t="shared" si="653"/>
        <v xml:space="preserve"> </v>
      </c>
      <c r="Y420" s="285">
        <f t="shared" si="621"/>
        <v>243055.80000000028</v>
      </c>
      <c r="Z420" s="494">
        <f t="shared" si="646"/>
        <v>6.25E-2</v>
      </c>
      <c r="AA420" s="285">
        <f t="shared" si="647"/>
        <v>1630.04</v>
      </c>
      <c r="AB420" s="285">
        <f t="shared" si="622"/>
        <v>364.11999999999989</v>
      </c>
      <c r="AC420" s="285">
        <f t="shared" si="648"/>
        <v>1265.92</v>
      </c>
      <c r="AD420" s="285">
        <f t="shared" ref="AD420:AE420" si="684">+AD419</f>
        <v>134.16999999999999</v>
      </c>
      <c r="AE420" s="285">
        <f t="shared" si="684"/>
        <v>188.55</v>
      </c>
      <c r="AF420" s="285">
        <f t="shared" si="624"/>
        <v>1952.76</v>
      </c>
      <c r="AG420" s="285">
        <f t="shared" si="625"/>
        <v>88501.719999999914</v>
      </c>
      <c r="AH420" s="285">
        <f t="shared" si="626"/>
        <v>495798.96000000031</v>
      </c>
      <c r="AI420" s="512">
        <f t="shared" si="614"/>
        <v>-4495.4800000000314</v>
      </c>
      <c r="AJ420" s="512">
        <f t="shared" si="674"/>
        <v>-242691.68000000028</v>
      </c>
      <c r="AK420" s="512">
        <f t="shared" si="615"/>
        <v>-247187.16000000032</v>
      </c>
      <c r="AL420" s="285">
        <f>+Y420-AB420</f>
        <v>242691.68000000028</v>
      </c>
      <c r="AM420" s="425">
        <f t="shared" si="655"/>
        <v>30</v>
      </c>
      <c r="AN420" s="14">
        <f t="shared" si="616"/>
        <v>0</v>
      </c>
      <c r="AO420" s="14">
        <f t="shared" si="585"/>
        <v>0</v>
      </c>
      <c r="AP420" s="14">
        <f t="shared" si="617"/>
        <v>0</v>
      </c>
      <c r="AS420" s="14">
        <f t="shared" si="650"/>
        <v>0</v>
      </c>
      <c r="AT420" s="14">
        <f t="shared" si="656"/>
        <v>0</v>
      </c>
      <c r="AU420" s="285">
        <f t="shared" si="657"/>
        <v>0</v>
      </c>
      <c r="AV420" s="285">
        <f t="shared" si="658"/>
        <v>0</v>
      </c>
    </row>
    <row r="421" spans="1:48" x14ac:dyDescent="0.25">
      <c r="A421" s="502" t="str">
        <f t="shared" si="603"/>
        <v xml:space="preserve"> </v>
      </c>
      <c r="B421" s="285">
        <f t="shared" si="597"/>
        <v>0</v>
      </c>
      <c r="C421" s="14">
        <f t="shared" si="644"/>
        <v>0</v>
      </c>
      <c r="D421" s="14">
        <f t="shared" si="659"/>
        <v>0</v>
      </c>
      <c r="E421" s="14">
        <f t="shared" si="645"/>
        <v>0</v>
      </c>
      <c r="F421" s="14">
        <f t="shared" si="604"/>
        <v>134.16999999999999</v>
      </c>
      <c r="G421" s="14">
        <f t="shared" si="600"/>
        <v>188.55</v>
      </c>
      <c r="H421" s="14">
        <f t="shared" si="601"/>
        <v>322.72000000000003</v>
      </c>
      <c r="I421" s="285">
        <f t="shared" si="605"/>
        <v>97532.849999999991</v>
      </c>
      <c r="J421" s="285">
        <f t="shared" si="606"/>
        <v>64871.789999999986</v>
      </c>
      <c r="K421" s="285">
        <f t="shared" si="607"/>
        <v>0</v>
      </c>
      <c r="L421" s="425">
        <f t="shared" si="587"/>
        <v>30</v>
      </c>
      <c r="M421" s="425">
        <f t="shared" si="651"/>
        <v>362</v>
      </c>
      <c r="N421" s="285">
        <f t="shared" si="681"/>
        <v>0</v>
      </c>
      <c r="O421" s="285">
        <f t="shared" si="619"/>
        <v>0</v>
      </c>
      <c r="P421" s="285">
        <f t="shared" si="660"/>
        <v>0</v>
      </c>
      <c r="Q421" s="285">
        <f t="shared" si="620"/>
        <v>0</v>
      </c>
      <c r="R421" s="285">
        <f t="shared" si="611"/>
        <v>134.16999999999999</v>
      </c>
      <c r="S421" s="285">
        <f t="shared" si="612"/>
        <v>188.55</v>
      </c>
      <c r="T421" s="285">
        <f t="shared" si="608"/>
        <v>322.72000000000003</v>
      </c>
      <c r="U421" s="285">
        <f t="shared" si="661"/>
        <v>261577.66000000012</v>
      </c>
      <c r="V421" s="285">
        <f t="shared" si="662"/>
        <v>318227.53999999998</v>
      </c>
      <c r="W421" s="285">
        <f t="shared" si="609"/>
        <v>0</v>
      </c>
      <c r="X421" s="502" t="str">
        <f t="shared" si="653"/>
        <v xml:space="preserve"> </v>
      </c>
      <c r="Y421" s="285">
        <f t="shared" si="621"/>
        <v>242691.68000000028</v>
      </c>
      <c r="Z421" s="494">
        <f t="shared" si="646"/>
        <v>6.25E-2</v>
      </c>
      <c r="AA421" s="285">
        <f t="shared" si="647"/>
        <v>1630.04</v>
      </c>
      <c r="AB421" s="285">
        <f t="shared" si="622"/>
        <v>366.02</v>
      </c>
      <c r="AC421" s="285">
        <f t="shared" si="648"/>
        <v>1264.02</v>
      </c>
      <c r="AD421" s="285">
        <f t="shared" ref="AD421:AE421" si="685">+AD420</f>
        <v>134.16999999999999</v>
      </c>
      <c r="AE421" s="285">
        <f t="shared" si="685"/>
        <v>188.55</v>
      </c>
      <c r="AF421" s="285">
        <f t="shared" si="624"/>
        <v>1952.76</v>
      </c>
      <c r="AG421" s="285">
        <f t="shared" si="625"/>
        <v>88867.739999999918</v>
      </c>
      <c r="AH421" s="285">
        <f t="shared" si="626"/>
        <v>497062.98000000033</v>
      </c>
      <c r="AI421" s="512">
        <f t="shared" si="614"/>
        <v>-6125.5200000000314</v>
      </c>
      <c r="AJ421" s="512">
        <f t="shared" si="674"/>
        <v>-242325.66000000029</v>
      </c>
      <c r="AK421" s="512">
        <f t="shared" si="615"/>
        <v>-248451.18000000031</v>
      </c>
      <c r="AL421" s="285">
        <f t="shared" si="627"/>
        <v>242325.66000000029</v>
      </c>
      <c r="AM421" s="425">
        <f t="shared" si="655"/>
        <v>30</v>
      </c>
      <c r="AN421" s="14">
        <f t="shared" si="616"/>
        <v>0</v>
      </c>
      <c r="AO421" s="14">
        <f t="shared" si="585"/>
        <v>0</v>
      </c>
      <c r="AP421" s="14">
        <f t="shared" si="617"/>
        <v>0</v>
      </c>
      <c r="AS421" s="14">
        <f t="shared" si="650"/>
        <v>0</v>
      </c>
      <c r="AT421" s="14">
        <f t="shared" si="656"/>
        <v>0</v>
      </c>
      <c r="AU421" s="285">
        <f t="shared" si="657"/>
        <v>0</v>
      </c>
      <c r="AV421" s="285">
        <f t="shared" si="658"/>
        <v>0</v>
      </c>
    </row>
    <row r="422" spans="1:48" ht="15.75" thickBot="1" x14ac:dyDescent="0.3">
      <c r="A422" s="505" t="str">
        <f t="shared" si="603"/>
        <v xml:space="preserve"> </v>
      </c>
      <c r="B422" s="345">
        <f t="shared" si="597"/>
        <v>0</v>
      </c>
      <c r="C422" s="21">
        <f t="shared" si="644"/>
        <v>0</v>
      </c>
      <c r="D422" s="21">
        <f t="shared" si="659"/>
        <v>0</v>
      </c>
      <c r="E422" s="21">
        <f t="shared" si="645"/>
        <v>0</v>
      </c>
      <c r="F422" s="21">
        <f t="shared" si="604"/>
        <v>134.16999999999999</v>
      </c>
      <c r="G422" s="21">
        <f t="shared" si="600"/>
        <v>188.55</v>
      </c>
      <c r="H422" s="21">
        <f t="shared" si="601"/>
        <v>322.72000000000003</v>
      </c>
      <c r="I422" s="345">
        <f t="shared" si="605"/>
        <v>97532.849999999991</v>
      </c>
      <c r="J422" s="345">
        <f t="shared" si="606"/>
        <v>64871.789999999986</v>
      </c>
      <c r="K422" s="345">
        <f t="shared" si="607"/>
        <v>0</v>
      </c>
      <c r="L422" s="426">
        <f t="shared" si="587"/>
        <v>30</v>
      </c>
      <c r="M422" s="426">
        <f t="shared" si="651"/>
        <v>363</v>
      </c>
      <c r="N422" s="345">
        <f t="shared" si="681"/>
        <v>0</v>
      </c>
      <c r="O422" s="345">
        <f t="shared" si="619"/>
        <v>0</v>
      </c>
      <c r="P422" s="345">
        <f t="shared" si="660"/>
        <v>0</v>
      </c>
      <c r="Q422" s="345">
        <f t="shared" si="620"/>
        <v>0</v>
      </c>
      <c r="R422" s="345">
        <f t="shared" si="611"/>
        <v>134.16999999999999</v>
      </c>
      <c r="S422" s="345">
        <f t="shared" si="612"/>
        <v>188.55</v>
      </c>
      <c r="T422" s="345">
        <f t="shared" si="608"/>
        <v>322.72000000000003</v>
      </c>
      <c r="U422" s="345">
        <f t="shared" si="661"/>
        <v>261577.66000000012</v>
      </c>
      <c r="V422" s="345">
        <f t="shared" si="662"/>
        <v>318227.53999999998</v>
      </c>
      <c r="W422" s="345">
        <f t="shared" si="609"/>
        <v>0</v>
      </c>
      <c r="X422" s="505" t="str">
        <f t="shared" si="653"/>
        <v xml:space="preserve"> </v>
      </c>
      <c r="Y422" s="345">
        <f t="shared" si="621"/>
        <v>242325.66000000029</v>
      </c>
      <c r="Z422" s="495">
        <f t="shared" si="646"/>
        <v>6.25E-2</v>
      </c>
      <c r="AA422" s="345">
        <f t="shared" si="647"/>
        <v>1630.04</v>
      </c>
      <c r="AB422" s="345">
        <f t="shared" si="622"/>
        <v>367.93000000000006</v>
      </c>
      <c r="AC422" s="345">
        <f t="shared" si="648"/>
        <v>1262.1099999999999</v>
      </c>
      <c r="AD422" s="345">
        <f t="shared" ref="AD422:AE422" si="686">+AD421</f>
        <v>134.16999999999999</v>
      </c>
      <c r="AE422" s="345">
        <f t="shared" si="686"/>
        <v>188.55</v>
      </c>
      <c r="AF422" s="345">
        <f t="shared" si="624"/>
        <v>1952.76</v>
      </c>
      <c r="AG422" s="345">
        <f t="shared" si="625"/>
        <v>89235.669999999911</v>
      </c>
      <c r="AH422" s="345">
        <f t="shared" si="626"/>
        <v>498325.09000000032</v>
      </c>
      <c r="AI422" s="513">
        <f t="shared" si="614"/>
        <v>-7755.5600000000313</v>
      </c>
      <c r="AJ422" s="513">
        <f t="shared" si="674"/>
        <v>-241957.7300000003</v>
      </c>
      <c r="AK422" s="512">
        <f t="shared" si="615"/>
        <v>-249713.29000000033</v>
      </c>
      <c r="AL422" s="345">
        <f t="shared" si="627"/>
        <v>241957.7300000003</v>
      </c>
      <c r="AM422" s="426">
        <f t="shared" si="655"/>
        <v>30</v>
      </c>
      <c r="AN422" s="21">
        <f t="shared" si="616"/>
        <v>0</v>
      </c>
      <c r="AO422" s="21">
        <f t="shared" si="585"/>
        <v>0</v>
      </c>
      <c r="AP422" s="21">
        <f t="shared" si="617"/>
        <v>0</v>
      </c>
      <c r="AQ422" s="21"/>
      <c r="AR422" s="23"/>
      <c r="AS422" s="21">
        <f t="shared" si="650"/>
        <v>0</v>
      </c>
      <c r="AT422" s="21">
        <f t="shared" si="656"/>
        <v>0</v>
      </c>
      <c r="AU422" s="345">
        <f t="shared" si="657"/>
        <v>0</v>
      </c>
      <c r="AV422" s="345">
        <f t="shared" si="658"/>
        <v>0</v>
      </c>
    </row>
    <row r="423" spans="1:48" x14ac:dyDescent="0.25">
      <c r="A423" s="502" t="str">
        <f t="shared" si="603"/>
        <v xml:space="preserve"> </v>
      </c>
      <c r="B423" s="285">
        <f t="shared" si="597"/>
        <v>0</v>
      </c>
      <c r="C423" s="14">
        <f t="shared" si="644"/>
        <v>0</v>
      </c>
      <c r="D423" s="14">
        <f t="shared" si="659"/>
        <v>0</v>
      </c>
      <c r="E423" s="14">
        <f t="shared" si="645"/>
        <v>0</v>
      </c>
      <c r="F423" s="14">
        <f t="shared" si="604"/>
        <v>134.16999999999999</v>
      </c>
      <c r="G423" s="14">
        <f t="shared" si="600"/>
        <v>188.55</v>
      </c>
      <c r="H423" s="14">
        <f t="shared" si="601"/>
        <v>322.72000000000003</v>
      </c>
      <c r="I423" s="285">
        <f t="shared" si="605"/>
        <v>97532.849999999991</v>
      </c>
      <c r="J423" s="285">
        <f t="shared" si="606"/>
        <v>64871.789999999986</v>
      </c>
      <c r="K423" s="285">
        <f t="shared" si="607"/>
        <v>0</v>
      </c>
      <c r="L423" s="425">
        <f t="shared" si="587"/>
        <v>30</v>
      </c>
      <c r="M423" s="425">
        <f t="shared" si="651"/>
        <v>364</v>
      </c>
      <c r="N423" s="285">
        <f t="shared" si="681"/>
        <v>0</v>
      </c>
      <c r="O423" s="285">
        <f t="shared" si="619"/>
        <v>0</v>
      </c>
      <c r="P423" s="285">
        <f t="shared" si="660"/>
        <v>0</v>
      </c>
      <c r="Q423" s="285">
        <f t="shared" si="620"/>
        <v>0</v>
      </c>
      <c r="R423" s="285">
        <f t="shared" si="611"/>
        <v>134.16999999999999</v>
      </c>
      <c r="S423" s="285">
        <f t="shared" si="612"/>
        <v>188.55</v>
      </c>
      <c r="T423" s="285">
        <f t="shared" si="608"/>
        <v>322.72000000000003</v>
      </c>
      <c r="U423" s="285">
        <f t="shared" si="661"/>
        <v>261577.66000000012</v>
      </c>
      <c r="V423" s="285">
        <f t="shared" si="662"/>
        <v>318227.53999999998</v>
      </c>
      <c r="W423" s="285">
        <f t="shared" si="609"/>
        <v>0</v>
      </c>
      <c r="X423" s="502" t="str">
        <f t="shared" si="653"/>
        <v xml:space="preserve"> </v>
      </c>
      <c r="Y423" s="285">
        <f t="shared" si="621"/>
        <v>241957.7300000003</v>
      </c>
      <c r="Z423" s="494">
        <f t="shared" si="646"/>
        <v>6.25E-2</v>
      </c>
      <c r="AA423" s="285">
        <f t="shared" si="647"/>
        <v>1630.04</v>
      </c>
      <c r="AB423" s="285">
        <f t="shared" si="622"/>
        <v>369.83999999999992</v>
      </c>
      <c r="AC423" s="285">
        <f t="shared" si="648"/>
        <v>1260.2</v>
      </c>
      <c r="AD423" s="285">
        <f t="shared" ref="AD423:AE423" si="687">+AD422</f>
        <v>134.16999999999999</v>
      </c>
      <c r="AE423" s="285">
        <f t="shared" si="687"/>
        <v>188.55</v>
      </c>
      <c r="AF423" s="285">
        <f t="shared" si="624"/>
        <v>1952.76</v>
      </c>
      <c r="AG423" s="285">
        <f t="shared" si="625"/>
        <v>89605.509999999907</v>
      </c>
      <c r="AH423" s="285">
        <f t="shared" si="626"/>
        <v>499585.29000000033</v>
      </c>
      <c r="AI423" s="512">
        <f t="shared" si="614"/>
        <v>-9385.6000000000313</v>
      </c>
      <c r="AJ423" s="512">
        <f t="shared" si="674"/>
        <v>-241587.89000000031</v>
      </c>
      <c r="AK423" s="512">
        <f t="shared" si="615"/>
        <v>-250973.49000000034</v>
      </c>
      <c r="AL423" s="285">
        <f t="shared" si="627"/>
        <v>241587.89000000031</v>
      </c>
      <c r="AM423" s="425">
        <f t="shared" si="655"/>
        <v>30</v>
      </c>
      <c r="AN423" s="14">
        <f t="shared" si="616"/>
        <v>0</v>
      </c>
      <c r="AO423" s="14">
        <f t="shared" si="585"/>
        <v>0</v>
      </c>
      <c r="AP423" s="14">
        <f t="shared" si="617"/>
        <v>0</v>
      </c>
      <c r="AS423" s="14">
        <f t="shared" si="650"/>
        <v>0</v>
      </c>
      <c r="AT423" s="14">
        <f t="shared" si="656"/>
        <v>0</v>
      </c>
      <c r="AU423" s="285">
        <f t="shared" si="657"/>
        <v>0</v>
      </c>
      <c r="AV423" s="285">
        <f t="shared" si="658"/>
        <v>0</v>
      </c>
    </row>
    <row r="424" spans="1:48" x14ac:dyDescent="0.25">
      <c r="A424" s="502" t="str">
        <f t="shared" si="603"/>
        <v xml:space="preserve"> </v>
      </c>
      <c r="B424" s="285">
        <f t="shared" si="597"/>
        <v>0</v>
      </c>
      <c r="C424" s="14">
        <f t="shared" si="644"/>
        <v>0</v>
      </c>
      <c r="D424" s="14">
        <f t="shared" si="659"/>
        <v>0</v>
      </c>
      <c r="E424" s="14">
        <f t="shared" si="645"/>
        <v>0</v>
      </c>
      <c r="F424" s="14">
        <f t="shared" si="604"/>
        <v>134.16999999999999</v>
      </c>
      <c r="G424" s="14">
        <f t="shared" si="600"/>
        <v>188.55</v>
      </c>
      <c r="H424" s="14">
        <f t="shared" si="601"/>
        <v>322.72000000000003</v>
      </c>
      <c r="I424" s="285">
        <f t="shared" si="605"/>
        <v>97532.849999999991</v>
      </c>
      <c r="J424" s="285">
        <f t="shared" si="606"/>
        <v>64871.789999999986</v>
      </c>
      <c r="K424" s="285">
        <f t="shared" si="607"/>
        <v>0</v>
      </c>
      <c r="L424" s="425">
        <f t="shared" si="587"/>
        <v>30</v>
      </c>
      <c r="M424" s="425">
        <f t="shared" si="651"/>
        <v>365</v>
      </c>
      <c r="N424" s="285">
        <f t="shared" si="681"/>
        <v>0</v>
      </c>
      <c r="O424" s="285">
        <f t="shared" si="619"/>
        <v>0</v>
      </c>
      <c r="P424" s="285">
        <f t="shared" si="660"/>
        <v>0</v>
      </c>
      <c r="Q424" s="285">
        <f t="shared" si="620"/>
        <v>0</v>
      </c>
      <c r="R424" s="285">
        <f t="shared" si="611"/>
        <v>134.16999999999999</v>
      </c>
      <c r="S424" s="285">
        <f t="shared" si="612"/>
        <v>188.55</v>
      </c>
      <c r="T424" s="285">
        <f t="shared" si="608"/>
        <v>322.72000000000003</v>
      </c>
      <c r="U424" s="285">
        <f t="shared" si="661"/>
        <v>261577.66000000012</v>
      </c>
      <c r="V424" s="285">
        <f t="shared" si="662"/>
        <v>318227.53999999998</v>
      </c>
      <c r="W424" s="285">
        <f t="shared" si="609"/>
        <v>0</v>
      </c>
      <c r="X424" s="502" t="str">
        <f t="shared" si="653"/>
        <v xml:space="preserve"> </v>
      </c>
      <c r="Y424" s="285">
        <f t="shared" si="621"/>
        <v>241587.89000000031</v>
      </c>
      <c r="Z424" s="494">
        <f t="shared" si="646"/>
        <v>6.25E-2</v>
      </c>
      <c r="AA424" s="285">
        <f t="shared" si="647"/>
        <v>1630.04</v>
      </c>
      <c r="AB424" s="285">
        <f t="shared" si="622"/>
        <v>371.77</v>
      </c>
      <c r="AC424" s="285">
        <f t="shared" si="648"/>
        <v>1258.27</v>
      </c>
      <c r="AD424" s="285">
        <f t="shared" ref="AD424:AE424" si="688">+AD423</f>
        <v>134.16999999999999</v>
      </c>
      <c r="AE424" s="285">
        <f t="shared" si="688"/>
        <v>188.55</v>
      </c>
      <c r="AF424" s="285">
        <f t="shared" si="624"/>
        <v>1952.76</v>
      </c>
      <c r="AG424" s="285">
        <f t="shared" si="625"/>
        <v>89977.279999999912</v>
      </c>
      <c r="AH424" s="285">
        <f t="shared" si="626"/>
        <v>500843.56000000035</v>
      </c>
      <c r="AI424" s="512">
        <f t="shared" si="614"/>
        <v>-11015.640000000032</v>
      </c>
      <c r="AJ424" s="512">
        <f t="shared" si="674"/>
        <v>-241216.12000000032</v>
      </c>
      <c r="AK424" s="512">
        <f t="shared" si="615"/>
        <v>-252231.76000000036</v>
      </c>
      <c r="AL424" s="285">
        <f t="shared" si="627"/>
        <v>241216.12000000032</v>
      </c>
      <c r="AM424" s="425">
        <f t="shared" si="655"/>
        <v>30</v>
      </c>
      <c r="AN424" s="14">
        <f t="shared" si="616"/>
        <v>0</v>
      </c>
      <c r="AO424" s="14">
        <f t="shared" si="585"/>
        <v>0</v>
      </c>
      <c r="AP424" s="14">
        <f t="shared" si="617"/>
        <v>0</v>
      </c>
      <c r="AS424" s="14">
        <f t="shared" si="650"/>
        <v>0</v>
      </c>
      <c r="AT424" s="14">
        <f t="shared" si="656"/>
        <v>0</v>
      </c>
      <c r="AU424" s="285">
        <f t="shared" si="657"/>
        <v>0</v>
      </c>
      <c r="AV424" s="285">
        <f t="shared" si="658"/>
        <v>0</v>
      </c>
    </row>
    <row r="425" spans="1:48" x14ac:dyDescent="0.25">
      <c r="A425" s="502" t="str">
        <f t="shared" si="603"/>
        <v xml:space="preserve"> </v>
      </c>
      <c r="B425" s="285">
        <f t="shared" si="597"/>
        <v>0</v>
      </c>
      <c r="C425" s="14">
        <f t="shared" si="644"/>
        <v>0</v>
      </c>
      <c r="D425" s="14">
        <f t="shared" si="659"/>
        <v>0</v>
      </c>
      <c r="E425" s="14">
        <f t="shared" si="645"/>
        <v>0</v>
      </c>
      <c r="F425" s="14">
        <f t="shared" si="604"/>
        <v>134.16999999999999</v>
      </c>
      <c r="G425" s="14">
        <f t="shared" si="600"/>
        <v>188.55</v>
      </c>
      <c r="H425" s="14">
        <f t="shared" si="601"/>
        <v>322.72000000000003</v>
      </c>
      <c r="I425" s="285">
        <f t="shared" si="605"/>
        <v>97532.849999999991</v>
      </c>
      <c r="J425" s="285">
        <f t="shared" si="606"/>
        <v>64871.789999999986</v>
      </c>
      <c r="K425" s="285">
        <f t="shared" si="607"/>
        <v>0</v>
      </c>
      <c r="L425" s="425">
        <f t="shared" si="587"/>
        <v>30</v>
      </c>
      <c r="M425" s="425">
        <f t="shared" si="651"/>
        <v>366</v>
      </c>
      <c r="N425" s="285">
        <f t="shared" si="681"/>
        <v>0</v>
      </c>
      <c r="O425" s="285">
        <f t="shared" si="619"/>
        <v>0</v>
      </c>
      <c r="P425" s="285">
        <f t="shared" si="660"/>
        <v>0</v>
      </c>
      <c r="Q425" s="285">
        <f t="shared" si="620"/>
        <v>0</v>
      </c>
      <c r="R425" s="285">
        <f t="shared" si="611"/>
        <v>134.16999999999999</v>
      </c>
      <c r="S425" s="285">
        <f t="shared" si="612"/>
        <v>188.55</v>
      </c>
      <c r="T425" s="285">
        <f t="shared" si="608"/>
        <v>322.72000000000003</v>
      </c>
      <c r="U425" s="285">
        <f t="shared" si="661"/>
        <v>261577.66000000012</v>
      </c>
      <c r="V425" s="285">
        <f t="shared" si="662"/>
        <v>318227.53999999998</v>
      </c>
      <c r="W425" s="285">
        <f t="shared" si="609"/>
        <v>0</v>
      </c>
      <c r="X425" s="502" t="str">
        <f t="shared" si="653"/>
        <v xml:space="preserve"> </v>
      </c>
      <c r="Y425" s="285">
        <f t="shared" si="621"/>
        <v>241216.12000000032</v>
      </c>
      <c r="Z425" s="494">
        <f t="shared" si="646"/>
        <v>6.25E-2</v>
      </c>
      <c r="AA425" s="285">
        <f t="shared" si="647"/>
        <v>1630.04</v>
      </c>
      <c r="AB425" s="285">
        <f t="shared" si="622"/>
        <v>373.71000000000004</v>
      </c>
      <c r="AC425" s="285">
        <f t="shared" si="648"/>
        <v>1256.33</v>
      </c>
      <c r="AD425" s="285">
        <f t="shared" ref="AD425:AE425" si="689">+AD424</f>
        <v>134.16999999999999</v>
      </c>
      <c r="AE425" s="285">
        <f t="shared" si="689"/>
        <v>188.55</v>
      </c>
      <c r="AF425" s="285">
        <f t="shared" si="624"/>
        <v>1952.76</v>
      </c>
      <c r="AG425" s="285">
        <f t="shared" si="625"/>
        <v>90350.989999999918</v>
      </c>
      <c r="AH425" s="285">
        <f t="shared" si="626"/>
        <v>502099.89000000036</v>
      </c>
      <c r="AI425" s="512">
        <f t="shared" si="614"/>
        <v>-12645.680000000033</v>
      </c>
      <c r="AJ425" s="512">
        <f t="shared" si="674"/>
        <v>-240842.41000000032</v>
      </c>
      <c r="AK425" s="512">
        <f t="shared" si="615"/>
        <v>-253488.09000000035</v>
      </c>
      <c r="AL425" s="285">
        <f t="shared" si="627"/>
        <v>240842.41000000032</v>
      </c>
      <c r="AM425" s="425">
        <f t="shared" si="655"/>
        <v>30</v>
      </c>
      <c r="AN425" s="14">
        <f t="shared" si="616"/>
        <v>0</v>
      </c>
      <c r="AO425" s="14">
        <f t="shared" si="585"/>
        <v>0</v>
      </c>
      <c r="AP425" s="14">
        <f t="shared" si="617"/>
        <v>0</v>
      </c>
      <c r="AS425" s="14">
        <f t="shared" si="650"/>
        <v>0</v>
      </c>
      <c r="AT425" s="14">
        <f t="shared" si="656"/>
        <v>0</v>
      </c>
      <c r="AU425" s="285">
        <f t="shared" si="657"/>
        <v>0</v>
      </c>
      <c r="AV425" s="285">
        <f t="shared" si="658"/>
        <v>0</v>
      </c>
    </row>
    <row r="426" spans="1:48" x14ac:dyDescent="0.25">
      <c r="A426" s="502" t="str">
        <f t="shared" si="603"/>
        <v xml:space="preserve"> </v>
      </c>
      <c r="B426" s="285">
        <f t="shared" si="597"/>
        <v>0</v>
      </c>
      <c r="C426" s="14">
        <f t="shared" si="644"/>
        <v>0</v>
      </c>
      <c r="D426" s="14">
        <f t="shared" si="659"/>
        <v>0</v>
      </c>
      <c r="E426" s="14">
        <f t="shared" si="645"/>
        <v>0</v>
      </c>
      <c r="F426" s="14">
        <f t="shared" si="604"/>
        <v>134.16999999999999</v>
      </c>
      <c r="G426" s="14">
        <f t="shared" si="600"/>
        <v>188.55</v>
      </c>
      <c r="H426" s="14">
        <f t="shared" si="601"/>
        <v>322.72000000000003</v>
      </c>
      <c r="I426" s="285">
        <f t="shared" si="605"/>
        <v>97532.849999999991</v>
      </c>
      <c r="J426" s="285">
        <f t="shared" si="606"/>
        <v>64871.789999999986</v>
      </c>
      <c r="K426" s="285">
        <f t="shared" si="607"/>
        <v>0</v>
      </c>
      <c r="L426" s="425">
        <f t="shared" si="587"/>
        <v>30</v>
      </c>
      <c r="M426" s="425">
        <f t="shared" si="651"/>
        <v>367</v>
      </c>
      <c r="N426" s="285">
        <f t="shared" si="681"/>
        <v>0</v>
      </c>
      <c r="O426" s="285">
        <f t="shared" si="619"/>
        <v>0</v>
      </c>
      <c r="P426" s="285">
        <f t="shared" si="660"/>
        <v>0</v>
      </c>
      <c r="Q426" s="285">
        <f t="shared" si="620"/>
        <v>0</v>
      </c>
      <c r="R426" s="285">
        <f t="shared" si="611"/>
        <v>134.16999999999999</v>
      </c>
      <c r="S426" s="285">
        <f t="shared" si="612"/>
        <v>188.55</v>
      </c>
      <c r="T426" s="285">
        <f t="shared" si="608"/>
        <v>322.72000000000003</v>
      </c>
      <c r="U426" s="285">
        <f t="shared" si="661"/>
        <v>261577.66000000012</v>
      </c>
      <c r="V426" s="285">
        <f t="shared" si="662"/>
        <v>318227.53999999998</v>
      </c>
      <c r="W426" s="285">
        <f t="shared" si="609"/>
        <v>0</v>
      </c>
      <c r="X426" s="502" t="str">
        <f t="shared" si="653"/>
        <v xml:space="preserve"> </v>
      </c>
      <c r="Y426" s="285">
        <f t="shared" si="621"/>
        <v>240842.41000000032</v>
      </c>
      <c r="Z426" s="494">
        <f t="shared" si="646"/>
        <v>6.25E-2</v>
      </c>
      <c r="AA426" s="285">
        <f t="shared" si="647"/>
        <v>1630.04</v>
      </c>
      <c r="AB426" s="285">
        <f t="shared" si="622"/>
        <v>375.64999999999986</v>
      </c>
      <c r="AC426" s="285">
        <f t="shared" si="648"/>
        <v>1254.3900000000001</v>
      </c>
      <c r="AD426" s="285">
        <f t="shared" ref="AD426:AE426" si="690">+AD425</f>
        <v>134.16999999999999</v>
      </c>
      <c r="AE426" s="285">
        <f t="shared" si="690"/>
        <v>188.55</v>
      </c>
      <c r="AF426" s="285">
        <f t="shared" si="624"/>
        <v>1952.76</v>
      </c>
      <c r="AG426" s="285">
        <f t="shared" si="625"/>
        <v>90726.639999999912</v>
      </c>
      <c r="AH426" s="285">
        <f t="shared" si="626"/>
        <v>503354.28000000038</v>
      </c>
      <c r="AI426" s="512">
        <f t="shared" si="614"/>
        <v>-14275.720000000034</v>
      </c>
      <c r="AJ426" s="512">
        <f t="shared" si="674"/>
        <v>-240466.76000000033</v>
      </c>
      <c r="AK426" s="512">
        <f t="shared" si="615"/>
        <v>-254742.48000000036</v>
      </c>
      <c r="AL426" s="285">
        <f t="shared" si="627"/>
        <v>240466.76000000033</v>
      </c>
      <c r="AM426" s="425">
        <f t="shared" si="655"/>
        <v>30</v>
      </c>
      <c r="AN426" s="14">
        <f t="shared" si="616"/>
        <v>0</v>
      </c>
      <c r="AO426" s="14">
        <f t="shared" si="585"/>
        <v>0</v>
      </c>
      <c r="AP426" s="14">
        <f t="shared" si="617"/>
        <v>0</v>
      </c>
      <c r="AS426" s="14">
        <f t="shared" si="650"/>
        <v>0</v>
      </c>
      <c r="AT426" s="14">
        <f t="shared" si="656"/>
        <v>0</v>
      </c>
      <c r="AU426" s="285">
        <f t="shared" si="657"/>
        <v>0</v>
      </c>
      <c r="AV426" s="285">
        <f t="shared" si="658"/>
        <v>0</v>
      </c>
    </row>
    <row r="427" spans="1:48" x14ac:dyDescent="0.25">
      <c r="A427" s="502" t="str">
        <f t="shared" si="603"/>
        <v xml:space="preserve"> </v>
      </c>
      <c r="B427" s="285">
        <f t="shared" si="597"/>
        <v>0</v>
      </c>
      <c r="C427" s="14">
        <f t="shared" si="644"/>
        <v>0</v>
      </c>
      <c r="D427" s="14">
        <f t="shared" si="659"/>
        <v>0</v>
      </c>
      <c r="E427" s="14">
        <f t="shared" si="645"/>
        <v>0</v>
      </c>
      <c r="F427" s="14">
        <f t="shared" si="604"/>
        <v>134.16999999999999</v>
      </c>
      <c r="G427" s="14">
        <f t="shared" si="600"/>
        <v>188.55</v>
      </c>
      <c r="H427" s="14">
        <f t="shared" si="601"/>
        <v>322.72000000000003</v>
      </c>
      <c r="I427" s="285">
        <f t="shared" si="605"/>
        <v>97532.849999999991</v>
      </c>
      <c r="J427" s="285">
        <f t="shared" si="606"/>
        <v>64871.789999999986</v>
      </c>
      <c r="K427" s="285">
        <f t="shared" si="607"/>
        <v>0</v>
      </c>
      <c r="L427" s="425">
        <f t="shared" si="587"/>
        <v>30</v>
      </c>
      <c r="M427" s="425">
        <f t="shared" si="651"/>
        <v>368</v>
      </c>
      <c r="N427" s="285">
        <f t="shared" si="681"/>
        <v>0</v>
      </c>
      <c r="O427" s="285">
        <f t="shared" si="619"/>
        <v>0</v>
      </c>
      <c r="P427" s="285">
        <f t="shared" si="660"/>
        <v>0</v>
      </c>
      <c r="Q427" s="285">
        <f t="shared" si="620"/>
        <v>0</v>
      </c>
      <c r="R427" s="285">
        <f t="shared" si="611"/>
        <v>134.16999999999999</v>
      </c>
      <c r="S427" s="285">
        <f t="shared" si="612"/>
        <v>188.55</v>
      </c>
      <c r="T427" s="285">
        <f t="shared" si="608"/>
        <v>322.72000000000003</v>
      </c>
      <c r="U427" s="285">
        <f t="shared" si="661"/>
        <v>261577.66000000012</v>
      </c>
      <c r="V427" s="285">
        <f t="shared" si="662"/>
        <v>318227.53999999998</v>
      </c>
      <c r="W427" s="285">
        <f t="shared" si="609"/>
        <v>0</v>
      </c>
      <c r="X427" s="502" t="str">
        <f t="shared" si="653"/>
        <v xml:space="preserve"> </v>
      </c>
      <c r="Y427" s="285">
        <f t="shared" si="621"/>
        <v>240466.76000000033</v>
      </c>
      <c r="Z427" s="494">
        <f t="shared" si="646"/>
        <v>6.25E-2</v>
      </c>
      <c r="AA427" s="285">
        <f t="shared" si="647"/>
        <v>1630.04</v>
      </c>
      <c r="AB427" s="285">
        <f t="shared" si="622"/>
        <v>377.6099999999999</v>
      </c>
      <c r="AC427" s="285">
        <f t="shared" si="648"/>
        <v>1252.43</v>
      </c>
      <c r="AD427" s="285">
        <f t="shared" ref="AD427:AE427" si="691">+AD426</f>
        <v>134.16999999999999</v>
      </c>
      <c r="AE427" s="285">
        <f t="shared" si="691"/>
        <v>188.55</v>
      </c>
      <c r="AF427" s="285">
        <f t="shared" si="624"/>
        <v>1952.76</v>
      </c>
      <c r="AG427" s="285">
        <f t="shared" si="625"/>
        <v>91104.249999999913</v>
      </c>
      <c r="AH427" s="285">
        <f t="shared" si="626"/>
        <v>504606.71000000037</v>
      </c>
      <c r="AI427" s="512">
        <f t="shared" si="614"/>
        <v>-15905.760000000035</v>
      </c>
      <c r="AJ427" s="512">
        <f t="shared" si="674"/>
        <v>-240089.15000000034</v>
      </c>
      <c r="AK427" s="512">
        <f t="shared" si="615"/>
        <v>-255994.91000000038</v>
      </c>
      <c r="AL427" s="285">
        <f t="shared" si="627"/>
        <v>240089.15000000034</v>
      </c>
      <c r="AM427" s="425">
        <f t="shared" si="655"/>
        <v>30</v>
      </c>
      <c r="AN427" s="14">
        <f t="shared" si="616"/>
        <v>0</v>
      </c>
      <c r="AO427" s="14">
        <f t="shared" si="585"/>
        <v>0</v>
      </c>
      <c r="AP427" s="14">
        <f t="shared" si="617"/>
        <v>0</v>
      </c>
      <c r="AS427" s="14">
        <f t="shared" si="650"/>
        <v>0</v>
      </c>
      <c r="AT427" s="14">
        <f t="shared" si="656"/>
        <v>0</v>
      </c>
      <c r="AU427" s="285">
        <f t="shared" si="657"/>
        <v>0</v>
      </c>
      <c r="AV427" s="285">
        <f t="shared" si="658"/>
        <v>0</v>
      </c>
    </row>
    <row r="428" spans="1:48" x14ac:dyDescent="0.25">
      <c r="A428" s="502" t="str">
        <f t="shared" si="603"/>
        <v xml:space="preserve"> </v>
      </c>
      <c r="B428" s="285">
        <f t="shared" si="597"/>
        <v>0</v>
      </c>
      <c r="C428" s="14">
        <f t="shared" si="644"/>
        <v>0</v>
      </c>
      <c r="D428" s="14">
        <f t="shared" si="659"/>
        <v>0</v>
      </c>
      <c r="E428" s="14">
        <f t="shared" si="645"/>
        <v>0</v>
      </c>
      <c r="F428" s="14">
        <f t="shared" si="604"/>
        <v>134.16999999999999</v>
      </c>
      <c r="G428" s="14">
        <f t="shared" si="600"/>
        <v>188.55</v>
      </c>
      <c r="H428" s="14">
        <f t="shared" si="601"/>
        <v>322.72000000000003</v>
      </c>
      <c r="I428" s="285">
        <f t="shared" si="605"/>
        <v>97532.849999999991</v>
      </c>
      <c r="J428" s="285">
        <f t="shared" si="606"/>
        <v>64871.789999999986</v>
      </c>
      <c r="K428" s="285">
        <f t="shared" si="607"/>
        <v>0</v>
      </c>
      <c r="L428" s="425">
        <f t="shared" si="587"/>
        <v>30</v>
      </c>
      <c r="M428" s="425">
        <f t="shared" si="651"/>
        <v>369</v>
      </c>
      <c r="N428" s="285">
        <f t="shared" si="681"/>
        <v>0</v>
      </c>
      <c r="O428" s="285">
        <f t="shared" si="619"/>
        <v>0</v>
      </c>
      <c r="P428" s="285">
        <f t="shared" si="660"/>
        <v>0</v>
      </c>
      <c r="Q428" s="285">
        <f t="shared" si="620"/>
        <v>0</v>
      </c>
      <c r="R428" s="285">
        <f t="shared" si="611"/>
        <v>134.16999999999999</v>
      </c>
      <c r="S428" s="285">
        <f t="shared" si="612"/>
        <v>188.55</v>
      </c>
      <c r="T428" s="285">
        <f t="shared" si="608"/>
        <v>322.72000000000003</v>
      </c>
      <c r="U428" s="285">
        <f t="shared" si="661"/>
        <v>261577.66000000012</v>
      </c>
      <c r="V428" s="285">
        <f t="shared" si="662"/>
        <v>318227.53999999998</v>
      </c>
      <c r="W428" s="285">
        <f t="shared" si="609"/>
        <v>0</v>
      </c>
      <c r="X428" s="502" t="str">
        <f t="shared" si="653"/>
        <v xml:space="preserve"> </v>
      </c>
      <c r="Y428" s="285">
        <f t="shared" si="621"/>
        <v>240089.15000000034</v>
      </c>
      <c r="Z428" s="494">
        <f t="shared" si="646"/>
        <v>6.25E-2</v>
      </c>
      <c r="AA428" s="285">
        <f t="shared" si="647"/>
        <v>1630.04</v>
      </c>
      <c r="AB428" s="285">
        <f t="shared" si="622"/>
        <v>379.57999999999993</v>
      </c>
      <c r="AC428" s="285">
        <f t="shared" si="648"/>
        <v>1250.46</v>
      </c>
      <c r="AD428" s="285">
        <f t="shared" ref="AD428:AE428" si="692">+AD427</f>
        <v>134.16999999999999</v>
      </c>
      <c r="AE428" s="285">
        <f t="shared" si="692"/>
        <v>188.55</v>
      </c>
      <c r="AF428" s="285">
        <f t="shared" si="624"/>
        <v>1952.76</v>
      </c>
      <c r="AG428" s="285">
        <f t="shared" si="625"/>
        <v>91483.829999999914</v>
      </c>
      <c r="AH428" s="285">
        <f t="shared" si="626"/>
        <v>505857.17000000039</v>
      </c>
      <c r="AI428" s="512">
        <f t="shared" si="614"/>
        <v>-17535.800000000036</v>
      </c>
      <c r="AJ428" s="512">
        <f t="shared" si="674"/>
        <v>-239709.57000000036</v>
      </c>
      <c r="AK428" s="512">
        <f t="shared" si="615"/>
        <v>-257245.3700000004</v>
      </c>
      <c r="AL428" s="285">
        <f t="shared" si="627"/>
        <v>239709.57000000036</v>
      </c>
      <c r="AM428" s="425">
        <f t="shared" si="655"/>
        <v>30</v>
      </c>
      <c r="AN428" s="14">
        <f t="shared" si="616"/>
        <v>0</v>
      </c>
      <c r="AO428" s="14">
        <f t="shared" si="585"/>
        <v>0</v>
      </c>
      <c r="AP428" s="14">
        <f t="shared" si="617"/>
        <v>0</v>
      </c>
      <c r="AS428" s="14">
        <f t="shared" si="650"/>
        <v>0</v>
      </c>
      <c r="AT428" s="14">
        <f t="shared" si="656"/>
        <v>0</v>
      </c>
      <c r="AU428" s="285">
        <f t="shared" si="657"/>
        <v>0</v>
      </c>
      <c r="AV428" s="285">
        <f t="shared" si="658"/>
        <v>0</v>
      </c>
    </row>
    <row r="429" spans="1:48" x14ac:dyDescent="0.25">
      <c r="A429" s="502" t="str">
        <f t="shared" si="603"/>
        <v xml:space="preserve"> </v>
      </c>
      <c r="B429" s="285">
        <f t="shared" si="597"/>
        <v>0</v>
      </c>
      <c r="C429" s="14">
        <f t="shared" si="644"/>
        <v>0</v>
      </c>
      <c r="D429" s="14">
        <f t="shared" si="659"/>
        <v>0</v>
      </c>
      <c r="E429" s="14">
        <f t="shared" si="645"/>
        <v>0</v>
      </c>
      <c r="F429" s="14">
        <f t="shared" si="604"/>
        <v>134.16999999999999</v>
      </c>
      <c r="G429" s="14">
        <f t="shared" si="600"/>
        <v>188.55</v>
      </c>
      <c r="H429" s="14">
        <f t="shared" si="601"/>
        <v>322.72000000000003</v>
      </c>
      <c r="I429" s="285">
        <f t="shared" si="605"/>
        <v>97532.849999999991</v>
      </c>
      <c r="J429" s="285">
        <f t="shared" si="606"/>
        <v>64871.789999999986</v>
      </c>
      <c r="K429" s="285">
        <f t="shared" si="607"/>
        <v>0</v>
      </c>
      <c r="L429" s="425">
        <f t="shared" si="587"/>
        <v>30</v>
      </c>
      <c r="M429" s="425">
        <f t="shared" si="651"/>
        <v>370</v>
      </c>
      <c r="N429" s="285">
        <f t="shared" si="681"/>
        <v>0</v>
      </c>
      <c r="O429" s="285">
        <f t="shared" si="619"/>
        <v>0</v>
      </c>
      <c r="P429" s="285">
        <f t="shared" si="660"/>
        <v>0</v>
      </c>
      <c r="Q429" s="285">
        <f t="shared" si="620"/>
        <v>0</v>
      </c>
      <c r="R429" s="285">
        <f t="shared" si="611"/>
        <v>134.16999999999999</v>
      </c>
      <c r="S429" s="285">
        <f t="shared" si="612"/>
        <v>188.55</v>
      </c>
      <c r="T429" s="285">
        <f t="shared" si="608"/>
        <v>322.72000000000003</v>
      </c>
      <c r="U429" s="285">
        <f t="shared" si="661"/>
        <v>261577.66000000012</v>
      </c>
      <c r="V429" s="285">
        <f t="shared" si="662"/>
        <v>318227.53999999998</v>
      </c>
      <c r="W429" s="285">
        <f t="shared" si="609"/>
        <v>0</v>
      </c>
      <c r="X429" s="502" t="str">
        <f t="shared" si="653"/>
        <v xml:space="preserve"> </v>
      </c>
      <c r="Y429" s="285">
        <f t="shared" si="621"/>
        <v>239709.57000000036</v>
      </c>
      <c r="Z429" s="494">
        <f t="shared" si="646"/>
        <v>6.25E-2</v>
      </c>
      <c r="AA429" s="285">
        <f t="shared" si="647"/>
        <v>1630.04</v>
      </c>
      <c r="AB429" s="285">
        <f t="shared" si="622"/>
        <v>381.54999999999995</v>
      </c>
      <c r="AC429" s="285">
        <f t="shared" si="648"/>
        <v>1248.49</v>
      </c>
      <c r="AD429" s="285">
        <f t="shared" ref="AD429:AE429" si="693">+AD428</f>
        <v>134.16999999999999</v>
      </c>
      <c r="AE429" s="285">
        <f t="shared" si="693"/>
        <v>188.55</v>
      </c>
      <c r="AF429" s="285">
        <f t="shared" si="624"/>
        <v>1952.76</v>
      </c>
      <c r="AG429" s="285">
        <f t="shared" si="625"/>
        <v>91865.379999999917</v>
      </c>
      <c r="AH429" s="285">
        <f t="shared" si="626"/>
        <v>507105.66000000038</v>
      </c>
      <c r="AI429" s="512">
        <f t="shared" si="614"/>
        <v>-19165.840000000037</v>
      </c>
      <c r="AJ429" s="512">
        <f t="shared" si="674"/>
        <v>-239328.02000000037</v>
      </c>
      <c r="AK429" s="512">
        <f t="shared" si="615"/>
        <v>-258493.86000000039</v>
      </c>
      <c r="AL429" s="285">
        <f t="shared" si="627"/>
        <v>239328.02000000037</v>
      </c>
      <c r="AM429" s="425">
        <f t="shared" si="655"/>
        <v>30</v>
      </c>
      <c r="AN429" s="14">
        <f t="shared" si="616"/>
        <v>0</v>
      </c>
      <c r="AO429" s="14">
        <f t="shared" ref="AO429:AO490" si="694">IF(W429&lt;=0,0,+$AA$5-$C$2+I429-U429)</f>
        <v>0</v>
      </c>
      <c r="AP429" s="14">
        <f t="shared" si="617"/>
        <v>0</v>
      </c>
      <c r="AS429" s="14">
        <f t="shared" si="650"/>
        <v>0</v>
      </c>
      <c r="AT429" s="14">
        <f t="shared" si="656"/>
        <v>0</v>
      </c>
      <c r="AU429" s="285">
        <f t="shared" si="657"/>
        <v>0</v>
      </c>
      <c r="AV429" s="285">
        <f t="shared" si="658"/>
        <v>0</v>
      </c>
    </row>
    <row r="430" spans="1:48" x14ac:dyDescent="0.25">
      <c r="A430" s="502" t="str">
        <f t="shared" si="603"/>
        <v xml:space="preserve"> </v>
      </c>
      <c r="B430" s="285">
        <f t="shared" si="597"/>
        <v>0</v>
      </c>
      <c r="C430" s="14">
        <f t="shared" si="644"/>
        <v>0</v>
      </c>
      <c r="D430" s="14">
        <f t="shared" si="659"/>
        <v>0</v>
      </c>
      <c r="E430" s="14">
        <f t="shared" si="645"/>
        <v>0</v>
      </c>
      <c r="F430" s="14">
        <f t="shared" si="604"/>
        <v>134.16999999999999</v>
      </c>
      <c r="G430" s="14">
        <f t="shared" si="600"/>
        <v>188.55</v>
      </c>
      <c r="H430" s="14">
        <f t="shared" si="601"/>
        <v>322.72000000000003</v>
      </c>
      <c r="I430" s="285">
        <f t="shared" si="605"/>
        <v>97532.849999999991</v>
      </c>
      <c r="J430" s="285">
        <f t="shared" si="606"/>
        <v>64871.789999999986</v>
      </c>
      <c r="K430" s="285">
        <f t="shared" si="607"/>
        <v>0</v>
      </c>
      <c r="L430" s="425">
        <f t="shared" si="587"/>
        <v>30</v>
      </c>
      <c r="M430" s="425">
        <f t="shared" si="651"/>
        <v>371</v>
      </c>
      <c r="N430" s="285">
        <f t="shared" si="681"/>
        <v>0</v>
      </c>
      <c r="O430" s="285">
        <f t="shared" si="619"/>
        <v>0</v>
      </c>
      <c r="P430" s="285">
        <f t="shared" si="660"/>
        <v>0</v>
      </c>
      <c r="Q430" s="285">
        <f t="shared" si="620"/>
        <v>0</v>
      </c>
      <c r="R430" s="285">
        <f t="shared" si="611"/>
        <v>134.16999999999999</v>
      </c>
      <c r="S430" s="285">
        <f t="shared" si="612"/>
        <v>188.55</v>
      </c>
      <c r="T430" s="285">
        <f t="shared" si="608"/>
        <v>322.72000000000003</v>
      </c>
      <c r="U430" s="285">
        <f t="shared" si="661"/>
        <v>261577.66000000012</v>
      </c>
      <c r="V430" s="285">
        <f t="shared" si="662"/>
        <v>318227.53999999998</v>
      </c>
      <c r="W430" s="285">
        <f t="shared" si="609"/>
        <v>0</v>
      </c>
      <c r="X430" s="502" t="str">
        <f t="shared" si="653"/>
        <v xml:space="preserve"> </v>
      </c>
      <c r="Y430" s="285">
        <f t="shared" si="621"/>
        <v>239328.02000000037</v>
      </c>
      <c r="Z430" s="494">
        <f t="shared" si="646"/>
        <v>6.25E-2</v>
      </c>
      <c r="AA430" s="285">
        <f t="shared" si="647"/>
        <v>1630.04</v>
      </c>
      <c r="AB430" s="285">
        <f t="shared" si="622"/>
        <v>383.53999999999996</v>
      </c>
      <c r="AC430" s="285">
        <f t="shared" si="648"/>
        <v>1246.5</v>
      </c>
      <c r="AD430" s="285">
        <f t="shared" ref="AD430:AE430" si="695">+AD429</f>
        <v>134.16999999999999</v>
      </c>
      <c r="AE430" s="285">
        <f t="shared" si="695"/>
        <v>188.55</v>
      </c>
      <c r="AF430" s="285">
        <f t="shared" si="624"/>
        <v>1952.76</v>
      </c>
      <c r="AG430" s="285">
        <f t="shared" si="625"/>
        <v>92248.919999999911</v>
      </c>
      <c r="AH430" s="285">
        <f t="shared" si="626"/>
        <v>508352.16000000038</v>
      </c>
      <c r="AI430" s="512">
        <f t="shared" si="614"/>
        <v>-20795.880000000037</v>
      </c>
      <c r="AJ430" s="512">
        <f t="shared" si="674"/>
        <v>-238944.48000000036</v>
      </c>
      <c r="AK430" s="512">
        <f t="shared" si="615"/>
        <v>-259740.36000000039</v>
      </c>
      <c r="AL430" s="285">
        <f t="shared" si="627"/>
        <v>238944.48000000036</v>
      </c>
      <c r="AM430" s="425">
        <f t="shared" si="655"/>
        <v>30</v>
      </c>
      <c r="AN430" s="14">
        <f t="shared" si="616"/>
        <v>0</v>
      </c>
      <c r="AO430" s="14">
        <f t="shared" si="694"/>
        <v>0</v>
      </c>
      <c r="AP430" s="14">
        <f t="shared" si="617"/>
        <v>0</v>
      </c>
      <c r="AS430" s="14">
        <f t="shared" si="650"/>
        <v>0</v>
      </c>
      <c r="AT430" s="14">
        <f t="shared" si="656"/>
        <v>0</v>
      </c>
      <c r="AU430" s="285">
        <f t="shared" si="657"/>
        <v>0</v>
      </c>
      <c r="AV430" s="285">
        <f t="shared" si="658"/>
        <v>0</v>
      </c>
    </row>
    <row r="431" spans="1:48" x14ac:dyDescent="0.25">
      <c r="A431" s="502" t="str">
        <f t="shared" si="603"/>
        <v xml:space="preserve"> </v>
      </c>
      <c r="B431" s="285">
        <f t="shared" si="597"/>
        <v>0</v>
      </c>
      <c r="C431" s="14">
        <f t="shared" si="644"/>
        <v>0</v>
      </c>
      <c r="D431" s="14">
        <f t="shared" si="659"/>
        <v>0</v>
      </c>
      <c r="E431" s="14">
        <f t="shared" si="645"/>
        <v>0</v>
      </c>
      <c r="F431" s="14">
        <f t="shared" si="604"/>
        <v>134.16999999999999</v>
      </c>
      <c r="G431" s="14">
        <f t="shared" si="600"/>
        <v>188.55</v>
      </c>
      <c r="H431" s="14">
        <f t="shared" si="601"/>
        <v>322.72000000000003</v>
      </c>
      <c r="I431" s="285">
        <f t="shared" si="605"/>
        <v>97532.849999999991</v>
      </c>
      <c r="J431" s="285">
        <f t="shared" si="606"/>
        <v>64871.789999999986</v>
      </c>
      <c r="K431" s="285">
        <f t="shared" si="607"/>
        <v>0</v>
      </c>
      <c r="L431" s="425">
        <f t="shared" ref="L431:L494" si="696">IF(MOD(M431,12)=0,M431/12,L430)</f>
        <v>31</v>
      </c>
      <c r="M431" s="425">
        <f t="shared" si="651"/>
        <v>372</v>
      </c>
      <c r="N431" s="285">
        <f t="shared" si="681"/>
        <v>0</v>
      </c>
      <c r="O431" s="285">
        <f t="shared" si="619"/>
        <v>0</v>
      </c>
      <c r="P431" s="285">
        <f t="shared" si="660"/>
        <v>0</v>
      </c>
      <c r="Q431" s="285">
        <f t="shared" si="620"/>
        <v>0</v>
      </c>
      <c r="R431" s="285">
        <f t="shared" si="611"/>
        <v>134.16999999999999</v>
      </c>
      <c r="S431" s="285">
        <f t="shared" si="612"/>
        <v>188.55</v>
      </c>
      <c r="T431" s="285">
        <f t="shared" si="608"/>
        <v>322.72000000000003</v>
      </c>
      <c r="U431" s="285">
        <f t="shared" si="661"/>
        <v>261577.66000000012</v>
      </c>
      <c r="V431" s="285">
        <f t="shared" si="662"/>
        <v>318227.53999999998</v>
      </c>
      <c r="W431" s="285">
        <f t="shared" si="609"/>
        <v>0</v>
      </c>
      <c r="X431" s="502" t="str">
        <f t="shared" si="653"/>
        <v xml:space="preserve"> </v>
      </c>
      <c r="Y431" s="285">
        <f t="shared" si="621"/>
        <v>238944.48000000036</v>
      </c>
      <c r="Z431" s="494">
        <f t="shared" si="646"/>
        <v>6.25E-2</v>
      </c>
      <c r="AA431" s="285">
        <f t="shared" si="647"/>
        <v>1630.04</v>
      </c>
      <c r="AB431" s="285">
        <f t="shared" si="622"/>
        <v>385.53999999999996</v>
      </c>
      <c r="AC431" s="285">
        <f t="shared" si="648"/>
        <v>1244.5</v>
      </c>
      <c r="AD431" s="285">
        <f t="shared" ref="AD431:AE431" si="697">+AD430</f>
        <v>134.16999999999999</v>
      </c>
      <c r="AE431" s="285">
        <f t="shared" si="697"/>
        <v>188.55</v>
      </c>
      <c r="AF431" s="285">
        <f t="shared" si="624"/>
        <v>1952.76</v>
      </c>
      <c r="AG431" s="285">
        <f t="shared" si="625"/>
        <v>92634.459999999905</v>
      </c>
      <c r="AH431" s="285">
        <f t="shared" si="626"/>
        <v>509596.66000000038</v>
      </c>
      <c r="AI431" s="512">
        <f t="shared" si="614"/>
        <v>-22425.920000000038</v>
      </c>
      <c r="AJ431" s="512">
        <f t="shared" si="674"/>
        <v>-238558.94000000035</v>
      </c>
      <c r="AK431" s="512">
        <f t="shared" si="615"/>
        <v>-260984.86000000039</v>
      </c>
      <c r="AL431" s="285">
        <f t="shared" si="627"/>
        <v>238558.94000000035</v>
      </c>
      <c r="AM431" s="425">
        <f t="shared" si="655"/>
        <v>31</v>
      </c>
      <c r="AN431" s="14">
        <f t="shared" si="616"/>
        <v>0</v>
      </c>
      <c r="AO431" s="14">
        <f t="shared" si="694"/>
        <v>0</v>
      </c>
      <c r="AP431" s="14">
        <f t="shared" si="617"/>
        <v>0</v>
      </c>
      <c r="AS431" s="14">
        <f t="shared" si="650"/>
        <v>0</v>
      </c>
      <c r="AT431" s="14">
        <f t="shared" si="656"/>
        <v>0</v>
      </c>
      <c r="AU431" s="285">
        <f t="shared" si="657"/>
        <v>0</v>
      </c>
      <c r="AV431" s="285">
        <f t="shared" si="658"/>
        <v>0</v>
      </c>
    </row>
    <row r="432" spans="1:48" x14ac:dyDescent="0.25">
      <c r="A432" s="502" t="str">
        <f t="shared" si="603"/>
        <v xml:space="preserve"> </v>
      </c>
      <c r="B432" s="285">
        <f t="shared" si="597"/>
        <v>0</v>
      </c>
      <c r="C432" s="14">
        <f t="shared" si="644"/>
        <v>0</v>
      </c>
      <c r="D432" s="14">
        <f t="shared" si="659"/>
        <v>0</v>
      </c>
      <c r="E432" s="14">
        <f t="shared" si="645"/>
        <v>0</v>
      </c>
      <c r="F432" s="14">
        <f t="shared" si="604"/>
        <v>134.16999999999999</v>
      </c>
      <c r="G432" s="14">
        <f t="shared" si="600"/>
        <v>188.55</v>
      </c>
      <c r="H432" s="14">
        <f t="shared" si="601"/>
        <v>322.72000000000003</v>
      </c>
      <c r="I432" s="285">
        <f t="shared" si="605"/>
        <v>97532.849999999991</v>
      </c>
      <c r="J432" s="285">
        <f t="shared" si="606"/>
        <v>64871.789999999986</v>
      </c>
      <c r="K432" s="285">
        <f t="shared" si="607"/>
        <v>0</v>
      </c>
      <c r="L432" s="425">
        <f t="shared" si="696"/>
        <v>31</v>
      </c>
      <c r="M432" s="425">
        <f t="shared" si="651"/>
        <v>373</v>
      </c>
      <c r="N432" s="285">
        <f t="shared" si="681"/>
        <v>0</v>
      </c>
      <c r="O432" s="285">
        <f t="shared" si="619"/>
        <v>0</v>
      </c>
      <c r="P432" s="285">
        <f t="shared" si="660"/>
        <v>0</v>
      </c>
      <c r="Q432" s="285">
        <f t="shared" si="620"/>
        <v>0</v>
      </c>
      <c r="R432" s="285">
        <f t="shared" si="611"/>
        <v>134.16999999999999</v>
      </c>
      <c r="S432" s="285">
        <f t="shared" si="612"/>
        <v>188.55</v>
      </c>
      <c r="T432" s="285">
        <f t="shared" si="608"/>
        <v>322.72000000000003</v>
      </c>
      <c r="U432" s="285">
        <f t="shared" si="661"/>
        <v>261577.66000000012</v>
      </c>
      <c r="V432" s="285">
        <f t="shared" si="662"/>
        <v>318227.53999999998</v>
      </c>
      <c r="W432" s="285">
        <f t="shared" si="609"/>
        <v>0</v>
      </c>
      <c r="X432" s="502" t="str">
        <f t="shared" si="653"/>
        <v xml:space="preserve"> </v>
      </c>
      <c r="Y432" s="285">
        <f t="shared" si="621"/>
        <v>238558.94000000035</v>
      </c>
      <c r="Z432" s="494">
        <f t="shared" si="646"/>
        <v>6.25E-2</v>
      </c>
      <c r="AA432" s="285">
        <f t="shared" si="647"/>
        <v>1630.04</v>
      </c>
      <c r="AB432" s="285">
        <f t="shared" si="622"/>
        <v>387.54999999999995</v>
      </c>
      <c r="AC432" s="285">
        <f t="shared" si="648"/>
        <v>1242.49</v>
      </c>
      <c r="AD432" s="285">
        <f t="shared" ref="AD432:AE432" si="698">+AD431</f>
        <v>134.16999999999999</v>
      </c>
      <c r="AE432" s="285">
        <f t="shared" si="698"/>
        <v>188.55</v>
      </c>
      <c r="AF432" s="285">
        <f t="shared" si="624"/>
        <v>1952.76</v>
      </c>
      <c r="AG432" s="285">
        <f t="shared" si="625"/>
        <v>93022.009999999907</v>
      </c>
      <c r="AH432" s="285">
        <f t="shared" si="626"/>
        <v>510839.15000000037</v>
      </c>
      <c r="AI432" s="512">
        <f t="shared" si="614"/>
        <v>-24055.960000000039</v>
      </c>
      <c r="AJ432" s="512">
        <f t="shared" si="674"/>
        <v>-238171.39000000036</v>
      </c>
      <c r="AK432" s="512">
        <f t="shared" si="615"/>
        <v>-262227.35000000038</v>
      </c>
      <c r="AL432" s="285">
        <f t="shared" si="627"/>
        <v>238171.39000000036</v>
      </c>
      <c r="AM432" s="425">
        <f t="shared" si="655"/>
        <v>31</v>
      </c>
      <c r="AN432" s="14">
        <f t="shared" si="616"/>
        <v>0</v>
      </c>
      <c r="AO432" s="14">
        <f t="shared" si="694"/>
        <v>0</v>
      </c>
      <c r="AP432" s="14">
        <f t="shared" si="617"/>
        <v>0</v>
      </c>
      <c r="AS432" s="14">
        <f t="shared" si="650"/>
        <v>0</v>
      </c>
      <c r="AT432" s="14">
        <f t="shared" si="656"/>
        <v>0</v>
      </c>
      <c r="AU432" s="285">
        <f t="shared" si="657"/>
        <v>0</v>
      </c>
      <c r="AV432" s="285">
        <f t="shared" si="658"/>
        <v>0</v>
      </c>
    </row>
    <row r="433" spans="1:48" x14ac:dyDescent="0.25">
      <c r="A433" s="502" t="str">
        <f t="shared" si="603"/>
        <v xml:space="preserve"> </v>
      </c>
      <c r="B433" s="285">
        <f t="shared" si="597"/>
        <v>0</v>
      </c>
      <c r="C433" s="14">
        <f t="shared" si="644"/>
        <v>0</v>
      </c>
      <c r="D433" s="14">
        <f t="shared" si="659"/>
        <v>0</v>
      </c>
      <c r="E433" s="14">
        <f t="shared" si="645"/>
        <v>0</v>
      </c>
      <c r="F433" s="14">
        <f t="shared" si="604"/>
        <v>134.16999999999999</v>
      </c>
      <c r="G433" s="14">
        <f t="shared" si="600"/>
        <v>188.55</v>
      </c>
      <c r="H433" s="14">
        <f t="shared" si="601"/>
        <v>322.72000000000003</v>
      </c>
      <c r="I433" s="285">
        <f t="shared" si="605"/>
        <v>97532.849999999991</v>
      </c>
      <c r="J433" s="285">
        <f t="shared" si="606"/>
        <v>64871.789999999986</v>
      </c>
      <c r="K433" s="285">
        <f t="shared" si="607"/>
        <v>0</v>
      </c>
      <c r="L433" s="425">
        <f t="shared" si="696"/>
        <v>31</v>
      </c>
      <c r="M433" s="425">
        <f t="shared" si="651"/>
        <v>374</v>
      </c>
      <c r="N433" s="285">
        <f t="shared" si="681"/>
        <v>0</v>
      </c>
      <c r="O433" s="285">
        <f t="shared" si="619"/>
        <v>0</v>
      </c>
      <c r="P433" s="285">
        <f t="shared" si="660"/>
        <v>0</v>
      </c>
      <c r="Q433" s="285">
        <f t="shared" si="620"/>
        <v>0</v>
      </c>
      <c r="R433" s="285">
        <f t="shared" si="611"/>
        <v>134.16999999999999</v>
      </c>
      <c r="S433" s="285">
        <f t="shared" si="612"/>
        <v>188.55</v>
      </c>
      <c r="T433" s="285">
        <f t="shared" si="608"/>
        <v>322.72000000000003</v>
      </c>
      <c r="U433" s="285">
        <f t="shared" si="661"/>
        <v>261577.66000000012</v>
      </c>
      <c r="V433" s="285">
        <f t="shared" si="662"/>
        <v>318227.53999999998</v>
      </c>
      <c r="W433" s="285">
        <f t="shared" si="609"/>
        <v>0</v>
      </c>
      <c r="X433" s="502" t="str">
        <f t="shared" si="653"/>
        <v xml:space="preserve"> </v>
      </c>
      <c r="Y433" s="285">
        <f t="shared" si="621"/>
        <v>238171.39000000036</v>
      </c>
      <c r="Z433" s="494">
        <f t="shared" si="646"/>
        <v>6.25E-2</v>
      </c>
      <c r="AA433" s="285">
        <f t="shared" si="647"/>
        <v>1630.04</v>
      </c>
      <c r="AB433" s="285">
        <f t="shared" si="622"/>
        <v>389.55999999999995</v>
      </c>
      <c r="AC433" s="285">
        <f t="shared" si="648"/>
        <v>1240.48</v>
      </c>
      <c r="AD433" s="285">
        <f t="shared" ref="AD433:AE433" si="699">+AD432</f>
        <v>134.16999999999999</v>
      </c>
      <c r="AE433" s="285">
        <f t="shared" si="699"/>
        <v>188.55</v>
      </c>
      <c r="AF433" s="285">
        <f t="shared" si="624"/>
        <v>1952.76</v>
      </c>
      <c r="AG433" s="285">
        <f t="shared" si="625"/>
        <v>93411.569999999905</v>
      </c>
      <c r="AH433" s="285">
        <f t="shared" si="626"/>
        <v>512079.63000000035</v>
      </c>
      <c r="AI433" s="512">
        <f t="shared" si="614"/>
        <v>-25686.00000000004</v>
      </c>
      <c r="AJ433" s="512">
        <f t="shared" si="674"/>
        <v>-237781.83000000037</v>
      </c>
      <c r="AK433" s="512">
        <f t="shared" si="615"/>
        <v>-263467.83000000042</v>
      </c>
      <c r="AL433" s="285">
        <f t="shared" si="627"/>
        <v>237781.83000000037</v>
      </c>
      <c r="AM433" s="425">
        <f t="shared" si="655"/>
        <v>31</v>
      </c>
      <c r="AN433" s="14">
        <f t="shared" si="616"/>
        <v>0</v>
      </c>
      <c r="AO433" s="14">
        <f t="shared" si="694"/>
        <v>0</v>
      </c>
      <c r="AP433" s="14">
        <f t="shared" si="617"/>
        <v>0</v>
      </c>
      <c r="AS433" s="14">
        <f t="shared" si="650"/>
        <v>0</v>
      </c>
      <c r="AT433" s="14">
        <f t="shared" si="656"/>
        <v>0</v>
      </c>
      <c r="AU433" s="285">
        <f t="shared" si="657"/>
        <v>0</v>
      </c>
      <c r="AV433" s="285">
        <f t="shared" si="658"/>
        <v>0</v>
      </c>
    </row>
    <row r="434" spans="1:48" ht="15.75" thickBot="1" x14ac:dyDescent="0.3">
      <c r="A434" s="505" t="str">
        <f t="shared" si="603"/>
        <v xml:space="preserve"> </v>
      </c>
      <c r="B434" s="345">
        <f t="shared" si="597"/>
        <v>0</v>
      </c>
      <c r="C434" s="21">
        <f t="shared" si="644"/>
        <v>0</v>
      </c>
      <c r="D434" s="21">
        <f t="shared" si="659"/>
        <v>0</v>
      </c>
      <c r="E434" s="21">
        <f t="shared" si="645"/>
        <v>0</v>
      </c>
      <c r="F434" s="21">
        <f t="shared" si="604"/>
        <v>134.16999999999999</v>
      </c>
      <c r="G434" s="21">
        <f t="shared" si="600"/>
        <v>188.55</v>
      </c>
      <c r="H434" s="21">
        <f t="shared" si="601"/>
        <v>322.72000000000003</v>
      </c>
      <c r="I434" s="345">
        <f t="shared" si="605"/>
        <v>97532.849999999991</v>
      </c>
      <c r="J434" s="345">
        <f t="shared" si="606"/>
        <v>64871.789999999986</v>
      </c>
      <c r="K434" s="345">
        <f t="shared" si="607"/>
        <v>0</v>
      </c>
      <c r="L434" s="426">
        <f t="shared" si="696"/>
        <v>31</v>
      </c>
      <c r="M434" s="426">
        <f t="shared" si="651"/>
        <v>375</v>
      </c>
      <c r="N434" s="345">
        <f t="shared" si="681"/>
        <v>0</v>
      </c>
      <c r="O434" s="345">
        <f t="shared" si="619"/>
        <v>0</v>
      </c>
      <c r="P434" s="345">
        <f t="shared" si="660"/>
        <v>0</v>
      </c>
      <c r="Q434" s="345">
        <f t="shared" si="620"/>
        <v>0</v>
      </c>
      <c r="R434" s="345">
        <f t="shared" si="611"/>
        <v>134.16999999999999</v>
      </c>
      <c r="S434" s="345">
        <f t="shared" si="612"/>
        <v>188.55</v>
      </c>
      <c r="T434" s="345">
        <f t="shared" si="608"/>
        <v>322.72000000000003</v>
      </c>
      <c r="U434" s="345">
        <f t="shared" si="661"/>
        <v>261577.66000000012</v>
      </c>
      <c r="V434" s="345">
        <f t="shared" si="662"/>
        <v>318227.53999999998</v>
      </c>
      <c r="W434" s="345">
        <f t="shared" si="609"/>
        <v>0</v>
      </c>
      <c r="X434" s="505" t="str">
        <f t="shared" si="653"/>
        <v xml:space="preserve"> </v>
      </c>
      <c r="Y434" s="345">
        <f t="shared" si="621"/>
        <v>237781.83000000037</v>
      </c>
      <c r="Z434" s="495">
        <f t="shared" si="646"/>
        <v>6.25E-2</v>
      </c>
      <c r="AA434" s="345">
        <f t="shared" si="647"/>
        <v>1630.04</v>
      </c>
      <c r="AB434" s="345">
        <f t="shared" si="622"/>
        <v>391.58999999999992</v>
      </c>
      <c r="AC434" s="345">
        <f t="shared" si="648"/>
        <v>1238.45</v>
      </c>
      <c r="AD434" s="345">
        <f t="shared" ref="AD434:AE434" si="700">+AD433</f>
        <v>134.16999999999999</v>
      </c>
      <c r="AE434" s="345">
        <f t="shared" si="700"/>
        <v>188.55</v>
      </c>
      <c r="AF434" s="345">
        <f t="shared" si="624"/>
        <v>1952.76</v>
      </c>
      <c r="AG434" s="345">
        <f t="shared" si="625"/>
        <v>93803.159999999902</v>
      </c>
      <c r="AH434" s="345">
        <f t="shared" si="626"/>
        <v>513318.08000000037</v>
      </c>
      <c r="AI434" s="513">
        <f t="shared" si="614"/>
        <v>-27316.040000000041</v>
      </c>
      <c r="AJ434" s="513">
        <f t="shared" si="674"/>
        <v>-237390.24000000037</v>
      </c>
      <c r="AK434" s="512">
        <f t="shared" si="615"/>
        <v>-264706.28000000044</v>
      </c>
      <c r="AL434" s="345">
        <f t="shared" si="627"/>
        <v>237390.24000000037</v>
      </c>
      <c r="AM434" s="426">
        <f t="shared" si="655"/>
        <v>31</v>
      </c>
      <c r="AN434" s="21">
        <f t="shared" si="616"/>
        <v>0</v>
      </c>
      <c r="AO434" s="21">
        <f t="shared" si="694"/>
        <v>0</v>
      </c>
      <c r="AP434" s="21">
        <f t="shared" si="617"/>
        <v>0</v>
      </c>
      <c r="AQ434" s="21"/>
      <c r="AR434" s="23"/>
      <c r="AS434" s="21">
        <f t="shared" si="650"/>
        <v>0</v>
      </c>
      <c r="AT434" s="21">
        <f t="shared" si="656"/>
        <v>0</v>
      </c>
      <c r="AU434" s="345">
        <f t="shared" si="657"/>
        <v>0</v>
      </c>
      <c r="AV434" s="345">
        <f t="shared" si="658"/>
        <v>0</v>
      </c>
    </row>
    <row r="435" spans="1:48" x14ac:dyDescent="0.25">
      <c r="A435" s="502" t="str">
        <f t="shared" si="603"/>
        <v xml:space="preserve"> </v>
      </c>
      <c r="B435" s="285">
        <f t="shared" si="597"/>
        <v>0</v>
      </c>
      <c r="C435" s="14">
        <f t="shared" si="644"/>
        <v>0</v>
      </c>
      <c r="D435" s="14">
        <f t="shared" si="659"/>
        <v>0</v>
      </c>
      <c r="E435" s="14">
        <f t="shared" si="645"/>
        <v>0</v>
      </c>
      <c r="F435" s="14">
        <f t="shared" si="604"/>
        <v>134.16999999999999</v>
      </c>
      <c r="G435" s="14">
        <f t="shared" si="600"/>
        <v>188.55</v>
      </c>
      <c r="H435" s="14">
        <f t="shared" si="601"/>
        <v>322.72000000000003</v>
      </c>
      <c r="I435" s="285">
        <f t="shared" si="605"/>
        <v>97532.849999999991</v>
      </c>
      <c r="J435" s="285">
        <f t="shared" si="606"/>
        <v>64871.789999999986</v>
      </c>
      <c r="K435" s="285">
        <f t="shared" si="607"/>
        <v>0</v>
      </c>
      <c r="L435" s="425">
        <f t="shared" si="696"/>
        <v>31</v>
      </c>
      <c r="M435" s="425">
        <f t="shared" si="651"/>
        <v>376</v>
      </c>
      <c r="N435" s="285">
        <f t="shared" si="681"/>
        <v>0</v>
      </c>
      <c r="O435" s="285">
        <f t="shared" si="619"/>
        <v>0</v>
      </c>
      <c r="P435" s="285">
        <f t="shared" si="660"/>
        <v>0</v>
      </c>
      <c r="Q435" s="285">
        <f t="shared" si="620"/>
        <v>0</v>
      </c>
      <c r="R435" s="285">
        <f t="shared" si="611"/>
        <v>134.16999999999999</v>
      </c>
      <c r="S435" s="285">
        <f t="shared" si="612"/>
        <v>188.55</v>
      </c>
      <c r="T435" s="285">
        <f t="shared" si="608"/>
        <v>322.72000000000003</v>
      </c>
      <c r="U435" s="285">
        <f t="shared" si="661"/>
        <v>261577.66000000012</v>
      </c>
      <c r="V435" s="285">
        <f t="shared" si="662"/>
        <v>318227.53999999998</v>
      </c>
      <c r="W435" s="285">
        <f t="shared" si="609"/>
        <v>0</v>
      </c>
      <c r="X435" s="502" t="str">
        <f t="shared" si="653"/>
        <v xml:space="preserve"> </v>
      </c>
      <c r="Y435" s="285">
        <f t="shared" si="621"/>
        <v>237390.24000000037</v>
      </c>
      <c r="Z435" s="494">
        <f t="shared" si="646"/>
        <v>6.25E-2</v>
      </c>
      <c r="AA435" s="285">
        <f t="shared" si="647"/>
        <v>1630.04</v>
      </c>
      <c r="AB435" s="285">
        <f t="shared" si="622"/>
        <v>393.62999999999988</v>
      </c>
      <c r="AC435" s="285">
        <f t="shared" si="648"/>
        <v>1236.4100000000001</v>
      </c>
      <c r="AD435" s="285">
        <f t="shared" ref="AD435:AE435" si="701">+AD434</f>
        <v>134.16999999999999</v>
      </c>
      <c r="AE435" s="285">
        <f t="shared" si="701"/>
        <v>188.55</v>
      </c>
      <c r="AF435" s="285">
        <f t="shared" si="624"/>
        <v>1952.76</v>
      </c>
      <c r="AG435" s="285">
        <f t="shared" si="625"/>
        <v>94196.789999999906</v>
      </c>
      <c r="AH435" s="285">
        <f t="shared" si="626"/>
        <v>514554.49000000034</v>
      </c>
      <c r="AI435" s="512">
        <f t="shared" si="614"/>
        <v>-28946.080000000042</v>
      </c>
      <c r="AJ435" s="512">
        <f t="shared" si="674"/>
        <v>-236996.61000000036</v>
      </c>
      <c r="AK435" s="512">
        <f t="shared" si="615"/>
        <v>-265942.69000000041</v>
      </c>
      <c r="AL435" s="285">
        <f t="shared" si="627"/>
        <v>236996.61000000036</v>
      </c>
      <c r="AM435" s="425">
        <f t="shared" si="655"/>
        <v>31</v>
      </c>
      <c r="AN435" s="14">
        <f t="shared" si="616"/>
        <v>0</v>
      </c>
      <c r="AO435" s="14">
        <f t="shared" si="694"/>
        <v>0</v>
      </c>
      <c r="AP435" s="14">
        <f t="shared" si="617"/>
        <v>0</v>
      </c>
      <c r="AS435" s="14">
        <f t="shared" si="650"/>
        <v>0</v>
      </c>
      <c r="AT435" s="14">
        <f t="shared" si="656"/>
        <v>0</v>
      </c>
      <c r="AU435" s="285">
        <f t="shared" si="657"/>
        <v>0</v>
      </c>
      <c r="AV435" s="285">
        <f t="shared" si="658"/>
        <v>0</v>
      </c>
    </row>
    <row r="436" spans="1:48" x14ac:dyDescent="0.25">
      <c r="A436" s="502" t="str">
        <f t="shared" si="603"/>
        <v xml:space="preserve"> </v>
      </c>
      <c r="B436" s="285">
        <f t="shared" si="597"/>
        <v>0</v>
      </c>
      <c r="C436" s="14">
        <f t="shared" si="644"/>
        <v>0</v>
      </c>
      <c r="D436" s="14">
        <f t="shared" si="659"/>
        <v>0</v>
      </c>
      <c r="E436" s="14">
        <f t="shared" si="645"/>
        <v>0</v>
      </c>
      <c r="F436" s="14">
        <f t="shared" si="604"/>
        <v>134.16999999999999</v>
      </c>
      <c r="G436" s="14">
        <f t="shared" si="600"/>
        <v>188.55</v>
      </c>
      <c r="H436" s="14">
        <f t="shared" si="601"/>
        <v>322.72000000000003</v>
      </c>
      <c r="I436" s="285">
        <f t="shared" si="605"/>
        <v>97532.849999999991</v>
      </c>
      <c r="J436" s="285">
        <f t="shared" si="606"/>
        <v>64871.789999999986</v>
      </c>
      <c r="K436" s="285">
        <f t="shared" si="607"/>
        <v>0</v>
      </c>
      <c r="L436" s="425">
        <f t="shared" si="696"/>
        <v>31</v>
      </c>
      <c r="M436" s="425">
        <f t="shared" si="651"/>
        <v>377</v>
      </c>
      <c r="N436" s="285">
        <f t="shared" si="681"/>
        <v>0</v>
      </c>
      <c r="O436" s="285">
        <f t="shared" si="619"/>
        <v>0</v>
      </c>
      <c r="P436" s="285">
        <f t="shared" si="660"/>
        <v>0</v>
      </c>
      <c r="Q436" s="285">
        <f t="shared" si="620"/>
        <v>0</v>
      </c>
      <c r="R436" s="285">
        <f t="shared" si="611"/>
        <v>134.16999999999999</v>
      </c>
      <c r="S436" s="285">
        <f t="shared" si="612"/>
        <v>188.55</v>
      </c>
      <c r="T436" s="285">
        <f t="shared" si="608"/>
        <v>322.72000000000003</v>
      </c>
      <c r="U436" s="285">
        <f t="shared" si="661"/>
        <v>261577.66000000012</v>
      </c>
      <c r="V436" s="285">
        <f t="shared" si="662"/>
        <v>318227.53999999998</v>
      </c>
      <c r="W436" s="285">
        <f t="shared" si="609"/>
        <v>0</v>
      </c>
      <c r="X436" s="502" t="str">
        <f t="shared" si="653"/>
        <v xml:space="preserve"> </v>
      </c>
      <c r="Y436" s="285">
        <f t="shared" si="621"/>
        <v>236996.61000000036</v>
      </c>
      <c r="Z436" s="494">
        <f t="shared" si="646"/>
        <v>6.25E-2</v>
      </c>
      <c r="AA436" s="285">
        <f t="shared" si="647"/>
        <v>1630.04</v>
      </c>
      <c r="AB436" s="285">
        <f t="shared" si="622"/>
        <v>395.68000000000006</v>
      </c>
      <c r="AC436" s="285">
        <f t="shared" si="648"/>
        <v>1234.3599999999999</v>
      </c>
      <c r="AD436" s="285">
        <f t="shared" ref="AD436:AE436" si="702">+AD435</f>
        <v>134.16999999999999</v>
      </c>
      <c r="AE436" s="285">
        <f t="shared" si="702"/>
        <v>188.55</v>
      </c>
      <c r="AF436" s="285">
        <f t="shared" si="624"/>
        <v>1952.76</v>
      </c>
      <c r="AG436" s="285">
        <f t="shared" si="625"/>
        <v>94592.469999999899</v>
      </c>
      <c r="AH436" s="285">
        <f t="shared" si="626"/>
        <v>515788.85000000033</v>
      </c>
      <c r="AI436" s="512">
        <f t="shared" si="614"/>
        <v>-30576.120000000043</v>
      </c>
      <c r="AJ436" s="512">
        <f t="shared" si="674"/>
        <v>-236600.93000000037</v>
      </c>
      <c r="AK436" s="512">
        <f t="shared" si="615"/>
        <v>-267177.0500000004</v>
      </c>
      <c r="AL436" s="285">
        <f t="shared" si="627"/>
        <v>236600.93000000037</v>
      </c>
      <c r="AM436" s="425">
        <f t="shared" si="655"/>
        <v>31</v>
      </c>
      <c r="AN436" s="14">
        <f t="shared" si="616"/>
        <v>0</v>
      </c>
      <c r="AO436" s="14">
        <f t="shared" si="694"/>
        <v>0</v>
      </c>
      <c r="AP436" s="14">
        <f t="shared" si="617"/>
        <v>0</v>
      </c>
      <c r="AS436" s="14">
        <f t="shared" si="650"/>
        <v>0</v>
      </c>
      <c r="AT436" s="14">
        <f t="shared" si="656"/>
        <v>0</v>
      </c>
      <c r="AU436" s="285">
        <f t="shared" si="657"/>
        <v>0</v>
      </c>
      <c r="AV436" s="285">
        <f t="shared" si="658"/>
        <v>0</v>
      </c>
    </row>
    <row r="437" spans="1:48" x14ac:dyDescent="0.25">
      <c r="A437" s="502" t="str">
        <f t="shared" si="603"/>
        <v xml:space="preserve"> </v>
      </c>
      <c r="B437" s="285">
        <f t="shared" si="597"/>
        <v>0</v>
      </c>
      <c r="C437" s="14">
        <f t="shared" si="644"/>
        <v>0</v>
      </c>
      <c r="D437" s="14">
        <f t="shared" si="659"/>
        <v>0</v>
      </c>
      <c r="E437" s="14">
        <f t="shared" si="645"/>
        <v>0</v>
      </c>
      <c r="F437" s="14">
        <f t="shared" si="604"/>
        <v>134.16999999999999</v>
      </c>
      <c r="G437" s="14">
        <f t="shared" si="600"/>
        <v>188.55</v>
      </c>
      <c r="H437" s="14">
        <f t="shared" si="601"/>
        <v>322.72000000000003</v>
      </c>
      <c r="I437" s="285">
        <f t="shared" si="605"/>
        <v>97532.849999999991</v>
      </c>
      <c r="J437" s="285">
        <f t="shared" si="606"/>
        <v>64871.789999999986</v>
      </c>
      <c r="K437" s="285">
        <f t="shared" si="607"/>
        <v>0</v>
      </c>
      <c r="L437" s="425">
        <f t="shared" si="696"/>
        <v>31</v>
      </c>
      <c r="M437" s="425">
        <f t="shared" si="651"/>
        <v>378</v>
      </c>
      <c r="N437" s="285">
        <f t="shared" si="681"/>
        <v>0</v>
      </c>
      <c r="O437" s="285">
        <f t="shared" si="619"/>
        <v>0</v>
      </c>
      <c r="P437" s="285">
        <f t="shared" si="660"/>
        <v>0</v>
      </c>
      <c r="Q437" s="285">
        <f t="shared" si="620"/>
        <v>0</v>
      </c>
      <c r="R437" s="285">
        <f t="shared" si="611"/>
        <v>134.16999999999999</v>
      </c>
      <c r="S437" s="285">
        <f t="shared" si="612"/>
        <v>188.55</v>
      </c>
      <c r="T437" s="285">
        <f t="shared" si="608"/>
        <v>322.72000000000003</v>
      </c>
      <c r="U437" s="285">
        <f t="shared" si="661"/>
        <v>261577.66000000012</v>
      </c>
      <c r="V437" s="285">
        <f t="shared" si="662"/>
        <v>318227.53999999998</v>
      </c>
      <c r="W437" s="285">
        <f t="shared" si="609"/>
        <v>0</v>
      </c>
      <c r="X437" s="502" t="str">
        <f t="shared" si="653"/>
        <v xml:space="preserve"> </v>
      </c>
      <c r="Y437" s="285">
        <f t="shared" si="621"/>
        <v>236600.93000000037</v>
      </c>
      <c r="Z437" s="494">
        <f t="shared" si="646"/>
        <v>6.25E-2</v>
      </c>
      <c r="AA437" s="285">
        <f t="shared" si="647"/>
        <v>1630.04</v>
      </c>
      <c r="AB437" s="285">
        <f t="shared" si="622"/>
        <v>397.74</v>
      </c>
      <c r="AC437" s="285">
        <f t="shared" si="648"/>
        <v>1232.3</v>
      </c>
      <c r="AD437" s="285">
        <f t="shared" ref="AD437:AE437" si="703">+AD436</f>
        <v>134.16999999999999</v>
      </c>
      <c r="AE437" s="285">
        <f t="shared" si="703"/>
        <v>188.55</v>
      </c>
      <c r="AF437" s="285">
        <f t="shared" si="624"/>
        <v>1952.76</v>
      </c>
      <c r="AG437" s="285">
        <f t="shared" si="625"/>
        <v>94990.209999999905</v>
      </c>
      <c r="AH437" s="285">
        <f t="shared" si="626"/>
        <v>517021.15000000031</v>
      </c>
      <c r="AI437" s="512">
        <f t="shared" si="614"/>
        <v>-32206.160000000044</v>
      </c>
      <c r="AJ437" s="512">
        <f t="shared" si="674"/>
        <v>-236203.19000000038</v>
      </c>
      <c r="AK437" s="512">
        <f t="shared" si="615"/>
        <v>-268409.35000000044</v>
      </c>
      <c r="AL437" s="285">
        <f t="shared" si="627"/>
        <v>236203.19000000038</v>
      </c>
      <c r="AM437" s="425">
        <f t="shared" si="655"/>
        <v>31</v>
      </c>
      <c r="AN437" s="14">
        <f t="shared" si="616"/>
        <v>0</v>
      </c>
      <c r="AO437" s="14">
        <f t="shared" si="694"/>
        <v>0</v>
      </c>
      <c r="AP437" s="14">
        <f t="shared" si="617"/>
        <v>0</v>
      </c>
      <c r="AS437" s="14">
        <f t="shared" si="650"/>
        <v>0</v>
      </c>
      <c r="AT437" s="14">
        <f t="shared" si="656"/>
        <v>0</v>
      </c>
      <c r="AU437" s="285">
        <f t="shared" si="657"/>
        <v>0</v>
      </c>
      <c r="AV437" s="285">
        <f t="shared" si="658"/>
        <v>0</v>
      </c>
    </row>
    <row r="438" spans="1:48" x14ac:dyDescent="0.25">
      <c r="A438" s="502" t="str">
        <f t="shared" si="603"/>
        <v xml:space="preserve"> </v>
      </c>
      <c r="B438" s="285">
        <f t="shared" si="597"/>
        <v>0</v>
      </c>
      <c r="C438" s="14">
        <f t="shared" si="644"/>
        <v>0</v>
      </c>
      <c r="D438" s="14">
        <f t="shared" si="659"/>
        <v>0</v>
      </c>
      <c r="E438" s="14">
        <f t="shared" si="645"/>
        <v>0</v>
      </c>
      <c r="F438" s="14">
        <f t="shared" si="604"/>
        <v>134.16999999999999</v>
      </c>
      <c r="G438" s="14">
        <f t="shared" si="600"/>
        <v>188.55</v>
      </c>
      <c r="H438" s="14">
        <f t="shared" si="601"/>
        <v>322.72000000000003</v>
      </c>
      <c r="I438" s="285">
        <f t="shared" si="605"/>
        <v>97532.849999999991</v>
      </c>
      <c r="J438" s="285">
        <f t="shared" si="606"/>
        <v>64871.789999999986</v>
      </c>
      <c r="K438" s="285">
        <f t="shared" si="607"/>
        <v>0</v>
      </c>
      <c r="L438" s="425">
        <f t="shared" si="696"/>
        <v>31</v>
      </c>
      <c r="M438" s="425">
        <f t="shared" si="651"/>
        <v>379</v>
      </c>
      <c r="N438" s="285">
        <f t="shared" si="681"/>
        <v>0</v>
      </c>
      <c r="O438" s="285">
        <f t="shared" si="619"/>
        <v>0</v>
      </c>
      <c r="P438" s="285">
        <f t="shared" si="660"/>
        <v>0</v>
      </c>
      <c r="Q438" s="285">
        <f t="shared" si="620"/>
        <v>0</v>
      </c>
      <c r="R438" s="285">
        <f t="shared" si="611"/>
        <v>134.16999999999999</v>
      </c>
      <c r="S438" s="285">
        <f t="shared" si="612"/>
        <v>188.55</v>
      </c>
      <c r="T438" s="285">
        <f t="shared" si="608"/>
        <v>322.72000000000003</v>
      </c>
      <c r="U438" s="285">
        <f t="shared" si="661"/>
        <v>261577.66000000012</v>
      </c>
      <c r="V438" s="285">
        <f t="shared" si="662"/>
        <v>318227.53999999998</v>
      </c>
      <c r="W438" s="285">
        <f t="shared" si="609"/>
        <v>0</v>
      </c>
      <c r="X438" s="502" t="str">
        <f t="shared" si="653"/>
        <v xml:space="preserve"> </v>
      </c>
      <c r="Y438" s="285">
        <f t="shared" si="621"/>
        <v>236203.19000000038</v>
      </c>
      <c r="Z438" s="494">
        <f t="shared" si="646"/>
        <v>6.25E-2</v>
      </c>
      <c r="AA438" s="285">
        <f t="shared" si="647"/>
        <v>1630.04</v>
      </c>
      <c r="AB438" s="285">
        <f t="shared" si="622"/>
        <v>399.81999999999994</v>
      </c>
      <c r="AC438" s="285">
        <f t="shared" si="648"/>
        <v>1230.22</v>
      </c>
      <c r="AD438" s="285">
        <f t="shared" ref="AD438:AE438" si="704">+AD437</f>
        <v>134.16999999999999</v>
      </c>
      <c r="AE438" s="285">
        <f t="shared" si="704"/>
        <v>188.55</v>
      </c>
      <c r="AF438" s="285">
        <f t="shared" si="624"/>
        <v>1952.76</v>
      </c>
      <c r="AG438" s="285">
        <f t="shared" si="625"/>
        <v>95390.029999999912</v>
      </c>
      <c r="AH438" s="285">
        <f t="shared" si="626"/>
        <v>518251.37000000029</v>
      </c>
      <c r="AI438" s="512">
        <f t="shared" si="614"/>
        <v>-33836.200000000041</v>
      </c>
      <c r="AJ438" s="512">
        <f t="shared" si="674"/>
        <v>-235803.37000000037</v>
      </c>
      <c r="AK438" s="512">
        <f t="shared" si="615"/>
        <v>-269639.57000000041</v>
      </c>
      <c r="AL438" s="285">
        <f t="shared" si="627"/>
        <v>235803.37000000037</v>
      </c>
      <c r="AM438" s="425">
        <f t="shared" si="655"/>
        <v>31</v>
      </c>
      <c r="AN438" s="14">
        <f t="shared" si="616"/>
        <v>0</v>
      </c>
      <c r="AO438" s="14">
        <f t="shared" si="694"/>
        <v>0</v>
      </c>
      <c r="AP438" s="14">
        <f t="shared" si="617"/>
        <v>0</v>
      </c>
      <c r="AS438" s="14">
        <f t="shared" si="650"/>
        <v>0</v>
      </c>
      <c r="AT438" s="14">
        <f t="shared" si="656"/>
        <v>0</v>
      </c>
      <c r="AU438" s="285">
        <f t="shared" si="657"/>
        <v>0</v>
      </c>
      <c r="AV438" s="285">
        <f t="shared" si="658"/>
        <v>0</v>
      </c>
    </row>
    <row r="439" spans="1:48" x14ac:dyDescent="0.25">
      <c r="A439" s="502" t="str">
        <f t="shared" si="603"/>
        <v xml:space="preserve"> </v>
      </c>
      <c r="B439" s="285">
        <f t="shared" si="597"/>
        <v>0</v>
      </c>
      <c r="C439" s="14">
        <f t="shared" si="644"/>
        <v>0</v>
      </c>
      <c r="D439" s="14">
        <f t="shared" si="659"/>
        <v>0</v>
      </c>
      <c r="E439" s="14">
        <f t="shared" si="645"/>
        <v>0</v>
      </c>
      <c r="F439" s="14">
        <f t="shared" si="604"/>
        <v>134.16999999999999</v>
      </c>
      <c r="G439" s="14">
        <f t="shared" si="600"/>
        <v>188.55</v>
      </c>
      <c r="H439" s="14">
        <f t="shared" si="601"/>
        <v>322.72000000000003</v>
      </c>
      <c r="I439" s="285">
        <f t="shared" si="605"/>
        <v>97532.849999999991</v>
      </c>
      <c r="J439" s="285">
        <f t="shared" si="606"/>
        <v>64871.789999999986</v>
      </c>
      <c r="K439" s="285">
        <f t="shared" si="607"/>
        <v>0</v>
      </c>
      <c r="L439" s="425">
        <f t="shared" si="696"/>
        <v>31</v>
      </c>
      <c r="M439" s="425">
        <f t="shared" si="651"/>
        <v>380</v>
      </c>
      <c r="N439" s="285">
        <f t="shared" si="681"/>
        <v>0</v>
      </c>
      <c r="O439" s="285">
        <f t="shared" si="619"/>
        <v>0</v>
      </c>
      <c r="P439" s="285">
        <f t="shared" si="660"/>
        <v>0</v>
      </c>
      <c r="Q439" s="285">
        <f t="shared" si="620"/>
        <v>0</v>
      </c>
      <c r="R439" s="285">
        <f t="shared" si="611"/>
        <v>134.16999999999999</v>
      </c>
      <c r="S439" s="285">
        <f t="shared" si="612"/>
        <v>188.55</v>
      </c>
      <c r="T439" s="285">
        <f t="shared" si="608"/>
        <v>322.72000000000003</v>
      </c>
      <c r="U439" s="285">
        <f t="shared" si="661"/>
        <v>261577.66000000012</v>
      </c>
      <c r="V439" s="285">
        <f t="shared" si="662"/>
        <v>318227.53999999998</v>
      </c>
      <c r="W439" s="285">
        <f t="shared" si="609"/>
        <v>0</v>
      </c>
      <c r="X439" s="502" t="str">
        <f t="shared" si="653"/>
        <v xml:space="preserve"> </v>
      </c>
      <c r="Y439" s="285">
        <f t="shared" si="621"/>
        <v>235803.37000000037</v>
      </c>
      <c r="Z439" s="494">
        <f t="shared" si="646"/>
        <v>6.25E-2</v>
      </c>
      <c r="AA439" s="285">
        <f t="shared" si="647"/>
        <v>1630.04</v>
      </c>
      <c r="AB439" s="285">
        <f t="shared" si="622"/>
        <v>401.89999999999986</v>
      </c>
      <c r="AC439" s="285">
        <f t="shared" si="648"/>
        <v>1228.1400000000001</v>
      </c>
      <c r="AD439" s="285">
        <f t="shared" ref="AD439:AE439" si="705">+AD438</f>
        <v>134.16999999999999</v>
      </c>
      <c r="AE439" s="285">
        <f t="shared" si="705"/>
        <v>188.55</v>
      </c>
      <c r="AF439" s="285">
        <f t="shared" si="624"/>
        <v>1952.76</v>
      </c>
      <c r="AG439" s="285">
        <f t="shared" si="625"/>
        <v>95791.929999999906</v>
      </c>
      <c r="AH439" s="285">
        <f t="shared" si="626"/>
        <v>519479.5100000003</v>
      </c>
      <c r="AI439" s="512">
        <f t="shared" si="614"/>
        <v>-35466.240000000042</v>
      </c>
      <c r="AJ439" s="512">
        <f t="shared" si="674"/>
        <v>-235401.47000000038</v>
      </c>
      <c r="AK439" s="512">
        <f t="shared" si="615"/>
        <v>-270867.71000000043</v>
      </c>
      <c r="AL439" s="285">
        <f t="shared" si="627"/>
        <v>235401.47000000038</v>
      </c>
      <c r="AM439" s="425">
        <f t="shared" si="655"/>
        <v>31</v>
      </c>
      <c r="AN439" s="14">
        <f t="shared" si="616"/>
        <v>0</v>
      </c>
      <c r="AO439" s="14">
        <f t="shared" si="694"/>
        <v>0</v>
      </c>
      <c r="AP439" s="14">
        <f t="shared" si="617"/>
        <v>0</v>
      </c>
      <c r="AS439" s="14">
        <f t="shared" si="650"/>
        <v>0</v>
      </c>
      <c r="AT439" s="14">
        <f t="shared" si="656"/>
        <v>0</v>
      </c>
      <c r="AU439" s="285">
        <f t="shared" si="657"/>
        <v>0</v>
      </c>
      <c r="AV439" s="285">
        <f t="shared" si="658"/>
        <v>0</v>
      </c>
    </row>
    <row r="440" spans="1:48" x14ac:dyDescent="0.25">
      <c r="A440" s="502" t="str">
        <f t="shared" si="603"/>
        <v xml:space="preserve"> </v>
      </c>
      <c r="B440" s="285">
        <f t="shared" ref="B440:B490" si="706">IF(+K439&lt;0,0,+K439)</f>
        <v>0</v>
      </c>
      <c r="C440" s="14">
        <f t="shared" si="644"/>
        <v>0</v>
      </c>
      <c r="D440" s="14">
        <f t="shared" si="659"/>
        <v>0</v>
      </c>
      <c r="E440" s="14">
        <f t="shared" si="645"/>
        <v>0</v>
      </c>
      <c r="F440" s="14">
        <f t="shared" si="604"/>
        <v>134.16999999999999</v>
      </c>
      <c r="G440" s="14">
        <f t="shared" si="600"/>
        <v>188.55</v>
      </c>
      <c r="H440" s="14">
        <f t="shared" si="601"/>
        <v>322.72000000000003</v>
      </c>
      <c r="I440" s="285">
        <f t="shared" si="605"/>
        <v>97532.849999999991</v>
      </c>
      <c r="J440" s="285">
        <f t="shared" si="606"/>
        <v>64871.789999999986</v>
      </c>
      <c r="K440" s="285">
        <f t="shared" si="607"/>
        <v>0</v>
      </c>
      <c r="L440" s="425">
        <f t="shared" si="696"/>
        <v>31</v>
      </c>
      <c r="M440" s="425">
        <f t="shared" si="651"/>
        <v>381</v>
      </c>
      <c r="N440" s="285">
        <f t="shared" si="681"/>
        <v>0</v>
      </c>
      <c r="O440" s="285">
        <f t="shared" si="619"/>
        <v>0</v>
      </c>
      <c r="P440" s="285">
        <f t="shared" si="660"/>
        <v>0</v>
      </c>
      <c r="Q440" s="285">
        <f t="shared" si="620"/>
        <v>0</v>
      </c>
      <c r="R440" s="285">
        <f t="shared" si="611"/>
        <v>134.16999999999999</v>
      </c>
      <c r="S440" s="285">
        <f t="shared" si="612"/>
        <v>188.55</v>
      </c>
      <c r="T440" s="285">
        <f t="shared" si="608"/>
        <v>322.72000000000003</v>
      </c>
      <c r="U440" s="285">
        <f t="shared" si="661"/>
        <v>261577.66000000012</v>
      </c>
      <c r="V440" s="285">
        <f t="shared" si="662"/>
        <v>318227.53999999998</v>
      </c>
      <c r="W440" s="285">
        <f t="shared" si="609"/>
        <v>0</v>
      </c>
      <c r="X440" s="502" t="str">
        <f t="shared" si="653"/>
        <v xml:space="preserve"> </v>
      </c>
      <c r="Y440" s="285">
        <f t="shared" si="621"/>
        <v>235401.47000000038</v>
      </c>
      <c r="Z440" s="494">
        <f t="shared" si="646"/>
        <v>6.25E-2</v>
      </c>
      <c r="AA440" s="285">
        <f t="shared" si="647"/>
        <v>1630.04</v>
      </c>
      <c r="AB440" s="285">
        <f t="shared" si="622"/>
        <v>403.99</v>
      </c>
      <c r="AC440" s="285">
        <f t="shared" si="648"/>
        <v>1226.05</v>
      </c>
      <c r="AD440" s="285">
        <f t="shared" ref="AD440:AE440" si="707">+AD439</f>
        <v>134.16999999999999</v>
      </c>
      <c r="AE440" s="285">
        <f t="shared" si="707"/>
        <v>188.55</v>
      </c>
      <c r="AF440" s="285">
        <f t="shared" si="624"/>
        <v>1952.76</v>
      </c>
      <c r="AG440" s="285">
        <f t="shared" si="625"/>
        <v>96195.919999999911</v>
      </c>
      <c r="AH440" s="285">
        <f t="shared" si="626"/>
        <v>520705.56000000029</v>
      </c>
      <c r="AI440" s="512">
        <f t="shared" si="614"/>
        <v>-37096.280000000042</v>
      </c>
      <c r="AJ440" s="512">
        <f t="shared" si="674"/>
        <v>-234997.48000000039</v>
      </c>
      <c r="AK440" s="512">
        <f t="shared" si="615"/>
        <v>-272093.76000000042</v>
      </c>
      <c r="AL440" s="285">
        <f t="shared" si="627"/>
        <v>234997.48000000039</v>
      </c>
      <c r="AM440" s="425">
        <f t="shared" si="655"/>
        <v>31</v>
      </c>
      <c r="AN440" s="14">
        <f t="shared" si="616"/>
        <v>0</v>
      </c>
      <c r="AO440" s="14">
        <f t="shared" si="694"/>
        <v>0</v>
      </c>
      <c r="AP440" s="14">
        <f t="shared" si="617"/>
        <v>0</v>
      </c>
      <c r="AS440" s="14">
        <f t="shared" si="650"/>
        <v>0</v>
      </c>
      <c r="AT440" s="14">
        <f t="shared" si="656"/>
        <v>0</v>
      </c>
      <c r="AU440" s="285">
        <f t="shared" si="657"/>
        <v>0</v>
      </c>
      <c r="AV440" s="285">
        <f t="shared" si="658"/>
        <v>0</v>
      </c>
    </row>
    <row r="441" spans="1:48" x14ac:dyDescent="0.25">
      <c r="A441" s="502" t="str">
        <f t="shared" si="603"/>
        <v xml:space="preserve"> </v>
      </c>
      <c r="B441" s="285">
        <f t="shared" si="706"/>
        <v>0</v>
      </c>
      <c r="C441" s="14">
        <f t="shared" si="644"/>
        <v>0</v>
      </c>
      <c r="D441" s="14">
        <f t="shared" si="659"/>
        <v>0</v>
      </c>
      <c r="E441" s="14">
        <f t="shared" si="645"/>
        <v>0</v>
      </c>
      <c r="F441" s="14">
        <f t="shared" si="604"/>
        <v>134.16999999999999</v>
      </c>
      <c r="G441" s="14">
        <f t="shared" si="600"/>
        <v>188.55</v>
      </c>
      <c r="H441" s="14">
        <f t="shared" si="601"/>
        <v>322.72000000000003</v>
      </c>
      <c r="I441" s="285">
        <f t="shared" si="605"/>
        <v>97532.849999999991</v>
      </c>
      <c r="J441" s="285">
        <f t="shared" si="606"/>
        <v>64871.789999999986</v>
      </c>
      <c r="K441" s="285">
        <f t="shared" si="607"/>
        <v>0</v>
      </c>
      <c r="L441" s="425">
        <f t="shared" si="696"/>
        <v>31</v>
      </c>
      <c r="M441" s="425">
        <f t="shared" si="651"/>
        <v>382</v>
      </c>
      <c r="N441" s="285">
        <f t="shared" si="681"/>
        <v>0</v>
      </c>
      <c r="O441" s="285">
        <f t="shared" si="619"/>
        <v>0</v>
      </c>
      <c r="P441" s="285">
        <f t="shared" si="660"/>
        <v>0</v>
      </c>
      <c r="Q441" s="285">
        <f t="shared" si="620"/>
        <v>0</v>
      </c>
      <c r="R441" s="285">
        <f t="shared" si="611"/>
        <v>134.16999999999999</v>
      </c>
      <c r="S441" s="285">
        <f t="shared" si="612"/>
        <v>188.55</v>
      </c>
      <c r="T441" s="285">
        <f t="shared" si="608"/>
        <v>322.72000000000003</v>
      </c>
      <c r="U441" s="285">
        <f t="shared" si="661"/>
        <v>261577.66000000012</v>
      </c>
      <c r="V441" s="285">
        <f t="shared" si="662"/>
        <v>318227.53999999998</v>
      </c>
      <c r="W441" s="285">
        <f t="shared" si="609"/>
        <v>0</v>
      </c>
      <c r="X441" s="502" t="str">
        <f t="shared" si="653"/>
        <v xml:space="preserve"> </v>
      </c>
      <c r="Y441" s="285">
        <f t="shared" si="621"/>
        <v>234997.48000000039</v>
      </c>
      <c r="Z441" s="494">
        <f t="shared" si="646"/>
        <v>6.25E-2</v>
      </c>
      <c r="AA441" s="285">
        <f t="shared" si="647"/>
        <v>1630.04</v>
      </c>
      <c r="AB441" s="285">
        <f t="shared" si="622"/>
        <v>406.08999999999992</v>
      </c>
      <c r="AC441" s="285">
        <f t="shared" si="648"/>
        <v>1223.95</v>
      </c>
      <c r="AD441" s="285">
        <f t="shared" ref="AD441:AE441" si="708">+AD440</f>
        <v>134.16999999999999</v>
      </c>
      <c r="AE441" s="285">
        <f t="shared" si="708"/>
        <v>188.55</v>
      </c>
      <c r="AF441" s="285">
        <f t="shared" si="624"/>
        <v>1952.76</v>
      </c>
      <c r="AG441" s="285">
        <f t="shared" si="625"/>
        <v>96602.009999999907</v>
      </c>
      <c r="AH441" s="285">
        <f t="shared" si="626"/>
        <v>521929.5100000003</v>
      </c>
      <c r="AI441" s="512">
        <f t="shared" si="614"/>
        <v>-38726.320000000043</v>
      </c>
      <c r="AJ441" s="512">
        <f t="shared" si="674"/>
        <v>-234591.39000000039</v>
      </c>
      <c r="AK441" s="512">
        <f t="shared" si="615"/>
        <v>-273317.71000000043</v>
      </c>
      <c r="AL441" s="285">
        <f t="shared" si="627"/>
        <v>234591.39000000039</v>
      </c>
      <c r="AM441" s="425">
        <f t="shared" si="655"/>
        <v>31</v>
      </c>
      <c r="AN441" s="14">
        <f t="shared" si="616"/>
        <v>0</v>
      </c>
      <c r="AO441" s="14">
        <f t="shared" si="694"/>
        <v>0</v>
      </c>
      <c r="AP441" s="14">
        <f t="shared" si="617"/>
        <v>0</v>
      </c>
      <c r="AS441" s="14">
        <f t="shared" si="650"/>
        <v>0</v>
      </c>
      <c r="AT441" s="14">
        <f t="shared" si="656"/>
        <v>0</v>
      </c>
      <c r="AU441" s="285">
        <f t="shared" si="657"/>
        <v>0</v>
      </c>
      <c r="AV441" s="285">
        <f t="shared" si="658"/>
        <v>0</v>
      </c>
    </row>
    <row r="442" spans="1:48" x14ac:dyDescent="0.25">
      <c r="A442" s="502" t="str">
        <f t="shared" si="603"/>
        <v xml:space="preserve"> </v>
      </c>
      <c r="B442" s="285">
        <f t="shared" si="706"/>
        <v>0</v>
      </c>
      <c r="C442" s="14">
        <f t="shared" si="644"/>
        <v>0</v>
      </c>
      <c r="D442" s="14">
        <f t="shared" si="659"/>
        <v>0</v>
      </c>
      <c r="E442" s="14">
        <f t="shared" si="645"/>
        <v>0</v>
      </c>
      <c r="F442" s="14">
        <f t="shared" si="604"/>
        <v>134.16999999999999</v>
      </c>
      <c r="G442" s="14">
        <f t="shared" ref="G442:G490" si="709">+G441</f>
        <v>188.55</v>
      </c>
      <c r="H442" s="14">
        <f t="shared" ref="H442:H490" si="710">SUM(D442:G442)</f>
        <v>322.72000000000003</v>
      </c>
      <c r="I442" s="285">
        <f t="shared" si="605"/>
        <v>97532.849999999991</v>
      </c>
      <c r="J442" s="285">
        <f t="shared" si="606"/>
        <v>64871.789999999986</v>
      </c>
      <c r="K442" s="285">
        <f t="shared" si="607"/>
        <v>0</v>
      </c>
      <c r="L442" s="425">
        <f t="shared" si="696"/>
        <v>31</v>
      </c>
      <c r="M442" s="425">
        <f t="shared" si="651"/>
        <v>383</v>
      </c>
      <c r="N442" s="285">
        <f t="shared" si="681"/>
        <v>0</v>
      </c>
      <c r="O442" s="285">
        <f t="shared" si="619"/>
        <v>0</v>
      </c>
      <c r="P442" s="285">
        <f t="shared" si="660"/>
        <v>0</v>
      </c>
      <c r="Q442" s="285">
        <f t="shared" si="620"/>
        <v>0</v>
      </c>
      <c r="R442" s="285">
        <f t="shared" si="611"/>
        <v>134.16999999999999</v>
      </c>
      <c r="S442" s="285">
        <f t="shared" si="612"/>
        <v>188.55</v>
      </c>
      <c r="T442" s="285">
        <f t="shared" si="608"/>
        <v>322.72000000000003</v>
      </c>
      <c r="U442" s="285">
        <f t="shared" si="661"/>
        <v>261577.66000000012</v>
      </c>
      <c r="V442" s="285">
        <f t="shared" si="662"/>
        <v>318227.53999999998</v>
      </c>
      <c r="W442" s="285">
        <f t="shared" si="609"/>
        <v>0</v>
      </c>
      <c r="X442" s="502" t="str">
        <f t="shared" si="653"/>
        <v xml:space="preserve"> </v>
      </c>
      <c r="Y442" s="285">
        <f t="shared" si="621"/>
        <v>234591.39000000039</v>
      </c>
      <c r="Z442" s="494">
        <f t="shared" si="646"/>
        <v>6.25E-2</v>
      </c>
      <c r="AA442" s="285">
        <f t="shared" si="647"/>
        <v>1630.04</v>
      </c>
      <c r="AB442" s="285">
        <f t="shared" si="622"/>
        <v>408.21000000000004</v>
      </c>
      <c r="AC442" s="285">
        <f t="shared" si="648"/>
        <v>1221.83</v>
      </c>
      <c r="AD442" s="285">
        <f t="shared" ref="AD442:AE442" si="711">+AD441</f>
        <v>134.16999999999999</v>
      </c>
      <c r="AE442" s="285">
        <f t="shared" si="711"/>
        <v>188.55</v>
      </c>
      <c r="AF442" s="285">
        <f t="shared" si="624"/>
        <v>1952.76</v>
      </c>
      <c r="AG442" s="285">
        <f t="shared" si="625"/>
        <v>97010.219999999914</v>
      </c>
      <c r="AH442" s="285">
        <f t="shared" si="626"/>
        <v>523151.34000000032</v>
      </c>
      <c r="AI442" s="512">
        <f t="shared" si="614"/>
        <v>-40356.360000000044</v>
      </c>
      <c r="AJ442" s="512">
        <f t="shared" si="674"/>
        <v>-234183.1800000004</v>
      </c>
      <c r="AK442" s="512">
        <f t="shared" si="615"/>
        <v>-274539.54000000044</v>
      </c>
      <c r="AL442" s="285">
        <f t="shared" si="627"/>
        <v>234183.1800000004</v>
      </c>
      <c r="AM442" s="425">
        <f t="shared" si="655"/>
        <v>31</v>
      </c>
      <c r="AN442" s="14">
        <f t="shared" si="616"/>
        <v>0</v>
      </c>
      <c r="AO442" s="14">
        <f t="shared" si="694"/>
        <v>0</v>
      </c>
      <c r="AP442" s="14">
        <f t="shared" si="617"/>
        <v>0</v>
      </c>
      <c r="AS442" s="14">
        <f t="shared" si="650"/>
        <v>0</v>
      </c>
      <c r="AT442" s="14">
        <f t="shared" si="656"/>
        <v>0</v>
      </c>
      <c r="AU442" s="285">
        <f t="shared" si="657"/>
        <v>0</v>
      </c>
      <c r="AV442" s="285">
        <f t="shared" si="658"/>
        <v>0</v>
      </c>
    </row>
    <row r="443" spans="1:48" x14ac:dyDescent="0.25">
      <c r="A443" s="502" t="str">
        <f t="shared" ref="A443:A490" si="712">IF(K443&lt;=0," ",+A442+30)</f>
        <v xml:space="preserve"> </v>
      </c>
      <c r="B443" s="285">
        <f t="shared" si="706"/>
        <v>0</v>
      </c>
      <c r="C443" s="14">
        <f t="shared" si="644"/>
        <v>0</v>
      </c>
      <c r="D443" s="14">
        <f t="shared" si="659"/>
        <v>0</v>
      </c>
      <c r="E443" s="14">
        <f t="shared" si="645"/>
        <v>0</v>
      </c>
      <c r="F443" s="14">
        <f t="shared" ref="F443:F490" si="713">+F442</f>
        <v>134.16999999999999</v>
      </c>
      <c r="G443" s="14">
        <f t="shared" si="709"/>
        <v>188.55</v>
      </c>
      <c r="H443" s="14">
        <f t="shared" si="710"/>
        <v>322.72000000000003</v>
      </c>
      <c r="I443" s="285">
        <f t="shared" ref="I443:I490" si="714">$D443+$I442</f>
        <v>97532.849999999991</v>
      </c>
      <c r="J443" s="285">
        <f t="shared" ref="J443:J490" si="715">$E443+$J442</f>
        <v>64871.789999999986</v>
      </c>
      <c r="K443" s="285">
        <f t="shared" ref="K443:K490" si="716">+B443-D443</f>
        <v>0</v>
      </c>
      <c r="L443" s="425">
        <f t="shared" si="696"/>
        <v>32</v>
      </c>
      <c r="M443" s="425">
        <f t="shared" si="651"/>
        <v>384</v>
      </c>
      <c r="N443" s="285">
        <f t="shared" si="681"/>
        <v>0</v>
      </c>
      <c r="O443" s="285">
        <f t="shared" si="619"/>
        <v>0</v>
      </c>
      <c r="P443" s="285">
        <f t="shared" si="660"/>
        <v>0</v>
      </c>
      <c r="Q443" s="285">
        <f t="shared" si="620"/>
        <v>0</v>
      </c>
      <c r="R443" s="285">
        <f t="shared" si="611"/>
        <v>134.16999999999999</v>
      </c>
      <c r="S443" s="285">
        <f t="shared" si="612"/>
        <v>188.55</v>
      </c>
      <c r="T443" s="285">
        <f t="shared" ref="T443:T490" si="717">SUM(P443:S443)</f>
        <v>322.72000000000003</v>
      </c>
      <c r="U443" s="285">
        <f t="shared" si="661"/>
        <v>261577.66000000012</v>
      </c>
      <c r="V443" s="285">
        <f t="shared" si="662"/>
        <v>318227.53999999998</v>
      </c>
      <c r="W443" s="285">
        <f t="shared" ref="W443:W490" si="718">+N443-P443</f>
        <v>0</v>
      </c>
      <c r="X443" s="502" t="str">
        <f t="shared" si="653"/>
        <v xml:space="preserve"> </v>
      </c>
      <c r="Y443" s="285">
        <f t="shared" si="621"/>
        <v>234183.1800000004</v>
      </c>
      <c r="Z443" s="494">
        <f t="shared" si="646"/>
        <v>6.25E-2</v>
      </c>
      <c r="AA443" s="285">
        <f t="shared" si="647"/>
        <v>1630.04</v>
      </c>
      <c r="AB443" s="285">
        <f t="shared" si="622"/>
        <v>410.33999999999992</v>
      </c>
      <c r="AC443" s="285">
        <f t="shared" si="648"/>
        <v>1219.7</v>
      </c>
      <c r="AD443" s="285">
        <f t="shared" ref="AD443:AE443" si="719">+AD442</f>
        <v>134.16999999999999</v>
      </c>
      <c r="AE443" s="285">
        <f t="shared" si="719"/>
        <v>188.55</v>
      </c>
      <c r="AF443" s="285">
        <f t="shared" si="624"/>
        <v>1952.76</v>
      </c>
      <c r="AG443" s="285">
        <f t="shared" si="625"/>
        <v>97420.55999999991</v>
      </c>
      <c r="AH443" s="285">
        <f t="shared" si="626"/>
        <v>524371.04000000027</v>
      </c>
      <c r="AI443" s="512">
        <f t="shared" si="614"/>
        <v>-41986.400000000045</v>
      </c>
      <c r="AJ443" s="512">
        <f t="shared" si="674"/>
        <v>-233772.8400000004</v>
      </c>
      <c r="AK443" s="512">
        <f t="shared" si="615"/>
        <v>-275759.24000000046</v>
      </c>
      <c r="AL443" s="285">
        <f t="shared" si="627"/>
        <v>233772.8400000004</v>
      </c>
      <c r="AM443" s="425">
        <f t="shared" si="655"/>
        <v>32</v>
      </c>
      <c r="AN443" s="14">
        <f t="shared" si="616"/>
        <v>0</v>
      </c>
      <c r="AO443" s="14">
        <f t="shared" si="694"/>
        <v>0</v>
      </c>
      <c r="AP443" s="14">
        <f t="shared" si="617"/>
        <v>0</v>
      </c>
      <c r="AS443" s="14">
        <f t="shared" si="650"/>
        <v>0</v>
      </c>
      <c r="AT443" s="14">
        <f t="shared" si="656"/>
        <v>0</v>
      </c>
      <c r="AU443" s="285">
        <f t="shared" si="657"/>
        <v>0</v>
      </c>
      <c r="AV443" s="285">
        <f t="shared" si="658"/>
        <v>0</v>
      </c>
    </row>
    <row r="444" spans="1:48" x14ac:dyDescent="0.25">
      <c r="A444" s="502" t="str">
        <f t="shared" si="712"/>
        <v xml:space="preserve"> </v>
      </c>
      <c r="B444" s="285">
        <f t="shared" si="706"/>
        <v>0</v>
      </c>
      <c r="C444" s="14">
        <f t="shared" si="644"/>
        <v>0</v>
      </c>
      <c r="D444" s="14">
        <f t="shared" si="659"/>
        <v>0</v>
      </c>
      <c r="E444" s="14">
        <f t="shared" si="645"/>
        <v>0</v>
      </c>
      <c r="F444" s="14">
        <f t="shared" si="713"/>
        <v>134.16999999999999</v>
      </c>
      <c r="G444" s="14">
        <f t="shared" si="709"/>
        <v>188.55</v>
      </c>
      <c r="H444" s="14">
        <f t="shared" si="710"/>
        <v>322.72000000000003</v>
      </c>
      <c r="I444" s="285">
        <f t="shared" si="714"/>
        <v>97532.849999999991</v>
      </c>
      <c r="J444" s="285">
        <f t="shared" si="715"/>
        <v>64871.789999999986</v>
      </c>
      <c r="K444" s="285">
        <f t="shared" si="716"/>
        <v>0</v>
      </c>
      <c r="L444" s="425">
        <f t="shared" si="696"/>
        <v>32</v>
      </c>
      <c r="M444" s="425">
        <f t="shared" si="651"/>
        <v>385</v>
      </c>
      <c r="N444" s="285">
        <f t="shared" si="681"/>
        <v>0</v>
      </c>
      <c r="O444" s="285">
        <f t="shared" si="619"/>
        <v>0</v>
      </c>
      <c r="P444" s="285">
        <f t="shared" si="660"/>
        <v>0</v>
      </c>
      <c r="Q444" s="285">
        <f t="shared" si="620"/>
        <v>0</v>
      </c>
      <c r="R444" s="285">
        <f t="shared" ref="R444:R490" si="720">+R443</f>
        <v>134.16999999999999</v>
      </c>
      <c r="S444" s="285">
        <f t="shared" ref="S444:S490" si="721">+S443</f>
        <v>188.55</v>
      </c>
      <c r="T444" s="285">
        <f t="shared" si="717"/>
        <v>322.72000000000003</v>
      </c>
      <c r="U444" s="285">
        <f t="shared" si="661"/>
        <v>261577.66000000012</v>
      </c>
      <c r="V444" s="285">
        <f t="shared" si="662"/>
        <v>318227.53999999998</v>
      </c>
      <c r="W444" s="285">
        <f t="shared" si="718"/>
        <v>0</v>
      </c>
      <c r="X444" s="502" t="str">
        <f t="shared" si="653"/>
        <v xml:space="preserve"> </v>
      </c>
      <c r="Y444" s="285">
        <f t="shared" si="621"/>
        <v>233772.8400000004</v>
      </c>
      <c r="Z444" s="494">
        <f t="shared" si="646"/>
        <v>6.25E-2</v>
      </c>
      <c r="AA444" s="285">
        <f t="shared" si="647"/>
        <v>1630.04</v>
      </c>
      <c r="AB444" s="285">
        <f t="shared" si="622"/>
        <v>412.47</v>
      </c>
      <c r="AC444" s="285">
        <f t="shared" si="648"/>
        <v>1217.57</v>
      </c>
      <c r="AD444" s="285">
        <f t="shared" ref="AD444:AE444" si="722">+AD443</f>
        <v>134.16999999999999</v>
      </c>
      <c r="AE444" s="285">
        <f t="shared" si="722"/>
        <v>188.55</v>
      </c>
      <c r="AF444" s="285">
        <f t="shared" si="624"/>
        <v>1952.76</v>
      </c>
      <c r="AG444" s="285">
        <f t="shared" si="625"/>
        <v>97833.029999999912</v>
      </c>
      <c r="AH444" s="285">
        <f t="shared" si="626"/>
        <v>525588.61000000022</v>
      </c>
      <c r="AI444" s="512">
        <f t="shared" ref="AI444:AI507" si="723">O444-AA444+AI443</f>
        <v>-43616.440000000046</v>
      </c>
      <c r="AJ444" s="512">
        <f t="shared" si="674"/>
        <v>-233360.3700000004</v>
      </c>
      <c r="AK444" s="512">
        <f t="shared" ref="AK444:AK507" si="724">SUM(AI444:AJ444)</f>
        <v>-276976.81000000046</v>
      </c>
      <c r="AL444" s="285">
        <f t="shared" si="627"/>
        <v>233360.3700000004</v>
      </c>
      <c r="AM444" s="425">
        <f t="shared" si="655"/>
        <v>32</v>
      </c>
      <c r="AN444" s="14">
        <f t="shared" ref="AN444:AN490" si="725">IF(O444=0,0,+O444-C444)</f>
        <v>0</v>
      </c>
      <c r="AO444" s="14">
        <f t="shared" si="694"/>
        <v>0</v>
      </c>
      <c r="AP444" s="14">
        <f t="shared" ref="AP444:AP490" si="726">IF($O444=0,0,+AA444-$C444)</f>
        <v>0</v>
      </c>
      <c r="AS444" s="14">
        <f t="shared" si="650"/>
        <v>0</v>
      </c>
      <c r="AT444" s="14">
        <f t="shared" si="656"/>
        <v>0</v>
      </c>
      <c r="AU444" s="285">
        <f t="shared" si="657"/>
        <v>0</v>
      </c>
      <c r="AV444" s="285">
        <f t="shared" si="658"/>
        <v>0</v>
      </c>
    </row>
    <row r="445" spans="1:48" x14ac:dyDescent="0.25">
      <c r="A445" s="502" t="str">
        <f t="shared" si="712"/>
        <v xml:space="preserve"> </v>
      </c>
      <c r="B445" s="285">
        <f t="shared" si="706"/>
        <v>0</v>
      </c>
      <c r="C445" s="14">
        <f t="shared" si="644"/>
        <v>0</v>
      </c>
      <c r="D445" s="14">
        <f t="shared" si="659"/>
        <v>0</v>
      </c>
      <c r="E445" s="14">
        <f t="shared" si="645"/>
        <v>0</v>
      </c>
      <c r="F445" s="14">
        <f t="shared" si="713"/>
        <v>134.16999999999999</v>
      </c>
      <c r="G445" s="14">
        <f t="shared" si="709"/>
        <v>188.55</v>
      </c>
      <c r="H445" s="14">
        <f t="shared" si="710"/>
        <v>322.72000000000003</v>
      </c>
      <c r="I445" s="285">
        <f t="shared" si="714"/>
        <v>97532.849999999991</v>
      </c>
      <c r="J445" s="285">
        <f t="shared" si="715"/>
        <v>64871.789999999986</v>
      </c>
      <c r="K445" s="285">
        <f t="shared" si="716"/>
        <v>0</v>
      </c>
      <c r="L445" s="425">
        <f t="shared" si="696"/>
        <v>32</v>
      </c>
      <c r="M445" s="425">
        <f t="shared" si="651"/>
        <v>386</v>
      </c>
      <c r="N445" s="285">
        <f t="shared" si="681"/>
        <v>0</v>
      </c>
      <c r="O445" s="285">
        <f t="shared" si="619"/>
        <v>0</v>
      </c>
      <c r="P445" s="285">
        <f t="shared" si="660"/>
        <v>0</v>
      </c>
      <c r="Q445" s="285">
        <f t="shared" si="620"/>
        <v>0</v>
      </c>
      <c r="R445" s="285">
        <f t="shared" si="720"/>
        <v>134.16999999999999</v>
      </c>
      <c r="S445" s="285">
        <f t="shared" si="721"/>
        <v>188.55</v>
      </c>
      <c r="T445" s="285">
        <f t="shared" si="717"/>
        <v>322.72000000000003</v>
      </c>
      <c r="U445" s="285">
        <f t="shared" si="661"/>
        <v>261577.66000000012</v>
      </c>
      <c r="V445" s="285">
        <f t="shared" si="662"/>
        <v>318227.53999999998</v>
      </c>
      <c r="W445" s="285">
        <f t="shared" si="718"/>
        <v>0</v>
      </c>
      <c r="X445" s="502" t="str">
        <f t="shared" si="653"/>
        <v xml:space="preserve"> </v>
      </c>
      <c r="Y445" s="285">
        <f t="shared" si="621"/>
        <v>233360.3700000004</v>
      </c>
      <c r="Z445" s="494">
        <f t="shared" si="646"/>
        <v>6.25E-2</v>
      </c>
      <c r="AA445" s="285">
        <f t="shared" si="647"/>
        <v>1630.04</v>
      </c>
      <c r="AB445" s="285">
        <f t="shared" si="622"/>
        <v>414.61999999999989</v>
      </c>
      <c r="AC445" s="285">
        <f t="shared" si="648"/>
        <v>1215.42</v>
      </c>
      <c r="AD445" s="285">
        <f t="shared" ref="AD445:AE445" si="727">+AD444</f>
        <v>134.16999999999999</v>
      </c>
      <c r="AE445" s="285">
        <f t="shared" si="727"/>
        <v>188.55</v>
      </c>
      <c r="AF445" s="285">
        <f t="shared" si="624"/>
        <v>1952.76</v>
      </c>
      <c r="AG445" s="285">
        <f t="shared" si="625"/>
        <v>98247.649999999907</v>
      </c>
      <c r="AH445" s="285">
        <f t="shared" si="626"/>
        <v>526804.03000000026</v>
      </c>
      <c r="AI445" s="512">
        <f t="shared" si="723"/>
        <v>-45246.480000000047</v>
      </c>
      <c r="AJ445" s="512">
        <f t="shared" si="674"/>
        <v>-232945.75000000041</v>
      </c>
      <c r="AK445" s="512">
        <f t="shared" si="724"/>
        <v>-278192.23000000045</v>
      </c>
      <c r="AL445" s="285">
        <f t="shared" si="627"/>
        <v>232945.75000000041</v>
      </c>
      <c r="AM445" s="425">
        <f t="shared" si="655"/>
        <v>32</v>
      </c>
      <c r="AN445" s="14">
        <f t="shared" si="725"/>
        <v>0</v>
      </c>
      <c r="AO445" s="14">
        <f t="shared" si="694"/>
        <v>0</v>
      </c>
      <c r="AP445" s="14">
        <f t="shared" si="726"/>
        <v>0</v>
      </c>
      <c r="AS445" s="14">
        <f t="shared" si="650"/>
        <v>0</v>
      </c>
      <c r="AT445" s="14">
        <f t="shared" si="656"/>
        <v>0</v>
      </c>
      <c r="AU445" s="285">
        <f t="shared" si="657"/>
        <v>0</v>
      </c>
      <c r="AV445" s="285">
        <f t="shared" si="658"/>
        <v>0</v>
      </c>
    </row>
    <row r="446" spans="1:48" ht="15.75" thickBot="1" x14ac:dyDescent="0.3">
      <c r="A446" s="505" t="str">
        <f t="shared" si="712"/>
        <v xml:space="preserve"> </v>
      </c>
      <c r="B446" s="345">
        <f t="shared" si="706"/>
        <v>0</v>
      </c>
      <c r="C446" s="21">
        <f t="shared" si="644"/>
        <v>0</v>
      </c>
      <c r="D446" s="21">
        <f t="shared" si="659"/>
        <v>0</v>
      </c>
      <c r="E446" s="21">
        <f t="shared" si="645"/>
        <v>0</v>
      </c>
      <c r="F446" s="21">
        <f t="shared" si="713"/>
        <v>134.16999999999999</v>
      </c>
      <c r="G446" s="21">
        <f t="shared" si="709"/>
        <v>188.55</v>
      </c>
      <c r="H446" s="21">
        <f t="shared" si="710"/>
        <v>322.72000000000003</v>
      </c>
      <c r="I446" s="345">
        <f t="shared" si="714"/>
        <v>97532.849999999991</v>
      </c>
      <c r="J446" s="345">
        <f t="shared" si="715"/>
        <v>64871.789999999986</v>
      </c>
      <c r="K446" s="345">
        <f t="shared" si="716"/>
        <v>0</v>
      </c>
      <c r="L446" s="426">
        <f t="shared" si="696"/>
        <v>32</v>
      </c>
      <c r="M446" s="426">
        <f t="shared" si="651"/>
        <v>387</v>
      </c>
      <c r="N446" s="345">
        <f t="shared" si="681"/>
        <v>0</v>
      </c>
      <c r="O446" s="345">
        <f t="shared" ref="O446:O490" si="728">IF($O$9&lt;=A446,IF(+$W445&lt;=0,0,$O$8),0)</f>
        <v>0</v>
      </c>
      <c r="P446" s="345">
        <f t="shared" si="660"/>
        <v>0</v>
      </c>
      <c r="Q446" s="345">
        <f t="shared" ref="Q446:Q490" si="729">IF($O$9&lt;=A446,ROUND(N446*($O$6/12),2),0)</f>
        <v>0</v>
      </c>
      <c r="R446" s="345">
        <f t="shared" si="720"/>
        <v>134.16999999999999</v>
      </c>
      <c r="S446" s="345">
        <f t="shared" si="721"/>
        <v>188.55</v>
      </c>
      <c r="T446" s="345">
        <f t="shared" si="717"/>
        <v>322.72000000000003</v>
      </c>
      <c r="U446" s="345">
        <f t="shared" si="661"/>
        <v>261577.66000000012</v>
      </c>
      <c r="V446" s="345">
        <f t="shared" si="662"/>
        <v>318227.53999999998</v>
      </c>
      <c r="W446" s="345">
        <f t="shared" si="718"/>
        <v>0</v>
      </c>
      <c r="X446" s="505" t="str">
        <f t="shared" si="653"/>
        <v xml:space="preserve"> </v>
      </c>
      <c r="Y446" s="345">
        <f t="shared" ref="Y446:Y509" si="730">IF(+AL445&lt;0,0,+AL445)</f>
        <v>232945.75000000041</v>
      </c>
      <c r="Z446" s="495">
        <f t="shared" si="646"/>
        <v>6.25E-2</v>
      </c>
      <c r="AA446" s="345">
        <f t="shared" si="647"/>
        <v>1630.04</v>
      </c>
      <c r="AB446" s="345">
        <f t="shared" ref="AB446:AB509" si="731">+AA446-AC446</f>
        <v>416.78</v>
      </c>
      <c r="AC446" s="345">
        <f t="shared" si="648"/>
        <v>1213.26</v>
      </c>
      <c r="AD446" s="345">
        <f t="shared" ref="AD446:AE446" si="732">+AD445</f>
        <v>134.16999999999999</v>
      </c>
      <c r="AE446" s="345">
        <f t="shared" si="732"/>
        <v>188.55</v>
      </c>
      <c r="AF446" s="345">
        <f t="shared" ref="AF446:AF509" si="733">SUM(AB446:AE446)</f>
        <v>1952.76</v>
      </c>
      <c r="AG446" s="345">
        <f t="shared" ref="AG446:AG509" si="734">+AB446+AG445</f>
        <v>98664.429999999906</v>
      </c>
      <c r="AH446" s="345">
        <f t="shared" ref="AH446:AH509" si="735">+AH445+AC446</f>
        <v>528017.29000000027</v>
      </c>
      <c r="AI446" s="513">
        <f t="shared" si="723"/>
        <v>-46876.520000000048</v>
      </c>
      <c r="AJ446" s="513">
        <f t="shared" si="674"/>
        <v>-232528.97000000041</v>
      </c>
      <c r="AK446" s="512">
        <f t="shared" si="724"/>
        <v>-279405.49000000046</v>
      </c>
      <c r="AL446" s="345">
        <f t="shared" ref="AL446:AL509" si="736">+Y446-AB446</f>
        <v>232528.97000000041</v>
      </c>
      <c r="AM446" s="426">
        <f t="shared" si="655"/>
        <v>32</v>
      </c>
      <c r="AN446" s="21">
        <f t="shared" si="725"/>
        <v>0</v>
      </c>
      <c r="AO446" s="21">
        <f t="shared" si="694"/>
        <v>0</v>
      </c>
      <c r="AP446" s="21">
        <f t="shared" si="726"/>
        <v>0</v>
      </c>
      <c r="AQ446" s="21"/>
      <c r="AR446" s="23"/>
      <c r="AS446" s="21">
        <f t="shared" si="650"/>
        <v>0</v>
      </c>
      <c r="AT446" s="21">
        <f t="shared" si="656"/>
        <v>0</v>
      </c>
      <c r="AU446" s="345">
        <f t="shared" si="657"/>
        <v>0</v>
      </c>
      <c r="AV446" s="345">
        <f t="shared" si="658"/>
        <v>0</v>
      </c>
    </row>
    <row r="447" spans="1:48" x14ac:dyDescent="0.25">
      <c r="A447" s="502" t="str">
        <f t="shared" si="712"/>
        <v xml:space="preserve"> </v>
      </c>
      <c r="B447" s="285">
        <f t="shared" si="706"/>
        <v>0</v>
      </c>
      <c r="C447" s="14">
        <f t="shared" si="644"/>
        <v>0</v>
      </c>
      <c r="D447" s="14">
        <f t="shared" si="659"/>
        <v>0</v>
      </c>
      <c r="E447" s="14">
        <f t="shared" si="645"/>
        <v>0</v>
      </c>
      <c r="F447" s="14">
        <f t="shared" si="713"/>
        <v>134.16999999999999</v>
      </c>
      <c r="G447" s="14">
        <f t="shared" si="709"/>
        <v>188.55</v>
      </c>
      <c r="H447" s="14">
        <f t="shared" si="710"/>
        <v>322.72000000000003</v>
      </c>
      <c r="I447" s="285">
        <f t="shared" si="714"/>
        <v>97532.849999999991</v>
      </c>
      <c r="J447" s="285">
        <f t="shared" si="715"/>
        <v>64871.789999999986</v>
      </c>
      <c r="K447" s="285">
        <f t="shared" si="716"/>
        <v>0</v>
      </c>
      <c r="L447" s="425">
        <f t="shared" si="696"/>
        <v>32</v>
      </c>
      <c r="M447" s="425">
        <f t="shared" si="651"/>
        <v>388</v>
      </c>
      <c r="N447" s="285">
        <f t="shared" si="681"/>
        <v>0</v>
      </c>
      <c r="O447" s="285">
        <f t="shared" si="728"/>
        <v>0</v>
      </c>
      <c r="P447" s="285">
        <f t="shared" si="660"/>
        <v>0</v>
      </c>
      <c r="Q447" s="285">
        <f t="shared" si="729"/>
        <v>0</v>
      </c>
      <c r="R447" s="285">
        <f t="shared" si="720"/>
        <v>134.16999999999999</v>
      </c>
      <c r="S447" s="285">
        <f t="shared" si="721"/>
        <v>188.55</v>
      </c>
      <c r="T447" s="285">
        <f t="shared" si="717"/>
        <v>322.72000000000003</v>
      </c>
      <c r="U447" s="285">
        <f t="shared" si="661"/>
        <v>261577.66000000012</v>
      </c>
      <c r="V447" s="285">
        <f t="shared" si="662"/>
        <v>318227.53999999998</v>
      </c>
      <c r="W447" s="285">
        <f t="shared" si="718"/>
        <v>0</v>
      </c>
      <c r="X447" s="502" t="str">
        <f t="shared" si="653"/>
        <v xml:space="preserve"> </v>
      </c>
      <c r="Y447" s="285">
        <f t="shared" si="730"/>
        <v>232528.97000000041</v>
      </c>
      <c r="Z447" s="494">
        <f t="shared" si="646"/>
        <v>6.25E-2</v>
      </c>
      <c r="AA447" s="285">
        <f t="shared" si="647"/>
        <v>1630.04</v>
      </c>
      <c r="AB447" s="285">
        <f t="shared" si="731"/>
        <v>418.95000000000005</v>
      </c>
      <c r="AC447" s="285">
        <f t="shared" si="648"/>
        <v>1211.0899999999999</v>
      </c>
      <c r="AD447" s="285">
        <f t="shared" ref="AD447:AE447" si="737">+AD446</f>
        <v>134.16999999999999</v>
      </c>
      <c r="AE447" s="285">
        <f t="shared" si="737"/>
        <v>188.55</v>
      </c>
      <c r="AF447" s="285">
        <f t="shared" si="733"/>
        <v>1952.76</v>
      </c>
      <c r="AG447" s="285">
        <f t="shared" si="734"/>
        <v>99083.379999999903</v>
      </c>
      <c r="AH447" s="285">
        <f t="shared" si="735"/>
        <v>529228.38000000024</v>
      </c>
      <c r="AI447" s="512">
        <f t="shared" si="723"/>
        <v>-48506.560000000049</v>
      </c>
      <c r="AJ447" s="512">
        <f t="shared" si="674"/>
        <v>-232110.0200000004</v>
      </c>
      <c r="AK447" s="512">
        <f t="shared" si="724"/>
        <v>-280616.58000000042</v>
      </c>
      <c r="AL447" s="285">
        <f t="shared" si="736"/>
        <v>232110.0200000004</v>
      </c>
      <c r="AM447" s="425">
        <f t="shared" si="655"/>
        <v>32</v>
      </c>
      <c r="AN447" s="14">
        <f t="shared" si="725"/>
        <v>0</v>
      </c>
      <c r="AO447" s="14">
        <f t="shared" si="694"/>
        <v>0</v>
      </c>
      <c r="AP447" s="14">
        <f t="shared" si="726"/>
        <v>0</v>
      </c>
      <c r="AS447" s="14">
        <f t="shared" si="650"/>
        <v>0</v>
      </c>
      <c r="AT447" s="14">
        <f t="shared" si="656"/>
        <v>0</v>
      </c>
      <c r="AU447" s="285">
        <f t="shared" si="657"/>
        <v>0</v>
      </c>
      <c r="AV447" s="285">
        <f t="shared" si="658"/>
        <v>0</v>
      </c>
    </row>
    <row r="448" spans="1:48" x14ac:dyDescent="0.25">
      <c r="A448" s="502" t="str">
        <f t="shared" si="712"/>
        <v xml:space="preserve"> </v>
      </c>
      <c r="B448" s="285">
        <f t="shared" si="706"/>
        <v>0</v>
      </c>
      <c r="C448" s="14">
        <f t="shared" si="644"/>
        <v>0</v>
      </c>
      <c r="D448" s="14">
        <f t="shared" si="659"/>
        <v>0</v>
      </c>
      <c r="E448" s="14">
        <f t="shared" si="645"/>
        <v>0</v>
      </c>
      <c r="F448" s="14">
        <f t="shared" si="713"/>
        <v>134.16999999999999</v>
      </c>
      <c r="G448" s="14">
        <f t="shared" si="709"/>
        <v>188.55</v>
      </c>
      <c r="H448" s="14">
        <f t="shared" si="710"/>
        <v>322.72000000000003</v>
      </c>
      <c r="I448" s="285">
        <f t="shared" si="714"/>
        <v>97532.849999999991</v>
      </c>
      <c r="J448" s="285">
        <f t="shared" si="715"/>
        <v>64871.789999999986</v>
      </c>
      <c r="K448" s="285">
        <f t="shared" si="716"/>
        <v>0</v>
      </c>
      <c r="L448" s="425">
        <f t="shared" si="696"/>
        <v>32</v>
      </c>
      <c r="M448" s="425">
        <f t="shared" si="651"/>
        <v>389</v>
      </c>
      <c r="N448" s="285">
        <f t="shared" si="681"/>
        <v>0</v>
      </c>
      <c r="O448" s="285">
        <f t="shared" si="728"/>
        <v>0</v>
      </c>
      <c r="P448" s="285">
        <f t="shared" si="660"/>
        <v>0</v>
      </c>
      <c r="Q448" s="285">
        <f t="shared" si="729"/>
        <v>0</v>
      </c>
      <c r="R448" s="285">
        <f t="shared" si="720"/>
        <v>134.16999999999999</v>
      </c>
      <c r="S448" s="285">
        <f t="shared" si="721"/>
        <v>188.55</v>
      </c>
      <c r="T448" s="285">
        <f t="shared" si="717"/>
        <v>322.72000000000003</v>
      </c>
      <c r="U448" s="285">
        <f t="shared" si="661"/>
        <v>261577.66000000012</v>
      </c>
      <c r="V448" s="285">
        <f t="shared" si="662"/>
        <v>318227.53999999998</v>
      </c>
      <c r="W448" s="285">
        <f t="shared" si="718"/>
        <v>0</v>
      </c>
      <c r="X448" s="502" t="str">
        <f t="shared" si="653"/>
        <v xml:space="preserve"> </v>
      </c>
      <c r="Y448" s="285">
        <f t="shared" si="730"/>
        <v>232110.0200000004</v>
      </c>
      <c r="Z448" s="494">
        <f t="shared" si="646"/>
        <v>6.25E-2</v>
      </c>
      <c r="AA448" s="285">
        <f t="shared" si="647"/>
        <v>1630.04</v>
      </c>
      <c r="AB448" s="285">
        <f t="shared" si="731"/>
        <v>421.12999999999988</v>
      </c>
      <c r="AC448" s="285">
        <f t="shared" si="648"/>
        <v>1208.9100000000001</v>
      </c>
      <c r="AD448" s="285">
        <f t="shared" ref="AD448:AE448" si="738">+AD447</f>
        <v>134.16999999999999</v>
      </c>
      <c r="AE448" s="285">
        <f t="shared" si="738"/>
        <v>188.55</v>
      </c>
      <c r="AF448" s="285">
        <f t="shared" si="733"/>
        <v>1952.76</v>
      </c>
      <c r="AG448" s="285">
        <f t="shared" si="734"/>
        <v>99504.509999999907</v>
      </c>
      <c r="AH448" s="285">
        <f t="shared" si="735"/>
        <v>530437.29000000027</v>
      </c>
      <c r="AI448" s="512">
        <f t="shared" si="723"/>
        <v>-50136.600000000049</v>
      </c>
      <c r="AJ448" s="512">
        <f t="shared" si="674"/>
        <v>-231688.89000000039</v>
      </c>
      <c r="AK448" s="512">
        <f t="shared" si="724"/>
        <v>-281825.49000000046</v>
      </c>
      <c r="AL448" s="285">
        <f t="shared" si="736"/>
        <v>231688.89000000039</v>
      </c>
      <c r="AM448" s="425">
        <f t="shared" si="655"/>
        <v>32</v>
      </c>
      <c r="AN448" s="14">
        <f t="shared" si="725"/>
        <v>0</v>
      </c>
      <c r="AO448" s="14">
        <f t="shared" si="694"/>
        <v>0</v>
      </c>
      <c r="AP448" s="14">
        <f t="shared" si="726"/>
        <v>0</v>
      </c>
      <c r="AS448" s="14">
        <f t="shared" si="650"/>
        <v>0</v>
      </c>
      <c r="AT448" s="14">
        <f t="shared" si="656"/>
        <v>0</v>
      </c>
      <c r="AU448" s="285">
        <f t="shared" si="657"/>
        <v>0</v>
      </c>
      <c r="AV448" s="285">
        <f t="shared" si="658"/>
        <v>0</v>
      </c>
    </row>
    <row r="449" spans="1:48" x14ac:dyDescent="0.25">
      <c r="A449" s="502" t="str">
        <f t="shared" si="712"/>
        <v xml:space="preserve"> </v>
      </c>
      <c r="B449" s="285">
        <f t="shared" si="706"/>
        <v>0</v>
      </c>
      <c r="C449" s="14">
        <f t="shared" si="644"/>
        <v>0</v>
      </c>
      <c r="D449" s="14">
        <f t="shared" si="659"/>
        <v>0</v>
      </c>
      <c r="E449" s="14">
        <f t="shared" si="645"/>
        <v>0</v>
      </c>
      <c r="F449" s="14">
        <f t="shared" si="713"/>
        <v>134.16999999999999</v>
      </c>
      <c r="G449" s="14">
        <f t="shared" si="709"/>
        <v>188.55</v>
      </c>
      <c r="H449" s="14">
        <f t="shared" si="710"/>
        <v>322.72000000000003</v>
      </c>
      <c r="I449" s="285">
        <f t="shared" si="714"/>
        <v>97532.849999999991</v>
      </c>
      <c r="J449" s="285">
        <f t="shared" si="715"/>
        <v>64871.789999999986</v>
      </c>
      <c r="K449" s="285">
        <f t="shared" si="716"/>
        <v>0</v>
      </c>
      <c r="L449" s="425">
        <f t="shared" si="696"/>
        <v>32</v>
      </c>
      <c r="M449" s="425">
        <f t="shared" si="651"/>
        <v>390</v>
      </c>
      <c r="N449" s="285">
        <f t="shared" si="681"/>
        <v>0</v>
      </c>
      <c r="O449" s="285">
        <f t="shared" si="728"/>
        <v>0</v>
      </c>
      <c r="P449" s="285">
        <f t="shared" si="660"/>
        <v>0</v>
      </c>
      <c r="Q449" s="285">
        <f t="shared" si="729"/>
        <v>0</v>
      </c>
      <c r="R449" s="285">
        <f t="shared" si="720"/>
        <v>134.16999999999999</v>
      </c>
      <c r="S449" s="285">
        <f t="shared" si="721"/>
        <v>188.55</v>
      </c>
      <c r="T449" s="285">
        <f t="shared" si="717"/>
        <v>322.72000000000003</v>
      </c>
      <c r="U449" s="285">
        <f t="shared" si="661"/>
        <v>261577.66000000012</v>
      </c>
      <c r="V449" s="285">
        <f t="shared" si="662"/>
        <v>318227.53999999998</v>
      </c>
      <c r="W449" s="285">
        <f t="shared" si="718"/>
        <v>0</v>
      </c>
      <c r="X449" s="502" t="str">
        <f t="shared" si="653"/>
        <v xml:space="preserve"> </v>
      </c>
      <c r="Y449" s="285">
        <f t="shared" si="730"/>
        <v>231688.89000000039</v>
      </c>
      <c r="Z449" s="494">
        <f t="shared" si="646"/>
        <v>6.25E-2</v>
      </c>
      <c r="AA449" s="285">
        <f t="shared" si="647"/>
        <v>1630.04</v>
      </c>
      <c r="AB449" s="285">
        <f t="shared" si="731"/>
        <v>423.32999999999993</v>
      </c>
      <c r="AC449" s="285">
        <f t="shared" si="648"/>
        <v>1206.71</v>
      </c>
      <c r="AD449" s="285">
        <f t="shared" ref="AD449:AE449" si="739">+AD448</f>
        <v>134.16999999999999</v>
      </c>
      <c r="AE449" s="285">
        <f t="shared" si="739"/>
        <v>188.55</v>
      </c>
      <c r="AF449" s="285">
        <f t="shared" si="733"/>
        <v>1952.76</v>
      </c>
      <c r="AG449" s="285">
        <f t="shared" si="734"/>
        <v>99927.839999999909</v>
      </c>
      <c r="AH449" s="285">
        <f t="shared" si="735"/>
        <v>531644.00000000023</v>
      </c>
      <c r="AI449" s="512">
        <f t="shared" si="723"/>
        <v>-51766.64000000005</v>
      </c>
      <c r="AJ449" s="512">
        <f t="shared" si="674"/>
        <v>-231265.56000000041</v>
      </c>
      <c r="AK449" s="512">
        <f t="shared" si="724"/>
        <v>-283032.20000000048</v>
      </c>
      <c r="AL449" s="285">
        <f t="shared" si="736"/>
        <v>231265.56000000041</v>
      </c>
      <c r="AM449" s="425">
        <f t="shared" si="655"/>
        <v>32</v>
      </c>
      <c r="AN449" s="14">
        <f t="shared" si="725"/>
        <v>0</v>
      </c>
      <c r="AO449" s="14">
        <f t="shared" si="694"/>
        <v>0</v>
      </c>
      <c r="AP449" s="14">
        <f t="shared" si="726"/>
        <v>0</v>
      </c>
      <c r="AS449" s="14">
        <f t="shared" si="650"/>
        <v>0</v>
      </c>
      <c r="AT449" s="14">
        <f t="shared" si="656"/>
        <v>0</v>
      </c>
      <c r="AU449" s="285">
        <f t="shared" si="657"/>
        <v>0</v>
      </c>
      <c r="AV449" s="285">
        <f t="shared" si="658"/>
        <v>0</v>
      </c>
    </row>
    <row r="450" spans="1:48" x14ac:dyDescent="0.25">
      <c r="A450" s="502" t="str">
        <f t="shared" si="712"/>
        <v xml:space="preserve"> </v>
      </c>
      <c r="B450" s="285">
        <f t="shared" si="706"/>
        <v>0</v>
      </c>
      <c r="C450" s="14">
        <f t="shared" si="644"/>
        <v>0</v>
      </c>
      <c r="D450" s="14">
        <f t="shared" si="659"/>
        <v>0</v>
      </c>
      <c r="E450" s="14">
        <f t="shared" si="645"/>
        <v>0</v>
      </c>
      <c r="F450" s="14">
        <f t="shared" si="713"/>
        <v>134.16999999999999</v>
      </c>
      <c r="G450" s="14">
        <f t="shared" si="709"/>
        <v>188.55</v>
      </c>
      <c r="H450" s="14">
        <f t="shared" si="710"/>
        <v>322.72000000000003</v>
      </c>
      <c r="I450" s="285">
        <f t="shared" si="714"/>
        <v>97532.849999999991</v>
      </c>
      <c r="J450" s="285">
        <f t="shared" si="715"/>
        <v>64871.789999999986</v>
      </c>
      <c r="K450" s="285">
        <f t="shared" si="716"/>
        <v>0</v>
      </c>
      <c r="L450" s="425">
        <f t="shared" si="696"/>
        <v>32</v>
      </c>
      <c r="M450" s="425">
        <f t="shared" si="651"/>
        <v>391</v>
      </c>
      <c r="N450" s="285">
        <f t="shared" si="681"/>
        <v>0</v>
      </c>
      <c r="O450" s="285">
        <f t="shared" si="728"/>
        <v>0</v>
      </c>
      <c r="P450" s="285">
        <f t="shared" si="660"/>
        <v>0</v>
      </c>
      <c r="Q450" s="285">
        <f t="shared" si="729"/>
        <v>0</v>
      </c>
      <c r="R450" s="285">
        <f t="shared" si="720"/>
        <v>134.16999999999999</v>
      </c>
      <c r="S450" s="285">
        <f t="shared" si="721"/>
        <v>188.55</v>
      </c>
      <c r="T450" s="285">
        <f t="shared" si="717"/>
        <v>322.72000000000003</v>
      </c>
      <c r="U450" s="285">
        <f t="shared" si="661"/>
        <v>261577.66000000012</v>
      </c>
      <c r="V450" s="285">
        <f t="shared" si="662"/>
        <v>318227.53999999998</v>
      </c>
      <c r="W450" s="285">
        <f t="shared" si="718"/>
        <v>0</v>
      </c>
      <c r="X450" s="502" t="str">
        <f t="shared" si="653"/>
        <v xml:space="preserve"> </v>
      </c>
      <c r="Y450" s="285">
        <f t="shared" si="730"/>
        <v>231265.56000000041</v>
      </c>
      <c r="Z450" s="494">
        <f t="shared" si="646"/>
        <v>6.25E-2</v>
      </c>
      <c r="AA450" s="285">
        <f t="shared" si="647"/>
        <v>1630.04</v>
      </c>
      <c r="AB450" s="285">
        <f t="shared" si="731"/>
        <v>425.53</v>
      </c>
      <c r="AC450" s="285">
        <f t="shared" si="648"/>
        <v>1204.51</v>
      </c>
      <c r="AD450" s="285">
        <f t="shared" ref="AD450:AE450" si="740">+AD449</f>
        <v>134.16999999999999</v>
      </c>
      <c r="AE450" s="285">
        <f t="shared" si="740"/>
        <v>188.55</v>
      </c>
      <c r="AF450" s="285">
        <f t="shared" si="733"/>
        <v>1952.76</v>
      </c>
      <c r="AG450" s="285">
        <f t="shared" si="734"/>
        <v>100353.36999999991</v>
      </c>
      <c r="AH450" s="285">
        <f t="shared" si="735"/>
        <v>532848.51000000024</v>
      </c>
      <c r="AI450" s="512">
        <f t="shared" si="723"/>
        <v>-53396.680000000051</v>
      </c>
      <c r="AJ450" s="512">
        <f t="shared" si="674"/>
        <v>-230840.03000000041</v>
      </c>
      <c r="AK450" s="512">
        <f t="shared" si="724"/>
        <v>-284236.71000000043</v>
      </c>
      <c r="AL450" s="285">
        <f t="shared" si="736"/>
        <v>230840.03000000041</v>
      </c>
      <c r="AM450" s="425">
        <f t="shared" si="655"/>
        <v>32</v>
      </c>
      <c r="AN450" s="14">
        <f t="shared" si="725"/>
        <v>0</v>
      </c>
      <c r="AO450" s="14">
        <f t="shared" si="694"/>
        <v>0</v>
      </c>
      <c r="AP450" s="14">
        <f t="shared" si="726"/>
        <v>0</v>
      </c>
      <c r="AS450" s="14">
        <f t="shared" si="650"/>
        <v>0</v>
      </c>
      <c r="AT450" s="14">
        <f t="shared" si="656"/>
        <v>0</v>
      </c>
      <c r="AU450" s="285">
        <f t="shared" si="657"/>
        <v>0</v>
      </c>
      <c r="AV450" s="285">
        <f t="shared" si="658"/>
        <v>0</v>
      </c>
    </row>
    <row r="451" spans="1:48" x14ac:dyDescent="0.25">
      <c r="A451" s="502" t="str">
        <f t="shared" si="712"/>
        <v xml:space="preserve"> </v>
      </c>
      <c r="B451" s="285">
        <f t="shared" si="706"/>
        <v>0</v>
      </c>
      <c r="C451" s="14">
        <f t="shared" si="644"/>
        <v>0</v>
      </c>
      <c r="D451" s="14">
        <f t="shared" si="659"/>
        <v>0</v>
      </c>
      <c r="E451" s="14">
        <f t="shared" si="645"/>
        <v>0</v>
      </c>
      <c r="F451" s="14">
        <f t="shared" si="713"/>
        <v>134.16999999999999</v>
      </c>
      <c r="G451" s="14">
        <f t="shared" si="709"/>
        <v>188.55</v>
      </c>
      <c r="H451" s="14">
        <f t="shared" si="710"/>
        <v>322.72000000000003</v>
      </c>
      <c r="I451" s="285">
        <f t="shared" si="714"/>
        <v>97532.849999999991</v>
      </c>
      <c r="J451" s="285">
        <f t="shared" si="715"/>
        <v>64871.789999999986</v>
      </c>
      <c r="K451" s="285">
        <f t="shared" si="716"/>
        <v>0</v>
      </c>
      <c r="L451" s="425">
        <f t="shared" si="696"/>
        <v>32</v>
      </c>
      <c r="M451" s="425">
        <f t="shared" si="651"/>
        <v>392</v>
      </c>
      <c r="N451" s="285">
        <f t="shared" si="681"/>
        <v>0</v>
      </c>
      <c r="O451" s="285">
        <f t="shared" si="728"/>
        <v>0</v>
      </c>
      <c r="P451" s="285">
        <f t="shared" si="660"/>
        <v>0</v>
      </c>
      <c r="Q451" s="285">
        <f t="shared" si="729"/>
        <v>0</v>
      </c>
      <c r="R451" s="285">
        <f t="shared" si="720"/>
        <v>134.16999999999999</v>
      </c>
      <c r="S451" s="285">
        <f t="shared" si="721"/>
        <v>188.55</v>
      </c>
      <c r="T451" s="285">
        <f t="shared" si="717"/>
        <v>322.72000000000003</v>
      </c>
      <c r="U451" s="285">
        <f t="shared" si="661"/>
        <v>261577.66000000012</v>
      </c>
      <c r="V451" s="285">
        <f t="shared" si="662"/>
        <v>318227.53999999998</v>
      </c>
      <c r="W451" s="285">
        <f t="shared" si="718"/>
        <v>0</v>
      </c>
      <c r="X451" s="502" t="str">
        <f t="shared" si="653"/>
        <v xml:space="preserve"> </v>
      </c>
      <c r="Y451" s="285">
        <f t="shared" si="730"/>
        <v>230840.03000000041</v>
      </c>
      <c r="Z451" s="494">
        <f t="shared" si="646"/>
        <v>6.25E-2</v>
      </c>
      <c r="AA451" s="285">
        <f t="shared" si="647"/>
        <v>1630.04</v>
      </c>
      <c r="AB451" s="285">
        <f t="shared" si="731"/>
        <v>427.75</v>
      </c>
      <c r="AC451" s="285">
        <f t="shared" si="648"/>
        <v>1202.29</v>
      </c>
      <c r="AD451" s="285">
        <f t="shared" ref="AD451:AE451" si="741">+AD450</f>
        <v>134.16999999999999</v>
      </c>
      <c r="AE451" s="285">
        <f t="shared" si="741"/>
        <v>188.55</v>
      </c>
      <c r="AF451" s="285">
        <f t="shared" si="733"/>
        <v>1952.76</v>
      </c>
      <c r="AG451" s="285">
        <f t="shared" si="734"/>
        <v>100781.11999999991</v>
      </c>
      <c r="AH451" s="285">
        <f t="shared" si="735"/>
        <v>534050.80000000028</v>
      </c>
      <c r="AI451" s="512">
        <f t="shared" si="723"/>
        <v>-55026.720000000052</v>
      </c>
      <c r="AJ451" s="512">
        <f t="shared" si="674"/>
        <v>-230412.28000000041</v>
      </c>
      <c r="AK451" s="512">
        <f t="shared" si="724"/>
        <v>-285439.00000000047</v>
      </c>
      <c r="AL451" s="285">
        <f t="shared" si="736"/>
        <v>230412.28000000041</v>
      </c>
      <c r="AM451" s="425">
        <f t="shared" si="655"/>
        <v>32</v>
      </c>
      <c r="AN451" s="14">
        <f t="shared" si="725"/>
        <v>0</v>
      </c>
      <c r="AO451" s="14">
        <f t="shared" si="694"/>
        <v>0</v>
      </c>
      <c r="AP451" s="14">
        <f t="shared" si="726"/>
        <v>0</v>
      </c>
      <c r="AS451" s="14">
        <f t="shared" si="650"/>
        <v>0</v>
      </c>
      <c r="AT451" s="14">
        <f t="shared" si="656"/>
        <v>0</v>
      </c>
      <c r="AU451" s="285">
        <f t="shared" si="657"/>
        <v>0</v>
      </c>
      <c r="AV451" s="285">
        <f t="shared" si="658"/>
        <v>0</v>
      </c>
    </row>
    <row r="452" spans="1:48" x14ac:dyDescent="0.25">
      <c r="A452" s="502" t="str">
        <f t="shared" si="712"/>
        <v xml:space="preserve"> </v>
      </c>
      <c r="B452" s="285">
        <f t="shared" si="706"/>
        <v>0</v>
      </c>
      <c r="C452" s="14">
        <f t="shared" si="644"/>
        <v>0</v>
      </c>
      <c r="D452" s="14">
        <f t="shared" si="659"/>
        <v>0</v>
      </c>
      <c r="E452" s="14">
        <f t="shared" si="645"/>
        <v>0</v>
      </c>
      <c r="F452" s="14">
        <f t="shared" si="713"/>
        <v>134.16999999999999</v>
      </c>
      <c r="G452" s="14">
        <f t="shared" si="709"/>
        <v>188.55</v>
      </c>
      <c r="H452" s="14">
        <f t="shared" si="710"/>
        <v>322.72000000000003</v>
      </c>
      <c r="I452" s="285">
        <f t="shared" si="714"/>
        <v>97532.849999999991</v>
      </c>
      <c r="J452" s="285">
        <f t="shared" si="715"/>
        <v>64871.789999999986</v>
      </c>
      <c r="K452" s="285">
        <f t="shared" si="716"/>
        <v>0</v>
      </c>
      <c r="L452" s="425">
        <f t="shared" si="696"/>
        <v>32</v>
      </c>
      <c r="M452" s="425">
        <f t="shared" si="651"/>
        <v>393</v>
      </c>
      <c r="N452" s="285">
        <f t="shared" si="681"/>
        <v>0</v>
      </c>
      <c r="O452" s="285">
        <f t="shared" si="728"/>
        <v>0</v>
      </c>
      <c r="P452" s="285">
        <f t="shared" si="660"/>
        <v>0</v>
      </c>
      <c r="Q452" s="285">
        <f t="shared" si="729"/>
        <v>0</v>
      </c>
      <c r="R452" s="285">
        <f t="shared" si="720"/>
        <v>134.16999999999999</v>
      </c>
      <c r="S452" s="285">
        <f t="shared" si="721"/>
        <v>188.55</v>
      </c>
      <c r="T452" s="285">
        <f t="shared" si="717"/>
        <v>322.72000000000003</v>
      </c>
      <c r="U452" s="285">
        <f t="shared" si="661"/>
        <v>261577.66000000012</v>
      </c>
      <c r="V452" s="285">
        <f t="shared" si="662"/>
        <v>318227.53999999998</v>
      </c>
      <c r="W452" s="285">
        <f t="shared" si="718"/>
        <v>0</v>
      </c>
      <c r="X452" s="502" t="str">
        <f t="shared" si="653"/>
        <v xml:space="preserve"> </v>
      </c>
      <c r="Y452" s="285">
        <f t="shared" si="730"/>
        <v>230412.28000000041</v>
      </c>
      <c r="Z452" s="494">
        <f t="shared" si="646"/>
        <v>6.25E-2</v>
      </c>
      <c r="AA452" s="285">
        <f t="shared" si="647"/>
        <v>1630.04</v>
      </c>
      <c r="AB452" s="285">
        <f t="shared" si="731"/>
        <v>429.98</v>
      </c>
      <c r="AC452" s="285">
        <f t="shared" si="648"/>
        <v>1200.06</v>
      </c>
      <c r="AD452" s="285">
        <f t="shared" ref="AD452:AE452" si="742">+AD451</f>
        <v>134.16999999999999</v>
      </c>
      <c r="AE452" s="285">
        <f t="shared" si="742"/>
        <v>188.55</v>
      </c>
      <c r="AF452" s="285">
        <f t="shared" si="733"/>
        <v>1952.76</v>
      </c>
      <c r="AG452" s="285">
        <f t="shared" si="734"/>
        <v>101211.0999999999</v>
      </c>
      <c r="AH452" s="285">
        <f t="shared" si="735"/>
        <v>535250.86000000034</v>
      </c>
      <c r="AI452" s="512">
        <f t="shared" si="723"/>
        <v>-56656.760000000053</v>
      </c>
      <c r="AJ452" s="512">
        <f t="shared" si="674"/>
        <v>-229982.3000000004</v>
      </c>
      <c r="AK452" s="512">
        <f t="shared" si="724"/>
        <v>-286639.06000000046</v>
      </c>
      <c r="AL452" s="285">
        <f t="shared" si="736"/>
        <v>229982.3000000004</v>
      </c>
      <c r="AM452" s="425">
        <f t="shared" si="655"/>
        <v>32</v>
      </c>
      <c r="AN452" s="14">
        <f t="shared" si="725"/>
        <v>0</v>
      </c>
      <c r="AO452" s="14">
        <f t="shared" si="694"/>
        <v>0</v>
      </c>
      <c r="AP452" s="14">
        <f t="shared" si="726"/>
        <v>0</v>
      </c>
      <c r="AS452" s="14">
        <f t="shared" si="650"/>
        <v>0</v>
      </c>
      <c r="AT452" s="14">
        <f t="shared" si="656"/>
        <v>0</v>
      </c>
      <c r="AU452" s="285">
        <f t="shared" si="657"/>
        <v>0</v>
      </c>
      <c r="AV452" s="285">
        <f t="shared" si="658"/>
        <v>0</v>
      </c>
    </row>
    <row r="453" spans="1:48" x14ac:dyDescent="0.25">
      <c r="A453" s="502" t="str">
        <f t="shared" si="712"/>
        <v xml:space="preserve"> </v>
      </c>
      <c r="B453" s="285">
        <f t="shared" si="706"/>
        <v>0</v>
      </c>
      <c r="C453" s="14">
        <f t="shared" si="644"/>
        <v>0</v>
      </c>
      <c r="D453" s="14">
        <f t="shared" si="659"/>
        <v>0</v>
      </c>
      <c r="E453" s="14">
        <f t="shared" si="645"/>
        <v>0</v>
      </c>
      <c r="F453" s="14">
        <f t="shared" si="713"/>
        <v>134.16999999999999</v>
      </c>
      <c r="G453" s="14">
        <f t="shared" si="709"/>
        <v>188.55</v>
      </c>
      <c r="H453" s="14">
        <f t="shared" si="710"/>
        <v>322.72000000000003</v>
      </c>
      <c r="I453" s="285">
        <f t="shared" si="714"/>
        <v>97532.849999999991</v>
      </c>
      <c r="J453" s="285">
        <f t="shared" si="715"/>
        <v>64871.789999999986</v>
      </c>
      <c r="K453" s="285">
        <f t="shared" si="716"/>
        <v>0</v>
      </c>
      <c r="L453" s="425">
        <f t="shared" si="696"/>
        <v>32</v>
      </c>
      <c r="M453" s="425">
        <f t="shared" si="651"/>
        <v>394</v>
      </c>
      <c r="N453" s="285">
        <f t="shared" si="681"/>
        <v>0</v>
      </c>
      <c r="O453" s="285">
        <f t="shared" si="728"/>
        <v>0</v>
      </c>
      <c r="P453" s="285">
        <f t="shared" si="660"/>
        <v>0</v>
      </c>
      <c r="Q453" s="285">
        <f t="shared" si="729"/>
        <v>0</v>
      </c>
      <c r="R453" s="285">
        <f t="shared" si="720"/>
        <v>134.16999999999999</v>
      </c>
      <c r="S453" s="285">
        <f t="shared" si="721"/>
        <v>188.55</v>
      </c>
      <c r="T453" s="285">
        <f t="shared" si="717"/>
        <v>322.72000000000003</v>
      </c>
      <c r="U453" s="285">
        <f t="shared" si="661"/>
        <v>261577.66000000012</v>
      </c>
      <c r="V453" s="285">
        <f t="shared" si="662"/>
        <v>318227.53999999998</v>
      </c>
      <c r="W453" s="285">
        <f t="shared" si="718"/>
        <v>0</v>
      </c>
      <c r="X453" s="502" t="str">
        <f t="shared" si="653"/>
        <v xml:space="preserve"> </v>
      </c>
      <c r="Y453" s="285">
        <f t="shared" si="730"/>
        <v>229982.3000000004</v>
      </c>
      <c r="Z453" s="494">
        <f t="shared" si="646"/>
        <v>6.25E-2</v>
      </c>
      <c r="AA453" s="285">
        <f t="shared" si="647"/>
        <v>1630.04</v>
      </c>
      <c r="AB453" s="285">
        <f t="shared" si="731"/>
        <v>432.22</v>
      </c>
      <c r="AC453" s="285">
        <f t="shared" si="648"/>
        <v>1197.82</v>
      </c>
      <c r="AD453" s="285">
        <f t="shared" ref="AD453:AE453" si="743">+AD452</f>
        <v>134.16999999999999</v>
      </c>
      <c r="AE453" s="285">
        <f t="shared" si="743"/>
        <v>188.55</v>
      </c>
      <c r="AF453" s="285">
        <f t="shared" si="733"/>
        <v>1952.76</v>
      </c>
      <c r="AG453" s="285">
        <f t="shared" si="734"/>
        <v>101643.31999999991</v>
      </c>
      <c r="AH453" s="285">
        <f t="shared" si="735"/>
        <v>536448.68000000028</v>
      </c>
      <c r="AI453" s="512">
        <f t="shared" si="723"/>
        <v>-58286.800000000054</v>
      </c>
      <c r="AJ453" s="512">
        <f t="shared" si="674"/>
        <v>-229550.08000000039</v>
      </c>
      <c r="AK453" s="512">
        <f t="shared" si="724"/>
        <v>-287836.88000000047</v>
      </c>
      <c r="AL453" s="285">
        <f t="shared" si="736"/>
        <v>229550.08000000039</v>
      </c>
      <c r="AM453" s="425">
        <f t="shared" si="655"/>
        <v>32</v>
      </c>
      <c r="AN453" s="14">
        <f t="shared" si="725"/>
        <v>0</v>
      </c>
      <c r="AO453" s="14">
        <f t="shared" si="694"/>
        <v>0</v>
      </c>
      <c r="AP453" s="14">
        <f t="shared" si="726"/>
        <v>0</v>
      </c>
      <c r="AS453" s="14">
        <f t="shared" si="650"/>
        <v>0</v>
      </c>
      <c r="AT453" s="14">
        <f t="shared" si="656"/>
        <v>0</v>
      </c>
      <c r="AU453" s="285">
        <f t="shared" si="657"/>
        <v>0</v>
      </c>
      <c r="AV453" s="285">
        <f t="shared" si="658"/>
        <v>0</v>
      </c>
    </row>
    <row r="454" spans="1:48" x14ac:dyDescent="0.25">
      <c r="A454" s="502" t="str">
        <f t="shared" si="712"/>
        <v xml:space="preserve"> </v>
      </c>
      <c r="B454" s="285">
        <f t="shared" si="706"/>
        <v>0</v>
      </c>
      <c r="C454" s="14">
        <f t="shared" si="644"/>
        <v>0</v>
      </c>
      <c r="D454" s="14">
        <f t="shared" si="659"/>
        <v>0</v>
      </c>
      <c r="E454" s="14">
        <f t="shared" si="645"/>
        <v>0</v>
      </c>
      <c r="F454" s="14">
        <f t="shared" si="713"/>
        <v>134.16999999999999</v>
      </c>
      <c r="G454" s="14">
        <f t="shared" si="709"/>
        <v>188.55</v>
      </c>
      <c r="H454" s="14">
        <f t="shared" si="710"/>
        <v>322.72000000000003</v>
      </c>
      <c r="I454" s="285">
        <f t="shared" si="714"/>
        <v>97532.849999999991</v>
      </c>
      <c r="J454" s="285">
        <f t="shared" si="715"/>
        <v>64871.789999999986</v>
      </c>
      <c r="K454" s="285">
        <f t="shared" si="716"/>
        <v>0</v>
      </c>
      <c r="L454" s="425">
        <f t="shared" si="696"/>
        <v>32</v>
      </c>
      <c r="M454" s="425">
        <f t="shared" si="651"/>
        <v>395</v>
      </c>
      <c r="N454" s="285">
        <f t="shared" si="681"/>
        <v>0</v>
      </c>
      <c r="O454" s="285">
        <f t="shared" si="728"/>
        <v>0</v>
      </c>
      <c r="P454" s="285">
        <f t="shared" si="660"/>
        <v>0</v>
      </c>
      <c r="Q454" s="285">
        <f t="shared" si="729"/>
        <v>0</v>
      </c>
      <c r="R454" s="285">
        <f t="shared" si="720"/>
        <v>134.16999999999999</v>
      </c>
      <c r="S454" s="285">
        <f t="shared" si="721"/>
        <v>188.55</v>
      </c>
      <c r="T454" s="285">
        <f t="shared" si="717"/>
        <v>322.72000000000003</v>
      </c>
      <c r="U454" s="285">
        <f t="shared" si="661"/>
        <v>261577.66000000012</v>
      </c>
      <c r="V454" s="285">
        <f t="shared" si="662"/>
        <v>318227.53999999998</v>
      </c>
      <c r="W454" s="285">
        <f t="shared" si="718"/>
        <v>0</v>
      </c>
      <c r="X454" s="502" t="str">
        <f t="shared" si="653"/>
        <v xml:space="preserve"> </v>
      </c>
      <c r="Y454" s="285">
        <f t="shared" si="730"/>
        <v>229550.08000000039</v>
      </c>
      <c r="Z454" s="494">
        <f t="shared" si="646"/>
        <v>6.25E-2</v>
      </c>
      <c r="AA454" s="285">
        <f t="shared" si="647"/>
        <v>1630.04</v>
      </c>
      <c r="AB454" s="285">
        <f t="shared" si="731"/>
        <v>434.47</v>
      </c>
      <c r="AC454" s="285">
        <f t="shared" si="648"/>
        <v>1195.57</v>
      </c>
      <c r="AD454" s="285">
        <f t="shared" ref="AD454:AE454" si="744">+AD453</f>
        <v>134.16999999999999</v>
      </c>
      <c r="AE454" s="285">
        <f t="shared" si="744"/>
        <v>188.55</v>
      </c>
      <c r="AF454" s="285">
        <f t="shared" si="733"/>
        <v>1952.76</v>
      </c>
      <c r="AG454" s="285">
        <f t="shared" si="734"/>
        <v>102077.78999999991</v>
      </c>
      <c r="AH454" s="285">
        <f t="shared" si="735"/>
        <v>537644.25000000023</v>
      </c>
      <c r="AI454" s="512">
        <f t="shared" si="723"/>
        <v>-59916.840000000055</v>
      </c>
      <c r="AJ454" s="512">
        <f t="shared" si="674"/>
        <v>-229115.61000000039</v>
      </c>
      <c r="AK454" s="512">
        <f t="shared" si="724"/>
        <v>-289032.45000000042</v>
      </c>
      <c r="AL454" s="285">
        <f t="shared" si="736"/>
        <v>229115.61000000039</v>
      </c>
      <c r="AM454" s="425">
        <f t="shared" si="655"/>
        <v>32</v>
      </c>
      <c r="AN454" s="14">
        <f t="shared" si="725"/>
        <v>0</v>
      </c>
      <c r="AO454" s="14">
        <f t="shared" si="694"/>
        <v>0</v>
      </c>
      <c r="AP454" s="14">
        <f t="shared" si="726"/>
        <v>0</v>
      </c>
      <c r="AS454" s="14">
        <f t="shared" si="650"/>
        <v>0</v>
      </c>
      <c r="AT454" s="14">
        <f t="shared" si="656"/>
        <v>0</v>
      </c>
      <c r="AU454" s="285">
        <f t="shared" si="657"/>
        <v>0</v>
      </c>
      <c r="AV454" s="285">
        <f t="shared" si="658"/>
        <v>0</v>
      </c>
    </row>
    <row r="455" spans="1:48" x14ac:dyDescent="0.25">
      <c r="A455" s="502" t="str">
        <f t="shared" si="712"/>
        <v xml:space="preserve"> </v>
      </c>
      <c r="B455" s="285">
        <f t="shared" si="706"/>
        <v>0</v>
      </c>
      <c r="C455" s="14">
        <f t="shared" si="644"/>
        <v>0</v>
      </c>
      <c r="D455" s="14">
        <f t="shared" si="659"/>
        <v>0</v>
      </c>
      <c r="E455" s="14">
        <f t="shared" si="645"/>
        <v>0</v>
      </c>
      <c r="F455" s="14">
        <f t="shared" si="713"/>
        <v>134.16999999999999</v>
      </c>
      <c r="G455" s="14">
        <f t="shared" si="709"/>
        <v>188.55</v>
      </c>
      <c r="H455" s="14">
        <f t="shared" si="710"/>
        <v>322.72000000000003</v>
      </c>
      <c r="I455" s="285">
        <f t="shared" si="714"/>
        <v>97532.849999999991</v>
      </c>
      <c r="J455" s="285">
        <f t="shared" si="715"/>
        <v>64871.789999999986</v>
      </c>
      <c r="K455" s="285">
        <f t="shared" si="716"/>
        <v>0</v>
      </c>
      <c r="L455" s="425">
        <f t="shared" si="696"/>
        <v>33</v>
      </c>
      <c r="M455" s="425">
        <f t="shared" si="651"/>
        <v>396</v>
      </c>
      <c r="N455" s="285">
        <f t="shared" si="681"/>
        <v>0</v>
      </c>
      <c r="O455" s="285">
        <f t="shared" si="728"/>
        <v>0</v>
      </c>
      <c r="P455" s="285">
        <f t="shared" si="660"/>
        <v>0</v>
      </c>
      <c r="Q455" s="285">
        <f t="shared" si="729"/>
        <v>0</v>
      </c>
      <c r="R455" s="285">
        <f t="shared" si="720"/>
        <v>134.16999999999999</v>
      </c>
      <c r="S455" s="285">
        <f t="shared" si="721"/>
        <v>188.55</v>
      </c>
      <c r="T455" s="285">
        <f t="shared" si="717"/>
        <v>322.72000000000003</v>
      </c>
      <c r="U455" s="285">
        <f t="shared" si="661"/>
        <v>261577.66000000012</v>
      </c>
      <c r="V455" s="285">
        <f t="shared" si="662"/>
        <v>318227.53999999998</v>
      </c>
      <c r="W455" s="285">
        <f t="shared" si="718"/>
        <v>0</v>
      </c>
      <c r="X455" s="502" t="str">
        <f t="shared" si="653"/>
        <v xml:space="preserve"> </v>
      </c>
      <c r="Y455" s="285">
        <f t="shared" si="730"/>
        <v>229115.61000000039</v>
      </c>
      <c r="Z455" s="494">
        <f t="shared" si="646"/>
        <v>6.25E-2</v>
      </c>
      <c r="AA455" s="285">
        <f t="shared" si="647"/>
        <v>1630.04</v>
      </c>
      <c r="AB455" s="285">
        <f t="shared" si="731"/>
        <v>436.73</v>
      </c>
      <c r="AC455" s="285">
        <f t="shared" si="648"/>
        <v>1193.31</v>
      </c>
      <c r="AD455" s="285">
        <f t="shared" ref="AD455:AE455" si="745">+AD454</f>
        <v>134.16999999999999</v>
      </c>
      <c r="AE455" s="285">
        <f t="shared" si="745"/>
        <v>188.55</v>
      </c>
      <c r="AF455" s="285">
        <f t="shared" si="733"/>
        <v>1952.76</v>
      </c>
      <c r="AG455" s="285">
        <f t="shared" si="734"/>
        <v>102514.5199999999</v>
      </c>
      <c r="AH455" s="285">
        <f t="shared" si="735"/>
        <v>538837.56000000029</v>
      </c>
      <c r="AI455" s="512">
        <f t="shared" si="723"/>
        <v>-61546.880000000056</v>
      </c>
      <c r="AJ455" s="512">
        <f t="shared" si="674"/>
        <v>-228678.88000000038</v>
      </c>
      <c r="AK455" s="512">
        <f t="shared" si="724"/>
        <v>-290225.76000000042</v>
      </c>
      <c r="AL455" s="285">
        <f t="shared" si="736"/>
        <v>228678.88000000038</v>
      </c>
      <c r="AM455" s="425">
        <f t="shared" si="655"/>
        <v>33</v>
      </c>
      <c r="AN455" s="14">
        <f t="shared" si="725"/>
        <v>0</v>
      </c>
      <c r="AO455" s="14">
        <f t="shared" si="694"/>
        <v>0</v>
      </c>
      <c r="AP455" s="14">
        <f t="shared" si="726"/>
        <v>0</v>
      </c>
      <c r="AS455" s="14">
        <f t="shared" si="650"/>
        <v>0</v>
      </c>
      <c r="AT455" s="14">
        <f t="shared" si="656"/>
        <v>0</v>
      </c>
      <c r="AU455" s="285">
        <f t="shared" si="657"/>
        <v>0</v>
      </c>
      <c r="AV455" s="285">
        <f t="shared" si="658"/>
        <v>0</v>
      </c>
    </row>
    <row r="456" spans="1:48" x14ac:dyDescent="0.25">
      <c r="A456" s="502" t="str">
        <f t="shared" si="712"/>
        <v xml:space="preserve"> </v>
      </c>
      <c r="B456" s="285">
        <f t="shared" si="706"/>
        <v>0</v>
      </c>
      <c r="C456" s="14">
        <f t="shared" si="644"/>
        <v>0</v>
      </c>
      <c r="D456" s="14">
        <f t="shared" si="659"/>
        <v>0</v>
      </c>
      <c r="E456" s="14">
        <f t="shared" si="645"/>
        <v>0</v>
      </c>
      <c r="F456" s="14">
        <f t="shared" si="713"/>
        <v>134.16999999999999</v>
      </c>
      <c r="G456" s="14">
        <f t="shared" si="709"/>
        <v>188.55</v>
      </c>
      <c r="H456" s="14">
        <f t="shared" si="710"/>
        <v>322.72000000000003</v>
      </c>
      <c r="I456" s="285">
        <f t="shared" si="714"/>
        <v>97532.849999999991</v>
      </c>
      <c r="J456" s="285">
        <f t="shared" si="715"/>
        <v>64871.789999999986</v>
      </c>
      <c r="K456" s="285">
        <f t="shared" si="716"/>
        <v>0</v>
      </c>
      <c r="L456" s="425">
        <f t="shared" si="696"/>
        <v>33</v>
      </c>
      <c r="M456" s="425">
        <f t="shared" si="651"/>
        <v>397</v>
      </c>
      <c r="N456" s="285">
        <f t="shared" si="681"/>
        <v>0</v>
      </c>
      <c r="O456" s="285">
        <f t="shared" si="728"/>
        <v>0</v>
      </c>
      <c r="P456" s="285">
        <f t="shared" si="660"/>
        <v>0</v>
      </c>
      <c r="Q456" s="285">
        <f t="shared" si="729"/>
        <v>0</v>
      </c>
      <c r="R456" s="285">
        <f t="shared" si="720"/>
        <v>134.16999999999999</v>
      </c>
      <c r="S456" s="285">
        <f t="shared" si="721"/>
        <v>188.55</v>
      </c>
      <c r="T456" s="285">
        <f t="shared" si="717"/>
        <v>322.72000000000003</v>
      </c>
      <c r="U456" s="285">
        <f t="shared" si="661"/>
        <v>261577.66000000012</v>
      </c>
      <c r="V456" s="285">
        <f t="shared" si="662"/>
        <v>318227.53999999998</v>
      </c>
      <c r="W456" s="285">
        <f t="shared" si="718"/>
        <v>0</v>
      </c>
      <c r="X456" s="502" t="str">
        <f t="shared" si="653"/>
        <v xml:space="preserve"> </v>
      </c>
      <c r="Y456" s="285">
        <f t="shared" si="730"/>
        <v>228678.88000000038</v>
      </c>
      <c r="Z456" s="494">
        <f t="shared" si="646"/>
        <v>6.25E-2</v>
      </c>
      <c r="AA456" s="285">
        <f t="shared" si="647"/>
        <v>1630.04</v>
      </c>
      <c r="AB456" s="285">
        <f t="shared" si="731"/>
        <v>439</v>
      </c>
      <c r="AC456" s="285">
        <f t="shared" si="648"/>
        <v>1191.04</v>
      </c>
      <c r="AD456" s="285">
        <f t="shared" ref="AD456:AE456" si="746">+AD455</f>
        <v>134.16999999999999</v>
      </c>
      <c r="AE456" s="285">
        <f t="shared" si="746"/>
        <v>188.55</v>
      </c>
      <c r="AF456" s="285">
        <f t="shared" si="733"/>
        <v>1952.76</v>
      </c>
      <c r="AG456" s="285">
        <f t="shared" si="734"/>
        <v>102953.5199999999</v>
      </c>
      <c r="AH456" s="285">
        <f t="shared" si="735"/>
        <v>540028.60000000033</v>
      </c>
      <c r="AI456" s="512">
        <f t="shared" si="723"/>
        <v>-63176.920000000056</v>
      </c>
      <c r="AJ456" s="512">
        <f t="shared" si="674"/>
        <v>-228239.88000000038</v>
      </c>
      <c r="AK456" s="512">
        <f t="shared" si="724"/>
        <v>-291416.80000000045</v>
      </c>
      <c r="AL456" s="285">
        <f t="shared" si="736"/>
        <v>228239.88000000038</v>
      </c>
      <c r="AM456" s="425">
        <f t="shared" si="655"/>
        <v>33</v>
      </c>
      <c r="AN456" s="14">
        <f t="shared" si="725"/>
        <v>0</v>
      </c>
      <c r="AO456" s="14">
        <f t="shared" si="694"/>
        <v>0</v>
      </c>
      <c r="AP456" s="14">
        <f t="shared" si="726"/>
        <v>0</v>
      </c>
      <c r="AS456" s="14">
        <f t="shared" si="650"/>
        <v>0</v>
      </c>
      <c r="AT456" s="14">
        <f t="shared" si="656"/>
        <v>0</v>
      </c>
      <c r="AU456" s="285">
        <f t="shared" si="657"/>
        <v>0</v>
      </c>
      <c r="AV456" s="285">
        <f t="shared" si="658"/>
        <v>0</v>
      </c>
    </row>
    <row r="457" spans="1:48" x14ac:dyDescent="0.25">
      <c r="A457" s="502" t="str">
        <f t="shared" si="712"/>
        <v xml:space="preserve"> </v>
      </c>
      <c r="B457" s="285">
        <f t="shared" si="706"/>
        <v>0</v>
      </c>
      <c r="C457" s="14">
        <f t="shared" si="644"/>
        <v>0</v>
      </c>
      <c r="D457" s="14">
        <f t="shared" si="659"/>
        <v>0</v>
      </c>
      <c r="E457" s="14">
        <f t="shared" si="645"/>
        <v>0</v>
      </c>
      <c r="F457" s="14">
        <f t="shared" si="713"/>
        <v>134.16999999999999</v>
      </c>
      <c r="G457" s="14">
        <f t="shared" si="709"/>
        <v>188.55</v>
      </c>
      <c r="H457" s="14">
        <f t="shared" si="710"/>
        <v>322.72000000000003</v>
      </c>
      <c r="I457" s="285">
        <f t="shared" si="714"/>
        <v>97532.849999999991</v>
      </c>
      <c r="J457" s="285">
        <f t="shared" si="715"/>
        <v>64871.789999999986</v>
      </c>
      <c r="K457" s="285">
        <f t="shared" si="716"/>
        <v>0</v>
      </c>
      <c r="L457" s="425">
        <f t="shared" si="696"/>
        <v>33</v>
      </c>
      <c r="M457" s="425">
        <f t="shared" si="651"/>
        <v>398</v>
      </c>
      <c r="N457" s="285">
        <f t="shared" si="681"/>
        <v>0</v>
      </c>
      <c r="O457" s="285">
        <f t="shared" si="728"/>
        <v>0</v>
      </c>
      <c r="P457" s="285">
        <f t="shared" si="660"/>
        <v>0</v>
      </c>
      <c r="Q457" s="285">
        <f t="shared" si="729"/>
        <v>0</v>
      </c>
      <c r="R457" s="285">
        <f t="shared" si="720"/>
        <v>134.16999999999999</v>
      </c>
      <c r="S457" s="285">
        <f t="shared" si="721"/>
        <v>188.55</v>
      </c>
      <c r="T457" s="285">
        <f t="shared" si="717"/>
        <v>322.72000000000003</v>
      </c>
      <c r="U457" s="285">
        <f t="shared" si="661"/>
        <v>261577.66000000012</v>
      </c>
      <c r="V457" s="285">
        <f t="shared" si="662"/>
        <v>318227.53999999998</v>
      </c>
      <c r="W457" s="285">
        <f t="shared" si="718"/>
        <v>0</v>
      </c>
      <c r="X457" s="502" t="str">
        <f t="shared" si="653"/>
        <v xml:space="preserve"> </v>
      </c>
      <c r="Y457" s="285">
        <f t="shared" si="730"/>
        <v>228239.88000000038</v>
      </c>
      <c r="Z457" s="494">
        <f t="shared" si="646"/>
        <v>6.25E-2</v>
      </c>
      <c r="AA457" s="285">
        <f t="shared" si="647"/>
        <v>1630.04</v>
      </c>
      <c r="AB457" s="285">
        <f t="shared" si="731"/>
        <v>441.28999999999996</v>
      </c>
      <c r="AC457" s="285">
        <f t="shared" si="648"/>
        <v>1188.75</v>
      </c>
      <c r="AD457" s="285">
        <f t="shared" ref="AD457:AE457" si="747">+AD456</f>
        <v>134.16999999999999</v>
      </c>
      <c r="AE457" s="285">
        <f t="shared" si="747"/>
        <v>188.55</v>
      </c>
      <c r="AF457" s="285">
        <f t="shared" si="733"/>
        <v>1952.76</v>
      </c>
      <c r="AG457" s="285">
        <f t="shared" si="734"/>
        <v>103394.8099999999</v>
      </c>
      <c r="AH457" s="285">
        <f t="shared" si="735"/>
        <v>541217.35000000033</v>
      </c>
      <c r="AI457" s="512">
        <f t="shared" si="723"/>
        <v>-64806.960000000057</v>
      </c>
      <c r="AJ457" s="512">
        <f t="shared" si="674"/>
        <v>-227798.59000000037</v>
      </c>
      <c r="AK457" s="512">
        <f t="shared" si="724"/>
        <v>-292605.55000000045</v>
      </c>
      <c r="AL457" s="285">
        <f t="shared" si="736"/>
        <v>227798.59000000037</v>
      </c>
      <c r="AM457" s="425">
        <f t="shared" si="655"/>
        <v>33</v>
      </c>
      <c r="AN457" s="14">
        <f t="shared" si="725"/>
        <v>0</v>
      </c>
      <c r="AO457" s="14">
        <f t="shared" si="694"/>
        <v>0</v>
      </c>
      <c r="AP457" s="14">
        <f t="shared" si="726"/>
        <v>0</v>
      </c>
      <c r="AS457" s="14">
        <f t="shared" si="650"/>
        <v>0</v>
      </c>
      <c r="AT457" s="14">
        <f t="shared" si="656"/>
        <v>0</v>
      </c>
      <c r="AU457" s="285">
        <f t="shared" si="657"/>
        <v>0</v>
      </c>
      <c r="AV457" s="285">
        <f t="shared" si="658"/>
        <v>0</v>
      </c>
    </row>
    <row r="458" spans="1:48" ht="15.75" thickBot="1" x14ac:dyDescent="0.3">
      <c r="A458" s="505" t="str">
        <f t="shared" si="712"/>
        <v xml:space="preserve"> </v>
      </c>
      <c r="B458" s="345">
        <f t="shared" si="706"/>
        <v>0</v>
      </c>
      <c r="C458" s="21">
        <f t="shared" si="644"/>
        <v>0</v>
      </c>
      <c r="D458" s="21">
        <f t="shared" si="659"/>
        <v>0</v>
      </c>
      <c r="E458" s="21">
        <f t="shared" si="645"/>
        <v>0</v>
      </c>
      <c r="F458" s="21">
        <f t="shared" si="713"/>
        <v>134.16999999999999</v>
      </c>
      <c r="G458" s="21">
        <f t="shared" si="709"/>
        <v>188.55</v>
      </c>
      <c r="H458" s="21">
        <f t="shared" si="710"/>
        <v>322.72000000000003</v>
      </c>
      <c r="I458" s="345">
        <f t="shared" si="714"/>
        <v>97532.849999999991</v>
      </c>
      <c r="J458" s="345">
        <f t="shared" si="715"/>
        <v>64871.789999999986</v>
      </c>
      <c r="K458" s="345">
        <f t="shared" si="716"/>
        <v>0</v>
      </c>
      <c r="L458" s="426">
        <f t="shared" si="696"/>
        <v>33</v>
      </c>
      <c r="M458" s="426">
        <f t="shared" si="651"/>
        <v>399</v>
      </c>
      <c r="N458" s="345">
        <f t="shared" si="681"/>
        <v>0</v>
      </c>
      <c r="O458" s="345">
        <f t="shared" si="728"/>
        <v>0</v>
      </c>
      <c r="P458" s="345">
        <f t="shared" si="660"/>
        <v>0</v>
      </c>
      <c r="Q458" s="345">
        <f t="shared" si="729"/>
        <v>0</v>
      </c>
      <c r="R458" s="345">
        <f t="shared" si="720"/>
        <v>134.16999999999999</v>
      </c>
      <c r="S458" s="345">
        <f t="shared" si="721"/>
        <v>188.55</v>
      </c>
      <c r="T458" s="345">
        <f t="shared" si="717"/>
        <v>322.72000000000003</v>
      </c>
      <c r="U458" s="345">
        <f t="shared" si="661"/>
        <v>261577.66000000012</v>
      </c>
      <c r="V458" s="345">
        <f t="shared" si="662"/>
        <v>318227.53999999998</v>
      </c>
      <c r="W458" s="345">
        <f t="shared" si="718"/>
        <v>0</v>
      </c>
      <c r="X458" s="505" t="str">
        <f t="shared" si="653"/>
        <v xml:space="preserve"> </v>
      </c>
      <c r="Y458" s="345">
        <f t="shared" si="730"/>
        <v>227798.59000000037</v>
      </c>
      <c r="Z458" s="495">
        <f t="shared" si="646"/>
        <v>6.25E-2</v>
      </c>
      <c r="AA458" s="345">
        <f t="shared" si="647"/>
        <v>1630.04</v>
      </c>
      <c r="AB458" s="345">
        <f t="shared" si="731"/>
        <v>443.58999999999992</v>
      </c>
      <c r="AC458" s="345">
        <f t="shared" si="648"/>
        <v>1186.45</v>
      </c>
      <c r="AD458" s="345">
        <f t="shared" ref="AD458:AE458" si="748">+AD457</f>
        <v>134.16999999999999</v>
      </c>
      <c r="AE458" s="345">
        <f t="shared" si="748"/>
        <v>188.55</v>
      </c>
      <c r="AF458" s="345">
        <f t="shared" si="733"/>
        <v>1952.76</v>
      </c>
      <c r="AG458" s="345">
        <f t="shared" si="734"/>
        <v>103838.39999999989</v>
      </c>
      <c r="AH458" s="345">
        <f t="shared" si="735"/>
        <v>542403.80000000028</v>
      </c>
      <c r="AI458" s="513">
        <f t="shared" si="723"/>
        <v>-66437.000000000058</v>
      </c>
      <c r="AJ458" s="513">
        <f t="shared" si="674"/>
        <v>-227355.00000000038</v>
      </c>
      <c r="AK458" s="512">
        <f t="shared" si="724"/>
        <v>-293792.00000000047</v>
      </c>
      <c r="AL458" s="345">
        <f t="shared" si="736"/>
        <v>227355.00000000038</v>
      </c>
      <c r="AM458" s="426">
        <f t="shared" si="655"/>
        <v>33</v>
      </c>
      <c r="AN458" s="21">
        <f t="shared" si="725"/>
        <v>0</v>
      </c>
      <c r="AO458" s="21">
        <f t="shared" si="694"/>
        <v>0</v>
      </c>
      <c r="AP458" s="21">
        <f t="shared" si="726"/>
        <v>0</v>
      </c>
      <c r="AQ458" s="21"/>
      <c r="AR458" s="23"/>
      <c r="AS458" s="21">
        <f t="shared" si="650"/>
        <v>0</v>
      </c>
      <c r="AT458" s="21">
        <f t="shared" si="656"/>
        <v>0</v>
      </c>
      <c r="AU458" s="345">
        <f t="shared" si="657"/>
        <v>0</v>
      </c>
      <c r="AV458" s="345">
        <f t="shared" si="658"/>
        <v>0</v>
      </c>
    </row>
    <row r="459" spans="1:48" x14ac:dyDescent="0.25">
      <c r="A459" s="502" t="str">
        <f t="shared" si="712"/>
        <v xml:space="preserve"> </v>
      </c>
      <c r="B459" s="285">
        <f t="shared" si="706"/>
        <v>0</v>
      </c>
      <c r="C459" s="14">
        <f t="shared" si="644"/>
        <v>0</v>
      </c>
      <c r="D459" s="14">
        <f t="shared" si="659"/>
        <v>0</v>
      </c>
      <c r="E459" s="14">
        <f t="shared" si="645"/>
        <v>0</v>
      </c>
      <c r="F459" s="14">
        <f t="shared" si="713"/>
        <v>134.16999999999999</v>
      </c>
      <c r="G459" s="14">
        <f t="shared" si="709"/>
        <v>188.55</v>
      </c>
      <c r="H459" s="14">
        <f t="shared" si="710"/>
        <v>322.72000000000003</v>
      </c>
      <c r="I459" s="285">
        <f t="shared" si="714"/>
        <v>97532.849999999991</v>
      </c>
      <c r="J459" s="285">
        <f t="shared" si="715"/>
        <v>64871.789999999986</v>
      </c>
      <c r="K459" s="285">
        <f t="shared" si="716"/>
        <v>0</v>
      </c>
      <c r="L459" s="425">
        <f t="shared" si="696"/>
        <v>33</v>
      </c>
      <c r="M459" s="425">
        <f t="shared" si="651"/>
        <v>400</v>
      </c>
      <c r="N459" s="285">
        <f t="shared" si="681"/>
        <v>0</v>
      </c>
      <c r="O459" s="285">
        <f t="shared" si="728"/>
        <v>0</v>
      </c>
      <c r="P459" s="285">
        <f t="shared" si="660"/>
        <v>0</v>
      </c>
      <c r="Q459" s="285">
        <f t="shared" si="729"/>
        <v>0</v>
      </c>
      <c r="R459" s="285">
        <f t="shared" si="720"/>
        <v>134.16999999999999</v>
      </c>
      <c r="S459" s="285">
        <f t="shared" si="721"/>
        <v>188.55</v>
      </c>
      <c r="T459" s="285">
        <f t="shared" si="717"/>
        <v>322.72000000000003</v>
      </c>
      <c r="U459" s="285">
        <f t="shared" si="661"/>
        <v>261577.66000000012</v>
      </c>
      <c r="V459" s="285">
        <f t="shared" si="662"/>
        <v>318227.53999999998</v>
      </c>
      <c r="W459" s="285">
        <f t="shared" si="718"/>
        <v>0</v>
      </c>
      <c r="X459" s="502" t="str">
        <f t="shared" si="653"/>
        <v xml:space="preserve"> </v>
      </c>
      <c r="Y459" s="285">
        <f t="shared" si="730"/>
        <v>227355.00000000038</v>
      </c>
      <c r="Z459" s="494">
        <f t="shared" si="646"/>
        <v>6.25E-2</v>
      </c>
      <c r="AA459" s="285">
        <f t="shared" si="647"/>
        <v>1630.04</v>
      </c>
      <c r="AB459" s="285">
        <f t="shared" si="731"/>
        <v>445.89999999999986</v>
      </c>
      <c r="AC459" s="285">
        <f t="shared" si="648"/>
        <v>1184.1400000000001</v>
      </c>
      <c r="AD459" s="285">
        <f t="shared" ref="AD459:AE459" si="749">+AD458</f>
        <v>134.16999999999999</v>
      </c>
      <c r="AE459" s="285">
        <f t="shared" si="749"/>
        <v>188.55</v>
      </c>
      <c r="AF459" s="285">
        <f t="shared" si="733"/>
        <v>1952.76</v>
      </c>
      <c r="AG459" s="285">
        <f t="shared" si="734"/>
        <v>104284.29999999989</v>
      </c>
      <c r="AH459" s="285">
        <f t="shared" si="735"/>
        <v>543587.94000000029</v>
      </c>
      <c r="AI459" s="512">
        <f t="shared" si="723"/>
        <v>-68067.040000000052</v>
      </c>
      <c r="AJ459" s="512">
        <f t="shared" si="674"/>
        <v>-226909.10000000038</v>
      </c>
      <c r="AK459" s="512">
        <f t="shared" si="724"/>
        <v>-294976.14000000042</v>
      </c>
      <c r="AL459" s="285">
        <f t="shared" si="736"/>
        <v>226909.10000000038</v>
      </c>
      <c r="AM459" s="425">
        <f t="shared" si="655"/>
        <v>33</v>
      </c>
      <c r="AN459" s="14">
        <f t="shared" si="725"/>
        <v>0</v>
      </c>
      <c r="AO459" s="14">
        <f t="shared" si="694"/>
        <v>0</v>
      </c>
      <c r="AP459" s="14">
        <f t="shared" si="726"/>
        <v>0</v>
      </c>
      <c r="AS459" s="14">
        <f t="shared" si="650"/>
        <v>0</v>
      </c>
      <c r="AT459" s="14">
        <f t="shared" si="656"/>
        <v>0</v>
      </c>
      <c r="AU459" s="285">
        <f t="shared" si="657"/>
        <v>0</v>
      </c>
      <c r="AV459" s="285">
        <f t="shared" si="658"/>
        <v>0</v>
      </c>
    </row>
    <row r="460" spans="1:48" x14ac:dyDescent="0.25">
      <c r="A460" s="502" t="str">
        <f t="shared" si="712"/>
        <v xml:space="preserve"> </v>
      </c>
      <c r="B460" s="285">
        <f t="shared" si="706"/>
        <v>0</v>
      </c>
      <c r="C460" s="14">
        <f t="shared" si="644"/>
        <v>0</v>
      </c>
      <c r="D460" s="14">
        <f t="shared" si="659"/>
        <v>0</v>
      </c>
      <c r="E460" s="14">
        <f t="shared" si="645"/>
        <v>0</v>
      </c>
      <c r="F460" s="14">
        <f t="shared" si="713"/>
        <v>134.16999999999999</v>
      </c>
      <c r="G460" s="14">
        <f t="shared" si="709"/>
        <v>188.55</v>
      </c>
      <c r="H460" s="14">
        <f t="shared" si="710"/>
        <v>322.72000000000003</v>
      </c>
      <c r="I460" s="285">
        <f t="shared" si="714"/>
        <v>97532.849999999991</v>
      </c>
      <c r="J460" s="285">
        <f t="shared" si="715"/>
        <v>64871.789999999986</v>
      </c>
      <c r="K460" s="285">
        <f t="shared" si="716"/>
        <v>0</v>
      </c>
      <c r="L460" s="425">
        <f t="shared" si="696"/>
        <v>33</v>
      </c>
      <c r="M460" s="425">
        <f t="shared" si="651"/>
        <v>401</v>
      </c>
      <c r="N460" s="285">
        <f t="shared" si="681"/>
        <v>0</v>
      </c>
      <c r="O460" s="285">
        <f t="shared" si="728"/>
        <v>0</v>
      </c>
      <c r="P460" s="285">
        <f t="shared" si="660"/>
        <v>0</v>
      </c>
      <c r="Q460" s="285">
        <f t="shared" si="729"/>
        <v>0</v>
      </c>
      <c r="R460" s="285">
        <f t="shared" si="720"/>
        <v>134.16999999999999</v>
      </c>
      <c r="S460" s="285">
        <f t="shared" si="721"/>
        <v>188.55</v>
      </c>
      <c r="T460" s="285">
        <f t="shared" si="717"/>
        <v>322.72000000000003</v>
      </c>
      <c r="U460" s="285">
        <f t="shared" si="661"/>
        <v>261577.66000000012</v>
      </c>
      <c r="V460" s="285">
        <f t="shared" si="662"/>
        <v>318227.53999999998</v>
      </c>
      <c r="W460" s="285">
        <f t="shared" si="718"/>
        <v>0</v>
      </c>
      <c r="X460" s="502" t="str">
        <f t="shared" si="653"/>
        <v xml:space="preserve"> </v>
      </c>
      <c r="Y460" s="285">
        <f t="shared" si="730"/>
        <v>226909.10000000038</v>
      </c>
      <c r="Z460" s="494">
        <f t="shared" si="646"/>
        <v>6.25E-2</v>
      </c>
      <c r="AA460" s="285">
        <f t="shared" si="647"/>
        <v>1630.04</v>
      </c>
      <c r="AB460" s="285">
        <f t="shared" si="731"/>
        <v>448.22</v>
      </c>
      <c r="AC460" s="285">
        <f t="shared" si="648"/>
        <v>1181.82</v>
      </c>
      <c r="AD460" s="285">
        <f t="shared" ref="AD460:AE460" si="750">+AD459</f>
        <v>134.16999999999999</v>
      </c>
      <c r="AE460" s="285">
        <f t="shared" si="750"/>
        <v>188.55</v>
      </c>
      <c r="AF460" s="285">
        <f t="shared" si="733"/>
        <v>1952.76</v>
      </c>
      <c r="AG460" s="285">
        <f t="shared" si="734"/>
        <v>104732.51999999989</v>
      </c>
      <c r="AH460" s="285">
        <f t="shared" si="735"/>
        <v>544769.76000000024</v>
      </c>
      <c r="AI460" s="512">
        <f t="shared" si="723"/>
        <v>-69697.080000000045</v>
      </c>
      <c r="AJ460" s="512">
        <f t="shared" si="674"/>
        <v>-226460.88000000038</v>
      </c>
      <c r="AK460" s="512">
        <f t="shared" si="724"/>
        <v>-296157.96000000043</v>
      </c>
      <c r="AL460" s="285">
        <f t="shared" si="736"/>
        <v>226460.88000000038</v>
      </c>
      <c r="AM460" s="425">
        <f t="shared" si="655"/>
        <v>33</v>
      </c>
      <c r="AN460" s="14">
        <f t="shared" si="725"/>
        <v>0</v>
      </c>
      <c r="AO460" s="14">
        <f t="shared" si="694"/>
        <v>0</v>
      </c>
      <c r="AP460" s="14">
        <f t="shared" si="726"/>
        <v>0</v>
      </c>
      <c r="AS460" s="14">
        <f t="shared" si="650"/>
        <v>0</v>
      </c>
      <c r="AT460" s="14">
        <f t="shared" si="656"/>
        <v>0</v>
      </c>
      <c r="AU460" s="285">
        <f t="shared" si="657"/>
        <v>0</v>
      </c>
      <c r="AV460" s="285">
        <f t="shared" si="658"/>
        <v>0</v>
      </c>
    </row>
    <row r="461" spans="1:48" x14ac:dyDescent="0.25">
      <c r="A461" s="502" t="str">
        <f t="shared" si="712"/>
        <v xml:space="preserve"> </v>
      </c>
      <c r="B461" s="285">
        <f t="shared" si="706"/>
        <v>0</v>
      </c>
      <c r="C461" s="14">
        <f t="shared" si="644"/>
        <v>0</v>
      </c>
      <c r="D461" s="14">
        <f t="shared" si="659"/>
        <v>0</v>
      </c>
      <c r="E461" s="14">
        <f t="shared" si="645"/>
        <v>0</v>
      </c>
      <c r="F461" s="14">
        <f t="shared" si="713"/>
        <v>134.16999999999999</v>
      </c>
      <c r="G461" s="14">
        <f t="shared" si="709"/>
        <v>188.55</v>
      </c>
      <c r="H461" s="14">
        <f t="shared" si="710"/>
        <v>322.72000000000003</v>
      </c>
      <c r="I461" s="285">
        <f t="shared" si="714"/>
        <v>97532.849999999991</v>
      </c>
      <c r="J461" s="285">
        <f t="shared" si="715"/>
        <v>64871.789999999986</v>
      </c>
      <c r="K461" s="285">
        <f t="shared" si="716"/>
        <v>0</v>
      </c>
      <c r="L461" s="425">
        <f t="shared" si="696"/>
        <v>33</v>
      </c>
      <c r="M461" s="425">
        <f t="shared" si="651"/>
        <v>402</v>
      </c>
      <c r="N461" s="285">
        <f t="shared" si="681"/>
        <v>0</v>
      </c>
      <c r="O461" s="285">
        <f t="shared" si="728"/>
        <v>0</v>
      </c>
      <c r="P461" s="285">
        <f t="shared" si="660"/>
        <v>0</v>
      </c>
      <c r="Q461" s="285">
        <f t="shared" si="729"/>
        <v>0</v>
      </c>
      <c r="R461" s="285">
        <f t="shared" si="720"/>
        <v>134.16999999999999</v>
      </c>
      <c r="S461" s="285">
        <f t="shared" si="721"/>
        <v>188.55</v>
      </c>
      <c r="T461" s="285">
        <f t="shared" si="717"/>
        <v>322.72000000000003</v>
      </c>
      <c r="U461" s="285">
        <f t="shared" si="661"/>
        <v>261577.66000000012</v>
      </c>
      <c r="V461" s="285">
        <f t="shared" si="662"/>
        <v>318227.53999999998</v>
      </c>
      <c r="W461" s="285">
        <f t="shared" si="718"/>
        <v>0</v>
      </c>
      <c r="X461" s="502" t="str">
        <f t="shared" si="653"/>
        <v xml:space="preserve"> </v>
      </c>
      <c r="Y461" s="285">
        <f t="shared" si="730"/>
        <v>226460.88000000038</v>
      </c>
      <c r="Z461" s="494">
        <f t="shared" si="646"/>
        <v>6.25E-2</v>
      </c>
      <c r="AA461" s="285">
        <f t="shared" si="647"/>
        <v>1630.04</v>
      </c>
      <c r="AB461" s="285">
        <f t="shared" si="731"/>
        <v>450.55999999999995</v>
      </c>
      <c r="AC461" s="285">
        <f t="shared" si="648"/>
        <v>1179.48</v>
      </c>
      <c r="AD461" s="285">
        <f t="shared" ref="AD461:AE461" si="751">+AD460</f>
        <v>134.16999999999999</v>
      </c>
      <c r="AE461" s="285">
        <f t="shared" si="751"/>
        <v>188.55</v>
      </c>
      <c r="AF461" s="285">
        <f t="shared" si="733"/>
        <v>1952.76</v>
      </c>
      <c r="AG461" s="285">
        <f t="shared" si="734"/>
        <v>105183.07999999989</v>
      </c>
      <c r="AH461" s="285">
        <f t="shared" si="735"/>
        <v>545949.24000000022</v>
      </c>
      <c r="AI461" s="512">
        <f t="shared" si="723"/>
        <v>-71327.120000000039</v>
      </c>
      <c r="AJ461" s="512">
        <f t="shared" si="674"/>
        <v>-226010.32000000039</v>
      </c>
      <c r="AK461" s="512">
        <f t="shared" si="724"/>
        <v>-297337.44000000041</v>
      </c>
      <c r="AL461" s="285">
        <f t="shared" si="736"/>
        <v>226010.32000000039</v>
      </c>
      <c r="AM461" s="425">
        <f t="shared" si="655"/>
        <v>33</v>
      </c>
      <c r="AN461" s="14">
        <f t="shared" si="725"/>
        <v>0</v>
      </c>
      <c r="AO461" s="14">
        <f t="shared" si="694"/>
        <v>0</v>
      </c>
      <c r="AP461" s="14">
        <f t="shared" si="726"/>
        <v>0</v>
      </c>
      <c r="AS461" s="14">
        <f t="shared" si="650"/>
        <v>0</v>
      </c>
      <c r="AT461" s="14">
        <f t="shared" si="656"/>
        <v>0</v>
      </c>
      <c r="AU461" s="285">
        <f t="shared" si="657"/>
        <v>0</v>
      </c>
      <c r="AV461" s="285">
        <f t="shared" si="658"/>
        <v>0</v>
      </c>
    </row>
    <row r="462" spans="1:48" x14ac:dyDescent="0.25">
      <c r="A462" s="502" t="str">
        <f t="shared" si="712"/>
        <v xml:space="preserve"> </v>
      </c>
      <c r="B462" s="285">
        <f t="shared" si="706"/>
        <v>0</v>
      </c>
      <c r="C462" s="14">
        <f t="shared" si="644"/>
        <v>0</v>
      </c>
      <c r="D462" s="14">
        <f t="shared" si="659"/>
        <v>0</v>
      </c>
      <c r="E462" s="14">
        <f t="shared" si="645"/>
        <v>0</v>
      </c>
      <c r="F462" s="14">
        <f t="shared" si="713"/>
        <v>134.16999999999999</v>
      </c>
      <c r="G462" s="14">
        <f t="shared" si="709"/>
        <v>188.55</v>
      </c>
      <c r="H462" s="14">
        <f t="shared" si="710"/>
        <v>322.72000000000003</v>
      </c>
      <c r="I462" s="285">
        <f t="shared" si="714"/>
        <v>97532.849999999991</v>
      </c>
      <c r="J462" s="285">
        <f t="shared" si="715"/>
        <v>64871.789999999986</v>
      </c>
      <c r="K462" s="285">
        <f t="shared" si="716"/>
        <v>0</v>
      </c>
      <c r="L462" s="425">
        <f t="shared" si="696"/>
        <v>33</v>
      </c>
      <c r="M462" s="425">
        <f t="shared" si="651"/>
        <v>403</v>
      </c>
      <c r="N462" s="285">
        <f t="shared" si="681"/>
        <v>0</v>
      </c>
      <c r="O462" s="285">
        <f t="shared" si="728"/>
        <v>0</v>
      </c>
      <c r="P462" s="285">
        <f t="shared" si="660"/>
        <v>0</v>
      </c>
      <c r="Q462" s="285">
        <f t="shared" si="729"/>
        <v>0</v>
      </c>
      <c r="R462" s="285">
        <f t="shared" si="720"/>
        <v>134.16999999999999</v>
      </c>
      <c r="S462" s="285">
        <f t="shared" si="721"/>
        <v>188.55</v>
      </c>
      <c r="T462" s="285">
        <f t="shared" si="717"/>
        <v>322.72000000000003</v>
      </c>
      <c r="U462" s="285">
        <f t="shared" si="661"/>
        <v>261577.66000000012</v>
      </c>
      <c r="V462" s="285">
        <f t="shared" si="662"/>
        <v>318227.53999999998</v>
      </c>
      <c r="W462" s="285">
        <f t="shared" si="718"/>
        <v>0</v>
      </c>
      <c r="X462" s="502" t="str">
        <f t="shared" si="653"/>
        <v xml:space="preserve"> </v>
      </c>
      <c r="Y462" s="285">
        <f t="shared" si="730"/>
        <v>226010.32000000039</v>
      </c>
      <c r="Z462" s="494">
        <f t="shared" si="646"/>
        <v>6.25E-2</v>
      </c>
      <c r="AA462" s="285">
        <f t="shared" si="647"/>
        <v>1630.04</v>
      </c>
      <c r="AB462" s="285">
        <f t="shared" si="731"/>
        <v>452.89999999999986</v>
      </c>
      <c r="AC462" s="285">
        <f t="shared" si="648"/>
        <v>1177.1400000000001</v>
      </c>
      <c r="AD462" s="285">
        <f t="shared" ref="AD462:AE462" si="752">+AD461</f>
        <v>134.16999999999999</v>
      </c>
      <c r="AE462" s="285">
        <f t="shared" si="752"/>
        <v>188.55</v>
      </c>
      <c r="AF462" s="285">
        <f t="shared" si="733"/>
        <v>1952.76</v>
      </c>
      <c r="AG462" s="285">
        <f t="shared" si="734"/>
        <v>105635.97999999988</v>
      </c>
      <c r="AH462" s="285">
        <f t="shared" si="735"/>
        <v>547126.38000000024</v>
      </c>
      <c r="AI462" s="512">
        <f t="shared" si="723"/>
        <v>-72957.160000000033</v>
      </c>
      <c r="AJ462" s="512">
        <f t="shared" si="674"/>
        <v>-225557.42000000039</v>
      </c>
      <c r="AK462" s="512">
        <f t="shared" si="724"/>
        <v>-298514.58000000042</v>
      </c>
      <c r="AL462" s="285">
        <f t="shared" si="736"/>
        <v>225557.42000000039</v>
      </c>
      <c r="AM462" s="425">
        <f t="shared" si="655"/>
        <v>33</v>
      </c>
      <c r="AN462" s="14">
        <f t="shared" si="725"/>
        <v>0</v>
      </c>
      <c r="AO462" s="14">
        <f t="shared" si="694"/>
        <v>0</v>
      </c>
      <c r="AP462" s="14">
        <f t="shared" si="726"/>
        <v>0</v>
      </c>
      <c r="AS462" s="14">
        <f t="shared" si="650"/>
        <v>0</v>
      </c>
      <c r="AT462" s="14">
        <f t="shared" si="656"/>
        <v>0</v>
      </c>
      <c r="AU462" s="285">
        <f t="shared" si="657"/>
        <v>0</v>
      </c>
      <c r="AV462" s="285">
        <f t="shared" si="658"/>
        <v>0</v>
      </c>
    </row>
    <row r="463" spans="1:48" x14ac:dyDescent="0.25">
      <c r="A463" s="502" t="str">
        <f t="shared" si="712"/>
        <v xml:space="preserve"> </v>
      </c>
      <c r="B463" s="285">
        <f t="shared" si="706"/>
        <v>0</v>
      </c>
      <c r="C463" s="14">
        <f t="shared" ref="C463:C490" si="753">IF(+$K462&lt;=0,0,$C$5)</f>
        <v>0</v>
      </c>
      <c r="D463" s="14">
        <f t="shared" si="659"/>
        <v>0</v>
      </c>
      <c r="E463" s="14">
        <f t="shared" ref="E463:E490" si="754">ROUND($B463*($C$3/12), 2)</f>
        <v>0</v>
      </c>
      <c r="F463" s="14">
        <f t="shared" si="713"/>
        <v>134.16999999999999</v>
      </c>
      <c r="G463" s="14">
        <f t="shared" si="709"/>
        <v>188.55</v>
      </c>
      <c r="H463" s="14">
        <f t="shared" si="710"/>
        <v>322.72000000000003</v>
      </c>
      <c r="I463" s="285">
        <f t="shared" si="714"/>
        <v>97532.849999999991</v>
      </c>
      <c r="J463" s="285">
        <f t="shared" si="715"/>
        <v>64871.789999999986</v>
      </c>
      <c r="K463" s="285">
        <f t="shared" si="716"/>
        <v>0</v>
      </c>
      <c r="L463" s="425">
        <f t="shared" si="696"/>
        <v>33</v>
      </c>
      <c r="M463" s="425">
        <f t="shared" si="651"/>
        <v>404</v>
      </c>
      <c r="N463" s="285">
        <f t="shared" si="681"/>
        <v>0</v>
      </c>
      <c r="O463" s="285">
        <f t="shared" si="728"/>
        <v>0</v>
      </c>
      <c r="P463" s="285">
        <f t="shared" si="660"/>
        <v>0</v>
      </c>
      <c r="Q463" s="285">
        <f t="shared" si="729"/>
        <v>0</v>
      </c>
      <c r="R463" s="285">
        <f t="shared" si="720"/>
        <v>134.16999999999999</v>
      </c>
      <c r="S463" s="285">
        <f t="shared" si="721"/>
        <v>188.55</v>
      </c>
      <c r="T463" s="285">
        <f t="shared" si="717"/>
        <v>322.72000000000003</v>
      </c>
      <c r="U463" s="285">
        <f t="shared" si="661"/>
        <v>261577.66000000012</v>
      </c>
      <c r="V463" s="285">
        <f t="shared" si="662"/>
        <v>318227.53999999998</v>
      </c>
      <c r="W463" s="285">
        <f t="shared" si="718"/>
        <v>0</v>
      </c>
      <c r="X463" s="502" t="str">
        <f t="shared" si="653"/>
        <v xml:space="preserve"> </v>
      </c>
      <c r="Y463" s="285">
        <f t="shared" si="730"/>
        <v>225557.42000000039</v>
      </c>
      <c r="Z463" s="494">
        <f t="shared" ref="Z463:Z526" si="755">IF(L463&gt;4,$AA$9,$AA$8)</f>
        <v>6.25E-2</v>
      </c>
      <c r="AA463" s="285">
        <f t="shared" ref="AA463:AA526" si="756">IF($O$9&lt;=$A463,IF(+AL462&lt;=0,0,IF(Z463=$AA$8,$Z$8,$Z$9)),0)</f>
        <v>1630.04</v>
      </c>
      <c r="AB463" s="285">
        <f t="shared" si="731"/>
        <v>455.26</v>
      </c>
      <c r="AC463" s="285">
        <f t="shared" ref="AC463:AC526" si="757">IF($O$9&lt;=$A463,ROUND(Y463*(Z463/12),2),0)</f>
        <v>1174.78</v>
      </c>
      <c r="AD463" s="285">
        <f t="shared" ref="AD463:AE463" si="758">+AD462</f>
        <v>134.16999999999999</v>
      </c>
      <c r="AE463" s="285">
        <f t="shared" si="758"/>
        <v>188.55</v>
      </c>
      <c r="AF463" s="285">
        <f t="shared" si="733"/>
        <v>1952.76</v>
      </c>
      <c r="AG463" s="285">
        <f t="shared" si="734"/>
        <v>106091.23999999987</v>
      </c>
      <c r="AH463" s="285">
        <f t="shared" si="735"/>
        <v>548301.16000000027</v>
      </c>
      <c r="AI463" s="512">
        <f t="shared" si="723"/>
        <v>-74587.200000000026</v>
      </c>
      <c r="AJ463" s="512">
        <f t="shared" si="674"/>
        <v>-225102.16000000038</v>
      </c>
      <c r="AK463" s="512">
        <f t="shared" si="724"/>
        <v>-299689.36000000039</v>
      </c>
      <c r="AL463" s="285">
        <f t="shared" si="736"/>
        <v>225102.16000000038</v>
      </c>
      <c r="AM463" s="425">
        <f t="shared" si="655"/>
        <v>33</v>
      </c>
      <c r="AN463" s="14">
        <f t="shared" si="725"/>
        <v>0</v>
      </c>
      <c r="AO463" s="14">
        <f t="shared" si="694"/>
        <v>0</v>
      </c>
      <c r="AP463" s="14">
        <f t="shared" si="726"/>
        <v>0</v>
      </c>
      <c r="AS463" s="14">
        <f t="shared" ref="AS463:AS490" si="759">+AN463-AR463</f>
        <v>0</v>
      </c>
      <c r="AT463" s="14">
        <f t="shared" si="656"/>
        <v>0</v>
      </c>
      <c r="AU463" s="285">
        <f t="shared" si="657"/>
        <v>0</v>
      </c>
      <c r="AV463" s="285">
        <f t="shared" si="658"/>
        <v>0</v>
      </c>
    </row>
    <row r="464" spans="1:48" x14ac:dyDescent="0.25">
      <c r="A464" s="502" t="str">
        <f t="shared" si="712"/>
        <v xml:space="preserve"> </v>
      </c>
      <c r="B464" s="285">
        <f t="shared" si="706"/>
        <v>0</v>
      </c>
      <c r="C464" s="14">
        <f t="shared" si="753"/>
        <v>0</v>
      </c>
      <c r="D464" s="14">
        <f t="shared" si="659"/>
        <v>0</v>
      </c>
      <c r="E464" s="14">
        <f t="shared" si="754"/>
        <v>0</v>
      </c>
      <c r="F464" s="14">
        <f t="shared" si="713"/>
        <v>134.16999999999999</v>
      </c>
      <c r="G464" s="14">
        <f t="shared" si="709"/>
        <v>188.55</v>
      </c>
      <c r="H464" s="14">
        <f t="shared" si="710"/>
        <v>322.72000000000003</v>
      </c>
      <c r="I464" s="285">
        <f t="shared" si="714"/>
        <v>97532.849999999991</v>
      </c>
      <c r="J464" s="285">
        <f t="shared" si="715"/>
        <v>64871.789999999986</v>
      </c>
      <c r="K464" s="285">
        <f t="shared" si="716"/>
        <v>0</v>
      </c>
      <c r="L464" s="425">
        <f t="shared" si="696"/>
        <v>33</v>
      </c>
      <c r="M464" s="425">
        <f t="shared" ref="M464:M490" si="760">IF(N464&lt;&gt;"",IF(N464=$O$5,0,+M463+1),0)</f>
        <v>405</v>
      </c>
      <c r="N464" s="285">
        <f t="shared" si="681"/>
        <v>0</v>
      </c>
      <c r="O464" s="285">
        <f t="shared" si="728"/>
        <v>0</v>
      </c>
      <c r="P464" s="285">
        <f t="shared" si="660"/>
        <v>0</v>
      </c>
      <c r="Q464" s="285">
        <f t="shared" si="729"/>
        <v>0</v>
      </c>
      <c r="R464" s="285">
        <f t="shared" si="720"/>
        <v>134.16999999999999</v>
      </c>
      <c r="S464" s="285">
        <f t="shared" si="721"/>
        <v>188.55</v>
      </c>
      <c r="T464" s="285">
        <f t="shared" si="717"/>
        <v>322.72000000000003</v>
      </c>
      <c r="U464" s="285">
        <f t="shared" si="661"/>
        <v>261577.66000000012</v>
      </c>
      <c r="V464" s="285">
        <f t="shared" si="662"/>
        <v>318227.53999999998</v>
      </c>
      <c r="W464" s="285">
        <f t="shared" si="718"/>
        <v>0</v>
      </c>
      <c r="X464" s="502" t="str">
        <f t="shared" ref="X464:X527" si="761">+A464</f>
        <v xml:space="preserve"> </v>
      </c>
      <c r="Y464" s="285">
        <f t="shared" si="730"/>
        <v>225102.16000000038</v>
      </c>
      <c r="Z464" s="494">
        <f t="shared" si="755"/>
        <v>6.25E-2</v>
      </c>
      <c r="AA464" s="285">
        <f t="shared" si="756"/>
        <v>1630.04</v>
      </c>
      <c r="AB464" s="285">
        <f t="shared" si="731"/>
        <v>457.62999999999988</v>
      </c>
      <c r="AC464" s="285">
        <f t="shared" si="757"/>
        <v>1172.4100000000001</v>
      </c>
      <c r="AD464" s="285">
        <f t="shared" ref="AD464:AE464" si="762">+AD463</f>
        <v>134.16999999999999</v>
      </c>
      <c r="AE464" s="285">
        <f t="shared" si="762"/>
        <v>188.55</v>
      </c>
      <c r="AF464" s="285">
        <f t="shared" si="733"/>
        <v>1952.76</v>
      </c>
      <c r="AG464" s="285">
        <f t="shared" si="734"/>
        <v>106548.86999999988</v>
      </c>
      <c r="AH464" s="285">
        <f t="shared" si="735"/>
        <v>549473.5700000003</v>
      </c>
      <c r="AI464" s="512">
        <f t="shared" si="723"/>
        <v>-76217.24000000002</v>
      </c>
      <c r="AJ464" s="512">
        <f t="shared" si="674"/>
        <v>-224644.53000000038</v>
      </c>
      <c r="AK464" s="512">
        <f t="shared" si="724"/>
        <v>-300861.77000000037</v>
      </c>
      <c r="AL464" s="285">
        <f t="shared" si="736"/>
        <v>224644.53000000038</v>
      </c>
      <c r="AM464" s="425">
        <f t="shared" ref="AM464:AM527" si="763">+L464</f>
        <v>33</v>
      </c>
      <c r="AN464" s="14">
        <f t="shared" si="725"/>
        <v>0</v>
      </c>
      <c r="AO464" s="14">
        <f t="shared" si="694"/>
        <v>0</v>
      </c>
      <c r="AP464" s="14">
        <f t="shared" si="726"/>
        <v>0</v>
      </c>
      <c r="AS464" s="14">
        <f t="shared" si="759"/>
        <v>0</v>
      </c>
      <c r="AT464" s="14">
        <f t="shared" ref="AT464:AT490" si="764">IF(W464&lt;=0,0,+AS464+AT463)</f>
        <v>0</v>
      </c>
      <c r="AU464" s="285">
        <f t="shared" ref="AU464:AU490" si="765">IF(W464&lt;=0,0,+($O$5+AV463)*$AQ$2/12)</f>
        <v>0</v>
      </c>
      <c r="AV464" s="285">
        <f t="shared" ref="AV464:AV490" si="766">IF(W464&lt;=0,0,+AV463+AU464)</f>
        <v>0</v>
      </c>
    </row>
    <row r="465" spans="1:48" x14ac:dyDescent="0.25">
      <c r="A465" s="502" t="str">
        <f t="shared" si="712"/>
        <v xml:space="preserve"> </v>
      </c>
      <c r="B465" s="285">
        <f t="shared" si="706"/>
        <v>0</v>
      </c>
      <c r="C465" s="14">
        <f t="shared" si="753"/>
        <v>0</v>
      </c>
      <c r="D465" s="14">
        <f t="shared" ref="D465:D490" si="767">+C465-E465</f>
        <v>0</v>
      </c>
      <c r="E465" s="14">
        <f t="shared" si="754"/>
        <v>0</v>
      </c>
      <c r="F465" s="14">
        <f t="shared" si="713"/>
        <v>134.16999999999999</v>
      </c>
      <c r="G465" s="14">
        <f t="shared" si="709"/>
        <v>188.55</v>
      </c>
      <c r="H465" s="14">
        <f t="shared" si="710"/>
        <v>322.72000000000003</v>
      </c>
      <c r="I465" s="285">
        <f t="shared" si="714"/>
        <v>97532.849999999991</v>
      </c>
      <c r="J465" s="285">
        <f t="shared" si="715"/>
        <v>64871.789999999986</v>
      </c>
      <c r="K465" s="285">
        <f t="shared" si="716"/>
        <v>0</v>
      </c>
      <c r="L465" s="425">
        <f t="shared" si="696"/>
        <v>33</v>
      </c>
      <c r="M465" s="425">
        <f t="shared" si="760"/>
        <v>406</v>
      </c>
      <c r="N465" s="285">
        <f t="shared" si="681"/>
        <v>0</v>
      </c>
      <c r="O465" s="285">
        <f t="shared" si="728"/>
        <v>0</v>
      </c>
      <c r="P465" s="285">
        <f t="shared" ref="P465:P490" si="768">+O465-Q465</f>
        <v>0</v>
      </c>
      <c r="Q465" s="285">
        <f t="shared" si="729"/>
        <v>0</v>
      </c>
      <c r="R465" s="285">
        <f t="shared" si="720"/>
        <v>134.16999999999999</v>
      </c>
      <c r="S465" s="285">
        <f t="shared" si="721"/>
        <v>188.55</v>
      </c>
      <c r="T465" s="285">
        <f t="shared" si="717"/>
        <v>322.72000000000003</v>
      </c>
      <c r="U465" s="285">
        <f t="shared" ref="U465:U490" si="769">+P465+U464</f>
        <v>261577.66000000012</v>
      </c>
      <c r="V465" s="285">
        <f t="shared" ref="V465:V490" si="770">+V464+Q465</f>
        <v>318227.53999999998</v>
      </c>
      <c r="W465" s="285">
        <f t="shared" si="718"/>
        <v>0</v>
      </c>
      <c r="X465" s="502" t="str">
        <f t="shared" si="761"/>
        <v xml:space="preserve"> </v>
      </c>
      <c r="Y465" s="285">
        <f t="shared" si="730"/>
        <v>224644.53000000038</v>
      </c>
      <c r="Z465" s="494">
        <f t="shared" si="755"/>
        <v>6.25E-2</v>
      </c>
      <c r="AA465" s="285">
        <f t="shared" si="756"/>
        <v>1630.04</v>
      </c>
      <c r="AB465" s="285">
        <f t="shared" si="731"/>
        <v>460.02</v>
      </c>
      <c r="AC465" s="285">
        <f t="shared" si="757"/>
        <v>1170.02</v>
      </c>
      <c r="AD465" s="285">
        <f t="shared" ref="AD465:AE465" si="771">+AD464</f>
        <v>134.16999999999999</v>
      </c>
      <c r="AE465" s="285">
        <f t="shared" si="771"/>
        <v>188.55</v>
      </c>
      <c r="AF465" s="285">
        <f t="shared" si="733"/>
        <v>1952.76</v>
      </c>
      <c r="AG465" s="285">
        <f t="shared" si="734"/>
        <v>107008.88999999988</v>
      </c>
      <c r="AH465" s="285">
        <f t="shared" si="735"/>
        <v>550643.59000000032</v>
      </c>
      <c r="AI465" s="512">
        <f t="shared" si="723"/>
        <v>-77847.280000000013</v>
      </c>
      <c r="AJ465" s="512">
        <f t="shared" si="674"/>
        <v>-224184.51000000039</v>
      </c>
      <c r="AK465" s="512">
        <f t="shared" si="724"/>
        <v>-302031.79000000039</v>
      </c>
      <c r="AL465" s="285">
        <f t="shared" si="736"/>
        <v>224184.51000000039</v>
      </c>
      <c r="AM465" s="425">
        <f t="shared" si="763"/>
        <v>33</v>
      </c>
      <c r="AN465" s="14">
        <f t="shared" si="725"/>
        <v>0</v>
      </c>
      <c r="AO465" s="14">
        <f t="shared" si="694"/>
        <v>0</v>
      </c>
      <c r="AP465" s="14">
        <f t="shared" si="726"/>
        <v>0</v>
      </c>
      <c r="AS465" s="14">
        <f t="shared" si="759"/>
        <v>0</v>
      </c>
      <c r="AT465" s="14">
        <f t="shared" si="764"/>
        <v>0</v>
      </c>
      <c r="AU465" s="285">
        <f t="shared" si="765"/>
        <v>0</v>
      </c>
      <c r="AV465" s="285">
        <f t="shared" si="766"/>
        <v>0</v>
      </c>
    </row>
    <row r="466" spans="1:48" x14ac:dyDescent="0.25">
      <c r="A466" s="502" t="str">
        <f t="shared" si="712"/>
        <v xml:space="preserve"> </v>
      </c>
      <c r="B466" s="285">
        <f t="shared" si="706"/>
        <v>0</v>
      </c>
      <c r="C466" s="14">
        <f t="shared" si="753"/>
        <v>0</v>
      </c>
      <c r="D466" s="14">
        <f t="shared" si="767"/>
        <v>0</v>
      </c>
      <c r="E466" s="14">
        <f t="shared" si="754"/>
        <v>0</v>
      </c>
      <c r="F466" s="14">
        <f t="shared" si="713"/>
        <v>134.16999999999999</v>
      </c>
      <c r="G466" s="14">
        <f t="shared" si="709"/>
        <v>188.55</v>
      </c>
      <c r="H466" s="14">
        <f t="shared" si="710"/>
        <v>322.72000000000003</v>
      </c>
      <c r="I466" s="285">
        <f t="shared" si="714"/>
        <v>97532.849999999991</v>
      </c>
      <c r="J466" s="285">
        <f t="shared" si="715"/>
        <v>64871.789999999986</v>
      </c>
      <c r="K466" s="285">
        <f t="shared" si="716"/>
        <v>0</v>
      </c>
      <c r="L466" s="425">
        <f t="shared" si="696"/>
        <v>33</v>
      </c>
      <c r="M466" s="425">
        <f t="shared" si="760"/>
        <v>407</v>
      </c>
      <c r="N466" s="285">
        <f t="shared" si="681"/>
        <v>0</v>
      </c>
      <c r="O466" s="285">
        <f t="shared" si="728"/>
        <v>0</v>
      </c>
      <c r="P466" s="285">
        <f t="shared" si="768"/>
        <v>0</v>
      </c>
      <c r="Q466" s="285">
        <f t="shared" si="729"/>
        <v>0</v>
      </c>
      <c r="R466" s="285">
        <f t="shared" si="720"/>
        <v>134.16999999999999</v>
      </c>
      <c r="S466" s="285">
        <f t="shared" si="721"/>
        <v>188.55</v>
      </c>
      <c r="T466" s="285">
        <f t="shared" si="717"/>
        <v>322.72000000000003</v>
      </c>
      <c r="U466" s="285">
        <f t="shared" si="769"/>
        <v>261577.66000000012</v>
      </c>
      <c r="V466" s="285">
        <f t="shared" si="770"/>
        <v>318227.53999999998</v>
      </c>
      <c r="W466" s="285">
        <f t="shared" si="718"/>
        <v>0</v>
      </c>
      <c r="X466" s="502" t="str">
        <f t="shared" si="761"/>
        <v xml:space="preserve"> </v>
      </c>
      <c r="Y466" s="285">
        <f t="shared" si="730"/>
        <v>224184.51000000039</v>
      </c>
      <c r="Z466" s="494">
        <f t="shared" si="755"/>
        <v>6.25E-2</v>
      </c>
      <c r="AA466" s="285">
        <f t="shared" si="756"/>
        <v>1630.04</v>
      </c>
      <c r="AB466" s="285">
        <f t="shared" si="731"/>
        <v>462.40999999999985</v>
      </c>
      <c r="AC466" s="285">
        <f t="shared" si="757"/>
        <v>1167.6300000000001</v>
      </c>
      <c r="AD466" s="285">
        <f t="shared" ref="AD466:AE466" si="772">+AD465</f>
        <v>134.16999999999999</v>
      </c>
      <c r="AE466" s="285">
        <f t="shared" si="772"/>
        <v>188.55</v>
      </c>
      <c r="AF466" s="285">
        <f t="shared" si="733"/>
        <v>1952.76</v>
      </c>
      <c r="AG466" s="285">
        <f t="shared" si="734"/>
        <v>107471.29999999989</v>
      </c>
      <c r="AH466" s="285">
        <f t="shared" si="735"/>
        <v>551811.22000000032</v>
      </c>
      <c r="AI466" s="512">
        <f t="shared" si="723"/>
        <v>-79477.320000000007</v>
      </c>
      <c r="AJ466" s="512">
        <f t="shared" si="674"/>
        <v>-223722.10000000038</v>
      </c>
      <c r="AK466" s="512">
        <f t="shared" si="724"/>
        <v>-303199.42000000039</v>
      </c>
      <c r="AL466" s="285">
        <f t="shared" si="736"/>
        <v>223722.10000000038</v>
      </c>
      <c r="AM466" s="425">
        <f t="shared" si="763"/>
        <v>33</v>
      </c>
      <c r="AN466" s="14">
        <f t="shared" si="725"/>
        <v>0</v>
      </c>
      <c r="AO466" s="14">
        <f t="shared" si="694"/>
        <v>0</v>
      </c>
      <c r="AP466" s="14">
        <f t="shared" si="726"/>
        <v>0</v>
      </c>
      <c r="AS466" s="14">
        <f t="shared" si="759"/>
        <v>0</v>
      </c>
      <c r="AT466" s="14">
        <f t="shared" si="764"/>
        <v>0</v>
      </c>
      <c r="AU466" s="285">
        <f t="shared" si="765"/>
        <v>0</v>
      </c>
      <c r="AV466" s="285">
        <f t="shared" si="766"/>
        <v>0</v>
      </c>
    </row>
    <row r="467" spans="1:48" x14ac:dyDescent="0.25">
      <c r="A467" s="502" t="str">
        <f t="shared" si="712"/>
        <v xml:space="preserve"> </v>
      </c>
      <c r="B467" s="285">
        <f t="shared" si="706"/>
        <v>0</v>
      </c>
      <c r="C467" s="14">
        <f t="shared" si="753"/>
        <v>0</v>
      </c>
      <c r="D467" s="14">
        <f t="shared" si="767"/>
        <v>0</v>
      </c>
      <c r="E467" s="14">
        <f t="shared" si="754"/>
        <v>0</v>
      </c>
      <c r="F467" s="14">
        <f t="shared" si="713"/>
        <v>134.16999999999999</v>
      </c>
      <c r="G467" s="14">
        <f t="shared" si="709"/>
        <v>188.55</v>
      </c>
      <c r="H467" s="14">
        <f t="shared" si="710"/>
        <v>322.72000000000003</v>
      </c>
      <c r="I467" s="285">
        <f t="shared" si="714"/>
        <v>97532.849999999991</v>
      </c>
      <c r="J467" s="285">
        <f t="shared" si="715"/>
        <v>64871.789999999986</v>
      </c>
      <c r="K467" s="285">
        <f t="shared" si="716"/>
        <v>0</v>
      </c>
      <c r="L467" s="425">
        <f t="shared" si="696"/>
        <v>34</v>
      </c>
      <c r="M467" s="425">
        <f t="shared" si="760"/>
        <v>408</v>
      </c>
      <c r="N467" s="285">
        <f t="shared" si="681"/>
        <v>0</v>
      </c>
      <c r="O467" s="285">
        <f t="shared" si="728"/>
        <v>0</v>
      </c>
      <c r="P467" s="285">
        <f t="shared" si="768"/>
        <v>0</v>
      </c>
      <c r="Q467" s="285">
        <f t="shared" si="729"/>
        <v>0</v>
      </c>
      <c r="R467" s="285">
        <f t="shared" si="720"/>
        <v>134.16999999999999</v>
      </c>
      <c r="S467" s="285">
        <f t="shared" si="721"/>
        <v>188.55</v>
      </c>
      <c r="T467" s="285">
        <f t="shared" si="717"/>
        <v>322.72000000000003</v>
      </c>
      <c r="U467" s="285">
        <f t="shared" si="769"/>
        <v>261577.66000000012</v>
      </c>
      <c r="V467" s="285">
        <f t="shared" si="770"/>
        <v>318227.53999999998</v>
      </c>
      <c r="W467" s="285">
        <f t="shared" si="718"/>
        <v>0</v>
      </c>
      <c r="X467" s="502" t="str">
        <f t="shared" si="761"/>
        <v xml:space="preserve"> </v>
      </c>
      <c r="Y467" s="285">
        <f t="shared" si="730"/>
        <v>223722.10000000038</v>
      </c>
      <c r="Z467" s="494">
        <f t="shared" si="755"/>
        <v>6.25E-2</v>
      </c>
      <c r="AA467" s="285">
        <f t="shared" si="756"/>
        <v>1630.04</v>
      </c>
      <c r="AB467" s="285">
        <f t="shared" si="731"/>
        <v>464.81999999999994</v>
      </c>
      <c r="AC467" s="285">
        <f t="shared" si="757"/>
        <v>1165.22</v>
      </c>
      <c r="AD467" s="285">
        <f t="shared" ref="AD467:AE467" si="773">+AD466</f>
        <v>134.16999999999999</v>
      </c>
      <c r="AE467" s="285">
        <f t="shared" si="773"/>
        <v>188.55</v>
      </c>
      <c r="AF467" s="285">
        <f t="shared" si="733"/>
        <v>1952.76</v>
      </c>
      <c r="AG467" s="285">
        <f t="shared" si="734"/>
        <v>107936.11999999989</v>
      </c>
      <c r="AH467" s="285">
        <f t="shared" si="735"/>
        <v>552976.44000000029</v>
      </c>
      <c r="AI467" s="512">
        <f t="shared" si="723"/>
        <v>-81107.360000000001</v>
      </c>
      <c r="AJ467" s="512">
        <f t="shared" si="674"/>
        <v>-223257.28000000038</v>
      </c>
      <c r="AK467" s="512">
        <f t="shared" si="724"/>
        <v>-304364.64000000036</v>
      </c>
      <c r="AL467" s="285">
        <f t="shared" si="736"/>
        <v>223257.28000000038</v>
      </c>
      <c r="AM467" s="425">
        <f t="shared" si="763"/>
        <v>34</v>
      </c>
      <c r="AN467" s="14">
        <f t="shared" si="725"/>
        <v>0</v>
      </c>
      <c r="AO467" s="14">
        <f t="shared" si="694"/>
        <v>0</v>
      </c>
      <c r="AP467" s="14">
        <f t="shared" si="726"/>
        <v>0</v>
      </c>
      <c r="AS467" s="14">
        <f t="shared" si="759"/>
        <v>0</v>
      </c>
      <c r="AT467" s="14">
        <f t="shared" si="764"/>
        <v>0</v>
      </c>
      <c r="AU467" s="285">
        <f t="shared" si="765"/>
        <v>0</v>
      </c>
      <c r="AV467" s="285">
        <f t="shared" si="766"/>
        <v>0</v>
      </c>
    </row>
    <row r="468" spans="1:48" x14ac:dyDescent="0.25">
      <c r="A468" s="502" t="str">
        <f t="shared" si="712"/>
        <v xml:space="preserve"> </v>
      </c>
      <c r="B468" s="285">
        <f t="shared" si="706"/>
        <v>0</v>
      </c>
      <c r="C468" s="14">
        <f t="shared" si="753"/>
        <v>0</v>
      </c>
      <c r="D468" s="14">
        <f t="shared" si="767"/>
        <v>0</v>
      </c>
      <c r="E468" s="14">
        <f t="shared" si="754"/>
        <v>0</v>
      </c>
      <c r="F468" s="14">
        <f t="shared" si="713"/>
        <v>134.16999999999999</v>
      </c>
      <c r="G468" s="14">
        <f t="shared" si="709"/>
        <v>188.55</v>
      </c>
      <c r="H468" s="14">
        <f t="shared" si="710"/>
        <v>322.72000000000003</v>
      </c>
      <c r="I468" s="285">
        <f t="shared" si="714"/>
        <v>97532.849999999991</v>
      </c>
      <c r="J468" s="285">
        <f t="shared" si="715"/>
        <v>64871.789999999986</v>
      </c>
      <c r="K468" s="285">
        <f t="shared" si="716"/>
        <v>0</v>
      </c>
      <c r="L468" s="425">
        <f t="shared" si="696"/>
        <v>34</v>
      </c>
      <c r="M468" s="425">
        <f t="shared" si="760"/>
        <v>409</v>
      </c>
      <c r="N468" s="285">
        <f t="shared" si="681"/>
        <v>0</v>
      </c>
      <c r="O468" s="285">
        <f t="shared" si="728"/>
        <v>0</v>
      </c>
      <c r="P468" s="285">
        <f t="shared" si="768"/>
        <v>0</v>
      </c>
      <c r="Q468" s="285">
        <f t="shared" si="729"/>
        <v>0</v>
      </c>
      <c r="R468" s="285">
        <f t="shared" si="720"/>
        <v>134.16999999999999</v>
      </c>
      <c r="S468" s="285">
        <f t="shared" si="721"/>
        <v>188.55</v>
      </c>
      <c r="T468" s="285">
        <f t="shared" si="717"/>
        <v>322.72000000000003</v>
      </c>
      <c r="U468" s="285">
        <f t="shared" si="769"/>
        <v>261577.66000000012</v>
      </c>
      <c r="V468" s="285">
        <f t="shared" si="770"/>
        <v>318227.53999999998</v>
      </c>
      <c r="W468" s="285">
        <f t="shared" si="718"/>
        <v>0</v>
      </c>
      <c r="X468" s="502" t="str">
        <f t="shared" si="761"/>
        <v xml:space="preserve"> </v>
      </c>
      <c r="Y468" s="285">
        <f t="shared" si="730"/>
        <v>223257.28000000038</v>
      </c>
      <c r="Z468" s="494">
        <f t="shared" si="755"/>
        <v>6.25E-2</v>
      </c>
      <c r="AA468" s="285">
        <f t="shared" si="756"/>
        <v>1630.04</v>
      </c>
      <c r="AB468" s="285">
        <f t="shared" si="731"/>
        <v>467.24</v>
      </c>
      <c r="AC468" s="285">
        <f t="shared" si="757"/>
        <v>1162.8</v>
      </c>
      <c r="AD468" s="285">
        <f t="shared" ref="AD468:AE468" si="774">+AD467</f>
        <v>134.16999999999999</v>
      </c>
      <c r="AE468" s="285">
        <f t="shared" si="774"/>
        <v>188.55</v>
      </c>
      <c r="AF468" s="285">
        <f t="shared" si="733"/>
        <v>1952.76</v>
      </c>
      <c r="AG468" s="285">
        <f t="shared" si="734"/>
        <v>108403.3599999999</v>
      </c>
      <c r="AH468" s="285">
        <f t="shared" si="735"/>
        <v>554139.24000000034</v>
      </c>
      <c r="AI468" s="512">
        <f t="shared" si="723"/>
        <v>-82737.399999999994</v>
      </c>
      <c r="AJ468" s="512">
        <f t="shared" si="674"/>
        <v>-222790.04000000039</v>
      </c>
      <c r="AK468" s="512">
        <f t="shared" si="724"/>
        <v>-305527.44000000041</v>
      </c>
      <c r="AL468" s="285">
        <f t="shared" si="736"/>
        <v>222790.04000000039</v>
      </c>
      <c r="AM468" s="425">
        <f t="shared" si="763"/>
        <v>34</v>
      </c>
      <c r="AN468" s="14">
        <f t="shared" si="725"/>
        <v>0</v>
      </c>
      <c r="AO468" s="14">
        <f t="shared" si="694"/>
        <v>0</v>
      </c>
      <c r="AP468" s="14">
        <f t="shared" si="726"/>
        <v>0</v>
      </c>
      <c r="AS468" s="14">
        <f t="shared" si="759"/>
        <v>0</v>
      </c>
      <c r="AT468" s="14">
        <f t="shared" si="764"/>
        <v>0</v>
      </c>
      <c r="AU468" s="285">
        <f t="shared" si="765"/>
        <v>0</v>
      </c>
      <c r="AV468" s="285">
        <f t="shared" si="766"/>
        <v>0</v>
      </c>
    </row>
    <row r="469" spans="1:48" x14ac:dyDescent="0.25">
      <c r="A469" s="502" t="str">
        <f t="shared" si="712"/>
        <v xml:space="preserve"> </v>
      </c>
      <c r="B469" s="285">
        <f t="shared" si="706"/>
        <v>0</v>
      </c>
      <c r="C469" s="14">
        <f t="shared" si="753"/>
        <v>0</v>
      </c>
      <c r="D469" s="14">
        <f t="shared" si="767"/>
        <v>0</v>
      </c>
      <c r="E469" s="14">
        <f t="shared" si="754"/>
        <v>0</v>
      </c>
      <c r="F469" s="14">
        <f t="shared" si="713"/>
        <v>134.16999999999999</v>
      </c>
      <c r="G469" s="14">
        <f t="shared" si="709"/>
        <v>188.55</v>
      </c>
      <c r="H469" s="14">
        <f t="shared" si="710"/>
        <v>322.72000000000003</v>
      </c>
      <c r="I469" s="285">
        <f t="shared" si="714"/>
        <v>97532.849999999991</v>
      </c>
      <c r="J469" s="285">
        <f t="shared" si="715"/>
        <v>64871.789999999986</v>
      </c>
      <c r="K469" s="285">
        <f t="shared" si="716"/>
        <v>0</v>
      </c>
      <c r="L469" s="425">
        <f t="shared" si="696"/>
        <v>34</v>
      </c>
      <c r="M469" s="425">
        <f t="shared" si="760"/>
        <v>410</v>
      </c>
      <c r="N469" s="285">
        <f t="shared" si="681"/>
        <v>0</v>
      </c>
      <c r="O469" s="285">
        <f t="shared" si="728"/>
        <v>0</v>
      </c>
      <c r="P469" s="285">
        <f t="shared" si="768"/>
        <v>0</v>
      </c>
      <c r="Q469" s="285">
        <f t="shared" si="729"/>
        <v>0</v>
      </c>
      <c r="R469" s="285">
        <f t="shared" si="720"/>
        <v>134.16999999999999</v>
      </c>
      <c r="S469" s="285">
        <f t="shared" si="721"/>
        <v>188.55</v>
      </c>
      <c r="T469" s="285">
        <f t="shared" si="717"/>
        <v>322.72000000000003</v>
      </c>
      <c r="U469" s="285">
        <f t="shared" si="769"/>
        <v>261577.66000000012</v>
      </c>
      <c r="V469" s="285">
        <f t="shared" si="770"/>
        <v>318227.53999999998</v>
      </c>
      <c r="W469" s="285">
        <f t="shared" si="718"/>
        <v>0</v>
      </c>
      <c r="X469" s="502" t="str">
        <f t="shared" si="761"/>
        <v xml:space="preserve"> </v>
      </c>
      <c r="Y469" s="285">
        <f t="shared" si="730"/>
        <v>222790.04000000039</v>
      </c>
      <c r="Z469" s="494">
        <f t="shared" si="755"/>
        <v>6.25E-2</v>
      </c>
      <c r="AA469" s="285">
        <f t="shared" si="756"/>
        <v>1630.04</v>
      </c>
      <c r="AB469" s="285">
        <f t="shared" si="731"/>
        <v>469.68000000000006</v>
      </c>
      <c r="AC469" s="285">
        <f t="shared" si="757"/>
        <v>1160.3599999999999</v>
      </c>
      <c r="AD469" s="285">
        <f t="shared" ref="AD469:AE469" si="775">+AD468</f>
        <v>134.16999999999999</v>
      </c>
      <c r="AE469" s="285">
        <f t="shared" si="775"/>
        <v>188.55</v>
      </c>
      <c r="AF469" s="285">
        <f t="shared" si="733"/>
        <v>1952.76</v>
      </c>
      <c r="AG469" s="285">
        <f t="shared" si="734"/>
        <v>108873.03999999989</v>
      </c>
      <c r="AH469" s="285">
        <f t="shared" si="735"/>
        <v>555299.60000000033</v>
      </c>
      <c r="AI469" s="512">
        <f t="shared" si="723"/>
        <v>-84367.439999999988</v>
      </c>
      <c r="AJ469" s="512">
        <f t="shared" si="674"/>
        <v>-222320.36000000039</v>
      </c>
      <c r="AK469" s="512">
        <f t="shared" si="724"/>
        <v>-306687.8000000004</v>
      </c>
      <c r="AL469" s="285">
        <f t="shared" si="736"/>
        <v>222320.36000000039</v>
      </c>
      <c r="AM469" s="425">
        <f t="shared" si="763"/>
        <v>34</v>
      </c>
      <c r="AN469" s="14">
        <f t="shared" si="725"/>
        <v>0</v>
      </c>
      <c r="AO469" s="14">
        <f t="shared" si="694"/>
        <v>0</v>
      </c>
      <c r="AP469" s="14">
        <f t="shared" si="726"/>
        <v>0</v>
      </c>
      <c r="AS469" s="14">
        <f t="shared" si="759"/>
        <v>0</v>
      </c>
      <c r="AT469" s="14">
        <f t="shared" si="764"/>
        <v>0</v>
      </c>
      <c r="AU469" s="285">
        <f t="shared" si="765"/>
        <v>0</v>
      </c>
      <c r="AV469" s="285">
        <f t="shared" si="766"/>
        <v>0</v>
      </c>
    </row>
    <row r="470" spans="1:48" ht="15.75" thickBot="1" x14ac:dyDescent="0.3">
      <c r="A470" s="505" t="str">
        <f t="shared" si="712"/>
        <v xml:space="preserve"> </v>
      </c>
      <c r="B470" s="345">
        <f t="shared" si="706"/>
        <v>0</v>
      </c>
      <c r="C470" s="21">
        <f t="shared" si="753"/>
        <v>0</v>
      </c>
      <c r="D470" s="21">
        <f t="shared" si="767"/>
        <v>0</v>
      </c>
      <c r="E470" s="21">
        <f t="shared" si="754"/>
        <v>0</v>
      </c>
      <c r="F470" s="21">
        <f t="shared" si="713"/>
        <v>134.16999999999999</v>
      </c>
      <c r="G470" s="21">
        <f t="shared" si="709"/>
        <v>188.55</v>
      </c>
      <c r="H470" s="21">
        <f t="shared" si="710"/>
        <v>322.72000000000003</v>
      </c>
      <c r="I470" s="345">
        <f t="shared" si="714"/>
        <v>97532.849999999991</v>
      </c>
      <c r="J470" s="345">
        <f t="shared" si="715"/>
        <v>64871.789999999986</v>
      </c>
      <c r="K470" s="345">
        <f t="shared" si="716"/>
        <v>0</v>
      </c>
      <c r="L470" s="426">
        <f t="shared" si="696"/>
        <v>34</v>
      </c>
      <c r="M470" s="426">
        <f t="shared" si="760"/>
        <v>411</v>
      </c>
      <c r="N470" s="345">
        <f t="shared" si="681"/>
        <v>0</v>
      </c>
      <c r="O470" s="345">
        <f t="shared" si="728"/>
        <v>0</v>
      </c>
      <c r="P470" s="345">
        <f t="shared" si="768"/>
        <v>0</v>
      </c>
      <c r="Q470" s="345">
        <f t="shared" si="729"/>
        <v>0</v>
      </c>
      <c r="R470" s="345">
        <f t="shared" si="720"/>
        <v>134.16999999999999</v>
      </c>
      <c r="S470" s="345">
        <f t="shared" si="721"/>
        <v>188.55</v>
      </c>
      <c r="T470" s="345">
        <f t="shared" si="717"/>
        <v>322.72000000000003</v>
      </c>
      <c r="U470" s="345">
        <f t="shared" si="769"/>
        <v>261577.66000000012</v>
      </c>
      <c r="V470" s="345">
        <f t="shared" si="770"/>
        <v>318227.53999999998</v>
      </c>
      <c r="W470" s="345">
        <f t="shared" si="718"/>
        <v>0</v>
      </c>
      <c r="X470" s="505" t="str">
        <f t="shared" si="761"/>
        <v xml:space="preserve"> </v>
      </c>
      <c r="Y470" s="345">
        <f t="shared" si="730"/>
        <v>222320.36000000039</v>
      </c>
      <c r="Z470" s="495">
        <f t="shared" si="755"/>
        <v>6.25E-2</v>
      </c>
      <c r="AA470" s="345">
        <f t="shared" si="756"/>
        <v>1630.04</v>
      </c>
      <c r="AB470" s="345">
        <f t="shared" si="731"/>
        <v>472.11999999999989</v>
      </c>
      <c r="AC470" s="345">
        <f t="shared" si="757"/>
        <v>1157.92</v>
      </c>
      <c r="AD470" s="345">
        <f t="shared" ref="AD470:AE470" si="776">+AD469</f>
        <v>134.16999999999999</v>
      </c>
      <c r="AE470" s="345">
        <f t="shared" si="776"/>
        <v>188.55</v>
      </c>
      <c r="AF470" s="345">
        <f t="shared" si="733"/>
        <v>1952.76</v>
      </c>
      <c r="AG470" s="345">
        <f t="shared" si="734"/>
        <v>109345.15999999989</v>
      </c>
      <c r="AH470" s="345">
        <f t="shared" si="735"/>
        <v>556457.52000000037</v>
      </c>
      <c r="AI470" s="513">
        <f t="shared" si="723"/>
        <v>-85997.479999999981</v>
      </c>
      <c r="AJ470" s="513">
        <f t="shared" si="674"/>
        <v>-221848.2400000004</v>
      </c>
      <c r="AK470" s="512">
        <f t="shared" si="724"/>
        <v>-307845.72000000038</v>
      </c>
      <c r="AL470" s="345">
        <f t="shared" si="736"/>
        <v>221848.2400000004</v>
      </c>
      <c r="AM470" s="426">
        <f t="shared" si="763"/>
        <v>34</v>
      </c>
      <c r="AN470" s="21">
        <f t="shared" si="725"/>
        <v>0</v>
      </c>
      <c r="AO470" s="21">
        <f t="shared" si="694"/>
        <v>0</v>
      </c>
      <c r="AP470" s="21">
        <f t="shared" si="726"/>
        <v>0</v>
      </c>
      <c r="AQ470" s="21"/>
      <c r="AR470" s="23"/>
      <c r="AS470" s="21">
        <f t="shared" si="759"/>
        <v>0</v>
      </c>
      <c r="AT470" s="21">
        <f t="shared" si="764"/>
        <v>0</v>
      </c>
      <c r="AU470" s="345">
        <f t="shared" si="765"/>
        <v>0</v>
      </c>
      <c r="AV470" s="345">
        <f t="shared" si="766"/>
        <v>0</v>
      </c>
    </row>
    <row r="471" spans="1:48" x14ac:dyDescent="0.25">
      <c r="A471" s="502" t="str">
        <f t="shared" si="712"/>
        <v xml:space="preserve"> </v>
      </c>
      <c r="B471" s="285">
        <f t="shared" si="706"/>
        <v>0</v>
      </c>
      <c r="C471" s="14">
        <f t="shared" si="753"/>
        <v>0</v>
      </c>
      <c r="D471" s="14">
        <f t="shared" si="767"/>
        <v>0</v>
      </c>
      <c r="E471" s="14">
        <f t="shared" si="754"/>
        <v>0</v>
      </c>
      <c r="F471" s="14">
        <f t="shared" si="713"/>
        <v>134.16999999999999</v>
      </c>
      <c r="G471" s="14">
        <f t="shared" si="709"/>
        <v>188.55</v>
      </c>
      <c r="H471" s="14">
        <f t="shared" si="710"/>
        <v>322.72000000000003</v>
      </c>
      <c r="I471" s="285">
        <f t="shared" si="714"/>
        <v>97532.849999999991</v>
      </c>
      <c r="J471" s="285">
        <f t="shared" si="715"/>
        <v>64871.789999999986</v>
      </c>
      <c r="K471" s="285">
        <f t="shared" si="716"/>
        <v>0</v>
      </c>
      <c r="L471" s="425">
        <f t="shared" si="696"/>
        <v>34</v>
      </c>
      <c r="M471" s="425">
        <f t="shared" si="760"/>
        <v>412</v>
      </c>
      <c r="N471" s="285">
        <f t="shared" si="681"/>
        <v>0</v>
      </c>
      <c r="O471" s="285">
        <f t="shared" si="728"/>
        <v>0</v>
      </c>
      <c r="P471" s="285">
        <f t="shared" si="768"/>
        <v>0</v>
      </c>
      <c r="Q471" s="285">
        <f t="shared" si="729"/>
        <v>0</v>
      </c>
      <c r="R471" s="285">
        <f t="shared" si="720"/>
        <v>134.16999999999999</v>
      </c>
      <c r="S471" s="285">
        <f t="shared" si="721"/>
        <v>188.55</v>
      </c>
      <c r="T471" s="285">
        <f t="shared" si="717"/>
        <v>322.72000000000003</v>
      </c>
      <c r="U471" s="285">
        <f t="shared" si="769"/>
        <v>261577.66000000012</v>
      </c>
      <c r="V471" s="285">
        <f t="shared" si="770"/>
        <v>318227.53999999998</v>
      </c>
      <c r="W471" s="285">
        <f t="shared" si="718"/>
        <v>0</v>
      </c>
      <c r="X471" s="502" t="str">
        <f t="shared" si="761"/>
        <v xml:space="preserve"> </v>
      </c>
      <c r="Y471" s="285">
        <f t="shared" si="730"/>
        <v>221848.2400000004</v>
      </c>
      <c r="Z471" s="494">
        <f t="shared" si="755"/>
        <v>6.25E-2</v>
      </c>
      <c r="AA471" s="285">
        <f t="shared" si="756"/>
        <v>1630.04</v>
      </c>
      <c r="AB471" s="285">
        <f t="shared" si="731"/>
        <v>474.57999999999993</v>
      </c>
      <c r="AC471" s="285">
        <f t="shared" si="757"/>
        <v>1155.46</v>
      </c>
      <c r="AD471" s="285">
        <f t="shared" ref="AD471:AE471" si="777">+AD470</f>
        <v>134.16999999999999</v>
      </c>
      <c r="AE471" s="285">
        <f t="shared" si="777"/>
        <v>188.55</v>
      </c>
      <c r="AF471" s="285">
        <f t="shared" si="733"/>
        <v>1952.76</v>
      </c>
      <c r="AG471" s="285">
        <f t="shared" si="734"/>
        <v>109819.73999999989</v>
      </c>
      <c r="AH471" s="285">
        <f t="shared" si="735"/>
        <v>557612.98000000033</v>
      </c>
      <c r="AI471" s="512">
        <f t="shared" si="723"/>
        <v>-87627.519999999975</v>
      </c>
      <c r="AJ471" s="512">
        <f t="shared" si="674"/>
        <v>-221373.66000000041</v>
      </c>
      <c r="AK471" s="512">
        <f t="shared" si="724"/>
        <v>-309001.1800000004</v>
      </c>
      <c r="AL471" s="285">
        <f t="shared" si="736"/>
        <v>221373.66000000041</v>
      </c>
      <c r="AM471" s="425">
        <f t="shared" si="763"/>
        <v>34</v>
      </c>
      <c r="AN471" s="14">
        <f t="shared" si="725"/>
        <v>0</v>
      </c>
      <c r="AO471" s="14">
        <f t="shared" si="694"/>
        <v>0</v>
      </c>
      <c r="AP471" s="14">
        <f t="shared" si="726"/>
        <v>0</v>
      </c>
      <c r="AS471" s="14">
        <f t="shared" si="759"/>
        <v>0</v>
      </c>
      <c r="AT471" s="14">
        <f t="shared" si="764"/>
        <v>0</v>
      </c>
      <c r="AU471" s="285">
        <f t="shared" si="765"/>
        <v>0</v>
      </c>
      <c r="AV471" s="285">
        <f t="shared" si="766"/>
        <v>0</v>
      </c>
    </row>
    <row r="472" spans="1:48" x14ac:dyDescent="0.25">
      <c r="A472" s="502" t="str">
        <f t="shared" si="712"/>
        <v xml:space="preserve"> </v>
      </c>
      <c r="B472" s="285">
        <f t="shared" si="706"/>
        <v>0</v>
      </c>
      <c r="C472" s="14">
        <f t="shared" si="753"/>
        <v>0</v>
      </c>
      <c r="D472" s="14">
        <f t="shared" si="767"/>
        <v>0</v>
      </c>
      <c r="E472" s="14">
        <f t="shared" si="754"/>
        <v>0</v>
      </c>
      <c r="F472" s="14">
        <f t="shared" si="713"/>
        <v>134.16999999999999</v>
      </c>
      <c r="G472" s="14">
        <f t="shared" si="709"/>
        <v>188.55</v>
      </c>
      <c r="H472" s="14">
        <f t="shared" si="710"/>
        <v>322.72000000000003</v>
      </c>
      <c r="I472" s="285">
        <f t="shared" si="714"/>
        <v>97532.849999999991</v>
      </c>
      <c r="J472" s="285">
        <f t="shared" si="715"/>
        <v>64871.789999999986</v>
      </c>
      <c r="K472" s="285">
        <f t="shared" si="716"/>
        <v>0</v>
      </c>
      <c r="L472" s="425">
        <f t="shared" si="696"/>
        <v>34</v>
      </c>
      <c r="M472" s="425">
        <f t="shared" si="760"/>
        <v>413</v>
      </c>
      <c r="N472" s="285">
        <f t="shared" si="681"/>
        <v>0</v>
      </c>
      <c r="O472" s="285">
        <f t="shared" si="728"/>
        <v>0</v>
      </c>
      <c r="P472" s="285">
        <f t="shared" si="768"/>
        <v>0</v>
      </c>
      <c r="Q472" s="285">
        <f t="shared" si="729"/>
        <v>0</v>
      </c>
      <c r="R472" s="285">
        <f t="shared" si="720"/>
        <v>134.16999999999999</v>
      </c>
      <c r="S472" s="285">
        <f t="shared" si="721"/>
        <v>188.55</v>
      </c>
      <c r="T472" s="285">
        <f t="shared" si="717"/>
        <v>322.72000000000003</v>
      </c>
      <c r="U472" s="285">
        <f t="shared" si="769"/>
        <v>261577.66000000012</v>
      </c>
      <c r="V472" s="285">
        <f t="shared" si="770"/>
        <v>318227.53999999998</v>
      </c>
      <c r="W472" s="285">
        <f t="shared" si="718"/>
        <v>0</v>
      </c>
      <c r="X472" s="502" t="str">
        <f t="shared" si="761"/>
        <v xml:space="preserve"> </v>
      </c>
      <c r="Y472" s="285">
        <f t="shared" si="730"/>
        <v>221373.66000000041</v>
      </c>
      <c r="Z472" s="494">
        <f t="shared" si="755"/>
        <v>6.25E-2</v>
      </c>
      <c r="AA472" s="285">
        <f t="shared" si="756"/>
        <v>1630.04</v>
      </c>
      <c r="AB472" s="285">
        <f t="shared" si="731"/>
        <v>477.04999999999995</v>
      </c>
      <c r="AC472" s="285">
        <f t="shared" si="757"/>
        <v>1152.99</v>
      </c>
      <c r="AD472" s="285">
        <f t="shared" ref="AD472:AE472" si="778">+AD471</f>
        <v>134.16999999999999</v>
      </c>
      <c r="AE472" s="285">
        <f t="shared" si="778"/>
        <v>188.55</v>
      </c>
      <c r="AF472" s="285">
        <f t="shared" si="733"/>
        <v>1952.76</v>
      </c>
      <c r="AG472" s="285">
        <f t="shared" si="734"/>
        <v>110296.78999999989</v>
      </c>
      <c r="AH472" s="285">
        <f t="shared" si="735"/>
        <v>558765.97000000032</v>
      </c>
      <c r="AI472" s="512">
        <f t="shared" si="723"/>
        <v>-89257.559999999969</v>
      </c>
      <c r="AJ472" s="512">
        <f t="shared" si="674"/>
        <v>-220896.61000000042</v>
      </c>
      <c r="AK472" s="512">
        <f t="shared" si="724"/>
        <v>-310154.17000000039</v>
      </c>
      <c r="AL472" s="285">
        <f t="shared" si="736"/>
        <v>220896.61000000042</v>
      </c>
      <c r="AM472" s="425">
        <f t="shared" si="763"/>
        <v>34</v>
      </c>
      <c r="AN472" s="14">
        <f t="shared" si="725"/>
        <v>0</v>
      </c>
      <c r="AO472" s="14">
        <f t="shared" si="694"/>
        <v>0</v>
      </c>
      <c r="AP472" s="14">
        <f t="shared" si="726"/>
        <v>0</v>
      </c>
      <c r="AS472" s="14">
        <f t="shared" si="759"/>
        <v>0</v>
      </c>
      <c r="AT472" s="14">
        <f t="shared" si="764"/>
        <v>0</v>
      </c>
      <c r="AU472" s="285">
        <f t="shared" si="765"/>
        <v>0</v>
      </c>
      <c r="AV472" s="285">
        <f t="shared" si="766"/>
        <v>0</v>
      </c>
    </row>
    <row r="473" spans="1:48" x14ac:dyDescent="0.25">
      <c r="A473" s="502" t="str">
        <f t="shared" si="712"/>
        <v xml:space="preserve"> </v>
      </c>
      <c r="B473" s="285">
        <f t="shared" si="706"/>
        <v>0</v>
      </c>
      <c r="C473" s="14">
        <f t="shared" si="753"/>
        <v>0</v>
      </c>
      <c r="D473" s="14">
        <f t="shared" si="767"/>
        <v>0</v>
      </c>
      <c r="E473" s="14">
        <f t="shared" si="754"/>
        <v>0</v>
      </c>
      <c r="F473" s="14">
        <f t="shared" si="713"/>
        <v>134.16999999999999</v>
      </c>
      <c r="G473" s="14">
        <f t="shared" si="709"/>
        <v>188.55</v>
      </c>
      <c r="H473" s="14">
        <f t="shared" si="710"/>
        <v>322.72000000000003</v>
      </c>
      <c r="I473" s="285">
        <f t="shared" si="714"/>
        <v>97532.849999999991</v>
      </c>
      <c r="J473" s="285">
        <f t="shared" si="715"/>
        <v>64871.789999999986</v>
      </c>
      <c r="K473" s="285">
        <f t="shared" si="716"/>
        <v>0</v>
      </c>
      <c r="L473" s="425">
        <f t="shared" si="696"/>
        <v>34</v>
      </c>
      <c r="M473" s="425">
        <f t="shared" si="760"/>
        <v>414</v>
      </c>
      <c r="N473" s="285">
        <f t="shared" si="681"/>
        <v>0</v>
      </c>
      <c r="O473" s="285">
        <f t="shared" si="728"/>
        <v>0</v>
      </c>
      <c r="P473" s="285">
        <f t="shared" si="768"/>
        <v>0</v>
      </c>
      <c r="Q473" s="285">
        <f t="shared" si="729"/>
        <v>0</v>
      </c>
      <c r="R473" s="285">
        <f t="shared" si="720"/>
        <v>134.16999999999999</v>
      </c>
      <c r="S473" s="285">
        <f t="shared" si="721"/>
        <v>188.55</v>
      </c>
      <c r="T473" s="285">
        <f t="shared" si="717"/>
        <v>322.72000000000003</v>
      </c>
      <c r="U473" s="285">
        <f t="shared" si="769"/>
        <v>261577.66000000012</v>
      </c>
      <c r="V473" s="285">
        <f t="shared" si="770"/>
        <v>318227.53999999998</v>
      </c>
      <c r="W473" s="285">
        <f t="shared" si="718"/>
        <v>0</v>
      </c>
      <c r="X473" s="502" t="str">
        <f t="shared" si="761"/>
        <v xml:space="preserve"> </v>
      </c>
      <c r="Y473" s="285">
        <f t="shared" si="730"/>
        <v>220896.61000000042</v>
      </c>
      <c r="Z473" s="494">
        <f t="shared" si="755"/>
        <v>6.25E-2</v>
      </c>
      <c r="AA473" s="285">
        <f t="shared" si="756"/>
        <v>1630.04</v>
      </c>
      <c r="AB473" s="285">
        <f t="shared" si="731"/>
        <v>479.53999999999996</v>
      </c>
      <c r="AC473" s="285">
        <f t="shared" si="757"/>
        <v>1150.5</v>
      </c>
      <c r="AD473" s="285">
        <f t="shared" ref="AD473:AE473" si="779">+AD472</f>
        <v>134.16999999999999</v>
      </c>
      <c r="AE473" s="285">
        <f t="shared" si="779"/>
        <v>188.55</v>
      </c>
      <c r="AF473" s="285">
        <f t="shared" si="733"/>
        <v>1952.76</v>
      </c>
      <c r="AG473" s="285">
        <f t="shared" si="734"/>
        <v>110776.32999999989</v>
      </c>
      <c r="AH473" s="285">
        <f t="shared" si="735"/>
        <v>559916.47000000032</v>
      </c>
      <c r="AI473" s="512">
        <f t="shared" si="723"/>
        <v>-90887.599999999962</v>
      </c>
      <c r="AJ473" s="512">
        <f t="shared" si="674"/>
        <v>-220417.07000000041</v>
      </c>
      <c r="AK473" s="512">
        <f t="shared" si="724"/>
        <v>-311304.67000000039</v>
      </c>
      <c r="AL473" s="285">
        <f t="shared" si="736"/>
        <v>220417.07000000041</v>
      </c>
      <c r="AM473" s="425">
        <f t="shared" si="763"/>
        <v>34</v>
      </c>
      <c r="AN473" s="14">
        <f t="shared" si="725"/>
        <v>0</v>
      </c>
      <c r="AO473" s="14">
        <f t="shared" si="694"/>
        <v>0</v>
      </c>
      <c r="AP473" s="14">
        <f t="shared" si="726"/>
        <v>0</v>
      </c>
      <c r="AS473" s="14">
        <f t="shared" si="759"/>
        <v>0</v>
      </c>
      <c r="AT473" s="14">
        <f t="shared" si="764"/>
        <v>0</v>
      </c>
      <c r="AU473" s="285">
        <f t="shared" si="765"/>
        <v>0</v>
      </c>
      <c r="AV473" s="285">
        <f t="shared" si="766"/>
        <v>0</v>
      </c>
    </row>
    <row r="474" spans="1:48" x14ac:dyDescent="0.25">
      <c r="A474" s="502" t="str">
        <f t="shared" si="712"/>
        <v xml:space="preserve"> </v>
      </c>
      <c r="B474" s="285">
        <f t="shared" si="706"/>
        <v>0</v>
      </c>
      <c r="C474" s="14">
        <f t="shared" si="753"/>
        <v>0</v>
      </c>
      <c r="D474" s="14">
        <f t="shared" si="767"/>
        <v>0</v>
      </c>
      <c r="E474" s="14">
        <f t="shared" si="754"/>
        <v>0</v>
      </c>
      <c r="F474" s="14">
        <f t="shared" si="713"/>
        <v>134.16999999999999</v>
      </c>
      <c r="G474" s="14">
        <f t="shared" si="709"/>
        <v>188.55</v>
      </c>
      <c r="H474" s="14">
        <f t="shared" si="710"/>
        <v>322.72000000000003</v>
      </c>
      <c r="I474" s="285">
        <f t="shared" si="714"/>
        <v>97532.849999999991</v>
      </c>
      <c r="J474" s="285">
        <f t="shared" si="715"/>
        <v>64871.789999999986</v>
      </c>
      <c r="K474" s="285">
        <f t="shared" si="716"/>
        <v>0</v>
      </c>
      <c r="L474" s="425">
        <f t="shared" si="696"/>
        <v>34</v>
      </c>
      <c r="M474" s="425">
        <f t="shared" si="760"/>
        <v>415</v>
      </c>
      <c r="N474" s="285">
        <f t="shared" si="681"/>
        <v>0</v>
      </c>
      <c r="O474" s="285">
        <f t="shared" si="728"/>
        <v>0</v>
      </c>
      <c r="P474" s="285">
        <f t="shared" si="768"/>
        <v>0</v>
      </c>
      <c r="Q474" s="285">
        <f t="shared" si="729"/>
        <v>0</v>
      </c>
      <c r="R474" s="285">
        <f t="shared" si="720"/>
        <v>134.16999999999999</v>
      </c>
      <c r="S474" s="285">
        <f t="shared" si="721"/>
        <v>188.55</v>
      </c>
      <c r="T474" s="285">
        <f t="shared" si="717"/>
        <v>322.72000000000003</v>
      </c>
      <c r="U474" s="285">
        <f t="shared" si="769"/>
        <v>261577.66000000012</v>
      </c>
      <c r="V474" s="285">
        <f t="shared" si="770"/>
        <v>318227.53999999998</v>
      </c>
      <c r="W474" s="285">
        <f t="shared" si="718"/>
        <v>0</v>
      </c>
      <c r="X474" s="502" t="str">
        <f t="shared" si="761"/>
        <v xml:space="preserve"> </v>
      </c>
      <c r="Y474" s="285">
        <f t="shared" si="730"/>
        <v>220417.07000000041</v>
      </c>
      <c r="Z474" s="494">
        <f t="shared" si="755"/>
        <v>6.25E-2</v>
      </c>
      <c r="AA474" s="285">
        <f t="shared" si="756"/>
        <v>1630.04</v>
      </c>
      <c r="AB474" s="285">
        <f t="shared" si="731"/>
        <v>482.03</v>
      </c>
      <c r="AC474" s="285">
        <f t="shared" si="757"/>
        <v>1148.01</v>
      </c>
      <c r="AD474" s="285">
        <f t="shared" ref="AD474:AE474" si="780">+AD473</f>
        <v>134.16999999999999</v>
      </c>
      <c r="AE474" s="285">
        <f t="shared" si="780"/>
        <v>188.55</v>
      </c>
      <c r="AF474" s="285">
        <f t="shared" si="733"/>
        <v>1952.76</v>
      </c>
      <c r="AG474" s="285">
        <f t="shared" si="734"/>
        <v>111258.35999999988</v>
      </c>
      <c r="AH474" s="285">
        <f t="shared" si="735"/>
        <v>561064.48000000033</v>
      </c>
      <c r="AI474" s="512">
        <f t="shared" si="723"/>
        <v>-92517.639999999956</v>
      </c>
      <c r="AJ474" s="512">
        <f t="shared" si="674"/>
        <v>-219935.04000000042</v>
      </c>
      <c r="AK474" s="512">
        <f t="shared" si="724"/>
        <v>-312452.6800000004</v>
      </c>
      <c r="AL474" s="285">
        <f t="shared" si="736"/>
        <v>219935.04000000042</v>
      </c>
      <c r="AM474" s="425">
        <f t="shared" si="763"/>
        <v>34</v>
      </c>
      <c r="AN474" s="14">
        <f t="shared" si="725"/>
        <v>0</v>
      </c>
      <c r="AO474" s="14">
        <f t="shared" si="694"/>
        <v>0</v>
      </c>
      <c r="AP474" s="14">
        <f t="shared" si="726"/>
        <v>0</v>
      </c>
      <c r="AS474" s="14">
        <f t="shared" si="759"/>
        <v>0</v>
      </c>
      <c r="AT474" s="14">
        <f t="shared" si="764"/>
        <v>0</v>
      </c>
      <c r="AU474" s="285">
        <f t="shared" si="765"/>
        <v>0</v>
      </c>
      <c r="AV474" s="285">
        <f t="shared" si="766"/>
        <v>0</v>
      </c>
    </row>
    <row r="475" spans="1:48" x14ac:dyDescent="0.25">
      <c r="A475" s="502" t="str">
        <f t="shared" si="712"/>
        <v xml:space="preserve"> </v>
      </c>
      <c r="B475" s="285">
        <f t="shared" si="706"/>
        <v>0</v>
      </c>
      <c r="C475" s="14">
        <f t="shared" si="753"/>
        <v>0</v>
      </c>
      <c r="D475" s="14">
        <f t="shared" si="767"/>
        <v>0</v>
      </c>
      <c r="E475" s="14">
        <f t="shared" si="754"/>
        <v>0</v>
      </c>
      <c r="F475" s="14">
        <f t="shared" si="713"/>
        <v>134.16999999999999</v>
      </c>
      <c r="G475" s="14">
        <f t="shared" si="709"/>
        <v>188.55</v>
      </c>
      <c r="H475" s="14">
        <f t="shared" si="710"/>
        <v>322.72000000000003</v>
      </c>
      <c r="I475" s="285">
        <f t="shared" si="714"/>
        <v>97532.849999999991</v>
      </c>
      <c r="J475" s="285">
        <f t="shared" si="715"/>
        <v>64871.789999999986</v>
      </c>
      <c r="K475" s="285">
        <f t="shared" si="716"/>
        <v>0</v>
      </c>
      <c r="L475" s="425">
        <f t="shared" si="696"/>
        <v>34</v>
      </c>
      <c r="M475" s="425">
        <f t="shared" si="760"/>
        <v>416</v>
      </c>
      <c r="N475" s="285">
        <f t="shared" si="681"/>
        <v>0</v>
      </c>
      <c r="O475" s="285">
        <f t="shared" si="728"/>
        <v>0</v>
      </c>
      <c r="P475" s="285">
        <f t="shared" si="768"/>
        <v>0</v>
      </c>
      <c r="Q475" s="285">
        <f t="shared" si="729"/>
        <v>0</v>
      </c>
      <c r="R475" s="285">
        <f t="shared" si="720"/>
        <v>134.16999999999999</v>
      </c>
      <c r="S475" s="285">
        <f t="shared" si="721"/>
        <v>188.55</v>
      </c>
      <c r="T475" s="285">
        <f t="shared" si="717"/>
        <v>322.72000000000003</v>
      </c>
      <c r="U475" s="285">
        <f t="shared" si="769"/>
        <v>261577.66000000012</v>
      </c>
      <c r="V475" s="285">
        <f t="shared" si="770"/>
        <v>318227.53999999998</v>
      </c>
      <c r="W475" s="285">
        <f t="shared" si="718"/>
        <v>0</v>
      </c>
      <c r="X475" s="502" t="str">
        <f t="shared" si="761"/>
        <v xml:space="preserve"> </v>
      </c>
      <c r="Y475" s="285">
        <f t="shared" si="730"/>
        <v>219935.04000000042</v>
      </c>
      <c r="Z475" s="494">
        <f t="shared" si="755"/>
        <v>6.25E-2</v>
      </c>
      <c r="AA475" s="285">
        <f t="shared" si="756"/>
        <v>1630.04</v>
      </c>
      <c r="AB475" s="285">
        <f t="shared" si="731"/>
        <v>484.53999999999996</v>
      </c>
      <c r="AC475" s="285">
        <f t="shared" si="757"/>
        <v>1145.5</v>
      </c>
      <c r="AD475" s="285">
        <f t="shared" ref="AD475:AE475" si="781">+AD474</f>
        <v>134.16999999999999</v>
      </c>
      <c r="AE475" s="285">
        <f t="shared" si="781"/>
        <v>188.55</v>
      </c>
      <c r="AF475" s="285">
        <f t="shared" si="733"/>
        <v>1952.76</v>
      </c>
      <c r="AG475" s="285">
        <f t="shared" si="734"/>
        <v>111742.89999999988</v>
      </c>
      <c r="AH475" s="285">
        <f t="shared" si="735"/>
        <v>562209.98000000033</v>
      </c>
      <c r="AI475" s="512">
        <f t="shared" si="723"/>
        <v>-94147.679999999949</v>
      </c>
      <c r="AJ475" s="512">
        <f t="shared" ref="AJ475:AJ538" si="782">+W475-AL475</f>
        <v>-219450.50000000041</v>
      </c>
      <c r="AK475" s="512">
        <f t="shared" si="724"/>
        <v>-313598.18000000034</v>
      </c>
      <c r="AL475" s="285">
        <f t="shared" si="736"/>
        <v>219450.50000000041</v>
      </c>
      <c r="AM475" s="425">
        <f t="shared" si="763"/>
        <v>34</v>
      </c>
      <c r="AN475" s="14">
        <f t="shared" si="725"/>
        <v>0</v>
      </c>
      <c r="AO475" s="14">
        <f t="shared" si="694"/>
        <v>0</v>
      </c>
      <c r="AP475" s="14">
        <f t="shared" si="726"/>
        <v>0</v>
      </c>
      <c r="AS475" s="14">
        <f t="shared" si="759"/>
        <v>0</v>
      </c>
      <c r="AT475" s="14">
        <f t="shared" si="764"/>
        <v>0</v>
      </c>
      <c r="AU475" s="285">
        <f t="shared" si="765"/>
        <v>0</v>
      </c>
      <c r="AV475" s="285">
        <f t="shared" si="766"/>
        <v>0</v>
      </c>
    </row>
    <row r="476" spans="1:48" x14ac:dyDescent="0.25">
      <c r="A476" s="502" t="str">
        <f t="shared" si="712"/>
        <v xml:space="preserve"> </v>
      </c>
      <c r="B476" s="285">
        <f t="shared" si="706"/>
        <v>0</v>
      </c>
      <c r="C476" s="14">
        <f t="shared" si="753"/>
        <v>0</v>
      </c>
      <c r="D476" s="14">
        <f t="shared" si="767"/>
        <v>0</v>
      </c>
      <c r="E476" s="14">
        <f t="shared" si="754"/>
        <v>0</v>
      </c>
      <c r="F476" s="14">
        <f t="shared" si="713"/>
        <v>134.16999999999999</v>
      </c>
      <c r="G476" s="14">
        <f t="shared" si="709"/>
        <v>188.55</v>
      </c>
      <c r="H476" s="14">
        <f t="shared" si="710"/>
        <v>322.72000000000003</v>
      </c>
      <c r="I476" s="285">
        <f t="shared" si="714"/>
        <v>97532.849999999991</v>
      </c>
      <c r="J476" s="285">
        <f t="shared" si="715"/>
        <v>64871.789999999986</v>
      </c>
      <c r="K476" s="285">
        <f t="shared" si="716"/>
        <v>0</v>
      </c>
      <c r="L476" s="425">
        <f t="shared" si="696"/>
        <v>34</v>
      </c>
      <c r="M476" s="425">
        <f t="shared" si="760"/>
        <v>417</v>
      </c>
      <c r="N476" s="285">
        <f t="shared" si="681"/>
        <v>0</v>
      </c>
      <c r="O476" s="285">
        <f t="shared" si="728"/>
        <v>0</v>
      </c>
      <c r="P476" s="285">
        <f t="shared" si="768"/>
        <v>0</v>
      </c>
      <c r="Q476" s="285">
        <f t="shared" si="729"/>
        <v>0</v>
      </c>
      <c r="R476" s="285">
        <f t="shared" si="720"/>
        <v>134.16999999999999</v>
      </c>
      <c r="S476" s="285">
        <f t="shared" si="721"/>
        <v>188.55</v>
      </c>
      <c r="T476" s="285">
        <f t="shared" si="717"/>
        <v>322.72000000000003</v>
      </c>
      <c r="U476" s="285">
        <f t="shared" si="769"/>
        <v>261577.66000000012</v>
      </c>
      <c r="V476" s="285">
        <f t="shared" si="770"/>
        <v>318227.53999999998</v>
      </c>
      <c r="W476" s="285">
        <f t="shared" si="718"/>
        <v>0</v>
      </c>
      <c r="X476" s="502" t="str">
        <f t="shared" si="761"/>
        <v xml:space="preserve"> </v>
      </c>
      <c r="Y476" s="285">
        <f t="shared" si="730"/>
        <v>219450.50000000041</v>
      </c>
      <c r="Z476" s="494">
        <f t="shared" si="755"/>
        <v>6.25E-2</v>
      </c>
      <c r="AA476" s="285">
        <f t="shared" si="756"/>
        <v>1630.04</v>
      </c>
      <c r="AB476" s="285">
        <f t="shared" si="731"/>
        <v>487.06999999999994</v>
      </c>
      <c r="AC476" s="285">
        <f t="shared" si="757"/>
        <v>1142.97</v>
      </c>
      <c r="AD476" s="285">
        <f t="shared" ref="AD476:AE476" si="783">+AD475</f>
        <v>134.16999999999999</v>
      </c>
      <c r="AE476" s="285">
        <f t="shared" si="783"/>
        <v>188.55</v>
      </c>
      <c r="AF476" s="285">
        <f t="shared" si="733"/>
        <v>1952.76</v>
      </c>
      <c r="AG476" s="285">
        <f t="shared" si="734"/>
        <v>112229.96999999988</v>
      </c>
      <c r="AH476" s="285">
        <f t="shared" si="735"/>
        <v>563352.9500000003</v>
      </c>
      <c r="AI476" s="512">
        <f t="shared" si="723"/>
        <v>-95777.719999999943</v>
      </c>
      <c r="AJ476" s="512">
        <f t="shared" si="782"/>
        <v>-218963.4300000004</v>
      </c>
      <c r="AK476" s="512">
        <f t="shared" si="724"/>
        <v>-314741.15000000037</v>
      </c>
      <c r="AL476" s="285">
        <f t="shared" si="736"/>
        <v>218963.4300000004</v>
      </c>
      <c r="AM476" s="425">
        <f t="shared" si="763"/>
        <v>34</v>
      </c>
      <c r="AN476" s="14">
        <f t="shared" si="725"/>
        <v>0</v>
      </c>
      <c r="AO476" s="14">
        <f t="shared" si="694"/>
        <v>0</v>
      </c>
      <c r="AP476" s="14">
        <f t="shared" si="726"/>
        <v>0</v>
      </c>
      <c r="AS476" s="14">
        <f t="shared" si="759"/>
        <v>0</v>
      </c>
      <c r="AT476" s="14">
        <f t="shared" si="764"/>
        <v>0</v>
      </c>
      <c r="AU476" s="285">
        <f t="shared" si="765"/>
        <v>0</v>
      </c>
      <c r="AV476" s="285">
        <f t="shared" si="766"/>
        <v>0</v>
      </c>
    </row>
    <row r="477" spans="1:48" x14ac:dyDescent="0.25">
      <c r="A477" s="502" t="str">
        <f t="shared" si="712"/>
        <v xml:space="preserve"> </v>
      </c>
      <c r="B477" s="285">
        <f t="shared" si="706"/>
        <v>0</v>
      </c>
      <c r="C477" s="14">
        <f t="shared" si="753"/>
        <v>0</v>
      </c>
      <c r="D477" s="14">
        <f t="shared" si="767"/>
        <v>0</v>
      </c>
      <c r="E477" s="14">
        <f t="shared" si="754"/>
        <v>0</v>
      </c>
      <c r="F477" s="14">
        <f t="shared" si="713"/>
        <v>134.16999999999999</v>
      </c>
      <c r="G477" s="14">
        <f t="shared" si="709"/>
        <v>188.55</v>
      </c>
      <c r="H477" s="14">
        <f t="shared" si="710"/>
        <v>322.72000000000003</v>
      </c>
      <c r="I477" s="285">
        <f t="shared" si="714"/>
        <v>97532.849999999991</v>
      </c>
      <c r="J477" s="285">
        <f t="shared" si="715"/>
        <v>64871.789999999986</v>
      </c>
      <c r="K477" s="285">
        <f t="shared" si="716"/>
        <v>0</v>
      </c>
      <c r="L477" s="425">
        <f t="shared" si="696"/>
        <v>34</v>
      </c>
      <c r="M477" s="425">
        <f t="shared" si="760"/>
        <v>418</v>
      </c>
      <c r="N477" s="285">
        <f t="shared" si="681"/>
        <v>0</v>
      </c>
      <c r="O477" s="285">
        <f t="shared" si="728"/>
        <v>0</v>
      </c>
      <c r="P477" s="285">
        <f t="shared" si="768"/>
        <v>0</v>
      </c>
      <c r="Q477" s="285">
        <f t="shared" si="729"/>
        <v>0</v>
      </c>
      <c r="R477" s="285">
        <f t="shared" si="720"/>
        <v>134.16999999999999</v>
      </c>
      <c r="S477" s="285">
        <f t="shared" si="721"/>
        <v>188.55</v>
      </c>
      <c r="T477" s="285">
        <f t="shared" si="717"/>
        <v>322.72000000000003</v>
      </c>
      <c r="U477" s="285">
        <f t="shared" si="769"/>
        <v>261577.66000000012</v>
      </c>
      <c r="V477" s="285">
        <f t="shared" si="770"/>
        <v>318227.53999999998</v>
      </c>
      <c r="W477" s="285">
        <f t="shared" si="718"/>
        <v>0</v>
      </c>
      <c r="X477" s="502" t="str">
        <f t="shared" si="761"/>
        <v xml:space="preserve"> </v>
      </c>
      <c r="Y477" s="285">
        <f t="shared" si="730"/>
        <v>218963.4300000004</v>
      </c>
      <c r="Z477" s="494">
        <f t="shared" si="755"/>
        <v>6.25E-2</v>
      </c>
      <c r="AA477" s="285">
        <f t="shared" si="756"/>
        <v>1630.04</v>
      </c>
      <c r="AB477" s="285">
        <f t="shared" si="731"/>
        <v>489.6099999999999</v>
      </c>
      <c r="AC477" s="285">
        <f t="shared" si="757"/>
        <v>1140.43</v>
      </c>
      <c r="AD477" s="285">
        <f t="shared" ref="AD477:AE477" si="784">+AD476</f>
        <v>134.16999999999999</v>
      </c>
      <c r="AE477" s="285">
        <f t="shared" si="784"/>
        <v>188.55</v>
      </c>
      <c r="AF477" s="285">
        <f t="shared" si="733"/>
        <v>1952.76</v>
      </c>
      <c r="AG477" s="285">
        <f t="shared" si="734"/>
        <v>112719.57999999989</v>
      </c>
      <c r="AH477" s="285">
        <f t="shared" si="735"/>
        <v>564493.38000000035</v>
      </c>
      <c r="AI477" s="512">
        <f t="shared" si="723"/>
        <v>-97407.759999999937</v>
      </c>
      <c r="AJ477" s="512">
        <f t="shared" si="782"/>
        <v>-218473.82000000041</v>
      </c>
      <c r="AK477" s="512">
        <f t="shared" si="724"/>
        <v>-315881.58000000037</v>
      </c>
      <c r="AL477" s="285">
        <f t="shared" si="736"/>
        <v>218473.82000000041</v>
      </c>
      <c r="AM477" s="425">
        <f t="shared" si="763"/>
        <v>34</v>
      </c>
      <c r="AN477" s="14">
        <f t="shared" si="725"/>
        <v>0</v>
      </c>
      <c r="AO477" s="14">
        <f t="shared" si="694"/>
        <v>0</v>
      </c>
      <c r="AP477" s="14">
        <f t="shared" si="726"/>
        <v>0</v>
      </c>
      <c r="AS477" s="14">
        <f t="shared" si="759"/>
        <v>0</v>
      </c>
      <c r="AT477" s="14">
        <f t="shared" si="764"/>
        <v>0</v>
      </c>
      <c r="AU477" s="285">
        <f t="shared" si="765"/>
        <v>0</v>
      </c>
      <c r="AV477" s="285">
        <f t="shared" si="766"/>
        <v>0</v>
      </c>
    </row>
    <row r="478" spans="1:48" x14ac:dyDescent="0.25">
      <c r="A478" s="502" t="str">
        <f t="shared" si="712"/>
        <v xml:space="preserve"> </v>
      </c>
      <c r="B478" s="285">
        <f t="shared" si="706"/>
        <v>0</v>
      </c>
      <c r="C478" s="14">
        <f t="shared" si="753"/>
        <v>0</v>
      </c>
      <c r="D478" s="14">
        <f t="shared" si="767"/>
        <v>0</v>
      </c>
      <c r="E478" s="14">
        <f t="shared" si="754"/>
        <v>0</v>
      </c>
      <c r="F478" s="14">
        <f t="shared" si="713"/>
        <v>134.16999999999999</v>
      </c>
      <c r="G478" s="14">
        <f t="shared" si="709"/>
        <v>188.55</v>
      </c>
      <c r="H478" s="14">
        <f t="shared" si="710"/>
        <v>322.72000000000003</v>
      </c>
      <c r="I478" s="285">
        <f t="shared" si="714"/>
        <v>97532.849999999991</v>
      </c>
      <c r="J478" s="285">
        <f t="shared" si="715"/>
        <v>64871.789999999986</v>
      </c>
      <c r="K478" s="285">
        <f t="shared" si="716"/>
        <v>0</v>
      </c>
      <c r="L478" s="425">
        <f t="shared" si="696"/>
        <v>34</v>
      </c>
      <c r="M478" s="425">
        <f t="shared" si="760"/>
        <v>419</v>
      </c>
      <c r="N478" s="285">
        <f t="shared" si="681"/>
        <v>0</v>
      </c>
      <c r="O478" s="285">
        <f t="shared" si="728"/>
        <v>0</v>
      </c>
      <c r="P478" s="285">
        <f t="shared" si="768"/>
        <v>0</v>
      </c>
      <c r="Q478" s="285">
        <f t="shared" si="729"/>
        <v>0</v>
      </c>
      <c r="R478" s="285">
        <f t="shared" si="720"/>
        <v>134.16999999999999</v>
      </c>
      <c r="S478" s="285">
        <f t="shared" si="721"/>
        <v>188.55</v>
      </c>
      <c r="T478" s="285">
        <f t="shared" si="717"/>
        <v>322.72000000000003</v>
      </c>
      <c r="U478" s="285">
        <f t="shared" si="769"/>
        <v>261577.66000000012</v>
      </c>
      <c r="V478" s="285">
        <f t="shared" si="770"/>
        <v>318227.53999999998</v>
      </c>
      <c r="W478" s="285">
        <f t="shared" si="718"/>
        <v>0</v>
      </c>
      <c r="X478" s="502" t="str">
        <f t="shared" si="761"/>
        <v xml:space="preserve"> </v>
      </c>
      <c r="Y478" s="285">
        <f t="shared" si="730"/>
        <v>218473.82000000041</v>
      </c>
      <c r="Z478" s="494">
        <f t="shared" si="755"/>
        <v>6.25E-2</v>
      </c>
      <c r="AA478" s="285">
        <f t="shared" si="756"/>
        <v>1630.04</v>
      </c>
      <c r="AB478" s="285">
        <f t="shared" si="731"/>
        <v>492.15999999999985</v>
      </c>
      <c r="AC478" s="285">
        <f t="shared" si="757"/>
        <v>1137.8800000000001</v>
      </c>
      <c r="AD478" s="285">
        <f t="shared" ref="AD478:AE478" si="785">+AD477</f>
        <v>134.16999999999999</v>
      </c>
      <c r="AE478" s="285">
        <f t="shared" si="785"/>
        <v>188.55</v>
      </c>
      <c r="AF478" s="285">
        <f t="shared" si="733"/>
        <v>1952.76</v>
      </c>
      <c r="AG478" s="285">
        <f t="shared" si="734"/>
        <v>113211.73999999989</v>
      </c>
      <c r="AH478" s="285">
        <f t="shared" si="735"/>
        <v>565631.26000000036</v>
      </c>
      <c r="AI478" s="512">
        <f t="shared" si="723"/>
        <v>-99037.79999999993</v>
      </c>
      <c r="AJ478" s="512">
        <f t="shared" si="782"/>
        <v>-217981.66000000041</v>
      </c>
      <c r="AK478" s="512">
        <f t="shared" si="724"/>
        <v>-317019.46000000031</v>
      </c>
      <c r="AL478" s="285">
        <f t="shared" si="736"/>
        <v>217981.66000000041</v>
      </c>
      <c r="AM478" s="425">
        <f t="shared" si="763"/>
        <v>34</v>
      </c>
      <c r="AN478" s="14">
        <f t="shared" si="725"/>
        <v>0</v>
      </c>
      <c r="AO478" s="14">
        <f t="shared" si="694"/>
        <v>0</v>
      </c>
      <c r="AP478" s="14">
        <f t="shared" si="726"/>
        <v>0</v>
      </c>
      <c r="AS478" s="14">
        <f t="shared" si="759"/>
        <v>0</v>
      </c>
      <c r="AT478" s="14">
        <f t="shared" si="764"/>
        <v>0</v>
      </c>
      <c r="AU478" s="285">
        <f t="shared" si="765"/>
        <v>0</v>
      </c>
      <c r="AV478" s="285">
        <f t="shared" si="766"/>
        <v>0</v>
      </c>
    </row>
    <row r="479" spans="1:48" x14ac:dyDescent="0.25">
      <c r="A479" s="502" t="str">
        <f t="shared" si="712"/>
        <v xml:space="preserve"> </v>
      </c>
      <c r="B479" s="285">
        <f t="shared" si="706"/>
        <v>0</v>
      </c>
      <c r="C479" s="14">
        <f t="shared" si="753"/>
        <v>0</v>
      </c>
      <c r="D479" s="14">
        <f t="shared" si="767"/>
        <v>0</v>
      </c>
      <c r="E479" s="14">
        <f t="shared" si="754"/>
        <v>0</v>
      </c>
      <c r="F479" s="14">
        <f t="shared" si="713"/>
        <v>134.16999999999999</v>
      </c>
      <c r="G479" s="14">
        <f t="shared" si="709"/>
        <v>188.55</v>
      </c>
      <c r="H479" s="14">
        <f t="shared" si="710"/>
        <v>322.72000000000003</v>
      </c>
      <c r="I479" s="285">
        <f t="shared" si="714"/>
        <v>97532.849999999991</v>
      </c>
      <c r="J479" s="285">
        <f t="shared" si="715"/>
        <v>64871.789999999986</v>
      </c>
      <c r="K479" s="285">
        <f t="shared" si="716"/>
        <v>0</v>
      </c>
      <c r="L479" s="425">
        <f t="shared" si="696"/>
        <v>35</v>
      </c>
      <c r="M479" s="425">
        <f t="shared" si="760"/>
        <v>420</v>
      </c>
      <c r="N479" s="285">
        <f t="shared" si="681"/>
        <v>0</v>
      </c>
      <c r="O479" s="285">
        <f t="shared" si="728"/>
        <v>0</v>
      </c>
      <c r="P479" s="285">
        <f t="shared" si="768"/>
        <v>0</v>
      </c>
      <c r="Q479" s="285">
        <f t="shared" si="729"/>
        <v>0</v>
      </c>
      <c r="R479" s="285">
        <f t="shared" si="720"/>
        <v>134.16999999999999</v>
      </c>
      <c r="S479" s="285">
        <f t="shared" si="721"/>
        <v>188.55</v>
      </c>
      <c r="T479" s="285">
        <f t="shared" si="717"/>
        <v>322.72000000000003</v>
      </c>
      <c r="U479" s="285">
        <f t="shared" si="769"/>
        <v>261577.66000000012</v>
      </c>
      <c r="V479" s="285">
        <f t="shared" si="770"/>
        <v>318227.53999999998</v>
      </c>
      <c r="W479" s="285">
        <f t="shared" si="718"/>
        <v>0</v>
      </c>
      <c r="X479" s="502" t="str">
        <f t="shared" si="761"/>
        <v xml:space="preserve"> </v>
      </c>
      <c r="Y479" s="285">
        <f t="shared" si="730"/>
        <v>217981.66000000041</v>
      </c>
      <c r="Z479" s="494">
        <f t="shared" si="755"/>
        <v>6.25E-2</v>
      </c>
      <c r="AA479" s="285">
        <f t="shared" si="756"/>
        <v>1630.04</v>
      </c>
      <c r="AB479" s="285">
        <f t="shared" si="731"/>
        <v>494.72</v>
      </c>
      <c r="AC479" s="285">
        <f t="shared" si="757"/>
        <v>1135.32</v>
      </c>
      <c r="AD479" s="285">
        <f t="shared" ref="AD479:AE479" si="786">+AD478</f>
        <v>134.16999999999999</v>
      </c>
      <c r="AE479" s="285">
        <f t="shared" si="786"/>
        <v>188.55</v>
      </c>
      <c r="AF479" s="285">
        <f t="shared" si="733"/>
        <v>1952.76</v>
      </c>
      <c r="AG479" s="285">
        <f t="shared" si="734"/>
        <v>113706.45999999989</v>
      </c>
      <c r="AH479" s="285">
        <f t="shared" si="735"/>
        <v>566766.58000000031</v>
      </c>
      <c r="AI479" s="512">
        <f t="shared" si="723"/>
        <v>-100667.83999999992</v>
      </c>
      <c r="AJ479" s="512">
        <f t="shared" si="782"/>
        <v>-217486.94000000041</v>
      </c>
      <c r="AK479" s="512">
        <f t="shared" si="724"/>
        <v>-318154.78000000032</v>
      </c>
      <c r="AL479" s="285">
        <f t="shared" si="736"/>
        <v>217486.94000000041</v>
      </c>
      <c r="AM479" s="425">
        <f t="shared" si="763"/>
        <v>35</v>
      </c>
      <c r="AN479" s="14">
        <f t="shared" si="725"/>
        <v>0</v>
      </c>
      <c r="AO479" s="14">
        <f t="shared" si="694"/>
        <v>0</v>
      </c>
      <c r="AP479" s="14">
        <f t="shared" si="726"/>
        <v>0</v>
      </c>
      <c r="AS479" s="14">
        <f t="shared" si="759"/>
        <v>0</v>
      </c>
      <c r="AT479" s="14">
        <f t="shared" si="764"/>
        <v>0</v>
      </c>
      <c r="AU479" s="285">
        <f t="shared" si="765"/>
        <v>0</v>
      </c>
      <c r="AV479" s="285">
        <f t="shared" si="766"/>
        <v>0</v>
      </c>
    </row>
    <row r="480" spans="1:48" x14ac:dyDescent="0.25">
      <c r="A480" s="502" t="str">
        <f t="shared" si="712"/>
        <v xml:space="preserve"> </v>
      </c>
      <c r="B480" s="285">
        <f t="shared" si="706"/>
        <v>0</v>
      </c>
      <c r="C480" s="14">
        <f t="shared" si="753"/>
        <v>0</v>
      </c>
      <c r="D480" s="14">
        <f t="shared" si="767"/>
        <v>0</v>
      </c>
      <c r="E480" s="14">
        <f t="shared" si="754"/>
        <v>0</v>
      </c>
      <c r="F480" s="14">
        <f t="shared" si="713"/>
        <v>134.16999999999999</v>
      </c>
      <c r="G480" s="14">
        <f t="shared" si="709"/>
        <v>188.55</v>
      </c>
      <c r="H480" s="14">
        <f t="shared" si="710"/>
        <v>322.72000000000003</v>
      </c>
      <c r="I480" s="285">
        <f t="shared" si="714"/>
        <v>97532.849999999991</v>
      </c>
      <c r="J480" s="285">
        <f t="shared" si="715"/>
        <v>64871.789999999986</v>
      </c>
      <c r="K480" s="285">
        <f t="shared" si="716"/>
        <v>0</v>
      </c>
      <c r="L480" s="425">
        <f t="shared" si="696"/>
        <v>35</v>
      </c>
      <c r="M480" s="425">
        <f t="shared" si="760"/>
        <v>421</v>
      </c>
      <c r="N480" s="285">
        <f t="shared" si="681"/>
        <v>0</v>
      </c>
      <c r="O480" s="285">
        <f t="shared" si="728"/>
        <v>0</v>
      </c>
      <c r="P480" s="285">
        <f t="shared" si="768"/>
        <v>0</v>
      </c>
      <c r="Q480" s="285">
        <f t="shared" si="729"/>
        <v>0</v>
      </c>
      <c r="R480" s="285">
        <f t="shared" si="720"/>
        <v>134.16999999999999</v>
      </c>
      <c r="S480" s="285">
        <f t="shared" si="721"/>
        <v>188.55</v>
      </c>
      <c r="T480" s="285">
        <f t="shared" si="717"/>
        <v>322.72000000000003</v>
      </c>
      <c r="U480" s="285">
        <f t="shared" si="769"/>
        <v>261577.66000000012</v>
      </c>
      <c r="V480" s="285">
        <f t="shared" si="770"/>
        <v>318227.53999999998</v>
      </c>
      <c r="W480" s="285">
        <f t="shared" si="718"/>
        <v>0</v>
      </c>
      <c r="X480" s="502" t="str">
        <f t="shared" si="761"/>
        <v xml:space="preserve"> </v>
      </c>
      <c r="Y480" s="285">
        <f t="shared" si="730"/>
        <v>217486.94000000041</v>
      </c>
      <c r="Z480" s="494">
        <f t="shared" si="755"/>
        <v>6.25E-2</v>
      </c>
      <c r="AA480" s="285">
        <f t="shared" si="756"/>
        <v>1630.04</v>
      </c>
      <c r="AB480" s="285">
        <f t="shared" si="731"/>
        <v>497.29999999999995</v>
      </c>
      <c r="AC480" s="285">
        <f t="shared" si="757"/>
        <v>1132.74</v>
      </c>
      <c r="AD480" s="285">
        <f t="shared" ref="AD480:AE480" si="787">+AD479</f>
        <v>134.16999999999999</v>
      </c>
      <c r="AE480" s="285">
        <f t="shared" si="787"/>
        <v>188.55</v>
      </c>
      <c r="AF480" s="285">
        <f t="shared" si="733"/>
        <v>1952.76</v>
      </c>
      <c r="AG480" s="285">
        <f t="shared" si="734"/>
        <v>114203.75999999989</v>
      </c>
      <c r="AH480" s="285">
        <f t="shared" si="735"/>
        <v>567899.3200000003</v>
      </c>
      <c r="AI480" s="512">
        <f t="shared" si="723"/>
        <v>-102297.87999999992</v>
      </c>
      <c r="AJ480" s="512">
        <f t="shared" si="782"/>
        <v>-216989.64000000042</v>
      </c>
      <c r="AK480" s="512">
        <f t="shared" si="724"/>
        <v>-319287.52000000037</v>
      </c>
      <c r="AL480" s="285">
        <f t="shared" si="736"/>
        <v>216989.64000000042</v>
      </c>
      <c r="AM480" s="425">
        <f t="shared" si="763"/>
        <v>35</v>
      </c>
      <c r="AN480" s="14">
        <f t="shared" si="725"/>
        <v>0</v>
      </c>
      <c r="AO480" s="14">
        <f t="shared" si="694"/>
        <v>0</v>
      </c>
      <c r="AP480" s="14">
        <f t="shared" si="726"/>
        <v>0</v>
      </c>
      <c r="AS480" s="14">
        <f t="shared" si="759"/>
        <v>0</v>
      </c>
      <c r="AT480" s="14">
        <f t="shared" si="764"/>
        <v>0</v>
      </c>
      <c r="AU480" s="285">
        <f t="shared" si="765"/>
        <v>0</v>
      </c>
      <c r="AV480" s="285">
        <f t="shared" si="766"/>
        <v>0</v>
      </c>
    </row>
    <row r="481" spans="1:49" x14ac:dyDescent="0.25">
      <c r="A481" s="502" t="str">
        <f t="shared" si="712"/>
        <v xml:space="preserve"> </v>
      </c>
      <c r="B481" s="285">
        <f t="shared" si="706"/>
        <v>0</v>
      </c>
      <c r="C481" s="14">
        <f t="shared" si="753"/>
        <v>0</v>
      </c>
      <c r="D481" s="14">
        <f t="shared" si="767"/>
        <v>0</v>
      </c>
      <c r="E481" s="14">
        <f t="shared" si="754"/>
        <v>0</v>
      </c>
      <c r="F481" s="14">
        <f t="shared" si="713"/>
        <v>134.16999999999999</v>
      </c>
      <c r="G481" s="14">
        <f t="shared" si="709"/>
        <v>188.55</v>
      </c>
      <c r="H481" s="14">
        <f t="shared" si="710"/>
        <v>322.72000000000003</v>
      </c>
      <c r="I481" s="285">
        <f t="shared" si="714"/>
        <v>97532.849999999991</v>
      </c>
      <c r="J481" s="285">
        <f t="shared" si="715"/>
        <v>64871.789999999986</v>
      </c>
      <c r="K481" s="285">
        <f t="shared" si="716"/>
        <v>0</v>
      </c>
      <c r="L481" s="425">
        <f t="shared" si="696"/>
        <v>35</v>
      </c>
      <c r="M481" s="425">
        <f t="shared" si="760"/>
        <v>422</v>
      </c>
      <c r="N481" s="285">
        <f t="shared" si="681"/>
        <v>0</v>
      </c>
      <c r="O481" s="285">
        <f t="shared" si="728"/>
        <v>0</v>
      </c>
      <c r="P481" s="285">
        <f t="shared" si="768"/>
        <v>0</v>
      </c>
      <c r="Q481" s="285">
        <f t="shared" si="729"/>
        <v>0</v>
      </c>
      <c r="R481" s="285">
        <f t="shared" si="720"/>
        <v>134.16999999999999</v>
      </c>
      <c r="S481" s="285">
        <f t="shared" si="721"/>
        <v>188.55</v>
      </c>
      <c r="T481" s="285">
        <f t="shared" si="717"/>
        <v>322.72000000000003</v>
      </c>
      <c r="U481" s="285">
        <f t="shared" si="769"/>
        <v>261577.66000000012</v>
      </c>
      <c r="V481" s="285">
        <f t="shared" si="770"/>
        <v>318227.53999999998</v>
      </c>
      <c r="W481" s="285">
        <f t="shared" si="718"/>
        <v>0</v>
      </c>
      <c r="X481" s="502" t="str">
        <f t="shared" si="761"/>
        <v xml:space="preserve"> </v>
      </c>
      <c r="Y481" s="285">
        <f t="shared" si="730"/>
        <v>216989.64000000042</v>
      </c>
      <c r="Z481" s="494">
        <f t="shared" si="755"/>
        <v>6.25E-2</v>
      </c>
      <c r="AA481" s="285">
        <f t="shared" si="756"/>
        <v>1630.04</v>
      </c>
      <c r="AB481" s="285">
        <f t="shared" si="731"/>
        <v>499.88999999999987</v>
      </c>
      <c r="AC481" s="285">
        <f t="shared" si="757"/>
        <v>1130.1500000000001</v>
      </c>
      <c r="AD481" s="285">
        <f t="shared" ref="AD481:AE481" si="788">+AD480</f>
        <v>134.16999999999999</v>
      </c>
      <c r="AE481" s="285">
        <f t="shared" si="788"/>
        <v>188.55</v>
      </c>
      <c r="AF481" s="285">
        <f t="shared" si="733"/>
        <v>1952.76</v>
      </c>
      <c r="AG481" s="285">
        <f t="shared" si="734"/>
        <v>114703.64999999989</v>
      </c>
      <c r="AH481" s="285">
        <f t="shared" si="735"/>
        <v>569029.47000000032</v>
      </c>
      <c r="AI481" s="512">
        <f t="shared" si="723"/>
        <v>-103927.91999999991</v>
      </c>
      <c r="AJ481" s="512">
        <f t="shared" si="782"/>
        <v>-216489.75000000041</v>
      </c>
      <c r="AK481" s="512">
        <f t="shared" si="724"/>
        <v>-320417.67000000033</v>
      </c>
      <c r="AL481" s="285">
        <f t="shared" si="736"/>
        <v>216489.75000000041</v>
      </c>
      <c r="AM481" s="425">
        <f t="shared" si="763"/>
        <v>35</v>
      </c>
      <c r="AN481" s="14">
        <f t="shared" si="725"/>
        <v>0</v>
      </c>
      <c r="AO481" s="14">
        <f t="shared" si="694"/>
        <v>0</v>
      </c>
      <c r="AP481" s="14">
        <f t="shared" si="726"/>
        <v>0</v>
      </c>
      <c r="AS481" s="14">
        <f t="shared" si="759"/>
        <v>0</v>
      </c>
      <c r="AT481" s="14">
        <f t="shared" si="764"/>
        <v>0</v>
      </c>
      <c r="AU481" s="285">
        <f t="shared" si="765"/>
        <v>0</v>
      </c>
      <c r="AV481" s="285">
        <f t="shared" si="766"/>
        <v>0</v>
      </c>
    </row>
    <row r="482" spans="1:49" ht="15.75" thickBot="1" x14ac:dyDescent="0.3">
      <c r="A482" s="505" t="str">
        <f t="shared" si="712"/>
        <v xml:space="preserve"> </v>
      </c>
      <c r="B482" s="345">
        <f t="shared" si="706"/>
        <v>0</v>
      </c>
      <c r="C482" s="21">
        <f t="shared" si="753"/>
        <v>0</v>
      </c>
      <c r="D482" s="21">
        <f t="shared" si="767"/>
        <v>0</v>
      </c>
      <c r="E482" s="21">
        <f t="shared" si="754"/>
        <v>0</v>
      </c>
      <c r="F482" s="21">
        <f t="shared" si="713"/>
        <v>134.16999999999999</v>
      </c>
      <c r="G482" s="21">
        <f t="shared" si="709"/>
        <v>188.55</v>
      </c>
      <c r="H482" s="21">
        <f t="shared" si="710"/>
        <v>322.72000000000003</v>
      </c>
      <c r="I482" s="345">
        <f t="shared" si="714"/>
        <v>97532.849999999991</v>
      </c>
      <c r="J482" s="345">
        <f t="shared" si="715"/>
        <v>64871.789999999986</v>
      </c>
      <c r="K482" s="345">
        <f t="shared" si="716"/>
        <v>0</v>
      </c>
      <c r="L482" s="426">
        <f t="shared" si="696"/>
        <v>35</v>
      </c>
      <c r="M482" s="426">
        <f t="shared" si="760"/>
        <v>423</v>
      </c>
      <c r="N482" s="345">
        <f t="shared" ref="N482:N490" si="789">IF(+W481&lt;0,0,+W481)</f>
        <v>0</v>
      </c>
      <c r="O482" s="345">
        <f t="shared" si="728"/>
        <v>0</v>
      </c>
      <c r="P482" s="345">
        <f t="shared" si="768"/>
        <v>0</v>
      </c>
      <c r="Q482" s="345">
        <f t="shared" si="729"/>
        <v>0</v>
      </c>
      <c r="R482" s="345">
        <f t="shared" si="720"/>
        <v>134.16999999999999</v>
      </c>
      <c r="S482" s="345">
        <f t="shared" si="721"/>
        <v>188.55</v>
      </c>
      <c r="T482" s="345">
        <f t="shared" si="717"/>
        <v>322.72000000000003</v>
      </c>
      <c r="U482" s="345">
        <f t="shared" si="769"/>
        <v>261577.66000000012</v>
      </c>
      <c r="V482" s="345">
        <f t="shared" si="770"/>
        <v>318227.53999999998</v>
      </c>
      <c r="W482" s="345">
        <f t="shared" si="718"/>
        <v>0</v>
      </c>
      <c r="X482" s="505" t="str">
        <f t="shared" si="761"/>
        <v xml:space="preserve"> </v>
      </c>
      <c r="Y482" s="345">
        <f t="shared" si="730"/>
        <v>216489.75000000041</v>
      </c>
      <c r="Z482" s="495">
        <f t="shared" si="755"/>
        <v>6.25E-2</v>
      </c>
      <c r="AA482" s="345">
        <f t="shared" si="756"/>
        <v>1630.04</v>
      </c>
      <c r="AB482" s="345">
        <f t="shared" si="731"/>
        <v>502.49</v>
      </c>
      <c r="AC482" s="345">
        <f t="shared" si="757"/>
        <v>1127.55</v>
      </c>
      <c r="AD482" s="345">
        <f t="shared" ref="AD482:AE482" si="790">+AD481</f>
        <v>134.16999999999999</v>
      </c>
      <c r="AE482" s="345">
        <f t="shared" si="790"/>
        <v>188.55</v>
      </c>
      <c r="AF482" s="345">
        <f t="shared" si="733"/>
        <v>1952.76</v>
      </c>
      <c r="AG482" s="345">
        <f t="shared" si="734"/>
        <v>115206.1399999999</v>
      </c>
      <c r="AH482" s="345">
        <f t="shared" si="735"/>
        <v>570157.02000000037</v>
      </c>
      <c r="AI482" s="513">
        <f t="shared" si="723"/>
        <v>-105557.9599999999</v>
      </c>
      <c r="AJ482" s="513">
        <f t="shared" si="782"/>
        <v>-215987.26000000042</v>
      </c>
      <c r="AK482" s="512">
        <f t="shared" si="724"/>
        <v>-321545.22000000032</v>
      </c>
      <c r="AL482" s="345">
        <f t="shared" si="736"/>
        <v>215987.26000000042</v>
      </c>
      <c r="AM482" s="426">
        <f t="shared" si="763"/>
        <v>35</v>
      </c>
      <c r="AN482" s="21">
        <f t="shared" si="725"/>
        <v>0</v>
      </c>
      <c r="AO482" s="21">
        <f t="shared" si="694"/>
        <v>0</v>
      </c>
      <c r="AP482" s="21">
        <f t="shared" si="726"/>
        <v>0</v>
      </c>
      <c r="AQ482" s="21"/>
      <c r="AR482" s="23"/>
      <c r="AS482" s="21">
        <f t="shared" si="759"/>
        <v>0</v>
      </c>
      <c r="AT482" s="21">
        <f t="shared" si="764"/>
        <v>0</v>
      </c>
      <c r="AU482" s="345">
        <f t="shared" si="765"/>
        <v>0</v>
      </c>
      <c r="AV482" s="345">
        <f t="shared" si="766"/>
        <v>0</v>
      </c>
    </row>
    <row r="483" spans="1:49" x14ac:dyDescent="0.25">
      <c r="A483" s="502" t="str">
        <f t="shared" si="712"/>
        <v xml:space="preserve"> </v>
      </c>
      <c r="B483" s="285">
        <f t="shared" si="706"/>
        <v>0</v>
      </c>
      <c r="C483" s="14">
        <f t="shared" si="753"/>
        <v>0</v>
      </c>
      <c r="D483" s="14">
        <f t="shared" si="767"/>
        <v>0</v>
      </c>
      <c r="E483" s="14">
        <f t="shared" si="754"/>
        <v>0</v>
      </c>
      <c r="F483" s="14">
        <f t="shared" si="713"/>
        <v>134.16999999999999</v>
      </c>
      <c r="G483" s="14">
        <f t="shared" si="709"/>
        <v>188.55</v>
      </c>
      <c r="H483" s="14">
        <f t="shared" si="710"/>
        <v>322.72000000000003</v>
      </c>
      <c r="I483" s="285">
        <f t="shared" si="714"/>
        <v>97532.849999999991</v>
      </c>
      <c r="J483" s="285">
        <f t="shared" si="715"/>
        <v>64871.789999999986</v>
      </c>
      <c r="K483" s="285">
        <f t="shared" si="716"/>
        <v>0</v>
      </c>
      <c r="L483" s="425">
        <f t="shared" si="696"/>
        <v>35</v>
      </c>
      <c r="M483" s="425">
        <f t="shared" si="760"/>
        <v>424</v>
      </c>
      <c r="N483" s="285">
        <f t="shared" si="789"/>
        <v>0</v>
      </c>
      <c r="O483" s="285">
        <f t="shared" si="728"/>
        <v>0</v>
      </c>
      <c r="P483" s="285">
        <f t="shared" si="768"/>
        <v>0</v>
      </c>
      <c r="Q483" s="285">
        <f t="shared" si="729"/>
        <v>0</v>
      </c>
      <c r="R483" s="285">
        <f t="shared" si="720"/>
        <v>134.16999999999999</v>
      </c>
      <c r="S483" s="285">
        <f t="shared" si="721"/>
        <v>188.55</v>
      </c>
      <c r="T483" s="285">
        <f t="shared" si="717"/>
        <v>322.72000000000003</v>
      </c>
      <c r="U483" s="285">
        <f t="shared" si="769"/>
        <v>261577.66000000012</v>
      </c>
      <c r="V483" s="285">
        <f t="shared" si="770"/>
        <v>318227.53999999998</v>
      </c>
      <c r="W483" s="285">
        <f t="shared" si="718"/>
        <v>0</v>
      </c>
      <c r="X483" s="502" t="str">
        <f t="shared" si="761"/>
        <v xml:space="preserve"> </v>
      </c>
      <c r="Y483" s="285">
        <f t="shared" si="730"/>
        <v>215987.26000000042</v>
      </c>
      <c r="Z483" s="494">
        <f t="shared" si="755"/>
        <v>6.25E-2</v>
      </c>
      <c r="AA483" s="285">
        <f t="shared" si="756"/>
        <v>1630.04</v>
      </c>
      <c r="AB483" s="285">
        <f t="shared" si="731"/>
        <v>505.1099999999999</v>
      </c>
      <c r="AC483" s="285">
        <f t="shared" si="757"/>
        <v>1124.93</v>
      </c>
      <c r="AD483" s="285">
        <f t="shared" ref="AD483:AE483" si="791">+AD482</f>
        <v>134.16999999999999</v>
      </c>
      <c r="AE483" s="285">
        <f t="shared" si="791"/>
        <v>188.55</v>
      </c>
      <c r="AF483" s="285">
        <f t="shared" si="733"/>
        <v>1952.76</v>
      </c>
      <c r="AG483" s="285">
        <f t="shared" si="734"/>
        <v>115711.2499999999</v>
      </c>
      <c r="AH483" s="285">
        <f t="shared" si="735"/>
        <v>571281.95000000042</v>
      </c>
      <c r="AI483" s="512">
        <f t="shared" si="723"/>
        <v>-107187.9999999999</v>
      </c>
      <c r="AJ483" s="512">
        <f t="shared" si="782"/>
        <v>-215482.15000000043</v>
      </c>
      <c r="AK483" s="512">
        <f t="shared" si="724"/>
        <v>-322670.15000000031</v>
      </c>
      <c r="AL483" s="285">
        <f t="shared" si="736"/>
        <v>215482.15000000043</v>
      </c>
      <c r="AM483" s="425">
        <f t="shared" si="763"/>
        <v>35</v>
      </c>
      <c r="AN483" s="14">
        <f t="shared" si="725"/>
        <v>0</v>
      </c>
      <c r="AO483" s="14">
        <f t="shared" si="694"/>
        <v>0</v>
      </c>
      <c r="AP483" s="14">
        <f t="shared" si="726"/>
        <v>0</v>
      </c>
      <c r="AS483" s="14">
        <f t="shared" si="759"/>
        <v>0</v>
      </c>
      <c r="AT483" s="14">
        <f t="shared" si="764"/>
        <v>0</v>
      </c>
      <c r="AU483" s="285">
        <f t="shared" si="765"/>
        <v>0</v>
      </c>
      <c r="AV483" s="285">
        <f t="shared" si="766"/>
        <v>0</v>
      </c>
    </row>
    <row r="484" spans="1:49" x14ac:dyDescent="0.25">
      <c r="A484" s="502" t="str">
        <f t="shared" si="712"/>
        <v xml:space="preserve"> </v>
      </c>
      <c r="B484" s="285">
        <f t="shared" si="706"/>
        <v>0</v>
      </c>
      <c r="C484" s="14">
        <f t="shared" si="753"/>
        <v>0</v>
      </c>
      <c r="D484" s="14">
        <f t="shared" si="767"/>
        <v>0</v>
      </c>
      <c r="E484" s="14">
        <f t="shared" si="754"/>
        <v>0</v>
      </c>
      <c r="F484" s="14">
        <f t="shared" si="713"/>
        <v>134.16999999999999</v>
      </c>
      <c r="G484" s="14">
        <f t="shared" si="709"/>
        <v>188.55</v>
      </c>
      <c r="H484" s="14">
        <f t="shared" si="710"/>
        <v>322.72000000000003</v>
      </c>
      <c r="I484" s="285">
        <f t="shared" si="714"/>
        <v>97532.849999999991</v>
      </c>
      <c r="J484" s="285">
        <f t="shared" si="715"/>
        <v>64871.789999999986</v>
      </c>
      <c r="K484" s="285">
        <f t="shared" si="716"/>
        <v>0</v>
      </c>
      <c r="L484" s="425">
        <f t="shared" si="696"/>
        <v>35</v>
      </c>
      <c r="M484" s="425">
        <f t="shared" si="760"/>
        <v>425</v>
      </c>
      <c r="N484" s="285">
        <f t="shared" si="789"/>
        <v>0</v>
      </c>
      <c r="O484" s="285">
        <f t="shared" si="728"/>
        <v>0</v>
      </c>
      <c r="P484" s="285">
        <f t="shared" si="768"/>
        <v>0</v>
      </c>
      <c r="Q484" s="285">
        <f t="shared" si="729"/>
        <v>0</v>
      </c>
      <c r="R484" s="285">
        <f t="shared" si="720"/>
        <v>134.16999999999999</v>
      </c>
      <c r="S484" s="285">
        <f t="shared" si="721"/>
        <v>188.55</v>
      </c>
      <c r="T484" s="285">
        <f t="shared" si="717"/>
        <v>322.72000000000003</v>
      </c>
      <c r="U484" s="285">
        <f t="shared" si="769"/>
        <v>261577.66000000012</v>
      </c>
      <c r="V484" s="285">
        <f t="shared" si="770"/>
        <v>318227.53999999998</v>
      </c>
      <c r="W484" s="285">
        <f t="shared" si="718"/>
        <v>0</v>
      </c>
      <c r="X484" s="502" t="str">
        <f t="shared" si="761"/>
        <v xml:space="preserve"> </v>
      </c>
      <c r="Y484" s="285">
        <f t="shared" si="730"/>
        <v>215482.15000000043</v>
      </c>
      <c r="Z484" s="494">
        <f t="shared" si="755"/>
        <v>6.25E-2</v>
      </c>
      <c r="AA484" s="285">
        <f t="shared" si="756"/>
        <v>1630.04</v>
      </c>
      <c r="AB484" s="285">
        <f t="shared" si="731"/>
        <v>507.74</v>
      </c>
      <c r="AC484" s="285">
        <f t="shared" si="757"/>
        <v>1122.3</v>
      </c>
      <c r="AD484" s="285">
        <f t="shared" ref="AD484:AE484" si="792">+AD483</f>
        <v>134.16999999999999</v>
      </c>
      <c r="AE484" s="285">
        <f t="shared" si="792"/>
        <v>188.55</v>
      </c>
      <c r="AF484" s="285">
        <f t="shared" si="733"/>
        <v>1952.76</v>
      </c>
      <c r="AG484" s="285">
        <f t="shared" si="734"/>
        <v>116218.9899999999</v>
      </c>
      <c r="AH484" s="285">
        <f t="shared" si="735"/>
        <v>572404.25000000047</v>
      </c>
      <c r="AI484" s="512">
        <f t="shared" si="723"/>
        <v>-108818.03999999989</v>
      </c>
      <c r="AJ484" s="512">
        <f t="shared" si="782"/>
        <v>-214974.41000000044</v>
      </c>
      <c r="AK484" s="512">
        <f t="shared" si="724"/>
        <v>-323792.4500000003</v>
      </c>
      <c r="AL484" s="285">
        <f t="shared" si="736"/>
        <v>214974.41000000044</v>
      </c>
      <c r="AM484" s="425">
        <f t="shared" si="763"/>
        <v>35</v>
      </c>
      <c r="AN484" s="14">
        <f t="shared" si="725"/>
        <v>0</v>
      </c>
      <c r="AO484" s="14">
        <f t="shared" si="694"/>
        <v>0</v>
      </c>
      <c r="AP484" s="14">
        <f t="shared" si="726"/>
        <v>0</v>
      </c>
      <c r="AS484" s="14">
        <f t="shared" si="759"/>
        <v>0</v>
      </c>
      <c r="AT484" s="14">
        <f t="shared" si="764"/>
        <v>0</v>
      </c>
      <c r="AU484" s="285">
        <f t="shared" si="765"/>
        <v>0</v>
      </c>
      <c r="AV484" s="285">
        <f t="shared" si="766"/>
        <v>0</v>
      </c>
    </row>
    <row r="485" spans="1:49" x14ac:dyDescent="0.25">
      <c r="A485" s="502" t="str">
        <f t="shared" si="712"/>
        <v xml:space="preserve"> </v>
      </c>
      <c r="B485" s="285">
        <f t="shared" si="706"/>
        <v>0</v>
      </c>
      <c r="C485" s="14">
        <f t="shared" si="753"/>
        <v>0</v>
      </c>
      <c r="D485" s="14">
        <f t="shared" si="767"/>
        <v>0</v>
      </c>
      <c r="E485" s="14">
        <f t="shared" si="754"/>
        <v>0</v>
      </c>
      <c r="F485" s="14">
        <f t="shared" si="713"/>
        <v>134.16999999999999</v>
      </c>
      <c r="G485" s="14">
        <f t="shared" si="709"/>
        <v>188.55</v>
      </c>
      <c r="H485" s="14">
        <f t="shared" si="710"/>
        <v>322.72000000000003</v>
      </c>
      <c r="I485" s="285">
        <f t="shared" si="714"/>
        <v>97532.849999999991</v>
      </c>
      <c r="J485" s="285">
        <f t="shared" si="715"/>
        <v>64871.789999999986</v>
      </c>
      <c r="K485" s="285">
        <f t="shared" si="716"/>
        <v>0</v>
      </c>
      <c r="L485" s="425">
        <f t="shared" si="696"/>
        <v>35</v>
      </c>
      <c r="M485" s="425">
        <f t="shared" si="760"/>
        <v>426</v>
      </c>
      <c r="N485" s="285">
        <f t="shared" si="789"/>
        <v>0</v>
      </c>
      <c r="O485" s="285">
        <f t="shared" si="728"/>
        <v>0</v>
      </c>
      <c r="P485" s="285">
        <f t="shared" si="768"/>
        <v>0</v>
      </c>
      <c r="Q485" s="285">
        <f t="shared" si="729"/>
        <v>0</v>
      </c>
      <c r="R485" s="285">
        <f t="shared" si="720"/>
        <v>134.16999999999999</v>
      </c>
      <c r="S485" s="285">
        <f t="shared" si="721"/>
        <v>188.55</v>
      </c>
      <c r="T485" s="285">
        <f t="shared" si="717"/>
        <v>322.72000000000003</v>
      </c>
      <c r="U485" s="285">
        <f t="shared" si="769"/>
        <v>261577.66000000012</v>
      </c>
      <c r="V485" s="285">
        <f t="shared" si="770"/>
        <v>318227.53999999998</v>
      </c>
      <c r="W485" s="285">
        <f t="shared" si="718"/>
        <v>0</v>
      </c>
      <c r="X485" s="502" t="str">
        <f t="shared" si="761"/>
        <v xml:space="preserve"> </v>
      </c>
      <c r="Y485" s="285">
        <f t="shared" si="730"/>
        <v>214974.41000000044</v>
      </c>
      <c r="Z485" s="494">
        <f t="shared" si="755"/>
        <v>6.25E-2</v>
      </c>
      <c r="AA485" s="285">
        <f t="shared" si="756"/>
        <v>1630.04</v>
      </c>
      <c r="AB485" s="285">
        <f t="shared" si="731"/>
        <v>510.37999999999988</v>
      </c>
      <c r="AC485" s="285">
        <f t="shared" si="757"/>
        <v>1119.6600000000001</v>
      </c>
      <c r="AD485" s="285">
        <f t="shared" ref="AD485:AE485" si="793">+AD484</f>
        <v>134.16999999999999</v>
      </c>
      <c r="AE485" s="285">
        <f t="shared" si="793"/>
        <v>188.55</v>
      </c>
      <c r="AF485" s="285">
        <f t="shared" si="733"/>
        <v>1952.76</v>
      </c>
      <c r="AG485" s="285">
        <f t="shared" si="734"/>
        <v>116729.36999999991</v>
      </c>
      <c r="AH485" s="285">
        <f t="shared" si="735"/>
        <v>573523.9100000005</v>
      </c>
      <c r="AI485" s="512">
        <f t="shared" si="723"/>
        <v>-110448.07999999989</v>
      </c>
      <c r="AJ485" s="512">
        <f t="shared" si="782"/>
        <v>-214464.03000000044</v>
      </c>
      <c r="AK485" s="512">
        <f t="shared" si="724"/>
        <v>-324912.11000000034</v>
      </c>
      <c r="AL485" s="285">
        <f t="shared" si="736"/>
        <v>214464.03000000044</v>
      </c>
      <c r="AM485" s="425">
        <f t="shared" si="763"/>
        <v>35</v>
      </c>
      <c r="AN485" s="14">
        <f t="shared" si="725"/>
        <v>0</v>
      </c>
      <c r="AO485" s="14">
        <f t="shared" si="694"/>
        <v>0</v>
      </c>
      <c r="AP485" s="14">
        <f t="shared" si="726"/>
        <v>0</v>
      </c>
      <c r="AS485" s="14">
        <f t="shared" si="759"/>
        <v>0</v>
      </c>
      <c r="AT485" s="14">
        <f t="shared" si="764"/>
        <v>0</v>
      </c>
      <c r="AU485" s="285">
        <f t="shared" si="765"/>
        <v>0</v>
      </c>
      <c r="AV485" s="285">
        <f t="shared" si="766"/>
        <v>0</v>
      </c>
    </row>
    <row r="486" spans="1:49" x14ac:dyDescent="0.25">
      <c r="A486" s="502" t="str">
        <f t="shared" si="712"/>
        <v xml:space="preserve"> </v>
      </c>
      <c r="B486" s="285">
        <f t="shared" si="706"/>
        <v>0</v>
      </c>
      <c r="C486" s="14">
        <f t="shared" si="753"/>
        <v>0</v>
      </c>
      <c r="D486" s="14">
        <f t="shared" si="767"/>
        <v>0</v>
      </c>
      <c r="E486" s="14">
        <f t="shared" si="754"/>
        <v>0</v>
      </c>
      <c r="F486" s="14">
        <f t="shared" si="713"/>
        <v>134.16999999999999</v>
      </c>
      <c r="G486" s="14">
        <f t="shared" si="709"/>
        <v>188.55</v>
      </c>
      <c r="H486" s="14">
        <f t="shared" si="710"/>
        <v>322.72000000000003</v>
      </c>
      <c r="I486" s="285">
        <f t="shared" si="714"/>
        <v>97532.849999999991</v>
      </c>
      <c r="J486" s="285">
        <f t="shared" si="715"/>
        <v>64871.789999999986</v>
      </c>
      <c r="K486" s="285">
        <f t="shared" si="716"/>
        <v>0</v>
      </c>
      <c r="L486" s="425">
        <f t="shared" si="696"/>
        <v>35</v>
      </c>
      <c r="M486" s="425">
        <f t="shared" si="760"/>
        <v>427</v>
      </c>
      <c r="N486" s="285">
        <f t="shared" si="789"/>
        <v>0</v>
      </c>
      <c r="O486" s="285">
        <f t="shared" si="728"/>
        <v>0</v>
      </c>
      <c r="P486" s="285">
        <f t="shared" si="768"/>
        <v>0</v>
      </c>
      <c r="Q486" s="285">
        <f t="shared" si="729"/>
        <v>0</v>
      </c>
      <c r="R486" s="285">
        <f t="shared" si="720"/>
        <v>134.16999999999999</v>
      </c>
      <c r="S486" s="285">
        <f t="shared" si="721"/>
        <v>188.55</v>
      </c>
      <c r="T486" s="285">
        <f t="shared" si="717"/>
        <v>322.72000000000003</v>
      </c>
      <c r="U486" s="285">
        <f t="shared" si="769"/>
        <v>261577.66000000012</v>
      </c>
      <c r="V486" s="285">
        <f t="shared" si="770"/>
        <v>318227.53999999998</v>
      </c>
      <c r="W486" s="285">
        <f t="shared" si="718"/>
        <v>0</v>
      </c>
      <c r="X486" s="502" t="str">
        <f t="shared" si="761"/>
        <v xml:space="preserve"> </v>
      </c>
      <c r="Y486" s="285">
        <f t="shared" si="730"/>
        <v>214464.03000000044</v>
      </c>
      <c r="Z486" s="494">
        <f t="shared" si="755"/>
        <v>6.25E-2</v>
      </c>
      <c r="AA486" s="285">
        <f t="shared" si="756"/>
        <v>1630.04</v>
      </c>
      <c r="AB486" s="285">
        <f t="shared" si="731"/>
        <v>513.04</v>
      </c>
      <c r="AC486" s="285">
        <f t="shared" si="757"/>
        <v>1117</v>
      </c>
      <c r="AD486" s="285">
        <f t="shared" ref="AD486:AE486" si="794">+AD485</f>
        <v>134.16999999999999</v>
      </c>
      <c r="AE486" s="285">
        <f t="shared" si="794"/>
        <v>188.55</v>
      </c>
      <c r="AF486" s="285">
        <f t="shared" si="733"/>
        <v>1952.76</v>
      </c>
      <c r="AG486" s="285">
        <f t="shared" si="734"/>
        <v>117242.4099999999</v>
      </c>
      <c r="AH486" s="285">
        <f t="shared" si="735"/>
        <v>574640.9100000005</v>
      </c>
      <c r="AI486" s="512">
        <f t="shared" si="723"/>
        <v>-112078.11999999988</v>
      </c>
      <c r="AJ486" s="512">
        <f t="shared" si="782"/>
        <v>-213950.99000000043</v>
      </c>
      <c r="AK486" s="512">
        <f t="shared" si="724"/>
        <v>-326029.11000000034</v>
      </c>
      <c r="AL486" s="285">
        <f t="shared" si="736"/>
        <v>213950.99000000043</v>
      </c>
      <c r="AM486" s="425">
        <f t="shared" si="763"/>
        <v>35</v>
      </c>
      <c r="AN486" s="14">
        <f t="shared" si="725"/>
        <v>0</v>
      </c>
      <c r="AO486" s="14">
        <f t="shared" si="694"/>
        <v>0</v>
      </c>
      <c r="AP486" s="14">
        <f t="shared" si="726"/>
        <v>0</v>
      </c>
      <c r="AS486" s="14">
        <f t="shared" si="759"/>
        <v>0</v>
      </c>
      <c r="AT486" s="14">
        <f t="shared" si="764"/>
        <v>0</v>
      </c>
      <c r="AU486" s="285">
        <f t="shared" si="765"/>
        <v>0</v>
      </c>
      <c r="AV486" s="285">
        <f t="shared" si="766"/>
        <v>0</v>
      </c>
    </row>
    <row r="487" spans="1:49" x14ac:dyDescent="0.25">
      <c r="A487" s="502" t="str">
        <f t="shared" si="712"/>
        <v xml:space="preserve"> </v>
      </c>
      <c r="B487" s="285">
        <f t="shared" si="706"/>
        <v>0</v>
      </c>
      <c r="C487" s="14">
        <f t="shared" si="753"/>
        <v>0</v>
      </c>
      <c r="D487" s="14">
        <f t="shared" si="767"/>
        <v>0</v>
      </c>
      <c r="E487" s="14">
        <f t="shared" si="754"/>
        <v>0</v>
      </c>
      <c r="F487" s="14">
        <f t="shared" si="713"/>
        <v>134.16999999999999</v>
      </c>
      <c r="G487" s="14">
        <f t="shared" si="709"/>
        <v>188.55</v>
      </c>
      <c r="H487" s="14">
        <f t="shared" si="710"/>
        <v>322.72000000000003</v>
      </c>
      <c r="I487" s="285">
        <f t="shared" si="714"/>
        <v>97532.849999999991</v>
      </c>
      <c r="J487" s="285">
        <f t="shared" si="715"/>
        <v>64871.789999999986</v>
      </c>
      <c r="K487" s="285">
        <f t="shared" si="716"/>
        <v>0</v>
      </c>
      <c r="L487" s="425">
        <f t="shared" si="696"/>
        <v>35</v>
      </c>
      <c r="M487" s="425">
        <f t="shared" si="760"/>
        <v>428</v>
      </c>
      <c r="N487" s="285">
        <f t="shared" si="789"/>
        <v>0</v>
      </c>
      <c r="O487" s="285">
        <f t="shared" si="728"/>
        <v>0</v>
      </c>
      <c r="P487" s="285">
        <f t="shared" si="768"/>
        <v>0</v>
      </c>
      <c r="Q487" s="285">
        <f t="shared" si="729"/>
        <v>0</v>
      </c>
      <c r="R487" s="285">
        <f t="shared" si="720"/>
        <v>134.16999999999999</v>
      </c>
      <c r="S487" s="285">
        <f t="shared" si="721"/>
        <v>188.55</v>
      </c>
      <c r="T487" s="285">
        <f t="shared" si="717"/>
        <v>322.72000000000003</v>
      </c>
      <c r="U487" s="285">
        <f t="shared" si="769"/>
        <v>261577.66000000012</v>
      </c>
      <c r="V487" s="285">
        <f t="shared" si="770"/>
        <v>318227.53999999998</v>
      </c>
      <c r="W487" s="285">
        <f t="shared" si="718"/>
        <v>0</v>
      </c>
      <c r="X487" s="502" t="str">
        <f t="shared" si="761"/>
        <v xml:space="preserve"> </v>
      </c>
      <c r="Y487" s="285">
        <f t="shared" si="730"/>
        <v>213950.99000000043</v>
      </c>
      <c r="Z487" s="494">
        <f t="shared" si="755"/>
        <v>6.25E-2</v>
      </c>
      <c r="AA487" s="285">
        <f t="shared" si="756"/>
        <v>1630.04</v>
      </c>
      <c r="AB487" s="285">
        <f t="shared" si="731"/>
        <v>515.71</v>
      </c>
      <c r="AC487" s="285">
        <f t="shared" si="757"/>
        <v>1114.33</v>
      </c>
      <c r="AD487" s="285">
        <f t="shared" ref="AD487:AE487" si="795">+AD486</f>
        <v>134.16999999999999</v>
      </c>
      <c r="AE487" s="285">
        <f t="shared" si="795"/>
        <v>188.55</v>
      </c>
      <c r="AF487" s="285">
        <f t="shared" si="733"/>
        <v>1952.76</v>
      </c>
      <c r="AG487" s="285">
        <f t="shared" si="734"/>
        <v>117758.11999999991</v>
      </c>
      <c r="AH487" s="285">
        <f t="shared" si="735"/>
        <v>575755.24000000046</v>
      </c>
      <c r="AI487" s="512">
        <f t="shared" si="723"/>
        <v>-113708.15999999987</v>
      </c>
      <c r="AJ487" s="512">
        <f t="shared" si="782"/>
        <v>-213435.28000000044</v>
      </c>
      <c r="AK487" s="512">
        <f t="shared" si="724"/>
        <v>-327143.44000000029</v>
      </c>
      <c r="AL487" s="285">
        <f t="shared" si="736"/>
        <v>213435.28000000044</v>
      </c>
      <c r="AM487" s="425">
        <f t="shared" si="763"/>
        <v>35</v>
      </c>
      <c r="AN487" s="14">
        <f t="shared" si="725"/>
        <v>0</v>
      </c>
      <c r="AO487" s="14">
        <f t="shared" si="694"/>
        <v>0</v>
      </c>
      <c r="AP487" s="14">
        <f t="shared" si="726"/>
        <v>0</v>
      </c>
      <c r="AS487" s="14">
        <f t="shared" si="759"/>
        <v>0</v>
      </c>
      <c r="AT487" s="14">
        <f t="shared" si="764"/>
        <v>0</v>
      </c>
      <c r="AU487" s="285">
        <f t="shared" si="765"/>
        <v>0</v>
      </c>
      <c r="AV487" s="285">
        <f t="shared" si="766"/>
        <v>0</v>
      </c>
    </row>
    <row r="488" spans="1:49" x14ac:dyDescent="0.25">
      <c r="A488" s="502" t="str">
        <f t="shared" si="712"/>
        <v xml:space="preserve"> </v>
      </c>
      <c r="B488" s="285">
        <f t="shared" si="706"/>
        <v>0</v>
      </c>
      <c r="C488" s="14">
        <f t="shared" si="753"/>
        <v>0</v>
      </c>
      <c r="D488" s="14">
        <f t="shared" si="767"/>
        <v>0</v>
      </c>
      <c r="E488" s="14">
        <f t="shared" si="754"/>
        <v>0</v>
      </c>
      <c r="F488" s="14">
        <f t="shared" si="713"/>
        <v>134.16999999999999</v>
      </c>
      <c r="G488" s="14">
        <f t="shared" si="709"/>
        <v>188.55</v>
      </c>
      <c r="H488" s="14">
        <f t="shared" si="710"/>
        <v>322.72000000000003</v>
      </c>
      <c r="I488" s="285">
        <f t="shared" si="714"/>
        <v>97532.849999999991</v>
      </c>
      <c r="J488" s="285">
        <f t="shared" si="715"/>
        <v>64871.789999999986</v>
      </c>
      <c r="K488" s="285">
        <f t="shared" si="716"/>
        <v>0</v>
      </c>
      <c r="L488" s="425">
        <f t="shared" si="696"/>
        <v>35</v>
      </c>
      <c r="M488" s="425">
        <f t="shared" si="760"/>
        <v>429</v>
      </c>
      <c r="N488" s="285">
        <f t="shared" si="789"/>
        <v>0</v>
      </c>
      <c r="O488" s="285">
        <f t="shared" si="728"/>
        <v>0</v>
      </c>
      <c r="P488" s="285">
        <f t="shared" si="768"/>
        <v>0</v>
      </c>
      <c r="Q488" s="285">
        <f t="shared" si="729"/>
        <v>0</v>
      </c>
      <c r="R488" s="285">
        <f t="shared" si="720"/>
        <v>134.16999999999999</v>
      </c>
      <c r="S488" s="285">
        <f t="shared" si="721"/>
        <v>188.55</v>
      </c>
      <c r="T488" s="285">
        <f t="shared" si="717"/>
        <v>322.72000000000003</v>
      </c>
      <c r="U488" s="285">
        <f t="shared" si="769"/>
        <v>261577.66000000012</v>
      </c>
      <c r="V488" s="285">
        <f t="shared" si="770"/>
        <v>318227.53999999998</v>
      </c>
      <c r="W488" s="285">
        <f t="shared" si="718"/>
        <v>0</v>
      </c>
      <c r="X488" s="502" t="str">
        <f t="shared" si="761"/>
        <v xml:space="preserve"> </v>
      </c>
      <c r="Y488" s="285">
        <f t="shared" si="730"/>
        <v>213435.28000000044</v>
      </c>
      <c r="Z488" s="494">
        <f t="shared" si="755"/>
        <v>6.25E-2</v>
      </c>
      <c r="AA488" s="285">
        <f t="shared" si="756"/>
        <v>1630.04</v>
      </c>
      <c r="AB488" s="285">
        <f t="shared" si="731"/>
        <v>518.39999999999986</v>
      </c>
      <c r="AC488" s="285">
        <f t="shared" si="757"/>
        <v>1111.6400000000001</v>
      </c>
      <c r="AD488" s="285">
        <f t="shared" ref="AD488:AE488" si="796">+AD487</f>
        <v>134.16999999999999</v>
      </c>
      <c r="AE488" s="285">
        <f t="shared" si="796"/>
        <v>188.55</v>
      </c>
      <c r="AF488" s="285">
        <f t="shared" si="733"/>
        <v>1952.76</v>
      </c>
      <c r="AG488" s="285">
        <f t="shared" si="734"/>
        <v>118276.5199999999</v>
      </c>
      <c r="AH488" s="285">
        <f t="shared" si="735"/>
        <v>576866.88000000047</v>
      </c>
      <c r="AI488" s="512">
        <f t="shared" si="723"/>
        <v>-115338.19999999987</v>
      </c>
      <c r="AJ488" s="512">
        <f t="shared" si="782"/>
        <v>-212916.88000000044</v>
      </c>
      <c r="AK488" s="512">
        <f t="shared" si="724"/>
        <v>-328255.08000000031</v>
      </c>
      <c r="AL488" s="285">
        <f t="shared" si="736"/>
        <v>212916.88000000044</v>
      </c>
      <c r="AM488" s="425">
        <f t="shared" si="763"/>
        <v>35</v>
      </c>
      <c r="AN488" s="14">
        <f t="shared" si="725"/>
        <v>0</v>
      </c>
      <c r="AO488" s="14">
        <f t="shared" si="694"/>
        <v>0</v>
      </c>
      <c r="AP488" s="14">
        <f t="shared" si="726"/>
        <v>0</v>
      </c>
      <c r="AS488" s="14">
        <f t="shared" si="759"/>
        <v>0</v>
      </c>
      <c r="AT488" s="14">
        <f t="shared" si="764"/>
        <v>0</v>
      </c>
      <c r="AU488" s="285">
        <f t="shared" si="765"/>
        <v>0</v>
      </c>
      <c r="AV488" s="285">
        <f t="shared" si="766"/>
        <v>0</v>
      </c>
    </row>
    <row r="489" spans="1:49" x14ac:dyDescent="0.25">
      <c r="A489" s="502" t="str">
        <f t="shared" si="712"/>
        <v xml:space="preserve"> </v>
      </c>
      <c r="B489" s="285">
        <f t="shared" si="706"/>
        <v>0</v>
      </c>
      <c r="C489" s="14">
        <f t="shared" si="753"/>
        <v>0</v>
      </c>
      <c r="D489" s="14">
        <f t="shared" si="767"/>
        <v>0</v>
      </c>
      <c r="E489" s="14">
        <f t="shared" si="754"/>
        <v>0</v>
      </c>
      <c r="F489" s="14">
        <f t="shared" si="713"/>
        <v>134.16999999999999</v>
      </c>
      <c r="G489" s="14">
        <f t="shared" si="709"/>
        <v>188.55</v>
      </c>
      <c r="H489" s="14">
        <f t="shared" si="710"/>
        <v>322.72000000000003</v>
      </c>
      <c r="I489" s="285">
        <f t="shared" si="714"/>
        <v>97532.849999999991</v>
      </c>
      <c r="J489" s="285">
        <f t="shared" si="715"/>
        <v>64871.789999999986</v>
      </c>
      <c r="K489" s="285">
        <f t="shared" si="716"/>
        <v>0</v>
      </c>
      <c r="L489" s="425">
        <f t="shared" si="696"/>
        <v>35</v>
      </c>
      <c r="M489" s="425">
        <f t="shared" si="760"/>
        <v>430</v>
      </c>
      <c r="N489" s="285">
        <f t="shared" si="789"/>
        <v>0</v>
      </c>
      <c r="O489" s="285">
        <f t="shared" si="728"/>
        <v>0</v>
      </c>
      <c r="P489" s="285">
        <f t="shared" si="768"/>
        <v>0</v>
      </c>
      <c r="Q489" s="285">
        <f t="shared" si="729"/>
        <v>0</v>
      </c>
      <c r="R489" s="285">
        <f t="shared" si="720"/>
        <v>134.16999999999999</v>
      </c>
      <c r="S489" s="285">
        <f t="shared" si="721"/>
        <v>188.55</v>
      </c>
      <c r="T489" s="285">
        <f t="shared" si="717"/>
        <v>322.72000000000003</v>
      </c>
      <c r="U489" s="285">
        <f t="shared" si="769"/>
        <v>261577.66000000012</v>
      </c>
      <c r="V489" s="285">
        <f t="shared" si="770"/>
        <v>318227.53999999998</v>
      </c>
      <c r="W489" s="285">
        <f t="shared" si="718"/>
        <v>0</v>
      </c>
      <c r="X489" s="502" t="str">
        <f t="shared" si="761"/>
        <v xml:space="preserve"> </v>
      </c>
      <c r="Y489" s="285">
        <f t="shared" si="730"/>
        <v>212916.88000000044</v>
      </c>
      <c r="Z489" s="494">
        <f t="shared" si="755"/>
        <v>6.25E-2</v>
      </c>
      <c r="AA489" s="285">
        <f t="shared" si="756"/>
        <v>1630.04</v>
      </c>
      <c r="AB489" s="285">
        <f t="shared" si="731"/>
        <v>521.09999999999991</v>
      </c>
      <c r="AC489" s="285">
        <f t="shared" si="757"/>
        <v>1108.94</v>
      </c>
      <c r="AD489" s="285">
        <f t="shared" ref="AD489:AE489" si="797">+AD488</f>
        <v>134.16999999999999</v>
      </c>
      <c r="AE489" s="285">
        <f t="shared" si="797"/>
        <v>188.55</v>
      </c>
      <c r="AF489" s="285">
        <f t="shared" si="733"/>
        <v>1952.76</v>
      </c>
      <c r="AG489" s="285">
        <f t="shared" si="734"/>
        <v>118797.61999999991</v>
      </c>
      <c r="AH489" s="285">
        <f t="shared" si="735"/>
        <v>577975.82000000041</v>
      </c>
      <c r="AI489" s="512">
        <f t="shared" si="723"/>
        <v>-116968.23999999986</v>
      </c>
      <c r="AJ489" s="512">
        <f t="shared" si="782"/>
        <v>-212395.78000000044</v>
      </c>
      <c r="AK489" s="512">
        <f t="shared" si="724"/>
        <v>-329364.02000000031</v>
      </c>
      <c r="AL489" s="285">
        <f t="shared" si="736"/>
        <v>212395.78000000044</v>
      </c>
      <c r="AM489" s="425">
        <f t="shared" si="763"/>
        <v>35</v>
      </c>
      <c r="AN489" s="14">
        <f t="shared" si="725"/>
        <v>0</v>
      </c>
      <c r="AO489" s="14">
        <f t="shared" si="694"/>
        <v>0</v>
      </c>
      <c r="AP489" s="14">
        <f t="shared" si="726"/>
        <v>0</v>
      </c>
      <c r="AS489" s="14">
        <f t="shared" si="759"/>
        <v>0</v>
      </c>
      <c r="AT489" s="14">
        <f t="shared" si="764"/>
        <v>0</v>
      </c>
      <c r="AU489" s="285">
        <f t="shared" si="765"/>
        <v>0</v>
      </c>
      <c r="AV489" s="285">
        <f t="shared" si="766"/>
        <v>0</v>
      </c>
    </row>
    <row r="490" spans="1:49" x14ac:dyDescent="0.25">
      <c r="A490" s="502" t="str">
        <f t="shared" si="712"/>
        <v xml:space="preserve"> </v>
      </c>
      <c r="B490" s="285">
        <f t="shared" si="706"/>
        <v>0</v>
      </c>
      <c r="C490" s="14">
        <f t="shared" si="753"/>
        <v>0</v>
      </c>
      <c r="D490" s="14">
        <f t="shared" si="767"/>
        <v>0</v>
      </c>
      <c r="E490" s="14">
        <f t="shared" si="754"/>
        <v>0</v>
      </c>
      <c r="F490" s="14">
        <f t="shared" si="713"/>
        <v>134.16999999999999</v>
      </c>
      <c r="G490" s="14">
        <f t="shared" si="709"/>
        <v>188.55</v>
      </c>
      <c r="H490" s="14">
        <f t="shared" si="710"/>
        <v>322.72000000000003</v>
      </c>
      <c r="I490" s="285">
        <f t="shared" si="714"/>
        <v>97532.849999999991</v>
      </c>
      <c r="J490" s="285">
        <f t="shared" si="715"/>
        <v>64871.789999999986</v>
      </c>
      <c r="K490" s="285">
        <f t="shared" si="716"/>
        <v>0</v>
      </c>
      <c r="L490" s="425">
        <f t="shared" si="696"/>
        <v>35</v>
      </c>
      <c r="M490" s="425">
        <f t="shared" si="760"/>
        <v>431</v>
      </c>
      <c r="N490" s="285">
        <f t="shared" si="789"/>
        <v>0</v>
      </c>
      <c r="O490" s="285">
        <f t="shared" si="728"/>
        <v>0</v>
      </c>
      <c r="P490" s="285">
        <f t="shared" si="768"/>
        <v>0</v>
      </c>
      <c r="Q490" s="285">
        <f t="shared" si="729"/>
        <v>0</v>
      </c>
      <c r="R490" s="285">
        <f t="shared" si="720"/>
        <v>134.16999999999999</v>
      </c>
      <c r="S490" s="285">
        <f t="shared" si="721"/>
        <v>188.55</v>
      </c>
      <c r="T490" s="285">
        <f t="shared" si="717"/>
        <v>322.72000000000003</v>
      </c>
      <c r="U490" s="285">
        <f t="shared" si="769"/>
        <v>261577.66000000012</v>
      </c>
      <c r="V490" s="285">
        <f t="shared" si="770"/>
        <v>318227.53999999998</v>
      </c>
      <c r="W490" s="285">
        <f t="shared" si="718"/>
        <v>0</v>
      </c>
      <c r="X490" s="502" t="str">
        <f t="shared" si="761"/>
        <v xml:space="preserve"> </v>
      </c>
      <c r="Y490" s="285">
        <f t="shared" si="730"/>
        <v>212395.78000000044</v>
      </c>
      <c r="Z490" s="494">
        <f t="shared" si="755"/>
        <v>6.25E-2</v>
      </c>
      <c r="AA490" s="285">
        <f t="shared" si="756"/>
        <v>1630.04</v>
      </c>
      <c r="AB490" s="285">
        <f t="shared" si="731"/>
        <v>523.80999999999995</v>
      </c>
      <c r="AC490" s="285">
        <f t="shared" si="757"/>
        <v>1106.23</v>
      </c>
      <c r="AD490" s="285">
        <f t="shared" ref="AD490:AE490" si="798">+AD489</f>
        <v>134.16999999999999</v>
      </c>
      <c r="AE490" s="285">
        <f t="shared" si="798"/>
        <v>188.55</v>
      </c>
      <c r="AF490" s="285">
        <f t="shared" si="733"/>
        <v>1952.76</v>
      </c>
      <c r="AG490" s="285">
        <f t="shared" si="734"/>
        <v>119321.42999999991</v>
      </c>
      <c r="AH490" s="285">
        <f t="shared" si="735"/>
        <v>579082.0500000004</v>
      </c>
      <c r="AI490" s="512">
        <f t="shared" si="723"/>
        <v>-118598.27999999985</v>
      </c>
      <c r="AJ490" s="512">
        <f t="shared" si="782"/>
        <v>-211871.97000000044</v>
      </c>
      <c r="AK490" s="512">
        <f t="shared" si="724"/>
        <v>-330470.25000000029</v>
      </c>
      <c r="AL490" s="285">
        <f t="shared" si="736"/>
        <v>211871.97000000044</v>
      </c>
      <c r="AM490" s="425">
        <f t="shared" si="763"/>
        <v>35</v>
      </c>
      <c r="AN490" s="14">
        <f t="shared" si="725"/>
        <v>0</v>
      </c>
      <c r="AO490" s="14">
        <f t="shared" si="694"/>
        <v>0</v>
      </c>
      <c r="AP490" s="14">
        <f t="shared" si="726"/>
        <v>0</v>
      </c>
      <c r="AS490" s="14">
        <f t="shared" si="759"/>
        <v>0</v>
      </c>
      <c r="AT490" s="14">
        <f t="shared" si="764"/>
        <v>0</v>
      </c>
      <c r="AU490" s="285">
        <f t="shared" si="765"/>
        <v>0</v>
      </c>
      <c r="AV490" s="285">
        <f t="shared" si="766"/>
        <v>0</v>
      </c>
    </row>
    <row r="491" spans="1:49" x14ac:dyDescent="0.25">
      <c r="A491" s="502"/>
      <c r="L491" s="425">
        <f t="shared" si="696"/>
        <v>0</v>
      </c>
      <c r="M491" s="425"/>
      <c r="X491" s="502">
        <f t="shared" si="761"/>
        <v>0</v>
      </c>
      <c r="Y491" s="285">
        <f t="shared" si="730"/>
        <v>211871.97000000044</v>
      </c>
      <c r="Z491" s="494">
        <f t="shared" si="755"/>
        <v>3.7499999999999999E-2</v>
      </c>
      <c r="AA491" s="14">
        <f t="shared" si="756"/>
        <v>0</v>
      </c>
      <c r="AB491" s="14">
        <f t="shared" si="731"/>
        <v>0</v>
      </c>
      <c r="AC491" s="14">
        <f t="shared" si="757"/>
        <v>0</v>
      </c>
      <c r="AD491" s="14">
        <f t="shared" ref="AD491:AE491" si="799">+AD490</f>
        <v>134.16999999999999</v>
      </c>
      <c r="AE491" s="14">
        <f t="shared" si="799"/>
        <v>188.55</v>
      </c>
      <c r="AF491" s="14">
        <f t="shared" si="733"/>
        <v>322.72000000000003</v>
      </c>
      <c r="AG491" s="285">
        <f t="shared" si="734"/>
        <v>119321.42999999991</v>
      </c>
      <c r="AH491" s="285">
        <f t="shared" si="735"/>
        <v>579082.0500000004</v>
      </c>
      <c r="AI491" s="512">
        <f t="shared" si="723"/>
        <v>-118598.27999999985</v>
      </c>
      <c r="AJ491" s="512">
        <f t="shared" si="782"/>
        <v>-211871.97000000044</v>
      </c>
      <c r="AK491" s="512">
        <f t="shared" si="724"/>
        <v>-330470.25000000029</v>
      </c>
      <c r="AL491" s="285">
        <f t="shared" si="736"/>
        <v>211871.97000000044</v>
      </c>
      <c r="AM491" s="425">
        <f t="shared" si="763"/>
        <v>0</v>
      </c>
    </row>
    <row r="492" spans="1:49" x14ac:dyDescent="0.25">
      <c r="A492" s="502"/>
      <c r="L492" s="425">
        <f t="shared" si="696"/>
        <v>0</v>
      </c>
      <c r="M492" s="425"/>
      <c r="X492" s="502">
        <f t="shared" si="761"/>
        <v>0</v>
      </c>
      <c r="Y492" s="285">
        <f t="shared" si="730"/>
        <v>211871.97000000044</v>
      </c>
      <c r="Z492" s="494">
        <f t="shared" si="755"/>
        <v>3.7499999999999999E-2</v>
      </c>
      <c r="AA492" s="14">
        <f t="shared" si="756"/>
        <v>0</v>
      </c>
      <c r="AB492" s="14">
        <f t="shared" si="731"/>
        <v>0</v>
      </c>
      <c r="AC492" s="14">
        <f t="shared" si="757"/>
        <v>0</v>
      </c>
      <c r="AD492" s="14">
        <f t="shared" ref="AD492:AE492" si="800">+AD491</f>
        <v>134.16999999999999</v>
      </c>
      <c r="AE492" s="14">
        <f t="shared" si="800"/>
        <v>188.55</v>
      </c>
      <c r="AF492" s="14">
        <f t="shared" si="733"/>
        <v>322.72000000000003</v>
      </c>
      <c r="AG492" s="285">
        <f t="shared" si="734"/>
        <v>119321.42999999991</v>
      </c>
      <c r="AH492" s="285">
        <f t="shared" si="735"/>
        <v>579082.0500000004</v>
      </c>
      <c r="AI492" s="512">
        <f t="shared" si="723"/>
        <v>-118598.27999999985</v>
      </c>
      <c r="AJ492" s="512">
        <f t="shared" si="782"/>
        <v>-211871.97000000044</v>
      </c>
      <c r="AK492" s="512">
        <f t="shared" si="724"/>
        <v>-330470.25000000029</v>
      </c>
      <c r="AL492" s="285">
        <f t="shared" si="736"/>
        <v>211871.97000000044</v>
      </c>
      <c r="AM492" s="425">
        <f t="shared" si="763"/>
        <v>0</v>
      </c>
    </row>
    <row r="493" spans="1:49" x14ac:dyDescent="0.25">
      <c r="A493" s="502"/>
      <c r="L493" s="425">
        <f t="shared" si="696"/>
        <v>0</v>
      </c>
      <c r="M493" s="425"/>
      <c r="X493" s="502">
        <f t="shared" si="761"/>
        <v>0</v>
      </c>
      <c r="Y493" s="285">
        <f t="shared" si="730"/>
        <v>211871.97000000044</v>
      </c>
      <c r="Z493" s="494">
        <f t="shared" si="755"/>
        <v>3.7499999999999999E-2</v>
      </c>
      <c r="AA493" s="14">
        <f t="shared" si="756"/>
        <v>0</v>
      </c>
      <c r="AB493" s="14">
        <f t="shared" si="731"/>
        <v>0</v>
      </c>
      <c r="AC493" s="14">
        <f t="shared" si="757"/>
        <v>0</v>
      </c>
      <c r="AD493" s="14">
        <f t="shared" ref="AD493:AE493" si="801">+AD492</f>
        <v>134.16999999999999</v>
      </c>
      <c r="AE493" s="14">
        <f t="shared" si="801"/>
        <v>188.55</v>
      </c>
      <c r="AF493" s="14">
        <f t="shared" si="733"/>
        <v>322.72000000000003</v>
      </c>
      <c r="AG493" s="285">
        <f t="shared" si="734"/>
        <v>119321.42999999991</v>
      </c>
      <c r="AH493" s="285">
        <f t="shared" si="735"/>
        <v>579082.0500000004</v>
      </c>
      <c r="AI493" s="512">
        <f t="shared" si="723"/>
        <v>-118598.27999999985</v>
      </c>
      <c r="AJ493" s="512">
        <f t="shared" si="782"/>
        <v>-211871.97000000044</v>
      </c>
      <c r="AK493" s="512">
        <f t="shared" si="724"/>
        <v>-330470.25000000029</v>
      </c>
      <c r="AL493" s="285">
        <f t="shared" si="736"/>
        <v>211871.97000000044</v>
      </c>
      <c r="AM493" s="425">
        <f t="shared" si="763"/>
        <v>0</v>
      </c>
    </row>
    <row r="494" spans="1:49" ht="15.75" thickBot="1" x14ac:dyDescent="0.3">
      <c r="A494" s="505"/>
      <c r="B494" s="345"/>
      <c r="C494" s="21"/>
      <c r="D494" s="21"/>
      <c r="E494" s="21"/>
      <c r="F494" s="21"/>
      <c r="G494" s="21"/>
      <c r="H494" s="21"/>
      <c r="I494" s="345"/>
      <c r="J494" s="345"/>
      <c r="K494" s="345"/>
      <c r="L494" s="426">
        <f t="shared" si="696"/>
        <v>0</v>
      </c>
      <c r="M494" s="426"/>
      <c r="N494" s="345"/>
      <c r="U494" s="345"/>
      <c r="V494" s="345"/>
      <c r="W494" s="345"/>
      <c r="X494" s="505">
        <f t="shared" si="761"/>
        <v>0</v>
      </c>
      <c r="Y494" s="285">
        <f t="shared" si="730"/>
        <v>211871.97000000044</v>
      </c>
      <c r="Z494" s="494">
        <f t="shared" si="755"/>
        <v>3.7499999999999999E-2</v>
      </c>
      <c r="AA494" s="14">
        <f t="shared" si="756"/>
        <v>0</v>
      </c>
      <c r="AB494" s="14">
        <f t="shared" si="731"/>
        <v>0</v>
      </c>
      <c r="AC494" s="14">
        <f t="shared" si="757"/>
        <v>0</v>
      </c>
      <c r="AD494" s="14">
        <f t="shared" ref="AD494:AE494" si="802">+AD493</f>
        <v>134.16999999999999</v>
      </c>
      <c r="AE494" s="14">
        <f t="shared" si="802"/>
        <v>188.55</v>
      </c>
      <c r="AF494" s="14">
        <f t="shared" si="733"/>
        <v>322.72000000000003</v>
      </c>
      <c r="AG494" s="285">
        <f t="shared" si="734"/>
        <v>119321.42999999991</v>
      </c>
      <c r="AH494" s="285">
        <f t="shared" si="735"/>
        <v>579082.0500000004</v>
      </c>
      <c r="AI494" s="512">
        <f t="shared" si="723"/>
        <v>-118598.27999999985</v>
      </c>
      <c r="AJ494" s="512">
        <f t="shared" si="782"/>
        <v>-211871.97000000044</v>
      </c>
      <c r="AK494" s="512">
        <f t="shared" si="724"/>
        <v>-330470.25000000029</v>
      </c>
      <c r="AL494" s="285">
        <f t="shared" si="736"/>
        <v>211871.97000000044</v>
      </c>
      <c r="AM494" s="426">
        <f t="shared" si="763"/>
        <v>0</v>
      </c>
      <c r="AN494" s="21"/>
      <c r="AO494" s="21"/>
      <c r="AP494" s="21"/>
      <c r="AQ494" s="21"/>
      <c r="AR494" s="23"/>
      <c r="AS494" s="21"/>
      <c r="AT494" s="21"/>
      <c r="AU494" s="345"/>
      <c r="AV494" s="345"/>
      <c r="AW494" s="21"/>
    </row>
    <row r="495" spans="1:49" x14ac:dyDescent="0.25">
      <c r="A495" s="502"/>
      <c r="L495" s="425">
        <f t="shared" ref="L495:L558" si="803">IF(MOD(M495,12)=0,M495/12,L494)</f>
        <v>0</v>
      </c>
      <c r="M495" s="425"/>
      <c r="X495" s="502">
        <f t="shared" si="761"/>
        <v>0</v>
      </c>
      <c r="Y495" s="285">
        <f t="shared" si="730"/>
        <v>211871.97000000044</v>
      </c>
      <c r="Z495" s="494">
        <f t="shared" si="755"/>
        <v>3.7499999999999999E-2</v>
      </c>
      <c r="AA495" s="14">
        <f t="shared" si="756"/>
        <v>0</v>
      </c>
      <c r="AB495" s="14">
        <f t="shared" si="731"/>
        <v>0</v>
      </c>
      <c r="AC495" s="14">
        <f t="shared" si="757"/>
        <v>0</v>
      </c>
      <c r="AD495" s="14">
        <f t="shared" ref="AD495:AE495" si="804">+AD494</f>
        <v>134.16999999999999</v>
      </c>
      <c r="AE495" s="14">
        <f t="shared" si="804"/>
        <v>188.55</v>
      </c>
      <c r="AF495" s="14">
        <f t="shared" si="733"/>
        <v>322.72000000000003</v>
      </c>
      <c r="AG495" s="285">
        <f t="shared" si="734"/>
        <v>119321.42999999991</v>
      </c>
      <c r="AH495" s="285">
        <f t="shared" si="735"/>
        <v>579082.0500000004</v>
      </c>
      <c r="AI495" s="512">
        <f t="shared" si="723"/>
        <v>-118598.27999999985</v>
      </c>
      <c r="AJ495" s="512">
        <f t="shared" si="782"/>
        <v>-211871.97000000044</v>
      </c>
      <c r="AK495" s="512">
        <f t="shared" si="724"/>
        <v>-330470.25000000029</v>
      </c>
      <c r="AL495" s="285">
        <f t="shared" si="736"/>
        <v>211871.97000000044</v>
      </c>
      <c r="AM495" s="425">
        <f t="shared" si="763"/>
        <v>0</v>
      </c>
    </row>
    <row r="496" spans="1:49" x14ac:dyDescent="0.25">
      <c r="A496" s="502"/>
      <c r="L496" s="425">
        <f t="shared" si="803"/>
        <v>0</v>
      </c>
      <c r="M496" s="425"/>
      <c r="X496" s="502">
        <f t="shared" si="761"/>
        <v>0</v>
      </c>
      <c r="Y496" s="285">
        <f t="shared" si="730"/>
        <v>211871.97000000044</v>
      </c>
      <c r="Z496" s="494">
        <f t="shared" si="755"/>
        <v>3.7499999999999999E-2</v>
      </c>
      <c r="AA496" s="14">
        <f t="shared" si="756"/>
        <v>0</v>
      </c>
      <c r="AB496" s="14">
        <f t="shared" si="731"/>
        <v>0</v>
      </c>
      <c r="AC496" s="14">
        <f t="shared" si="757"/>
        <v>0</v>
      </c>
      <c r="AD496" s="14">
        <f t="shared" ref="AD496:AE496" si="805">+AD495</f>
        <v>134.16999999999999</v>
      </c>
      <c r="AE496" s="14">
        <f t="shared" si="805"/>
        <v>188.55</v>
      </c>
      <c r="AF496" s="14">
        <f t="shared" si="733"/>
        <v>322.72000000000003</v>
      </c>
      <c r="AG496" s="285">
        <f t="shared" si="734"/>
        <v>119321.42999999991</v>
      </c>
      <c r="AH496" s="285">
        <f t="shared" si="735"/>
        <v>579082.0500000004</v>
      </c>
      <c r="AI496" s="512">
        <f t="shared" si="723"/>
        <v>-118598.27999999985</v>
      </c>
      <c r="AJ496" s="512">
        <f t="shared" si="782"/>
        <v>-211871.97000000044</v>
      </c>
      <c r="AK496" s="512">
        <f t="shared" si="724"/>
        <v>-330470.25000000029</v>
      </c>
      <c r="AL496" s="285">
        <f t="shared" si="736"/>
        <v>211871.97000000044</v>
      </c>
      <c r="AM496" s="425">
        <f t="shared" si="763"/>
        <v>0</v>
      </c>
    </row>
    <row r="497" spans="1:49" x14ac:dyDescent="0.25">
      <c r="A497" s="502"/>
      <c r="L497" s="425">
        <f t="shared" si="803"/>
        <v>0</v>
      </c>
      <c r="M497" s="425"/>
      <c r="X497" s="502">
        <f t="shared" si="761"/>
        <v>0</v>
      </c>
      <c r="Y497" s="285">
        <f t="shared" si="730"/>
        <v>211871.97000000044</v>
      </c>
      <c r="Z497" s="494">
        <f t="shared" si="755"/>
        <v>3.7499999999999999E-2</v>
      </c>
      <c r="AA497" s="14">
        <f t="shared" si="756"/>
        <v>0</v>
      </c>
      <c r="AB497" s="14">
        <f t="shared" si="731"/>
        <v>0</v>
      </c>
      <c r="AC497" s="14">
        <f t="shared" si="757"/>
        <v>0</v>
      </c>
      <c r="AD497" s="14">
        <f t="shared" ref="AD497:AE497" si="806">+AD496</f>
        <v>134.16999999999999</v>
      </c>
      <c r="AE497" s="14">
        <f t="shared" si="806"/>
        <v>188.55</v>
      </c>
      <c r="AF497" s="14">
        <f t="shared" si="733"/>
        <v>322.72000000000003</v>
      </c>
      <c r="AG497" s="285">
        <f t="shared" si="734"/>
        <v>119321.42999999991</v>
      </c>
      <c r="AH497" s="285">
        <f t="shared" si="735"/>
        <v>579082.0500000004</v>
      </c>
      <c r="AI497" s="512">
        <f t="shared" si="723"/>
        <v>-118598.27999999985</v>
      </c>
      <c r="AJ497" s="512">
        <f t="shared" si="782"/>
        <v>-211871.97000000044</v>
      </c>
      <c r="AK497" s="512">
        <f t="shared" si="724"/>
        <v>-330470.25000000029</v>
      </c>
      <c r="AL497" s="285">
        <f t="shared" si="736"/>
        <v>211871.97000000044</v>
      </c>
      <c r="AM497" s="425">
        <f t="shared" si="763"/>
        <v>0</v>
      </c>
    </row>
    <row r="498" spans="1:49" x14ac:dyDescent="0.25">
      <c r="A498" s="502"/>
      <c r="L498" s="425">
        <f t="shared" si="803"/>
        <v>0</v>
      </c>
      <c r="M498" s="425"/>
      <c r="X498" s="502">
        <f t="shared" si="761"/>
        <v>0</v>
      </c>
      <c r="Y498" s="285">
        <f t="shared" si="730"/>
        <v>211871.97000000044</v>
      </c>
      <c r="Z498" s="494">
        <f t="shared" si="755"/>
        <v>3.7499999999999999E-2</v>
      </c>
      <c r="AA498" s="14">
        <f t="shared" si="756"/>
        <v>0</v>
      </c>
      <c r="AB498" s="14">
        <f t="shared" si="731"/>
        <v>0</v>
      </c>
      <c r="AC498" s="14">
        <f t="shared" si="757"/>
        <v>0</v>
      </c>
      <c r="AD498" s="14">
        <f t="shared" ref="AD498:AE498" si="807">+AD497</f>
        <v>134.16999999999999</v>
      </c>
      <c r="AE498" s="14">
        <f t="shared" si="807"/>
        <v>188.55</v>
      </c>
      <c r="AF498" s="14">
        <f t="shared" si="733"/>
        <v>322.72000000000003</v>
      </c>
      <c r="AG498" s="285">
        <f t="shared" si="734"/>
        <v>119321.42999999991</v>
      </c>
      <c r="AH498" s="285">
        <f t="shared" si="735"/>
        <v>579082.0500000004</v>
      </c>
      <c r="AI498" s="512">
        <f t="shared" si="723"/>
        <v>-118598.27999999985</v>
      </c>
      <c r="AJ498" s="512">
        <f t="shared" si="782"/>
        <v>-211871.97000000044</v>
      </c>
      <c r="AK498" s="512">
        <f t="shared" si="724"/>
        <v>-330470.25000000029</v>
      </c>
      <c r="AL498" s="285">
        <f t="shared" si="736"/>
        <v>211871.97000000044</v>
      </c>
      <c r="AM498" s="425">
        <f t="shared" si="763"/>
        <v>0</v>
      </c>
    </row>
    <row r="499" spans="1:49" x14ac:dyDescent="0.25">
      <c r="A499" s="502"/>
      <c r="L499" s="425">
        <f t="shared" si="803"/>
        <v>0</v>
      </c>
      <c r="M499" s="425"/>
      <c r="X499" s="502">
        <f t="shared" si="761"/>
        <v>0</v>
      </c>
      <c r="Y499" s="285">
        <f t="shared" si="730"/>
        <v>211871.97000000044</v>
      </c>
      <c r="Z499" s="494">
        <f t="shared" si="755"/>
        <v>3.7499999999999999E-2</v>
      </c>
      <c r="AA499" s="14">
        <f t="shared" si="756"/>
        <v>0</v>
      </c>
      <c r="AB499" s="14">
        <f t="shared" si="731"/>
        <v>0</v>
      </c>
      <c r="AC499" s="14">
        <f t="shared" si="757"/>
        <v>0</v>
      </c>
      <c r="AD499" s="14">
        <f t="shared" ref="AD499:AE499" si="808">+AD498</f>
        <v>134.16999999999999</v>
      </c>
      <c r="AE499" s="14">
        <f t="shared" si="808"/>
        <v>188.55</v>
      </c>
      <c r="AF499" s="14">
        <f t="shared" si="733"/>
        <v>322.72000000000003</v>
      </c>
      <c r="AG499" s="285">
        <f t="shared" si="734"/>
        <v>119321.42999999991</v>
      </c>
      <c r="AH499" s="285">
        <f t="shared" si="735"/>
        <v>579082.0500000004</v>
      </c>
      <c r="AI499" s="512">
        <f t="shared" si="723"/>
        <v>-118598.27999999985</v>
      </c>
      <c r="AJ499" s="512">
        <f t="shared" si="782"/>
        <v>-211871.97000000044</v>
      </c>
      <c r="AK499" s="512">
        <f t="shared" si="724"/>
        <v>-330470.25000000029</v>
      </c>
      <c r="AL499" s="285">
        <f t="shared" si="736"/>
        <v>211871.97000000044</v>
      </c>
      <c r="AM499" s="425">
        <f t="shared" si="763"/>
        <v>0</v>
      </c>
    </row>
    <row r="500" spans="1:49" x14ac:dyDescent="0.25">
      <c r="A500" s="502"/>
      <c r="L500" s="425">
        <f t="shared" si="803"/>
        <v>0</v>
      </c>
      <c r="M500" s="425"/>
      <c r="X500" s="502">
        <f t="shared" si="761"/>
        <v>0</v>
      </c>
      <c r="Y500" s="285">
        <f t="shared" si="730"/>
        <v>211871.97000000044</v>
      </c>
      <c r="Z500" s="494">
        <f t="shared" si="755"/>
        <v>3.7499999999999999E-2</v>
      </c>
      <c r="AA500" s="14">
        <f t="shared" si="756"/>
        <v>0</v>
      </c>
      <c r="AB500" s="14">
        <f t="shared" si="731"/>
        <v>0</v>
      </c>
      <c r="AC500" s="14">
        <f t="shared" si="757"/>
        <v>0</v>
      </c>
      <c r="AD500" s="14">
        <f t="shared" ref="AD500:AE500" si="809">+AD499</f>
        <v>134.16999999999999</v>
      </c>
      <c r="AE500" s="14">
        <f t="shared" si="809"/>
        <v>188.55</v>
      </c>
      <c r="AF500" s="14">
        <f t="shared" si="733"/>
        <v>322.72000000000003</v>
      </c>
      <c r="AG500" s="285">
        <f t="shared" si="734"/>
        <v>119321.42999999991</v>
      </c>
      <c r="AH500" s="285">
        <f t="shared" si="735"/>
        <v>579082.0500000004</v>
      </c>
      <c r="AI500" s="512">
        <f t="shared" si="723"/>
        <v>-118598.27999999985</v>
      </c>
      <c r="AJ500" s="512">
        <f t="shared" si="782"/>
        <v>-211871.97000000044</v>
      </c>
      <c r="AK500" s="512">
        <f t="shared" si="724"/>
        <v>-330470.25000000029</v>
      </c>
      <c r="AL500" s="285">
        <f t="shared" si="736"/>
        <v>211871.97000000044</v>
      </c>
      <c r="AM500" s="425">
        <f t="shared" si="763"/>
        <v>0</v>
      </c>
    </row>
    <row r="501" spans="1:49" x14ac:dyDescent="0.25">
      <c r="A501" s="502"/>
      <c r="L501" s="425">
        <f t="shared" si="803"/>
        <v>0</v>
      </c>
      <c r="M501" s="425"/>
      <c r="X501" s="502">
        <f t="shared" si="761"/>
        <v>0</v>
      </c>
      <c r="Y501" s="285">
        <f t="shared" si="730"/>
        <v>211871.97000000044</v>
      </c>
      <c r="Z501" s="494">
        <f t="shared" si="755"/>
        <v>3.7499999999999999E-2</v>
      </c>
      <c r="AA501" s="14">
        <f t="shared" si="756"/>
        <v>0</v>
      </c>
      <c r="AB501" s="14">
        <f t="shared" si="731"/>
        <v>0</v>
      </c>
      <c r="AC501" s="14">
        <f t="shared" si="757"/>
        <v>0</v>
      </c>
      <c r="AD501" s="14">
        <f t="shared" ref="AD501:AE501" si="810">+AD500</f>
        <v>134.16999999999999</v>
      </c>
      <c r="AE501" s="14">
        <f t="shared" si="810"/>
        <v>188.55</v>
      </c>
      <c r="AF501" s="14">
        <f t="shared" si="733"/>
        <v>322.72000000000003</v>
      </c>
      <c r="AG501" s="285">
        <f t="shared" si="734"/>
        <v>119321.42999999991</v>
      </c>
      <c r="AH501" s="285">
        <f t="shared" si="735"/>
        <v>579082.0500000004</v>
      </c>
      <c r="AI501" s="512">
        <f t="shared" si="723"/>
        <v>-118598.27999999985</v>
      </c>
      <c r="AJ501" s="512">
        <f t="shared" si="782"/>
        <v>-211871.97000000044</v>
      </c>
      <c r="AK501" s="512">
        <f t="shared" si="724"/>
        <v>-330470.25000000029</v>
      </c>
      <c r="AL501" s="285">
        <f t="shared" si="736"/>
        <v>211871.97000000044</v>
      </c>
      <c r="AM501" s="425">
        <f t="shared" si="763"/>
        <v>0</v>
      </c>
    </row>
    <row r="502" spans="1:49" x14ac:dyDescent="0.25">
      <c r="A502" s="502"/>
      <c r="L502" s="425">
        <f t="shared" si="803"/>
        <v>0</v>
      </c>
      <c r="M502" s="425"/>
      <c r="X502" s="502">
        <f t="shared" si="761"/>
        <v>0</v>
      </c>
      <c r="Y502" s="285">
        <f t="shared" si="730"/>
        <v>211871.97000000044</v>
      </c>
      <c r="Z502" s="494">
        <f t="shared" si="755"/>
        <v>3.7499999999999999E-2</v>
      </c>
      <c r="AA502" s="14">
        <f t="shared" si="756"/>
        <v>0</v>
      </c>
      <c r="AB502" s="14">
        <f t="shared" si="731"/>
        <v>0</v>
      </c>
      <c r="AC502" s="14">
        <f t="shared" si="757"/>
        <v>0</v>
      </c>
      <c r="AD502" s="14">
        <f t="shared" ref="AD502:AE502" si="811">+AD501</f>
        <v>134.16999999999999</v>
      </c>
      <c r="AE502" s="14">
        <f t="shared" si="811"/>
        <v>188.55</v>
      </c>
      <c r="AF502" s="14">
        <f t="shared" si="733"/>
        <v>322.72000000000003</v>
      </c>
      <c r="AG502" s="285">
        <f t="shared" si="734"/>
        <v>119321.42999999991</v>
      </c>
      <c r="AH502" s="285">
        <f t="shared" si="735"/>
        <v>579082.0500000004</v>
      </c>
      <c r="AI502" s="512">
        <f t="shared" si="723"/>
        <v>-118598.27999999985</v>
      </c>
      <c r="AJ502" s="512">
        <f t="shared" si="782"/>
        <v>-211871.97000000044</v>
      </c>
      <c r="AK502" s="512">
        <f t="shared" si="724"/>
        <v>-330470.25000000029</v>
      </c>
      <c r="AL502" s="285">
        <f t="shared" si="736"/>
        <v>211871.97000000044</v>
      </c>
      <c r="AM502" s="425">
        <f t="shared" si="763"/>
        <v>0</v>
      </c>
    </row>
    <row r="503" spans="1:49" x14ac:dyDescent="0.25">
      <c r="A503" s="502"/>
      <c r="L503" s="425">
        <f t="shared" si="803"/>
        <v>0</v>
      </c>
      <c r="M503" s="425"/>
      <c r="X503" s="502">
        <f t="shared" si="761"/>
        <v>0</v>
      </c>
      <c r="Y503" s="285">
        <f t="shared" si="730"/>
        <v>211871.97000000044</v>
      </c>
      <c r="Z503" s="494">
        <f t="shared" si="755"/>
        <v>3.7499999999999999E-2</v>
      </c>
      <c r="AA503" s="14">
        <f t="shared" si="756"/>
        <v>0</v>
      </c>
      <c r="AB503" s="14">
        <f t="shared" si="731"/>
        <v>0</v>
      </c>
      <c r="AC503" s="14">
        <f t="shared" si="757"/>
        <v>0</v>
      </c>
      <c r="AD503" s="14">
        <f t="shared" ref="AD503:AE503" si="812">+AD502</f>
        <v>134.16999999999999</v>
      </c>
      <c r="AE503" s="14">
        <f t="shared" si="812"/>
        <v>188.55</v>
      </c>
      <c r="AF503" s="14">
        <f t="shared" si="733"/>
        <v>322.72000000000003</v>
      </c>
      <c r="AG503" s="285">
        <f t="shared" si="734"/>
        <v>119321.42999999991</v>
      </c>
      <c r="AH503" s="285">
        <f t="shared" si="735"/>
        <v>579082.0500000004</v>
      </c>
      <c r="AI503" s="512">
        <f t="shared" si="723"/>
        <v>-118598.27999999985</v>
      </c>
      <c r="AJ503" s="512">
        <f t="shared" si="782"/>
        <v>-211871.97000000044</v>
      </c>
      <c r="AK503" s="512">
        <f t="shared" si="724"/>
        <v>-330470.25000000029</v>
      </c>
      <c r="AL503" s="285">
        <f t="shared" si="736"/>
        <v>211871.97000000044</v>
      </c>
      <c r="AM503" s="425">
        <f t="shared" si="763"/>
        <v>0</v>
      </c>
    </row>
    <row r="504" spans="1:49" x14ac:dyDescent="0.25">
      <c r="A504" s="502"/>
      <c r="L504" s="425">
        <f t="shared" si="803"/>
        <v>0</v>
      </c>
      <c r="M504" s="425"/>
      <c r="X504" s="502">
        <f t="shared" si="761"/>
        <v>0</v>
      </c>
      <c r="Y504" s="285">
        <f t="shared" si="730"/>
        <v>211871.97000000044</v>
      </c>
      <c r="Z504" s="494">
        <f t="shared" si="755"/>
        <v>3.7499999999999999E-2</v>
      </c>
      <c r="AA504" s="14">
        <f t="shared" si="756"/>
        <v>0</v>
      </c>
      <c r="AB504" s="14">
        <f t="shared" si="731"/>
        <v>0</v>
      </c>
      <c r="AC504" s="14">
        <f t="shared" si="757"/>
        <v>0</v>
      </c>
      <c r="AD504" s="14">
        <f t="shared" ref="AD504:AE504" si="813">+AD503</f>
        <v>134.16999999999999</v>
      </c>
      <c r="AE504" s="14">
        <f t="shared" si="813"/>
        <v>188.55</v>
      </c>
      <c r="AF504" s="14">
        <f t="shared" si="733"/>
        <v>322.72000000000003</v>
      </c>
      <c r="AG504" s="285">
        <f t="shared" si="734"/>
        <v>119321.42999999991</v>
      </c>
      <c r="AH504" s="285">
        <f t="shared" si="735"/>
        <v>579082.0500000004</v>
      </c>
      <c r="AI504" s="512">
        <f t="shared" si="723"/>
        <v>-118598.27999999985</v>
      </c>
      <c r="AJ504" s="512">
        <f t="shared" si="782"/>
        <v>-211871.97000000044</v>
      </c>
      <c r="AK504" s="512">
        <f t="shared" si="724"/>
        <v>-330470.25000000029</v>
      </c>
      <c r="AL504" s="285">
        <f t="shared" si="736"/>
        <v>211871.97000000044</v>
      </c>
      <c r="AM504" s="425">
        <f t="shared" si="763"/>
        <v>0</v>
      </c>
    </row>
    <row r="505" spans="1:49" x14ac:dyDescent="0.25">
      <c r="A505" s="502"/>
      <c r="L505" s="425">
        <f t="shared" si="803"/>
        <v>0</v>
      </c>
      <c r="M505" s="425"/>
      <c r="X505" s="502">
        <f t="shared" si="761"/>
        <v>0</v>
      </c>
      <c r="Y505" s="285">
        <f t="shared" si="730"/>
        <v>211871.97000000044</v>
      </c>
      <c r="Z505" s="494">
        <f t="shared" si="755"/>
        <v>3.7499999999999999E-2</v>
      </c>
      <c r="AA505" s="14">
        <f t="shared" si="756"/>
        <v>0</v>
      </c>
      <c r="AB505" s="14">
        <f t="shared" si="731"/>
        <v>0</v>
      </c>
      <c r="AC505" s="14">
        <f t="shared" si="757"/>
        <v>0</v>
      </c>
      <c r="AD505" s="14">
        <f t="shared" ref="AD505:AE505" si="814">+AD504</f>
        <v>134.16999999999999</v>
      </c>
      <c r="AE505" s="14">
        <f t="shared" si="814"/>
        <v>188.55</v>
      </c>
      <c r="AF505" s="14">
        <f t="shared" si="733"/>
        <v>322.72000000000003</v>
      </c>
      <c r="AG505" s="285">
        <f t="shared" si="734"/>
        <v>119321.42999999991</v>
      </c>
      <c r="AH505" s="285">
        <f t="shared" si="735"/>
        <v>579082.0500000004</v>
      </c>
      <c r="AI505" s="512">
        <f t="shared" si="723"/>
        <v>-118598.27999999985</v>
      </c>
      <c r="AJ505" s="512">
        <f t="shared" si="782"/>
        <v>-211871.97000000044</v>
      </c>
      <c r="AK505" s="512">
        <f t="shared" si="724"/>
        <v>-330470.25000000029</v>
      </c>
      <c r="AL505" s="285">
        <f t="shared" si="736"/>
        <v>211871.97000000044</v>
      </c>
      <c r="AM505" s="425">
        <f t="shared" si="763"/>
        <v>0</v>
      </c>
    </row>
    <row r="506" spans="1:49" ht="15.75" thickBot="1" x14ac:dyDescent="0.3">
      <c r="A506" s="505"/>
      <c r="B506" s="345"/>
      <c r="C506" s="21"/>
      <c r="D506" s="21"/>
      <c r="E506" s="21"/>
      <c r="F506" s="21"/>
      <c r="G506" s="21"/>
      <c r="H506" s="21"/>
      <c r="I506" s="345"/>
      <c r="J506" s="345"/>
      <c r="K506" s="345"/>
      <c r="L506" s="426">
        <f t="shared" si="803"/>
        <v>0</v>
      </c>
      <c r="M506" s="426"/>
      <c r="N506" s="345"/>
      <c r="U506" s="345"/>
      <c r="V506" s="345"/>
      <c r="W506" s="345"/>
      <c r="X506" s="505">
        <f t="shared" si="761"/>
        <v>0</v>
      </c>
      <c r="Y506" s="285">
        <f t="shared" si="730"/>
        <v>211871.97000000044</v>
      </c>
      <c r="Z506" s="494">
        <f t="shared" si="755"/>
        <v>3.7499999999999999E-2</v>
      </c>
      <c r="AA506" s="14">
        <f t="shared" si="756"/>
        <v>0</v>
      </c>
      <c r="AB506" s="14">
        <f t="shared" si="731"/>
        <v>0</v>
      </c>
      <c r="AC506" s="14">
        <f t="shared" si="757"/>
        <v>0</v>
      </c>
      <c r="AD506" s="14">
        <f t="shared" ref="AD506:AE506" si="815">+AD505</f>
        <v>134.16999999999999</v>
      </c>
      <c r="AE506" s="14">
        <f t="shared" si="815"/>
        <v>188.55</v>
      </c>
      <c r="AF506" s="14">
        <f t="shared" si="733"/>
        <v>322.72000000000003</v>
      </c>
      <c r="AG506" s="285">
        <f t="shared" si="734"/>
        <v>119321.42999999991</v>
      </c>
      <c r="AH506" s="285">
        <f t="shared" si="735"/>
        <v>579082.0500000004</v>
      </c>
      <c r="AI506" s="512">
        <f t="shared" si="723"/>
        <v>-118598.27999999985</v>
      </c>
      <c r="AJ506" s="512">
        <f t="shared" si="782"/>
        <v>-211871.97000000044</v>
      </c>
      <c r="AK506" s="512">
        <f t="shared" si="724"/>
        <v>-330470.25000000029</v>
      </c>
      <c r="AL506" s="285">
        <f t="shared" si="736"/>
        <v>211871.97000000044</v>
      </c>
      <c r="AM506" s="426">
        <f t="shared" si="763"/>
        <v>0</v>
      </c>
      <c r="AN506" s="21"/>
      <c r="AO506" s="21"/>
      <c r="AP506" s="21"/>
      <c r="AQ506" s="21"/>
      <c r="AR506" s="23"/>
      <c r="AS506" s="21"/>
      <c r="AT506" s="21"/>
      <c r="AU506" s="345"/>
      <c r="AV506" s="345"/>
      <c r="AW506" s="21"/>
    </row>
    <row r="507" spans="1:49" x14ac:dyDescent="0.25">
      <c r="A507" s="502"/>
      <c r="L507" s="425">
        <f t="shared" si="803"/>
        <v>0</v>
      </c>
      <c r="M507" s="425"/>
      <c r="X507" s="502">
        <f t="shared" si="761"/>
        <v>0</v>
      </c>
      <c r="Y507" s="285">
        <f t="shared" si="730"/>
        <v>211871.97000000044</v>
      </c>
      <c r="Z507" s="494">
        <f t="shared" si="755"/>
        <v>3.7499999999999999E-2</v>
      </c>
      <c r="AA507" s="14">
        <f t="shared" si="756"/>
        <v>0</v>
      </c>
      <c r="AB507" s="14">
        <f t="shared" si="731"/>
        <v>0</v>
      </c>
      <c r="AC507" s="14">
        <f t="shared" si="757"/>
        <v>0</v>
      </c>
      <c r="AD507" s="14">
        <f t="shared" ref="AD507:AE507" si="816">+AD506</f>
        <v>134.16999999999999</v>
      </c>
      <c r="AE507" s="14">
        <f t="shared" si="816"/>
        <v>188.55</v>
      </c>
      <c r="AF507" s="14">
        <f t="shared" si="733"/>
        <v>322.72000000000003</v>
      </c>
      <c r="AG507" s="285">
        <f t="shared" si="734"/>
        <v>119321.42999999991</v>
      </c>
      <c r="AH507" s="285">
        <f t="shared" si="735"/>
        <v>579082.0500000004</v>
      </c>
      <c r="AI507" s="512">
        <f t="shared" si="723"/>
        <v>-118598.27999999985</v>
      </c>
      <c r="AJ507" s="512">
        <f t="shared" si="782"/>
        <v>-211871.97000000044</v>
      </c>
      <c r="AK507" s="512">
        <f t="shared" si="724"/>
        <v>-330470.25000000029</v>
      </c>
      <c r="AL507" s="285">
        <f t="shared" si="736"/>
        <v>211871.97000000044</v>
      </c>
      <c r="AM507" s="425">
        <f t="shared" si="763"/>
        <v>0</v>
      </c>
    </row>
    <row r="508" spans="1:49" x14ac:dyDescent="0.25">
      <c r="A508" s="502"/>
      <c r="L508" s="425">
        <f t="shared" si="803"/>
        <v>0</v>
      </c>
      <c r="M508" s="425"/>
      <c r="X508" s="502">
        <f t="shared" si="761"/>
        <v>0</v>
      </c>
      <c r="Y508" s="285">
        <f t="shared" si="730"/>
        <v>211871.97000000044</v>
      </c>
      <c r="Z508" s="494">
        <f t="shared" si="755"/>
        <v>3.7499999999999999E-2</v>
      </c>
      <c r="AA508" s="14">
        <f t="shared" si="756"/>
        <v>0</v>
      </c>
      <c r="AB508" s="14">
        <f t="shared" si="731"/>
        <v>0</v>
      </c>
      <c r="AC508" s="14">
        <f t="shared" si="757"/>
        <v>0</v>
      </c>
      <c r="AD508" s="14">
        <f t="shared" ref="AD508:AE508" si="817">+AD507</f>
        <v>134.16999999999999</v>
      </c>
      <c r="AE508" s="14">
        <f t="shared" si="817"/>
        <v>188.55</v>
      </c>
      <c r="AF508" s="14">
        <f t="shared" si="733"/>
        <v>322.72000000000003</v>
      </c>
      <c r="AG508" s="285">
        <f t="shared" si="734"/>
        <v>119321.42999999991</v>
      </c>
      <c r="AH508" s="285">
        <f t="shared" si="735"/>
        <v>579082.0500000004</v>
      </c>
      <c r="AI508" s="512">
        <f t="shared" ref="AI508:AI543" si="818">O508-AA508+AI507</f>
        <v>-118598.27999999985</v>
      </c>
      <c r="AJ508" s="512">
        <f t="shared" si="782"/>
        <v>-211871.97000000044</v>
      </c>
      <c r="AK508" s="512">
        <f t="shared" ref="AK508:AK543" si="819">SUM(AI508:AJ508)</f>
        <v>-330470.25000000029</v>
      </c>
      <c r="AL508" s="285">
        <f t="shared" si="736"/>
        <v>211871.97000000044</v>
      </c>
      <c r="AM508" s="425">
        <f t="shared" si="763"/>
        <v>0</v>
      </c>
    </row>
    <row r="509" spans="1:49" x14ac:dyDescent="0.25">
      <c r="A509" s="502"/>
      <c r="L509" s="425">
        <f t="shared" si="803"/>
        <v>0</v>
      </c>
      <c r="M509" s="425"/>
      <c r="X509" s="502">
        <f t="shared" si="761"/>
        <v>0</v>
      </c>
      <c r="Y509" s="285">
        <f t="shared" si="730"/>
        <v>211871.97000000044</v>
      </c>
      <c r="Z509" s="494">
        <f t="shared" si="755"/>
        <v>3.7499999999999999E-2</v>
      </c>
      <c r="AA509" s="14">
        <f t="shared" si="756"/>
        <v>0</v>
      </c>
      <c r="AB509" s="14">
        <f t="shared" si="731"/>
        <v>0</v>
      </c>
      <c r="AC509" s="14">
        <f t="shared" si="757"/>
        <v>0</v>
      </c>
      <c r="AD509" s="14">
        <f t="shared" ref="AD509:AE509" si="820">+AD508</f>
        <v>134.16999999999999</v>
      </c>
      <c r="AE509" s="14">
        <f t="shared" si="820"/>
        <v>188.55</v>
      </c>
      <c r="AF509" s="14">
        <f t="shared" si="733"/>
        <v>322.72000000000003</v>
      </c>
      <c r="AG509" s="285">
        <f t="shared" si="734"/>
        <v>119321.42999999991</v>
      </c>
      <c r="AH509" s="285">
        <f t="shared" si="735"/>
        <v>579082.0500000004</v>
      </c>
      <c r="AI509" s="512">
        <f t="shared" si="818"/>
        <v>-118598.27999999985</v>
      </c>
      <c r="AJ509" s="512">
        <f t="shared" si="782"/>
        <v>-211871.97000000044</v>
      </c>
      <c r="AK509" s="512">
        <f t="shared" si="819"/>
        <v>-330470.25000000029</v>
      </c>
      <c r="AL509" s="285">
        <f t="shared" si="736"/>
        <v>211871.97000000044</v>
      </c>
      <c r="AM509" s="425">
        <f t="shared" si="763"/>
        <v>0</v>
      </c>
    </row>
    <row r="510" spans="1:49" x14ac:dyDescent="0.25">
      <c r="A510" s="502"/>
      <c r="L510" s="425">
        <f t="shared" si="803"/>
        <v>0</v>
      </c>
      <c r="M510" s="425"/>
      <c r="X510" s="502">
        <f t="shared" si="761"/>
        <v>0</v>
      </c>
      <c r="Y510" s="285">
        <f t="shared" ref="Y510:Y543" si="821">IF(+AL509&lt;0,0,+AL509)</f>
        <v>211871.97000000044</v>
      </c>
      <c r="Z510" s="494">
        <f t="shared" si="755"/>
        <v>3.7499999999999999E-2</v>
      </c>
      <c r="AA510" s="14">
        <f t="shared" si="756"/>
        <v>0</v>
      </c>
      <c r="AB510" s="14">
        <f t="shared" ref="AB510:AB543" si="822">+AA510-AC510</f>
        <v>0</v>
      </c>
      <c r="AC510" s="14">
        <f t="shared" si="757"/>
        <v>0</v>
      </c>
      <c r="AD510" s="14">
        <f t="shared" ref="AD510:AE510" si="823">+AD509</f>
        <v>134.16999999999999</v>
      </c>
      <c r="AE510" s="14">
        <f t="shared" si="823"/>
        <v>188.55</v>
      </c>
      <c r="AF510" s="14">
        <f t="shared" ref="AF510:AF543" si="824">SUM(AB510:AE510)</f>
        <v>322.72000000000003</v>
      </c>
      <c r="AG510" s="285">
        <f t="shared" ref="AG510:AG543" si="825">+AB510+AG509</f>
        <v>119321.42999999991</v>
      </c>
      <c r="AH510" s="285">
        <f t="shared" ref="AH510:AH543" si="826">+AH509+AC510</f>
        <v>579082.0500000004</v>
      </c>
      <c r="AI510" s="512">
        <f t="shared" si="818"/>
        <v>-118598.27999999985</v>
      </c>
      <c r="AJ510" s="512">
        <f t="shared" si="782"/>
        <v>-211871.97000000044</v>
      </c>
      <c r="AK510" s="512">
        <f t="shared" si="819"/>
        <v>-330470.25000000029</v>
      </c>
      <c r="AL510" s="285">
        <f t="shared" ref="AL510:AL543" si="827">+Y510-AB510</f>
        <v>211871.97000000044</v>
      </c>
      <c r="AM510" s="425">
        <f t="shared" si="763"/>
        <v>0</v>
      </c>
    </row>
    <row r="511" spans="1:49" x14ac:dyDescent="0.25">
      <c r="A511" s="502"/>
      <c r="L511" s="425">
        <f t="shared" si="803"/>
        <v>0</v>
      </c>
      <c r="M511" s="425"/>
      <c r="X511" s="502">
        <f t="shared" si="761"/>
        <v>0</v>
      </c>
      <c r="Y511" s="285">
        <f t="shared" si="821"/>
        <v>211871.97000000044</v>
      </c>
      <c r="Z511" s="494">
        <f t="shared" si="755"/>
        <v>3.7499999999999999E-2</v>
      </c>
      <c r="AA511" s="14">
        <f t="shared" si="756"/>
        <v>0</v>
      </c>
      <c r="AB511" s="14">
        <f t="shared" si="822"/>
        <v>0</v>
      </c>
      <c r="AC511" s="14">
        <f t="shared" si="757"/>
        <v>0</v>
      </c>
      <c r="AD511" s="14">
        <f t="shared" ref="AD511:AE511" si="828">+AD510</f>
        <v>134.16999999999999</v>
      </c>
      <c r="AE511" s="14">
        <f t="shared" si="828"/>
        <v>188.55</v>
      </c>
      <c r="AF511" s="14">
        <f t="shared" si="824"/>
        <v>322.72000000000003</v>
      </c>
      <c r="AG511" s="285">
        <f t="shared" si="825"/>
        <v>119321.42999999991</v>
      </c>
      <c r="AH511" s="285">
        <f t="shared" si="826"/>
        <v>579082.0500000004</v>
      </c>
      <c r="AI511" s="512">
        <f t="shared" si="818"/>
        <v>-118598.27999999985</v>
      </c>
      <c r="AJ511" s="512">
        <f t="shared" si="782"/>
        <v>-211871.97000000044</v>
      </c>
      <c r="AK511" s="512">
        <f t="shared" si="819"/>
        <v>-330470.25000000029</v>
      </c>
      <c r="AL511" s="285">
        <f t="shared" si="827"/>
        <v>211871.97000000044</v>
      </c>
      <c r="AM511" s="425">
        <f t="shared" si="763"/>
        <v>0</v>
      </c>
    </row>
    <row r="512" spans="1:49" x14ac:dyDescent="0.25">
      <c r="A512" s="502"/>
      <c r="L512" s="425">
        <f t="shared" si="803"/>
        <v>0</v>
      </c>
      <c r="M512" s="425"/>
      <c r="X512" s="502">
        <f t="shared" si="761"/>
        <v>0</v>
      </c>
      <c r="Y512" s="285">
        <f t="shared" si="821"/>
        <v>211871.97000000044</v>
      </c>
      <c r="Z512" s="494">
        <f t="shared" si="755"/>
        <v>3.7499999999999999E-2</v>
      </c>
      <c r="AA512" s="14">
        <f t="shared" si="756"/>
        <v>0</v>
      </c>
      <c r="AB512" s="14">
        <f t="shared" si="822"/>
        <v>0</v>
      </c>
      <c r="AC512" s="14">
        <f t="shared" si="757"/>
        <v>0</v>
      </c>
      <c r="AD512" s="14">
        <f t="shared" ref="AD512:AE512" si="829">+AD511</f>
        <v>134.16999999999999</v>
      </c>
      <c r="AE512" s="14">
        <f t="shared" si="829"/>
        <v>188.55</v>
      </c>
      <c r="AF512" s="14">
        <f t="shared" si="824"/>
        <v>322.72000000000003</v>
      </c>
      <c r="AG512" s="285">
        <f t="shared" si="825"/>
        <v>119321.42999999991</v>
      </c>
      <c r="AH512" s="285">
        <f t="shared" si="826"/>
        <v>579082.0500000004</v>
      </c>
      <c r="AI512" s="512">
        <f t="shared" si="818"/>
        <v>-118598.27999999985</v>
      </c>
      <c r="AJ512" s="512">
        <f t="shared" si="782"/>
        <v>-211871.97000000044</v>
      </c>
      <c r="AK512" s="512">
        <f t="shared" si="819"/>
        <v>-330470.25000000029</v>
      </c>
      <c r="AL512" s="285">
        <f t="shared" si="827"/>
        <v>211871.97000000044</v>
      </c>
      <c r="AM512" s="425">
        <f t="shared" si="763"/>
        <v>0</v>
      </c>
    </row>
    <row r="513" spans="1:49" x14ac:dyDescent="0.25">
      <c r="A513" s="502"/>
      <c r="L513" s="425">
        <f t="shared" si="803"/>
        <v>0</v>
      </c>
      <c r="M513" s="425"/>
      <c r="X513" s="502">
        <f t="shared" si="761"/>
        <v>0</v>
      </c>
      <c r="Y513" s="285">
        <f t="shared" si="821"/>
        <v>211871.97000000044</v>
      </c>
      <c r="Z513" s="494">
        <f t="shared" si="755"/>
        <v>3.7499999999999999E-2</v>
      </c>
      <c r="AA513" s="14">
        <f t="shared" si="756"/>
        <v>0</v>
      </c>
      <c r="AB513" s="14">
        <f t="shared" si="822"/>
        <v>0</v>
      </c>
      <c r="AC513" s="14">
        <f t="shared" si="757"/>
        <v>0</v>
      </c>
      <c r="AD513" s="14">
        <f t="shared" ref="AD513:AE513" si="830">+AD512</f>
        <v>134.16999999999999</v>
      </c>
      <c r="AE513" s="14">
        <f t="shared" si="830"/>
        <v>188.55</v>
      </c>
      <c r="AF513" s="14">
        <f t="shared" si="824"/>
        <v>322.72000000000003</v>
      </c>
      <c r="AG513" s="285">
        <f t="shared" si="825"/>
        <v>119321.42999999991</v>
      </c>
      <c r="AH513" s="285">
        <f t="shared" si="826"/>
        <v>579082.0500000004</v>
      </c>
      <c r="AI513" s="512">
        <f t="shared" si="818"/>
        <v>-118598.27999999985</v>
      </c>
      <c r="AJ513" s="512">
        <f t="shared" si="782"/>
        <v>-211871.97000000044</v>
      </c>
      <c r="AK513" s="512">
        <f t="shared" si="819"/>
        <v>-330470.25000000029</v>
      </c>
      <c r="AL513" s="285">
        <f t="shared" si="827"/>
        <v>211871.97000000044</v>
      </c>
      <c r="AM513" s="425">
        <f t="shared" si="763"/>
        <v>0</v>
      </c>
    </row>
    <row r="514" spans="1:49" x14ac:dyDescent="0.25">
      <c r="A514" s="502"/>
      <c r="L514" s="425">
        <f t="shared" si="803"/>
        <v>0</v>
      </c>
      <c r="M514" s="425"/>
      <c r="X514" s="502">
        <f t="shared" si="761"/>
        <v>0</v>
      </c>
      <c r="Y514" s="285">
        <f t="shared" si="821"/>
        <v>211871.97000000044</v>
      </c>
      <c r="Z514" s="494">
        <f t="shared" si="755"/>
        <v>3.7499999999999999E-2</v>
      </c>
      <c r="AA514" s="14">
        <f t="shared" si="756"/>
        <v>0</v>
      </c>
      <c r="AB514" s="14">
        <f t="shared" si="822"/>
        <v>0</v>
      </c>
      <c r="AC514" s="14">
        <f t="shared" si="757"/>
        <v>0</v>
      </c>
      <c r="AD514" s="14">
        <f t="shared" ref="AD514:AE514" si="831">+AD513</f>
        <v>134.16999999999999</v>
      </c>
      <c r="AE514" s="14">
        <f t="shared" si="831"/>
        <v>188.55</v>
      </c>
      <c r="AF514" s="14">
        <f t="shared" si="824"/>
        <v>322.72000000000003</v>
      </c>
      <c r="AG514" s="285">
        <f t="shared" si="825"/>
        <v>119321.42999999991</v>
      </c>
      <c r="AH514" s="285">
        <f t="shared" si="826"/>
        <v>579082.0500000004</v>
      </c>
      <c r="AI514" s="512">
        <f t="shared" si="818"/>
        <v>-118598.27999999985</v>
      </c>
      <c r="AJ514" s="512">
        <f t="shared" si="782"/>
        <v>-211871.97000000044</v>
      </c>
      <c r="AK514" s="512">
        <f t="shared" si="819"/>
        <v>-330470.25000000029</v>
      </c>
      <c r="AL514" s="285">
        <f t="shared" si="827"/>
        <v>211871.97000000044</v>
      </c>
      <c r="AM514" s="425">
        <f t="shared" si="763"/>
        <v>0</v>
      </c>
    </row>
    <row r="515" spans="1:49" x14ac:dyDescent="0.25">
      <c r="A515" s="502"/>
      <c r="L515" s="425">
        <f t="shared" si="803"/>
        <v>0</v>
      </c>
      <c r="M515" s="425"/>
      <c r="X515" s="502">
        <f t="shared" si="761"/>
        <v>0</v>
      </c>
      <c r="Y515" s="285">
        <f t="shared" si="821"/>
        <v>211871.97000000044</v>
      </c>
      <c r="Z515" s="494">
        <f t="shared" si="755"/>
        <v>3.7499999999999999E-2</v>
      </c>
      <c r="AA515" s="14">
        <f t="shared" si="756"/>
        <v>0</v>
      </c>
      <c r="AB515" s="14">
        <f t="shared" si="822"/>
        <v>0</v>
      </c>
      <c r="AC515" s="14">
        <f t="shared" si="757"/>
        <v>0</v>
      </c>
      <c r="AD515" s="14">
        <f t="shared" ref="AD515:AE515" si="832">+AD514</f>
        <v>134.16999999999999</v>
      </c>
      <c r="AE515" s="14">
        <f t="shared" si="832"/>
        <v>188.55</v>
      </c>
      <c r="AF515" s="14">
        <f t="shared" si="824"/>
        <v>322.72000000000003</v>
      </c>
      <c r="AG515" s="285">
        <f t="shared" si="825"/>
        <v>119321.42999999991</v>
      </c>
      <c r="AH515" s="285">
        <f t="shared" si="826"/>
        <v>579082.0500000004</v>
      </c>
      <c r="AI515" s="512">
        <f t="shared" si="818"/>
        <v>-118598.27999999985</v>
      </c>
      <c r="AJ515" s="512">
        <f t="shared" si="782"/>
        <v>-211871.97000000044</v>
      </c>
      <c r="AK515" s="512">
        <f t="shared" si="819"/>
        <v>-330470.25000000029</v>
      </c>
      <c r="AL515" s="285">
        <f t="shared" si="827"/>
        <v>211871.97000000044</v>
      </c>
      <c r="AM515" s="425">
        <f t="shared" si="763"/>
        <v>0</v>
      </c>
    </row>
    <row r="516" spans="1:49" x14ac:dyDescent="0.25">
      <c r="A516" s="502"/>
      <c r="L516" s="425">
        <f t="shared" si="803"/>
        <v>0</v>
      </c>
      <c r="M516" s="425"/>
      <c r="X516" s="502">
        <f t="shared" si="761"/>
        <v>0</v>
      </c>
      <c r="Y516" s="285">
        <f t="shared" si="821"/>
        <v>211871.97000000044</v>
      </c>
      <c r="Z516" s="494">
        <f t="shared" si="755"/>
        <v>3.7499999999999999E-2</v>
      </c>
      <c r="AA516" s="14">
        <f t="shared" si="756"/>
        <v>0</v>
      </c>
      <c r="AB516" s="14">
        <f t="shared" si="822"/>
        <v>0</v>
      </c>
      <c r="AC516" s="14">
        <f t="shared" si="757"/>
        <v>0</v>
      </c>
      <c r="AD516" s="14">
        <f t="shared" ref="AD516:AE516" si="833">+AD515</f>
        <v>134.16999999999999</v>
      </c>
      <c r="AE516" s="14">
        <f t="shared" si="833"/>
        <v>188.55</v>
      </c>
      <c r="AF516" s="14">
        <f t="shared" si="824"/>
        <v>322.72000000000003</v>
      </c>
      <c r="AG516" s="285">
        <f t="shared" si="825"/>
        <v>119321.42999999991</v>
      </c>
      <c r="AH516" s="285">
        <f t="shared" si="826"/>
        <v>579082.0500000004</v>
      </c>
      <c r="AI516" s="512">
        <f t="shared" si="818"/>
        <v>-118598.27999999985</v>
      </c>
      <c r="AJ516" s="512">
        <f t="shared" si="782"/>
        <v>-211871.97000000044</v>
      </c>
      <c r="AK516" s="512">
        <f t="shared" si="819"/>
        <v>-330470.25000000029</v>
      </c>
      <c r="AL516" s="285">
        <f t="shared" si="827"/>
        <v>211871.97000000044</v>
      </c>
      <c r="AM516" s="425">
        <f t="shared" si="763"/>
        <v>0</v>
      </c>
    </row>
    <row r="517" spans="1:49" x14ac:dyDescent="0.25">
      <c r="A517" s="502"/>
      <c r="L517" s="425">
        <f t="shared" si="803"/>
        <v>0</v>
      </c>
      <c r="M517" s="425"/>
      <c r="X517" s="502">
        <f t="shared" si="761"/>
        <v>0</v>
      </c>
      <c r="Y517" s="285">
        <f t="shared" si="821"/>
        <v>211871.97000000044</v>
      </c>
      <c r="Z517" s="494">
        <f t="shared" si="755"/>
        <v>3.7499999999999999E-2</v>
      </c>
      <c r="AA517" s="14">
        <f t="shared" si="756"/>
        <v>0</v>
      </c>
      <c r="AB517" s="14">
        <f t="shared" si="822"/>
        <v>0</v>
      </c>
      <c r="AC517" s="14">
        <f t="shared" si="757"/>
        <v>0</v>
      </c>
      <c r="AD517" s="14">
        <f t="shared" ref="AD517:AE517" si="834">+AD516</f>
        <v>134.16999999999999</v>
      </c>
      <c r="AE517" s="14">
        <f t="shared" si="834"/>
        <v>188.55</v>
      </c>
      <c r="AF517" s="14">
        <f t="shared" si="824"/>
        <v>322.72000000000003</v>
      </c>
      <c r="AG517" s="285">
        <f t="shared" si="825"/>
        <v>119321.42999999991</v>
      </c>
      <c r="AH517" s="285">
        <f t="shared" si="826"/>
        <v>579082.0500000004</v>
      </c>
      <c r="AI517" s="512">
        <f t="shared" si="818"/>
        <v>-118598.27999999985</v>
      </c>
      <c r="AJ517" s="512">
        <f t="shared" si="782"/>
        <v>-211871.97000000044</v>
      </c>
      <c r="AK517" s="512">
        <f t="shared" si="819"/>
        <v>-330470.25000000029</v>
      </c>
      <c r="AL517" s="285">
        <f t="shared" si="827"/>
        <v>211871.97000000044</v>
      </c>
      <c r="AM517" s="425">
        <f t="shared" si="763"/>
        <v>0</v>
      </c>
    </row>
    <row r="518" spans="1:49" ht="15.75" thickBot="1" x14ac:dyDescent="0.3">
      <c r="A518" s="505"/>
      <c r="B518" s="345"/>
      <c r="C518" s="21"/>
      <c r="D518" s="21"/>
      <c r="E518" s="21"/>
      <c r="F518" s="21"/>
      <c r="G518" s="21"/>
      <c r="H518" s="21"/>
      <c r="I518" s="345"/>
      <c r="J518" s="345"/>
      <c r="K518" s="345"/>
      <c r="L518" s="426">
        <f t="shared" si="803"/>
        <v>0</v>
      </c>
      <c r="M518" s="426"/>
      <c r="N518" s="345"/>
      <c r="U518" s="345"/>
      <c r="V518" s="345"/>
      <c r="W518" s="345"/>
      <c r="X518" s="505">
        <f t="shared" si="761"/>
        <v>0</v>
      </c>
      <c r="Y518" s="285">
        <f t="shared" si="821"/>
        <v>211871.97000000044</v>
      </c>
      <c r="Z518" s="494">
        <f t="shared" si="755"/>
        <v>3.7499999999999999E-2</v>
      </c>
      <c r="AA518" s="14">
        <f t="shared" si="756"/>
        <v>0</v>
      </c>
      <c r="AB518" s="14">
        <f t="shared" si="822"/>
        <v>0</v>
      </c>
      <c r="AC518" s="14">
        <f t="shared" si="757"/>
        <v>0</v>
      </c>
      <c r="AD518" s="14">
        <f t="shared" ref="AD518:AE518" si="835">+AD517</f>
        <v>134.16999999999999</v>
      </c>
      <c r="AE518" s="14">
        <f t="shared" si="835"/>
        <v>188.55</v>
      </c>
      <c r="AF518" s="14">
        <f t="shared" si="824"/>
        <v>322.72000000000003</v>
      </c>
      <c r="AG518" s="285">
        <f t="shared" si="825"/>
        <v>119321.42999999991</v>
      </c>
      <c r="AH518" s="285">
        <f t="shared" si="826"/>
        <v>579082.0500000004</v>
      </c>
      <c r="AI518" s="512">
        <f t="shared" si="818"/>
        <v>-118598.27999999985</v>
      </c>
      <c r="AJ518" s="512">
        <f t="shared" si="782"/>
        <v>-211871.97000000044</v>
      </c>
      <c r="AK518" s="512">
        <f t="shared" si="819"/>
        <v>-330470.25000000029</v>
      </c>
      <c r="AL518" s="285">
        <f t="shared" si="827"/>
        <v>211871.97000000044</v>
      </c>
      <c r="AM518" s="426">
        <f t="shared" si="763"/>
        <v>0</v>
      </c>
      <c r="AN518" s="21"/>
      <c r="AO518" s="21"/>
      <c r="AP518" s="21"/>
      <c r="AQ518" s="21"/>
      <c r="AR518" s="23"/>
      <c r="AS518" s="21"/>
      <c r="AT518" s="21"/>
      <c r="AU518" s="345"/>
      <c r="AV518" s="345"/>
      <c r="AW518" s="21"/>
    </row>
    <row r="519" spans="1:49" x14ac:dyDescent="0.25">
      <c r="A519" s="502"/>
      <c r="L519" s="425">
        <f t="shared" si="803"/>
        <v>0</v>
      </c>
      <c r="M519" s="425"/>
      <c r="X519" s="502">
        <f t="shared" si="761"/>
        <v>0</v>
      </c>
      <c r="Y519" s="285">
        <f t="shared" si="821"/>
        <v>211871.97000000044</v>
      </c>
      <c r="Z519" s="494">
        <f t="shared" si="755"/>
        <v>3.7499999999999999E-2</v>
      </c>
      <c r="AA519" s="14">
        <f t="shared" si="756"/>
        <v>0</v>
      </c>
      <c r="AB519" s="14">
        <f t="shared" si="822"/>
        <v>0</v>
      </c>
      <c r="AC519" s="14">
        <f t="shared" si="757"/>
        <v>0</v>
      </c>
      <c r="AD519" s="14">
        <f t="shared" ref="AD519:AE519" si="836">+AD518</f>
        <v>134.16999999999999</v>
      </c>
      <c r="AE519" s="14">
        <f t="shared" si="836"/>
        <v>188.55</v>
      </c>
      <c r="AF519" s="14">
        <f t="shared" si="824"/>
        <v>322.72000000000003</v>
      </c>
      <c r="AG519" s="285">
        <f t="shared" si="825"/>
        <v>119321.42999999991</v>
      </c>
      <c r="AH519" s="285">
        <f t="shared" si="826"/>
        <v>579082.0500000004</v>
      </c>
      <c r="AI519" s="512">
        <f t="shared" si="818"/>
        <v>-118598.27999999985</v>
      </c>
      <c r="AJ519" s="512">
        <f t="shared" si="782"/>
        <v>-211871.97000000044</v>
      </c>
      <c r="AK519" s="512">
        <f t="shared" si="819"/>
        <v>-330470.25000000029</v>
      </c>
      <c r="AL519" s="285">
        <f t="shared" si="827"/>
        <v>211871.97000000044</v>
      </c>
      <c r="AM519" s="425">
        <f t="shared" si="763"/>
        <v>0</v>
      </c>
    </row>
    <row r="520" spans="1:49" x14ac:dyDescent="0.25">
      <c r="A520" s="502"/>
      <c r="L520" s="425">
        <f t="shared" si="803"/>
        <v>0</v>
      </c>
      <c r="M520" s="425"/>
      <c r="X520" s="502">
        <f t="shared" si="761"/>
        <v>0</v>
      </c>
      <c r="Y520" s="285">
        <f t="shared" si="821"/>
        <v>211871.97000000044</v>
      </c>
      <c r="Z520" s="494">
        <f t="shared" si="755"/>
        <v>3.7499999999999999E-2</v>
      </c>
      <c r="AA520" s="14">
        <f t="shared" si="756"/>
        <v>0</v>
      </c>
      <c r="AB520" s="14">
        <f t="shared" si="822"/>
        <v>0</v>
      </c>
      <c r="AC520" s="14">
        <f t="shared" si="757"/>
        <v>0</v>
      </c>
      <c r="AD520" s="14">
        <f t="shared" ref="AD520:AE520" si="837">+AD519</f>
        <v>134.16999999999999</v>
      </c>
      <c r="AE520" s="14">
        <f t="shared" si="837"/>
        <v>188.55</v>
      </c>
      <c r="AF520" s="14">
        <f t="shared" si="824"/>
        <v>322.72000000000003</v>
      </c>
      <c r="AG520" s="285">
        <f t="shared" si="825"/>
        <v>119321.42999999991</v>
      </c>
      <c r="AH520" s="285">
        <f t="shared" si="826"/>
        <v>579082.0500000004</v>
      </c>
      <c r="AI520" s="512">
        <f t="shared" si="818"/>
        <v>-118598.27999999985</v>
      </c>
      <c r="AJ520" s="512">
        <f t="shared" si="782"/>
        <v>-211871.97000000044</v>
      </c>
      <c r="AK520" s="512">
        <f t="shared" si="819"/>
        <v>-330470.25000000029</v>
      </c>
      <c r="AL520" s="285">
        <f t="shared" si="827"/>
        <v>211871.97000000044</v>
      </c>
      <c r="AM520" s="425">
        <f t="shared" si="763"/>
        <v>0</v>
      </c>
    </row>
    <row r="521" spans="1:49" x14ac:dyDescent="0.25">
      <c r="A521" s="502"/>
      <c r="L521" s="425">
        <f t="shared" si="803"/>
        <v>0</v>
      </c>
      <c r="M521" s="425"/>
      <c r="X521" s="502">
        <f t="shared" si="761"/>
        <v>0</v>
      </c>
      <c r="Y521" s="285">
        <f t="shared" si="821"/>
        <v>211871.97000000044</v>
      </c>
      <c r="Z521" s="494">
        <f t="shared" si="755"/>
        <v>3.7499999999999999E-2</v>
      </c>
      <c r="AA521" s="14">
        <f t="shared" si="756"/>
        <v>0</v>
      </c>
      <c r="AB521" s="14">
        <f t="shared" si="822"/>
        <v>0</v>
      </c>
      <c r="AC521" s="14">
        <f t="shared" si="757"/>
        <v>0</v>
      </c>
      <c r="AD521" s="14">
        <f t="shared" ref="AD521:AE521" si="838">+AD520</f>
        <v>134.16999999999999</v>
      </c>
      <c r="AE521" s="14">
        <f t="shared" si="838"/>
        <v>188.55</v>
      </c>
      <c r="AF521" s="14">
        <f t="shared" si="824"/>
        <v>322.72000000000003</v>
      </c>
      <c r="AG521" s="285">
        <f t="shared" si="825"/>
        <v>119321.42999999991</v>
      </c>
      <c r="AH521" s="285">
        <f t="shared" si="826"/>
        <v>579082.0500000004</v>
      </c>
      <c r="AI521" s="512">
        <f t="shared" si="818"/>
        <v>-118598.27999999985</v>
      </c>
      <c r="AJ521" s="512">
        <f t="shared" si="782"/>
        <v>-211871.97000000044</v>
      </c>
      <c r="AK521" s="512">
        <f t="shared" si="819"/>
        <v>-330470.25000000029</v>
      </c>
      <c r="AL521" s="285">
        <f t="shared" si="827"/>
        <v>211871.97000000044</v>
      </c>
      <c r="AM521" s="425">
        <f t="shared" si="763"/>
        <v>0</v>
      </c>
    </row>
    <row r="522" spans="1:49" x14ac:dyDescent="0.25">
      <c r="A522" s="502"/>
      <c r="L522" s="425">
        <f t="shared" si="803"/>
        <v>0</v>
      </c>
      <c r="M522" s="425"/>
      <c r="X522" s="502">
        <f t="shared" si="761"/>
        <v>0</v>
      </c>
      <c r="Y522" s="285">
        <f t="shared" si="821"/>
        <v>211871.97000000044</v>
      </c>
      <c r="Z522" s="494">
        <f t="shared" si="755"/>
        <v>3.7499999999999999E-2</v>
      </c>
      <c r="AA522" s="14">
        <f t="shared" si="756"/>
        <v>0</v>
      </c>
      <c r="AB522" s="14">
        <f t="shared" si="822"/>
        <v>0</v>
      </c>
      <c r="AC522" s="14">
        <f t="shared" si="757"/>
        <v>0</v>
      </c>
      <c r="AD522" s="14">
        <f t="shared" ref="AD522:AE522" si="839">+AD521</f>
        <v>134.16999999999999</v>
      </c>
      <c r="AE522" s="14">
        <f t="shared" si="839"/>
        <v>188.55</v>
      </c>
      <c r="AF522" s="14">
        <f t="shared" si="824"/>
        <v>322.72000000000003</v>
      </c>
      <c r="AG522" s="285">
        <f t="shared" si="825"/>
        <v>119321.42999999991</v>
      </c>
      <c r="AH522" s="285">
        <f t="shared" si="826"/>
        <v>579082.0500000004</v>
      </c>
      <c r="AI522" s="512">
        <f t="shared" si="818"/>
        <v>-118598.27999999985</v>
      </c>
      <c r="AJ522" s="512">
        <f t="shared" si="782"/>
        <v>-211871.97000000044</v>
      </c>
      <c r="AK522" s="512">
        <f t="shared" si="819"/>
        <v>-330470.25000000029</v>
      </c>
      <c r="AL522" s="285">
        <f t="shared" si="827"/>
        <v>211871.97000000044</v>
      </c>
      <c r="AM522" s="425">
        <f t="shared" si="763"/>
        <v>0</v>
      </c>
    </row>
    <row r="523" spans="1:49" x14ac:dyDescent="0.25">
      <c r="A523" s="502"/>
      <c r="L523" s="425">
        <f t="shared" si="803"/>
        <v>0</v>
      </c>
      <c r="M523" s="425"/>
      <c r="X523" s="502">
        <f t="shared" si="761"/>
        <v>0</v>
      </c>
      <c r="Y523" s="285">
        <f t="shared" si="821"/>
        <v>211871.97000000044</v>
      </c>
      <c r="Z523" s="494">
        <f t="shared" si="755"/>
        <v>3.7499999999999999E-2</v>
      </c>
      <c r="AA523" s="14">
        <f t="shared" si="756"/>
        <v>0</v>
      </c>
      <c r="AB523" s="14">
        <f t="shared" si="822"/>
        <v>0</v>
      </c>
      <c r="AC523" s="14">
        <f t="shared" si="757"/>
        <v>0</v>
      </c>
      <c r="AD523" s="14">
        <f t="shared" ref="AD523:AE523" si="840">+AD522</f>
        <v>134.16999999999999</v>
      </c>
      <c r="AE523" s="14">
        <f t="shared" si="840"/>
        <v>188.55</v>
      </c>
      <c r="AF523" s="14">
        <f t="shared" si="824"/>
        <v>322.72000000000003</v>
      </c>
      <c r="AG523" s="285">
        <f t="shared" si="825"/>
        <v>119321.42999999991</v>
      </c>
      <c r="AH523" s="285">
        <f t="shared" si="826"/>
        <v>579082.0500000004</v>
      </c>
      <c r="AI523" s="512">
        <f t="shared" si="818"/>
        <v>-118598.27999999985</v>
      </c>
      <c r="AJ523" s="512">
        <f t="shared" si="782"/>
        <v>-211871.97000000044</v>
      </c>
      <c r="AK523" s="512">
        <f t="shared" si="819"/>
        <v>-330470.25000000029</v>
      </c>
      <c r="AL523" s="285">
        <f t="shared" si="827"/>
        <v>211871.97000000044</v>
      </c>
      <c r="AM523" s="425">
        <f t="shared" si="763"/>
        <v>0</v>
      </c>
    </row>
    <row r="524" spans="1:49" x14ac:dyDescent="0.25">
      <c r="A524" s="502"/>
      <c r="L524" s="425">
        <f t="shared" si="803"/>
        <v>0</v>
      </c>
      <c r="M524" s="425"/>
      <c r="X524" s="502">
        <f t="shared" si="761"/>
        <v>0</v>
      </c>
      <c r="Y524" s="285">
        <f t="shared" si="821"/>
        <v>211871.97000000044</v>
      </c>
      <c r="Z524" s="494">
        <f t="shared" si="755"/>
        <v>3.7499999999999999E-2</v>
      </c>
      <c r="AA524" s="14">
        <f t="shared" si="756"/>
        <v>0</v>
      </c>
      <c r="AB524" s="14">
        <f t="shared" si="822"/>
        <v>0</v>
      </c>
      <c r="AC524" s="14">
        <f t="shared" si="757"/>
        <v>0</v>
      </c>
      <c r="AD524" s="14">
        <f t="shared" ref="AD524:AE524" si="841">+AD523</f>
        <v>134.16999999999999</v>
      </c>
      <c r="AE524" s="14">
        <f t="shared" si="841"/>
        <v>188.55</v>
      </c>
      <c r="AF524" s="14">
        <f t="shared" si="824"/>
        <v>322.72000000000003</v>
      </c>
      <c r="AG524" s="285">
        <f t="shared" si="825"/>
        <v>119321.42999999991</v>
      </c>
      <c r="AH524" s="285">
        <f t="shared" si="826"/>
        <v>579082.0500000004</v>
      </c>
      <c r="AI524" s="512">
        <f t="shared" si="818"/>
        <v>-118598.27999999985</v>
      </c>
      <c r="AJ524" s="512">
        <f t="shared" si="782"/>
        <v>-211871.97000000044</v>
      </c>
      <c r="AK524" s="512">
        <f t="shared" si="819"/>
        <v>-330470.25000000029</v>
      </c>
      <c r="AL524" s="285">
        <f t="shared" si="827"/>
        <v>211871.97000000044</v>
      </c>
      <c r="AM524" s="425">
        <f t="shared" si="763"/>
        <v>0</v>
      </c>
    </row>
    <row r="525" spans="1:49" x14ac:dyDescent="0.25">
      <c r="A525" s="502"/>
      <c r="L525" s="425">
        <f t="shared" si="803"/>
        <v>0</v>
      </c>
      <c r="M525" s="425"/>
      <c r="X525" s="502">
        <f t="shared" si="761"/>
        <v>0</v>
      </c>
      <c r="Y525" s="285">
        <f t="shared" si="821"/>
        <v>211871.97000000044</v>
      </c>
      <c r="Z525" s="494">
        <f t="shared" si="755"/>
        <v>3.7499999999999999E-2</v>
      </c>
      <c r="AA525" s="14">
        <f t="shared" si="756"/>
        <v>0</v>
      </c>
      <c r="AB525" s="14">
        <f t="shared" si="822"/>
        <v>0</v>
      </c>
      <c r="AC525" s="14">
        <f t="shared" si="757"/>
        <v>0</v>
      </c>
      <c r="AD525" s="14">
        <f t="shared" ref="AD525:AE525" si="842">+AD524</f>
        <v>134.16999999999999</v>
      </c>
      <c r="AE525" s="14">
        <f t="shared" si="842"/>
        <v>188.55</v>
      </c>
      <c r="AF525" s="14">
        <f t="shared" si="824"/>
        <v>322.72000000000003</v>
      </c>
      <c r="AG525" s="285">
        <f t="shared" si="825"/>
        <v>119321.42999999991</v>
      </c>
      <c r="AH525" s="285">
        <f t="shared" si="826"/>
        <v>579082.0500000004</v>
      </c>
      <c r="AI525" s="512">
        <f t="shared" si="818"/>
        <v>-118598.27999999985</v>
      </c>
      <c r="AJ525" s="512">
        <f t="shared" si="782"/>
        <v>-211871.97000000044</v>
      </c>
      <c r="AK525" s="512">
        <f t="shared" si="819"/>
        <v>-330470.25000000029</v>
      </c>
      <c r="AL525" s="285">
        <f t="shared" si="827"/>
        <v>211871.97000000044</v>
      </c>
      <c r="AM525" s="425">
        <f t="shared" si="763"/>
        <v>0</v>
      </c>
    </row>
    <row r="526" spans="1:49" x14ac:dyDescent="0.25">
      <c r="A526" s="502"/>
      <c r="L526" s="425">
        <f t="shared" si="803"/>
        <v>0</v>
      </c>
      <c r="M526" s="425"/>
      <c r="X526" s="502">
        <f t="shared" si="761"/>
        <v>0</v>
      </c>
      <c r="Y526" s="285">
        <f t="shared" si="821"/>
        <v>211871.97000000044</v>
      </c>
      <c r="Z526" s="494">
        <f t="shared" si="755"/>
        <v>3.7499999999999999E-2</v>
      </c>
      <c r="AA526" s="14">
        <f t="shared" si="756"/>
        <v>0</v>
      </c>
      <c r="AB526" s="14">
        <f t="shared" si="822"/>
        <v>0</v>
      </c>
      <c r="AC526" s="14">
        <f t="shared" si="757"/>
        <v>0</v>
      </c>
      <c r="AD526" s="14">
        <f t="shared" ref="AD526:AE526" si="843">+AD525</f>
        <v>134.16999999999999</v>
      </c>
      <c r="AE526" s="14">
        <f t="shared" si="843"/>
        <v>188.55</v>
      </c>
      <c r="AF526" s="14">
        <f t="shared" si="824"/>
        <v>322.72000000000003</v>
      </c>
      <c r="AG526" s="285">
        <f t="shared" si="825"/>
        <v>119321.42999999991</v>
      </c>
      <c r="AH526" s="285">
        <f t="shared" si="826"/>
        <v>579082.0500000004</v>
      </c>
      <c r="AI526" s="512">
        <f t="shared" si="818"/>
        <v>-118598.27999999985</v>
      </c>
      <c r="AJ526" s="512">
        <f t="shared" si="782"/>
        <v>-211871.97000000044</v>
      </c>
      <c r="AK526" s="512">
        <f t="shared" si="819"/>
        <v>-330470.25000000029</v>
      </c>
      <c r="AL526" s="285">
        <f t="shared" si="827"/>
        <v>211871.97000000044</v>
      </c>
      <c r="AM526" s="425">
        <f t="shared" si="763"/>
        <v>0</v>
      </c>
    </row>
    <row r="527" spans="1:49" x14ac:dyDescent="0.25">
      <c r="A527" s="502"/>
      <c r="L527" s="425">
        <f t="shared" si="803"/>
        <v>0</v>
      </c>
      <c r="M527" s="425"/>
      <c r="X527" s="502">
        <f t="shared" si="761"/>
        <v>0</v>
      </c>
      <c r="Y527" s="285">
        <f t="shared" si="821"/>
        <v>211871.97000000044</v>
      </c>
      <c r="Z527" s="494">
        <f t="shared" ref="Z527:Z543" si="844">IF(L527&gt;4,$AA$9,$AA$8)</f>
        <v>3.7499999999999999E-2</v>
      </c>
      <c r="AA527" s="14">
        <f t="shared" ref="AA527:AA543" si="845">IF($O$9&lt;=$A527,IF(+AL526&lt;=0,0,IF(Z527=$AA$8,$Z$8,$Z$9)),0)</f>
        <v>0</v>
      </c>
      <c r="AB527" s="14">
        <f t="shared" si="822"/>
        <v>0</v>
      </c>
      <c r="AC527" s="14">
        <f t="shared" ref="AC527:AC543" si="846">IF($O$9&lt;=$A527,ROUND(Y527*(Z527/12),2),0)</f>
        <v>0</v>
      </c>
      <c r="AD527" s="14">
        <f t="shared" ref="AD527:AE527" si="847">+AD526</f>
        <v>134.16999999999999</v>
      </c>
      <c r="AE527" s="14">
        <f t="shared" si="847"/>
        <v>188.55</v>
      </c>
      <c r="AF527" s="14">
        <f t="shared" si="824"/>
        <v>322.72000000000003</v>
      </c>
      <c r="AG527" s="285">
        <f t="shared" si="825"/>
        <v>119321.42999999991</v>
      </c>
      <c r="AH527" s="285">
        <f t="shared" si="826"/>
        <v>579082.0500000004</v>
      </c>
      <c r="AI527" s="512">
        <f t="shared" si="818"/>
        <v>-118598.27999999985</v>
      </c>
      <c r="AJ527" s="512">
        <f t="shared" si="782"/>
        <v>-211871.97000000044</v>
      </c>
      <c r="AK527" s="512">
        <f t="shared" si="819"/>
        <v>-330470.25000000029</v>
      </c>
      <c r="AL527" s="285">
        <f t="shared" si="827"/>
        <v>211871.97000000044</v>
      </c>
      <c r="AM527" s="425">
        <f t="shared" si="763"/>
        <v>0</v>
      </c>
    </row>
    <row r="528" spans="1:49" x14ac:dyDescent="0.25">
      <c r="A528" s="502"/>
      <c r="L528" s="425">
        <f t="shared" si="803"/>
        <v>0</v>
      </c>
      <c r="M528" s="425"/>
      <c r="X528" s="502">
        <f t="shared" ref="X528:X591" si="848">+A528</f>
        <v>0</v>
      </c>
      <c r="Y528" s="285">
        <f t="shared" si="821"/>
        <v>211871.97000000044</v>
      </c>
      <c r="Z528" s="494">
        <f t="shared" si="844"/>
        <v>3.7499999999999999E-2</v>
      </c>
      <c r="AA528" s="14">
        <f t="shared" si="845"/>
        <v>0</v>
      </c>
      <c r="AB528" s="14">
        <f t="shared" si="822"/>
        <v>0</v>
      </c>
      <c r="AC528" s="14">
        <f t="shared" si="846"/>
        <v>0</v>
      </c>
      <c r="AD528" s="14">
        <f t="shared" ref="AD528:AE528" si="849">+AD527</f>
        <v>134.16999999999999</v>
      </c>
      <c r="AE528" s="14">
        <f t="shared" si="849"/>
        <v>188.55</v>
      </c>
      <c r="AF528" s="14">
        <f t="shared" si="824"/>
        <v>322.72000000000003</v>
      </c>
      <c r="AG528" s="285">
        <f t="shared" si="825"/>
        <v>119321.42999999991</v>
      </c>
      <c r="AH528" s="285">
        <f t="shared" si="826"/>
        <v>579082.0500000004</v>
      </c>
      <c r="AI528" s="512">
        <f t="shared" si="818"/>
        <v>-118598.27999999985</v>
      </c>
      <c r="AJ528" s="512">
        <f t="shared" si="782"/>
        <v>-211871.97000000044</v>
      </c>
      <c r="AK528" s="512">
        <f t="shared" si="819"/>
        <v>-330470.25000000029</v>
      </c>
      <c r="AL528" s="285">
        <f t="shared" si="827"/>
        <v>211871.97000000044</v>
      </c>
      <c r="AM528" s="425">
        <f t="shared" ref="AM528:AM591" si="850">+L528</f>
        <v>0</v>
      </c>
    </row>
    <row r="529" spans="1:49" x14ac:dyDescent="0.25">
      <c r="A529" s="502"/>
      <c r="L529" s="425">
        <f t="shared" si="803"/>
        <v>0</v>
      </c>
      <c r="M529" s="425"/>
      <c r="X529" s="502">
        <f t="shared" si="848"/>
        <v>0</v>
      </c>
      <c r="Y529" s="285">
        <f t="shared" si="821"/>
        <v>211871.97000000044</v>
      </c>
      <c r="Z529" s="494">
        <f t="shared" si="844"/>
        <v>3.7499999999999999E-2</v>
      </c>
      <c r="AA529" s="14">
        <f t="shared" si="845"/>
        <v>0</v>
      </c>
      <c r="AB529" s="14">
        <f t="shared" si="822"/>
        <v>0</v>
      </c>
      <c r="AC529" s="14">
        <f t="shared" si="846"/>
        <v>0</v>
      </c>
      <c r="AD529" s="14">
        <f t="shared" ref="AD529:AE529" si="851">+AD528</f>
        <v>134.16999999999999</v>
      </c>
      <c r="AE529" s="14">
        <f t="shared" si="851"/>
        <v>188.55</v>
      </c>
      <c r="AF529" s="14">
        <f t="shared" si="824"/>
        <v>322.72000000000003</v>
      </c>
      <c r="AG529" s="285">
        <f t="shared" si="825"/>
        <v>119321.42999999991</v>
      </c>
      <c r="AH529" s="285">
        <f t="shared" si="826"/>
        <v>579082.0500000004</v>
      </c>
      <c r="AI529" s="512">
        <f t="shared" si="818"/>
        <v>-118598.27999999985</v>
      </c>
      <c r="AJ529" s="512">
        <f t="shared" si="782"/>
        <v>-211871.97000000044</v>
      </c>
      <c r="AK529" s="512">
        <f t="shared" si="819"/>
        <v>-330470.25000000029</v>
      </c>
      <c r="AL529" s="285">
        <f t="shared" si="827"/>
        <v>211871.97000000044</v>
      </c>
      <c r="AM529" s="425">
        <f t="shared" si="850"/>
        <v>0</v>
      </c>
    </row>
    <row r="530" spans="1:49" ht="15.75" thickBot="1" x14ac:dyDescent="0.3">
      <c r="A530" s="505"/>
      <c r="B530" s="345"/>
      <c r="C530" s="21"/>
      <c r="D530" s="21"/>
      <c r="E530" s="21"/>
      <c r="F530" s="21"/>
      <c r="G530" s="21"/>
      <c r="H530" s="21"/>
      <c r="I530" s="345"/>
      <c r="J530" s="345"/>
      <c r="K530" s="345"/>
      <c r="L530" s="426">
        <f t="shared" si="803"/>
        <v>0</v>
      </c>
      <c r="M530" s="426"/>
      <c r="N530" s="345"/>
      <c r="U530" s="345"/>
      <c r="V530" s="345"/>
      <c r="W530" s="345"/>
      <c r="X530" s="505">
        <f t="shared" si="848"/>
        <v>0</v>
      </c>
      <c r="Y530" s="285">
        <f t="shared" si="821"/>
        <v>211871.97000000044</v>
      </c>
      <c r="Z530" s="494">
        <f t="shared" si="844"/>
        <v>3.7499999999999999E-2</v>
      </c>
      <c r="AA530" s="14">
        <f t="shared" si="845"/>
        <v>0</v>
      </c>
      <c r="AB530" s="14">
        <f t="shared" si="822"/>
        <v>0</v>
      </c>
      <c r="AC530" s="14">
        <f t="shared" si="846"/>
        <v>0</v>
      </c>
      <c r="AD530" s="14">
        <f t="shared" ref="AD530:AE530" si="852">+AD529</f>
        <v>134.16999999999999</v>
      </c>
      <c r="AE530" s="14">
        <f t="shared" si="852"/>
        <v>188.55</v>
      </c>
      <c r="AF530" s="14">
        <f t="shared" si="824"/>
        <v>322.72000000000003</v>
      </c>
      <c r="AG530" s="285">
        <f t="shared" si="825"/>
        <v>119321.42999999991</v>
      </c>
      <c r="AH530" s="285">
        <f t="shared" si="826"/>
        <v>579082.0500000004</v>
      </c>
      <c r="AI530" s="512">
        <f t="shared" si="818"/>
        <v>-118598.27999999985</v>
      </c>
      <c r="AJ530" s="512">
        <f t="shared" si="782"/>
        <v>-211871.97000000044</v>
      </c>
      <c r="AK530" s="512">
        <f t="shared" si="819"/>
        <v>-330470.25000000029</v>
      </c>
      <c r="AL530" s="285">
        <f t="shared" si="827"/>
        <v>211871.97000000044</v>
      </c>
      <c r="AM530" s="426">
        <f t="shared" si="850"/>
        <v>0</v>
      </c>
      <c r="AN530" s="21"/>
      <c r="AO530" s="21"/>
      <c r="AP530" s="21"/>
      <c r="AQ530" s="21"/>
      <c r="AR530" s="23"/>
      <c r="AS530" s="21"/>
      <c r="AT530" s="21"/>
      <c r="AU530" s="345"/>
      <c r="AV530" s="345"/>
      <c r="AW530" s="21"/>
    </row>
    <row r="531" spans="1:49" x14ac:dyDescent="0.25">
      <c r="A531" s="502"/>
      <c r="L531" s="425">
        <f t="shared" si="803"/>
        <v>0</v>
      </c>
      <c r="M531" s="425"/>
      <c r="X531" s="502">
        <f t="shared" si="848"/>
        <v>0</v>
      </c>
      <c r="Y531" s="285">
        <f t="shared" si="821"/>
        <v>211871.97000000044</v>
      </c>
      <c r="Z531" s="494">
        <f t="shared" si="844"/>
        <v>3.7499999999999999E-2</v>
      </c>
      <c r="AA531" s="14">
        <f t="shared" si="845"/>
        <v>0</v>
      </c>
      <c r="AB531" s="14">
        <f t="shared" si="822"/>
        <v>0</v>
      </c>
      <c r="AC531" s="14">
        <f t="shared" si="846"/>
        <v>0</v>
      </c>
      <c r="AD531" s="14">
        <f t="shared" ref="AD531:AE531" si="853">+AD530</f>
        <v>134.16999999999999</v>
      </c>
      <c r="AE531" s="14">
        <f t="shared" si="853"/>
        <v>188.55</v>
      </c>
      <c r="AF531" s="14">
        <f t="shared" si="824"/>
        <v>322.72000000000003</v>
      </c>
      <c r="AG531" s="285">
        <f t="shared" si="825"/>
        <v>119321.42999999991</v>
      </c>
      <c r="AH531" s="285">
        <f t="shared" si="826"/>
        <v>579082.0500000004</v>
      </c>
      <c r="AI531" s="512">
        <f t="shared" si="818"/>
        <v>-118598.27999999985</v>
      </c>
      <c r="AJ531" s="512">
        <f t="shared" si="782"/>
        <v>-211871.97000000044</v>
      </c>
      <c r="AK531" s="512">
        <f t="shared" si="819"/>
        <v>-330470.25000000029</v>
      </c>
      <c r="AL531" s="285">
        <f t="shared" si="827"/>
        <v>211871.97000000044</v>
      </c>
      <c r="AM531" s="425">
        <f t="shared" si="850"/>
        <v>0</v>
      </c>
    </row>
    <row r="532" spans="1:49" x14ac:dyDescent="0.25">
      <c r="A532" s="502"/>
      <c r="L532" s="425">
        <f t="shared" si="803"/>
        <v>0</v>
      </c>
      <c r="M532" s="425"/>
      <c r="X532" s="502">
        <f t="shared" si="848"/>
        <v>0</v>
      </c>
      <c r="Y532" s="285">
        <f t="shared" si="821"/>
        <v>211871.97000000044</v>
      </c>
      <c r="Z532" s="494">
        <f t="shared" si="844"/>
        <v>3.7499999999999999E-2</v>
      </c>
      <c r="AA532" s="14">
        <f t="shared" si="845"/>
        <v>0</v>
      </c>
      <c r="AB532" s="14">
        <f t="shared" si="822"/>
        <v>0</v>
      </c>
      <c r="AC532" s="14">
        <f t="shared" si="846"/>
        <v>0</v>
      </c>
      <c r="AD532" s="14">
        <f t="shared" ref="AD532:AE532" si="854">+AD531</f>
        <v>134.16999999999999</v>
      </c>
      <c r="AE532" s="14">
        <f t="shared" si="854"/>
        <v>188.55</v>
      </c>
      <c r="AF532" s="14">
        <f t="shared" si="824"/>
        <v>322.72000000000003</v>
      </c>
      <c r="AG532" s="285">
        <f t="shared" si="825"/>
        <v>119321.42999999991</v>
      </c>
      <c r="AH532" s="285">
        <f t="shared" si="826"/>
        <v>579082.0500000004</v>
      </c>
      <c r="AI532" s="512">
        <f t="shared" si="818"/>
        <v>-118598.27999999985</v>
      </c>
      <c r="AJ532" s="512">
        <f t="shared" si="782"/>
        <v>-211871.97000000044</v>
      </c>
      <c r="AK532" s="512">
        <f t="shared" si="819"/>
        <v>-330470.25000000029</v>
      </c>
      <c r="AL532" s="285">
        <f t="shared" si="827"/>
        <v>211871.97000000044</v>
      </c>
      <c r="AM532" s="425">
        <f t="shared" si="850"/>
        <v>0</v>
      </c>
    </row>
    <row r="533" spans="1:49" x14ac:dyDescent="0.25">
      <c r="A533" s="502"/>
      <c r="L533" s="425">
        <f t="shared" si="803"/>
        <v>0</v>
      </c>
      <c r="M533" s="425"/>
      <c r="X533" s="502">
        <f t="shared" si="848"/>
        <v>0</v>
      </c>
      <c r="Y533" s="285">
        <f t="shared" si="821"/>
        <v>211871.97000000044</v>
      </c>
      <c r="Z533" s="494">
        <f t="shared" si="844"/>
        <v>3.7499999999999999E-2</v>
      </c>
      <c r="AA533" s="14">
        <f t="shared" si="845"/>
        <v>0</v>
      </c>
      <c r="AB533" s="14">
        <f t="shared" si="822"/>
        <v>0</v>
      </c>
      <c r="AC533" s="14">
        <f t="shared" si="846"/>
        <v>0</v>
      </c>
      <c r="AD533" s="14">
        <f t="shared" ref="AD533:AE533" si="855">+AD532</f>
        <v>134.16999999999999</v>
      </c>
      <c r="AE533" s="14">
        <f t="shared" si="855"/>
        <v>188.55</v>
      </c>
      <c r="AF533" s="14">
        <f t="shared" si="824"/>
        <v>322.72000000000003</v>
      </c>
      <c r="AG533" s="285">
        <f t="shared" si="825"/>
        <v>119321.42999999991</v>
      </c>
      <c r="AH533" s="285">
        <f t="shared" si="826"/>
        <v>579082.0500000004</v>
      </c>
      <c r="AI533" s="512">
        <f t="shared" si="818"/>
        <v>-118598.27999999985</v>
      </c>
      <c r="AJ533" s="512">
        <f t="shared" si="782"/>
        <v>-211871.97000000044</v>
      </c>
      <c r="AK533" s="512">
        <f t="shared" si="819"/>
        <v>-330470.25000000029</v>
      </c>
      <c r="AL533" s="285">
        <f t="shared" si="827"/>
        <v>211871.97000000044</v>
      </c>
      <c r="AM533" s="425">
        <f t="shared" si="850"/>
        <v>0</v>
      </c>
    </row>
    <row r="534" spans="1:49" x14ac:dyDescent="0.25">
      <c r="A534" s="502"/>
      <c r="L534" s="425">
        <f t="shared" si="803"/>
        <v>0</v>
      </c>
      <c r="M534" s="425"/>
      <c r="X534" s="502">
        <f t="shared" si="848"/>
        <v>0</v>
      </c>
      <c r="Y534" s="285">
        <f t="shared" si="821"/>
        <v>211871.97000000044</v>
      </c>
      <c r="Z534" s="494">
        <f t="shared" si="844"/>
        <v>3.7499999999999999E-2</v>
      </c>
      <c r="AA534" s="14">
        <f t="shared" si="845"/>
        <v>0</v>
      </c>
      <c r="AB534" s="14">
        <f t="shared" si="822"/>
        <v>0</v>
      </c>
      <c r="AC534" s="14">
        <f t="shared" si="846"/>
        <v>0</v>
      </c>
      <c r="AD534" s="14">
        <f t="shared" ref="AD534:AE534" si="856">+AD533</f>
        <v>134.16999999999999</v>
      </c>
      <c r="AE534" s="14">
        <f t="shared" si="856"/>
        <v>188.55</v>
      </c>
      <c r="AF534" s="14">
        <f t="shared" si="824"/>
        <v>322.72000000000003</v>
      </c>
      <c r="AG534" s="285">
        <f t="shared" si="825"/>
        <v>119321.42999999991</v>
      </c>
      <c r="AH534" s="285">
        <f t="shared" si="826"/>
        <v>579082.0500000004</v>
      </c>
      <c r="AI534" s="512">
        <f t="shared" si="818"/>
        <v>-118598.27999999985</v>
      </c>
      <c r="AJ534" s="512">
        <f t="shared" si="782"/>
        <v>-211871.97000000044</v>
      </c>
      <c r="AK534" s="512">
        <f t="shared" si="819"/>
        <v>-330470.25000000029</v>
      </c>
      <c r="AL534" s="285">
        <f t="shared" si="827"/>
        <v>211871.97000000044</v>
      </c>
      <c r="AM534" s="425">
        <f t="shared" si="850"/>
        <v>0</v>
      </c>
    </row>
    <row r="535" spans="1:49" x14ac:dyDescent="0.25">
      <c r="A535" s="502"/>
      <c r="L535" s="425">
        <f t="shared" si="803"/>
        <v>0</v>
      </c>
      <c r="M535" s="425"/>
      <c r="X535" s="502">
        <f t="shared" si="848"/>
        <v>0</v>
      </c>
      <c r="Y535" s="285">
        <f t="shared" si="821"/>
        <v>211871.97000000044</v>
      </c>
      <c r="Z535" s="494">
        <f t="shared" si="844"/>
        <v>3.7499999999999999E-2</v>
      </c>
      <c r="AA535" s="14">
        <f t="shared" si="845"/>
        <v>0</v>
      </c>
      <c r="AB535" s="14">
        <f t="shared" si="822"/>
        <v>0</v>
      </c>
      <c r="AC535" s="14">
        <f t="shared" si="846"/>
        <v>0</v>
      </c>
      <c r="AD535" s="14">
        <f t="shared" ref="AD535:AE535" si="857">+AD534</f>
        <v>134.16999999999999</v>
      </c>
      <c r="AE535" s="14">
        <f t="shared" si="857"/>
        <v>188.55</v>
      </c>
      <c r="AF535" s="14">
        <f t="shared" si="824"/>
        <v>322.72000000000003</v>
      </c>
      <c r="AG535" s="285">
        <f t="shared" si="825"/>
        <v>119321.42999999991</v>
      </c>
      <c r="AH535" s="285">
        <f t="shared" si="826"/>
        <v>579082.0500000004</v>
      </c>
      <c r="AI535" s="512">
        <f t="shared" si="818"/>
        <v>-118598.27999999985</v>
      </c>
      <c r="AJ535" s="512">
        <f t="shared" si="782"/>
        <v>-211871.97000000044</v>
      </c>
      <c r="AK535" s="512">
        <f t="shared" si="819"/>
        <v>-330470.25000000029</v>
      </c>
      <c r="AL535" s="285">
        <f t="shared" si="827"/>
        <v>211871.97000000044</v>
      </c>
      <c r="AM535" s="425">
        <f t="shared" si="850"/>
        <v>0</v>
      </c>
    </row>
    <row r="536" spans="1:49" x14ac:dyDescent="0.25">
      <c r="A536" s="502"/>
      <c r="L536" s="425">
        <f t="shared" si="803"/>
        <v>0</v>
      </c>
      <c r="M536" s="425"/>
      <c r="X536" s="502">
        <f t="shared" si="848"/>
        <v>0</v>
      </c>
      <c r="Y536" s="285">
        <f t="shared" si="821"/>
        <v>211871.97000000044</v>
      </c>
      <c r="Z536" s="494">
        <f t="shared" si="844"/>
        <v>3.7499999999999999E-2</v>
      </c>
      <c r="AA536" s="14">
        <f t="shared" si="845"/>
        <v>0</v>
      </c>
      <c r="AB536" s="14">
        <f t="shared" si="822"/>
        <v>0</v>
      </c>
      <c r="AC536" s="14">
        <f t="shared" si="846"/>
        <v>0</v>
      </c>
      <c r="AD536" s="14">
        <f t="shared" ref="AD536:AE536" si="858">+AD535</f>
        <v>134.16999999999999</v>
      </c>
      <c r="AE536" s="14">
        <f t="shared" si="858"/>
        <v>188.55</v>
      </c>
      <c r="AF536" s="14">
        <f t="shared" si="824"/>
        <v>322.72000000000003</v>
      </c>
      <c r="AG536" s="285">
        <f t="shared" si="825"/>
        <v>119321.42999999991</v>
      </c>
      <c r="AH536" s="285">
        <f t="shared" si="826"/>
        <v>579082.0500000004</v>
      </c>
      <c r="AI536" s="512">
        <f t="shared" si="818"/>
        <v>-118598.27999999985</v>
      </c>
      <c r="AJ536" s="512">
        <f t="shared" si="782"/>
        <v>-211871.97000000044</v>
      </c>
      <c r="AK536" s="512">
        <f t="shared" si="819"/>
        <v>-330470.25000000029</v>
      </c>
      <c r="AL536" s="285">
        <f t="shared" si="827"/>
        <v>211871.97000000044</v>
      </c>
      <c r="AM536" s="425">
        <f t="shared" si="850"/>
        <v>0</v>
      </c>
    </row>
    <row r="537" spans="1:49" x14ac:dyDescent="0.25">
      <c r="A537" s="502"/>
      <c r="L537" s="425">
        <f t="shared" si="803"/>
        <v>0</v>
      </c>
      <c r="M537" s="425"/>
      <c r="X537" s="502">
        <f t="shared" si="848"/>
        <v>0</v>
      </c>
      <c r="Y537" s="285">
        <f t="shared" si="821"/>
        <v>211871.97000000044</v>
      </c>
      <c r="Z537" s="494">
        <f t="shared" si="844"/>
        <v>3.7499999999999999E-2</v>
      </c>
      <c r="AA537" s="14">
        <f t="shared" si="845"/>
        <v>0</v>
      </c>
      <c r="AB537" s="14">
        <f t="shared" si="822"/>
        <v>0</v>
      </c>
      <c r="AC537" s="14">
        <f t="shared" si="846"/>
        <v>0</v>
      </c>
      <c r="AD537" s="14">
        <f t="shared" ref="AD537:AE537" si="859">+AD536</f>
        <v>134.16999999999999</v>
      </c>
      <c r="AE537" s="14">
        <f t="shared" si="859"/>
        <v>188.55</v>
      </c>
      <c r="AF537" s="14">
        <f t="shared" si="824"/>
        <v>322.72000000000003</v>
      </c>
      <c r="AG537" s="285">
        <f t="shared" si="825"/>
        <v>119321.42999999991</v>
      </c>
      <c r="AH537" s="285">
        <f t="shared" si="826"/>
        <v>579082.0500000004</v>
      </c>
      <c r="AI537" s="512">
        <f t="shared" si="818"/>
        <v>-118598.27999999985</v>
      </c>
      <c r="AJ537" s="512">
        <f t="shared" si="782"/>
        <v>-211871.97000000044</v>
      </c>
      <c r="AK537" s="512">
        <f t="shared" si="819"/>
        <v>-330470.25000000029</v>
      </c>
      <c r="AL537" s="285">
        <f t="shared" si="827"/>
        <v>211871.97000000044</v>
      </c>
      <c r="AM537" s="425">
        <f t="shared" si="850"/>
        <v>0</v>
      </c>
    </row>
    <row r="538" spans="1:49" x14ac:dyDescent="0.25">
      <c r="A538" s="502"/>
      <c r="L538" s="425">
        <f t="shared" si="803"/>
        <v>0</v>
      </c>
      <c r="M538" s="425"/>
      <c r="X538" s="502">
        <f t="shared" si="848"/>
        <v>0</v>
      </c>
      <c r="Y538" s="285">
        <f t="shared" si="821"/>
        <v>211871.97000000044</v>
      </c>
      <c r="Z538" s="494">
        <f t="shared" si="844"/>
        <v>3.7499999999999999E-2</v>
      </c>
      <c r="AA538" s="14">
        <f t="shared" si="845"/>
        <v>0</v>
      </c>
      <c r="AB538" s="14">
        <f t="shared" si="822"/>
        <v>0</v>
      </c>
      <c r="AC538" s="14">
        <f t="shared" si="846"/>
        <v>0</v>
      </c>
      <c r="AD538" s="14">
        <f t="shared" ref="AD538:AE538" si="860">+AD537</f>
        <v>134.16999999999999</v>
      </c>
      <c r="AE538" s="14">
        <f t="shared" si="860"/>
        <v>188.55</v>
      </c>
      <c r="AF538" s="14">
        <f t="shared" si="824"/>
        <v>322.72000000000003</v>
      </c>
      <c r="AG538" s="285">
        <f t="shared" si="825"/>
        <v>119321.42999999991</v>
      </c>
      <c r="AH538" s="285">
        <f t="shared" si="826"/>
        <v>579082.0500000004</v>
      </c>
      <c r="AI538" s="512">
        <f t="shared" si="818"/>
        <v>-118598.27999999985</v>
      </c>
      <c r="AJ538" s="512">
        <f t="shared" si="782"/>
        <v>-211871.97000000044</v>
      </c>
      <c r="AK538" s="512">
        <f t="shared" si="819"/>
        <v>-330470.25000000029</v>
      </c>
      <c r="AL538" s="285">
        <f t="shared" si="827"/>
        <v>211871.97000000044</v>
      </c>
      <c r="AM538" s="425">
        <f t="shared" si="850"/>
        <v>0</v>
      </c>
    </row>
    <row r="539" spans="1:49" x14ac:dyDescent="0.25">
      <c r="A539" s="502"/>
      <c r="L539" s="425">
        <f t="shared" si="803"/>
        <v>0</v>
      </c>
      <c r="M539" s="425"/>
      <c r="X539" s="502">
        <f t="shared" si="848"/>
        <v>0</v>
      </c>
      <c r="Y539" s="285">
        <f t="shared" si="821"/>
        <v>211871.97000000044</v>
      </c>
      <c r="Z539" s="494">
        <f t="shared" si="844"/>
        <v>3.7499999999999999E-2</v>
      </c>
      <c r="AA539" s="14">
        <f t="shared" si="845"/>
        <v>0</v>
      </c>
      <c r="AB539" s="14">
        <f t="shared" si="822"/>
        <v>0</v>
      </c>
      <c r="AC539" s="14">
        <f t="shared" si="846"/>
        <v>0</v>
      </c>
      <c r="AD539" s="14">
        <f t="shared" ref="AD539:AE539" si="861">+AD538</f>
        <v>134.16999999999999</v>
      </c>
      <c r="AE539" s="14">
        <f t="shared" si="861"/>
        <v>188.55</v>
      </c>
      <c r="AF539" s="14">
        <f t="shared" si="824"/>
        <v>322.72000000000003</v>
      </c>
      <c r="AG539" s="285">
        <f t="shared" si="825"/>
        <v>119321.42999999991</v>
      </c>
      <c r="AH539" s="285">
        <f t="shared" si="826"/>
        <v>579082.0500000004</v>
      </c>
      <c r="AI539" s="512">
        <f t="shared" si="818"/>
        <v>-118598.27999999985</v>
      </c>
      <c r="AJ539" s="512">
        <f t="shared" ref="AJ539:AJ543" si="862">+W539-AL539</f>
        <v>-211871.97000000044</v>
      </c>
      <c r="AK539" s="512">
        <f t="shared" si="819"/>
        <v>-330470.25000000029</v>
      </c>
      <c r="AL539" s="285">
        <f t="shared" si="827"/>
        <v>211871.97000000044</v>
      </c>
      <c r="AM539" s="425">
        <f t="shared" si="850"/>
        <v>0</v>
      </c>
    </row>
    <row r="540" spans="1:49" x14ac:dyDescent="0.25">
      <c r="A540" s="502"/>
      <c r="L540" s="425">
        <f t="shared" si="803"/>
        <v>0</v>
      </c>
      <c r="M540" s="425"/>
      <c r="X540" s="502">
        <f t="shared" si="848"/>
        <v>0</v>
      </c>
      <c r="Y540" s="285">
        <f t="shared" si="821"/>
        <v>211871.97000000044</v>
      </c>
      <c r="Z540" s="494">
        <f t="shared" si="844"/>
        <v>3.7499999999999999E-2</v>
      </c>
      <c r="AA540" s="14">
        <f t="shared" si="845"/>
        <v>0</v>
      </c>
      <c r="AB540" s="14">
        <f t="shared" si="822"/>
        <v>0</v>
      </c>
      <c r="AC540" s="14">
        <f t="shared" si="846"/>
        <v>0</v>
      </c>
      <c r="AD540" s="14">
        <f t="shared" ref="AD540:AE540" si="863">+AD539</f>
        <v>134.16999999999999</v>
      </c>
      <c r="AE540" s="14">
        <f t="shared" si="863"/>
        <v>188.55</v>
      </c>
      <c r="AF540" s="14">
        <f t="shared" si="824"/>
        <v>322.72000000000003</v>
      </c>
      <c r="AG540" s="285">
        <f t="shared" si="825"/>
        <v>119321.42999999991</v>
      </c>
      <c r="AH540" s="285">
        <f t="shared" si="826"/>
        <v>579082.0500000004</v>
      </c>
      <c r="AI540" s="512">
        <f t="shared" si="818"/>
        <v>-118598.27999999985</v>
      </c>
      <c r="AJ540" s="512">
        <f t="shared" si="862"/>
        <v>-211871.97000000044</v>
      </c>
      <c r="AK540" s="512">
        <f t="shared" si="819"/>
        <v>-330470.25000000029</v>
      </c>
      <c r="AL540" s="285">
        <f t="shared" si="827"/>
        <v>211871.97000000044</v>
      </c>
      <c r="AM540" s="425">
        <f t="shared" si="850"/>
        <v>0</v>
      </c>
    </row>
    <row r="541" spans="1:49" x14ac:dyDescent="0.25">
      <c r="A541" s="502"/>
      <c r="L541" s="425">
        <f t="shared" si="803"/>
        <v>0</v>
      </c>
      <c r="M541" s="425"/>
      <c r="X541" s="502">
        <f t="shared" si="848"/>
        <v>0</v>
      </c>
      <c r="Y541" s="285">
        <f t="shared" si="821"/>
        <v>211871.97000000044</v>
      </c>
      <c r="Z541" s="494">
        <f t="shared" si="844"/>
        <v>3.7499999999999999E-2</v>
      </c>
      <c r="AA541" s="14">
        <f t="shared" si="845"/>
        <v>0</v>
      </c>
      <c r="AB541" s="14">
        <f t="shared" si="822"/>
        <v>0</v>
      </c>
      <c r="AC541" s="14">
        <f t="shared" si="846"/>
        <v>0</v>
      </c>
      <c r="AD541" s="14">
        <f t="shared" ref="AD541:AE541" si="864">+AD540</f>
        <v>134.16999999999999</v>
      </c>
      <c r="AE541" s="14">
        <f t="shared" si="864"/>
        <v>188.55</v>
      </c>
      <c r="AF541" s="14">
        <f t="shared" si="824"/>
        <v>322.72000000000003</v>
      </c>
      <c r="AG541" s="285">
        <f t="shared" si="825"/>
        <v>119321.42999999991</v>
      </c>
      <c r="AH541" s="285">
        <f t="shared" si="826"/>
        <v>579082.0500000004</v>
      </c>
      <c r="AI541" s="512">
        <f t="shared" si="818"/>
        <v>-118598.27999999985</v>
      </c>
      <c r="AJ541" s="512">
        <f t="shared" si="862"/>
        <v>-211871.97000000044</v>
      </c>
      <c r="AK541" s="512">
        <f t="shared" si="819"/>
        <v>-330470.25000000029</v>
      </c>
      <c r="AL541" s="285">
        <f t="shared" si="827"/>
        <v>211871.97000000044</v>
      </c>
      <c r="AM541" s="425">
        <f t="shared" si="850"/>
        <v>0</v>
      </c>
    </row>
    <row r="542" spans="1:49" ht="15.75" thickBot="1" x14ac:dyDescent="0.3">
      <c r="A542" s="505"/>
      <c r="B542" s="345"/>
      <c r="C542" s="21"/>
      <c r="D542" s="21"/>
      <c r="E542" s="21"/>
      <c r="F542" s="21"/>
      <c r="G542" s="21"/>
      <c r="H542" s="21"/>
      <c r="I542" s="345"/>
      <c r="J542" s="345"/>
      <c r="K542" s="345"/>
      <c r="L542" s="426">
        <f t="shared" si="803"/>
        <v>0</v>
      </c>
      <c r="M542" s="426"/>
      <c r="N542" s="345"/>
      <c r="U542" s="345"/>
      <c r="V542" s="345"/>
      <c r="W542" s="345"/>
      <c r="X542" s="505">
        <f t="shared" si="848"/>
        <v>0</v>
      </c>
      <c r="Y542" s="285">
        <f t="shared" si="821"/>
        <v>211871.97000000044</v>
      </c>
      <c r="Z542" s="494">
        <f t="shared" si="844"/>
        <v>3.7499999999999999E-2</v>
      </c>
      <c r="AA542" s="14">
        <f t="shared" si="845"/>
        <v>0</v>
      </c>
      <c r="AB542" s="14">
        <f t="shared" si="822"/>
        <v>0</v>
      </c>
      <c r="AC542" s="14">
        <f t="shared" si="846"/>
        <v>0</v>
      </c>
      <c r="AD542" s="14">
        <f t="shared" ref="AD542:AE542" si="865">+AD541</f>
        <v>134.16999999999999</v>
      </c>
      <c r="AE542" s="14">
        <f t="shared" si="865"/>
        <v>188.55</v>
      </c>
      <c r="AF542" s="14">
        <f t="shared" si="824"/>
        <v>322.72000000000003</v>
      </c>
      <c r="AG542" s="285">
        <f t="shared" si="825"/>
        <v>119321.42999999991</v>
      </c>
      <c r="AH542" s="285">
        <f t="shared" si="826"/>
        <v>579082.0500000004</v>
      </c>
      <c r="AI542" s="512">
        <f t="shared" si="818"/>
        <v>-118598.27999999985</v>
      </c>
      <c r="AJ542" s="512">
        <f t="shared" si="862"/>
        <v>-211871.97000000044</v>
      </c>
      <c r="AK542" s="512">
        <f t="shared" si="819"/>
        <v>-330470.25000000029</v>
      </c>
      <c r="AL542" s="285">
        <f t="shared" si="827"/>
        <v>211871.97000000044</v>
      </c>
      <c r="AM542" s="426">
        <f t="shared" si="850"/>
        <v>0</v>
      </c>
      <c r="AN542" s="21"/>
      <c r="AO542" s="21"/>
      <c r="AP542" s="21"/>
      <c r="AQ542" s="21"/>
      <c r="AR542" s="23"/>
      <c r="AS542" s="21"/>
      <c r="AT542" s="21"/>
      <c r="AU542" s="345"/>
      <c r="AV542" s="345"/>
      <c r="AW542" s="21"/>
    </row>
    <row r="543" spans="1:49" x14ac:dyDescent="0.25">
      <c r="A543" s="502"/>
      <c r="L543" s="425">
        <f t="shared" si="803"/>
        <v>0</v>
      </c>
      <c r="M543" s="425"/>
      <c r="X543" s="502">
        <f t="shared" si="848"/>
        <v>0</v>
      </c>
      <c r="Y543" s="285">
        <f t="shared" si="821"/>
        <v>211871.97000000044</v>
      </c>
      <c r="Z543" s="494">
        <f t="shared" si="844"/>
        <v>3.7499999999999999E-2</v>
      </c>
      <c r="AA543" s="14">
        <f t="shared" si="845"/>
        <v>0</v>
      </c>
      <c r="AB543" s="14">
        <f t="shared" si="822"/>
        <v>0</v>
      </c>
      <c r="AC543" s="14">
        <f t="shared" si="846"/>
        <v>0</v>
      </c>
      <c r="AD543" s="14">
        <f t="shared" ref="AD543:AE543" si="866">+AD542</f>
        <v>134.16999999999999</v>
      </c>
      <c r="AE543" s="14">
        <f t="shared" si="866"/>
        <v>188.55</v>
      </c>
      <c r="AF543" s="14">
        <f t="shared" si="824"/>
        <v>322.72000000000003</v>
      </c>
      <c r="AG543" s="285">
        <f t="shared" si="825"/>
        <v>119321.42999999991</v>
      </c>
      <c r="AH543" s="285">
        <f t="shared" si="826"/>
        <v>579082.0500000004</v>
      </c>
      <c r="AI543" s="512">
        <f t="shared" si="818"/>
        <v>-118598.27999999985</v>
      </c>
      <c r="AJ543" s="512">
        <f t="shared" si="862"/>
        <v>-211871.97000000044</v>
      </c>
      <c r="AK543" s="512">
        <f t="shared" si="819"/>
        <v>-330470.25000000029</v>
      </c>
      <c r="AL543" s="285">
        <f t="shared" si="827"/>
        <v>211871.97000000044</v>
      </c>
      <c r="AM543" s="425">
        <f t="shared" si="850"/>
        <v>0</v>
      </c>
    </row>
    <row r="544" spans="1:49" x14ac:dyDescent="0.25">
      <c r="A544" s="502"/>
      <c r="L544" s="425">
        <f t="shared" si="803"/>
        <v>0</v>
      </c>
      <c r="M544" s="425"/>
      <c r="X544" s="502">
        <f t="shared" si="848"/>
        <v>0</v>
      </c>
      <c r="AM544" s="425">
        <f t="shared" si="850"/>
        <v>0</v>
      </c>
    </row>
    <row r="545" spans="1:49" x14ac:dyDescent="0.25">
      <c r="A545" s="502"/>
      <c r="L545" s="425">
        <f t="shared" si="803"/>
        <v>0</v>
      </c>
      <c r="M545" s="425"/>
      <c r="X545" s="502">
        <f t="shared" si="848"/>
        <v>0</v>
      </c>
      <c r="AM545" s="425">
        <f t="shared" si="850"/>
        <v>0</v>
      </c>
    </row>
    <row r="546" spans="1:49" x14ac:dyDescent="0.25">
      <c r="A546" s="502"/>
      <c r="L546" s="425">
        <f t="shared" si="803"/>
        <v>0</v>
      </c>
      <c r="M546" s="425"/>
      <c r="X546" s="502">
        <f t="shared" si="848"/>
        <v>0</v>
      </c>
      <c r="AM546" s="425">
        <f t="shared" si="850"/>
        <v>0</v>
      </c>
    </row>
    <row r="547" spans="1:49" x14ac:dyDescent="0.25">
      <c r="A547" s="502"/>
      <c r="L547" s="425">
        <f t="shared" si="803"/>
        <v>0</v>
      </c>
      <c r="M547" s="425"/>
      <c r="X547" s="502">
        <f t="shared" si="848"/>
        <v>0</v>
      </c>
      <c r="AM547" s="425">
        <f t="shared" si="850"/>
        <v>0</v>
      </c>
    </row>
    <row r="548" spans="1:49" x14ac:dyDescent="0.25">
      <c r="A548" s="502"/>
      <c r="L548" s="425">
        <f t="shared" si="803"/>
        <v>0</v>
      </c>
      <c r="M548" s="425"/>
      <c r="X548" s="502">
        <f t="shared" si="848"/>
        <v>0</v>
      </c>
      <c r="AM548" s="425">
        <f t="shared" si="850"/>
        <v>0</v>
      </c>
    </row>
    <row r="549" spans="1:49" x14ac:dyDescent="0.25">
      <c r="A549" s="502"/>
      <c r="L549" s="425">
        <f t="shared" si="803"/>
        <v>0</v>
      </c>
      <c r="M549" s="425"/>
      <c r="X549" s="502">
        <f t="shared" si="848"/>
        <v>0</v>
      </c>
      <c r="AM549" s="425">
        <f t="shared" si="850"/>
        <v>0</v>
      </c>
    </row>
    <row r="550" spans="1:49" x14ac:dyDescent="0.25">
      <c r="A550" s="502"/>
      <c r="L550" s="425">
        <f t="shared" si="803"/>
        <v>0</v>
      </c>
      <c r="M550" s="425"/>
      <c r="X550" s="502">
        <f t="shared" si="848"/>
        <v>0</v>
      </c>
      <c r="AM550" s="425">
        <f t="shared" si="850"/>
        <v>0</v>
      </c>
    </row>
    <row r="551" spans="1:49" x14ac:dyDescent="0.25">
      <c r="A551" s="502"/>
      <c r="L551" s="425">
        <f t="shared" si="803"/>
        <v>0</v>
      </c>
      <c r="M551" s="425"/>
      <c r="X551" s="502">
        <f t="shared" si="848"/>
        <v>0</v>
      </c>
      <c r="AM551" s="425">
        <f t="shared" si="850"/>
        <v>0</v>
      </c>
    </row>
    <row r="552" spans="1:49" x14ac:dyDescent="0.25">
      <c r="A552" s="502"/>
      <c r="L552" s="425">
        <f t="shared" si="803"/>
        <v>0</v>
      </c>
      <c r="M552" s="425"/>
      <c r="X552" s="502">
        <f t="shared" si="848"/>
        <v>0</v>
      </c>
      <c r="AM552" s="425">
        <f t="shared" si="850"/>
        <v>0</v>
      </c>
    </row>
    <row r="553" spans="1:49" x14ac:dyDescent="0.25">
      <c r="A553" s="502"/>
      <c r="L553" s="425">
        <f t="shared" si="803"/>
        <v>0</v>
      </c>
      <c r="M553" s="425"/>
      <c r="X553" s="502">
        <f t="shared" si="848"/>
        <v>0</v>
      </c>
      <c r="AM553" s="425">
        <f t="shared" si="850"/>
        <v>0</v>
      </c>
    </row>
    <row r="554" spans="1:49" ht="15.75" thickBot="1" x14ac:dyDescent="0.3">
      <c r="A554" s="505"/>
      <c r="B554" s="345"/>
      <c r="C554" s="21"/>
      <c r="D554" s="21"/>
      <c r="E554" s="21"/>
      <c r="F554" s="21"/>
      <c r="G554" s="21"/>
      <c r="H554" s="21"/>
      <c r="I554" s="345"/>
      <c r="J554" s="345"/>
      <c r="K554" s="345"/>
      <c r="L554" s="426">
        <f t="shared" si="803"/>
        <v>0</v>
      </c>
      <c r="M554" s="426"/>
      <c r="N554" s="345"/>
      <c r="O554" s="21"/>
      <c r="P554" s="21"/>
      <c r="Q554" s="21"/>
      <c r="R554" s="21"/>
      <c r="S554" s="21"/>
      <c r="T554" s="21"/>
      <c r="U554" s="345"/>
      <c r="V554" s="345"/>
      <c r="W554" s="345"/>
      <c r="X554" s="505">
        <f t="shared" si="848"/>
        <v>0</v>
      </c>
      <c r="Y554" s="345"/>
      <c r="Z554" s="495"/>
      <c r="AA554" s="21"/>
      <c r="AB554" s="21"/>
      <c r="AC554" s="21"/>
      <c r="AD554" s="21"/>
      <c r="AE554" s="21"/>
      <c r="AF554" s="21"/>
      <c r="AG554" s="345"/>
      <c r="AH554" s="345"/>
      <c r="AI554" s="345"/>
      <c r="AJ554" s="345"/>
      <c r="AK554" s="345"/>
      <c r="AL554" s="345"/>
      <c r="AM554" s="426">
        <f t="shared" si="850"/>
        <v>0</v>
      </c>
      <c r="AN554" s="21"/>
      <c r="AO554" s="21"/>
      <c r="AP554" s="21"/>
      <c r="AQ554" s="21"/>
      <c r="AR554" s="23"/>
      <c r="AS554" s="21"/>
      <c r="AT554" s="21"/>
      <c r="AU554" s="345"/>
      <c r="AV554" s="345"/>
      <c r="AW554" s="21"/>
    </row>
    <row r="555" spans="1:49" x14ac:dyDescent="0.25">
      <c r="A555" s="502"/>
      <c r="L555" s="425">
        <f t="shared" si="803"/>
        <v>0</v>
      </c>
      <c r="M555" s="425"/>
      <c r="X555" s="502">
        <f t="shared" si="848"/>
        <v>0</v>
      </c>
      <c r="AM555" s="425">
        <f t="shared" si="850"/>
        <v>0</v>
      </c>
    </row>
    <row r="556" spans="1:49" x14ac:dyDescent="0.25">
      <c r="A556" s="502"/>
      <c r="L556" s="425">
        <f t="shared" si="803"/>
        <v>0</v>
      </c>
      <c r="M556" s="425"/>
      <c r="X556" s="502">
        <f t="shared" si="848"/>
        <v>0</v>
      </c>
      <c r="AM556" s="425">
        <f t="shared" si="850"/>
        <v>0</v>
      </c>
    </row>
    <row r="557" spans="1:49" x14ac:dyDescent="0.25">
      <c r="A557" s="502"/>
      <c r="L557" s="425">
        <f t="shared" si="803"/>
        <v>0</v>
      </c>
      <c r="M557" s="425"/>
      <c r="X557" s="502">
        <f t="shared" si="848"/>
        <v>0</v>
      </c>
      <c r="AM557" s="425">
        <f t="shared" si="850"/>
        <v>0</v>
      </c>
    </row>
    <row r="558" spans="1:49" x14ac:dyDescent="0.25">
      <c r="A558" s="502"/>
      <c r="L558" s="425">
        <f t="shared" si="803"/>
        <v>0</v>
      </c>
      <c r="M558" s="425"/>
      <c r="X558" s="502">
        <f t="shared" si="848"/>
        <v>0</v>
      </c>
      <c r="AM558" s="425">
        <f t="shared" si="850"/>
        <v>0</v>
      </c>
    </row>
    <row r="559" spans="1:49" x14ac:dyDescent="0.25">
      <c r="A559" s="502"/>
      <c r="L559" s="425">
        <f t="shared" ref="L559:L622" si="867">IF(MOD(M559,12)=0,M559/12,L558)</f>
        <v>0</v>
      </c>
      <c r="M559" s="425"/>
      <c r="X559" s="502">
        <f t="shared" si="848"/>
        <v>0</v>
      </c>
      <c r="AM559" s="425">
        <f t="shared" si="850"/>
        <v>0</v>
      </c>
    </row>
    <row r="560" spans="1:49" x14ac:dyDescent="0.25">
      <c r="A560" s="502"/>
      <c r="L560" s="425">
        <f t="shared" si="867"/>
        <v>0</v>
      </c>
      <c r="M560" s="425"/>
      <c r="X560" s="502">
        <f t="shared" si="848"/>
        <v>0</v>
      </c>
      <c r="AM560" s="425">
        <f t="shared" si="850"/>
        <v>0</v>
      </c>
    </row>
    <row r="561" spans="1:49" x14ac:dyDescent="0.25">
      <c r="A561" s="502"/>
      <c r="L561" s="425">
        <f t="shared" si="867"/>
        <v>0</v>
      </c>
      <c r="M561" s="425"/>
      <c r="X561" s="502">
        <f t="shared" si="848"/>
        <v>0</v>
      </c>
      <c r="AM561" s="425">
        <f t="shared" si="850"/>
        <v>0</v>
      </c>
    </row>
    <row r="562" spans="1:49" x14ac:dyDescent="0.25">
      <c r="A562" s="502"/>
      <c r="L562" s="425">
        <f t="shared" si="867"/>
        <v>0</v>
      </c>
      <c r="M562" s="425"/>
      <c r="X562" s="502">
        <f t="shared" si="848"/>
        <v>0</v>
      </c>
      <c r="AM562" s="425">
        <f t="shared" si="850"/>
        <v>0</v>
      </c>
    </row>
    <row r="563" spans="1:49" x14ac:dyDescent="0.25">
      <c r="A563" s="502"/>
      <c r="L563" s="425">
        <f t="shared" si="867"/>
        <v>0</v>
      </c>
      <c r="M563" s="425"/>
      <c r="X563" s="502">
        <f t="shared" si="848"/>
        <v>0</v>
      </c>
      <c r="AM563" s="425">
        <f t="shared" si="850"/>
        <v>0</v>
      </c>
    </row>
    <row r="564" spans="1:49" x14ac:dyDescent="0.25">
      <c r="A564" s="502"/>
      <c r="L564" s="425">
        <f t="shared" si="867"/>
        <v>0</v>
      </c>
      <c r="M564" s="425"/>
      <c r="X564" s="502">
        <f t="shared" si="848"/>
        <v>0</v>
      </c>
      <c r="AM564" s="425">
        <f t="shared" si="850"/>
        <v>0</v>
      </c>
    </row>
    <row r="565" spans="1:49" x14ac:dyDescent="0.25">
      <c r="A565" s="502"/>
      <c r="L565" s="425">
        <f t="shared" si="867"/>
        <v>0</v>
      </c>
      <c r="M565" s="425"/>
      <c r="X565" s="502">
        <f t="shared" si="848"/>
        <v>0</v>
      </c>
      <c r="AM565" s="425">
        <f t="shared" si="850"/>
        <v>0</v>
      </c>
    </row>
    <row r="566" spans="1:49" ht="15.75" thickBot="1" x14ac:dyDescent="0.3">
      <c r="A566" s="505"/>
      <c r="B566" s="345"/>
      <c r="C566" s="21"/>
      <c r="D566" s="21"/>
      <c r="E566" s="21"/>
      <c r="F566" s="21"/>
      <c r="G566" s="21"/>
      <c r="H566" s="21"/>
      <c r="I566" s="345"/>
      <c r="J566" s="345"/>
      <c r="K566" s="345"/>
      <c r="L566" s="426">
        <f t="shared" si="867"/>
        <v>0</v>
      </c>
      <c r="M566" s="426"/>
      <c r="N566" s="345"/>
      <c r="O566" s="21"/>
      <c r="P566" s="21"/>
      <c r="Q566" s="21"/>
      <c r="R566" s="21"/>
      <c r="S566" s="21"/>
      <c r="T566" s="21"/>
      <c r="U566" s="345"/>
      <c r="V566" s="345"/>
      <c r="W566" s="345"/>
      <c r="X566" s="505">
        <f t="shared" si="848"/>
        <v>0</v>
      </c>
      <c r="Y566" s="345"/>
      <c r="Z566" s="495"/>
      <c r="AA566" s="21"/>
      <c r="AB566" s="21"/>
      <c r="AC566" s="21"/>
      <c r="AD566" s="21"/>
      <c r="AE566" s="21"/>
      <c r="AF566" s="21"/>
      <c r="AG566" s="345"/>
      <c r="AH566" s="345"/>
      <c r="AI566" s="345"/>
      <c r="AJ566" s="345"/>
      <c r="AK566" s="345"/>
      <c r="AL566" s="345"/>
      <c r="AM566" s="426">
        <f t="shared" si="850"/>
        <v>0</v>
      </c>
      <c r="AN566" s="21"/>
      <c r="AO566" s="21"/>
      <c r="AP566" s="21"/>
      <c r="AQ566" s="21"/>
      <c r="AR566" s="23"/>
      <c r="AS566" s="21"/>
      <c r="AT566" s="21"/>
      <c r="AU566" s="345"/>
      <c r="AV566" s="345"/>
      <c r="AW566" s="21"/>
    </row>
    <row r="567" spans="1:49" x14ac:dyDescent="0.25">
      <c r="A567" s="502"/>
      <c r="L567" s="425">
        <f t="shared" si="867"/>
        <v>0</v>
      </c>
      <c r="M567" s="425"/>
      <c r="X567" s="502">
        <f t="shared" si="848"/>
        <v>0</v>
      </c>
      <c r="AM567" s="425">
        <f t="shared" si="850"/>
        <v>0</v>
      </c>
    </row>
    <row r="568" spans="1:49" x14ac:dyDescent="0.25">
      <c r="A568" s="502"/>
      <c r="L568" s="425">
        <f t="shared" si="867"/>
        <v>0</v>
      </c>
      <c r="M568" s="425"/>
      <c r="X568" s="502">
        <f t="shared" si="848"/>
        <v>0</v>
      </c>
      <c r="AM568" s="425">
        <f t="shared" si="850"/>
        <v>0</v>
      </c>
    </row>
    <row r="569" spans="1:49" x14ac:dyDescent="0.25">
      <c r="A569" s="502"/>
      <c r="L569" s="425">
        <f t="shared" si="867"/>
        <v>0</v>
      </c>
      <c r="M569" s="425"/>
      <c r="X569" s="502">
        <f t="shared" si="848"/>
        <v>0</v>
      </c>
      <c r="AM569" s="425">
        <f t="shared" si="850"/>
        <v>0</v>
      </c>
    </row>
    <row r="570" spans="1:49" x14ac:dyDescent="0.25">
      <c r="A570" s="502"/>
      <c r="L570" s="425">
        <f t="shared" si="867"/>
        <v>0</v>
      </c>
      <c r="M570" s="425"/>
      <c r="X570" s="502">
        <f t="shared" si="848"/>
        <v>0</v>
      </c>
      <c r="AM570" s="425">
        <f t="shared" si="850"/>
        <v>0</v>
      </c>
    </row>
    <row r="571" spans="1:49" x14ac:dyDescent="0.25">
      <c r="A571" s="502"/>
      <c r="L571" s="425">
        <f t="shared" si="867"/>
        <v>0</v>
      </c>
      <c r="M571" s="425"/>
      <c r="X571" s="502">
        <f t="shared" si="848"/>
        <v>0</v>
      </c>
      <c r="AM571" s="425">
        <f t="shared" si="850"/>
        <v>0</v>
      </c>
    </row>
    <row r="572" spans="1:49" x14ac:dyDescent="0.25">
      <c r="A572" s="502"/>
      <c r="L572" s="425">
        <f t="shared" si="867"/>
        <v>0</v>
      </c>
      <c r="M572" s="425"/>
      <c r="X572" s="502">
        <f t="shared" si="848"/>
        <v>0</v>
      </c>
      <c r="AM572" s="425">
        <f t="shared" si="850"/>
        <v>0</v>
      </c>
    </row>
    <row r="573" spans="1:49" x14ac:dyDescent="0.25">
      <c r="A573" s="502"/>
      <c r="L573" s="425">
        <f t="shared" si="867"/>
        <v>0</v>
      </c>
      <c r="M573" s="425"/>
      <c r="X573" s="502">
        <f t="shared" si="848"/>
        <v>0</v>
      </c>
      <c r="AM573" s="425">
        <f t="shared" si="850"/>
        <v>0</v>
      </c>
    </row>
    <row r="574" spans="1:49" x14ac:dyDescent="0.25">
      <c r="A574" s="502"/>
      <c r="L574" s="425">
        <f t="shared" si="867"/>
        <v>0</v>
      </c>
      <c r="M574" s="425"/>
      <c r="X574" s="502">
        <f t="shared" si="848"/>
        <v>0</v>
      </c>
      <c r="AM574" s="425">
        <f t="shared" si="850"/>
        <v>0</v>
      </c>
    </row>
    <row r="575" spans="1:49" x14ac:dyDescent="0.25">
      <c r="A575" s="502"/>
      <c r="L575" s="425">
        <f t="shared" si="867"/>
        <v>0</v>
      </c>
      <c r="M575" s="425"/>
      <c r="X575" s="502">
        <f t="shared" si="848"/>
        <v>0</v>
      </c>
      <c r="AM575" s="425">
        <f t="shared" si="850"/>
        <v>0</v>
      </c>
    </row>
    <row r="576" spans="1:49" x14ac:dyDescent="0.25">
      <c r="A576" s="502"/>
      <c r="L576" s="425">
        <f t="shared" si="867"/>
        <v>0</v>
      </c>
      <c r="M576" s="425"/>
      <c r="X576" s="502">
        <f t="shared" si="848"/>
        <v>0</v>
      </c>
      <c r="AM576" s="425">
        <f t="shared" si="850"/>
        <v>0</v>
      </c>
    </row>
    <row r="577" spans="1:49" x14ac:dyDescent="0.25">
      <c r="A577" s="502"/>
      <c r="L577" s="425">
        <f t="shared" si="867"/>
        <v>0</v>
      </c>
      <c r="M577" s="425"/>
      <c r="X577" s="502">
        <f t="shared" si="848"/>
        <v>0</v>
      </c>
      <c r="AM577" s="425">
        <f t="shared" si="850"/>
        <v>0</v>
      </c>
    </row>
    <row r="578" spans="1:49" ht="15.75" thickBot="1" x14ac:dyDescent="0.3">
      <c r="A578" s="505"/>
      <c r="B578" s="345"/>
      <c r="C578" s="21"/>
      <c r="D578" s="21"/>
      <c r="E578" s="21"/>
      <c r="F578" s="21"/>
      <c r="G578" s="21"/>
      <c r="H578" s="21"/>
      <c r="I578" s="345"/>
      <c r="J578" s="345"/>
      <c r="K578" s="345"/>
      <c r="L578" s="426">
        <f t="shared" si="867"/>
        <v>0</v>
      </c>
      <c r="M578" s="426"/>
      <c r="N578" s="345"/>
      <c r="O578" s="21"/>
      <c r="P578" s="21"/>
      <c r="Q578" s="21"/>
      <c r="R578" s="21"/>
      <c r="S578" s="21"/>
      <c r="T578" s="21"/>
      <c r="U578" s="345"/>
      <c r="V578" s="345"/>
      <c r="W578" s="345"/>
      <c r="X578" s="505">
        <f t="shared" si="848"/>
        <v>0</v>
      </c>
      <c r="Y578" s="345"/>
      <c r="Z578" s="495"/>
      <c r="AA578" s="21"/>
      <c r="AB578" s="21"/>
      <c r="AC578" s="21"/>
      <c r="AD578" s="21"/>
      <c r="AE578" s="21"/>
      <c r="AF578" s="21"/>
      <c r="AG578" s="345"/>
      <c r="AH578" s="345"/>
      <c r="AI578" s="345"/>
      <c r="AJ578" s="345"/>
      <c r="AK578" s="345"/>
      <c r="AL578" s="345"/>
      <c r="AM578" s="426">
        <f t="shared" si="850"/>
        <v>0</v>
      </c>
      <c r="AN578" s="21"/>
      <c r="AO578" s="21"/>
      <c r="AP578" s="21"/>
      <c r="AQ578" s="21"/>
      <c r="AR578" s="23"/>
      <c r="AS578" s="21"/>
      <c r="AT578" s="21"/>
      <c r="AU578" s="345"/>
      <c r="AV578" s="345"/>
      <c r="AW578" s="21"/>
    </row>
    <row r="579" spans="1:49" x14ac:dyDescent="0.25">
      <c r="A579" s="502"/>
      <c r="L579" s="425">
        <f t="shared" si="867"/>
        <v>0</v>
      </c>
      <c r="M579" s="425"/>
      <c r="X579" s="502">
        <f t="shared" si="848"/>
        <v>0</v>
      </c>
      <c r="AM579" s="425">
        <f t="shared" si="850"/>
        <v>0</v>
      </c>
    </row>
    <row r="580" spans="1:49" x14ac:dyDescent="0.25">
      <c r="A580" s="502"/>
      <c r="L580" s="425">
        <f t="shared" si="867"/>
        <v>0</v>
      </c>
      <c r="M580" s="425"/>
      <c r="X580" s="502">
        <f t="shared" si="848"/>
        <v>0</v>
      </c>
      <c r="AM580" s="425">
        <f t="shared" si="850"/>
        <v>0</v>
      </c>
    </row>
    <row r="581" spans="1:49" x14ac:dyDescent="0.25">
      <c r="A581" s="502"/>
      <c r="L581" s="425">
        <f t="shared" si="867"/>
        <v>0</v>
      </c>
      <c r="M581" s="425"/>
      <c r="X581" s="502">
        <f t="shared" si="848"/>
        <v>0</v>
      </c>
      <c r="AM581" s="425">
        <f t="shared" si="850"/>
        <v>0</v>
      </c>
    </row>
    <row r="582" spans="1:49" x14ac:dyDescent="0.25">
      <c r="A582" s="502"/>
      <c r="L582" s="425">
        <f t="shared" si="867"/>
        <v>0</v>
      </c>
      <c r="M582" s="425"/>
      <c r="X582" s="502">
        <f t="shared" si="848"/>
        <v>0</v>
      </c>
      <c r="AM582" s="425">
        <f t="shared" si="850"/>
        <v>0</v>
      </c>
    </row>
    <row r="583" spans="1:49" x14ac:dyDescent="0.25">
      <c r="A583" s="502"/>
      <c r="L583" s="425">
        <f t="shared" si="867"/>
        <v>0</v>
      </c>
      <c r="M583" s="425"/>
      <c r="X583" s="502">
        <f t="shared" si="848"/>
        <v>0</v>
      </c>
      <c r="AM583" s="425">
        <f t="shared" si="850"/>
        <v>0</v>
      </c>
    </row>
    <row r="584" spans="1:49" x14ac:dyDescent="0.25">
      <c r="A584" s="502"/>
      <c r="L584" s="425">
        <f t="shared" si="867"/>
        <v>0</v>
      </c>
      <c r="M584" s="425"/>
      <c r="X584" s="502">
        <f t="shared" si="848"/>
        <v>0</v>
      </c>
      <c r="AM584" s="425">
        <f t="shared" si="850"/>
        <v>0</v>
      </c>
    </row>
    <row r="585" spans="1:49" x14ac:dyDescent="0.25">
      <c r="A585" s="502"/>
      <c r="L585" s="425">
        <f t="shared" si="867"/>
        <v>0</v>
      </c>
      <c r="M585" s="425"/>
      <c r="X585" s="502">
        <f t="shared" si="848"/>
        <v>0</v>
      </c>
      <c r="AM585" s="425">
        <f t="shared" si="850"/>
        <v>0</v>
      </c>
    </row>
    <row r="586" spans="1:49" x14ac:dyDescent="0.25">
      <c r="A586" s="502"/>
      <c r="L586" s="425">
        <f t="shared" si="867"/>
        <v>0</v>
      </c>
      <c r="M586" s="425"/>
      <c r="X586" s="502">
        <f t="shared" si="848"/>
        <v>0</v>
      </c>
      <c r="AM586" s="425">
        <f t="shared" si="850"/>
        <v>0</v>
      </c>
    </row>
    <row r="587" spans="1:49" x14ac:dyDescent="0.25">
      <c r="A587" s="502"/>
      <c r="L587" s="425">
        <f t="shared" si="867"/>
        <v>0</v>
      </c>
      <c r="M587" s="425"/>
      <c r="X587" s="502">
        <f t="shared" si="848"/>
        <v>0</v>
      </c>
      <c r="AM587" s="425">
        <f t="shared" si="850"/>
        <v>0</v>
      </c>
    </row>
    <row r="588" spans="1:49" x14ac:dyDescent="0.25">
      <c r="A588" s="502"/>
      <c r="L588" s="425">
        <f t="shared" si="867"/>
        <v>0</v>
      </c>
      <c r="M588" s="425"/>
      <c r="X588" s="502">
        <f t="shared" si="848"/>
        <v>0</v>
      </c>
      <c r="AM588" s="425">
        <f t="shared" si="850"/>
        <v>0</v>
      </c>
    </row>
    <row r="589" spans="1:49" x14ac:dyDescent="0.25">
      <c r="A589" s="502"/>
      <c r="L589" s="425">
        <f t="shared" si="867"/>
        <v>0</v>
      </c>
      <c r="M589" s="425"/>
      <c r="X589" s="502">
        <f t="shared" si="848"/>
        <v>0</v>
      </c>
      <c r="AM589" s="425">
        <f t="shared" si="850"/>
        <v>0</v>
      </c>
    </row>
    <row r="590" spans="1:49" ht="15.75" thickBot="1" x14ac:dyDescent="0.3">
      <c r="A590" s="505"/>
      <c r="B590" s="345"/>
      <c r="C590" s="21"/>
      <c r="D590" s="21"/>
      <c r="E590" s="21"/>
      <c r="F590" s="21"/>
      <c r="G590" s="21"/>
      <c r="H590" s="21"/>
      <c r="I590" s="345"/>
      <c r="J590" s="345"/>
      <c r="K590" s="345"/>
      <c r="L590" s="426">
        <f t="shared" si="867"/>
        <v>0</v>
      </c>
      <c r="M590" s="426"/>
      <c r="N590" s="345"/>
      <c r="O590" s="21"/>
      <c r="P590" s="21"/>
      <c r="Q590" s="21"/>
      <c r="R590" s="21"/>
      <c r="S590" s="21"/>
      <c r="T590" s="21"/>
      <c r="U590" s="345"/>
      <c r="V590" s="345"/>
      <c r="W590" s="345"/>
      <c r="X590" s="505">
        <f t="shared" si="848"/>
        <v>0</v>
      </c>
      <c r="Y590" s="345"/>
      <c r="Z590" s="495"/>
      <c r="AA590" s="21"/>
      <c r="AB590" s="21"/>
      <c r="AC590" s="21"/>
      <c r="AD590" s="21"/>
      <c r="AE590" s="21"/>
      <c r="AF590" s="21"/>
      <c r="AG590" s="345"/>
      <c r="AH590" s="345"/>
      <c r="AI590" s="345"/>
      <c r="AJ590" s="345"/>
      <c r="AK590" s="345"/>
      <c r="AL590" s="345"/>
      <c r="AM590" s="426">
        <f t="shared" si="850"/>
        <v>0</v>
      </c>
      <c r="AN590" s="21"/>
      <c r="AO590" s="21"/>
      <c r="AP590" s="21"/>
      <c r="AQ590" s="21"/>
      <c r="AR590" s="23"/>
      <c r="AS590" s="21"/>
      <c r="AT590" s="21"/>
      <c r="AU590" s="345"/>
      <c r="AV590" s="345"/>
      <c r="AW590" s="21"/>
    </row>
    <row r="591" spans="1:49" x14ac:dyDescent="0.25">
      <c r="A591" s="502"/>
      <c r="L591" s="425">
        <f t="shared" si="867"/>
        <v>0</v>
      </c>
      <c r="M591" s="425"/>
      <c r="X591" s="502">
        <f t="shared" si="848"/>
        <v>0</v>
      </c>
      <c r="AM591" s="425">
        <f t="shared" si="850"/>
        <v>0</v>
      </c>
    </row>
    <row r="592" spans="1:49" x14ac:dyDescent="0.25">
      <c r="A592" s="502"/>
      <c r="L592" s="425">
        <f t="shared" si="867"/>
        <v>0</v>
      </c>
      <c r="M592" s="425"/>
      <c r="X592" s="502">
        <f t="shared" ref="X592:X655" si="868">+A592</f>
        <v>0</v>
      </c>
      <c r="AM592" s="425">
        <f t="shared" ref="AM592:AM655" si="869">+L592</f>
        <v>0</v>
      </c>
    </row>
    <row r="593" spans="1:49" x14ac:dyDescent="0.25">
      <c r="A593" s="502"/>
      <c r="L593" s="425">
        <f t="shared" si="867"/>
        <v>0</v>
      </c>
      <c r="M593" s="425"/>
      <c r="X593" s="502">
        <f t="shared" si="868"/>
        <v>0</v>
      </c>
      <c r="AM593" s="425">
        <f t="shared" si="869"/>
        <v>0</v>
      </c>
    </row>
    <row r="594" spans="1:49" x14ac:dyDescent="0.25">
      <c r="A594" s="502"/>
      <c r="L594" s="425">
        <f t="shared" si="867"/>
        <v>0</v>
      </c>
      <c r="M594" s="425"/>
      <c r="X594" s="502">
        <f t="shared" si="868"/>
        <v>0</v>
      </c>
      <c r="AM594" s="425">
        <f t="shared" si="869"/>
        <v>0</v>
      </c>
    </row>
    <row r="595" spans="1:49" x14ac:dyDescent="0.25">
      <c r="A595" s="502"/>
      <c r="L595" s="425">
        <f t="shared" si="867"/>
        <v>0</v>
      </c>
      <c r="M595" s="425"/>
      <c r="X595" s="502">
        <f t="shared" si="868"/>
        <v>0</v>
      </c>
      <c r="AM595" s="425">
        <f t="shared" si="869"/>
        <v>0</v>
      </c>
    </row>
    <row r="596" spans="1:49" x14ac:dyDescent="0.25">
      <c r="A596" s="502"/>
      <c r="L596" s="425">
        <f t="shared" si="867"/>
        <v>0</v>
      </c>
      <c r="M596" s="425"/>
      <c r="X596" s="502">
        <f t="shared" si="868"/>
        <v>0</v>
      </c>
      <c r="AM596" s="425">
        <f t="shared" si="869"/>
        <v>0</v>
      </c>
    </row>
    <row r="597" spans="1:49" x14ac:dyDescent="0.25">
      <c r="A597" s="502"/>
      <c r="L597" s="425">
        <f t="shared" si="867"/>
        <v>0</v>
      </c>
      <c r="M597" s="425"/>
      <c r="X597" s="502">
        <f t="shared" si="868"/>
        <v>0</v>
      </c>
      <c r="AM597" s="425">
        <f t="shared" si="869"/>
        <v>0</v>
      </c>
    </row>
    <row r="598" spans="1:49" x14ac:dyDescent="0.25">
      <c r="A598" s="502"/>
      <c r="L598" s="425">
        <f t="shared" si="867"/>
        <v>0</v>
      </c>
      <c r="M598" s="425"/>
      <c r="X598" s="502">
        <f t="shared" si="868"/>
        <v>0</v>
      </c>
      <c r="AM598" s="425">
        <f t="shared" si="869"/>
        <v>0</v>
      </c>
    </row>
    <row r="599" spans="1:49" x14ac:dyDescent="0.25">
      <c r="A599" s="502"/>
      <c r="L599" s="425">
        <f t="shared" si="867"/>
        <v>0</v>
      </c>
      <c r="M599" s="425"/>
      <c r="X599" s="502">
        <f t="shared" si="868"/>
        <v>0</v>
      </c>
      <c r="AM599" s="425">
        <f t="shared" si="869"/>
        <v>0</v>
      </c>
    </row>
    <row r="600" spans="1:49" x14ac:dyDescent="0.25">
      <c r="A600" s="502"/>
      <c r="L600" s="425">
        <f t="shared" si="867"/>
        <v>0</v>
      </c>
      <c r="M600" s="425"/>
      <c r="X600" s="502">
        <f t="shared" si="868"/>
        <v>0</v>
      </c>
      <c r="AM600" s="425">
        <f t="shared" si="869"/>
        <v>0</v>
      </c>
    </row>
    <row r="601" spans="1:49" x14ac:dyDescent="0.25">
      <c r="A601" s="502"/>
      <c r="L601" s="425">
        <f t="shared" si="867"/>
        <v>0</v>
      </c>
      <c r="M601" s="425"/>
      <c r="X601" s="502">
        <f t="shared" si="868"/>
        <v>0</v>
      </c>
      <c r="AM601" s="425">
        <f t="shared" si="869"/>
        <v>0</v>
      </c>
    </row>
    <row r="602" spans="1:49" ht="15.75" thickBot="1" x14ac:dyDescent="0.3">
      <c r="A602" s="505"/>
      <c r="B602" s="345"/>
      <c r="C602" s="21"/>
      <c r="D602" s="21"/>
      <c r="E602" s="21"/>
      <c r="F602" s="21"/>
      <c r="G602" s="21"/>
      <c r="H602" s="21"/>
      <c r="I602" s="345"/>
      <c r="J602" s="345"/>
      <c r="K602" s="345"/>
      <c r="L602" s="426">
        <f t="shared" si="867"/>
        <v>0</v>
      </c>
      <c r="M602" s="426"/>
      <c r="N602" s="345"/>
      <c r="O602" s="21"/>
      <c r="P602" s="21"/>
      <c r="Q602" s="21"/>
      <c r="R602" s="21"/>
      <c r="S602" s="21"/>
      <c r="T602" s="21"/>
      <c r="U602" s="345"/>
      <c r="V602" s="345"/>
      <c r="W602" s="345"/>
      <c r="X602" s="505">
        <f t="shared" si="868"/>
        <v>0</v>
      </c>
      <c r="Y602" s="345"/>
      <c r="Z602" s="495"/>
      <c r="AA602" s="21"/>
      <c r="AB602" s="21"/>
      <c r="AC602" s="21"/>
      <c r="AD602" s="21"/>
      <c r="AE602" s="21"/>
      <c r="AF602" s="21"/>
      <c r="AG602" s="345"/>
      <c r="AH602" s="345"/>
      <c r="AI602" s="345"/>
      <c r="AJ602" s="345"/>
      <c r="AK602" s="345"/>
      <c r="AL602" s="345"/>
      <c r="AM602" s="426">
        <f t="shared" si="869"/>
        <v>0</v>
      </c>
      <c r="AN602" s="21"/>
      <c r="AO602" s="21"/>
      <c r="AP602" s="21"/>
      <c r="AQ602" s="21"/>
      <c r="AR602" s="23"/>
      <c r="AS602" s="21"/>
      <c r="AT602" s="21"/>
      <c r="AU602" s="345"/>
      <c r="AV602" s="345"/>
      <c r="AW602" s="21"/>
    </row>
    <row r="603" spans="1:49" x14ac:dyDescent="0.25">
      <c r="A603" s="502"/>
      <c r="L603" s="425">
        <f t="shared" si="867"/>
        <v>0</v>
      </c>
      <c r="M603" s="425"/>
      <c r="X603" s="502">
        <f t="shared" si="868"/>
        <v>0</v>
      </c>
      <c r="AM603" s="425">
        <f t="shared" si="869"/>
        <v>0</v>
      </c>
    </row>
    <row r="604" spans="1:49" x14ac:dyDescent="0.25">
      <c r="A604" s="502"/>
      <c r="L604" s="425">
        <f t="shared" si="867"/>
        <v>0</v>
      </c>
      <c r="M604" s="425"/>
      <c r="X604" s="502">
        <f t="shared" si="868"/>
        <v>0</v>
      </c>
      <c r="AM604" s="425">
        <f t="shared" si="869"/>
        <v>0</v>
      </c>
    </row>
    <row r="605" spans="1:49" x14ac:dyDescent="0.25">
      <c r="A605" s="502"/>
      <c r="L605" s="425">
        <f t="shared" si="867"/>
        <v>0</v>
      </c>
      <c r="M605" s="425"/>
      <c r="X605" s="502">
        <f t="shared" si="868"/>
        <v>0</v>
      </c>
      <c r="AM605" s="425">
        <f t="shared" si="869"/>
        <v>0</v>
      </c>
    </row>
    <row r="606" spans="1:49" x14ac:dyDescent="0.25">
      <c r="A606" s="502"/>
      <c r="L606" s="425">
        <f t="shared" si="867"/>
        <v>0</v>
      </c>
      <c r="M606" s="425"/>
      <c r="X606" s="502">
        <f t="shared" si="868"/>
        <v>0</v>
      </c>
      <c r="AM606" s="425">
        <f t="shared" si="869"/>
        <v>0</v>
      </c>
    </row>
    <row r="607" spans="1:49" x14ac:dyDescent="0.25">
      <c r="A607" s="502"/>
      <c r="L607" s="425">
        <f t="shared" si="867"/>
        <v>0</v>
      </c>
      <c r="M607" s="425"/>
      <c r="X607" s="502">
        <f t="shared" si="868"/>
        <v>0</v>
      </c>
      <c r="AM607" s="425">
        <f t="shared" si="869"/>
        <v>0</v>
      </c>
    </row>
    <row r="608" spans="1:49" x14ac:dyDescent="0.25">
      <c r="A608" s="502"/>
      <c r="L608" s="425">
        <f t="shared" si="867"/>
        <v>0</v>
      </c>
      <c r="M608" s="425"/>
      <c r="X608" s="502">
        <f t="shared" si="868"/>
        <v>0</v>
      </c>
      <c r="AM608" s="425">
        <f t="shared" si="869"/>
        <v>0</v>
      </c>
    </row>
    <row r="609" spans="1:49" x14ac:dyDescent="0.25">
      <c r="A609" s="502"/>
      <c r="L609" s="425">
        <f t="shared" si="867"/>
        <v>0</v>
      </c>
      <c r="M609" s="425"/>
      <c r="X609" s="502">
        <f t="shared" si="868"/>
        <v>0</v>
      </c>
      <c r="AM609" s="425">
        <f t="shared" si="869"/>
        <v>0</v>
      </c>
    </row>
    <row r="610" spans="1:49" x14ac:dyDescent="0.25">
      <c r="A610" s="502"/>
      <c r="L610" s="425">
        <f t="shared" si="867"/>
        <v>0</v>
      </c>
      <c r="M610" s="425"/>
      <c r="X610" s="502">
        <f t="shared" si="868"/>
        <v>0</v>
      </c>
      <c r="AM610" s="425">
        <f t="shared" si="869"/>
        <v>0</v>
      </c>
    </row>
    <row r="611" spans="1:49" x14ac:dyDescent="0.25">
      <c r="A611" s="502"/>
      <c r="L611" s="425">
        <f t="shared" si="867"/>
        <v>0</v>
      </c>
      <c r="M611" s="425"/>
      <c r="X611" s="502">
        <f t="shared" si="868"/>
        <v>0</v>
      </c>
      <c r="AM611" s="425">
        <f t="shared" si="869"/>
        <v>0</v>
      </c>
    </row>
    <row r="612" spans="1:49" x14ac:dyDescent="0.25">
      <c r="A612" s="502"/>
      <c r="L612" s="425">
        <f t="shared" si="867"/>
        <v>0</v>
      </c>
      <c r="M612" s="425"/>
      <c r="X612" s="502">
        <f t="shared" si="868"/>
        <v>0</v>
      </c>
      <c r="AM612" s="425">
        <f t="shared" si="869"/>
        <v>0</v>
      </c>
    </row>
    <row r="613" spans="1:49" x14ac:dyDescent="0.25">
      <c r="A613" s="502"/>
      <c r="L613" s="425">
        <f t="shared" si="867"/>
        <v>0</v>
      </c>
      <c r="M613" s="425"/>
      <c r="X613" s="502">
        <f t="shared" si="868"/>
        <v>0</v>
      </c>
      <c r="AM613" s="425">
        <f t="shared" si="869"/>
        <v>0</v>
      </c>
    </row>
    <row r="614" spans="1:49" ht="15.75" thickBot="1" x14ac:dyDescent="0.3">
      <c r="A614" s="505"/>
      <c r="B614" s="345"/>
      <c r="C614" s="21"/>
      <c r="D614" s="21"/>
      <c r="E614" s="21"/>
      <c r="F614" s="21"/>
      <c r="G614" s="21"/>
      <c r="H614" s="21"/>
      <c r="I614" s="345"/>
      <c r="J614" s="345"/>
      <c r="K614" s="345"/>
      <c r="L614" s="426">
        <f t="shared" si="867"/>
        <v>0</v>
      </c>
      <c r="M614" s="426"/>
      <c r="N614" s="345"/>
      <c r="O614" s="21"/>
      <c r="P614" s="21"/>
      <c r="Q614" s="21"/>
      <c r="R614" s="21"/>
      <c r="S614" s="21"/>
      <c r="T614" s="21"/>
      <c r="U614" s="345"/>
      <c r="V614" s="345"/>
      <c r="W614" s="345"/>
      <c r="X614" s="505">
        <f t="shared" si="868"/>
        <v>0</v>
      </c>
      <c r="Y614" s="345"/>
      <c r="Z614" s="495"/>
      <c r="AA614" s="21"/>
      <c r="AB614" s="21"/>
      <c r="AC614" s="21"/>
      <c r="AD614" s="21"/>
      <c r="AE614" s="21"/>
      <c r="AF614" s="21"/>
      <c r="AG614" s="345"/>
      <c r="AH614" s="345"/>
      <c r="AI614" s="345"/>
      <c r="AJ614" s="345"/>
      <c r="AK614" s="345"/>
      <c r="AL614" s="345"/>
      <c r="AM614" s="426">
        <f t="shared" si="869"/>
        <v>0</v>
      </c>
      <c r="AN614" s="21"/>
      <c r="AO614" s="21"/>
      <c r="AP614" s="21"/>
      <c r="AQ614" s="21"/>
      <c r="AR614" s="23"/>
      <c r="AS614" s="21"/>
      <c r="AT614" s="21"/>
      <c r="AU614" s="345"/>
      <c r="AV614" s="345"/>
      <c r="AW614" s="21"/>
    </row>
    <row r="615" spans="1:49" x14ac:dyDescent="0.25">
      <c r="A615" s="502"/>
      <c r="L615" s="425">
        <f t="shared" si="867"/>
        <v>0</v>
      </c>
      <c r="M615" s="425"/>
      <c r="X615" s="502">
        <f t="shared" si="868"/>
        <v>0</v>
      </c>
      <c r="AM615" s="425">
        <f t="shared" si="869"/>
        <v>0</v>
      </c>
    </row>
    <row r="616" spans="1:49" x14ac:dyDescent="0.25">
      <c r="A616" s="502"/>
      <c r="L616" s="425">
        <f t="shared" si="867"/>
        <v>0</v>
      </c>
      <c r="M616" s="425"/>
      <c r="X616" s="502">
        <f t="shared" si="868"/>
        <v>0</v>
      </c>
      <c r="AM616" s="425">
        <f t="shared" si="869"/>
        <v>0</v>
      </c>
    </row>
    <row r="617" spans="1:49" x14ac:dyDescent="0.25">
      <c r="A617" s="502"/>
      <c r="L617" s="425">
        <f t="shared" si="867"/>
        <v>0</v>
      </c>
      <c r="M617" s="425"/>
      <c r="X617" s="502">
        <f t="shared" si="868"/>
        <v>0</v>
      </c>
      <c r="AM617" s="425">
        <f t="shared" si="869"/>
        <v>0</v>
      </c>
    </row>
    <row r="618" spans="1:49" x14ac:dyDescent="0.25">
      <c r="A618" s="502"/>
      <c r="L618" s="425">
        <f t="shared" si="867"/>
        <v>0</v>
      </c>
      <c r="M618" s="425"/>
      <c r="X618" s="502">
        <f t="shared" si="868"/>
        <v>0</v>
      </c>
      <c r="AM618" s="425">
        <f t="shared" si="869"/>
        <v>0</v>
      </c>
    </row>
    <row r="619" spans="1:49" x14ac:dyDescent="0.25">
      <c r="A619" s="502"/>
      <c r="L619" s="425">
        <f t="shared" si="867"/>
        <v>0</v>
      </c>
      <c r="M619" s="425"/>
      <c r="X619" s="502">
        <f t="shared" si="868"/>
        <v>0</v>
      </c>
      <c r="AM619" s="425">
        <f t="shared" si="869"/>
        <v>0</v>
      </c>
    </row>
    <row r="620" spans="1:49" x14ac:dyDescent="0.25">
      <c r="A620" s="502"/>
      <c r="L620" s="425">
        <f t="shared" si="867"/>
        <v>0</v>
      </c>
      <c r="M620" s="425"/>
      <c r="X620" s="502">
        <f t="shared" si="868"/>
        <v>0</v>
      </c>
      <c r="AM620" s="425">
        <f t="shared" si="869"/>
        <v>0</v>
      </c>
    </row>
    <row r="621" spans="1:49" x14ac:dyDescent="0.25">
      <c r="A621" s="502"/>
      <c r="L621" s="425">
        <f t="shared" si="867"/>
        <v>0</v>
      </c>
      <c r="M621" s="425"/>
      <c r="X621" s="502">
        <f t="shared" si="868"/>
        <v>0</v>
      </c>
      <c r="AM621" s="425">
        <f t="shared" si="869"/>
        <v>0</v>
      </c>
    </row>
    <row r="622" spans="1:49" x14ac:dyDescent="0.25">
      <c r="A622" s="502"/>
      <c r="L622" s="425">
        <f t="shared" si="867"/>
        <v>0</v>
      </c>
      <c r="M622" s="425"/>
      <c r="X622" s="502">
        <f t="shared" si="868"/>
        <v>0</v>
      </c>
      <c r="AM622" s="425">
        <f t="shared" si="869"/>
        <v>0</v>
      </c>
    </row>
    <row r="623" spans="1:49" x14ac:dyDescent="0.25">
      <c r="A623" s="502"/>
      <c r="L623" s="425">
        <f t="shared" ref="L623:L686" si="870">IF(MOD(M623,12)=0,M623/12,L622)</f>
        <v>0</v>
      </c>
      <c r="M623" s="425"/>
      <c r="X623" s="502">
        <f t="shared" si="868"/>
        <v>0</v>
      </c>
      <c r="AM623" s="425">
        <f t="shared" si="869"/>
        <v>0</v>
      </c>
    </row>
    <row r="624" spans="1:49" x14ac:dyDescent="0.25">
      <c r="A624" s="502"/>
      <c r="L624" s="425">
        <f t="shared" si="870"/>
        <v>0</v>
      </c>
      <c r="M624" s="425"/>
      <c r="X624" s="502">
        <f t="shared" si="868"/>
        <v>0</v>
      </c>
      <c r="AM624" s="425">
        <f t="shared" si="869"/>
        <v>0</v>
      </c>
    </row>
    <row r="625" spans="1:49" x14ac:dyDescent="0.25">
      <c r="A625" s="502"/>
      <c r="L625" s="425">
        <f t="shared" si="870"/>
        <v>0</v>
      </c>
      <c r="M625" s="425"/>
      <c r="X625" s="502">
        <f t="shared" si="868"/>
        <v>0</v>
      </c>
      <c r="AM625" s="425">
        <f t="shared" si="869"/>
        <v>0</v>
      </c>
    </row>
    <row r="626" spans="1:49" ht="15.75" thickBot="1" x14ac:dyDescent="0.3">
      <c r="A626" s="505"/>
      <c r="B626" s="345"/>
      <c r="C626" s="21"/>
      <c r="D626" s="21"/>
      <c r="E626" s="21"/>
      <c r="F626" s="21"/>
      <c r="G626" s="21"/>
      <c r="H626" s="21"/>
      <c r="I626" s="345"/>
      <c r="J626" s="345"/>
      <c r="K626" s="345"/>
      <c r="L626" s="426">
        <f t="shared" si="870"/>
        <v>0</v>
      </c>
      <c r="M626" s="426"/>
      <c r="N626" s="345"/>
      <c r="O626" s="21"/>
      <c r="P626" s="21"/>
      <c r="Q626" s="21"/>
      <c r="R626" s="21"/>
      <c r="S626" s="21"/>
      <c r="T626" s="21"/>
      <c r="U626" s="345"/>
      <c r="V626" s="345"/>
      <c r="W626" s="345"/>
      <c r="X626" s="505">
        <f t="shared" si="868"/>
        <v>0</v>
      </c>
      <c r="Y626" s="345"/>
      <c r="Z626" s="495"/>
      <c r="AA626" s="21"/>
      <c r="AB626" s="21"/>
      <c r="AC626" s="21"/>
      <c r="AD626" s="21"/>
      <c r="AE626" s="21"/>
      <c r="AF626" s="21"/>
      <c r="AG626" s="345"/>
      <c r="AH626" s="345"/>
      <c r="AI626" s="345"/>
      <c r="AJ626" s="345"/>
      <c r="AK626" s="345"/>
      <c r="AL626" s="345"/>
      <c r="AM626" s="426">
        <f t="shared" si="869"/>
        <v>0</v>
      </c>
      <c r="AN626" s="21"/>
      <c r="AO626" s="21"/>
      <c r="AP626" s="21"/>
      <c r="AQ626" s="21"/>
      <c r="AR626" s="23"/>
      <c r="AS626" s="21"/>
      <c r="AT626" s="21"/>
      <c r="AU626" s="345"/>
      <c r="AV626" s="345"/>
      <c r="AW626" s="21"/>
    </row>
    <row r="627" spans="1:49" x14ac:dyDescent="0.25">
      <c r="A627" s="502"/>
      <c r="L627" s="425">
        <f t="shared" si="870"/>
        <v>0</v>
      </c>
      <c r="M627" s="425"/>
      <c r="X627" s="502">
        <f t="shared" si="868"/>
        <v>0</v>
      </c>
      <c r="AM627" s="425">
        <f t="shared" si="869"/>
        <v>0</v>
      </c>
    </row>
    <row r="628" spans="1:49" x14ac:dyDescent="0.25">
      <c r="A628" s="502"/>
      <c r="L628" s="425">
        <f t="shared" si="870"/>
        <v>0</v>
      </c>
      <c r="M628" s="425"/>
      <c r="X628" s="502">
        <f t="shared" si="868"/>
        <v>0</v>
      </c>
      <c r="AM628" s="425">
        <f t="shared" si="869"/>
        <v>0</v>
      </c>
    </row>
    <row r="629" spans="1:49" x14ac:dyDescent="0.25">
      <c r="A629" s="502"/>
      <c r="L629" s="425">
        <f t="shared" si="870"/>
        <v>0</v>
      </c>
      <c r="M629" s="425"/>
      <c r="X629" s="502">
        <f t="shared" si="868"/>
        <v>0</v>
      </c>
      <c r="AM629" s="425">
        <f t="shared" si="869"/>
        <v>0</v>
      </c>
    </row>
    <row r="630" spans="1:49" x14ac:dyDescent="0.25">
      <c r="A630" s="502"/>
      <c r="L630" s="425">
        <f t="shared" si="870"/>
        <v>0</v>
      </c>
      <c r="M630" s="425"/>
      <c r="X630" s="502">
        <f t="shared" si="868"/>
        <v>0</v>
      </c>
      <c r="AM630" s="425">
        <f t="shared" si="869"/>
        <v>0</v>
      </c>
    </row>
    <row r="631" spans="1:49" x14ac:dyDescent="0.25">
      <c r="A631" s="502"/>
      <c r="L631" s="425">
        <f t="shared" si="870"/>
        <v>0</v>
      </c>
      <c r="M631" s="425"/>
      <c r="X631" s="502">
        <f t="shared" si="868"/>
        <v>0</v>
      </c>
      <c r="AM631" s="425">
        <f t="shared" si="869"/>
        <v>0</v>
      </c>
    </row>
    <row r="632" spans="1:49" x14ac:dyDescent="0.25">
      <c r="A632" s="502"/>
      <c r="L632" s="425">
        <f t="shared" si="870"/>
        <v>0</v>
      </c>
      <c r="M632" s="425"/>
      <c r="X632" s="502">
        <f t="shared" si="868"/>
        <v>0</v>
      </c>
      <c r="AM632" s="425">
        <f t="shared" si="869"/>
        <v>0</v>
      </c>
    </row>
    <row r="633" spans="1:49" x14ac:dyDescent="0.25">
      <c r="A633" s="502"/>
      <c r="L633" s="425">
        <f t="shared" si="870"/>
        <v>0</v>
      </c>
      <c r="M633" s="425"/>
      <c r="X633" s="502">
        <f t="shared" si="868"/>
        <v>0</v>
      </c>
      <c r="AM633" s="425">
        <f t="shared" si="869"/>
        <v>0</v>
      </c>
    </row>
    <row r="634" spans="1:49" x14ac:dyDescent="0.25">
      <c r="A634" s="502"/>
      <c r="L634" s="425">
        <f t="shared" si="870"/>
        <v>0</v>
      </c>
      <c r="M634" s="425"/>
      <c r="X634" s="502">
        <f t="shared" si="868"/>
        <v>0</v>
      </c>
      <c r="AM634" s="425">
        <f t="shared" si="869"/>
        <v>0</v>
      </c>
    </row>
    <row r="635" spans="1:49" x14ac:dyDescent="0.25">
      <c r="A635" s="502"/>
      <c r="L635" s="425">
        <f t="shared" si="870"/>
        <v>0</v>
      </c>
      <c r="M635" s="425"/>
      <c r="X635" s="502">
        <f t="shared" si="868"/>
        <v>0</v>
      </c>
      <c r="AM635" s="425">
        <f t="shared" si="869"/>
        <v>0</v>
      </c>
    </row>
    <row r="636" spans="1:49" x14ac:dyDescent="0.25">
      <c r="A636" s="502"/>
      <c r="L636" s="425">
        <f t="shared" si="870"/>
        <v>0</v>
      </c>
      <c r="M636" s="425"/>
      <c r="X636" s="502">
        <f t="shared" si="868"/>
        <v>0</v>
      </c>
      <c r="AM636" s="425">
        <f t="shared" si="869"/>
        <v>0</v>
      </c>
    </row>
    <row r="637" spans="1:49" x14ac:dyDescent="0.25">
      <c r="A637" s="502"/>
      <c r="L637" s="425">
        <f t="shared" si="870"/>
        <v>0</v>
      </c>
      <c r="M637" s="425"/>
      <c r="X637" s="502">
        <f t="shared" si="868"/>
        <v>0</v>
      </c>
      <c r="AM637" s="425">
        <f t="shared" si="869"/>
        <v>0</v>
      </c>
    </row>
    <row r="638" spans="1:49" ht="15.75" thickBot="1" x14ac:dyDescent="0.3">
      <c r="A638" s="505"/>
      <c r="B638" s="345"/>
      <c r="C638" s="21"/>
      <c r="D638" s="21"/>
      <c r="E638" s="21"/>
      <c r="F638" s="21"/>
      <c r="G638" s="21"/>
      <c r="H638" s="21"/>
      <c r="I638" s="345"/>
      <c r="J638" s="345"/>
      <c r="K638" s="345"/>
      <c r="L638" s="426">
        <f t="shared" si="870"/>
        <v>0</v>
      </c>
      <c r="M638" s="426"/>
      <c r="N638" s="345"/>
      <c r="O638" s="21"/>
      <c r="P638" s="21"/>
      <c r="Q638" s="21"/>
      <c r="R638" s="21"/>
      <c r="S638" s="21"/>
      <c r="T638" s="21"/>
      <c r="U638" s="345"/>
      <c r="V638" s="345"/>
      <c r="W638" s="345"/>
      <c r="X638" s="505">
        <f t="shared" si="868"/>
        <v>0</v>
      </c>
      <c r="Y638" s="345"/>
      <c r="Z638" s="495"/>
      <c r="AA638" s="21"/>
      <c r="AB638" s="21"/>
      <c r="AC638" s="21"/>
      <c r="AD638" s="21"/>
      <c r="AE638" s="21"/>
      <c r="AF638" s="21"/>
      <c r="AG638" s="345"/>
      <c r="AH638" s="345"/>
      <c r="AI638" s="345"/>
      <c r="AJ638" s="345"/>
      <c r="AK638" s="345"/>
      <c r="AL638" s="345"/>
      <c r="AM638" s="426">
        <f t="shared" si="869"/>
        <v>0</v>
      </c>
      <c r="AN638" s="21"/>
      <c r="AO638" s="21"/>
      <c r="AP638" s="21"/>
      <c r="AQ638" s="21"/>
      <c r="AR638" s="23"/>
      <c r="AS638" s="21"/>
      <c r="AT638" s="21"/>
      <c r="AU638" s="345"/>
      <c r="AV638" s="345"/>
      <c r="AW638" s="21"/>
    </row>
    <row r="639" spans="1:49" x14ac:dyDescent="0.25">
      <c r="A639" s="502"/>
      <c r="L639" s="425">
        <f t="shared" si="870"/>
        <v>0</v>
      </c>
      <c r="M639" s="425"/>
      <c r="X639" s="502">
        <f t="shared" si="868"/>
        <v>0</v>
      </c>
      <c r="AM639" s="425">
        <f t="shared" si="869"/>
        <v>0</v>
      </c>
    </row>
    <row r="640" spans="1:49" x14ac:dyDescent="0.25">
      <c r="A640" s="502"/>
      <c r="L640" s="425">
        <f t="shared" si="870"/>
        <v>0</v>
      </c>
      <c r="M640" s="425"/>
      <c r="X640" s="502">
        <f t="shared" si="868"/>
        <v>0</v>
      </c>
      <c r="AM640" s="425">
        <f t="shared" si="869"/>
        <v>0</v>
      </c>
    </row>
    <row r="641" spans="1:49" x14ac:dyDescent="0.25">
      <c r="A641" s="502"/>
      <c r="L641" s="425">
        <f t="shared" si="870"/>
        <v>0</v>
      </c>
      <c r="M641" s="425"/>
      <c r="X641" s="502">
        <f t="shared" si="868"/>
        <v>0</v>
      </c>
      <c r="AM641" s="425">
        <f t="shared" si="869"/>
        <v>0</v>
      </c>
    </row>
    <row r="642" spans="1:49" x14ac:dyDescent="0.25">
      <c r="A642" s="502"/>
      <c r="L642" s="425">
        <f t="shared" si="870"/>
        <v>0</v>
      </c>
      <c r="M642" s="425"/>
      <c r="X642" s="502">
        <f t="shared" si="868"/>
        <v>0</v>
      </c>
      <c r="AM642" s="425">
        <f t="shared" si="869"/>
        <v>0</v>
      </c>
    </row>
    <row r="643" spans="1:49" x14ac:dyDescent="0.25">
      <c r="A643" s="502"/>
      <c r="L643" s="425">
        <f t="shared" si="870"/>
        <v>0</v>
      </c>
      <c r="M643" s="425"/>
      <c r="X643" s="502">
        <f t="shared" si="868"/>
        <v>0</v>
      </c>
      <c r="AM643" s="425">
        <f t="shared" si="869"/>
        <v>0</v>
      </c>
    </row>
    <row r="644" spans="1:49" x14ac:dyDescent="0.25">
      <c r="A644" s="502"/>
      <c r="L644" s="425">
        <f t="shared" si="870"/>
        <v>0</v>
      </c>
      <c r="M644" s="425"/>
      <c r="X644" s="502">
        <f t="shared" si="868"/>
        <v>0</v>
      </c>
      <c r="AM644" s="425">
        <f t="shared" si="869"/>
        <v>0</v>
      </c>
    </row>
    <row r="645" spans="1:49" x14ac:dyDescent="0.25">
      <c r="A645" s="502"/>
      <c r="L645" s="425">
        <f t="shared" si="870"/>
        <v>0</v>
      </c>
      <c r="M645" s="425"/>
      <c r="X645" s="502">
        <f t="shared" si="868"/>
        <v>0</v>
      </c>
      <c r="AM645" s="425">
        <f t="shared" si="869"/>
        <v>0</v>
      </c>
    </row>
    <row r="646" spans="1:49" x14ac:dyDescent="0.25">
      <c r="A646" s="502"/>
      <c r="L646" s="425">
        <f t="shared" si="870"/>
        <v>0</v>
      </c>
      <c r="M646" s="425"/>
      <c r="X646" s="502">
        <f t="shared" si="868"/>
        <v>0</v>
      </c>
      <c r="AM646" s="425">
        <f t="shared" si="869"/>
        <v>0</v>
      </c>
    </row>
    <row r="647" spans="1:49" x14ac:dyDescent="0.25">
      <c r="A647" s="502"/>
      <c r="L647" s="425">
        <f t="shared" si="870"/>
        <v>0</v>
      </c>
      <c r="M647" s="425"/>
      <c r="X647" s="502">
        <f t="shared" si="868"/>
        <v>0</v>
      </c>
      <c r="AM647" s="425">
        <f t="shared" si="869"/>
        <v>0</v>
      </c>
    </row>
    <row r="648" spans="1:49" x14ac:dyDescent="0.25">
      <c r="A648" s="502"/>
      <c r="L648" s="425">
        <f t="shared" si="870"/>
        <v>0</v>
      </c>
      <c r="M648" s="425"/>
      <c r="X648" s="502">
        <f t="shared" si="868"/>
        <v>0</v>
      </c>
      <c r="AM648" s="425">
        <f t="shared" si="869"/>
        <v>0</v>
      </c>
    </row>
    <row r="649" spans="1:49" x14ac:dyDescent="0.25">
      <c r="A649" s="502"/>
      <c r="L649" s="425">
        <f t="shared" si="870"/>
        <v>0</v>
      </c>
      <c r="M649" s="425"/>
      <c r="X649" s="502">
        <f t="shared" si="868"/>
        <v>0</v>
      </c>
      <c r="AM649" s="425">
        <f t="shared" si="869"/>
        <v>0</v>
      </c>
    </row>
    <row r="650" spans="1:49" ht="15.75" thickBot="1" x14ac:dyDescent="0.3">
      <c r="A650" s="505"/>
      <c r="B650" s="345"/>
      <c r="C650" s="21"/>
      <c r="D650" s="21"/>
      <c r="E650" s="21"/>
      <c r="F650" s="21"/>
      <c r="G650" s="21"/>
      <c r="H650" s="21"/>
      <c r="I650" s="345"/>
      <c r="J650" s="345"/>
      <c r="K650" s="345"/>
      <c r="L650" s="426">
        <f t="shared" si="870"/>
        <v>0</v>
      </c>
      <c r="M650" s="426"/>
      <c r="N650" s="345"/>
      <c r="O650" s="21"/>
      <c r="P650" s="21"/>
      <c r="Q650" s="21"/>
      <c r="R650" s="21"/>
      <c r="S650" s="21"/>
      <c r="T650" s="21"/>
      <c r="U650" s="345"/>
      <c r="V650" s="345"/>
      <c r="W650" s="345"/>
      <c r="X650" s="505">
        <f t="shared" si="868"/>
        <v>0</v>
      </c>
      <c r="Y650" s="345"/>
      <c r="Z650" s="495"/>
      <c r="AA650" s="21"/>
      <c r="AB650" s="21"/>
      <c r="AC650" s="21"/>
      <c r="AD650" s="21"/>
      <c r="AE650" s="21"/>
      <c r="AF650" s="21"/>
      <c r="AG650" s="345"/>
      <c r="AH650" s="345"/>
      <c r="AI650" s="345"/>
      <c r="AJ650" s="345"/>
      <c r="AK650" s="345"/>
      <c r="AL650" s="345"/>
      <c r="AM650" s="426">
        <f t="shared" si="869"/>
        <v>0</v>
      </c>
      <c r="AN650" s="21"/>
      <c r="AO650" s="21"/>
      <c r="AP650" s="21"/>
      <c r="AQ650" s="21"/>
      <c r="AR650" s="23"/>
      <c r="AS650" s="21"/>
      <c r="AT650" s="21"/>
      <c r="AU650" s="345"/>
      <c r="AV650" s="345"/>
      <c r="AW650" s="21"/>
    </row>
    <row r="651" spans="1:49" x14ac:dyDescent="0.25">
      <c r="A651" s="502"/>
      <c r="L651" s="425">
        <f t="shared" si="870"/>
        <v>0</v>
      </c>
      <c r="M651" s="425"/>
      <c r="X651" s="502">
        <f t="shared" si="868"/>
        <v>0</v>
      </c>
      <c r="AM651" s="425">
        <f t="shared" si="869"/>
        <v>0</v>
      </c>
    </row>
    <row r="652" spans="1:49" x14ac:dyDescent="0.25">
      <c r="A652" s="502"/>
      <c r="L652" s="425">
        <f t="shared" si="870"/>
        <v>0</v>
      </c>
      <c r="M652" s="425"/>
      <c r="X652" s="502">
        <f t="shared" si="868"/>
        <v>0</v>
      </c>
      <c r="AM652" s="425">
        <f t="shared" si="869"/>
        <v>0</v>
      </c>
    </row>
    <row r="653" spans="1:49" x14ac:dyDescent="0.25">
      <c r="A653" s="502"/>
      <c r="L653" s="425">
        <f t="shared" si="870"/>
        <v>0</v>
      </c>
      <c r="M653" s="425"/>
      <c r="X653" s="502">
        <f t="shared" si="868"/>
        <v>0</v>
      </c>
      <c r="AM653" s="425">
        <f t="shared" si="869"/>
        <v>0</v>
      </c>
    </row>
    <row r="654" spans="1:49" x14ac:dyDescent="0.25">
      <c r="A654" s="502"/>
      <c r="L654" s="425">
        <f t="shared" si="870"/>
        <v>0</v>
      </c>
      <c r="M654" s="425"/>
      <c r="X654" s="502">
        <f t="shared" si="868"/>
        <v>0</v>
      </c>
      <c r="AM654" s="425">
        <f t="shared" si="869"/>
        <v>0</v>
      </c>
    </row>
    <row r="655" spans="1:49" x14ac:dyDescent="0.25">
      <c r="A655" s="502"/>
      <c r="L655" s="425">
        <f t="shared" si="870"/>
        <v>0</v>
      </c>
      <c r="M655" s="425"/>
      <c r="X655" s="502">
        <f t="shared" si="868"/>
        <v>0</v>
      </c>
      <c r="AM655" s="425">
        <f t="shared" si="869"/>
        <v>0</v>
      </c>
    </row>
    <row r="656" spans="1:49" x14ac:dyDescent="0.25">
      <c r="A656" s="502"/>
      <c r="L656" s="425">
        <f t="shared" si="870"/>
        <v>0</v>
      </c>
      <c r="M656" s="425"/>
      <c r="X656" s="502">
        <f t="shared" ref="X656:X719" si="871">+A656</f>
        <v>0</v>
      </c>
      <c r="AM656" s="425">
        <f t="shared" ref="AM656:AM719" si="872">+L656</f>
        <v>0</v>
      </c>
    </row>
    <row r="657" spans="1:49" x14ac:dyDescent="0.25">
      <c r="A657" s="502"/>
      <c r="L657" s="425">
        <f t="shared" si="870"/>
        <v>0</v>
      </c>
      <c r="M657" s="425"/>
      <c r="X657" s="502">
        <f t="shared" si="871"/>
        <v>0</v>
      </c>
      <c r="AM657" s="425">
        <f t="shared" si="872"/>
        <v>0</v>
      </c>
    </row>
    <row r="658" spans="1:49" x14ac:dyDescent="0.25">
      <c r="A658" s="502"/>
      <c r="L658" s="425">
        <f t="shared" si="870"/>
        <v>0</v>
      </c>
      <c r="M658" s="425"/>
      <c r="X658" s="502">
        <f t="shared" si="871"/>
        <v>0</v>
      </c>
      <c r="AM658" s="425">
        <f t="shared" si="872"/>
        <v>0</v>
      </c>
    </row>
    <row r="659" spans="1:49" x14ac:dyDescent="0.25">
      <c r="A659" s="502"/>
      <c r="L659" s="425">
        <f t="shared" si="870"/>
        <v>0</v>
      </c>
      <c r="M659" s="425"/>
      <c r="X659" s="502">
        <f t="shared" si="871"/>
        <v>0</v>
      </c>
      <c r="AM659" s="425">
        <f t="shared" si="872"/>
        <v>0</v>
      </c>
    </row>
    <row r="660" spans="1:49" x14ac:dyDescent="0.25">
      <c r="A660" s="502"/>
      <c r="L660" s="425">
        <f t="shared" si="870"/>
        <v>0</v>
      </c>
      <c r="M660" s="425"/>
      <c r="X660" s="502">
        <f t="shared" si="871"/>
        <v>0</v>
      </c>
      <c r="AM660" s="425">
        <f t="shared" si="872"/>
        <v>0</v>
      </c>
    </row>
    <row r="661" spans="1:49" x14ac:dyDescent="0.25">
      <c r="A661" s="502"/>
      <c r="L661" s="425">
        <f t="shared" si="870"/>
        <v>0</v>
      </c>
      <c r="M661" s="425"/>
      <c r="X661" s="502">
        <f t="shared" si="871"/>
        <v>0</v>
      </c>
      <c r="AM661" s="425">
        <f t="shared" si="872"/>
        <v>0</v>
      </c>
    </row>
    <row r="662" spans="1:49" ht="15.75" thickBot="1" x14ac:dyDescent="0.3">
      <c r="A662" s="505"/>
      <c r="B662" s="345"/>
      <c r="C662" s="21"/>
      <c r="D662" s="21"/>
      <c r="E662" s="21"/>
      <c r="F662" s="21"/>
      <c r="G662" s="21"/>
      <c r="H662" s="21"/>
      <c r="I662" s="345"/>
      <c r="J662" s="345"/>
      <c r="K662" s="345"/>
      <c r="L662" s="426">
        <f t="shared" si="870"/>
        <v>0</v>
      </c>
      <c r="M662" s="426"/>
      <c r="N662" s="345"/>
      <c r="O662" s="21"/>
      <c r="P662" s="21"/>
      <c r="Q662" s="21"/>
      <c r="R662" s="21"/>
      <c r="S662" s="21"/>
      <c r="T662" s="21"/>
      <c r="U662" s="345"/>
      <c r="V662" s="345"/>
      <c r="W662" s="345"/>
      <c r="X662" s="505">
        <f t="shared" si="871"/>
        <v>0</v>
      </c>
      <c r="Y662" s="345"/>
      <c r="Z662" s="495"/>
      <c r="AA662" s="21"/>
      <c r="AB662" s="21"/>
      <c r="AC662" s="21"/>
      <c r="AD662" s="21"/>
      <c r="AE662" s="21"/>
      <c r="AF662" s="21"/>
      <c r="AG662" s="345"/>
      <c r="AH662" s="345"/>
      <c r="AI662" s="345"/>
      <c r="AJ662" s="345"/>
      <c r="AK662" s="345"/>
      <c r="AL662" s="345"/>
      <c r="AM662" s="426">
        <f t="shared" si="872"/>
        <v>0</v>
      </c>
      <c r="AN662" s="21"/>
      <c r="AO662" s="21"/>
      <c r="AP662" s="21"/>
      <c r="AQ662" s="21"/>
      <c r="AR662" s="23"/>
      <c r="AS662" s="21"/>
      <c r="AT662" s="21"/>
      <c r="AU662" s="345"/>
      <c r="AV662" s="345"/>
      <c r="AW662" s="21"/>
    </row>
    <row r="663" spans="1:49" x14ac:dyDescent="0.25">
      <c r="A663" s="502"/>
      <c r="L663" s="425">
        <f t="shared" si="870"/>
        <v>0</v>
      </c>
      <c r="M663" s="425"/>
      <c r="X663" s="502">
        <f t="shared" si="871"/>
        <v>0</v>
      </c>
      <c r="AM663" s="425">
        <f t="shared" si="872"/>
        <v>0</v>
      </c>
    </row>
    <row r="664" spans="1:49" x14ac:dyDescent="0.25">
      <c r="A664" s="502"/>
      <c r="L664" s="425">
        <f t="shared" si="870"/>
        <v>0</v>
      </c>
      <c r="M664" s="425"/>
      <c r="X664" s="502">
        <f t="shared" si="871"/>
        <v>0</v>
      </c>
      <c r="AM664" s="425">
        <f t="shared" si="872"/>
        <v>0</v>
      </c>
    </row>
    <row r="665" spans="1:49" x14ac:dyDescent="0.25">
      <c r="A665" s="502"/>
      <c r="L665" s="425">
        <f t="shared" si="870"/>
        <v>0</v>
      </c>
      <c r="M665" s="425"/>
      <c r="X665" s="502">
        <f t="shared" si="871"/>
        <v>0</v>
      </c>
      <c r="AM665" s="425">
        <f t="shared" si="872"/>
        <v>0</v>
      </c>
    </row>
    <row r="666" spans="1:49" x14ac:dyDescent="0.25">
      <c r="A666" s="502"/>
      <c r="L666" s="425">
        <f t="shared" si="870"/>
        <v>0</v>
      </c>
      <c r="M666" s="425"/>
      <c r="X666" s="502">
        <f t="shared" si="871"/>
        <v>0</v>
      </c>
      <c r="AM666" s="425">
        <f t="shared" si="872"/>
        <v>0</v>
      </c>
    </row>
    <row r="667" spans="1:49" x14ac:dyDescent="0.25">
      <c r="A667" s="502"/>
      <c r="L667" s="425">
        <f t="shared" si="870"/>
        <v>0</v>
      </c>
      <c r="M667" s="425"/>
      <c r="X667" s="502">
        <f t="shared" si="871"/>
        <v>0</v>
      </c>
      <c r="AM667" s="425">
        <f t="shared" si="872"/>
        <v>0</v>
      </c>
    </row>
    <row r="668" spans="1:49" x14ac:dyDescent="0.25">
      <c r="A668" s="502"/>
      <c r="L668" s="425">
        <f t="shared" si="870"/>
        <v>0</v>
      </c>
      <c r="M668" s="425"/>
      <c r="X668" s="502">
        <f t="shared" si="871"/>
        <v>0</v>
      </c>
      <c r="AM668" s="425">
        <f t="shared" si="872"/>
        <v>0</v>
      </c>
    </row>
    <row r="669" spans="1:49" x14ac:dyDescent="0.25">
      <c r="A669" s="502"/>
      <c r="L669" s="425">
        <f t="shared" si="870"/>
        <v>0</v>
      </c>
      <c r="M669" s="425"/>
      <c r="X669" s="502">
        <f t="shared" si="871"/>
        <v>0</v>
      </c>
      <c r="AM669" s="425">
        <f t="shared" si="872"/>
        <v>0</v>
      </c>
    </row>
    <row r="670" spans="1:49" x14ac:dyDescent="0.25">
      <c r="A670" s="502"/>
      <c r="L670" s="425">
        <f t="shared" si="870"/>
        <v>0</v>
      </c>
      <c r="M670" s="425"/>
      <c r="X670" s="502">
        <f t="shared" si="871"/>
        <v>0</v>
      </c>
      <c r="AM670" s="425">
        <f t="shared" si="872"/>
        <v>0</v>
      </c>
    </row>
    <row r="671" spans="1:49" x14ac:dyDescent="0.25">
      <c r="A671" s="502"/>
      <c r="L671" s="425">
        <f t="shared" si="870"/>
        <v>0</v>
      </c>
      <c r="M671" s="425"/>
      <c r="X671" s="502">
        <f t="shared" si="871"/>
        <v>0</v>
      </c>
      <c r="AM671" s="425">
        <f t="shared" si="872"/>
        <v>0</v>
      </c>
    </row>
    <row r="672" spans="1:49" x14ac:dyDescent="0.25">
      <c r="A672" s="502"/>
      <c r="L672" s="425">
        <f t="shared" si="870"/>
        <v>0</v>
      </c>
      <c r="M672" s="425"/>
      <c r="X672" s="502">
        <f t="shared" si="871"/>
        <v>0</v>
      </c>
      <c r="AM672" s="425">
        <f t="shared" si="872"/>
        <v>0</v>
      </c>
    </row>
    <row r="673" spans="1:49" x14ac:dyDescent="0.25">
      <c r="A673" s="502"/>
      <c r="L673" s="425">
        <f t="shared" si="870"/>
        <v>0</v>
      </c>
      <c r="M673" s="425"/>
      <c r="X673" s="502">
        <f t="shared" si="871"/>
        <v>0</v>
      </c>
      <c r="AM673" s="425">
        <f t="shared" si="872"/>
        <v>0</v>
      </c>
    </row>
    <row r="674" spans="1:49" ht="15.75" thickBot="1" x14ac:dyDescent="0.3">
      <c r="A674" s="505"/>
      <c r="B674" s="345"/>
      <c r="C674" s="21"/>
      <c r="D674" s="21"/>
      <c r="E674" s="21"/>
      <c r="F674" s="21"/>
      <c r="G674" s="21"/>
      <c r="H674" s="21"/>
      <c r="I674" s="345"/>
      <c r="J674" s="345"/>
      <c r="K674" s="345"/>
      <c r="L674" s="426">
        <f t="shared" si="870"/>
        <v>0</v>
      </c>
      <c r="M674" s="426"/>
      <c r="N674" s="345"/>
      <c r="O674" s="21"/>
      <c r="P674" s="21"/>
      <c r="Q674" s="21"/>
      <c r="R674" s="21"/>
      <c r="S674" s="21"/>
      <c r="T674" s="21"/>
      <c r="U674" s="345"/>
      <c r="V674" s="345"/>
      <c r="W674" s="345"/>
      <c r="X674" s="505">
        <f t="shared" si="871"/>
        <v>0</v>
      </c>
      <c r="Y674" s="345"/>
      <c r="Z674" s="495"/>
      <c r="AA674" s="21"/>
      <c r="AB674" s="21"/>
      <c r="AC674" s="21"/>
      <c r="AD674" s="21"/>
      <c r="AE674" s="21"/>
      <c r="AF674" s="21"/>
      <c r="AG674" s="345"/>
      <c r="AH674" s="345"/>
      <c r="AI674" s="345"/>
      <c r="AJ674" s="345"/>
      <c r="AK674" s="345"/>
      <c r="AL674" s="345"/>
      <c r="AM674" s="426">
        <f t="shared" si="872"/>
        <v>0</v>
      </c>
      <c r="AN674" s="21"/>
      <c r="AO674" s="21"/>
      <c r="AP674" s="21"/>
      <c r="AQ674" s="21"/>
      <c r="AR674" s="23"/>
      <c r="AS674" s="21"/>
      <c r="AT674" s="21"/>
      <c r="AU674" s="345"/>
      <c r="AV674" s="345"/>
      <c r="AW674" s="21"/>
    </row>
    <row r="675" spans="1:49" x14ac:dyDescent="0.25">
      <c r="A675" s="502"/>
      <c r="L675" s="425">
        <f t="shared" si="870"/>
        <v>0</v>
      </c>
      <c r="M675" s="425"/>
      <c r="X675" s="502">
        <f t="shared" si="871"/>
        <v>0</v>
      </c>
      <c r="AM675" s="425">
        <f t="shared" si="872"/>
        <v>0</v>
      </c>
    </row>
    <row r="676" spans="1:49" x14ac:dyDescent="0.25">
      <c r="A676" s="502"/>
      <c r="L676" s="425">
        <f t="shared" si="870"/>
        <v>0</v>
      </c>
      <c r="M676" s="425"/>
      <c r="X676" s="502">
        <f t="shared" si="871"/>
        <v>0</v>
      </c>
      <c r="AM676" s="425">
        <f t="shared" si="872"/>
        <v>0</v>
      </c>
    </row>
    <row r="677" spans="1:49" x14ac:dyDescent="0.25">
      <c r="A677" s="502"/>
      <c r="L677" s="425">
        <f t="shared" si="870"/>
        <v>0</v>
      </c>
      <c r="M677" s="425"/>
      <c r="X677" s="502">
        <f t="shared" si="871"/>
        <v>0</v>
      </c>
      <c r="AM677" s="425">
        <f t="shared" si="872"/>
        <v>0</v>
      </c>
    </row>
    <row r="678" spans="1:49" x14ac:dyDescent="0.25">
      <c r="A678" s="502"/>
      <c r="L678" s="425">
        <f t="shared" si="870"/>
        <v>0</v>
      </c>
      <c r="M678" s="425"/>
      <c r="X678" s="502">
        <f t="shared" si="871"/>
        <v>0</v>
      </c>
      <c r="AM678" s="425">
        <f t="shared" si="872"/>
        <v>0</v>
      </c>
    </row>
    <row r="679" spans="1:49" x14ac:dyDescent="0.25">
      <c r="A679" s="502"/>
      <c r="L679" s="425">
        <f t="shared" si="870"/>
        <v>0</v>
      </c>
      <c r="M679" s="425"/>
      <c r="X679" s="502">
        <f t="shared" si="871"/>
        <v>0</v>
      </c>
      <c r="AM679" s="425">
        <f t="shared" si="872"/>
        <v>0</v>
      </c>
    </row>
    <row r="680" spans="1:49" x14ac:dyDescent="0.25">
      <c r="A680" s="502"/>
      <c r="L680" s="425">
        <f t="shared" si="870"/>
        <v>0</v>
      </c>
      <c r="M680" s="425"/>
      <c r="X680" s="502">
        <f t="shared" si="871"/>
        <v>0</v>
      </c>
      <c r="AM680" s="425">
        <f t="shared" si="872"/>
        <v>0</v>
      </c>
    </row>
    <row r="681" spans="1:49" x14ac:dyDescent="0.25">
      <c r="A681" s="502"/>
      <c r="L681" s="425">
        <f t="shared" si="870"/>
        <v>0</v>
      </c>
      <c r="M681" s="425"/>
      <c r="X681" s="502">
        <f t="shared" si="871"/>
        <v>0</v>
      </c>
      <c r="AM681" s="425">
        <f t="shared" si="872"/>
        <v>0</v>
      </c>
    </row>
    <row r="682" spans="1:49" x14ac:dyDescent="0.25">
      <c r="A682" s="502"/>
      <c r="L682" s="425">
        <f t="shared" si="870"/>
        <v>0</v>
      </c>
      <c r="M682" s="425"/>
      <c r="X682" s="502">
        <f t="shared" si="871"/>
        <v>0</v>
      </c>
      <c r="AM682" s="425">
        <f t="shared" si="872"/>
        <v>0</v>
      </c>
    </row>
    <row r="683" spans="1:49" x14ac:dyDescent="0.25">
      <c r="A683" s="502"/>
      <c r="L683" s="425">
        <f t="shared" si="870"/>
        <v>0</v>
      </c>
      <c r="M683" s="425"/>
      <c r="X683" s="502">
        <f t="shared" si="871"/>
        <v>0</v>
      </c>
      <c r="AM683" s="425">
        <f t="shared" si="872"/>
        <v>0</v>
      </c>
    </row>
    <row r="684" spans="1:49" x14ac:dyDescent="0.25">
      <c r="A684" s="502"/>
      <c r="L684" s="425">
        <f t="shared" si="870"/>
        <v>0</v>
      </c>
      <c r="M684" s="425"/>
      <c r="X684" s="502">
        <f t="shared" si="871"/>
        <v>0</v>
      </c>
      <c r="AM684" s="425">
        <f t="shared" si="872"/>
        <v>0</v>
      </c>
    </row>
    <row r="685" spans="1:49" x14ac:dyDescent="0.25">
      <c r="A685" s="502"/>
      <c r="L685" s="425">
        <f t="shared" si="870"/>
        <v>0</v>
      </c>
      <c r="M685" s="425"/>
      <c r="X685" s="502">
        <f t="shared" si="871"/>
        <v>0</v>
      </c>
      <c r="AM685" s="425">
        <f t="shared" si="872"/>
        <v>0</v>
      </c>
    </row>
    <row r="686" spans="1:49" ht="15.75" thickBot="1" x14ac:dyDescent="0.3">
      <c r="A686" s="505"/>
      <c r="B686" s="345"/>
      <c r="C686" s="21"/>
      <c r="D686" s="21"/>
      <c r="E686" s="21"/>
      <c r="F686" s="21"/>
      <c r="G686" s="21"/>
      <c r="H686" s="21"/>
      <c r="I686" s="345"/>
      <c r="J686" s="345"/>
      <c r="K686" s="345"/>
      <c r="L686" s="426">
        <f t="shared" si="870"/>
        <v>0</v>
      </c>
      <c r="M686" s="426"/>
      <c r="N686" s="345"/>
      <c r="O686" s="21"/>
      <c r="P686" s="21"/>
      <c r="Q686" s="21"/>
      <c r="R686" s="21"/>
      <c r="S686" s="21"/>
      <c r="T686" s="21"/>
      <c r="U686" s="345"/>
      <c r="V686" s="345"/>
      <c r="W686" s="345"/>
      <c r="X686" s="505">
        <f t="shared" si="871"/>
        <v>0</v>
      </c>
      <c r="Y686" s="345"/>
      <c r="Z686" s="495"/>
      <c r="AA686" s="21"/>
      <c r="AB686" s="21"/>
      <c r="AC686" s="21"/>
      <c r="AD686" s="21"/>
      <c r="AE686" s="21"/>
      <c r="AF686" s="21"/>
      <c r="AG686" s="345"/>
      <c r="AH686" s="345"/>
      <c r="AI686" s="345"/>
      <c r="AJ686" s="345"/>
      <c r="AK686" s="345"/>
      <c r="AL686" s="345"/>
      <c r="AM686" s="426">
        <f t="shared" si="872"/>
        <v>0</v>
      </c>
      <c r="AN686" s="21"/>
      <c r="AO686" s="21"/>
      <c r="AP686" s="21"/>
      <c r="AQ686" s="21"/>
      <c r="AR686" s="23"/>
      <c r="AS686" s="21"/>
      <c r="AT686" s="21"/>
      <c r="AU686" s="345"/>
      <c r="AV686" s="345"/>
      <c r="AW686" s="21"/>
    </row>
    <row r="687" spans="1:49" x14ac:dyDescent="0.25">
      <c r="A687" s="502"/>
      <c r="L687" s="425">
        <f t="shared" ref="L687:L750" si="873">IF(MOD(M687,12)=0,M687/12,L686)</f>
        <v>0</v>
      </c>
      <c r="M687" s="425"/>
      <c r="X687" s="502">
        <f t="shared" si="871"/>
        <v>0</v>
      </c>
      <c r="AM687" s="425">
        <f t="shared" si="872"/>
        <v>0</v>
      </c>
    </row>
    <row r="688" spans="1:49" x14ac:dyDescent="0.25">
      <c r="A688" s="502"/>
      <c r="L688" s="425">
        <f t="shared" si="873"/>
        <v>0</v>
      </c>
      <c r="M688" s="425"/>
      <c r="X688" s="502">
        <f t="shared" si="871"/>
        <v>0</v>
      </c>
      <c r="AM688" s="425">
        <f t="shared" si="872"/>
        <v>0</v>
      </c>
    </row>
    <row r="689" spans="1:49" x14ac:dyDescent="0.25">
      <c r="A689" s="502"/>
      <c r="L689" s="425">
        <f t="shared" si="873"/>
        <v>0</v>
      </c>
      <c r="M689" s="425"/>
      <c r="X689" s="502">
        <f t="shared" si="871"/>
        <v>0</v>
      </c>
      <c r="AM689" s="425">
        <f t="shared" si="872"/>
        <v>0</v>
      </c>
    </row>
    <row r="690" spans="1:49" x14ac:dyDescent="0.25">
      <c r="A690" s="502"/>
      <c r="L690" s="425">
        <f t="shared" si="873"/>
        <v>0</v>
      </c>
      <c r="M690" s="425"/>
      <c r="X690" s="502">
        <f t="shared" si="871"/>
        <v>0</v>
      </c>
      <c r="AM690" s="425">
        <f t="shared" si="872"/>
        <v>0</v>
      </c>
    </row>
    <row r="691" spans="1:49" x14ac:dyDescent="0.25">
      <c r="A691" s="502"/>
      <c r="L691" s="425">
        <f t="shared" si="873"/>
        <v>0</v>
      </c>
      <c r="M691" s="425"/>
      <c r="X691" s="502">
        <f t="shared" si="871"/>
        <v>0</v>
      </c>
      <c r="AM691" s="425">
        <f t="shared" si="872"/>
        <v>0</v>
      </c>
    </row>
    <row r="692" spans="1:49" x14ac:dyDescent="0.25">
      <c r="A692" s="502"/>
      <c r="L692" s="425">
        <f t="shared" si="873"/>
        <v>0</v>
      </c>
      <c r="M692" s="425"/>
      <c r="X692" s="502">
        <f t="shared" si="871"/>
        <v>0</v>
      </c>
      <c r="AM692" s="425">
        <f t="shared" si="872"/>
        <v>0</v>
      </c>
    </row>
    <row r="693" spans="1:49" x14ac:dyDescent="0.25">
      <c r="A693" s="502"/>
      <c r="L693" s="425">
        <f t="shared" si="873"/>
        <v>0</v>
      </c>
      <c r="M693" s="425"/>
      <c r="X693" s="502">
        <f t="shared" si="871"/>
        <v>0</v>
      </c>
      <c r="AM693" s="425">
        <f t="shared" si="872"/>
        <v>0</v>
      </c>
    </row>
    <row r="694" spans="1:49" x14ac:dyDescent="0.25">
      <c r="A694" s="502"/>
      <c r="L694" s="425">
        <f t="shared" si="873"/>
        <v>0</v>
      </c>
      <c r="M694" s="425"/>
      <c r="X694" s="502">
        <f t="shared" si="871"/>
        <v>0</v>
      </c>
      <c r="AM694" s="425">
        <f t="shared" si="872"/>
        <v>0</v>
      </c>
    </row>
    <row r="695" spans="1:49" x14ac:dyDescent="0.25">
      <c r="A695" s="502"/>
      <c r="L695" s="425">
        <f t="shared" si="873"/>
        <v>0</v>
      </c>
      <c r="M695" s="425"/>
      <c r="X695" s="502">
        <f t="shared" si="871"/>
        <v>0</v>
      </c>
      <c r="AM695" s="425">
        <f t="shared" si="872"/>
        <v>0</v>
      </c>
    </row>
    <row r="696" spans="1:49" x14ac:dyDescent="0.25">
      <c r="A696" s="502"/>
      <c r="L696" s="425">
        <f t="shared" si="873"/>
        <v>0</v>
      </c>
      <c r="M696" s="425"/>
      <c r="X696" s="502">
        <f t="shared" si="871"/>
        <v>0</v>
      </c>
      <c r="AM696" s="425">
        <f t="shared" si="872"/>
        <v>0</v>
      </c>
    </row>
    <row r="697" spans="1:49" x14ac:dyDescent="0.25">
      <c r="A697" s="502"/>
      <c r="L697" s="425">
        <f t="shared" si="873"/>
        <v>0</v>
      </c>
      <c r="M697" s="425"/>
      <c r="X697" s="502">
        <f t="shared" si="871"/>
        <v>0</v>
      </c>
      <c r="AM697" s="425">
        <f t="shared" si="872"/>
        <v>0</v>
      </c>
    </row>
    <row r="698" spans="1:49" ht="15.75" thickBot="1" x14ac:dyDescent="0.3">
      <c r="A698" s="505"/>
      <c r="B698" s="345"/>
      <c r="C698" s="21"/>
      <c r="D698" s="21"/>
      <c r="E698" s="21"/>
      <c r="F698" s="21"/>
      <c r="G698" s="21"/>
      <c r="H698" s="21"/>
      <c r="I698" s="345"/>
      <c r="J698" s="345"/>
      <c r="K698" s="345"/>
      <c r="L698" s="426">
        <f t="shared" si="873"/>
        <v>0</v>
      </c>
      <c r="M698" s="426"/>
      <c r="N698" s="345"/>
      <c r="O698" s="21"/>
      <c r="P698" s="21"/>
      <c r="Q698" s="21"/>
      <c r="R698" s="21"/>
      <c r="S698" s="21"/>
      <c r="T698" s="21"/>
      <c r="U698" s="345"/>
      <c r="V698" s="345"/>
      <c r="W698" s="345"/>
      <c r="X698" s="505">
        <f t="shared" si="871"/>
        <v>0</v>
      </c>
      <c r="Y698" s="345"/>
      <c r="Z698" s="495"/>
      <c r="AA698" s="21"/>
      <c r="AB698" s="21"/>
      <c r="AC698" s="21"/>
      <c r="AD698" s="21"/>
      <c r="AE698" s="21"/>
      <c r="AF698" s="21"/>
      <c r="AG698" s="345"/>
      <c r="AH698" s="345"/>
      <c r="AI698" s="345"/>
      <c r="AJ698" s="345"/>
      <c r="AK698" s="345"/>
      <c r="AL698" s="345"/>
      <c r="AM698" s="426">
        <f t="shared" si="872"/>
        <v>0</v>
      </c>
      <c r="AN698" s="21"/>
      <c r="AO698" s="21"/>
      <c r="AP698" s="21"/>
      <c r="AQ698" s="21"/>
      <c r="AR698" s="23"/>
      <c r="AS698" s="21"/>
      <c r="AT698" s="21"/>
      <c r="AU698" s="345"/>
      <c r="AV698" s="345"/>
      <c r="AW698" s="21"/>
    </row>
    <row r="699" spans="1:49" x14ac:dyDescent="0.25">
      <c r="A699" s="502"/>
      <c r="L699" s="425">
        <f t="shared" si="873"/>
        <v>0</v>
      </c>
      <c r="M699" s="425"/>
      <c r="X699" s="502">
        <f t="shared" si="871"/>
        <v>0</v>
      </c>
      <c r="AM699" s="425">
        <f t="shared" si="872"/>
        <v>0</v>
      </c>
    </row>
    <row r="700" spans="1:49" x14ac:dyDescent="0.25">
      <c r="A700" s="502"/>
      <c r="L700" s="425">
        <f t="shared" si="873"/>
        <v>0</v>
      </c>
      <c r="M700" s="425"/>
      <c r="X700" s="502">
        <f t="shared" si="871"/>
        <v>0</v>
      </c>
      <c r="AM700" s="425">
        <f t="shared" si="872"/>
        <v>0</v>
      </c>
    </row>
    <row r="701" spans="1:49" x14ac:dyDescent="0.25">
      <c r="A701" s="502"/>
      <c r="L701" s="425">
        <f t="shared" si="873"/>
        <v>0</v>
      </c>
      <c r="M701" s="425"/>
      <c r="X701" s="502">
        <f t="shared" si="871"/>
        <v>0</v>
      </c>
      <c r="AM701" s="425">
        <f t="shared" si="872"/>
        <v>0</v>
      </c>
    </row>
    <row r="702" spans="1:49" x14ac:dyDescent="0.25">
      <c r="A702" s="502"/>
      <c r="L702" s="425">
        <f t="shared" si="873"/>
        <v>0</v>
      </c>
      <c r="M702" s="425"/>
      <c r="X702" s="502">
        <f t="shared" si="871"/>
        <v>0</v>
      </c>
      <c r="AM702" s="425">
        <f t="shared" si="872"/>
        <v>0</v>
      </c>
    </row>
    <row r="703" spans="1:49" x14ac:dyDescent="0.25">
      <c r="A703" s="502"/>
      <c r="L703" s="425">
        <f t="shared" si="873"/>
        <v>0</v>
      </c>
      <c r="M703" s="425"/>
      <c r="X703" s="502">
        <f t="shared" si="871"/>
        <v>0</v>
      </c>
      <c r="AM703" s="425">
        <f t="shared" si="872"/>
        <v>0</v>
      </c>
    </row>
    <row r="704" spans="1:49" x14ac:dyDescent="0.25">
      <c r="A704" s="502"/>
      <c r="L704" s="425">
        <f t="shared" si="873"/>
        <v>0</v>
      </c>
      <c r="M704" s="425"/>
      <c r="X704" s="502">
        <f t="shared" si="871"/>
        <v>0</v>
      </c>
      <c r="AM704" s="425">
        <f t="shared" si="872"/>
        <v>0</v>
      </c>
    </row>
    <row r="705" spans="1:49" x14ac:dyDescent="0.25">
      <c r="A705" s="502"/>
      <c r="L705" s="425">
        <f t="shared" si="873"/>
        <v>0</v>
      </c>
      <c r="M705" s="425"/>
      <c r="X705" s="502">
        <f t="shared" si="871"/>
        <v>0</v>
      </c>
      <c r="AM705" s="425">
        <f t="shared" si="872"/>
        <v>0</v>
      </c>
    </row>
    <row r="706" spans="1:49" x14ac:dyDescent="0.25">
      <c r="A706" s="502"/>
      <c r="L706" s="425">
        <f t="shared" si="873"/>
        <v>0</v>
      </c>
      <c r="M706" s="425"/>
      <c r="X706" s="502">
        <f t="shared" si="871"/>
        <v>0</v>
      </c>
      <c r="AM706" s="425">
        <f t="shared" si="872"/>
        <v>0</v>
      </c>
    </row>
    <row r="707" spans="1:49" x14ac:dyDescent="0.25">
      <c r="A707" s="502"/>
      <c r="L707" s="425">
        <f t="shared" si="873"/>
        <v>0</v>
      </c>
      <c r="M707" s="425"/>
      <c r="X707" s="502">
        <f t="shared" si="871"/>
        <v>0</v>
      </c>
      <c r="AM707" s="425">
        <f t="shared" si="872"/>
        <v>0</v>
      </c>
    </row>
    <row r="708" spans="1:49" x14ac:dyDescent="0.25">
      <c r="A708" s="502"/>
      <c r="L708" s="425">
        <f t="shared" si="873"/>
        <v>0</v>
      </c>
      <c r="M708" s="425"/>
      <c r="X708" s="502">
        <f t="shared" si="871"/>
        <v>0</v>
      </c>
      <c r="AM708" s="425">
        <f t="shared" si="872"/>
        <v>0</v>
      </c>
    </row>
    <row r="709" spans="1:49" x14ac:dyDescent="0.25">
      <c r="A709" s="502"/>
      <c r="L709" s="425">
        <f t="shared" si="873"/>
        <v>0</v>
      </c>
      <c r="M709" s="425"/>
      <c r="X709" s="502">
        <f t="shared" si="871"/>
        <v>0</v>
      </c>
      <c r="AM709" s="425">
        <f t="shared" si="872"/>
        <v>0</v>
      </c>
    </row>
    <row r="710" spans="1:49" ht="15.75" thickBot="1" x14ac:dyDescent="0.3">
      <c r="A710" s="505"/>
      <c r="B710" s="345"/>
      <c r="C710" s="21"/>
      <c r="D710" s="21"/>
      <c r="E710" s="21"/>
      <c r="F710" s="21"/>
      <c r="G710" s="21"/>
      <c r="H710" s="21"/>
      <c r="I710" s="345"/>
      <c r="J710" s="345"/>
      <c r="K710" s="345"/>
      <c r="L710" s="426">
        <f t="shared" si="873"/>
        <v>0</v>
      </c>
      <c r="M710" s="426"/>
      <c r="N710" s="345"/>
      <c r="O710" s="21"/>
      <c r="P710" s="21"/>
      <c r="Q710" s="21"/>
      <c r="R710" s="21"/>
      <c r="S710" s="21"/>
      <c r="T710" s="21"/>
      <c r="U710" s="345"/>
      <c r="V710" s="345"/>
      <c r="W710" s="345"/>
      <c r="X710" s="505">
        <f t="shared" si="871"/>
        <v>0</v>
      </c>
      <c r="Y710" s="345"/>
      <c r="Z710" s="495"/>
      <c r="AA710" s="21"/>
      <c r="AB710" s="21"/>
      <c r="AC710" s="21"/>
      <c r="AD710" s="21"/>
      <c r="AE710" s="21"/>
      <c r="AF710" s="21"/>
      <c r="AG710" s="345"/>
      <c r="AH710" s="345"/>
      <c r="AI710" s="345"/>
      <c r="AJ710" s="345"/>
      <c r="AK710" s="345"/>
      <c r="AL710" s="345"/>
      <c r="AM710" s="426">
        <f t="shared" si="872"/>
        <v>0</v>
      </c>
      <c r="AN710" s="21"/>
      <c r="AO710" s="21"/>
      <c r="AP710" s="21"/>
      <c r="AQ710" s="21"/>
      <c r="AR710" s="23"/>
      <c r="AS710" s="21"/>
      <c r="AT710" s="21"/>
      <c r="AU710" s="345"/>
      <c r="AV710" s="345"/>
      <c r="AW710" s="21"/>
    </row>
    <row r="711" spans="1:49" x14ac:dyDescent="0.25">
      <c r="A711" s="502"/>
      <c r="L711" s="425">
        <f t="shared" si="873"/>
        <v>0</v>
      </c>
      <c r="M711" s="425"/>
      <c r="X711" s="502">
        <f t="shared" si="871"/>
        <v>0</v>
      </c>
      <c r="AM711" s="425">
        <f t="shared" si="872"/>
        <v>0</v>
      </c>
    </row>
    <row r="712" spans="1:49" x14ac:dyDescent="0.25">
      <c r="A712" s="502"/>
      <c r="L712" s="425">
        <f t="shared" si="873"/>
        <v>0</v>
      </c>
      <c r="M712" s="425"/>
      <c r="X712" s="502">
        <f t="shared" si="871"/>
        <v>0</v>
      </c>
      <c r="AM712" s="425">
        <f t="shared" si="872"/>
        <v>0</v>
      </c>
    </row>
    <row r="713" spans="1:49" x14ac:dyDescent="0.25">
      <c r="A713" s="502"/>
      <c r="L713" s="425">
        <f t="shared" si="873"/>
        <v>0</v>
      </c>
      <c r="M713" s="425"/>
      <c r="X713" s="502">
        <f t="shared" si="871"/>
        <v>0</v>
      </c>
      <c r="AM713" s="425">
        <f t="shared" si="872"/>
        <v>0</v>
      </c>
    </row>
    <row r="714" spans="1:49" x14ac:dyDescent="0.25">
      <c r="A714" s="502"/>
      <c r="L714" s="425">
        <f t="shared" si="873"/>
        <v>0</v>
      </c>
      <c r="M714" s="425"/>
      <c r="X714" s="502">
        <f t="shared" si="871"/>
        <v>0</v>
      </c>
      <c r="AM714" s="425">
        <f t="shared" si="872"/>
        <v>0</v>
      </c>
    </row>
    <row r="715" spans="1:49" x14ac:dyDescent="0.25">
      <c r="A715" s="502"/>
      <c r="L715" s="425">
        <f t="shared" si="873"/>
        <v>0</v>
      </c>
      <c r="M715" s="425"/>
      <c r="X715" s="502">
        <f t="shared" si="871"/>
        <v>0</v>
      </c>
      <c r="AM715" s="425">
        <f t="shared" si="872"/>
        <v>0</v>
      </c>
    </row>
    <row r="716" spans="1:49" x14ac:dyDescent="0.25">
      <c r="A716" s="502"/>
      <c r="L716" s="425">
        <f t="shared" si="873"/>
        <v>0</v>
      </c>
      <c r="M716" s="425"/>
      <c r="X716" s="502">
        <f t="shared" si="871"/>
        <v>0</v>
      </c>
      <c r="AM716" s="425">
        <f t="shared" si="872"/>
        <v>0</v>
      </c>
    </row>
    <row r="717" spans="1:49" x14ac:dyDescent="0.25">
      <c r="A717" s="502"/>
      <c r="L717" s="425">
        <f t="shared" si="873"/>
        <v>0</v>
      </c>
      <c r="M717" s="425"/>
      <c r="X717" s="502">
        <f t="shared" si="871"/>
        <v>0</v>
      </c>
      <c r="AM717" s="425">
        <f t="shared" si="872"/>
        <v>0</v>
      </c>
    </row>
    <row r="718" spans="1:49" x14ac:dyDescent="0.25">
      <c r="A718" s="502"/>
      <c r="L718" s="425">
        <f t="shared" si="873"/>
        <v>0</v>
      </c>
      <c r="M718" s="425"/>
      <c r="X718" s="502">
        <f t="shared" si="871"/>
        <v>0</v>
      </c>
      <c r="AM718" s="425">
        <f t="shared" si="872"/>
        <v>0</v>
      </c>
    </row>
    <row r="719" spans="1:49" x14ac:dyDescent="0.25">
      <c r="A719" s="502"/>
      <c r="L719" s="425">
        <f t="shared" si="873"/>
        <v>0</v>
      </c>
      <c r="M719" s="425"/>
      <c r="X719" s="502">
        <f t="shared" si="871"/>
        <v>0</v>
      </c>
      <c r="AM719" s="425">
        <f t="shared" si="872"/>
        <v>0</v>
      </c>
    </row>
    <row r="720" spans="1:49" x14ac:dyDescent="0.25">
      <c r="A720" s="502"/>
      <c r="L720" s="425">
        <f t="shared" si="873"/>
        <v>0</v>
      </c>
      <c r="M720" s="425"/>
      <c r="X720" s="502">
        <f t="shared" ref="X720:X782" si="874">+A720</f>
        <v>0</v>
      </c>
      <c r="AM720" s="425">
        <f t="shared" ref="AM720:AM723" si="875">+L720</f>
        <v>0</v>
      </c>
    </row>
    <row r="721" spans="1:49" x14ac:dyDescent="0.25">
      <c r="A721" s="502"/>
      <c r="L721" s="425">
        <f t="shared" si="873"/>
        <v>0</v>
      </c>
      <c r="M721" s="425"/>
      <c r="X721" s="502">
        <f t="shared" si="874"/>
        <v>0</v>
      </c>
      <c r="AM721" s="425">
        <f t="shared" si="875"/>
        <v>0</v>
      </c>
    </row>
    <row r="722" spans="1:49" ht="15.75" thickBot="1" x14ac:dyDescent="0.3">
      <c r="A722" s="505"/>
      <c r="B722" s="345"/>
      <c r="C722" s="21"/>
      <c r="D722" s="21"/>
      <c r="E722" s="21"/>
      <c r="F722" s="21"/>
      <c r="G722" s="21"/>
      <c r="H722" s="21"/>
      <c r="I722" s="345"/>
      <c r="J722" s="345"/>
      <c r="K722" s="345"/>
      <c r="L722" s="426">
        <f t="shared" si="873"/>
        <v>0</v>
      </c>
      <c r="M722" s="426"/>
      <c r="N722" s="345"/>
      <c r="O722" s="21"/>
      <c r="P722" s="21"/>
      <c r="Q722" s="21"/>
      <c r="R722" s="21"/>
      <c r="S722" s="21"/>
      <c r="T722" s="21"/>
      <c r="U722" s="345"/>
      <c r="V722" s="345"/>
      <c r="W722" s="345"/>
      <c r="X722" s="505">
        <f t="shared" si="874"/>
        <v>0</v>
      </c>
      <c r="Y722" s="345"/>
      <c r="Z722" s="495"/>
      <c r="AA722" s="21"/>
      <c r="AB722" s="21"/>
      <c r="AC722" s="21"/>
      <c r="AD722" s="21"/>
      <c r="AE722" s="21"/>
      <c r="AF722" s="21"/>
      <c r="AG722" s="345"/>
      <c r="AH722" s="345"/>
      <c r="AI722" s="345"/>
      <c r="AJ722" s="345"/>
      <c r="AK722" s="345"/>
      <c r="AL722" s="345"/>
      <c r="AM722" s="426">
        <f t="shared" si="875"/>
        <v>0</v>
      </c>
      <c r="AN722" s="21"/>
      <c r="AO722" s="21"/>
      <c r="AP722" s="21"/>
      <c r="AQ722" s="21"/>
      <c r="AR722" s="23"/>
      <c r="AS722" s="21"/>
      <c r="AT722" s="21"/>
      <c r="AU722" s="345"/>
      <c r="AV722" s="345"/>
      <c r="AW722" s="21"/>
    </row>
    <row r="723" spans="1:49" x14ac:dyDescent="0.25">
      <c r="A723" s="502"/>
      <c r="L723" s="425">
        <f t="shared" si="873"/>
        <v>0</v>
      </c>
      <c r="M723" s="425"/>
      <c r="X723" s="502">
        <f t="shared" si="874"/>
        <v>0</v>
      </c>
      <c r="AM723" s="425">
        <f t="shared" si="875"/>
        <v>0</v>
      </c>
    </row>
    <row r="724" spans="1:49" x14ac:dyDescent="0.25">
      <c r="A724" s="502"/>
      <c r="L724" s="425">
        <f t="shared" si="873"/>
        <v>0</v>
      </c>
      <c r="M724" s="425"/>
      <c r="X724" s="502">
        <f t="shared" si="874"/>
        <v>0</v>
      </c>
      <c r="AM724" s="425"/>
    </row>
    <row r="725" spans="1:49" x14ac:dyDescent="0.25">
      <c r="A725" s="502"/>
      <c r="L725" s="425">
        <f t="shared" si="873"/>
        <v>0</v>
      </c>
      <c r="M725" s="425"/>
      <c r="X725" s="502">
        <f t="shared" si="874"/>
        <v>0</v>
      </c>
      <c r="AM725" s="425"/>
    </row>
    <row r="726" spans="1:49" x14ac:dyDescent="0.25">
      <c r="A726" s="502"/>
      <c r="L726" s="425">
        <f t="shared" si="873"/>
        <v>0</v>
      </c>
      <c r="M726" s="425"/>
      <c r="X726" s="502">
        <f t="shared" si="874"/>
        <v>0</v>
      </c>
      <c r="AM726" s="425"/>
    </row>
    <row r="727" spans="1:49" x14ac:dyDescent="0.25">
      <c r="A727" s="502"/>
      <c r="L727" s="425">
        <f t="shared" si="873"/>
        <v>0</v>
      </c>
      <c r="M727" s="425"/>
      <c r="X727" s="502">
        <f t="shared" si="874"/>
        <v>0</v>
      </c>
      <c r="AM727" s="425"/>
    </row>
    <row r="728" spans="1:49" x14ac:dyDescent="0.25">
      <c r="A728" s="502"/>
      <c r="L728" s="425">
        <f t="shared" si="873"/>
        <v>0</v>
      </c>
      <c r="M728" s="425"/>
      <c r="X728" s="502">
        <f t="shared" si="874"/>
        <v>0</v>
      </c>
      <c r="AM728" s="425"/>
    </row>
    <row r="729" spans="1:49" x14ac:dyDescent="0.25">
      <c r="A729" s="502"/>
      <c r="L729" s="425">
        <f t="shared" si="873"/>
        <v>0</v>
      </c>
      <c r="M729" s="425"/>
      <c r="X729" s="502">
        <f t="shared" si="874"/>
        <v>0</v>
      </c>
      <c r="AM729" s="425"/>
    </row>
    <row r="730" spans="1:49" x14ac:dyDescent="0.25">
      <c r="A730" s="502"/>
      <c r="L730" s="425">
        <f t="shared" si="873"/>
        <v>0</v>
      </c>
      <c r="M730" s="425"/>
      <c r="X730" s="502">
        <f t="shared" si="874"/>
        <v>0</v>
      </c>
      <c r="AM730" s="425"/>
    </row>
    <row r="731" spans="1:49" x14ac:dyDescent="0.25">
      <c r="A731" s="502"/>
      <c r="L731" s="425">
        <f t="shared" si="873"/>
        <v>0</v>
      </c>
      <c r="M731" s="425"/>
      <c r="X731" s="502">
        <f t="shared" si="874"/>
        <v>0</v>
      </c>
      <c r="AM731" s="425"/>
    </row>
    <row r="732" spans="1:49" x14ac:dyDescent="0.25">
      <c r="A732" s="502"/>
      <c r="L732" s="425">
        <f t="shared" si="873"/>
        <v>0</v>
      </c>
      <c r="M732" s="425"/>
      <c r="X732" s="502">
        <f t="shared" si="874"/>
        <v>0</v>
      </c>
      <c r="AM732" s="425"/>
    </row>
    <row r="733" spans="1:49" x14ac:dyDescent="0.25">
      <c r="A733" s="502"/>
      <c r="L733" s="425">
        <f t="shared" si="873"/>
        <v>0</v>
      </c>
      <c r="M733" s="425"/>
      <c r="X733" s="502">
        <f t="shared" si="874"/>
        <v>0</v>
      </c>
      <c r="AM733" s="425"/>
    </row>
    <row r="734" spans="1:49" ht="15.75" thickBot="1" x14ac:dyDescent="0.3">
      <c r="A734" s="505"/>
      <c r="B734" s="345"/>
      <c r="C734" s="21"/>
      <c r="D734" s="21"/>
      <c r="E734" s="21"/>
      <c r="F734" s="21"/>
      <c r="G734" s="21"/>
      <c r="H734" s="21"/>
      <c r="I734" s="345"/>
      <c r="J734" s="345"/>
      <c r="K734" s="345"/>
      <c r="L734" s="426">
        <f t="shared" si="873"/>
        <v>0</v>
      </c>
      <c r="M734" s="426"/>
      <c r="N734" s="345"/>
      <c r="O734" s="21"/>
      <c r="P734" s="21"/>
      <c r="Q734" s="21"/>
      <c r="R734" s="21"/>
      <c r="S734" s="21"/>
      <c r="T734" s="21"/>
      <c r="U734" s="345"/>
      <c r="V734" s="345"/>
      <c r="W734" s="345"/>
      <c r="X734" s="505">
        <f t="shared" si="874"/>
        <v>0</v>
      </c>
      <c r="Y734" s="345"/>
      <c r="Z734" s="495"/>
      <c r="AA734" s="21"/>
      <c r="AB734" s="21"/>
      <c r="AC734" s="21"/>
      <c r="AD734" s="21"/>
      <c r="AE734" s="21"/>
      <c r="AF734" s="21"/>
      <c r="AG734" s="345"/>
      <c r="AH734" s="345"/>
      <c r="AI734" s="345"/>
      <c r="AJ734" s="345"/>
      <c r="AK734" s="345"/>
      <c r="AL734" s="345"/>
      <c r="AM734" s="426"/>
      <c r="AN734" s="21"/>
      <c r="AO734" s="21"/>
      <c r="AP734" s="21"/>
      <c r="AQ734" s="21"/>
      <c r="AR734" s="23"/>
      <c r="AS734" s="21"/>
      <c r="AT734" s="21"/>
      <c r="AU734" s="345"/>
      <c r="AV734" s="345"/>
      <c r="AW734" s="21"/>
    </row>
    <row r="735" spans="1:49" x14ac:dyDescent="0.25">
      <c r="A735" s="502"/>
      <c r="L735" s="425">
        <f t="shared" si="873"/>
        <v>0</v>
      </c>
      <c r="M735" s="425"/>
      <c r="X735" s="502">
        <f t="shared" si="874"/>
        <v>0</v>
      </c>
      <c r="AM735" s="425"/>
    </row>
    <row r="736" spans="1:49" x14ac:dyDescent="0.25">
      <c r="A736" s="502"/>
      <c r="L736" s="425">
        <f t="shared" si="873"/>
        <v>0</v>
      </c>
      <c r="M736" s="425"/>
      <c r="X736" s="502">
        <f t="shared" si="874"/>
        <v>0</v>
      </c>
      <c r="AM736" s="425"/>
    </row>
    <row r="737" spans="1:49" x14ac:dyDescent="0.25">
      <c r="A737" s="502"/>
      <c r="L737" s="425">
        <f t="shared" si="873"/>
        <v>0</v>
      </c>
      <c r="M737" s="425"/>
      <c r="X737" s="502">
        <f t="shared" si="874"/>
        <v>0</v>
      </c>
      <c r="AM737" s="425"/>
    </row>
    <row r="738" spans="1:49" x14ac:dyDescent="0.25">
      <c r="A738" s="502"/>
      <c r="L738" s="425">
        <f t="shared" si="873"/>
        <v>0</v>
      </c>
      <c r="M738" s="425"/>
      <c r="X738" s="502">
        <f t="shared" si="874"/>
        <v>0</v>
      </c>
      <c r="AM738" s="425"/>
    </row>
    <row r="739" spans="1:49" x14ac:dyDescent="0.25">
      <c r="A739" s="502"/>
      <c r="L739" s="425">
        <f t="shared" si="873"/>
        <v>0</v>
      </c>
      <c r="M739" s="425"/>
      <c r="X739" s="502">
        <f t="shared" si="874"/>
        <v>0</v>
      </c>
      <c r="AM739" s="425"/>
    </row>
    <row r="740" spans="1:49" x14ac:dyDescent="0.25">
      <c r="A740" s="502"/>
      <c r="L740" s="425">
        <f t="shared" si="873"/>
        <v>0</v>
      </c>
      <c r="M740" s="425"/>
      <c r="X740" s="502">
        <f t="shared" si="874"/>
        <v>0</v>
      </c>
      <c r="AM740" s="425"/>
    </row>
    <row r="741" spans="1:49" x14ac:dyDescent="0.25">
      <c r="A741" s="502"/>
      <c r="L741" s="425">
        <f t="shared" si="873"/>
        <v>0</v>
      </c>
      <c r="M741" s="425"/>
      <c r="X741" s="502">
        <f t="shared" si="874"/>
        <v>0</v>
      </c>
      <c r="AM741" s="425"/>
    </row>
    <row r="742" spans="1:49" x14ac:dyDescent="0.25">
      <c r="A742" s="502"/>
      <c r="L742" s="425">
        <f t="shared" si="873"/>
        <v>0</v>
      </c>
      <c r="M742" s="425"/>
      <c r="X742" s="502">
        <f t="shared" si="874"/>
        <v>0</v>
      </c>
      <c r="AM742" s="425"/>
    </row>
    <row r="743" spans="1:49" x14ac:dyDescent="0.25">
      <c r="A743" s="502"/>
      <c r="L743" s="425">
        <f t="shared" si="873"/>
        <v>0</v>
      </c>
      <c r="M743" s="425"/>
      <c r="X743" s="502">
        <f t="shared" si="874"/>
        <v>0</v>
      </c>
      <c r="AM743" s="425"/>
    </row>
    <row r="744" spans="1:49" x14ac:dyDescent="0.25">
      <c r="A744" s="502"/>
      <c r="L744" s="425">
        <f t="shared" si="873"/>
        <v>0</v>
      </c>
      <c r="M744" s="425"/>
      <c r="X744" s="502">
        <f t="shared" si="874"/>
        <v>0</v>
      </c>
      <c r="AM744" s="425"/>
    </row>
    <row r="745" spans="1:49" x14ac:dyDescent="0.25">
      <c r="A745" s="502"/>
      <c r="L745" s="425">
        <f t="shared" si="873"/>
        <v>0</v>
      </c>
      <c r="M745" s="425"/>
      <c r="X745" s="502">
        <f t="shared" si="874"/>
        <v>0</v>
      </c>
      <c r="AM745" s="425"/>
    </row>
    <row r="746" spans="1:49" ht="15.75" thickBot="1" x14ac:dyDescent="0.3">
      <c r="A746" s="505"/>
      <c r="B746" s="345"/>
      <c r="C746" s="21"/>
      <c r="D746" s="21"/>
      <c r="E746" s="21"/>
      <c r="F746" s="21"/>
      <c r="G746" s="21"/>
      <c r="H746" s="21"/>
      <c r="I746" s="345"/>
      <c r="J746" s="345"/>
      <c r="K746" s="345"/>
      <c r="L746" s="426">
        <f t="shared" si="873"/>
        <v>0</v>
      </c>
      <c r="M746" s="426"/>
      <c r="N746" s="345"/>
      <c r="O746" s="21"/>
      <c r="P746" s="21"/>
      <c r="Q746" s="21"/>
      <c r="R746" s="21"/>
      <c r="S746" s="21"/>
      <c r="T746" s="21"/>
      <c r="U746" s="345"/>
      <c r="V746" s="345"/>
      <c r="W746" s="345"/>
      <c r="X746" s="505">
        <f t="shared" si="874"/>
        <v>0</v>
      </c>
      <c r="Y746" s="345"/>
      <c r="Z746" s="495"/>
      <c r="AA746" s="21"/>
      <c r="AB746" s="21"/>
      <c r="AC746" s="21"/>
      <c r="AD746" s="21"/>
      <c r="AE746" s="21"/>
      <c r="AF746" s="21"/>
      <c r="AG746" s="345"/>
      <c r="AH746" s="345"/>
      <c r="AI746" s="345"/>
      <c r="AJ746" s="345"/>
      <c r="AK746" s="345"/>
      <c r="AL746" s="345"/>
      <c r="AM746" s="426"/>
      <c r="AN746" s="21"/>
      <c r="AO746" s="21"/>
      <c r="AP746" s="21"/>
      <c r="AQ746" s="21"/>
      <c r="AR746" s="23"/>
      <c r="AS746" s="21"/>
      <c r="AT746" s="21"/>
      <c r="AU746" s="345"/>
      <c r="AV746" s="345"/>
      <c r="AW746" s="21"/>
    </row>
    <row r="747" spans="1:49" x14ac:dyDescent="0.25">
      <c r="A747" s="502"/>
      <c r="L747" s="425">
        <f t="shared" si="873"/>
        <v>0</v>
      </c>
      <c r="M747" s="425"/>
      <c r="X747" s="502">
        <f t="shared" si="874"/>
        <v>0</v>
      </c>
      <c r="AM747" s="425"/>
    </row>
    <row r="748" spans="1:49" x14ac:dyDescent="0.25">
      <c r="A748" s="502"/>
      <c r="L748" s="425">
        <f t="shared" si="873"/>
        <v>0</v>
      </c>
      <c r="M748" s="425"/>
      <c r="X748" s="502">
        <f t="shared" si="874"/>
        <v>0</v>
      </c>
      <c r="AM748" s="425"/>
    </row>
    <row r="749" spans="1:49" x14ac:dyDescent="0.25">
      <c r="A749" s="502"/>
      <c r="L749" s="425">
        <f t="shared" si="873"/>
        <v>0</v>
      </c>
      <c r="M749" s="425"/>
      <c r="X749" s="502">
        <f t="shared" si="874"/>
        <v>0</v>
      </c>
      <c r="AM749" s="425"/>
    </row>
    <row r="750" spans="1:49" x14ac:dyDescent="0.25">
      <c r="A750" s="502"/>
      <c r="L750" s="425">
        <f t="shared" si="873"/>
        <v>0</v>
      </c>
      <c r="M750" s="425"/>
      <c r="X750" s="502">
        <f t="shared" si="874"/>
        <v>0</v>
      </c>
      <c r="AM750" s="425"/>
    </row>
    <row r="751" spans="1:49" x14ac:dyDescent="0.25">
      <c r="A751" s="502"/>
      <c r="L751" s="425">
        <f t="shared" ref="L751:L782" si="876">IF(MOD(M751,12)=0,M751/12,L750)</f>
        <v>0</v>
      </c>
      <c r="M751" s="425"/>
      <c r="X751" s="502">
        <f t="shared" si="874"/>
        <v>0</v>
      </c>
      <c r="AM751" s="425"/>
    </row>
    <row r="752" spans="1:49" x14ac:dyDescent="0.25">
      <c r="A752" s="502"/>
      <c r="L752" s="425">
        <f t="shared" si="876"/>
        <v>0</v>
      </c>
      <c r="M752" s="425"/>
      <c r="X752" s="502">
        <f t="shared" si="874"/>
        <v>0</v>
      </c>
      <c r="AM752" s="425"/>
    </row>
    <row r="753" spans="1:49" x14ac:dyDescent="0.25">
      <c r="A753" s="502"/>
      <c r="L753" s="425">
        <f t="shared" si="876"/>
        <v>0</v>
      </c>
      <c r="M753" s="425"/>
      <c r="X753" s="502">
        <f t="shared" si="874"/>
        <v>0</v>
      </c>
      <c r="AM753" s="425"/>
    </row>
    <row r="754" spans="1:49" x14ac:dyDescent="0.25">
      <c r="A754" s="502"/>
      <c r="L754" s="425">
        <f t="shared" si="876"/>
        <v>0</v>
      </c>
      <c r="M754" s="425"/>
      <c r="X754" s="502">
        <f t="shared" si="874"/>
        <v>0</v>
      </c>
      <c r="AM754" s="425"/>
    </row>
    <row r="755" spans="1:49" x14ac:dyDescent="0.25">
      <c r="A755" s="502"/>
      <c r="L755" s="425">
        <f t="shared" si="876"/>
        <v>0</v>
      </c>
      <c r="M755" s="425"/>
      <c r="X755" s="502">
        <f t="shared" si="874"/>
        <v>0</v>
      </c>
      <c r="AM755" s="425"/>
    </row>
    <row r="756" spans="1:49" x14ac:dyDescent="0.25">
      <c r="A756" s="502"/>
      <c r="L756" s="425">
        <f t="shared" si="876"/>
        <v>0</v>
      </c>
      <c r="M756" s="425"/>
      <c r="X756" s="502">
        <f t="shared" si="874"/>
        <v>0</v>
      </c>
      <c r="AM756" s="425"/>
    </row>
    <row r="757" spans="1:49" x14ac:dyDescent="0.25">
      <c r="A757" s="502"/>
      <c r="L757" s="425">
        <f t="shared" si="876"/>
        <v>0</v>
      </c>
      <c r="M757" s="425"/>
      <c r="X757" s="502">
        <f t="shared" si="874"/>
        <v>0</v>
      </c>
      <c r="AM757" s="425"/>
    </row>
    <row r="758" spans="1:49" ht="15.75" thickBot="1" x14ac:dyDescent="0.3">
      <c r="A758" s="505"/>
      <c r="B758" s="345"/>
      <c r="C758" s="21"/>
      <c r="D758" s="21"/>
      <c r="E758" s="21"/>
      <c r="F758" s="21"/>
      <c r="G758" s="21"/>
      <c r="H758" s="21"/>
      <c r="I758" s="345"/>
      <c r="J758" s="345"/>
      <c r="K758" s="345"/>
      <c r="L758" s="426">
        <f t="shared" si="876"/>
        <v>0</v>
      </c>
      <c r="M758" s="426"/>
      <c r="N758" s="345"/>
      <c r="O758" s="21"/>
      <c r="P758" s="21"/>
      <c r="Q758" s="21"/>
      <c r="R758" s="21"/>
      <c r="S758" s="21"/>
      <c r="T758" s="21"/>
      <c r="U758" s="345"/>
      <c r="V758" s="345"/>
      <c r="W758" s="345"/>
      <c r="X758" s="505">
        <f t="shared" si="874"/>
        <v>0</v>
      </c>
      <c r="Y758" s="345"/>
      <c r="Z758" s="495"/>
      <c r="AA758" s="21"/>
      <c r="AB758" s="21"/>
      <c r="AC758" s="21"/>
      <c r="AD758" s="21"/>
      <c r="AE758" s="21"/>
      <c r="AF758" s="21"/>
      <c r="AG758" s="345"/>
      <c r="AH758" s="345"/>
      <c r="AI758" s="345"/>
      <c r="AJ758" s="345"/>
      <c r="AK758" s="345"/>
      <c r="AL758" s="345"/>
      <c r="AM758" s="426"/>
      <c r="AN758" s="21"/>
      <c r="AO758" s="21"/>
      <c r="AP758" s="21"/>
      <c r="AQ758" s="21"/>
      <c r="AR758" s="23"/>
      <c r="AS758" s="21"/>
      <c r="AT758" s="21"/>
      <c r="AU758" s="345"/>
      <c r="AV758" s="345"/>
      <c r="AW758" s="21"/>
    </row>
    <row r="759" spans="1:49" x14ac:dyDescent="0.25">
      <c r="A759" s="502"/>
      <c r="L759" s="425">
        <f t="shared" si="876"/>
        <v>0</v>
      </c>
      <c r="M759" s="425"/>
      <c r="X759" s="502">
        <f t="shared" si="874"/>
        <v>0</v>
      </c>
      <c r="AM759" s="425"/>
    </row>
    <row r="760" spans="1:49" x14ac:dyDescent="0.25">
      <c r="A760" s="502"/>
      <c r="L760" s="425">
        <f t="shared" si="876"/>
        <v>0</v>
      </c>
      <c r="M760" s="425"/>
      <c r="X760" s="502">
        <f t="shared" si="874"/>
        <v>0</v>
      </c>
      <c r="AM760" s="425"/>
    </row>
    <row r="761" spans="1:49" x14ac:dyDescent="0.25">
      <c r="A761" s="502"/>
      <c r="L761" s="425">
        <f t="shared" si="876"/>
        <v>0</v>
      </c>
      <c r="M761" s="425"/>
      <c r="X761" s="502">
        <f t="shared" si="874"/>
        <v>0</v>
      </c>
      <c r="AM761" s="425"/>
    </row>
    <row r="762" spans="1:49" x14ac:dyDescent="0.25">
      <c r="A762" s="502"/>
      <c r="L762" s="425">
        <f t="shared" si="876"/>
        <v>0</v>
      </c>
      <c r="M762" s="425"/>
      <c r="X762" s="502">
        <f t="shared" si="874"/>
        <v>0</v>
      </c>
      <c r="AM762" s="425"/>
    </row>
    <row r="763" spans="1:49" x14ac:dyDescent="0.25">
      <c r="A763" s="502"/>
      <c r="L763" s="425">
        <f t="shared" si="876"/>
        <v>0</v>
      </c>
      <c r="M763" s="425"/>
      <c r="X763" s="502">
        <f t="shared" si="874"/>
        <v>0</v>
      </c>
      <c r="AM763" s="425"/>
    </row>
    <row r="764" spans="1:49" x14ac:dyDescent="0.25">
      <c r="A764" s="502"/>
      <c r="L764" s="425">
        <f t="shared" si="876"/>
        <v>0</v>
      </c>
      <c r="M764" s="425"/>
      <c r="X764" s="502">
        <f t="shared" si="874"/>
        <v>0</v>
      </c>
      <c r="AM764" s="425"/>
    </row>
    <row r="765" spans="1:49" x14ac:dyDescent="0.25">
      <c r="A765" s="502"/>
      <c r="L765" s="425">
        <f t="shared" si="876"/>
        <v>0</v>
      </c>
      <c r="M765" s="425"/>
      <c r="X765" s="502">
        <f t="shared" si="874"/>
        <v>0</v>
      </c>
      <c r="AM765" s="425"/>
    </row>
    <row r="766" spans="1:49" x14ac:dyDescent="0.25">
      <c r="A766" s="502"/>
      <c r="L766" s="425">
        <f t="shared" si="876"/>
        <v>0</v>
      </c>
      <c r="M766" s="425"/>
      <c r="X766" s="502">
        <f t="shared" si="874"/>
        <v>0</v>
      </c>
      <c r="AM766" s="425"/>
    </row>
    <row r="767" spans="1:49" x14ac:dyDescent="0.25">
      <c r="A767" s="502"/>
      <c r="L767" s="425">
        <f t="shared" si="876"/>
        <v>0</v>
      </c>
      <c r="M767" s="425"/>
      <c r="X767" s="502">
        <f t="shared" si="874"/>
        <v>0</v>
      </c>
      <c r="AM767" s="425"/>
    </row>
    <row r="768" spans="1:49" x14ac:dyDescent="0.25">
      <c r="A768" s="502"/>
      <c r="L768" s="425">
        <f t="shared" si="876"/>
        <v>0</v>
      </c>
      <c r="M768" s="425"/>
      <c r="X768" s="502">
        <f t="shared" si="874"/>
        <v>0</v>
      </c>
      <c r="AM768" s="425"/>
    </row>
    <row r="769" spans="1:49" x14ac:dyDescent="0.25">
      <c r="A769" s="502"/>
      <c r="L769" s="425">
        <f t="shared" si="876"/>
        <v>0</v>
      </c>
      <c r="M769" s="425"/>
      <c r="X769" s="502">
        <f t="shared" si="874"/>
        <v>0</v>
      </c>
      <c r="AM769" s="425"/>
    </row>
    <row r="770" spans="1:49" ht="15.75" thickBot="1" x14ac:dyDescent="0.3">
      <c r="A770" s="505"/>
      <c r="B770" s="345"/>
      <c r="C770" s="21"/>
      <c r="D770" s="21"/>
      <c r="E770" s="21"/>
      <c r="F770" s="21"/>
      <c r="G770" s="21"/>
      <c r="H770" s="21"/>
      <c r="I770" s="345"/>
      <c r="J770" s="345"/>
      <c r="K770" s="345"/>
      <c r="L770" s="426">
        <f t="shared" si="876"/>
        <v>0</v>
      </c>
      <c r="M770" s="426"/>
      <c r="N770" s="345"/>
      <c r="O770" s="21"/>
      <c r="P770" s="21"/>
      <c r="Q770" s="21"/>
      <c r="R770" s="21"/>
      <c r="S770" s="21"/>
      <c r="T770" s="21"/>
      <c r="U770" s="345"/>
      <c r="V770" s="345"/>
      <c r="W770" s="345"/>
      <c r="X770" s="505">
        <f t="shared" si="874"/>
        <v>0</v>
      </c>
      <c r="Y770" s="345"/>
      <c r="Z770" s="495"/>
      <c r="AA770" s="21"/>
      <c r="AB770" s="21"/>
      <c r="AC770" s="21"/>
      <c r="AD770" s="21"/>
      <c r="AE770" s="21"/>
      <c r="AF770" s="21"/>
      <c r="AG770" s="345"/>
      <c r="AH770" s="345"/>
      <c r="AI770" s="345"/>
      <c r="AJ770" s="345"/>
      <c r="AK770" s="345"/>
      <c r="AL770" s="345"/>
      <c r="AM770" s="426"/>
      <c r="AN770" s="21"/>
      <c r="AO770" s="21"/>
      <c r="AP770" s="21"/>
      <c r="AQ770" s="21"/>
      <c r="AR770" s="23"/>
      <c r="AS770" s="21"/>
      <c r="AT770" s="21"/>
      <c r="AU770" s="345"/>
      <c r="AV770" s="345"/>
      <c r="AW770" s="21"/>
    </row>
    <row r="771" spans="1:49" x14ac:dyDescent="0.25">
      <c r="A771" s="502"/>
      <c r="L771" s="425">
        <f t="shared" si="876"/>
        <v>0</v>
      </c>
      <c r="M771" s="425"/>
      <c r="X771" s="502">
        <f t="shared" si="874"/>
        <v>0</v>
      </c>
      <c r="AM771" s="425"/>
    </row>
    <row r="772" spans="1:49" x14ac:dyDescent="0.25">
      <c r="A772" s="502"/>
      <c r="L772" s="425">
        <f t="shared" si="876"/>
        <v>0</v>
      </c>
      <c r="M772" s="425"/>
      <c r="X772" s="502">
        <f t="shared" si="874"/>
        <v>0</v>
      </c>
      <c r="AM772" s="425"/>
    </row>
    <row r="773" spans="1:49" x14ac:dyDescent="0.25">
      <c r="A773" s="502"/>
      <c r="L773" s="425">
        <f t="shared" si="876"/>
        <v>0</v>
      </c>
      <c r="M773" s="425"/>
      <c r="X773" s="502">
        <f t="shared" si="874"/>
        <v>0</v>
      </c>
      <c r="AM773" s="425"/>
    </row>
    <row r="774" spans="1:49" x14ac:dyDescent="0.25">
      <c r="A774" s="502"/>
      <c r="L774" s="425">
        <f t="shared" si="876"/>
        <v>0</v>
      </c>
      <c r="M774" s="425"/>
      <c r="X774" s="502">
        <f t="shared" si="874"/>
        <v>0</v>
      </c>
      <c r="AM774" s="425"/>
    </row>
    <row r="775" spans="1:49" x14ac:dyDescent="0.25">
      <c r="A775" s="502"/>
      <c r="L775" s="425">
        <f t="shared" si="876"/>
        <v>0</v>
      </c>
      <c r="M775" s="425"/>
      <c r="X775" s="502">
        <f t="shared" si="874"/>
        <v>0</v>
      </c>
      <c r="AM775" s="425"/>
    </row>
    <row r="776" spans="1:49" x14ac:dyDescent="0.25">
      <c r="A776" s="502"/>
      <c r="L776" s="425">
        <f t="shared" si="876"/>
        <v>0</v>
      </c>
      <c r="M776" s="425"/>
      <c r="X776" s="502">
        <f t="shared" si="874"/>
        <v>0</v>
      </c>
      <c r="AM776" s="425"/>
    </row>
    <row r="777" spans="1:49" x14ac:dyDescent="0.25">
      <c r="A777" s="502"/>
      <c r="L777" s="425">
        <f t="shared" si="876"/>
        <v>0</v>
      </c>
      <c r="M777" s="425"/>
      <c r="X777" s="502">
        <f t="shared" si="874"/>
        <v>0</v>
      </c>
      <c r="AM777" s="425"/>
    </row>
    <row r="778" spans="1:49" x14ac:dyDescent="0.25">
      <c r="A778" s="502"/>
      <c r="L778" s="425">
        <f t="shared" si="876"/>
        <v>0</v>
      </c>
      <c r="M778" s="425"/>
      <c r="X778" s="502">
        <f t="shared" si="874"/>
        <v>0</v>
      </c>
      <c r="AM778" s="425"/>
    </row>
    <row r="779" spans="1:49" x14ac:dyDescent="0.25">
      <c r="A779" s="502"/>
      <c r="L779" s="425">
        <f t="shared" si="876"/>
        <v>0</v>
      </c>
      <c r="M779" s="425"/>
      <c r="X779" s="502">
        <f t="shared" si="874"/>
        <v>0</v>
      </c>
      <c r="AM779" s="425"/>
    </row>
    <row r="780" spans="1:49" x14ac:dyDescent="0.25">
      <c r="A780" s="502"/>
      <c r="L780" s="425">
        <f t="shared" si="876"/>
        <v>0</v>
      </c>
      <c r="M780" s="425"/>
      <c r="X780" s="502">
        <f t="shared" si="874"/>
        <v>0</v>
      </c>
      <c r="AM780" s="425"/>
    </row>
    <row r="781" spans="1:49" x14ac:dyDescent="0.25">
      <c r="A781" s="502"/>
      <c r="L781" s="425">
        <f t="shared" si="876"/>
        <v>0</v>
      </c>
      <c r="M781" s="425"/>
      <c r="X781" s="502">
        <f t="shared" si="874"/>
        <v>0</v>
      </c>
      <c r="AM781" s="425"/>
    </row>
    <row r="782" spans="1:49" ht="15.75" thickBot="1" x14ac:dyDescent="0.3">
      <c r="A782" s="505"/>
      <c r="B782" s="345"/>
      <c r="C782" s="21"/>
      <c r="D782" s="21"/>
      <c r="E782" s="21"/>
      <c r="F782" s="21"/>
      <c r="G782" s="21"/>
      <c r="H782" s="21"/>
      <c r="I782" s="345"/>
      <c r="J782" s="345"/>
      <c r="K782" s="345"/>
      <c r="L782" s="426">
        <f t="shared" si="876"/>
        <v>0</v>
      </c>
      <c r="M782" s="426"/>
      <c r="N782" s="345"/>
      <c r="O782" s="21"/>
      <c r="P782" s="21"/>
      <c r="Q782" s="21"/>
      <c r="R782" s="21"/>
      <c r="S782" s="21"/>
      <c r="T782" s="21"/>
      <c r="U782" s="345"/>
      <c r="V782" s="345"/>
      <c r="W782" s="345"/>
      <c r="X782" s="505">
        <f t="shared" si="874"/>
        <v>0</v>
      </c>
      <c r="Y782" s="345"/>
      <c r="Z782" s="495"/>
      <c r="AA782" s="21"/>
      <c r="AB782" s="21"/>
      <c r="AC782" s="21"/>
      <c r="AD782" s="21"/>
      <c r="AE782" s="21"/>
      <c r="AF782" s="21"/>
      <c r="AG782" s="345"/>
      <c r="AH782" s="345"/>
      <c r="AI782" s="345"/>
      <c r="AJ782" s="345"/>
      <c r="AK782" s="345"/>
      <c r="AL782" s="345"/>
      <c r="AM782" s="426"/>
      <c r="AN782" s="21"/>
      <c r="AO782" s="21"/>
      <c r="AP782" s="21"/>
      <c r="AQ782" s="21"/>
      <c r="AR782" s="23"/>
      <c r="AS782" s="21"/>
      <c r="AT782" s="21"/>
      <c r="AU782" s="345"/>
      <c r="AV782" s="345"/>
      <c r="AW782" s="21"/>
    </row>
  </sheetData>
  <mergeCells count="15">
    <mergeCell ref="Y3:Z3"/>
    <mergeCell ref="Y4:Z4"/>
    <mergeCell ref="AU13:AV13"/>
    <mergeCell ref="Y11:Z11"/>
    <mergeCell ref="AI13:AK13"/>
    <mergeCell ref="AA13:AF13"/>
    <mergeCell ref="AG13:AH13"/>
    <mergeCell ref="Y5:Z5"/>
    <mergeCell ref="AP13:AQ13"/>
    <mergeCell ref="I13:J13"/>
    <mergeCell ref="AN13:AO13"/>
    <mergeCell ref="C13:H13"/>
    <mergeCell ref="N12:W12"/>
    <mergeCell ref="Y12:AL12"/>
    <mergeCell ref="U13:V13"/>
  </mergeCells>
  <conditionalFormatting sqref="AK15:AK543">
    <cfRule type="cellIs" dxfId="59" priority="1" operator="greaterThan">
      <formula>0</formula>
    </cfRule>
  </conditionalFormatting>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59406" r:id="rId4" name="Option Button 14">
              <controlPr defaultSize="0" autoFill="0" autoLine="0" autoPict="0">
                <anchor moveWithCells="1">
                  <from>
                    <xdr:col>15</xdr:col>
                    <xdr:colOff>504825</xdr:colOff>
                    <xdr:row>0</xdr:row>
                    <xdr:rowOff>0</xdr:rowOff>
                  </from>
                  <to>
                    <xdr:col>16</xdr:col>
                    <xdr:colOff>238125</xdr:colOff>
                    <xdr:row>0</xdr:row>
                    <xdr:rowOff>190500</xdr:rowOff>
                  </to>
                </anchor>
              </controlPr>
            </control>
          </mc:Choice>
        </mc:AlternateContent>
        <mc:AlternateContent xmlns:mc="http://schemas.openxmlformats.org/markup-compatibility/2006">
          <mc:Choice Requires="x14">
            <control shapeId="59409" r:id="rId5" name="Option Button 17">
              <controlPr defaultSize="0" autoFill="0" autoLine="0" autoPict="0">
                <anchor moveWithCells="1">
                  <from>
                    <xdr:col>16</xdr:col>
                    <xdr:colOff>476250</xdr:colOff>
                    <xdr:row>0</xdr:row>
                    <xdr:rowOff>0</xdr:rowOff>
                  </from>
                  <to>
                    <xdr:col>17</xdr:col>
                    <xdr:colOff>219075</xdr:colOff>
                    <xdr:row>0</xdr:row>
                    <xdr:rowOff>190500</xdr:rowOff>
                  </to>
                </anchor>
              </controlPr>
            </control>
          </mc:Choice>
        </mc:AlternateContent>
        <mc:AlternateContent xmlns:mc="http://schemas.openxmlformats.org/markup-compatibility/2006">
          <mc:Choice Requires="x14">
            <control shapeId="59411" r:id="rId6" name="Option Button 19">
              <controlPr defaultSize="0" autoFill="0" autoLine="0" autoPict="0">
                <anchor moveWithCells="1">
                  <from>
                    <xdr:col>17</xdr:col>
                    <xdr:colOff>523875</xdr:colOff>
                    <xdr:row>0</xdr:row>
                    <xdr:rowOff>0</xdr:rowOff>
                  </from>
                  <to>
                    <xdr:col>18</xdr:col>
                    <xdr:colOff>133350</xdr:colOff>
                    <xdr:row>1</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S114"/>
  <sheetViews>
    <sheetView topLeftCell="E8" workbookViewId="0">
      <selection activeCell="I36" sqref="I36"/>
    </sheetView>
  </sheetViews>
  <sheetFormatPr defaultRowHeight="15" x14ac:dyDescent="0.25"/>
  <cols>
    <col min="1" max="1" width="30" bestFit="1" customWidth="1"/>
    <col min="2" max="2" width="51.42578125" customWidth="1"/>
    <col min="3" max="3" width="13" customWidth="1"/>
    <col min="4" max="6" width="35.5703125" customWidth="1"/>
    <col min="7" max="7" width="25.85546875" customWidth="1"/>
    <col min="8" max="8" width="32.7109375" customWidth="1"/>
    <col min="9" max="9" width="58.7109375" customWidth="1"/>
    <col min="10" max="21" width="15.28515625" customWidth="1"/>
    <col min="22" max="31" width="11.28515625" customWidth="1"/>
    <col min="32" max="32" width="12.5703125" bestFit="1" customWidth="1"/>
    <col min="33" max="33" width="13.140625" bestFit="1" customWidth="1"/>
    <col min="34" max="41" width="11.28515625" customWidth="1"/>
    <col min="42" max="42" width="12.85546875" bestFit="1" customWidth="1"/>
    <col min="43" max="43" width="17" bestFit="1" customWidth="1"/>
    <col min="44" max="44" width="18.140625" bestFit="1" customWidth="1"/>
    <col min="45" max="45" width="12.85546875" bestFit="1" customWidth="1"/>
    <col min="46" max="46" width="21.140625" bestFit="1" customWidth="1"/>
    <col min="47" max="47" width="21.85546875" bestFit="1" customWidth="1"/>
    <col min="48" max="48" width="13.42578125" bestFit="1" customWidth="1"/>
    <col min="49" max="49" width="24.140625" bestFit="1" customWidth="1"/>
    <col min="50" max="56" width="24.140625" customWidth="1"/>
    <col min="57" max="57" width="21.140625" bestFit="1" customWidth="1"/>
    <col min="58" max="58" width="21.140625" customWidth="1"/>
    <col min="59" max="59" width="21.140625" bestFit="1" customWidth="1"/>
    <col min="60" max="60" width="21.140625" customWidth="1"/>
    <col min="61" max="62" width="17.7109375" customWidth="1"/>
    <col min="63" max="63" width="18.5703125" bestFit="1" customWidth="1"/>
    <col min="64" max="64" width="14.28515625" bestFit="1" customWidth="1"/>
    <col min="65" max="65" width="13.140625" bestFit="1" customWidth="1"/>
    <col min="66" max="71" width="13.140625" customWidth="1"/>
  </cols>
  <sheetData>
    <row r="1" spans="1:11" ht="16.5" customHeight="1" thickBot="1" x14ac:dyDescent="0.3">
      <c r="A1" s="517" t="s">
        <v>737</v>
      </c>
      <c r="B1" s="560"/>
      <c r="C1" s="560"/>
      <c r="D1" s="517" t="s">
        <v>775</v>
      </c>
      <c r="E1" s="561"/>
      <c r="F1" s="560"/>
      <c r="G1" s="25"/>
      <c r="H1" s="517" t="s">
        <v>778</v>
      </c>
      <c r="I1" s="560"/>
      <c r="J1" s="560"/>
      <c r="K1" s="135"/>
    </row>
    <row r="2" spans="1:11" ht="15.75" customHeight="1" x14ac:dyDescent="0.25">
      <c r="A2" s="30" t="s">
        <v>1088</v>
      </c>
      <c r="B2" s="560"/>
      <c r="C2" s="560"/>
      <c r="D2" s="491" t="s">
        <v>1089</v>
      </c>
      <c r="E2" s="562"/>
      <c r="F2" s="560"/>
      <c r="G2" s="25"/>
      <c r="H2" s="30" t="s">
        <v>779</v>
      </c>
      <c r="I2" s="560">
        <v>8047.08</v>
      </c>
      <c r="J2" s="560"/>
      <c r="K2" s="135"/>
    </row>
    <row r="3" spans="1:11" ht="15.75" customHeight="1" x14ac:dyDescent="0.25">
      <c r="A3" s="30" t="s">
        <v>1090</v>
      </c>
      <c r="B3" s="560"/>
      <c r="C3" s="563"/>
      <c r="D3" s="491" t="s">
        <v>1091</v>
      </c>
      <c r="E3" s="564" t="str">
        <f>IF(E2="",+Docs!B33,E2)</f>
        <v>Laurence A. Tunnard and April D. Tunnard</v>
      </c>
      <c r="F3" s="560"/>
      <c r="G3" s="25"/>
      <c r="H3" s="30" t="s">
        <v>1092</v>
      </c>
      <c r="I3" s="564">
        <f>+I2/2/6</f>
        <v>670.59</v>
      </c>
      <c r="J3" s="560"/>
      <c r="K3" s="135"/>
    </row>
    <row r="4" spans="1:11" ht="15.75" customHeight="1" x14ac:dyDescent="0.25">
      <c r="A4" s="30" t="s">
        <v>1093</v>
      </c>
      <c r="B4" s="560"/>
      <c r="C4" s="560"/>
      <c r="D4" s="491" t="s">
        <v>745</v>
      </c>
      <c r="E4" s="565">
        <f ca="1">YEAR(NOW()+365*3)</f>
        <v>2029</v>
      </c>
      <c r="F4" s="560"/>
      <c r="G4" s="25"/>
      <c r="H4" s="30" t="s">
        <v>1094</v>
      </c>
      <c r="I4" s="564">
        <f>+I2/2</f>
        <v>4023.54</v>
      </c>
      <c r="J4" s="560"/>
      <c r="K4" s="135"/>
    </row>
    <row r="5" spans="1:11" ht="15.75" customHeight="1" x14ac:dyDescent="0.25">
      <c r="A5" s="30" t="s">
        <v>1093</v>
      </c>
      <c r="B5" s="560"/>
      <c r="C5" s="560"/>
      <c r="D5" s="30" t="s">
        <v>747</v>
      </c>
      <c r="E5" s="564" t="s">
        <v>777</v>
      </c>
      <c r="F5" s="560"/>
      <c r="G5" s="25"/>
      <c r="H5" s="30" t="s">
        <v>1095</v>
      </c>
      <c r="I5" s="560" t="str">
        <f>"A balloon payment of " &amp; TEXT(I4,"$#,##0.00") &amp; " will be due when the property is resold by the purchaser"</f>
        <v>A balloon payment of $4,023.54 will be due when the property is resold by the purchaser</v>
      </c>
      <c r="J5" s="560"/>
      <c r="K5" s="135"/>
    </row>
    <row r="6" spans="1:11" ht="15.75" customHeight="1" x14ac:dyDescent="0.25">
      <c r="A6" s="30" t="s">
        <v>736</v>
      </c>
      <c r="B6" s="560" t="s">
        <v>742</v>
      </c>
      <c r="C6" s="560"/>
      <c r="D6" s="30" t="s">
        <v>1096</v>
      </c>
      <c r="E6" s="562"/>
      <c r="F6" s="560"/>
      <c r="G6" s="25"/>
      <c r="H6" s="30" t="s">
        <v>1097</v>
      </c>
      <c r="I6" s="30" t="str">
        <f>IF(J6="Yes","Limited Allowance Compensating for Rent", "DON'T USE")</f>
        <v>DON'T USE</v>
      </c>
      <c r="J6" s="566" t="s">
        <v>1098</v>
      </c>
      <c r="K6" s="135"/>
    </row>
    <row r="7" spans="1:11" ht="15.75" customHeight="1" x14ac:dyDescent="0.25">
      <c r="A7" s="30" t="s">
        <v>728</v>
      </c>
      <c r="B7" s="567">
        <f>+Amortization!AA5</f>
        <v>331193.40000000002</v>
      </c>
      <c r="C7" s="568"/>
      <c r="D7" s="30" t="s">
        <v>1099</v>
      </c>
      <c r="E7" s="564" t="str">
        <f>IF(E6="X","[X] If checked, The rent shall adjust, annually, to exactly the amount of the mortgage payment, property insurance, real estate taxes, plus $10.00."," ")</f>
        <v xml:space="preserve"> </v>
      </c>
      <c r="F7" s="568"/>
      <c r="G7" s="485"/>
      <c r="H7" s="30" t="s">
        <v>1100</v>
      </c>
      <c r="I7" s="30" t="str">
        <f>IF(J7="Yes","Part of Purchase and Sale Agreement", "DON'T USE")</f>
        <v>Part of Purchase and Sale Agreement</v>
      </c>
      <c r="J7" s="566" t="s">
        <v>31</v>
      </c>
      <c r="K7" s="135"/>
    </row>
    <row r="8" spans="1:11" ht="15.75" customHeight="1" x14ac:dyDescent="0.25">
      <c r="A8" s="30" t="s">
        <v>1101</v>
      </c>
      <c r="B8" s="567">
        <f>+Amortization!K2</f>
        <v>0</v>
      </c>
      <c r="C8" s="568"/>
      <c r="D8" s="30" t="s">
        <v>1102</v>
      </c>
      <c r="E8" s="569">
        <v>0</v>
      </c>
      <c r="F8" s="568"/>
      <c r="G8" s="485"/>
      <c r="H8" s="30" t="s">
        <v>783</v>
      </c>
      <c r="I8" s="519">
        <v>10</v>
      </c>
      <c r="J8" s="519"/>
      <c r="K8" s="135"/>
    </row>
    <row r="9" spans="1:11" ht="16.5" customHeight="1" thickBot="1" x14ac:dyDescent="0.3">
      <c r="A9" s="491" t="s">
        <v>726</v>
      </c>
      <c r="B9" s="567">
        <f>+Amortization!$O$4-B48</f>
        <v>28964</v>
      </c>
      <c r="C9" s="568"/>
      <c r="D9" s="30" t="s">
        <v>744</v>
      </c>
      <c r="E9" s="570">
        <f>Carrying!E5</f>
        <v>660.59</v>
      </c>
      <c r="F9" s="568"/>
      <c r="G9" s="485"/>
      <c r="H9" s="30" t="s">
        <v>780</v>
      </c>
      <c r="I9" s="560">
        <v>12</v>
      </c>
      <c r="J9" s="560"/>
      <c r="K9" s="135"/>
    </row>
    <row r="10" spans="1:11" ht="16.5" customHeight="1" thickBot="1" x14ac:dyDescent="0.3">
      <c r="A10" s="491" t="s">
        <v>597</v>
      </c>
      <c r="B10" s="571">
        <v>323403.81</v>
      </c>
      <c r="C10" s="564"/>
      <c r="D10" s="517" t="s">
        <v>738</v>
      </c>
      <c r="E10" s="560"/>
      <c r="F10" s="564"/>
      <c r="G10" s="486"/>
      <c r="H10" s="30" t="s">
        <v>120</v>
      </c>
      <c r="I10" s="560">
        <v>0</v>
      </c>
      <c r="J10" s="560"/>
      <c r="K10" s="135"/>
    </row>
    <row r="11" spans="1:11" ht="13.5" customHeight="1" x14ac:dyDescent="0.25">
      <c r="A11" s="491" t="s">
        <v>708</v>
      </c>
      <c r="B11" s="572">
        <f>SUM(B12:B12)</f>
        <v>1533.81</v>
      </c>
      <c r="C11" s="573"/>
      <c r="D11" s="30" t="s">
        <v>669</v>
      </c>
      <c r="E11" s="574" t="str">
        <f>+Profit!$B$2</f>
        <v>4121 Tensity Dr</v>
      </c>
      <c r="F11" s="573"/>
      <c r="G11" s="489"/>
      <c r="H11" s="30" t="s">
        <v>781</v>
      </c>
      <c r="I11" s="560" t="str">
        <f>IF(I2&gt;0,"X","")</f>
        <v>X</v>
      </c>
      <c r="J11" s="560"/>
      <c r="K11" s="135"/>
    </row>
    <row r="12" spans="1:11" ht="13.5" customHeight="1" x14ac:dyDescent="0.25">
      <c r="A12" s="491" t="s">
        <v>677</v>
      </c>
      <c r="B12" s="575">
        <f>+Amortization!Z8</f>
        <v>1533.81</v>
      </c>
      <c r="C12" s="576"/>
      <c r="D12" s="30" t="s">
        <v>670</v>
      </c>
      <c r="E12" s="574" t="str">
        <f>+Profit!$E$2</f>
        <v>Raleigh, NC 27604</v>
      </c>
      <c r="F12" s="576"/>
      <c r="G12" s="488"/>
      <c r="H12" s="30" t="s">
        <v>1103</v>
      </c>
      <c r="I12" s="560" t="s">
        <v>1104</v>
      </c>
      <c r="J12" s="560"/>
      <c r="K12" s="135"/>
    </row>
    <row r="13" spans="1:11" ht="13.5" customHeight="1" thickBot="1" x14ac:dyDescent="0.3">
      <c r="A13" s="491" t="s">
        <v>706</v>
      </c>
      <c r="B13" s="575">
        <f>+Amortization!Z9</f>
        <v>1630.04</v>
      </c>
      <c r="C13" s="576"/>
      <c r="D13" s="30" t="s">
        <v>663</v>
      </c>
      <c r="E13" s="560" t="s">
        <v>782</v>
      </c>
      <c r="F13" s="576"/>
      <c r="G13" s="488"/>
      <c r="H13" s="30"/>
      <c r="I13" s="560"/>
      <c r="J13" s="560"/>
      <c r="K13" s="135"/>
    </row>
    <row r="14" spans="1:11" ht="13.5" customHeight="1" thickBot="1" x14ac:dyDescent="0.3">
      <c r="A14" s="491" t="s">
        <v>707</v>
      </c>
      <c r="B14" s="572">
        <f>SUM(B13:B13)</f>
        <v>1630.04</v>
      </c>
      <c r="C14" s="573"/>
      <c r="D14" s="491" t="s">
        <v>665</v>
      </c>
      <c r="E14" s="560">
        <f>+E15*12</f>
        <v>2262.6000000000004</v>
      </c>
      <c r="F14" s="573"/>
      <c r="G14" s="489"/>
      <c r="H14" s="517" t="s">
        <v>1105</v>
      </c>
      <c r="I14" s="560"/>
      <c r="J14" s="560"/>
      <c r="K14" s="135"/>
    </row>
    <row r="15" spans="1:11" ht="13.5" customHeight="1" x14ac:dyDescent="0.25">
      <c r="A15" s="491" t="s">
        <v>678</v>
      </c>
      <c r="B15" s="571">
        <v>30</v>
      </c>
      <c r="C15" s="573"/>
      <c r="D15" s="491" t="s">
        <v>666</v>
      </c>
      <c r="E15" s="577">
        <f>+Amortization!$T$9</f>
        <v>188.55</v>
      </c>
      <c r="F15" s="573"/>
      <c r="G15" s="489"/>
      <c r="H15" s="30" t="s">
        <v>1106</v>
      </c>
      <c r="I15" s="578"/>
      <c r="J15" s="560"/>
      <c r="K15" s="135"/>
    </row>
    <row r="16" spans="1:11" ht="13.5" customHeight="1" x14ac:dyDescent="0.25">
      <c r="A16" s="30" t="s">
        <v>710</v>
      </c>
      <c r="B16" s="574">
        <f>+B15*12</f>
        <v>360</v>
      </c>
      <c r="C16" s="573"/>
      <c r="D16" s="491" t="s">
        <v>667</v>
      </c>
      <c r="E16" s="577">
        <f>+Amortization!$T$8</f>
        <v>134.16999999999999</v>
      </c>
      <c r="F16" s="573"/>
      <c r="G16" s="489"/>
      <c r="H16" s="30" t="s">
        <v>1107</v>
      </c>
      <c r="I16" s="578"/>
      <c r="J16" s="560"/>
      <c r="K16" s="135"/>
    </row>
    <row r="17" spans="1:11" ht="13.5" customHeight="1" thickBot="1" x14ac:dyDescent="0.3">
      <c r="A17" s="30" t="s">
        <v>709</v>
      </c>
      <c r="B17" s="574">
        <f>+B16-60</f>
        <v>300</v>
      </c>
      <c r="C17" s="573"/>
      <c r="D17" s="492" t="s">
        <v>668</v>
      </c>
      <c r="E17" s="560">
        <v>0</v>
      </c>
      <c r="F17" s="573"/>
      <c r="G17" s="489"/>
      <c r="H17" s="30" t="s">
        <v>1108</v>
      </c>
      <c r="I17" s="578"/>
      <c r="J17" s="560"/>
      <c r="K17" s="135"/>
    </row>
    <row r="18" spans="1:11" ht="13.5" customHeight="1" thickBot="1" x14ac:dyDescent="0.3">
      <c r="A18" s="30" t="s">
        <v>713</v>
      </c>
      <c r="B18" s="579">
        <v>45748</v>
      </c>
      <c r="C18" s="573"/>
      <c r="D18" s="517" t="s">
        <v>739</v>
      </c>
      <c r="E18" s="560"/>
      <c r="F18" s="573"/>
      <c r="G18" s="489"/>
      <c r="H18" s="30" t="s">
        <v>1109</v>
      </c>
      <c r="I18" s="580"/>
      <c r="J18" s="560"/>
      <c r="K18" s="135"/>
    </row>
    <row r="19" spans="1:11" ht="15.75" customHeight="1" x14ac:dyDescent="0.25">
      <c r="A19" s="30" t="s">
        <v>714</v>
      </c>
      <c r="B19" s="579">
        <f>+$B$18+(5*365)-DAY(+$B$18+(5*365))+1</f>
        <v>47543</v>
      </c>
      <c r="C19" s="573"/>
      <c r="D19" s="30" t="s">
        <v>772</v>
      </c>
      <c r="E19" s="581" t="s">
        <v>773</v>
      </c>
      <c r="F19" s="573"/>
      <c r="G19" s="489"/>
      <c r="H19" s="30" t="s">
        <v>1110</v>
      </c>
      <c r="I19" s="578"/>
      <c r="J19" s="560"/>
      <c r="K19" s="135"/>
    </row>
    <row r="20" spans="1:11" ht="15.75" customHeight="1" x14ac:dyDescent="0.25">
      <c r="A20" s="30" t="s">
        <v>711</v>
      </c>
      <c r="B20" s="579">
        <f>+$B$18+(5*365)-DAY(+$B$18+(5*365))+32</f>
        <v>47574</v>
      </c>
      <c r="C20" s="573"/>
      <c r="D20" s="30" t="s">
        <v>679</v>
      </c>
      <c r="E20" t="s">
        <v>769</v>
      </c>
      <c r="F20" s="573"/>
      <c r="G20" s="489"/>
      <c r="H20" s="30" t="s">
        <v>1111</v>
      </c>
      <c r="I20" s="578"/>
      <c r="J20" s="560"/>
      <c r="K20" s="135"/>
    </row>
    <row r="21" spans="1:11" ht="15.75" customHeight="1" x14ac:dyDescent="0.25">
      <c r="A21" s="30" t="s">
        <v>712</v>
      </c>
      <c r="B21" s="579">
        <f>+$B$18+($B$15*365)-DAY(+$B$18+($B$15*365))+1</f>
        <v>56674</v>
      </c>
      <c r="C21" s="573"/>
      <c r="D21" s="30" t="s">
        <v>721</v>
      </c>
      <c r="E21" s="582"/>
      <c r="F21" s="573"/>
      <c r="G21" s="489"/>
      <c r="H21" s="489"/>
      <c r="J21" s="135"/>
      <c r="K21" s="135"/>
    </row>
    <row r="22" spans="1:11" ht="33.950000000000003" customHeight="1" x14ac:dyDescent="0.25">
      <c r="A22" s="30" t="s">
        <v>1112</v>
      </c>
      <c r="B22" s="563"/>
      <c r="C22" s="566"/>
      <c r="E22" s="566"/>
      <c r="F22" s="573"/>
      <c r="G22" s="489"/>
      <c r="H22" s="777" t="s">
        <v>1160</v>
      </c>
      <c r="I22" s="777"/>
      <c r="J22" s="135"/>
      <c r="K22" s="135"/>
    </row>
    <row r="23" spans="1:11" ht="33.950000000000003" customHeight="1" x14ac:dyDescent="0.25">
      <c r="A23" s="30" t="s">
        <v>1113</v>
      </c>
      <c r="B23" s="583"/>
      <c r="C23" s="566"/>
      <c r="E23" s="566"/>
      <c r="F23" s="573"/>
      <c r="G23" s="489"/>
      <c r="H23" s="601" t="s">
        <v>1161</v>
      </c>
      <c r="I23" s="602">
        <f>'Trade Properties'!$U$8</f>
        <v>236592</v>
      </c>
      <c r="J23" s="135"/>
      <c r="K23" s="135"/>
    </row>
    <row r="24" spans="1:11" ht="33.950000000000003" customHeight="1" x14ac:dyDescent="0.25">
      <c r="A24" s="30" t="s">
        <v>1114</v>
      </c>
      <c r="B24" s="584"/>
      <c r="C24" s="566"/>
      <c r="E24" s="566"/>
      <c r="F24" s="573"/>
      <c r="G24" s="489"/>
      <c r="H24" s="601" t="s">
        <v>1162</v>
      </c>
      <c r="I24" s="602">
        <f>$B$9</f>
        <v>28964</v>
      </c>
      <c r="J24" s="135"/>
      <c r="K24" s="135"/>
    </row>
    <row r="25" spans="1:11" ht="33.950000000000003" customHeight="1" x14ac:dyDescent="0.25">
      <c r="A25" s="30"/>
      <c r="B25" s="573"/>
      <c r="C25" s="573"/>
      <c r="D25" s="30" t="s">
        <v>1115</v>
      </c>
      <c r="E25" s="569"/>
      <c r="F25" s="573"/>
      <c r="G25" s="489"/>
      <c r="H25" s="601" t="s">
        <v>1163</v>
      </c>
      <c r="I25" s="602">
        <f>$B$8+$B$9+$I$23</f>
        <v>265556</v>
      </c>
      <c r="J25" s="135"/>
      <c r="K25" s="135"/>
    </row>
    <row r="26" spans="1:11" ht="33.950000000000003" customHeight="1" thickBot="1" x14ac:dyDescent="0.3">
      <c r="A26" s="30"/>
      <c r="B26" s="560"/>
      <c r="C26" s="573"/>
      <c r="D26" s="30" t="s">
        <v>758</v>
      </c>
      <c r="E26" s="578" t="s">
        <v>768</v>
      </c>
      <c r="F26" s="573"/>
      <c r="G26" s="489"/>
      <c r="H26" s="601" t="s">
        <v>1164</v>
      </c>
      <c r="I26" s="602">
        <f>$B$7-$I$25</f>
        <v>65637.400000000023</v>
      </c>
      <c r="J26" s="135"/>
      <c r="K26" s="135"/>
    </row>
    <row r="27" spans="1:11" ht="33.950000000000003" customHeight="1" thickBot="1" x14ac:dyDescent="0.3">
      <c r="A27" s="517" t="s">
        <v>743</v>
      </c>
      <c r="B27" s="560"/>
      <c r="C27" s="573"/>
      <c r="D27" s="30" t="s">
        <v>759</v>
      </c>
      <c r="E27" s="585" t="s">
        <v>770</v>
      </c>
      <c r="F27" s="573"/>
      <c r="G27" s="489"/>
      <c r="H27" s="601" t="s">
        <v>1165</v>
      </c>
      <c r="I27" s="603" t="str">
        <f>'Trade Properties'!$U$18</f>
        <v>5009 Sunnyfield Dr - Single wide; 5021 Sunnyfield Dr - Double wide; 5512 Desert Willow Ln - Single wide</v>
      </c>
      <c r="J27" s="135"/>
      <c r="K27" s="135"/>
    </row>
    <row r="28" spans="1:11" ht="33.950000000000003" customHeight="1" x14ac:dyDescent="0.25">
      <c r="A28" s="30" t="s">
        <v>735</v>
      </c>
      <c r="B28" s="578" t="s">
        <v>742</v>
      </c>
      <c r="C28" s="573"/>
      <c r="D28" s="30" t="s">
        <v>760</v>
      </c>
      <c r="E28" s="585" t="s">
        <v>771</v>
      </c>
      <c r="F28" s="573"/>
      <c r="G28" s="489"/>
      <c r="H28" s="601" t="s">
        <v>1166</v>
      </c>
      <c r="I28" s="778" t="str">
        <f>'Trade Properties'!$U$19</f>
        <v>Trade credit is not final until titles/bills of sale, lien releases or payoff documentation, possession/keys, tenant and rent information, and park/lot approvals are delivered and accepted.</v>
      </c>
      <c r="J28" s="772"/>
      <c r="K28" s="135"/>
    </row>
    <row r="29" spans="1:11" ht="33.950000000000003" customHeight="1" thickBot="1" x14ac:dyDescent="0.3">
      <c r="A29" s="30" t="s">
        <v>748</v>
      </c>
      <c r="B29" s="574" t="str">
        <f>+MOG!B3&amp;" "&amp;MOG!C3</f>
        <v>Laurence A. Tunnard</v>
      </c>
      <c r="C29" s="573"/>
      <c r="D29" s="30" t="s">
        <v>761</v>
      </c>
      <c r="E29" s="578"/>
      <c r="F29" s="573"/>
      <c r="G29" s="489"/>
      <c r="H29" s="601" t="s">
        <v>1167</v>
      </c>
      <c r="I29" s="778" t="s">
        <v>1168</v>
      </c>
      <c r="J29" s="772"/>
      <c r="K29" s="135"/>
    </row>
    <row r="30" spans="1:11" ht="33.950000000000003" customHeight="1" thickBot="1" x14ac:dyDescent="0.3">
      <c r="A30" s="30" t="s">
        <v>750</v>
      </c>
      <c r="B30" s="574" t="str">
        <f>+MOG!B4&amp;" "&amp;MOG!C4</f>
        <v>April D. Tunnard</v>
      </c>
      <c r="C30" s="573"/>
      <c r="D30" s="517" t="s">
        <v>776</v>
      </c>
      <c r="E30" s="560"/>
      <c r="F30" s="573"/>
      <c r="G30" s="489"/>
      <c r="H30" s="601" t="s">
        <v>1169</v>
      </c>
      <c r="I30" s="778" t="s">
        <v>1170</v>
      </c>
      <c r="J30" s="772"/>
      <c r="K30" s="135"/>
    </row>
    <row r="31" spans="1:11" ht="15.75" customHeight="1" x14ac:dyDescent="0.25">
      <c r="A31" s="30" t="s">
        <v>1116</v>
      </c>
      <c r="B31" s="578"/>
      <c r="C31" s="560"/>
      <c r="D31" s="30" t="s">
        <v>746</v>
      </c>
      <c r="E31" s="578" t="s">
        <v>767</v>
      </c>
      <c r="F31" s="560"/>
      <c r="G31" s="25"/>
      <c r="H31" s="25"/>
      <c r="J31" s="135"/>
      <c r="K31" s="135"/>
    </row>
    <row r="32" spans="1:11" ht="15.75" customHeight="1" x14ac:dyDescent="0.25">
      <c r="A32" s="30" t="s">
        <v>1117</v>
      </c>
      <c r="B32" s="578"/>
      <c r="C32" s="560"/>
      <c r="D32" s="30" t="s">
        <v>762</v>
      </c>
      <c r="E32" s="569" t="s">
        <v>765</v>
      </c>
      <c r="F32" s="560"/>
      <c r="G32" s="25"/>
      <c r="H32" s="25"/>
      <c r="J32" s="135"/>
      <c r="K32" s="135"/>
    </row>
    <row r="33" spans="1:11" ht="15.75" customHeight="1" x14ac:dyDescent="0.25">
      <c r="A33" s="30" t="s">
        <v>749</v>
      </c>
      <c r="B33" s="560" t="str">
        <f>MOG!$B$3 &amp; " " &amp; MOG!$C$3 &amp; IF(+MOG!$C$4="",""," and " &amp; +MOG!$B$4 &amp; " " &amp;MOG!$C$4)</f>
        <v>Laurence A. Tunnard and April D. Tunnard</v>
      </c>
      <c r="C33" s="560"/>
      <c r="D33" s="30" t="s">
        <v>763</v>
      </c>
      <c r="E33" s="569" t="s">
        <v>764</v>
      </c>
      <c r="F33" s="560"/>
      <c r="G33" s="25"/>
      <c r="H33" s="25"/>
      <c r="J33" s="135"/>
      <c r="K33" s="135"/>
    </row>
    <row r="34" spans="1:11" ht="15.75" customHeight="1" x14ac:dyDescent="0.25">
      <c r="A34" s="30" t="s">
        <v>1118</v>
      </c>
      <c r="B34" s="560"/>
      <c r="C34" s="586"/>
      <c r="D34" s="30" t="s">
        <v>671</v>
      </c>
      <c r="E34" s="574" t="str">
        <f>+ E11 &amp; " Real Estate Trust dated " &amp; E35 &amp; E36</f>
        <v>4121 Tensity Dr Real Estate Trust dated March, 52025</v>
      </c>
      <c r="F34" s="586"/>
      <c r="G34" s="25"/>
      <c r="H34" s="25"/>
      <c r="J34" s="135"/>
      <c r="K34" s="135"/>
    </row>
    <row r="35" spans="1:11" ht="15.75" customHeight="1" x14ac:dyDescent="0.25">
      <c r="A35" s="30" t="s">
        <v>1119</v>
      </c>
      <c r="B35" s="560"/>
      <c r="C35" s="586"/>
      <c r="D35" s="30" t="s">
        <v>672</v>
      </c>
      <c r="E35" s="585" t="s">
        <v>766</v>
      </c>
      <c r="F35" s="586"/>
      <c r="G35" s="25"/>
      <c r="H35" s="25"/>
      <c r="J35" s="135"/>
      <c r="K35" s="135"/>
    </row>
    <row r="36" spans="1:11" ht="15.75" customHeight="1" x14ac:dyDescent="0.25">
      <c r="A36" s="30" t="s">
        <v>680</v>
      </c>
      <c r="B36" s="586"/>
      <c r="C36" s="586"/>
      <c r="D36" s="30" t="s">
        <v>626</v>
      </c>
      <c r="E36" s="578">
        <v>2025</v>
      </c>
      <c r="F36" s="586"/>
      <c r="G36" s="25"/>
      <c r="H36" s="25"/>
      <c r="J36" s="135"/>
      <c r="K36" s="135"/>
    </row>
    <row r="37" spans="1:11" ht="15.75" customHeight="1" x14ac:dyDescent="0.25">
      <c r="A37" s="30" t="s">
        <v>681</v>
      </c>
      <c r="B37" s="586"/>
      <c r="C37" s="586"/>
      <c r="D37" s="30" t="s">
        <v>673</v>
      </c>
      <c r="E37" s="578" t="s">
        <v>675</v>
      </c>
      <c r="F37" s="586"/>
      <c r="G37" s="25"/>
      <c r="H37" s="25"/>
      <c r="J37" s="135"/>
      <c r="K37" s="135"/>
    </row>
    <row r="38" spans="1:11" ht="15.75" customHeight="1" x14ac:dyDescent="0.25">
      <c r="A38" s="30" t="s">
        <v>1120</v>
      </c>
      <c r="B38" s="586"/>
      <c r="C38" s="560"/>
      <c r="D38" s="30" t="s">
        <v>676</v>
      </c>
      <c r="E38" s="587">
        <f ca="1">YEAR(NOW())</f>
        <v>2026</v>
      </c>
      <c r="F38" s="560"/>
      <c r="G38" s="25"/>
      <c r="H38" s="25"/>
      <c r="J38" s="135"/>
      <c r="K38" s="135"/>
    </row>
    <row r="39" spans="1:11" ht="15.75" customHeight="1" x14ac:dyDescent="0.25">
      <c r="A39" s="30" t="s">
        <v>1121</v>
      </c>
      <c r="B39" s="586"/>
      <c r="C39" s="486"/>
      <c r="D39" s="30" t="s">
        <v>774</v>
      </c>
      <c r="E39" s="587">
        <f ca="1">MONTH(NOW())</f>
        <v>6</v>
      </c>
      <c r="F39" s="578"/>
      <c r="G39" s="25"/>
      <c r="H39" s="25"/>
      <c r="J39" s="135"/>
      <c r="K39" s="135"/>
    </row>
    <row r="40" spans="1:11" ht="15.75" customHeight="1" x14ac:dyDescent="0.25">
      <c r="A40" s="30" t="s">
        <v>754</v>
      </c>
      <c r="B40" s="560"/>
      <c r="C40" s="486"/>
      <c r="D40" s="30"/>
      <c r="E40" s="560"/>
      <c r="F40" s="578"/>
      <c r="G40" s="25"/>
      <c r="H40" s="25"/>
      <c r="J40" s="135"/>
      <c r="K40" s="135"/>
    </row>
    <row r="41" spans="1:11" ht="15.75" customHeight="1" x14ac:dyDescent="0.25">
      <c r="A41" s="30" t="s">
        <v>751</v>
      </c>
      <c r="B41" s="578" t="s">
        <v>757</v>
      </c>
      <c r="C41" s="486"/>
      <c r="D41" s="30" t="s">
        <v>720</v>
      </c>
      <c r="E41" s="560"/>
      <c r="F41" s="578"/>
      <c r="G41" s="25"/>
      <c r="H41" s="25"/>
      <c r="J41" s="135"/>
      <c r="K41" s="135"/>
    </row>
    <row r="42" spans="1:11" ht="15.75" customHeight="1" x14ac:dyDescent="0.25">
      <c r="A42" s="30" t="s">
        <v>752</v>
      </c>
      <c r="B42" s="578" t="s">
        <v>757</v>
      </c>
      <c r="C42" s="560"/>
      <c r="D42" s="30"/>
      <c r="E42" s="560"/>
      <c r="F42" s="560"/>
      <c r="G42" s="25"/>
      <c r="H42" s="25"/>
      <c r="J42" s="135"/>
      <c r="K42" s="135"/>
    </row>
    <row r="43" spans="1:11" ht="15.75" customHeight="1" x14ac:dyDescent="0.25">
      <c r="A43" s="30" t="s">
        <v>755</v>
      </c>
      <c r="B43" s="578" t="s">
        <v>756</v>
      </c>
      <c r="C43" s="564"/>
      <c r="D43" s="564"/>
      <c r="E43" s="564"/>
      <c r="F43" s="564"/>
      <c r="G43" s="486"/>
      <c r="H43" s="486"/>
      <c r="J43" s="135"/>
      <c r="K43" s="135"/>
    </row>
    <row r="44" spans="1:11" ht="15.75" customHeight="1" x14ac:dyDescent="0.25">
      <c r="A44" s="30" t="s">
        <v>753</v>
      </c>
      <c r="B44" s="560">
        <v>1233445566</v>
      </c>
      <c r="C44" s="564"/>
      <c r="D44" s="564"/>
      <c r="E44" s="564"/>
      <c r="F44" s="564"/>
      <c r="G44" s="486"/>
      <c r="H44" s="486"/>
      <c r="J44" s="135"/>
      <c r="K44" s="135"/>
    </row>
    <row r="45" spans="1:11" ht="15.75" customHeight="1" x14ac:dyDescent="0.25">
      <c r="A45" s="491" t="s">
        <v>730</v>
      </c>
      <c r="B45" s="564">
        <f>Profit!C14</f>
        <v>28063.26</v>
      </c>
      <c r="C45" s="564"/>
      <c r="D45" s="564"/>
      <c r="E45" s="564"/>
      <c r="F45" s="564"/>
      <c r="G45" s="486"/>
      <c r="H45" s="486"/>
      <c r="J45" s="135"/>
      <c r="K45" s="135"/>
    </row>
    <row r="46" spans="1:11" ht="15.75" customHeight="1" x14ac:dyDescent="0.25">
      <c r="A46" s="491" t="s">
        <v>601</v>
      </c>
      <c r="B46" s="564">
        <f>Profit!C15</f>
        <v>97228</v>
      </c>
      <c r="C46" s="486"/>
      <c r="D46" s="486"/>
      <c r="E46" s="486"/>
      <c r="F46" s="486"/>
      <c r="G46" s="486"/>
      <c r="H46" s="486"/>
      <c r="J46" s="135"/>
      <c r="K46" s="135"/>
    </row>
    <row r="47" spans="1:11" ht="15.75" customHeight="1" x14ac:dyDescent="0.25">
      <c r="A47" s="491" t="s">
        <v>729</v>
      </c>
      <c r="B47" s="564">
        <f>Profit!B21</f>
        <v>130291.26</v>
      </c>
      <c r="C47" s="564"/>
      <c r="D47" s="564"/>
      <c r="E47" s="564"/>
      <c r="F47" s="564"/>
      <c r="G47" s="486"/>
      <c r="H47" s="486"/>
      <c r="J47" s="135"/>
      <c r="K47" s="135"/>
    </row>
    <row r="48" spans="1:11" ht="15.75" customHeight="1" x14ac:dyDescent="0.25">
      <c r="A48" s="491" t="s">
        <v>664</v>
      </c>
      <c r="B48" s="578">
        <v>100</v>
      </c>
      <c r="C48" s="576"/>
      <c r="D48" s="576"/>
      <c r="E48" s="576"/>
      <c r="F48" s="576"/>
      <c r="G48" s="488"/>
      <c r="H48" s="488"/>
      <c r="J48" s="135"/>
      <c r="K48" s="135"/>
    </row>
    <row r="49" spans="1:11" ht="15.75" customHeight="1" x14ac:dyDescent="0.25">
      <c r="A49" s="491" t="s">
        <v>727</v>
      </c>
      <c r="B49" s="564">
        <f>Profit!C20</f>
        <v>5000</v>
      </c>
      <c r="C49" s="576"/>
      <c r="D49" s="576"/>
      <c r="E49" s="576"/>
      <c r="F49" s="576"/>
      <c r="G49" s="488"/>
      <c r="H49" s="488"/>
      <c r="J49" s="135"/>
      <c r="K49" s="135"/>
    </row>
    <row r="50" spans="1:11" ht="15.75" customHeight="1" x14ac:dyDescent="0.25">
      <c r="A50" s="491" t="s">
        <v>674</v>
      </c>
      <c r="B50" s="576" t="str">
        <f>TEXT(Amortization!$C$3,"0.000%")</f>
        <v>3.750%</v>
      </c>
      <c r="C50" s="576"/>
      <c r="D50" s="576"/>
      <c r="E50" s="576"/>
      <c r="F50" s="576"/>
      <c r="G50" s="488"/>
      <c r="H50" s="488"/>
      <c r="J50" s="135"/>
      <c r="K50" s="135"/>
    </row>
    <row r="51" spans="1:11" ht="15.75" customHeight="1" x14ac:dyDescent="0.25">
      <c r="A51" s="491" t="s">
        <v>723</v>
      </c>
      <c r="B51" s="576" t="str">
        <f>TEXT(+Amortization!AA8,"0.000%")</f>
        <v>3.750%</v>
      </c>
      <c r="C51" s="564"/>
      <c r="D51" s="564"/>
      <c r="E51" s="564"/>
      <c r="F51" s="564"/>
      <c r="G51" s="486"/>
      <c r="H51" s="486"/>
      <c r="J51" s="135"/>
      <c r="K51" s="135"/>
    </row>
    <row r="52" spans="1:11" ht="15.75" customHeight="1" x14ac:dyDescent="0.25">
      <c r="A52" s="491" t="s">
        <v>722</v>
      </c>
      <c r="B52" s="576" t="str">
        <f>TEXT(Amortization!$O$6,"0.000%")</f>
        <v>6.250%</v>
      </c>
      <c r="C52" s="566"/>
      <c r="D52" s="566"/>
      <c r="E52" s="566"/>
      <c r="F52" s="566"/>
      <c r="G52" s="487"/>
      <c r="H52" s="487"/>
      <c r="J52" s="135"/>
      <c r="K52" s="135"/>
    </row>
    <row r="53" spans="1:11" ht="15.75" customHeight="1" x14ac:dyDescent="0.25">
      <c r="A53" s="491" t="s">
        <v>731</v>
      </c>
      <c r="B53" s="564" t="s">
        <v>732</v>
      </c>
      <c r="C53" s="564"/>
      <c r="D53" s="564"/>
      <c r="E53" s="564"/>
      <c r="F53" s="564"/>
      <c r="G53" s="486"/>
      <c r="H53" s="486"/>
      <c r="J53" s="135"/>
      <c r="K53" s="135"/>
    </row>
    <row r="54" spans="1:11" ht="15.75" customHeight="1" x14ac:dyDescent="0.25">
      <c r="B54" s="566"/>
      <c r="C54" s="561"/>
      <c r="D54" s="561"/>
      <c r="E54" s="561"/>
      <c r="F54" s="561"/>
      <c r="G54" s="518"/>
      <c r="H54" s="518"/>
      <c r="J54" s="135"/>
      <c r="K54" s="135"/>
    </row>
    <row r="55" spans="1:11" ht="15.75" customHeight="1" x14ac:dyDescent="0.25">
      <c r="A55" s="491" t="s">
        <v>740</v>
      </c>
      <c r="B55" s="564" t="s">
        <v>741</v>
      </c>
      <c r="C55" s="561"/>
      <c r="D55" s="561"/>
      <c r="E55" s="561"/>
      <c r="F55" s="561"/>
      <c r="G55" s="518"/>
      <c r="H55" s="518"/>
      <c r="J55" s="135"/>
      <c r="K55" s="135"/>
    </row>
    <row r="56" spans="1:11" ht="15.75" customHeight="1" x14ac:dyDescent="0.25">
      <c r="B56" s="566"/>
      <c r="C56" s="564"/>
      <c r="D56" s="564"/>
      <c r="E56" s="564"/>
      <c r="F56" s="564"/>
      <c r="G56" s="518"/>
      <c r="H56" s="518"/>
      <c r="J56" s="135"/>
      <c r="K56" s="135"/>
    </row>
    <row r="57" spans="1:11" ht="15.75" customHeight="1" x14ac:dyDescent="0.25">
      <c r="B57" s="566"/>
      <c r="C57" s="565"/>
      <c r="D57" s="565"/>
      <c r="E57" s="565"/>
      <c r="F57" s="565"/>
      <c r="G57" s="32"/>
      <c r="H57" s="32"/>
      <c r="J57" s="135"/>
      <c r="K57" s="135"/>
    </row>
    <row r="58" spans="1:11" ht="15.75" customHeight="1" x14ac:dyDescent="0.25">
      <c r="B58" s="566"/>
      <c r="C58" s="564"/>
      <c r="D58" s="564"/>
      <c r="E58" s="564"/>
      <c r="F58" s="564"/>
      <c r="G58" s="486"/>
      <c r="H58" s="486"/>
      <c r="J58" s="135"/>
      <c r="K58" s="135"/>
    </row>
    <row r="59" spans="1:11" ht="15.75" customHeight="1" x14ac:dyDescent="0.25">
      <c r="B59" s="566"/>
      <c r="C59" s="561"/>
      <c r="D59" s="561"/>
      <c r="E59" s="561"/>
      <c r="F59" s="561"/>
      <c r="G59" s="486"/>
      <c r="H59" s="486"/>
      <c r="J59" s="135"/>
      <c r="K59" s="135"/>
    </row>
    <row r="60" spans="1:11" ht="15.75" customHeight="1" x14ac:dyDescent="0.25">
      <c r="B60" s="566"/>
      <c r="C60" s="561"/>
      <c r="D60" s="561"/>
      <c r="E60" s="561"/>
      <c r="F60" s="561"/>
      <c r="G60" s="486"/>
      <c r="H60" s="486"/>
      <c r="J60" s="135"/>
      <c r="K60" s="135"/>
    </row>
    <row r="61" spans="1:11" ht="15.75" customHeight="1" x14ac:dyDescent="0.25">
      <c r="B61" s="566"/>
      <c r="C61" s="561"/>
      <c r="D61" s="561"/>
      <c r="E61" s="561"/>
      <c r="F61" s="561"/>
      <c r="G61" s="486"/>
      <c r="H61" s="486"/>
      <c r="J61" s="135"/>
      <c r="K61" s="135"/>
    </row>
    <row r="62" spans="1:11" ht="15.75" customHeight="1" x14ac:dyDescent="0.25">
      <c r="B62" s="566"/>
      <c r="C62" s="570"/>
      <c r="D62" s="570"/>
      <c r="E62" s="570"/>
      <c r="F62" s="570"/>
      <c r="G62" s="486"/>
      <c r="H62" s="486"/>
      <c r="J62" s="135"/>
      <c r="K62" s="135"/>
    </row>
    <row r="63" spans="1:11" ht="15.75" customHeight="1" x14ac:dyDescent="0.25">
      <c r="B63" s="566"/>
      <c r="C63" s="560"/>
      <c r="D63" s="560"/>
      <c r="E63" s="560"/>
      <c r="F63" s="560"/>
      <c r="G63" s="25"/>
      <c r="H63" s="25"/>
      <c r="J63" s="135"/>
      <c r="K63" s="135"/>
    </row>
    <row r="64" spans="1:11" ht="15.75" customHeight="1" x14ac:dyDescent="0.25">
      <c r="B64" s="566"/>
      <c r="C64" s="560"/>
      <c r="D64" s="560"/>
      <c r="E64" s="560"/>
      <c r="F64" s="560"/>
      <c r="G64" s="25"/>
      <c r="H64" s="25"/>
      <c r="J64" s="135"/>
      <c r="K64" s="135"/>
    </row>
    <row r="65" spans="2:11" ht="15.75" customHeight="1" x14ac:dyDescent="0.25">
      <c r="B65" s="566"/>
      <c r="C65" s="560"/>
      <c r="D65" s="560"/>
      <c r="E65" s="560"/>
      <c r="F65" s="560"/>
      <c r="G65" s="25"/>
      <c r="H65" s="25"/>
      <c r="J65" s="135"/>
      <c r="K65" s="135"/>
    </row>
    <row r="66" spans="2:11" ht="15.75" customHeight="1" x14ac:dyDescent="0.25">
      <c r="B66" s="566"/>
      <c r="C66" s="560"/>
      <c r="D66" s="560"/>
      <c r="E66" s="560"/>
      <c r="F66" s="560"/>
      <c r="G66" s="25"/>
      <c r="H66" s="25"/>
      <c r="J66" s="135"/>
      <c r="K66" s="135"/>
    </row>
    <row r="67" spans="2:11" ht="15.75" customHeight="1" x14ac:dyDescent="0.25">
      <c r="B67" s="566"/>
      <c r="C67" s="560"/>
      <c r="D67" s="560"/>
      <c r="E67" s="560"/>
      <c r="F67" s="560"/>
      <c r="G67" s="25"/>
      <c r="H67" s="25"/>
      <c r="J67" s="135"/>
      <c r="K67" s="135"/>
    </row>
    <row r="68" spans="2:11" ht="15.75" customHeight="1" x14ac:dyDescent="0.25">
      <c r="B68" s="566"/>
      <c r="C68" s="570"/>
      <c r="D68" s="570"/>
      <c r="E68" s="570"/>
      <c r="F68" s="570"/>
      <c r="G68" s="487"/>
      <c r="H68" s="487"/>
      <c r="J68" s="135"/>
      <c r="K68" s="135"/>
    </row>
    <row r="69" spans="2:11" ht="15.75" customHeight="1" x14ac:dyDescent="0.25">
      <c r="B69" s="566"/>
      <c r="C69" s="570"/>
      <c r="D69" s="570"/>
      <c r="E69" s="570"/>
      <c r="F69" s="570"/>
      <c r="G69" s="487"/>
      <c r="H69" s="487"/>
      <c r="J69" s="135"/>
      <c r="K69" s="135"/>
    </row>
    <row r="70" spans="2:11" ht="15.75" customHeight="1" x14ac:dyDescent="0.25">
      <c r="B70" s="566"/>
      <c r="C70" s="560"/>
      <c r="D70" s="560"/>
      <c r="E70" s="560"/>
      <c r="F70" s="560"/>
      <c r="G70" s="25"/>
      <c r="H70" s="25"/>
      <c r="J70" s="135"/>
      <c r="K70" s="135"/>
    </row>
    <row r="71" spans="2:11" ht="15.75" customHeight="1" x14ac:dyDescent="0.25">
      <c r="B71" s="566"/>
      <c r="C71" s="560"/>
      <c r="D71" s="560"/>
      <c r="E71" s="560"/>
      <c r="F71" s="560"/>
      <c r="G71" s="25"/>
      <c r="H71" s="25"/>
      <c r="J71" s="135"/>
      <c r="K71" s="135"/>
    </row>
    <row r="72" spans="2:11" ht="15.75" customHeight="1" x14ac:dyDescent="0.25">
      <c r="B72" s="566"/>
      <c r="C72" s="564"/>
      <c r="D72" s="564"/>
      <c r="E72" s="564"/>
      <c r="F72" s="564"/>
      <c r="G72" s="486"/>
      <c r="H72" s="486"/>
      <c r="J72" s="135"/>
      <c r="K72" s="135"/>
    </row>
    <row r="73" spans="2:11" ht="15.75" customHeight="1" x14ac:dyDescent="0.25">
      <c r="B73" s="566"/>
      <c r="C73" s="564"/>
      <c r="D73" s="564"/>
      <c r="E73" s="564"/>
      <c r="F73" s="564"/>
      <c r="G73" s="486"/>
      <c r="H73" s="486"/>
      <c r="J73" s="135"/>
      <c r="K73" s="135"/>
    </row>
    <row r="74" spans="2:11" ht="15.75" customHeight="1" x14ac:dyDescent="0.25">
      <c r="B74" s="566"/>
      <c r="C74" s="561"/>
      <c r="D74" s="561"/>
      <c r="E74" s="561"/>
      <c r="F74" s="561"/>
      <c r="G74" s="561"/>
      <c r="H74" s="561"/>
      <c r="I74" s="561"/>
      <c r="J74" s="561"/>
      <c r="K74" s="135"/>
    </row>
    <row r="75" spans="2:11" ht="15.75" customHeight="1" x14ac:dyDescent="0.25">
      <c r="B75" s="566"/>
      <c r="C75" s="561"/>
      <c r="D75" s="561"/>
      <c r="E75" s="561"/>
      <c r="F75" s="561"/>
      <c r="G75" s="561"/>
      <c r="H75" s="561"/>
      <c r="I75" s="561"/>
      <c r="J75" s="561"/>
      <c r="K75" s="135"/>
    </row>
    <row r="76" spans="2:11" ht="15.75" customHeight="1" x14ac:dyDescent="0.25">
      <c r="B76" s="566"/>
      <c r="C76" s="561"/>
      <c r="D76" s="561"/>
      <c r="E76" s="561"/>
      <c r="F76" s="561"/>
      <c r="G76" s="561"/>
      <c r="H76" s="561"/>
      <c r="I76" s="561"/>
      <c r="J76" s="561"/>
      <c r="K76" s="135"/>
    </row>
    <row r="77" spans="2:11" ht="15.75" customHeight="1" x14ac:dyDescent="0.25">
      <c r="B77" s="566"/>
      <c r="C77" s="561"/>
      <c r="D77" s="561"/>
      <c r="E77" s="561"/>
      <c r="F77" s="561"/>
      <c r="G77" s="561"/>
      <c r="H77" s="561"/>
      <c r="I77" s="561"/>
      <c r="J77" s="561"/>
      <c r="K77" s="135"/>
    </row>
    <row r="78" spans="2:11" ht="15.75" customHeight="1" x14ac:dyDescent="0.25">
      <c r="B78" s="566"/>
      <c r="C78" s="561"/>
      <c r="D78" s="561"/>
      <c r="E78" s="561"/>
      <c r="F78" s="561"/>
      <c r="G78" s="561"/>
      <c r="H78" s="561"/>
      <c r="I78" s="561"/>
      <c r="J78" s="561"/>
      <c r="K78" s="135"/>
    </row>
    <row r="79" spans="2:11" ht="15.75" customHeight="1" x14ac:dyDescent="0.25">
      <c r="B79" s="566"/>
      <c r="C79" s="561"/>
      <c r="D79" s="561"/>
      <c r="E79" s="561"/>
      <c r="F79" s="561"/>
      <c r="G79" s="561"/>
      <c r="H79" s="561"/>
      <c r="I79" s="561"/>
      <c r="J79" s="561"/>
      <c r="K79" s="135"/>
    </row>
    <row r="80" spans="2:11" ht="15.75" customHeight="1" x14ac:dyDescent="0.25">
      <c r="B80" s="566"/>
      <c r="C80" s="561"/>
      <c r="D80" s="561"/>
      <c r="E80" s="561"/>
      <c r="F80" s="561"/>
      <c r="G80" s="561"/>
      <c r="H80" s="561"/>
      <c r="I80" s="561"/>
      <c r="J80" s="561"/>
      <c r="K80" s="135"/>
    </row>
    <row r="81" spans="2:71" ht="15.75" customHeight="1" x14ac:dyDescent="0.25">
      <c r="B81" s="566"/>
      <c r="C81" s="561"/>
      <c r="D81" s="561"/>
      <c r="E81" s="561"/>
      <c r="F81" s="561"/>
      <c r="G81" s="25"/>
      <c r="H81" s="25"/>
      <c r="J81" s="135"/>
      <c r="K81" s="135"/>
    </row>
    <row r="82" spans="2:71" ht="15.75" customHeight="1" x14ac:dyDescent="0.25">
      <c r="B82" s="566"/>
      <c r="C82" s="560"/>
      <c r="D82" s="560"/>
      <c r="E82" s="560"/>
      <c r="F82" s="560"/>
      <c r="G82" s="25"/>
      <c r="H82" s="25"/>
      <c r="J82" s="135"/>
      <c r="K82" s="135"/>
    </row>
    <row r="83" spans="2:71" ht="15.75" customHeight="1" x14ac:dyDescent="0.25">
      <c r="B83" s="566"/>
      <c r="C83" s="566"/>
      <c r="D83" s="566"/>
      <c r="E83" s="566"/>
      <c r="F83" s="566"/>
      <c r="J83" s="135"/>
      <c r="K83" s="135"/>
    </row>
    <row r="84" spans="2:71" ht="15.75" customHeight="1" x14ac:dyDescent="0.25">
      <c r="B84" s="566"/>
      <c r="C84" s="566"/>
      <c r="D84" s="566"/>
      <c r="E84" s="566"/>
      <c r="F84" s="566"/>
      <c r="J84" s="135"/>
      <c r="K84" s="135"/>
    </row>
    <row r="85" spans="2:71" ht="15.75" customHeight="1" x14ac:dyDescent="0.25">
      <c r="B85" s="566"/>
      <c r="C85" s="560"/>
      <c r="D85" s="560"/>
      <c r="E85" s="560"/>
      <c r="F85" s="560"/>
      <c r="G85" s="25"/>
      <c r="H85" s="25"/>
      <c r="J85" s="135"/>
      <c r="K85" s="135"/>
      <c r="BR85" s="30"/>
      <c r="BS85" s="30"/>
    </row>
    <row r="86" spans="2:71" ht="15.75" customHeight="1" x14ac:dyDescent="0.25">
      <c r="B86" s="566"/>
      <c r="C86" s="588"/>
      <c r="D86" s="588"/>
      <c r="E86" s="588"/>
      <c r="F86" s="588"/>
      <c r="G86" s="490"/>
      <c r="H86" s="490"/>
      <c r="J86" s="135"/>
      <c r="K86" s="135"/>
    </row>
    <row r="87" spans="2:71" ht="15.75" customHeight="1" x14ac:dyDescent="0.25">
      <c r="B87" s="566"/>
      <c r="C87" s="560"/>
      <c r="D87" s="560"/>
      <c r="E87" s="560"/>
      <c r="F87" s="560"/>
      <c r="G87" s="25"/>
      <c r="H87" s="25"/>
      <c r="J87" s="135"/>
      <c r="K87" s="135"/>
    </row>
    <row r="88" spans="2:71" ht="15.75" customHeight="1" x14ac:dyDescent="0.25">
      <c r="B88" s="566"/>
      <c r="C88" s="578"/>
      <c r="D88" s="578"/>
      <c r="E88" s="578"/>
      <c r="F88" s="578"/>
      <c r="G88" s="28"/>
      <c r="H88" s="28"/>
      <c r="J88" s="135"/>
      <c r="K88" s="135"/>
    </row>
    <row r="89" spans="2:71" ht="15.75" customHeight="1" x14ac:dyDescent="0.25">
      <c r="B89" s="566"/>
      <c r="C89" s="565"/>
      <c r="D89" s="565"/>
      <c r="E89" s="565"/>
      <c r="F89" s="565"/>
      <c r="G89" s="32"/>
      <c r="H89" s="32"/>
      <c r="J89" s="135"/>
      <c r="K89" s="135"/>
    </row>
    <row r="90" spans="2:71" ht="15.75" customHeight="1" x14ac:dyDescent="0.25">
      <c r="B90" s="566"/>
      <c r="C90" s="565"/>
      <c r="D90" s="565"/>
      <c r="E90" s="565"/>
      <c r="F90" s="565"/>
      <c r="G90" s="32"/>
      <c r="H90" s="32"/>
      <c r="J90" s="135"/>
      <c r="K90" s="135"/>
    </row>
    <row r="91" spans="2:71" ht="15.75" customHeight="1" x14ac:dyDescent="0.25">
      <c r="B91" s="566"/>
      <c r="C91" s="560"/>
      <c r="D91" s="560"/>
      <c r="E91" s="560"/>
      <c r="F91" s="560"/>
      <c r="G91" s="25"/>
      <c r="H91" s="25"/>
      <c r="J91" s="135"/>
      <c r="K91" s="135"/>
    </row>
    <row r="92" spans="2:71" ht="15.75" customHeight="1" x14ac:dyDescent="0.25">
      <c r="B92" s="566"/>
      <c r="C92" s="560"/>
      <c r="D92" s="560"/>
      <c r="E92" s="560"/>
      <c r="F92" s="560"/>
      <c r="G92" s="25"/>
      <c r="H92" s="25"/>
      <c r="J92" s="135"/>
      <c r="K92" s="135"/>
    </row>
    <row r="93" spans="2:71" ht="15.75" customHeight="1" x14ac:dyDescent="0.25">
      <c r="B93" s="566"/>
      <c r="C93" s="560"/>
      <c r="D93" s="560"/>
      <c r="E93" s="560"/>
      <c r="F93" s="560"/>
      <c r="G93" s="25"/>
      <c r="H93" s="25"/>
      <c r="J93" s="135"/>
      <c r="K93" s="135"/>
    </row>
    <row r="94" spans="2:71" ht="15.75" customHeight="1" x14ac:dyDescent="0.25">
      <c r="B94" s="566"/>
      <c r="C94" s="566"/>
      <c r="D94" s="560"/>
      <c r="E94" s="560"/>
      <c r="F94" s="560"/>
      <c r="G94" s="25"/>
      <c r="H94" s="25"/>
      <c r="J94" s="135"/>
      <c r="K94" s="135"/>
    </row>
    <row r="95" spans="2:71" ht="15.75" customHeight="1" x14ac:dyDescent="0.25">
      <c r="B95" s="566"/>
      <c r="C95" s="566"/>
      <c r="D95" s="560"/>
      <c r="E95" s="560"/>
      <c r="F95" s="560"/>
      <c r="G95" s="25"/>
      <c r="H95" s="25"/>
      <c r="J95" s="135"/>
      <c r="K95" s="135"/>
    </row>
    <row r="96" spans="2:71" ht="15.75" customHeight="1" x14ac:dyDescent="0.25">
      <c r="B96" s="566"/>
      <c r="C96" s="566"/>
      <c r="D96" s="560"/>
      <c r="E96" s="560"/>
      <c r="F96" s="560"/>
      <c r="G96" s="25"/>
      <c r="H96" s="25"/>
      <c r="J96" s="135"/>
      <c r="K96" s="135"/>
    </row>
    <row r="97" spans="2:11" ht="15.75" customHeight="1" x14ac:dyDescent="0.25">
      <c r="B97" s="566"/>
      <c r="C97" s="566"/>
      <c r="D97" s="560"/>
      <c r="E97" s="560"/>
      <c r="F97" s="560"/>
      <c r="G97" s="25"/>
      <c r="H97" s="25"/>
      <c r="J97" s="135"/>
      <c r="K97" s="135"/>
    </row>
    <row r="98" spans="2:11" ht="15.75" customHeight="1" x14ac:dyDescent="0.25">
      <c r="B98" s="566"/>
      <c r="C98" s="566"/>
      <c r="D98" s="560"/>
      <c r="E98" s="560"/>
      <c r="F98" s="560"/>
      <c r="G98" s="25"/>
      <c r="H98" s="25"/>
      <c r="J98" s="135"/>
      <c r="K98" s="135"/>
    </row>
    <row r="99" spans="2:11" ht="15.75" customHeight="1" x14ac:dyDescent="0.25">
      <c r="B99" s="566"/>
      <c r="C99" s="566"/>
      <c r="D99" s="566"/>
      <c r="E99" s="566"/>
      <c r="F99" s="566"/>
      <c r="G99" s="487"/>
      <c r="H99" s="487"/>
      <c r="J99" s="135"/>
      <c r="K99" s="135"/>
    </row>
    <row r="100" spans="2:11" ht="15.75" customHeight="1" x14ac:dyDescent="0.25">
      <c r="B100" s="566"/>
      <c r="C100" s="566"/>
      <c r="D100" s="566"/>
      <c r="E100" s="566"/>
      <c r="F100" s="566"/>
      <c r="G100" s="487"/>
      <c r="H100" s="487"/>
      <c r="J100" s="135"/>
      <c r="K100" s="135"/>
    </row>
    <row r="101" spans="2:11" ht="15.75" customHeight="1" x14ac:dyDescent="0.25">
      <c r="B101" s="566"/>
      <c r="C101" s="566"/>
      <c r="D101" s="519"/>
      <c r="E101" s="519"/>
      <c r="F101" s="519"/>
      <c r="G101" s="487"/>
      <c r="H101" s="487"/>
      <c r="J101" s="135"/>
      <c r="K101" s="135"/>
    </row>
    <row r="102" spans="2:11" ht="15.75" customHeight="1" x14ac:dyDescent="0.25">
      <c r="B102" s="566"/>
      <c r="C102" s="566"/>
      <c r="D102" s="560"/>
      <c r="E102" s="560"/>
      <c r="F102" s="560"/>
      <c r="G102" s="25"/>
      <c r="H102" s="25"/>
      <c r="J102" s="135"/>
      <c r="K102" s="135"/>
    </row>
    <row r="103" spans="2:11" ht="15.75" customHeight="1" x14ac:dyDescent="0.25">
      <c r="B103" s="566"/>
      <c r="C103" s="566"/>
      <c r="D103" s="560"/>
      <c r="E103" s="560"/>
      <c r="F103" s="560"/>
      <c r="G103" s="25"/>
      <c r="H103" s="25"/>
      <c r="J103" s="135"/>
      <c r="K103" s="135"/>
    </row>
    <row r="104" spans="2:11" ht="15.75" customHeight="1" x14ac:dyDescent="0.25">
      <c r="B104" s="566"/>
      <c r="C104" s="566"/>
      <c r="D104" s="560"/>
      <c r="E104" s="560"/>
      <c r="F104" s="560"/>
      <c r="G104" s="25"/>
      <c r="H104" s="25"/>
      <c r="J104" s="135"/>
      <c r="K104" s="135"/>
    </row>
    <row r="105" spans="2:11" ht="15.75" customHeight="1" x14ac:dyDescent="0.25">
      <c r="B105" s="566"/>
      <c r="C105" s="566"/>
      <c r="D105" s="560"/>
      <c r="E105" s="560"/>
      <c r="F105" s="560"/>
      <c r="G105" s="25"/>
      <c r="H105" s="25"/>
      <c r="J105" s="135"/>
      <c r="K105" s="135"/>
    </row>
    <row r="106" spans="2:11" ht="15.75" customHeight="1" x14ac:dyDescent="0.25">
      <c r="B106" s="566"/>
      <c r="C106" s="566"/>
      <c r="D106" s="560"/>
      <c r="E106" s="560"/>
      <c r="F106" s="560"/>
      <c r="G106" s="25"/>
      <c r="H106" s="25"/>
      <c r="J106" s="135"/>
      <c r="K106" s="135"/>
    </row>
    <row r="107" spans="2:11" ht="15.75" customHeight="1" x14ac:dyDescent="0.25">
      <c r="B107" s="566"/>
      <c r="C107" s="566"/>
      <c r="D107" s="560"/>
      <c r="E107" s="560"/>
      <c r="F107" s="560"/>
      <c r="G107" s="25"/>
      <c r="H107" s="25"/>
      <c r="J107" s="135"/>
      <c r="K107" s="135"/>
    </row>
    <row r="108" spans="2:11" ht="15.75" customHeight="1" x14ac:dyDescent="0.25">
      <c r="B108" s="566"/>
      <c r="C108" s="566"/>
      <c r="D108" s="560"/>
      <c r="E108" s="560"/>
      <c r="F108" s="560"/>
      <c r="G108" s="25"/>
      <c r="H108" s="25"/>
      <c r="J108" s="135"/>
      <c r="K108" s="135"/>
    </row>
    <row r="109" spans="2:11" ht="15.75" customHeight="1" x14ac:dyDescent="0.25">
      <c r="B109" s="566"/>
      <c r="C109" s="566"/>
      <c r="D109" s="560"/>
      <c r="E109" s="560"/>
      <c r="F109" s="560"/>
      <c r="G109" s="25"/>
      <c r="H109" s="25"/>
      <c r="J109" s="135"/>
      <c r="K109" s="135"/>
    </row>
    <row r="110" spans="2:11" ht="15.75" customHeight="1" x14ac:dyDescent="0.25">
      <c r="B110" s="566"/>
      <c r="C110" s="566"/>
      <c r="D110" s="560"/>
      <c r="E110" s="560"/>
      <c r="F110" s="560"/>
      <c r="G110" s="25"/>
      <c r="H110" s="25"/>
      <c r="J110" s="135"/>
      <c r="K110" s="135"/>
    </row>
    <row r="111" spans="2:11" ht="15.75" customHeight="1" x14ac:dyDescent="0.25">
      <c r="B111" s="566"/>
      <c r="C111" s="566"/>
      <c r="D111" s="560"/>
      <c r="E111" s="560"/>
      <c r="F111" s="560"/>
      <c r="G111" s="25"/>
      <c r="H111" s="25"/>
      <c r="J111" s="135"/>
      <c r="K111" s="135"/>
    </row>
    <row r="112" spans="2:11" ht="15.75" customHeight="1" x14ac:dyDescent="0.25">
      <c r="B112" s="566"/>
      <c r="C112" s="566"/>
      <c r="D112" s="560"/>
      <c r="E112" s="560"/>
      <c r="F112" s="560"/>
      <c r="G112" s="25"/>
      <c r="H112" s="25"/>
      <c r="J112" s="135"/>
      <c r="K112" s="135"/>
    </row>
    <row r="113" spans="2:11" ht="15.75" customHeight="1" x14ac:dyDescent="0.25">
      <c r="B113" s="566"/>
      <c r="C113" s="566"/>
      <c r="D113" s="560"/>
      <c r="E113" s="560"/>
      <c r="F113" s="560"/>
      <c r="G113" s="25"/>
      <c r="H113" s="25"/>
      <c r="J113" s="135"/>
      <c r="K113" s="135"/>
    </row>
    <row r="114" spans="2:11" ht="15.75" customHeight="1" x14ac:dyDescent="0.25">
      <c r="B114" s="566"/>
      <c r="C114" s="560"/>
      <c r="D114" s="560"/>
      <c r="E114" s="560"/>
      <c r="F114" s="560"/>
      <c r="G114" s="25"/>
      <c r="H114" s="25"/>
      <c r="J114" s="135"/>
      <c r="K114" s="135"/>
    </row>
  </sheetData>
  <mergeCells count="4">
    <mergeCell ref="H22:I22"/>
    <mergeCell ref="I28:J28"/>
    <mergeCell ref="I29:J29"/>
    <mergeCell ref="I30:J30"/>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1:U22"/>
  <sheetViews>
    <sheetView showGridLines="0" workbookViewId="0">
      <pane ySplit="5" topLeftCell="A6" activePane="bottomLeft" state="frozenSplit"/>
      <selection pane="bottomLeft" activeCell="L9" sqref="L9"/>
    </sheetView>
  </sheetViews>
  <sheetFormatPr defaultRowHeight="15" x14ac:dyDescent="0.25"/>
  <cols>
    <col min="1" max="1" width="24.7109375" customWidth="1"/>
    <col min="2" max="2" width="14.7109375" customWidth="1"/>
    <col min="3" max="3" width="12.7109375" customWidth="1"/>
    <col min="4" max="4" width="11.140625" customWidth="1"/>
    <col min="5" max="5" width="10.42578125" customWidth="1"/>
    <col min="6" max="8" width="11.140625" customWidth="1"/>
    <col min="9" max="9" width="12.140625" customWidth="1"/>
    <col min="10" max="10" width="9.85546875" customWidth="1"/>
    <col min="11" max="11" width="16.7109375" customWidth="1"/>
    <col min="12" max="12" width="12" customWidth="1"/>
    <col min="13" max="13" width="13.42578125" customWidth="1"/>
    <col min="14" max="14" width="22.7109375" customWidth="1"/>
    <col min="15" max="15" width="16.85546875" customWidth="1"/>
    <col min="16" max="16" width="27.42578125" customWidth="1"/>
    <col min="20" max="20" width="30.7109375" customWidth="1"/>
    <col min="21" max="21" width="55.7109375" customWidth="1"/>
  </cols>
  <sheetData>
    <row r="1" spans="1:21" ht="24" customHeight="1" x14ac:dyDescent="0.3">
      <c r="A1" s="779" t="s">
        <v>1122</v>
      </c>
      <c r="B1" s="779"/>
      <c r="C1" s="779"/>
      <c r="D1" s="779"/>
      <c r="E1" s="779"/>
      <c r="F1" s="779"/>
      <c r="G1" s="779"/>
      <c r="H1" s="779"/>
      <c r="I1" s="779"/>
      <c r="J1" s="779"/>
      <c r="K1" s="779"/>
      <c r="L1" s="779"/>
      <c r="M1" s="779"/>
      <c r="N1" s="779"/>
      <c r="O1" s="779"/>
    </row>
    <row r="2" spans="1:21" ht="33.950000000000003" customHeight="1" x14ac:dyDescent="0.25">
      <c r="A2" s="780" t="s">
        <v>1123</v>
      </c>
      <c r="B2" s="780"/>
      <c r="C2" s="780"/>
      <c r="D2" s="780"/>
      <c r="E2" s="780"/>
      <c r="F2" s="780"/>
      <c r="G2" s="780"/>
      <c r="H2" s="780"/>
      <c r="I2" s="780"/>
      <c r="J2" s="780"/>
      <c r="K2" s="780"/>
      <c r="L2" s="780"/>
      <c r="M2" s="780"/>
      <c r="N2" s="780"/>
      <c r="O2" s="780"/>
    </row>
    <row r="3" spans="1:21" ht="33.950000000000003" customHeight="1" x14ac:dyDescent="0.25">
      <c r="A3" s="780"/>
      <c r="B3" s="780"/>
      <c r="C3" s="780"/>
      <c r="D3" s="780"/>
      <c r="E3" s="780"/>
      <c r="F3" s="780"/>
      <c r="G3" s="780"/>
      <c r="H3" s="780"/>
      <c r="I3" s="781"/>
      <c r="J3" s="780"/>
      <c r="K3" s="780"/>
      <c r="L3" s="780"/>
      <c r="M3" s="780"/>
      <c r="N3" s="780"/>
      <c r="O3" s="780"/>
    </row>
    <row r="4" spans="1:21" x14ac:dyDescent="0.25">
      <c r="G4" s="615"/>
      <c r="H4" s="615"/>
      <c r="I4" s="616">
        <v>0.1</v>
      </c>
      <c r="J4" s="614">
        <v>1</v>
      </c>
    </row>
    <row r="5" spans="1:21" s="22" customFormat="1" ht="39" x14ac:dyDescent="0.25">
      <c r="A5" s="604" t="s">
        <v>1124</v>
      </c>
      <c r="B5" s="604" t="s">
        <v>1125</v>
      </c>
      <c r="C5" s="604" t="s">
        <v>1126</v>
      </c>
      <c r="D5" s="604" t="s">
        <v>1127</v>
      </c>
      <c r="E5" s="604" t="s">
        <v>1128</v>
      </c>
      <c r="F5" s="604" t="s">
        <v>1129</v>
      </c>
      <c r="G5" s="604" t="s">
        <v>1185</v>
      </c>
      <c r="H5" s="604" t="s">
        <v>1184</v>
      </c>
      <c r="I5" s="604" t="s">
        <v>1130</v>
      </c>
      <c r="J5" s="604" t="s">
        <v>1131</v>
      </c>
      <c r="K5" s="604" t="s">
        <v>1132</v>
      </c>
      <c r="L5" s="617" t="s">
        <v>1136</v>
      </c>
      <c r="M5" s="604" t="s">
        <v>1133</v>
      </c>
      <c r="N5" s="604" t="s">
        <v>1134</v>
      </c>
      <c r="O5" s="604" t="s">
        <v>1135</v>
      </c>
      <c r="T5" s="782" t="s">
        <v>1144</v>
      </c>
      <c r="U5" s="782"/>
    </row>
    <row r="6" spans="1:21" ht="36" customHeight="1" x14ac:dyDescent="0.25">
      <c r="A6" s="594" t="s">
        <v>1137</v>
      </c>
      <c r="B6" s="594" t="s">
        <v>1138</v>
      </c>
      <c r="C6" s="591">
        <v>782</v>
      </c>
      <c r="D6" s="591">
        <v>1800</v>
      </c>
      <c r="E6" s="592">
        <f>D6-C6</f>
        <v>1018</v>
      </c>
      <c r="F6" s="592">
        <f>E6*12</f>
        <v>12216</v>
      </c>
      <c r="G6" s="592">
        <f>+M16</f>
        <v>81440</v>
      </c>
      <c r="H6" s="592">
        <f>C16</f>
        <v>70000</v>
      </c>
      <c r="I6" s="592">
        <f>IF($J$4=2,H6,G6)*(1-$I$4)</f>
        <v>73296</v>
      </c>
      <c r="J6" s="591">
        <v>0</v>
      </c>
      <c r="K6" s="592">
        <f>IF($L6,MAX(0,I6-J6),0)</f>
        <v>73296</v>
      </c>
      <c r="L6" s="618" t="b">
        <v>1</v>
      </c>
      <c r="M6" s="589" t="s">
        <v>1139</v>
      </c>
      <c r="N6" s="589" t="s">
        <v>1139</v>
      </c>
      <c r="O6" s="589" t="s">
        <v>1139</v>
      </c>
      <c r="T6" s="595" t="s">
        <v>1145</v>
      </c>
      <c r="U6" s="596">
        <f>SUM(I6:I8)</f>
        <v>236592</v>
      </c>
    </row>
    <row r="7" spans="1:21" ht="36" customHeight="1" x14ac:dyDescent="0.25">
      <c r="A7" s="594" t="s">
        <v>1140</v>
      </c>
      <c r="B7" s="594" t="s">
        <v>1141</v>
      </c>
      <c r="C7" s="591">
        <v>782</v>
      </c>
      <c r="D7" s="591">
        <v>1950</v>
      </c>
      <c r="E7" s="592">
        <f>D7-C7</f>
        <v>1168</v>
      </c>
      <c r="F7" s="592">
        <f>E7*12</f>
        <v>14016</v>
      </c>
      <c r="G7" s="592">
        <f t="shared" ref="G7:G8" si="0">+M17</f>
        <v>93440</v>
      </c>
      <c r="H7" s="592">
        <f>C17</f>
        <v>104000</v>
      </c>
      <c r="I7" s="592">
        <f>IF($J$4=2,H7,G7)*(1-$I$4)</f>
        <v>84096</v>
      </c>
      <c r="J7" s="591">
        <v>0</v>
      </c>
      <c r="K7" s="592">
        <f>IF($L7,MAX(0,I7-J7),0)</f>
        <v>84096</v>
      </c>
      <c r="L7" s="618" t="b">
        <v>1</v>
      </c>
      <c r="M7" s="589" t="s">
        <v>1139</v>
      </c>
      <c r="N7" s="589" t="s">
        <v>1139</v>
      </c>
      <c r="O7" s="589" t="s">
        <v>1139</v>
      </c>
      <c r="T7" s="595" t="s">
        <v>1146</v>
      </c>
      <c r="U7" s="596">
        <f>SUM(J6:J8)</f>
        <v>0</v>
      </c>
    </row>
    <row r="8" spans="1:21" ht="36" customHeight="1" x14ac:dyDescent="0.25">
      <c r="A8" s="594" t="s">
        <v>1142</v>
      </c>
      <c r="B8" s="594" t="s">
        <v>1138</v>
      </c>
      <c r="C8" s="591">
        <v>500</v>
      </c>
      <c r="D8" s="591">
        <v>1600</v>
      </c>
      <c r="E8" s="592">
        <f>D8-C8</f>
        <v>1100</v>
      </c>
      <c r="F8" s="592">
        <f>E8*12</f>
        <v>13200</v>
      </c>
      <c r="G8" s="592">
        <f t="shared" si="0"/>
        <v>88000</v>
      </c>
      <c r="H8" s="592">
        <f>C18</f>
        <v>76500</v>
      </c>
      <c r="I8" s="592">
        <f>IF($J$4=2,H8,G8)*(1-$I$4)</f>
        <v>79200</v>
      </c>
      <c r="J8" s="591">
        <v>0</v>
      </c>
      <c r="K8" s="592">
        <f>IF($L8,MAX(0,I8-J8),0)</f>
        <v>79200</v>
      </c>
      <c r="L8" s="618" t="b">
        <v>1</v>
      </c>
      <c r="M8" s="589" t="s">
        <v>1139</v>
      </c>
      <c r="N8" s="589" t="s">
        <v>1139</v>
      </c>
      <c r="O8" s="589" t="s">
        <v>1139</v>
      </c>
      <c r="T8" s="595" t="s">
        <v>1147</v>
      </c>
      <c r="U8" s="596">
        <f>SUM(K6:K8)</f>
        <v>236592</v>
      </c>
    </row>
    <row r="9" spans="1:21" x14ac:dyDescent="0.25">
      <c r="A9" s="590" t="s">
        <v>1143</v>
      </c>
      <c r="B9" s="590"/>
      <c r="C9" s="593">
        <f t="shared" ref="C9:J9" si="1">SUM(C6:C8)</f>
        <v>2064</v>
      </c>
      <c r="D9" s="593">
        <f t="shared" si="1"/>
        <v>5350</v>
      </c>
      <c r="E9" s="593">
        <f t="shared" si="1"/>
        <v>3286</v>
      </c>
      <c r="F9" s="593">
        <f t="shared" si="1"/>
        <v>39432</v>
      </c>
      <c r="G9" s="593">
        <f>SUM(G6:G8)</f>
        <v>262880</v>
      </c>
      <c r="H9" s="593">
        <f>SUM(H6:H8)</f>
        <v>250500</v>
      </c>
      <c r="I9" s="593">
        <f>SUM(I6:I8)</f>
        <v>236592</v>
      </c>
      <c r="J9" s="593">
        <f t="shared" si="1"/>
        <v>0</v>
      </c>
      <c r="K9" s="593">
        <f>SUM(K6:K8)</f>
        <v>236592</v>
      </c>
      <c r="L9" s="590"/>
      <c r="M9" s="590"/>
      <c r="N9" s="590"/>
      <c r="O9" s="590"/>
      <c r="T9" s="595" t="s">
        <v>1148</v>
      </c>
      <c r="U9" s="596">
        <f>SUM(D6:D8)</f>
        <v>5350</v>
      </c>
    </row>
    <row r="10" spans="1:21" x14ac:dyDescent="0.25">
      <c r="T10" s="595" t="s">
        <v>1149</v>
      </c>
      <c r="U10" s="596">
        <f>SUM(C6:C8)</f>
        <v>2064</v>
      </c>
    </row>
    <row r="11" spans="1:21" x14ac:dyDescent="0.25">
      <c r="T11" s="595" t="s">
        <v>1150</v>
      </c>
      <c r="U11" s="596">
        <f>SUM(E6:E8)</f>
        <v>3286</v>
      </c>
    </row>
    <row r="12" spans="1:21" x14ac:dyDescent="0.25">
      <c r="T12" s="595" t="s">
        <v>1151</v>
      </c>
      <c r="U12" s="596">
        <f>SUM(F6:F8)</f>
        <v>39432</v>
      </c>
    </row>
    <row r="13" spans="1:21" x14ac:dyDescent="0.25">
      <c r="T13" s="595"/>
      <c r="U13" s="596"/>
    </row>
    <row r="14" spans="1:21" x14ac:dyDescent="0.25">
      <c r="T14" s="595" t="s">
        <v>1152</v>
      </c>
      <c r="U14" s="596">
        <f>U12/10%</f>
        <v>394320</v>
      </c>
    </row>
    <row r="15" spans="1:21" ht="38.25" x14ac:dyDescent="0.25">
      <c r="A15" s="605" t="s">
        <v>1171</v>
      </c>
      <c r="B15" s="605" t="s">
        <v>1125</v>
      </c>
      <c r="C15" s="605" t="s">
        <v>1172</v>
      </c>
      <c r="D15" s="605" t="s">
        <v>1173</v>
      </c>
      <c r="E15" s="605" t="s">
        <v>1174</v>
      </c>
      <c r="F15" s="605" t="s">
        <v>1128</v>
      </c>
      <c r="G15" s="605" t="s">
        <v>1129</v>
      </c>
      <c r="H15" s="605" t="s">
        <v>1175</v>
      </c>
      <c r="I15" s="605" t="s">
        <v>1176</v>
      </c>
      <c r="J15" s="605" t="s">
        <v>1177</v>
      </c>
      <c r="K15" s="605" t="s">
        <v>1178</v>
      </c>
      <c r="L15" s="605" t="s">
        <v>1179</v>
      </c>
      <c r="M15" s="605" t="s">
        <v>1180</v>
      </c>
      <c r="N15" s="605" t="s">
        <v>137</v>
      </c>
      <c r="T15" s="595" t="s">
        <v>1153</v>
      </c>
      <c r="U15" s="596">
        <f>U12/12%</f>
        <v>328600</v>
      </c>
    </row>
    <row r="16" spans="1:21" ht="25.5" x14ac:dyDescent="0.25">
      <c r="A16" s="606" t="s">
        <v>1137</v>
      </c>
      <c r="B16" s="606" t="s">
        <v>1138</v>
      </c>
      <c r="C16" s="607">
        <v>70000</v>
      </c>
      <c r="D16" s="607">
        <v>782</v>
      </c>
      <c r="E16" s="607">
        <v>1800</v>
      </c>
      <c r="F16" s="607">
        <f>IF(OR(D16="",E16=""),"",E16-D16)</f>
        <v>1018</v>
      </c>
      <c r="G16" s="607">
        <f>IF(F16="","",F16*12)</f>
        <v>12216</v>
      </c>
      <c r="H16" s="608">
        <f>IFERROR(D16/E16,"")</f>
        <v>0.43444444444444447</v>
      </c>
      <c r="I16" s="608">
        <f>IFERROR(F16/E16,"")</f>
        <v>0.56555555555555559</v>
      </c>
      <c r="J16" s="608">
        <f>IFERROR(G16/C16,"")</f>
        <v>0.17451428571428571</v>
      </c>
      <c r="K16" s="607">
        <f>IF(G16="","",G16/10%)</f>
        <v>122160</v>
      </c>
      <c r="L16" s="607">
        <f>IF(G16="","",G16/12%)</f>
        <v>101800</v>
      </c>
      <c r="M16" s="607">
        <f>IF(G16="","",G16/15%)</f>
        <v>81440</v>
      </c>
      <c r="N16" s="609" t="s">
        <v>1181</v>
      </c>
      <c r="T16" s="595" t="s">
        <v>1154</v>
      </c>
      <c r="U16" s="596">
        <f>U12/15%</f>
        <v>262880</v>
      </c>
    </row>
    <row r="17" spans="1:21" ht="25.5" x14ac:dyDescent="0.25">
      <c r="A17" s="606" t="s">
        <v>1140</v>
      </c>
      <c r="B17" s="606" t="s">
        <v>1141</v>
      </c>
      <c r="C17" s="607">
        <v>104000</v>
      </c>
      <c r="D17" s="607">
        <v>782</v>
      </c>
      <c r="E17" s="607">
        <v>1950</v>
      </c>
      <c r="F17" s="607">
        <f>IF(OR(D17="",E17=""),"",E17-D17)</f>
        <v>1168</v>
      </c>
      <c r="G17" s="607">
        <f>IF(F17="","",F17*12)</f>
        <v>14016</v>
      </c>
      <c r="H17" s="608">
        <f>IFERROR(D17/E17,"")</f>
        <v>0.40102564102564103</v>
      </c>
      <c r="I17" s="608">
        <f>IFERROR(F17/E17,"")</f>
        <v>0.59897435897435902</v>
      </c>
      <c r="J17" s="608">
        <f>IFERROR(G17/C17,"")</f>
        <v>0.13476923076923078</v>
      </c>
      <c r="K17" s="607">
        <f>IF(G17="","",G17/10%)</f>
        <v>140160</v>
      </c>
      <c r="L17" s="607">
        <f>IF(G17="","",G17/12%)</f>
        <v>116800</v>
      </c>
      <c r="M17" s="607">
        <f>IF(G17="","",G17/15%)</f>
        <v>93440</v>
      </c>
      <c r="N17" s="609" t="s">
        <v>1182</v>
      </c>
      <c r="T17" s="595"/>
      <c r="U17" s="597"/>
    </row>
    <row r="18" spans="1:21" ht="30" x14ac:dyDescent="0.25">
      <c r="A18" s="606" t="s">
        <v>1142</v>
      </c>
      <c r="B18" s="606" t="s">
        <v>1138</v>
      </c>
      <c r="C18" s="607">
        <v>76500</v>
      </c>
      <c r="D18" s="607">
        <v>500</v>
      </c>
      <c r="E18" s="607">
        <v>1600</v>
      </c>
      <c r="F18" s="607">
        <f>IF(OR(D18="",E18=""),"",E18-D18)</f>
        <v>1100</v>
      </c>
      <c r="G18" s="607">
        <f>IF(F18="","",F18*12)</f>
        <v>13200</v>
      </c>
      <c r="H18" s="608">
        <f>IFERROR(D18/E18,"")</f>
        <v>0.3125</v>
      </c>
      <c r="I18" s="608">
        <f>IFERROR(F18/E18,"")</f>
        <v>0.6875</v>
      </c>
      <c r="J18" s="608">
        <f>IFERROR(G18/C18,"")</f>
        <v>0.17254901960784313</v>
      </c>
      <c r="K18" s="607">
        <f>IF(G18="","",G18/10%)</f>
        <v>132000</v>
      </c>
      <c r="L18" s="607">
        <f>IF(G18="","",G18/12%)</f>
        <v>110000</v>
      </c>
      <c r="M18" s="607">
        <f>IF(G18="","",G18/15%)</f>
        <v>88000</v>
      </c>
      <c r="N18" s="609" t="s">
        <v>1183</v>
      </c>
      <c r="T18" s="598" t="s">
        <v>1155</v>
      </c>
      <c r="U18" s="599" t="str">
        <f>_xlfn.TEXTJOIN("; ",TRUE,IF($L$6,$A$6&amp;" - "&amp;$B$6,""),IF($L$7,$A$7&amp;" - "&amp;$B$7,""),IF($L$8,$A$8&amp;" - "&amp;$B$8,""))</f>
        <v>5009 Sunnyfield Dr - Single wide; 5021 Sunnyfield Dr - Double wide; 5512 Desert Willow Ln - Single wide</v>
      </c>
    </row>
    <row r="19" spans="1:21" ht="60" x14ac:dyDescent="0.25">
      <c r="A19" s="610" t="s">
        <v>271</v>
      </c>
      <c r="B19" s="610"/>
      <c r="C19" s="611">
        <f>SUM(C16:C18)</f>
        <v>250500</v>
      </c>
      <c r="D19" s="611">
        <f>SUM(D16:D18)</f>
        <v>2064</v>
      </c>
      <c r="E19" s="611">
        <f>SUM(E16:E18)</f>
        <v>5350</v>
      </c>
      <c r="F19" s="611">
        <f>SUM(F16:F18)</f>
        <v>3286</v>
      </c>
      <c r="G19" s="611">
        <f>SUM(G16:G18)</f>
        <v>39432</v>
      </c>
      <c r="H19" s="612">
        <f>IFERROR(D19/E19,"")</f>
        <v>0.3857943925233645</v>
      </c>
      <c r="I19" s="612">
        <f>IFERROR(F19/E19,"")</f>
        <v>0.61420560747663555</v>
      </c>
      <c r="J19" s="612">
        <f>IFERROR(G19/C19,"")</f>
        <v>0.15741317365269461</v>
      </c>
      <c r="K19" s="611">
        <f>IF(G19="","",G19/10%)</f>
        <v>394320</v>
      </c>
      <c r="L19" s="611">
        <f>IF(G19="","",G19/12%)</f>
        <v>328600</v>
      </c>
      <c r="M19" s="611">
        <f>IF(G19="","",G19/15%)</f>
        <v>262880</v>
      </c>
      <c r="N19" s="613"/>
      <c r="T19" s="598" t="s">
        <v>1156</v>
      </c>
      <c r="U19" s="599" t="s">
        <v>1157</v>
      </c>
    </row>
    <row r="20" spans="1:21" ht="48" customHeight="1" x14ac:dyDescent="0.25">
      <c r="T20" s="598"/>
      <c r="U20" s="599"/>
    </row>
    <row r="21" spans="1:21" ht="48" customHeight="1" x14ac:dyDescent="0.25">
      <c r="T21" s="598" t="s">
        <v>1158</v>
      </c>
      <c r="U21" s="600" t="s">
        <v>1159</v>
      </c>
    </row>
    <row r="22" spans="1:21" ht="48" customHeight="1" x14ac:dyDescent="0.25">
      <c r="T22" s="598"/>
      <c r="U22" s="599"/>
    </row>
  </sheetData>
  <mergeCells count="3">
    <mergeCell ref="A1:O1"/>
    <mergeCell ref="A2:O3"/>
    <mergeCell ref="T5:U5"/>
  </mergeCells>
  <dataValidations count="3">
    <dataValidation type="list" allowBlank="1" showInputMessage="1" showErrorMessage="1" sqref="B6:B8" xr:uid="{1EE3D265-E665-473A-9693-1BDC8ADB1F28}">
      <formula1>"Single wide,Double wide"</formula1>
    </dataValidation>
    <dataValidation type="list" allowBlank="1" showInputMessage="1" showErrorMessage="1" sqref="M6:O8" xr:uid="{4DD39BCA-D073-46D4-AEA9-CC0041E7CAE3}">
      <formula1>"Needs review,Pending,Received,Accepted,Rejected,N/A"</formula1>
    </dataValidation>
    <dataValidation type="decimal" allowBlank="1" showInputMessage="1" showErrorMessage="1" promptTitle="Discount" prompt="Enter a discount percentage from 0% to 100%." sqref="I4" xr:uid="{A1C09EC7-9D1B-446A-8851-5AF2C130A697}">
      <formula1>0</formula1>
      <formula2>1</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2" r:id="rId3" name="optCapBasedValue">
              <controlPr defaultSize="0" autoFill="0" autoLine="0" autoPict="0">
                <anchor moveWithCells="1">
                  <from>
                    <xdr:col>6</xdr:col>
                    <xdr:colOff>28575</xdr:colOff>
                    <xdr:row>3</xdr:row>
                    <xdr:rowOff>28575</xdr:rowOff>
                  </from>
                  <to>
                    <xdr:col>7</xdr:col>
                    <xdr:colOff>304800</xdr:colOff>
                    <xdr:row>4</xdr:row>
                    <xdr:rowOff>47625</xdr:rowOff>
                  </to>
                </anchor>
              </controlPr>
            </control>
          </mc:Choice>
        </mc:AlternateContent>
        <mc:AlternateContent xmlns:mc="http://schemas.openxmlformats.org/markup-compatibility/2006">
          <mc:Choice Requires="x14">
            <control shapeId="66563" r:id="rId4" name="optCMABasedValue">
              <controlPr defaultSize="0" autoFill="0" autoLine="0" autoPict="0">
                <anchor moveWithCells="1">
                  <from>
                    <xdr:col>7</xdr:col>
                    <xdr:colOff>19050</xdr:colOff>
                    <xdr:row>3</xdr:row>
                    <xdr:rowOff>28575</xdr:rowOff>
                  </from>
                  <to>
                    <xdr:col>8</xdr:col>
                    <xdr:colOff>295275</xdr:colOff>
                    <xdr:row>4</xdr:row>
                    <xdr:rowOff>47625</xdr:rowOff>
                  </to>
                </anchor>
              </controlPr>
            </control>
          </mc:Choice>
        </mc:AlternateContent>
        <mc:AlternateContent xmlns:mc="http://schemas.openxmlformats.org/markup-compatibility/2006">
          <mc:Choice Requires="x14">
            <control shapeId="66567" r:id="rId5" name="chkIncludeContract6">
              <controlPr defaultSize="0" autoFill="0" autoLine="0" autoPict="0">
                <anchor moveWithCells="1">
                  <from>
                    <xdr:col>11</xdr:col>
                    <xdr:colOff>47625</xdr:colOff>
                    <xdr:row>5</xdr:row>
                    <xdr:rowOff>28575</xdr:rowOff>
                  </from>
                  <to>
                    <xdr:col>12</xdr:col>
                    <xdr:colOff>533400</xdr:colOff>
                    <xdr:row>5</xdr:row>
                    <xdr:rowOff>409575</xdr:rowOff>
                  </to>
                </anchor>
              </controlPr>
            </control>
          </mc:Choice>
        </mc:AlternateContent>
        <mc:AlternateContent xmlns:mc="http://schemas.openxmlformats.org/markup-compatibility/2006">
          <mc:Choice Requires="x14">
            <control shapeId="66568" r:id="rId6" name="chkIncludeContract7">
              <controlPr defaultSize="0" autoFill="0" autoLine="0" autoPict="0">
                <anchor moveWithCells="1">
                  <from>
                    <xdr:col>11</xdr:col>
                    <xdr:colOff>47625</xdr:colOff>
                    <xdr:row>6</xdr:row>
                    <xdr:rowOff>28575</xdr:rowOff>
                  </from>
                  <to>
                    <xdr:col>12</xdr:col>
                    <xdr:colOff>533400</xdr:colOff>
                    <xdr:row>6</xdr:row>
                    <xdr:rowOff>409575</xdr:rowOff>
                  </to>
                </anchor>
              </controlPr>
            </control>
          </mc:Choice>
        </mc:AlternateContent>
        <mc:AlternateContent xmlns:mc="http://schemas.openxmlformats.org/markup-compatibility/2006">
          <mc:Choice Requires="x14">
            <control shapeId="66569" r:id="rId7" name="chkIncludeContract8">
              <controlPr defaultSize="0" autoFill="0" autoLine="0" autoPict="0">
                <anchor moveWithCells="1">
                  <from>
                    <xdr:col>11</xdr:col>
                    <xdr:colOff>47625</xdr:colOff>
                    <xdr:row>7</xdr:row>
                    <xdr:rowOff>28575</xdr:rowOff>
                  </from>
                  <to>
                    <xdr:col>12</xdr:col>
                    <xdr:colOff>533400</xdr:colOff>
                    <xdr:row>7</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F7" sqref="F7"/>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789" t="s">
        <v>82</v>
      </c>
      <c r="D1" s="790"/>
      <c r="E1" s="772"/>
      <c r="I1" s="783"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791" t="s">
        <v>83</v>
      </c>
      <c r="K1" s="783" t="str">
        <f>+I1&amp;IF(N14="X",O14,"")&amp;"
"&amp; IF(H15="X",I15,"") &amp;"
"&amp; IF(H16="X",I16,"") &amp;"
"&amp; IF(H20="X",I20,"") &amp;"
"&amp; IF(H26="X",I26,"") &amp;"
"&amp; IF(H33="X",I33,"") &amp; "
"&amp; IF(H42="X",I42,"") &amp; "
"&amp; IF(H52="X",I52,"") &amp; "
"&amp; IF(H61="X",I61,"") &amp; "
"&amp; IF(H74="X",I74,"") &amp; "
"&amp; IF(H81="X",I81,"") &amp; "
"&amp; IF(H82="X",I82,"") &amp; "
"&amp; ""</f>
        <v xml:space="preserve">Hi Laurence A. and April D.,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772"/>
      <c r="J2" s="791"/>
      <c r="K2" s="783"/>
    </row>
    <row r="3" spans="1:11" ht="16.5" customHeight="1" x14ac:dyDescent="0.25">
      <c r="A3" t="s">
        <v>84</v>
      </c>
      <c r="B3" s="238" t="s">
        <v>733</v>
      </c>
      <c r="C3" s="237" t="s">
        <v>725</v>
      </c>
      <c r="D3" s="22"/>
      <c r="I3" s="772"/>
      <c r="J3" s="231"/>
      <c r="K3" s="783"/>
    </row>
    <row r="4" spans="1:11" x14ac:dyDescent="0.25">
      <c r="A4" t="s">
        <v>85</v>
      </c>
      <c r="B4" s="236" t="s">
        <v>734</v>
      </c>
      <c r="C4" s="239" t="s">
        <v>725</v>
      </c>
      <c r="D4" s="22"/>
      <c r="I4" s="772"/>
      <c r="K4" s="783"/>
    </row>
    <row r="5" spans="1:11" ht="16.5" x14ac:dyDescent="0.3">
      <c r="A5" t="s">
        <v>86</v>
      </c>
      <c r="B5" s="226"/>
      <c r="C5" s="227"/>
      <c r="D5" s="22"/>
      <c r="I5" s="772"/>
      <c r="K5" s="783"/>
    </row>
    <row r="6" spans="1:11" ht="15" customHeight="1" thickBot="1" x14ac:dyDescent="0.3">
      <c r="A6" t="s">
        <v>87</v>
      </c>
      <c r="B6" s="228"/>
      <c r="C6" s="229"/>
      <c r="D6" s="22"/>
      <c r="I6" s="772"/>
      <c r="K6" s="783"/>
    </row>
    <row r="7" spans="1:11" x14ac:dyDescent="0.25">
      <c r="I7" s="772"/>
      <c r="K7" s="783"/>
    </row>
    <row r="8" spans="1:11" x14ac:dyDescent="0.25">
      <c r="I8" s="772"/>
      <c r="K8" s="783"/>
    </row>
    <row r="9" spans="1:11" x14ac:dyDescent="0.25">
      <c r="A9" s="15" t="s">
        <v>88</v>
      </c>
      <c r="B9" s="15" t="s">
        <v>89</v>
      </c>
      <c r="C9" s="15"/>
      <c r="I9" s="772"/>
      <c r="K9" s="783"/>
    </row>
    <row r="10" spans="1:11" x14ac:dyDescent="0.25">
      <c r="B10" s="792" t="s">
        <v>90</v>
      </c>
      <c r="C10" s="793"/>
      <c r="D10" s="793"/>
      <c r="E10" s="793"/>
      <c r="F10" s="793"/>
      <c r="G10" s="793"/>
      <c r="I10" s="772"/>
      <c r="K10" s="783"/>
    </row>
    <row r="11" spans="1:11" x14ac:dyDescent="0.25">
      <c r="B11" s="772"/>
      <c r="C11" s="772"/>
      <c r="D11" s="772"/>
      <c r="E11" s="772"/>
      <c r="F11" s="772"/>
      <c r="G11" s="772"/>
      <c r="I11" s="772"/>
      <c r="K11" s="783"/>
    </row>
    <row r="12" spans="1:11" x14ac:dyDescent="0.25">
      <c r="F12" s="784" t="s">
        <v>91</v>
      </c>
      <c r="I12" s="772"/>
      <c r="K12" s="783"/>
    </row>
    <row r="13" spans="1:11" ht="15.75" thickBot="1" x14ac:dyDescent="0.3">
      <c r="B13" s="31" t="s">
        <v>92</v>
      </c>
      <c r="C13" s="224" t="s">
        <v>93</v>
      </c>
      <c r="D13" s="31" t="s">
        <v>94</v>
      </c>
      <c r="E13" s="31"/>
      <c r="F13" s="742"/>
      <c r="G13" s="31" t="s">
        <v>95</v>
      </c>
      <c r="I13" s="772"/>
      <c r="K13" s="783"/>
    </row>
    <row r="14" spans="1:11" ht="16.5" thickTop="1" thickBot="1" x14ac:dyDescent="0.3">
      <c r="B14" s="235">
        <f>+D14+F14</f>
        <v>129791.26</v>
      </c>
      <c r="C14" s="1">
        <f>+Profit!B4</f>
        <v>276800</v>
      </c>
      <c r="D14" s="1">
        <f>+Profit!K47-Profit!C20</f>
        <v>125291.26</v>
      </c>
      <c r="F14" s="234">
        <f>+B24-(B24*F16)</f>
        <v>4500</v>
      </c>
      <c r="G14" s="200">
        <f>+C14-D14-F14+Profit!D54+Profit!C20</f>
        <v>-18317.142402100028</v>
      </c>
      <c r="I14" s="772"/>
      <c r="K14" s="783"/>
    </row>
    <row r="15" spans="1:11" ht="16.5" thickTop="1" thickBot="1" x14ac:dyDescent="0.3">
      <c r="C15" s="195"/>
      <c r="D15" s="196" t="s">
        <v>96</v>
      </c>
      <c r="E15" s="197">
        <f>+Profit!$K$49</f>
        <v>-30966.117597900007</v>
      </c>
      <c r="H15" s="225"/>
      <c r="K15" s="783"/>
    </row>
    <row r="16" spans="1:11" ht="16.5" thickTop="1" thickBot="1" x14ac:dyDescent="0.3">
      <c r="C16" s="195"/>
      <c r="D16" s="198" t="s">
        <v>97</v>
      </c>
      <c r="E16" s="199">
        <f>+G14/E15</f>
        <v>0.59152208358668179</v>
      </c>
      <c r="F16" s="233">
        <v>0.1</v>
      </c>
      <c r="H16" s="225" t="s">
        <v>98</v>
      </c>
      <c r="I16" s="783"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783"/>
    </row>
    <row r="17" spans="1:13" ht="15.75" thickTop="1" x14ac:dyDescent="0.25">
      <c r="C17" s="195"/>
      <c r="D17" s="198" t="s">
        <v>99</v>
      </c>
      <c r="E17" s="199">
        <f>+G14/(F14+G14)</f>
        <v>1.3256823928597607</v>
      </c>
      <c r="F17" t="s">
        <v>100</v>
      </c>
      <c r="I17" s="783"/>
      <c r="K17" s="783"/>
    </row>
    <row r="18" spans="1:13" x14ac:dyDescent="0.25">
      <c r="I18" s="783"/>
      <c r="K18" s="783"/>
    </row>
    <row r="19" spans="1:13" ht="15.75" thickBot="1" x14ac:dyDescent="0.3">
      <c r="A19" s="15" t="s">
        <v>101</v>
      </c>
      <c r="B19" s="15" t="s">
        <v>102</v>
      </c>
      <c r="D19" s="15" t="s">
        <v>103</v>
      </c>
      <c r="H19">
        <f>IF(H20="X",1,0)</f>
        <v>0</v>
      </c>
      <c r="K19" s="783"/>
    </row>
    <row r="20" spans="1:13" ht="15" customHeight="1" thickTop="1" thickBot="1" x14ac:dyDescent="0.3">
      <c r="B20" t="s">
        <v>104</v>
      </c>
      <c r="H20" s="225"/>
      <c r="I20" s="783"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$129,791.26
                                Total Value:                     $4,500.00</v>
      </c>
      <c r="K20" s="783"/>
    </row>
    <row r="21" spans="1:13" ht="15.75" thickTop="1" x14ac:dyDescent="0.25">
      <c r="B21" t="s">
        <v>105</v>
      </c>
      <c r="I21" s="783"/>
      <c r="J21" s="222"/>
      <c r="K21" s="783"/>
      <c r="L21" s="221"/>
      <c r="M21" s="221"/>
    </row>
    <row r="22" spans="1:13" ht="30" x14ac:dyDescent="0.25">
      <c r="F22" s="61" t="s">
        <v>106</v>
      </c>
      <c r="I22" s="783"/>
      <c r="J22" s="221"/>
      <c r="K22" s="783"/>
      <c r="L22" s="221"/>
      <c r="M22" s="221"/>
    </row>
    <row r="23" spans="1:13" ht="15.75" thickBot="1" x14ac:dyDescent="0.3">
      <c r="B23" s="31" t="s">
        <v>107</v>
      </c>
      <c r="C23" s="785"/>
      <c r="D23" s="786"/>
      <c r="E23" s="786"/>
      <c r="F23" s="786"/>
      <c r="G23" s="31" t="s">
        <v>95</v>
      </c>
      <c r="I23" s="803"/>
      <c r="J23" s="221"/>
      <c r="K23" s="783"/>
      <c r="L23" s="221"/>
      <c r="M23" s="221"/>
    </row>
    <row r="24" spans="1:13" ht="16.5" thickTop="1" thickBot="1" x14ac:dyDescent="0.3">
      <c r="B24" s="232">
        <f>+SUM(Profit!C19:'Profit'!C20)</f>
        <v>5000</v>
      </c>
      <c r="C24" s="787" t="s">
        <v>108</v>
      </c>
      <c r="D24" s="788"/>
      <c r="E24" s="788"/>
      <c r="F24" s="10">
        <f>+B24</f>
        <v>5000</v>
      </c>
      <c r="G24" s="200">
        <f>+Profit!K62</f>
        <v>141925.19049919883</v>
      </c>
      <c r="I24" s="772"/>
      <c r="K24" s="783"/>
    </row>
    <row r="25" spans="1:13" ht="15.4" customHeight="1" thickTop="1" thickBot="1" x14ac:dyDescent="0.3">
      <c r="C25" s="195"/>
      <c r="D25" s="196" t="s">
        <v>96</v>
      </c>
      <c r="E25" s="197">
        <f>+Profit!$K$49</f>
        <v>-30966.117597900007</v>
      </c>
      <c r="H25">
        <f>IF(H26="X",1+H19,H19)</f>
        <v>1</v>
      </c>
      <c r="K25" s="783"/>
    </row>
    <row r="26" spans="1:13" ht="15" customHeight="1" thickTop="1" thickBot="1" x14ac:dyDescent="0.3">
      <c r="C26" s="195"/>
      <c r="D26" s="198" t="s">
        <v>97</v>
      </c>
      <c r="E26" s="199">
        <f>+G24/E25</f>
        <v>-4.5832413459807952</v>
      </c>
      <c r="H26" s="225" t="s">
        <v>109</v>
      </c>
      <c r="I26" s="783"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783"/>
    </row>
    <row r="27" spans="1:13" ht="15" customHeight="1" thickTop="1" x14ac:dyDescent="0.25">
      <c r="C27" s="195"/>
      <c r="D27" s="198" t="s">
        <v>99</v>
      </c>
      <c r="E27" s="199">
        <f>+G24/(F24+G24)</f>
        <v>0.96596907594258141</v>
      </c>
      <c r="I27" s="783"/>
      <c r="K27" s="783"/>
    </row>
    <row r="28" spans="1:13" ht="15" customHeight="1" x14ac:dyDescent="0.25">
      <c r="I28" s="783"/>
      <c r="K28" s="783"/>
    </row>
    <row r="29" spans="1:13" x14ac:dyDescent="0.25">
      <c r="A29" s="15"/>
      <c r="B29" s="15"/>
      <c r="I29" s="803"/>
      <c r="K29" s="783"/>
    </row>
    <row r="30" spans="1:13" x14ac:dyDescent="0.25">
      <c r="A30" s="15" t="s">
        <v>110</v>
      </c>
      <c r="B30" s="15" t="s">
        <v>111</v>
      </c>
      <c r="D30" t="s">
        <v>112</v>
      </c>
      <c r="I30" s="772"/>
      <c r="K30" s="783"/>
    </row>
    <row r="31" spans="1:13" ht="25.5" x14ac:dyDescent="0.25">
      <c r="B31" t="s">
        <v>104</v>
      </c>
      <c r="I31" s="22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783"/>
    </row>
    <row r="32" spans="1:13" ht="15.75" thickBot="1" x14ac:dyDescent="0.3">
      <c r="B32" t="s">
        <v>105</v>
      </c>
      <c r="H32">
        <f>IF(H33="X",H25+1,H25)</f>
        <v>2</v>
      </c>
      <c r="K32" s="783"/>
    </row>
    <row r="33" spans="1:13" ht="15" customHeight="1" thickTop="1" thickBot="1" x14ac:dyDescent="0.3">
      <c r="H33" s="225" t="s">
        <v>109</v>
      </c>
      <c r="I33" s="783"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783"/>
    </row>
    <row r="34" spans="1:13" ht="16.5" thickTop="1" thickBot="1" x14ac:dyDescent="0.3">
      <c r="C34" s="2" t="s">
        <v>113</v>
      </c>
      <c r="D34" s="3" t="s">
        <v>114</v>
      </c>
      <c r="F34" s="3" t="s">
        <v>115</v>
      </c>
      <c r="I34" s="783"/>
      <c r="K34" s="783"/>
    </row>
    <row r="35" spans="1:13" ht="16.5" thickTop="1" thickBot="1" x14ac:dyDescent="0.3">
      <c r="B35" s="230" t="s">
        <v>116</v>
      </c>
      <c r="C35" s="203">
        <v>10400</v>
      </c>
      <c r="D35" s="194">
        <v>60</v>
      </c>
      <c r="F35" s="784" t="s">
        <v>106</v>
      </c>
      <c r="I35" s="783"/>
      <c r="K35" s="783"/>
    </row>
    <row r="36" spans="1:13" ht="16.5" thickTop="1" thickBot="1" x14ac:dyDescent="0.3">
      <c r="B36" s="31" t="s">
        <v>117</v>
      </c>
      <c r="C36" s="31" t="s">
        <v>118</v>
      </c>
      <c r="D36" s="31" t="s">
        <v>119</v>
      </c>
      <c r="E36" s="31" t="s">
        <v>120</v>
      </c>
      <c r="F36" s="742"/>
      <c r="G36" s="31" t="s">
        <v>95</v>
      </c>
      <c r="I36" s="783"/>
      <c r="K36" s="783"/>
    </row>
    <row r="37" spans="1:13" ht="16.5" thickTop="1" thickBot="1" x14ac:dyDescent="0.3">
      <c r="B37" s="10">
        <f>+SUM(Profit!C19:'Profit'!C20)*B38</f>
        <v>1700.0000000000002</v>
      </c>
      <c r="C37" s="10">
        <f>+SUM(Profit!C19:'Profit'!C20)-B37+C35</f>
        <v>13700</v>
      </c>
      <c r="D37" s="10">
        <f>+C37*D35/12*E37</f>
        <v>2740</v>
      </c>
      <c r="E37" s="205">
        <v>0.04</v>
      </c>
      <c r="F37" s="10">
        <f>+SUM(B37:D37)</f>
        <v>18140</v>
      </c>
      <c r="G37" s="200">
        <f>+Profit!$K$62-D37-C35</f>
        <v>128785.19049919883</v>
      </c>
      <c r="I37" s="783"/>
      <c r="K37" s="783"/>
    </row>
    <row r="38" spans="1:13" ht="16.5" thickTop="1" thickBot="1" x14ac:dyDescent="0.3">
      <c r="B38" s="205">
        <v>0.34</v>
      </c>
      <c r="C38" s="220">
        <f>1-B38</f>
        <v>0.65999999999999992</v>
      </c>
      <c r="D38" s="10"/>
      <c r="E38" s="36"/>
      <c r="F38" s="10"/>
      <c r="G38" s="10"/>
      <c r="I38" s="783"/>
      <c r="K38" s="783"/>
    </row>
    <row r="39" spans="1:13" ht="15.4" customHeight="1" thickTop="1" x14ac:dyDescent="0.25">
      <c r="B39" s="10"/>
      <c r="C39" s="200"/>
      <c r="D39" s="196" t="s">
        <v>96</v>
      </c>
      <c r="E39" s="197">
        <f>+Profit!$K$49-C37+C35</f>
        <v>-34266.117597900011</v>
      </c>
      <c r="F39" s="10"/>
      <c r="G39" s="10"/>
      <c r="I39" s="783"/>
      <c r="K39" s="783"/>
    </row>
    <row r="40" spans="1:13" x14ac:dyDescent="0.25">
      <c r="C40" s="195"/>
      <c r="D40" s="198" t="s">
        <v>97</v>
      </c>
      <c r="E40" s="199">
        <f>+G37/E39</f>
        <v>-3.7583829020388171</v>
      </c>
      <c r="I40" s="783"/>
      <c r="K40" s="783"/>
    </row>
    <row r="41" spans="1:13" ht="15" customHeight="1" thickBot="1" x14ac:dyDescent="0.3">
      <c r="C41" s="195"/>
      <c r="D41" s="198" t="s">
        <v>99</v>
      </c>
      <c r="E41" s="199">
        <f>+G37/(F37+G37)</f>
        <v>0.87653580751968518</v>
      </c>
      <c r="H41">
        <f>IF(H42="X",H32+1,H32)</f>
        <v>2</v>
      </c>
      <c r="K41" s="783"/>
    </row>
    <row r="42" spans="1:13" ht="16.5" thickTop="1" thickBot="1" x14ac:dyDescent="0.3">
      <c r="A42" s="15" t="s">
        <v>121</v>
      </c>
      <c r="B42" s="15" t="s">
        <v>122</v>
      </c>
      <c r="H42" s="225"/>
      <c r="I42" s="783"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"&amp;Profit!$K$7*100&amp;"%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$113,286.03   *    Expected 3% appreciation per year
                          Expected Value:                    $123,286.03    ** After 60 months.</v>
      </c>
      <c r="K42" s="783"/>
    </row>
    <row r="43" spans="1:13" ht="15.75" thickTop="1" x14ac:dyDescent="0.25">
      <c r="B43" t="s">
        <v>104</v>
      </c>
      <c r="I43" s="783"/>
      <c r="K43" s="772"/>
      <c r="M43" s="207"/>
    </row>
    <row r="44" spans="1:13" x14ac:dyDescent="0.25">
      <c r="B44" t="s">
        <v>105</v>
      </c>
      <c r="I44" s="783"/>
      <c r="K44" s="772"/>
    </row>
    <row r="45" spans="1:13" ht="15" customHeight="1" x14ac:dyDescent="0.25">
      <c r="B45" t="s">
        <v>123</v>
      </c>
      <c r="I45" s="783"/>
      <c r="K45" s="772"/>
    </row>
    <row r="46" spans="1:13" x14ac:dyDescent="0.25">
      <c r="B46" t="s">
        <v>124</v>
      </c>
      <c r="I46" s="783"/>
      <c r="K46" s="772"/>
    </row>
    <row r="47" spans="1:13" x14ac:dyDescent="0.25">
      <c r="F47" s="3" t="s">
        <v>125</v>
      </c>
      <c r="I47" s="783"/>
      <c r="K47" s="772"/>
    </row>
    <row r="48" spans="1:13" x14ac:dyDescent="0.25">
      <c r="C48" s="784" t="s">
        <v>126</v>
      </c>
      <c r="D48" s="784" t="s">
        <v>127</v>
      </c>
      <c r="E48" s="784" t="s">
        <v>128</v>
      </c>
      <c r="F48" s="784" t="s">
        <v>106</v>
      </c>
      <c r="I48" s="783"/>
      <c r="K48" s="772"/>
    </row>
    <row r="49" spans="1:11" ht="15.75" thickBot="1" x14ac:dyDescent="0.3">
      <c r="B49" s="3" t="s">
        <v>117</v>
      </c>
      <c r="C49" s="742" t="s">
        <v>126</v>
      </c>
      <c r="D49" s="742" t="s">
        <v>127</v>
      </c>
      <c r="E49" s="742" t="s">
        <v>129</v>
      </c>
      <c r="F49" s="742"/>
      <c r="G49" s="31" t="s">
        <v>95</v>
      </c>
      <c r="I49" s="783"/>
      <c r="K49" s="772"/>
    </row>
    <row r="50" spans="1:11" ht="16.5" thickTop="1" thickBot="1" x14ac:dyDescent="0.3">
      <c r="B50" s="203">
        <v>10000</v>
      </c>
      <c r="C50" s="8">
        <f>+Profit!$K$62+Profit!C20-B50+(Profit!K7*Profit!C50/12*Profit!B4)</f>
        <v>161837.19049919883</v>
      </c>
      <c r="D50" s="193">
        <v>0.7</v>
      </c>
      <c r="E50" s="10">
        <f>+D50*C50</f>
        <v>113286.03334943917</v>
      </c>
      <c r="F50" s="10">
        <f>+B50+E50</f>
        <v>123286.03334943917</v>
      </c>
      <c r="G50" s="200">
        <f>(1-D50)*C50</f>
        <v>48551.157149759652</v>
      </c>
      <c r="I50" s="783"/>
      <c r="K50" s="772"/>
    </row>
    <row r="51" spans="1:11" ht="15.75" thickTop="1" x14ac:dyDescent="0.25">
      <c r="D51" s="15" t="s">
        <v>130</v>
      </c>
      <c r="I51" s="223"/>
      <c r="K51" s="772"/>
    </row>
    <row r="52" spans="1:11" x14ac:dyDescent="0.25">
      <c r="C52" s="195"/>
      <c r="D52" s="196" t="s">
        <v>96</v>
      </c>
      <c r="E52" s="197">
        <f>+Profit!$K$49-B24+B50</f>
        <v>-25966.117597900011</v>
      </c>
      <c r="H52" t="s">
        <v>98</v>
      </c>
      <c r="I52" s="783"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Laurence A.,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772"/>
    </row>
    <row r="53" spans="1:11" ht="15" customHeight="1" x14ac:dyDescent="0.25">
      <c r="C53" s="195"/>
      <c r="D53" s="198" t="s">
        <v>97</v>
      </c>
      <c r="E53" s="199">
        <f>+G50/E52</f>
        <v>-1.8697888495154236</v>
      </c>
      <c r="I53" s="772"/>
      <c r="K53" s="772"/>
    </row>
    <row r="54" spans="1:11" x14ac:dyDescent="0.25">
      <c r="C54" s="195"/>
      <c r="D54" s="198" t="s">
        <v>99</v>
      </c>
      <c r="E54" s="199">
        <f>+G50/(F50+G50)</f>
        <v>0.28254161400518252</v>
      </c>
      <c r="I54" s="772"/>
      <c r="K54" s="772"/>
    </row>
    <row r="55" spans="1:11" ht="15" customHeight="1" x14ac:dyDescent="0.25">
      <c r="I55" s="772"/>
      <c r="K55" s="772"/>
    </row>
    <row r="56" spans="1:11" ht="15.75" thickBot="1" x14ac:dyDescent="0.3">
      <c r="B56" s="15" t="s">
        <v>131</v>
      </c>
      <c r="D56" t="s">
        <v>132</v>
      </c>
      <c r="I56" s="772"/>
      <c r="K56" s="772"/>
    </row>
    <row r="57" spans="1:11" x14ac:dyDescent="0.25">
      <c r="A57" s="794"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795"/>
      <c r="C57" s="795"/>
      <c r="D57" s="795"/>
      <c r="E57" s="795"/>
      <c r="F57" s="795"/>
      <c r="G57" s="796"/>
      <c r="I57" s="772"/>
      <c r="K57" s="772"/>
    </row>
    <row r="58" spans="1:11" x14ac:dyDescent="0.25">
      <c r="A58" s="797"/>
      <c r="B58" s="798"/>
      <c r="C58" s="798"/>
      <c r="D58" s="798"/>
      <c r="E58" s="798"/>
      <c r="F58" s="798"/>
      <c r="G58" s="799"/>
      <c r="I58" s="772"/>
      <c r="K58" s="772"/>
    </row>
    <row r="59" spans="1:11" x14ac:dyDescent="0.25">
      <c r="A59" s="797"/>
      <c r="B59" s="798"/>
      <c r="C59" s="798"/>
      <c r="D59" s="798"/>
      <c r="E59" s="798"/>
      <c r="F59" s="798"/>
      <c r="G59" s="799"/>
      <c r="K59" s="772"/>
    </row>
    <row r="60" spans="1:11" x14ac:dyDescent="0.25">
      <c r="A60" s="797"/>
      <c r="B60" s="798"/>
      <c r="C60" s="798"/>
      <c r="D60" s="798"/>
      <c r="E60" s="798"/>
      <c r="F60" s="798"/>
      <c r="G60" s="799"/>
      <c r="K60" s="772"/>
    </row>
    <row r="61" spans="1:11" x14ac:dyDescent="0.25">
      <c r="A61" s="797"/>
      <c r="B61" s="798"/>
      <c r="C61" s="798"/>
      <c r="D61" s="798"/>
      <c r="E61" s="798"/>
      <c r="F61" s="798"/>
      <c r="G61" s="799"/>
      <c r="H61" t="s">
        <v>98</v>
      </c>
      <c r="I61" s="783" t="str">
        <f>A57</f>
        <v xml:space="preserve">This offer is based on Zillow's Zestimate of $276,800.00.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772"/>
    </row>
    <row r="62" spans="1:11" x14ac:dyDescent="0.25">
      <c r="A62" s="797"/>
      <c r="B62" s="798"/>
      <c r="C62" s="798"/>
      <c r="D62" s="798"/>
      <c r="E62" s="798"/>
      <c r="F62" s="798"/>
      <c r="G62" s="799"/>
      <c r="I62" s="772"/>
      <c r="K62" s="772"/>
    </row>
    <row r="63" spans="1:11" x14ac:dyDescent="0.25">
      <c r="A63" s="797"/>
      <c r="B63" s="798"/>
      <c r="C63" s="798"/>
      <c r="D63" s="798"/>
      <c r="E63" s="798"/>
      <c r="F63" s="798"/>
      <c r="G63" s="799"/>
      <c r="I63" s="772"/>
      <c r="K63" s="772"/>
    </row>
    <row r="64" spans="1:11" x14ac:dyDescent="0.25">
      <c r="A64" s="797"/>
      <c r="B64" s="798"/>
      <c r="C64" s="798"/>
      <c r="D64" s="798"/>
      <c r="E64" s="798"/>
      <c r="F64" s="798"/>
      <c r="G64" s="799"/>
      <c r="I64" s="772"/>
      <c r="K64" s="772"/>
    </row>
    <row r="65" spans="1:11" x14ac:dyDescent="0.25">
      <c r="A65" s="797"/>
      <c r="B65" s="798"/>
      <c r="C65" s="798"/>
      <c r="D65" s="798"/>
      <c r="E65" s="798"/>
      <c r="F65" s="798"/>
      <c r="G65" s="799"/>
      <c r="I65" s="772"/>
      <c r="K65" s="772"/>
    </row>
    <row r="66" spans="1:11" x14ac:dyDescent="0.25">
      <c r="A66" s="797"/>
      <c r="B66" s="798"/>
      <c r="C66" s="798"/>
      <c r="D66" s="798"/>
      <c r="E66" s="798"/>
      <c r="F66" s="798"/>
      <c r="G66" s="799"/>
      <c r="I66" s="772"/>
      <c r="K66" s="772"/>
    </row>
    <row r="67" spans="1:11" x14ac:dyDescent="0.25">
      <c r="A67" s="797"/>
      <c r="B67" s="798"/>
      <c r="C67" s="798"/>
      <c r="D67" s="798"/>
      <c r="E67" s="798"/>
      <c r="F67" s="798"/>
      <c r="G67" s="799"/>
      <c r="I67" s="772"/>
      <c r="K67" s="772"/>
    </row>
    <row r="68" spans="1:11" x14ac:dyDescent="0.25">
      <c r="A68" s="797"/>
      <c r="B68" s="798"/>
      <c r="C68" s="798"/>
      <c r="D68" s="798"/>
      <c r="E68" s="798"/>
      <c r="F68" s="798"/>
      <c r="G68" s="799"/>
      <c r="I68" s="772"/>
    </row>
    <row r="69" spans="1:11" x14ac:dyDescent="0.25">
      <c r="A69" s="797"/>
      <c r="B69" s="798"/>
      <c r="C69" s="798"/>
      <c r="D69" s="798"/>
      <c r="E69" s="798"/>
      <c r="F69" s="798"/>
      <c r="G69" s="799"/>
      <c r="I69" s="772"/>
    </row>
    <row r="70" spans="1:11" x14ac:dyDescent="0.25">
      <c r="A70" s="797"/>
      <c r="B70" s="798"/>
      <c r="C70" s="798"/>
      <c r="D70" s="798"/>
      <c r="E70" s="798"/>
      <c r="F70" s="798"/>
      <c r="G70" s="799"/>
      <c r="I70" s="772"/>
    </row>
    <row r="71" spans="1:11" x14ac:dyDescent="0.25">
      <c r="A71" s="797"/>
      <c r="B71" s="798"/>
      <c r="C71" s="798"/>
      <c r="D71" s="798"/>
      <c r="E71" s="798"/>
      <c r="F71" s="798"/>
      <c r="G71" s="799"/>
      <c r="I71" s="772"/>
    </row>
    <row r="72" spans="1:11" x14ac:dyDescent="0.25">
      <c r="A72" s="797"/>
      <c r="B72" s="798"/>
      <c r="C72" s="798"/>
      <c r="D72" s="798"/>
      <c r="E72" s="798"/>
      <c r="F72" s="798"/>
      <c r="G72" s="799"/>
      <c r="I72" s="772"/>
    </row>
    <row r="73" spans="1:11" x14ac:dyDescent="0.25">
      <c r="A73" s="797"/>
      <c r="B73" s="798"/>
      <c r="C73" s="798"/>
      <c r="D73" s="798"/>
      <c r="E73" s="798"/>
      <c r="F73" s="798"/>
      <c r="G73" s="799"/>
    </row>
    <row r="74" spans="1:11" x14ac:dyDescent="0.25">
      <c r="A74" s="797"/>
      <c r="B74" s="798"/>
      <c r="C74" s="798"/>
      <c r="D74" s="798"/>
      <c r="E74" s="798"/>
      <c r="F74" s="798"/>
      <c r="G74" s="799"/>
      <c r="H74" t="s">
        <v>98</v>
      </c>
      <c r="I74" s="206" t="str">
        <f>"Sincerely,
Wes Browning"</f>
        <v>Sincerely,
Wes Browning</v>
      </c>
    </row>
    <row r="75" spans="1:11" ht="15" customHeight="1" x14ac:dyDescent="0.25">
      <c r="A75" s="797"/>
      <c r="B75" s="798"/>
      <c r="C75" s="798"/>
      <c r="D75" s="798"/>
      <c r="E75" s="798"/>
      <c r="F75" s="798"/>
      <c r="G75" s="799"/>
      <c r="I75" s="206"/>
    </row>
    <row r="76" spans="1:11" x14ac:dyDescent="0.25">
      <c r="A76" s="797"/>
      <c r="B76" s="798"/>
      <c r="C76" s="798"/>
      <c r="D76" s="798"/>
      <c r="E76" s="798"/>
      <c r="F76" s="798"/>
      <c r="G76" s="799"/>
      <c r="I76" s="206"/>
    </row>
    <row r="77" spans="1:11" x14ac:dyDescent="0.25">
      <c r="A77" s="797"/>
      <c r="B77" s="798"/>
      <c r="C77" s="798"/>
      <c r="D77" s="798"/>
      <c r="E77" s="798"/>
      <c r="F77" s="798"/>
      <c r="G77" s="799"/>
    </row>
    <row r="78" spans="1:11" x14ac:dyDescent="0.25">
      <c r="A78" s="797"/>
      <c r="B78" s="798"/>
      <c r="C78" s="798"/>
      <c r="D78" s="798"/>
      <c r="E78" s="798"/>
      <c r="F78" s="798"/>
      <c r="G78" s="799"/>
    </row>
    <row r="79" spans="1:11" ht="15.75" thickBot="1" x14ac:dyDescent="0.3">
      <c r="A79" s="800"/>
      <c r="B79" s="801"/>
      <c r="C79" s="801"/>
      <c r="D79" s="801"/>
      <c r="E79" s="801"/>
      <c r="F79" s="801"/>
      <c r="G79" s="802"/>
    </row>
    <row r="80" spans="1:11" x14ac:dyDescent="0.25">
      <c r="A80" s="206"/>
      <c r="B80" s="206"/>
      <c r="C80" s="206"/>
      <c r="D80" s="206"/>
      <c r="E80" s="206"/>
      <c r="F80" s="206"/>
      <c r="G80" s="206"/>
    </row>
    <row r="81" spans="1:9" x14ac:dyDescent="0.25">
      <c r="A81" s="206"/>
      <c r="B81" s="206"/>
      <c r="C81" s="206"/>
      <c r="D81" s="206"/>
      <c r="E81" s="206"/>
      <c r="F81" s="206"/>
      <c r="G81" s="2" t="s">
        <v>133</v>
      </c>
      <c r="I81" s="206" t="s">
        <v>134</v>
      </c>
    </row>
    <row r="82" spans="1:9" x14ac:dyDescent="0.25">
      <c r="G82" s="2" t="s">
        <v>135</v>
      </c>
      <c r="H82" t="s">
        <v>98</v>
      </c>
      <c r="I82" s="206" t="s">
        <v>136</v>
      </c>
    </row>
  </sheetData>
  <mergeCells count="21">
    <mergeCell ref="A57:G79"/>
    <mergeCell ref="D48:D49"/>
    <mergeCell ref="C48:C49"/>
    <mergeCell ref="I26:I30"/>
    <mergeCell ref="I20:I24"/>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163</v>
      </c>
      <c r="B1" s="3" t="s">
        <v>164</v>
      </c>
      <c r="C1" s="32" t="s">
        <v>165</v>
      </c>
      <c r="D1" s="30" t="s">
        <v>166</v>
      </c>
      <c r="E1" s="32" t="s">
        <v>167</v>
      </c>
      <c r="F1" s="3" t="s">
        <v>168</v>
      </c>
    </row>
    <row r="2" spans="1:9" x14ac:dyDescent="0.25">
      <c r="A2" s="25" t="s">
        <v>151</v>
      </c>
      <c r="E2" s="27"/>
    </row>
    <row r="3" spans="1:9" x14ac:dyDescent="0.25">
      <c r="C3" s="28"/>
    </row>
    <row r="4" spans="1:9" ht="16.5" x14ac:dyDescent="0.3">
      <c r="A4" s="2" t="s">
        <v>799</v>
      </c>
      <c r="B4" s="334"/>
      <c r="C4" s="28"/>
      <c r="D4" s="25" t="s">
        <v>800</v>
      </c>
      <c r="E4" s="12"/>
    </row>
    <row r="5" spans="1:9" x14ac:dyDescent="0.25">
      <c r="C5" s="28"/>
      <c r="D5" s="25" t="s">
        <v>928</v>
      </c>
      <c r="E5" s="12"/>
    </row>
    <row r="6" spans="1:9" x14ac:dyDescent="0.25">
      <c r="A6" s="2" t="s">
        <v>883</v>
      </c>
      <c r="B6" s="43" t="s">
        <v>884</v>
      </c>
      <c r="D6" s="490" t="s">
        <v>885</v>
      </c>
      <c r="E6" s="27" t="s">
        <v>886</v>
      </c>
    </row>
    <row r="7" spans="1:9" x14ac:dyDescent="0.25">
      <c r="A7" s="25" t="s">
        <v>169</v>
      </c>
      <c r="B7" s="43"/>
      <c r="E7" s="248" t="s">
        <v>887</v>
      </c>
    </row>
    <row r="8" spans="1:9" x14ac:dyDescent="0.25">
      <c r="A8" s="44"/>
      <c r="B8" s="45"/>
      <c r="D8" s="46"/>
      <c r="E8" s="27"/>
      <c r="F8" s="19"/>
    </row>
    <row r="9" spans="1:9" x14ac:dyDescent="0.25">
      <c r="A9" s="44"/>
      <c r="B9" s="45" t="s">
        <v>927</v>
      </c>
      <c r="D9" s="46"/>
      <c r="E9" s="27" t="s">
        <v>926</v>
      </c>
      <c r="F9" s="19"/>
    </row>
    <row r="10" spans="1:9" x14ac:dyDescent="0.25">
      <c r="A10" s="44"/>
      <c r="B10" s="316"/>
      <c r="D10" s="46"/>
      <c r="E10" s="27"/>
      <c r="F10" s="19"/>
      <c r="H10" s="19"/>
    </row>
    <row r="11" spans="1:9" x14ac:dyDescent="0.25">
      <c r="E11"/>
      <c r="F11" s="2"/>
    </row>
    <row r="12" spans="1:9" x14ac:dyDescent="0.25">
      <c r="E12" s="27"/>
    </row>
    <row r="13" spans="1:9" x14ac:dyDescent="0.25">
      <c r="E13"/>
    </row>
    <row r="14" spans="1:9" x14ac:dyDescent="0.25">
      <c r="E14"/>
      <c r="F14" s="27"/>
      <c r="I14" s="298"/>
    </row>
    <row r="15" spans="1:9" x14ac:dyDescent="0.25">
      <c r="E15"/>
      <c r="I15" s="25"/>
    </row>
    <row r="16" spans="1:9" x14ac:dyDescent="0.25">
      <c r="B16" s="2" t="s">
        <v>930</v>
      </c>
      <c r="D16" s="214" t="s">
        <v>929</v>
      </c>
      <c r="E16" s="25" t="s">
        <v>933</v>
      </c>
    </row>
    <row r="17" spans="1:25" x14ac:dyDescent="0.25">
      <c r="B17" s="2" t="s">
        <v>932</v>
      </c>
      <c r="D17" s="214" t="s">
        <v>931</v>
      </c>
      <c r="E17" s="19"/>
    </row>
    <row r="19" spans="1:25" x14ac:dyDescent="0.25">
      <c r="V19" t="s">
        <v>170</v>
      </c>
      <c r="W19" t="s">
        <v>171</v>
      </c>
      <c r="X19" t="s">
        <v>172</v>
      </c>
      <c r="Y19" t="s">
        <v>173</v>
      </c>
    </row>
    <row r="20" spans="1:25" x14ac:dyDescent="0.25">
      <c r="E20" s="27"/>
      <c r="F20" s="19"/>
      <c r="V20" t="s">
        <v>174</v>
      </c>
      <c r="W20" s="210">
        <v>0.4458333333333333</v>
      </c>
      <c r="X20" t="s">
        <v>175</v>
      </c>
    </row>
    <row r="24" spans="1:25" x14ac:dyDescent="0.25">
      <c r="A24" s="211"/>
      <c r="C24" s="27"/>
    </row>
    <row r="25" spans="1:25" x14ac:dyDescent="0.25">
      <c r="A25" s="212"/>
    </row>
    <row r="26" spans="1:25" x14ac:dyDescent="0.25">
      <c r="A26" s="213"/>
    </row>
    <row r="27" spans="1:25" x14ac:dyDescent="0.25">
      <c r="A27" s="214"/>
    </row>
    <row r="28" spans="1:25" x14ac:dyDescent="0.25">
      <c r="A28" s="215"/>
      <c r="C28" s="27"/>
    </row>
    <row r="29" spans="1:25" x14ac:dyDescent="0.25">
      <c r="A29" s="216"/>
    </row>
    <row r="30" spans="1:25" x14ac:dyDescent="0.25">
      <c r="A30" s="217"/>
    </row>
    <row r="31" spans="1:25" x14ac:dyDescent="0.25">
      <c r="A31" s="218"/>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workbookViewId="0">
      <selection activeCell="H15" sqref="H15"/>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04" t="s">
        <v>888</v>
      </c>
      <c r="B1" s="805"/>
      <c r="C1" s="806"/>
      <c r="D1" s="804" t="s">
        <v>477</v>
      </c>
      <c r="E1" s="805"/>
      <c r="F1" s="806"/>
      <c r="G1" s="804" t="s">
        <v>591</v>
      </c>
      <c r="H1" s="805"/>
      <c r="I1" s="806"/>
      <c r="J1" s="804" t="s">
        <v>934</v>
      </c>
      <c r="K1" s="805"/>
      <c r="L1" s="806"/>
      <c r="M1" s="804" t="s">
        <v>478</v>
      </c>
      <c r="N1" s="805"/>
      <c r="O1" s="806"/>
      <c r="P1" s="804" t="s">
        <v>935</v>
      </c>
      <c r="Q1" s="805"/>
      <c r="R1" s="806"/>
      <c r="S1" s="804" t="s">
        <v>936</v>
      </c>
      <c r="T1" s="805"/>
      <c r="U1" s="806"/>
      <c r="V1" s="804" t="s">
        <v>590</v>
      </c>
      <c r="W1" s="805"/>
      <c r="X1" s="806"/>
      <c r="Y1" s="804" t="s">
        <v>657</v>
      </c>
      <c r="Z1" s="805"/>
      <c r="AA1" s="806"/>
      <c r="AB1" s="804" t="s">
        <v>937</v>
      </c>
      <c r="AC1" s="805"/>
      <c r="AD1" s="806"/>
      <c r="AE1" s="804" t="s">
        <v>938</v>
      </c>
      <c r="AF1" s="805"/>
      <c r="AG1" s="806"/>
      <c r="AH1" s="61"/>
      <c r="AI1" s="807"/>
      <c r="AJ1" s="790"/>
      <c r="AK1" s="790"/>
      <c r="AL1" s="790"/>
      <c r="AM1" s="790"/>
      <c r="AN1" s="790"/>
      <c r="AO1" s="790"/>
      <c r="AP1" s="790"/>
      <c r="AQ1" s="790"/>
      <c r="AR1" s="790"/>
      <c r="AS1" s="790"/>
    </row>
    <row r="2" spans="1:45" ht="15" customHeight="1" x14ac:dyDescent="0.25">
      <c r="C2" s="321"/>
      <c r="F2" s="321"/>
      <c r="I2" s="321"/>
      <c r="L2" s="321"/>
      <c r="O2" s="321"/>
      <c r="R2" s="321"/>
      <c r="U2" s="321"/>
      <c r="X2" s="321"/>
      <c r="AA2" s="810" t="s">
        <v>1086</v>
      </c>
      <c r="AD2" s="321"/>
      <c r="AG2" s="321"/>
      <c r="AI2" t="s">
        <v>939</v>
      </c>
      <c r="AJ2" t="s">
        <v>940</v>
      </c>
      <c r="AK2" t="s">
        <v>256</v>
      </c>
      <c r="AL2" t="s">
        <v>163</v>
      </c>
      <c r="AM2" t="s">
        <v>211</v>
      </c>
      <c r="AN2" t="s">
        <v>941</v>
      </c>
      <c r="AO2" t="s">
        <v>942</v>
      </c>
      <c r="AP2" t="s">
        <v>943</v>
      </c>
      <c r="AQ2" t="s">
        <v>944</v>
      </c>
      <c r="AR2" t="s">
        <v>945</v>
      </c>
      <c r="AS2" t="s">
        <v>137</v>
      </c>
    </row>
    <row r="3" spans="1:45" ht="15" customHeight="1" x14ac:dyDescent="0.25">
      <c r="A3" s="3" t="s">
        <v>256</v>
      </c>
      <c r="B3" s="13" t="s">
        <v>941</v>
      </c>
      <c r="C3" s="323"/>
      <c r="D3" s="3" t="s">
        <v>256</v>
      </c>
      <c r="E3" s="13" t="s">
        <v>1085</v>
      </c>
      <c r="F3" s="323"/>
      <c r="G3" s="3" t="s">
        <v>256</v>
      </c>
      <c r="H3" s="13" t="s">
        <v>1085</v>
      </c>
      <c r="I3" s="323"/>
      <c r="J3" s="3" t="s">
        <v>256</v>
      </c>
      <c r="K3" s="13" t="s">
        <v>1085</v>
      </c>
      <c r="L3" s="321"/>
      <c r="M3" s="3" t="s">
        <v>256</v>
      </c>
      <c r="N3" s="13" t="s">
        <v>1085</v>
      </c>
      <c r="O3" s="321"/>
      <c r="P3" s="3" t="s">
        <v>256</v>
      </c>
      <c r="Q3" s="13" t="s">
        <v>1085</v>
      </c>
      <c r="R3" s="321"/>
      <c r="S3" s="3" t="s">
        <v>256</v>
      </c>
      <c r="T3" s="13" t="s">
        <v>1085</v>
      </c>
      <c r="U3" s="321"/>
      <c r="V3" t="s">
        <v>256</v>
      </c>
      <c r="W3" t="s">
        <v>1085</v>
      </c>
      <c r="X3" s="321"/>
      <c r="Y3" t="s">
        <v>256</v>
      </c>
      <c r="Z3" t="s">
        <v>1085</v>
      </c>
      <c r="AA3" s="811"/>
      <c r="AB3" s="3" t="s">
        <v>256</v>
      </c>
      <c r="AC3" s="13" t="s">
        <v>1085</v>
      </c>
      <c r="AD3" s="321"/>
      <c r="AE3" s="3" t="s">
        <v>256</v>
      </c>
      <c r="AF3" s="13" t="s">
        <v>1085</v>
      </c>
      <c r="AG3" s="321"/>
      <c r="AI3" t="s">
        <v>3</v>
      </c>
      <c r="AJ3" t="s">
        <v>888</v>
      </c>
      <c r="AK3" s="12">
        <v>45805</v>
      </c>
      <c r="AM3" t="s">
        <v>949</v>
      </c>
      <c r="AN3" s="5">
        <v>60.23</v>
      </c>
      <c r="AO3" t="s">
        <v>946</v>
      </c>
      <c r="AP3" s="135" t="s">
        <v>248</v>
      </c>
      <c r="AQ3" t="s">
        <v>950</v>
      </c>
      <c r="AR3" t="s">
        <v>947</v>
      </c>
      <c r="AS3" t="s">
        <v>951</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24"/>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549"/>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24"/>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21"/>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21"/>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21"/>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21"/>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21"/>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24">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21"/>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549"/>
      <c r="AH4" s="550"/>
      <c r="AI4" t="s">
        <v>3</v>
      </c>
      <c r="AJ4" t="s">
        <v>888</v>
      </c>
      <c r="AK4" s="12">
        <v>45814</v>
      </c>
      <c r="AM4" t="s">
        <v>949</v>
      </c>
      <c r="AN4" s="5">
        <v>-8.61</v>
      </c>
      <c r="AO4" t="s">
        <v>946</v>
      </c>
      <c r="AP4" s="135" t="s">
        <v>248</v>
      </c>
      <c r="AQ4" t="s">
        <v>950</v>
      </c>
      <c r="AR4" t="s">
        <v>947</v>
      </c>
      <c r="AS4" t="s">
        <v>952</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24"/>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549"/>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24"/>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21"/>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21"/>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21"/>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21"/>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21"/>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24">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21"/>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549"/>
      <c r="AH5" s="550"/>
      <c r="AI5" t="s">
        <v>3</v>
      </c>
      <c r="AJ5" t="s">
        <v>888</v>
      </c>
      <c r="AK5" s="12">
        <v>45838</v>
      </c>
      <c r="AM5" t="s">
        <v>949</v>
      </c>
      <c r="AN5" s="5">
        <v>38.33</v>
      </c>
      <c r="AO5" t="s">
        <v>946</v>
      </c>
      <c r="AP5" s="135" t="s">
        <v>248</v>
      </c>
      <c r="AQ5" t="s">
        <v>950</v>
      </c>
      <c r="AR5" t="s">
        <v>947</v>
      </c>
      <c r="AS5" t="s">
        <v>953</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24"/>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549"/>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24"/>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21"/>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21"/>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21"/>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21"/>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21"/>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24">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21"/>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549"/>
      <c r="AH6" s="550"/>
      <c r="AI6" t="s">
        <v>3</v>
      </c>
      <c r="AJ6" t="s">
        <v>888</v>
      </c>
      <c r="AK6" s="12">
        <v>45868.42</v>
      </c>
      <c r="AM6" t="s">
        <v>949</v>
      </c>
      <c r="AN6" s="5"/>
      <c r="AO6" t="s">
        <v>946</v>
      </c>
      <c r="AP6" s="135" t="s">
        <v>248</v>
      </c>
      <c r="AQ6" t="s">
        <v>950</v>
      </c>
      <c r="AR6" t="s">
        <v>947</v>
      </c>
      <c r="AS6" t="s">
        <v>954</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24"/>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549"/>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24"/>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21"/>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21"/>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21"/>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21"/>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21"/>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24">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21"/>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549"/>
      <c r="AH7" s="550"/>
      <c r="AI7" t="s">
        <v>3</v>
      </c>
      <c r="AJ7" t="s">
        <v>888</v>
      </c>
      <c r="AK7" s="12">
        <v>45898.84</v>
      </c>
      <c r="AM7" t="s">
        <v>949</v>
      </c>
      <c r="AN7" s="5" t="s">
        <v>151</v>
      </c>
      <c r="AO7" t="s">
        <v>946</v>
      </c>
      <c r="AP7" s="135" t="s">
        <v>248</v>
      </c>
      <c r="AQ7" t="s">
        <v>950</v>
      </c>
      <c r="AR7" t="s">
        <v>947</v>
      </c>
      <c r="AS7" t="s">
        <v>955</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24"/>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549"/>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24"/>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21"/>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21"/>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21"/>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21"/>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21"/>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24">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21"/>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549"/>
      <c r="AH8" s="550"/>
      <c r="AI8" t="s">
        <v>3</v>
      </c>
      <c r="AJ8" t="s">
        <v>888</v>
      </c>
      <c r="AK8" s="12">
        <v>45929.259999999995</v>
      </c>
      <c r="AM8" t="s">
        <v>949</v>
      </c>
      <c r="AN8" s="5" t="s">
        <v>151</v>
      </c>
      <c r="AO8" t="s">
        <v>946</v>
      </c>
      <c r="AP8" s="135" t="s">
        <v>248</v>
      </c>
      <c r="AQ8" t="s">
        <v>950</v>
      </c>
      <c r="AR8" t="s">
        <v>947</v>
      </c>
      <c r="AS8" t="s">
        <v>956</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24"/>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549"/>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24"/>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21"/>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21"/>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21"/>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21"/>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21"/>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24">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21"/>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549"/>
      <c r="AH9" s="550"/>
      <c r="AI9" t="s">
        <v>3</v>
      </c>
      <c r="AJ9" t="s">
        <v>888</v>
      </c>
      <c r="AK9" s="12">
        <v>45959.679999999993</v>
      </c>
      <c r="AM9" t="s">
        <v>949</v>
      </c>
      <c r="AN9" s="5" t="s">
        <v>151</v>
      </c>
      <c r="AO9" t="s">
        <v>946</v>
      </c>
      <c r="AP9" s="135" t="s">
        <v>248</v>
      </c>
      <c r="AQ9" t="s">
        <v>950</v>
      </c>
      <c r="AR9" t="s">
        <v>947</v>
      </c>
      <c r="AS9" t="s">
        <v>957</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24"/>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549"/>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0</v>
      </c>
      <c r="I10" s="324"/>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21"/>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21"/>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21"/>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21"/>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21"/>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24">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21"/>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549"/>
      <c r="AH10" s="550"/>
      <c r="AI10" t="s">
        <v>3</v>
      </c>
      <c r="AJ10" t="s">
        <v>888</v>
      </c>
      <c r="AK10" s="12">
        <v>45990.099999999991</v>
      </c>
      <c r="AM10" t="s">
        <v>949</v>
      </c>
      <c r="AN10" s="5">
        <v>0</v>
      </c>
      <c r="AO10" t="s">
        <v>946</v>
      </c>
      <c r="AP10" s="135" t="s">
        <v>248</v>
      </c>
      <c r="AQ10" t="s">
        <v>950</v>
      </c>
      <c r="AR10" t="s">
        <v>947</v>
      </c>
      <c r="AS10" t="s">
        <v>958</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24"/>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549"/>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0</v>
      </c>
      <c r="I11" s="324"/>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21"/>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21"/>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21"/>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21"/>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21"/>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24">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21"/>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549"/>
      <c r="AH11" s="550"/>
      <c r="AI11" t="s">
        <v>3</v>
      </c>
      <c r="AJ11" t="s">
        <v>888</v>
      </c>
      <c r="AK11" s="12">
        <v>46020.51999999999</v>
      </c>
      <c r="AM11" t="s">
        <v>949</v>
      </c>
      <c r="AN11" s="5">
        <v>0</v>
      </c>
      <c r="AO11" t="s">
        <v>946</v>
      </c>
      <c r="AP11" s="135" t="s">
        <v>248</v>
      </c>
      <c r="AQ11" t="s">
        <v>950</v>
      </c>
      <c r="AR11" t="s">
        <v>947</v>
      </c>
      <c r="AS11" t="s">
        <v>959</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24"/>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549"/>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0</v>
      </c>
      <c r="I12" s="324"/>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21"/>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21"/>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21"/>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21"/>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21"/>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24">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21"/>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549"/>
      <c r="AH12" s="550"/>
      <c r="AI12" t="s">
        <v>3</v>
      </c>
      <c r="AJ12" t="s">
        <v>888</v>
      </c>
      <c r="AK12" s="12">
        <v>46050.939999999988</v>
      </c>
      <c r="AM12" t="s">
        <v>949</v>
      </c>
      <c r="AN12" s="5">
        <v>0</v>
      </c>
      <c r="AO12" t="s">
        <v>946</v>
      </c>
      <c r="AP12" s="135" t="s">
        <v>248</v>
      </c>
      <c r="AQ12" t="s">
        <v>950</v>
      </c>
      <c r="AR12" t="s">
        <v>947</v>
      </c>
      <c r="AS12" t="s">
        <v>960</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24"/>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549"/>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0</v>
      </c>
      <c r="I13" s="324"/>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21"/>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21"/>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21"/>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21"/>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21"/>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24">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21"/>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549"/>
      <c r="AH13" s="550"/>
      <c r="AI13" t="s">
        <v>3</v>
      </c>
      <c r="AJ13" t="s">
        <v>888</v>
      </c>
      <c r="AK13" s="12">
        <v>46081.359999999986</v>
      </c>
      <c r="AM13" t="s">
        <v>949</v>
      </c>
      <c r="AN13" s="5">
        <v>0</v>
      </c>
      <c r="AO13" t="s">
        <v>946</v>
      </c>
      <c r="AP13" s="135" t="s">
        <v>248</v>
      </c>
      <c r="AQ13" t="s">
        <v>950</v>
      </c>
      <c r="AR13" t="s">
        <v>947</v>
      </c>
      <c r="AS13" t="s">
        <v>961</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24"/>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549"/>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0</v>
      </c>
      <c r="I14" s="324"/>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21"/>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21"/>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21"/>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21"/>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21"/>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24">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21"/>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549"/>
      <c r="AH14" s="550"/>
      <c r="AI14" t="s">
        <v>3</v>
      </c>
      <c r="AJ14" t="s">
        <v>888</v>
      </c>
      <c r="AK14" s="12">
        <v>46111.779999999984</v>
      </c>
      <c r="AM14" t="s">
        <v>949</v>
      </c>
      <c r="AN14" s="5">
        <v>0</v>
      </c>
      <c r="AO14" t="s">
        <v>946</v>
      </c>
      <c r="AP14" s="135" t="s">
        <v>248</v>
      </c>
      <c r="AQ14" t="s">
        <v>950</v>
      </c>
      <c r="AR14" t="s">
        <v>947</v>
      </c>
      <c r="AS14" t="s">
        <v>962</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21"/>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549"/>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0</v>
      </c>
      <c r="I15" s="321"/>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21"/>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21"/>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21"/>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21"/>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21"/>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24">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21"/>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549"/>
      <c r="AH15" s="550"/>
      <c r="AI15" t="s">
        <v>3</v>
      </c>
      <c r="AJ15" t="s">
        <v>888</v>
      </c>
      <c r="AK15" s="12">
        <v>46142.199999999983</v>
      </c>
      <c r="AM15" t="s">
        <v>949</v>
      </c>
      <c r="AN15" s="5">
        <v>0</v>
      </c>
      <c r="AO15" t="s">
        <v>946</v>
      </c>
      <c r="AP15" s="135" t="s">
        <v>248</v>
      </c>
      <c r="AQ15" t="s">
        <v>950</v>
      </c>
      <c r="AR15" t="s">
        <v>947</v>
      </c>
      <c r="AS15" t="s">
        <v>963</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21"/>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549"/>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0</v>
      </c>
      <c r="I16" s="321"/>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21"/>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21"/>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21"/>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21"/>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21"/>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24">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21"/>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549"/>
      <c r="AH16" s="550"/>
      <c r="AI16" t="s">
        <v>3</v>
      </c>
      <c r="AJ16" t="s">
        <v>888</v>
      </c>
      <c r="AK16" s="12">
        <v>46172.619999999981</v>
      </c>
      <c r="AM16" t="s">
        <v>949</v>
      </c>
      <c r="AN16" s="5">
        <v>0</v>
      </c>
      <c r="AO16" t="s">
        <v>946</v>
      </c>
      <c r="AP16" s="135" t="s">
        <v>248</v>
      </c>
      <c r="AQ16" t="s">
        <v>950</v>
      </c>
      <c r="AR16" t="s">
        <v>947</v>
      </c>
      <c r="AS16" t="s">
        <v>964</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21"/>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549"/>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0</v>
      </c>
      <c r="I17" s="321"/>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21"/>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21"/>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21"/>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21"/>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21"/>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24">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21"/>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549"/>
      <c r="AH17" s="550"/>
      <c r="AI17" t="s">
        <v>3</v>
      </c>
      <c r="AJ17" t="s">
        <v>888</v>
      </c>
      <c r="AK17" s="12">
        <v>46203.039999999979</v>
      </c>
      <c r="AM17" t="s">
        <v>949</v>
      </c>
      <c r="AN17" s="5">
        <v>0</v>
      </c>
      <c r="AO17" t="s">
        <v>946</v>
      </c>
      <c r="AP17" s="135" t="s">
        <v>248</v>
      </c>
      <c r="AQ17" t="s">
        <v>950</v>
      </c>
      <c r="AR17" t="s">
        <v>947</v>
      </c>
      <c r="AS17" t="s">
        <v>965</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21"/>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549"/>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0</v>
      </c>
      <c r="I18" s="321"/>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21"/>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21"/>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21"/>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21"/>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21"/>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24">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21"/>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549"/>
      <c r="AH18" s="550"/>
      <c r="AI18" t="s">
        <v>3</v>
      </c>
      <c r="AJ18" t="s">
        <v>888</v>
      </c>
      <c r="AK18" s="12">
        <v>46233.459999999977</v>
      </c>
      <c r="AM18" t="s">
        <v>949</v>
      </c>
      <c r="AN18" s="5">
        <v>0</v>
      </c>
      <c r="AO18" t="s">
        <v>946</v>
      </c>
      <c r="AP18" s="135" t="s">
        <v>248</v>
      </c>
      <c r="AQ18" t="s">
        <v>950</v>
      </c>
      <c r="AR18" t="s">
        <v>947</v>
      </c>
      <c r="AS18" t="s">
        <v>966</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21"/>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549"/>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0</v>
      </c>
      <c r="I19" s="321"/>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21"/>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21"/>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21"/>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21"/>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21"/>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24">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21"/>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549"/>
      <c r="AH19" s="550"/>
      <c r="AI19" t="s">
        <v>3</v>
      </c>
      <c r="AJ19" t="s">
        <v>888</v>
      </c>
      <c r="AK19" s="12">
        <v>46263.879999999976</v>
      </c>
      <c r="AM19" t="s">
        <v>949</v>
      </c>
      <c r="AN19" s="5">
        <v>0</v>
      </c>
      <c r="AO19" t="s">
        <v>946</v>
      </c>
      <c r="AP19" s="135" t="s">
        <v>248</v>
      </c>
      <c r="AQ19" t="s">
        <v>950</v>
      </c>
      <c r="AR19" t="s">
        <v>947</v>
      </c>
      <c r="AS19" t="s">
        <v>967</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21"/>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549"/>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0</v>
      </c>
      <c r="I20" s="321"/>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21"/>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21"/>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21"/>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21"/>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21"/>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24">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21"/>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549"/>
      <c r="AH20" s="550"/>
      <c r="AI20" t="s">
        <v>3</v>
      </c>
      <c r="AJ20" t="s">
        <v>888</v>
      </c>
      <c r="AK20" s="12">
        <v>46294.299999999974</v>
      </c>
      <c r="AM20" t="s">
        <v>949</v>
      </c>
      <c r="AN20" s="5">
        <v>0</v>
      </c>
      <c r="AO20" t="s">
        <v>946</v>
      </c>
      <c r="AP20" s="135" t="s">
        <v>248</v>
      </c>
      <c r="AQ20" t="s">
        <v>950</v>
      </c>
      <c r="AR20" t="s">
        <v>947</v>
      </c>
      <c r="AS20" t="s">
        <v>968</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21"/>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549"/>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0</v>
      </c>
      <c r="I21" s="321"/>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21"/>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21"/>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21"/>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21"/>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21"/>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24">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21"/>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549"/>
      <c r="AH21" s="550"/>
      <c r="AI21" t="s">
        <v>3</v>
      </c>
      <c r="AJ21" t="s">
        <v>888</v>
      </c>
      <c r="AK21" s="12">
        <v>46324.719999999972</v>
      </c>
      <c r="AM21" t="s">
        <v>949</v>
      </c>
      <c r="AN21" s="5">
        <v>0</v>
      </c>
      <c r="AO21" t="s">
        <v>946</v>
      </c>
      <c r="AP21" s="135" t="s">
        <v>248</v>
      </c>
      <c r="AQ21" t="s">
        <v>950</v>
      </c>
      <c r="AR21" t="s">
        <v>947</v>
      </c>
      <c r="AS21" t="s">
        <v>969</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21"/>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549"/>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0</v>
      </c>
      <c r="I22" s="321"/>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21"/>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21"/>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21"/>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21"/>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21"/>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24">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21"/>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549"/>
      <c r="AH22" s="550"/>
      <c r="AI22" t="s">
        <v>3</v>
      </c>
      <c r="AJ22" t="s">
        <v>948</v>
      </c>
      <c r="AK22" s="12">
        <v>45805</v>
      </c>
      <c r="AM22" t="s">
        <v>949</v>
      </c>
      <c r="AN22" s="5">
        <v>660.59</v>
      </c>
      <c r="AO22" t="s">
        <v>946</v>
      </c>
      <c r="AP22" s="135" t="s">
        <v>248</v>
      </c>
      <c r="AQ22" t="s">
        <v>950</v>
      </c>
      <c r="AR22" t="s">
        <v>947</v>
      </c>
      <c r="AS22" t="s">
        <v>970</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21"/>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549"/>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21"/>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21"/>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21"/>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21"/>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21"/>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21"/>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24"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21"/>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549"/>
      <c r="AH23" s="550"/>
      <c r="AI23" t="s">
        <v>3</v>
      </c>
      <c r="AJ23" t="s">
        <v>948</v>
      </c>
      <c r="AK23" s="12">
        <v>45835.42</v>
      </c>
      <c r="AM23" t="s">
        <v>949</v>
      </c>
      <c r="AN23" s="5">
        <v>660.59</v>
      </c>
      <c r="AO23" t="s">
        <v>946</v>
      </c>
      <c r="AP23" s="135" t="s">
        <v>248</v>
      </c>
      <c r="AQ23" t="s">
        <v>950</v>
      </c>
      <c r="AR23" t="s">
        <v>947</v>
      </c>
      <c r="AS23" t="s">
        <v>971</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21"/>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551"/>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22"/>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22"/>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22"/>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22"/>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22"/>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22"/>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554"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22"/>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551"/>
      <c r="AH24" s="550"/>
      <c r="AI24" t="s">
        <v>3</v>
      </c>
      <c r="AJ24" t="s">
        <v>948</v>
      </c>
      <c r="AK24" s="12">
        <v>45865.84</v>
      </c>
      <c r="AM24" t="s">
        <v>949</v>
      </c>
      <c r="AN24" s="5">
        <v>660.59</v>
      </c>
      <c r="AO24" t="s">
        <v>946</v>
      </c>
      <c r="AP24" s="135" t="s">
        <v>248</v>
      </c>
      <c r="AQ24" t="s">
        <v>950</v>
      </c>
      <c r="AR24" t="s">
        <v>947</v>
      </c>
      <c r="AS24" t="s">
        <v>972</v>
      </c>
    </row>
    <row r="25" spans="1:45" ht="15.75" customHeight="1" thickBot="1" x14ac:dyDescent="0.3">
      <c r="A25" s="23"/>
      <c r="B25" s="808">
        <f>SUMIFS(tblCarryingExpenses[Amount],tblCarryingExpenses[Category],IF(A1="Mortgage Payment paid after Reinstatement","Mortgage Payment",A1),tblCarryingExpenses[Include],"Yes")</f>
        <v>89.949999999999989</v>
      </c>
      <c r="C25" s="809"/>
      <c r="D25" s="23"/>
      <c r="E25" s="808">
        <f>SUMIFS(tblCarryingExpenses[Amount],tblCarryingExpenses[Category],IF(D1="Mortgage Payment paid after Reinstatement","Mortgage Payment",D1),tblCarryingExpenses[Include],"Yes")</f>
        <v>3302.9500000000003</v>
      </c>
      <c r="F25" s="812"/>
      <c r="G25" s="552"/>
      <c r="H25" s="808">
        <f>SUMIFS(tblCarryingExpenses[Amount],tblCarryingExpenses[Category],IF(G1="Mortgage Payment paid after Reinstatement","Mortgage Payment",G1),tblCarryingExpenses[Include],"Yes")</f>
        <v>1832.74</v>
      </c>
      <c r="I25" s="809"/>
      <c r="J25" s="552"/>
      <c r="K25" s="808">
        <f>SUMIFS(tblCarryingExpenses[Amount],tblCarryingExpenses[Category],IF(J1="Mortgage Payment paid after Reinstatement","Mortgage Payment",J1),tblCarryingExpenses[Include],"Yes")</f>
        <v>0</v>
      </c>
      <c r="L25" s="809"/>
      <c r="M25" s="552"/>
      <c r="N25" s="808">
        <f>SUMIFS(tblCarryingExpenses[Amount],tblCarryingExpenses[Category],IF(M1="Mortgage Payment paid after Reinstatement","Mortgage Payment",M1),tblCarryingExpenses[Include],"Yes")</f>
        <v>0</v>
      </c>
      <c r="O25" s="809"/>
      <c r="P25" s="552"/>
      <c r="Q25" s="808">
        <f>SUMIFS(tblCarryingExpenses[Amount],tblCarryingExpenses[Category],IF(P1="Mortgage Payment paid after Reinstatement","Mortgage Payment",P1),tblCarryingExpenses[Include],"Yes")</f>
        <v>277.64</v>
      </c>
      <c r="R25" s="809"/>
      <c r="S25" s="552"/>
      <c r="T25" s="808">
        <f>SUMIFS(tblCarryingExpenses[Amount],tblCarryingExpenses[Category],IF(S1="Mortgage Payment paid after Reinstatement","Mortgage Payment",S1),tblCarryingExpenses[Include],"Yes")</f>
        <v>0</v>
      </c>
      <c r="U25" s="809"/>
      <c r="V25" s="552"/>
      <c r="W25" s="808">
        <f>SUMIFS(tblCarryingExpenses[Amount],tblCarryingExpenses[Category],IF(V1="Mortgage Payment paid after Reinstatement","Mortgage Payment",V1),tblCarryingExpenses[Include],"Yes")</f>
        <v>0</v>
      </c>
      <c r="X25" s="809"/>
      <c r="Y25" s="552"/>
      <c r="Z25" s="808">
        <f>SUM(Z4:AA23)</f>
        <v>0</v>
      </c>
      <c r="AA25" s="809"/>
      <c r="AB25" s="552"/>
      <c r="AC25" s="808">
        <f>SUMIFS(tblCarryingExpenses[Amount],tblCarryingExpenses[Category],IF(AB1="Mortgage Payment paid after Reinstatement","Mortgage Payment",AB1),tblCarryingExpenses[Include],"Yes")</f>
        <v>0</v>
      </c>
      <c r="AD25" s="809"/>
      <c r="AE25" s="552"/>
      <c r="AF25" s="808">
        <f>SUMIFS(tblCarryingExpenses[Amount],tblCarryingExpenses[Category],IF(AE1="Mortgage Payment paid after Reinstatement","Mortgage Payment",AE1),tblCarryingExpenses[Include],"Yes")</f>
        <v>0</v>
      </c>
      <c r="AG25" s="809"/>
      <c r="AH25" s="5"/>
      <c r="AI25" t="s">
        <v>3</v>
      </c>
      <c r="AJ25" t="s">
        <v>948</v>
      </c>
      <c r="AK25" s="12">
        <v>45896.259999999995</v>
      </c>
      <c r="AM25" t="s">
        <v>949</v>
      </c>
      <c r="AN25" s="5">
        <v>660.59</v>
      </c>
      <c r="AO25" t="s">
        <v>946</v>
      </c>
      <c r="AP25" s="135" t="s">
        <v>248</v>
      </c>
      <c r="AQ25" t="s">
        <v>950</v>
      </c>
      <c r="AR25" t="s">
        <v>947</v>
      </c>
      <c r="AS25" t="s">
        <v>973</v>
      </c>
    </row>
    <row r="26" spans="1:45" ht="15" customHeight="1" x14ac:dyDescent="0.25">
      <c r="AI26" t="s">
        <v>3</v>
      </c>
      <c r="AJ26" t="s">
        <v>948</v>
      </c>
      <c r="AK26" s="12">
        <v>45926.679999999993</v>
      </c>
      <c r="AM26" t="s">
        <v>949</v>
      </c>
      <c r="AN26" s="5">
        <v>660.59</v>
      </c>
      <c r="AO26" t="s">
        <v>946</v>
      </c>
      <c r="AP26" s="135" t="s">
        <v>248</v>
      </c>
      <c r="AQ26" t="s">
        <v>950</v>
      </c>
      <c r="AR26" t="s">
        <v>947</v>
      </c>
      <c r="AS26" t="s">
        <v>974</v>
      </c>
    </row>
    <row r="27" spans="1:45" ht="15" customHeight="1" x14ac:dyDescent="0.25">
      <c r="AI27" t="s">
        <v>3</v>
      </c>
      <c r="AJ27" t="s">
        <v>948</v>
      </c>
      <c r="AK27" s="12">
        <v>45957.099999999991</v>
      </c>
      <c r="AM27" t="s">
        <v>949</v>
      </c>
      <c r="AN27" s="5">
        <v>0</v>
      </c>
      <c r="AO27" t="s">
        <v>946</v>
      </c>
      <c r="AP27" s="135" t="s">
        <v>248</v>
      </c>
      <c r="AQ27" t="s">
        <v>950</v>
      </c>
      <c r="AR27" t="s">
        <v>947</v>
      </c>
      <c r="AS27" t="s">
        <v>975</v>
      </c>
    </row>
    <row r="28" spans="1:45" ht="15" customHeight="1" x14ac:dyDescent="0.25">
      <c r="AI28" t="s">
        <v>3</v>
      </c>
      <c r="AJ28" t="s">
        <v>948</v>
      </c>
      <c r="AK28" s="12">
        <v>45987.51999999999</v>
      </c>
      <c r="AM28" t="s">
        <v>949</v>
      </c>
      <c r="AN28" s="5">
        <v>0</v>
      </c>
      <c r="AO28" t="s">
        <v>946</v>
      </c>
      <c r="AP28" s="135" t="s">
        <v>248</v>
      </c>
      <c r="AQ28" t="s">
        <v>950</v>
      </c>
      <c r="AR28" t="s">
        <v>947</v>
      </c>
      <c r="AS28" t="s">
        <v>976</v>
      </c>
    </row>
    <row r="29" spans="1:45" ht="15" customHeight="1" x14ac:dyDescent="0.25">
      <c r="AI29" t="s">
        <v>3</v>
      </c>
      <c r="AJ29" t="s">
        <v>948</v>
      </c>
      <c r="AK29" s="12">
        <v>46017.939999999988</v>
      </c>
      <c r="AM29" t="s">
        <v>949</v>
      </c>
      <c r="AN29" s="5">
        <v>0</v>
      </c>
      <c r="AO29" t="s">
        <v>946</v>
      </c>
      <c r="AP29" s="135" t="s">
        <v>248</v>
      </c>
      <c r="AQ29" t="s">
        <v>950</v>
      </c>
      <c r="AR29" t="s">
        <v>947</v>
      </c>
      <c r="AS29" t="s">
        <v>977</v>
      </c>
    </row>
    <row r="30" spans="1:45" ht="15" customHeight="1" x14ac:dyDescent="0.25">
      <c r="AI30" t="s">
        <v>3</v>
      </c>
      <c r="AJ30" t="s">
        <v>948</v>
      </c>
      <c r="AK30" s="12">
        <v>46048.359999999986</v>
      </c>
      <c r="AM30" t="s">
        <v>949</v>
      </c>
      <c r="AN30" s="5">
        <v>0</v>
      </c>
      <c r="AO30" t="s">
        <v>946</v>
      </c>
      <c r="AP30" s="135" t="s">
        <v>248</v>
      </c>
      <c r="AQ30" t="s">
        <v>950</v>
      </c>
      <c r="AR30" t="s">
        <v>947</v>
      </c>
      <c r="AS30" t="s">
        <v>978</v>
      </c>
    </row>
    <row r="31" spans="1:45" ht="15" customHeight="1" x14ac:dyDescent="0.25">
      <c r="AI31" t="s">
        <v>3</v>
      </c>
      <c r="AJ31" t="s">
        <v>948</v>
      </c>
      <c r="AK31" s="12">
        <v>46078.779999999984</v>
      </c>
      <c r="AM31" t="s">
        <v>949</v>
      </c>
      <c r="AN31" s="5">
        <v>0</v>
      </c>
      <c r="AO31" t="s">
        <v>946</v>
      </c>
      <c r="AP31" s="135" t="s">
        <v>248</v>
      </c>
      <c r="AQ31" t="s">
        <v>950</v>
      </c>
      <c r="AR31" t="s">
        <v>947</v>
      </c>
      <c r="AS31" t="s">
        <v>979</v>
      </c>
    </row>
    <row r="32" spans="1:45" ht="15" customHeight="1" x14ac:dyDescent="0.25">
      <c r="AI32" t="s">
        <v>3</v>
      </c>
      <c r="AJ32" t="s">
        <v>948</v>
      </c>
      <c r="AK32" s="12">
        <v>46109.199999999983</v>
      </c>
      <c r="AM32" t="s">
        <v>949</v>
      </c>
      <c r="AN32" s="5">
        <v>0</v>
      </c>
      <c r="AO32" t="s">
        <v>946</v>
      </c>
      <c r="AP32" s="135" t="s">
        <v>248</v>
      </c>
      <c r="AQ32" t="s">
        <v>950</v>
      </c>
      <c r="AR32" t="s">
        <v>947</v>
      </c>
      <c r="AS32" t="s">
        <v>980</v>
      </c>
    </row>
    <row r="33" spans="35:45" ht="15" customHeight="1" x14ac:dyDescent="0.25">
      <c r="AI33" t="s">
        <v>3</v>
      </c>
      <c r="AJ33" t="s">
        <v>948</v>
      </c>
      <c r="AK33" s="12">
        <v>46139.619999999981</v>
      </c>
      <c r="AM33" t="s">
        <v>949</v>
      </c>
      <c r="AN33" s="5">
        <v>0</v>
      </c>
      <c r="AO33" t="s">
        <v>946</v>
      </c>
      <c r="AP33" s="135" t="s">
        <v>248</v>
      </c>
      <c r="AQ33" t="s">
        <v>950</v>
      </c>
      <c r="AR33" t="s">
        <v>947</v>
      </c>
      <c r="AS33" t="s">
        <v>981</v>
      </c>
    </row>
    <row r="34" spans="35:45" ht="15" customHeight="1" x14ac:dyDescent="0.25">
      <c r="AI34" t="s">
        <v>3</v>
      </c>
      <c r="AJ34" t="s">
        <v>948</v>
      </c>
      <c r="AK34" s="12">
        <v>46170.039999999979</v>
      </c>
      <c r="AM34" t="s">
        <v>949</v>
      </c>
      <c r="AN34" s="5">
        <v>0</v>
      </c>
      <c r="AO34" t="s">
        <v>946</v>
      </c>
      <c r="AP34" s="135" t="s">
        <v>248</v>
      </c>
      <c r="AQ34" t="s">
        <v>950</v>
      </c>
      <c r="AR34" t="s">
        <v>947</v>
      </c>
      <c r="AS34" t="s">
        <v>982</v>
      </c>
    </row>
    <row r="35" spans="35:45" ht="15" customHeight="1" x14ac:dyDescent="0.25">
      <c r="AI35" t="s">
        <v>3</v>
      </c>
      <c r="AJ35" t="s">
        <v>948</v>
      </c>
      <c r="AK35" s="12">
        <v>46200.459999999977</v>
      </c>
      <c r="AM35" t="s">
        <v>949</v>
      </c>
      <c r="AN35" s="5">
        <v>0</v>
      </c>
      <c r="AO35" t="s">
        <v>946</v>
      </c>
      <c r="AP35" s="135" t="s">
        <v>248</v>
      </c>
      <c r="AQ35" t="s">
        <v>950</v>
      </c>
      <c r="AR35" t="s">
        <v>947</v>
      </c>
      <c r="AS35" t="s">
        <v>983</v>
      </c>
    </row>
    <row r="36" spans="35:45" ht="15" customHeight="1" x14ac:dyDescent="0.25">
      <c r="AI36" t="s">
        <v>3</v>
      </c>
      <c r="AJ36" t="s">
        <v>948</v>
      </c>
      <c r="AK36" s="12">
        <v>46230.879999999976</v>
      </c>
      <c r="AM36" t="s">
        <v>949</v>
      </c>
      <c r="AN36" s="5">
        <v>0</v>
      </c>
      <c r="AO36" t="s">
        <v>946</v>
      </c>
      <c r="AP36" s="135" t="s">
        <v>248</v>
      </c>
      <c r="AQ36" t="s">
        <v>950</v>
      </c>
      <c r="AR36" t="s">
        <v>947</v>
      </c>
      <c r="AS36" t="s">
        <v>984</v>
      </c>
    </row>
    <row r="37" spans="35:45" ht="15" customHeight="1" x14ac:dyDescent="0.25">
      <c r="AI37" t="s">
        <v>3</v>
      </c>
      <c r="AJ37" t="s">
        <v>948</v>
      </c>
      <c r="AK37" s="12">
        <v>46261.299999999974</v>
      </c>
      <c r="AM37" t="s">
        <v>949</v>
      </c>
      <c r="AN37" s="5">
        <v>0</v>
      </c>
      <c r="AO37" t="s">
        <v>946</v>
      </c>
      <c r="AP37" s="135" t="s">
        <v>248</v>
      </c>
      <c r="AQ37" t="s">
        <v>950</v>
      </c>
      <c r="AR37" t="s">
        <v>947</v>
      </c>
      <c r="AS37" t="s">
        <v>985</v>
      </c>
    </row>
    <row r="38" spans="35:45" ht="15" customHeight="1" x14ac:dyDescent="0.25">
      <c r="AI38" t="s">
        <v>3</v>
      </c>
      <c r="AJ38" t="s">
        <v>948</v>
      </c>
      <c r="AK38" s="12">
        <v>46291.719999999972</v>
      </c>
      <c r="AM38" t="s">
        <v>949</v>
      </c>
      <c r="AN38" s="5">
        <v>0</v>
      </c>
      <c r="AO38" t="s">
        <v>946</v>
      </c>
      <c r="AP38" s="135" t="s">
        <v>248</v>
      </c>
      <c r="AQ38" t="s">
        <v>950</v>
      </c>
      <c r="AR38" t="s">
        <v>947</v>
      </c>
      <c r="AS38" t="s">
        <v>986</v>
      </c>
    </row>
    <row r="39" spans="35:45" ht="15" customHeight="1" x14ac:dyDescent="0.25">
      <c r="AI39" t="s">
        <v>3</v>
      </c>
      <c r="AJ39" t="s">
        <v>948</v>
      </c>
      <c r="AK39" s="12">
        <v>46322.13999999997</v>
      </c>
      <c r="AM39" t="s">
        <v>949</v>
      </c>
      <c r="AN39" s="5">
        <v>0</v>
      </c>
      <c r="AO39" t="s">
        <v>946</v>
      </c>
      <c r="AP39" s="135" t="s">
        <v>248</v>
      </c>
      <c r="AQ39" t="s">
        <v>950</v>
      </c>
      <c r="AR39" t="s">
        <v>947</v>
      </c>
      <c r="AS39" t="s">
        <v>987</v>
      </c>
    </row>
    <row r="40" spans="35:45" ht="15" customHeight="1" x14ac:dyDescent="0.25">
      <c r="AI40" t="s">
        <v>3</v>
      </c>
      <c r="AJ40" t="s">
        <v>948</v>
      </c>
      <c r="AK40" s="12">
        <v>46352.559999999969</v>
      </c>
      <c r="AM40" t="s">
        <v>949</v>
      </c>
      <c r="AN40" s="5">
        <v>0</v>
      </c>
      <c r="AO40" t="s">
        <v>946</v>
      </c>
      <c r="AP40" s="135" t="s">
        <v>248</v>
      </c>
      <c r="AQ40" t="s">
        <v>950</v>
      </c>
      <c r="AR40" t="s">
        <v>947</v>
      </c>
      <c r="AS40" t="s">
        <v>988</v>
      </c>
    </row>
    <row r="41" spans="35:45" ht="15" customHeight="1" x14ac:dyDescent="0.25">
      <c r="AI41" t="s">
        <v>3</v>
      </c>
      <c r="AJ41" t="s">
        <v>591</v>
      </c>
      <c r="AK41" s="12">
        <v>45805</v>
      </c>
      <c r="AM41" t="s">
        <v>949</v>
      </c>
      <c r="AN41" s="5">
        <v>0</v>
      </c>
      <c r="AO41" t="s">
        <v>946</v>
      </c>
      <c r="AP41" s="135" t="s">
        <v>248</v>
      </c>
      <c r="AQ41" t="s">
        <v>950</v>
      </c>
      <c r="AR41" t="s">
        <v>947</v>
      </c>
      <c r="AS41" t="s">
        <v>989</v>
      </c>
    </row>
    <row r="42" spans="35:45" ht="15" customHeight="1" x14ac:dyDescent="0.25">
      <c r="AI42" t="s">
        <v>3</v>
      </c>
      <c r="AJ42" t="s">
        <v>591</v>
      </c>
      <c r="AK42" s="12">
        <v>45835.42</v>
      </c>
      <c r="AM42" t="s">
        <v>949</v>
      </c>
      <c r="AN42" s="5">
        <v>0</v>
      </c>
      <c r="AO42" t="s">
        <v>946</v>
      </c>
      <c r="AP42" s="135" t="s">
        <v>248</v>
      </c>
      <c r="AQ42" t="s">
        <v>950</v>
      </c>
      <c r="AR42" t="s">
        <v>947</v>
      </c>
      <c r="AS42" t="s">
        <v>990</v>
      </c>
    </row>
    <row r="43" spans="35:45" ht="15" customHeight="1" x14ac:dyDescent="0.25">
      <c r="AI43" t="s">
        <v>3</v>
      </c>
      <c r="AJ43" t="s">
        <v>591</v>
      </c>
      <c r="AK43" s="12">
        <v>45865.84</v>
      </c>
      <c r="AM43" t="s">
        <v>949</v>
      </c>
      <c r="AN43" s="5">
        <v>0</v>
      </c>
      <c r="AO43" t="s">
        <v>946</v>
      </c>
      <c r="AP43" s="135" t="s">
        <v>248</v>
      </c>
      <c r="AQ43" t="s">
        <v>950</v>
      </c>
      <c r="AR43" t="s">
        <v>947</v>
      </c>
      <c r="AS43" t="s">
        <v>991</v>
      </c>
    </row>
    <row r="44" spans="35:45" ht="15" customHeight="1" x14ac:dyDescent="0.25">
      <c r="AI44" t="s">
        <v>3</v>
      </c>
      <c r="AJ44" t="s">
        <v>591</v>
      </c>
      <c r="AK44" s="12">
        <v>45896.259999999995</v>
      </c>
      <c r="AM44" t="s">
        <v>949</v>
      </c>
      <c r="AN44" s="5">
        <v>0</v>
      </c>
      <c r="AO44" t="s">
        <v>946</v>
      </c>
      <c r="AP44" s="135" t="s">
        <v>248</v>
      </c>
      <c r="AQ44" t="s">
        <v>950</v>
      </c>
      <c r="AR44" t="s">
        <v>947</v>
      </c>
      <c r="AS44" t="s">
        <v>992</v>
      </c>
    </row>
    <row r="45" spans="35:45" ht="15" customHeight="1" x14ac:dyDescent="0.25">
      <c r="AI45" t="s">
        <v>3</v>
      </c>
      <c r="AJ45" t="s">
        <v>591</v>
      </c>
      <c r="AK45" s="12">
        <v>45931</v>
      </c>
      <c r="AM45" t="s">
        <v>949</v>
      </c>
      <c r="AN45" s="5">
        <v>916.37</v>
      </c>
      <c r="AO45" t="s">
        <v>946</v>
      </c>
      <c r="AP45" s="135" t="s">
        <v>248</v>
      </c>
      <c r="AQ45" t="s">
        <v>950</v>
      </c>
      <c r="AR45" t="s">
        <v>947</v>
      </c>
      <c r="AS45" t="s">
        <v>993</v>
      </c>
    </row>
    <row r="46" spans="35:45" ht="15" customHeight="1" x14ac:dyDescent="0.25">
      <c r="AI46" t="s">
        <v>3</v>
      </c>
      <c r="AJ46" t="s">
        <v>591</v>
      </c>
      <c r="AK46" s="12">
        <v>45961.42</v>
      </c>
      <c r="AM46" t="s">
        <v>949</v>
      </c>
      <c r="AN46" s="5">
        <v>916.37</v>
      </c>
      <c r="AO46" t="s">
        <v>946</v>
      </c>
      <c r="AP46" s="135" t="s">
        <v>248</v>
      </c>
      <c r="AQ46" t="s">
        <v>950</v>
      </c>
      <c r="AR46" t="s">
        <v>947</v>
      </c>
      <c r="AS46" t="s">
        <v>994</v>
      </c>
    </row>
    <row r="47" spans="35:45" ht="15" customHeight="1" x14ac:dyDescent="0.25">
      <c r="AI47" t="s">
        <v>3</v>
      </c>
      <c r="AJ47" t="s">
        <v>591</v>
      </c>
      <c r="AK47" s="12">
        <v>45991.839999999997</v>
      </c>
      <c r="AM47" t="s">
        <v>949</v>
      </c>
      <c r="AN47" s="5"/>
      <c r="AO47" t="s">
        <v>946</v>
      </c>
      <c r="AP47" s="135" t="s">
        <v>248</v>
      </c>
      <c r="AQ47" t="s">
        <v>950</v>
      </c>
      <c r="AR47" t="s">
        <v>947</v>
      </c>
      <c r="AS47" t="s">
        <v>995</v>
      </c>
    </row>
    <row r="48" spans="35:45" ht="15" customHeight="1" x14ac:dyDescent="0.25">
      <c r="AI48" t="s">
        <v>3</v>
      </c>
      <c r="AJ48" t="s">
        <v>591</v>
      </c>
      <c r="AK48" s="12">
        <v>46022.259999999995</v>
      </c>
      <c r="AM48" t="s">
        <v>949</v>
      </c>
      <c r="AN48" s="5"/>
      <c r="AO48" t="s">
        <v>946</v>
      </c>
      <c r="AP48" s="135" t="s">
        <v>248</v>
      </c>
      <c r="AQ48" t="s">
        <v>950</v>
      </c>
      <c r="AR48" t="s">
        <v>947</v>
      </c>
      <c r="AS48" t="s">
        <v>996</v>
      </c>
    </row>
    <row r="49" spans="35:45" ht="15" customHeight="1" x14ac:dyDescent="0.25">
      <c r="AI49" t="s">
        <v>3</v>
      </c>
      <c r="AJ49" t="s">
        <v>591</v>
      </c>
      <c r="AK49" s="12">
        <v>46052.679999999993</v>
      </c>
      <c r="AM49" t="s">
        <v>949</v>
      </c>
      <c r="AN49" s="5"/>
      <c r="AO49" t="s">
        <v>946</v>
      </c>
      <c r="AP49" s="135" t="s">
        <v>248</v>
      </c>
      <c r="AQ49" t="s">
        <v>950</v>
      </c>
      <c r="AR49" t="s">
        <v>947</v>
      </c>
      <c r="AS49" t="s">
        <v>997</v>
      </c>
    </row>
    <row r="50" spans="35:45" ht="15" customHeight="1" x14ac:dyDescent="0.25">
      <c r="AI50" t="s">
        <v>3</v>
      </c>
      <c r="AJ50" t="s">
        <v>591</v>
      </c>
      <c r="AK50" s="12">
        <v>46083.099999999991</v>
      </c>
      <c r="AM50" t="s">
        <v>949</v>
      </c>
      <c r="AN50" s="5"/>
      <c r="AO50" t="s">
        <v>946</v>
      </c>
      <c r="AP50" s="135" t="s">
        <v>248</v>
      </c>
      <c r="AQ50" t="s">
        <v>950</v>
      </c>
      <c r="AR50" t="s">
        <v>947</v>
      </c>
      <c r="AS50" t="s">
        <v>998</v>
      </c>
    </row>
    <row r="51" spans="35:45" ht="15" customHeight="1" x14ac:dyDescent="0.25">
      <c r="AI51" t="s">
        <v>3</v>
      </c>
      <c r="AJ51" t="s">
        <v>591</v>
      </c>
      <c r="AK51" s="12">
        <v>46113.51999999999</v>
      </c>
      <c r="AM51" t="s">
        <v>949</v>
      </c>
      <c r="AN51" s="5"/>
      <c r="AO51" t="s">
        <v>946</v>
      </c>
      <c r="AP51" s="135" t="s">
        <v>248</v>
      </c>
      <c r="AQ51" t="s">
        <v>950</v>
      </c>
      <c r="AR51" t="s">
        <v>947</v>
      </c>
      <c r="AS51" t="s">
        <v>999</v>
      </c>
    </row>
    <row r="52" spans="35:45" ht="15" customHeight="1" x14ac:dyDescent="0.25">
      <c r="AI52" t="s">
        <v>3</v>
      </c>
      <c r="AJ52" t="s">
        <v>591</v>
      </c>
      <c r="AK52" s="12">
        <v>46143.939999999988</v>
      </c>
      <c r="AM52" t="s">
        <v>949</v>
      </c>
      <c r="AN52" s="5"/>
      <c r="AO52" t="s">
        <v>946</v>
      </c>
      <c r="AP52" s="135" t="s">
        <v>248</v>
      </c>
      <c r="AQ52" t="s">
        <v>950</v>
      </c>
      <c r="AR52" t="s">
        <v>947</v>
      </c>
      <c r="AS52" t="s">
        <v>1000</v>
      </c>
    </row>
    <row r="53" spans="35:45" ht="15" customHeight="1" x14ac:dyDescent="0.25">
      <c r="AI53" t="s">
        <v>3</v>
      </c>
      <c r="AJ53" t="s">
        <v>591</v>
      </c>
      <c r="AK53" s="12">
        <v>46174.359999999986</v>
      </c>
      <c r="AM53" t="s">
        <v>949</v>
      </c>
      <c r="AN53" s="5"/>
      <c r="AO53" t="s">
        <v>946</v>
      </c>
      <c r="AP53" s="135" t="s">
        <v>248</v>
      </c>
      <c r="AQ53" t="s">
        <v>950</v>
      </c>
      <c r="AR53" t="s">
        <v>947</v>
      </c>
      <c r="AS53" t="s">
        <v>1001</v>
      </c>
    </row>
    <row r="54" spans="35:45" ht="15" customHeight="1" x14ac:dyDescent="0.25">
      <c r="AI54" t="s">
        <v>3</v>
      </c>
      <c r="AJ54" t="s">
        <v>591</v>
      </c>
      <c r="AK54" s="12">
        <v>46204.779999999984</v>
      </c>
      <c r="AM54" t="s">
        <v>949</v>
      </c>
      <c r="AN54" s="5"/>
      <c r="AO54" t="s">
        <v>946</v>
      </c>
      <c r="AP54" s="135" t="s">
        <v>248</v>
      </c>
      <c r="AQ54" t="s">
        <v>950</v>
      </c>
      <c r="AR54" t="s">
        <v>947</v>
      </c>
      <c r="AS54" t="s">
        <v>1002</v>
      </c>
    </row>
    <row r="55" spans="35:45" ht="15" customHeight="1" x14ac:dyDescent="0.25">
      <c r="AI55" t="s">
        <v>3</v>
      </c>
      <c r="AJ55" t="s">
        <v>591</v>
      </c>
      <c r="AK55" s="12">
        <v>46235.199999999983</v>
      </c>
      <c r="AM55" t="s">
        <v>949</v>
      </c>
      <c r="AN55" s="5"/>
      <c r="AO55" t="s">
        <v>946</v>
      </c>
      <c r="AP55" s="135" t="s">
        <v>248</v>
      </c>
      <c r="AQ55" t="s">
        <v>950</v>
      </c>
      <c r="AR55" t="s">
        <v>947</v>
      </c>
      <c r="AS55" t="s">
        <v>1003</v>
      </c>
    </row>
    <row r="56" spans="35:45" ht="15" customHeight="1" x14ac:dyDescent="0.25">
      <c r="AI56" t="s">
        <v>3</v>
      </c>
      <c r="AJ56" t="s">
        <v>591</v>
      </c>
      <c r="AK56" s="12">
        <v>46265.619999999981</v>
      </c>
      <c r="AM56" t="s">
        <v>949</v>
      </c>
      <c r="AN56" s="5"/>
      <c r="AO56" t="s">
        <v>946</v>
      </c>
      <c r="AP56" s="135" t="s">
        <v>248</v>
      </c>
      <c r="AQ56" t="s">
        <v>950</v>
      </c>
      <c r="AR56" t="s">
        <v>947</v>
      </c>
      <c r="AS56" t="s">
        <v>1004</v>
      </c>
    </row>
    <row r="57" spans="35:45" ht="15" customHeight="1" x14ac:dyDescent="0.25">
      <c r="AI57" t="s">
        <v>3</v>
      </c>
      <c r="AJ57" t="s">
        <v>591</v>
      </c>
      <c r="AK57" s="12">
        <v>46296.039999999979</v>
      </c>
      <c r="AM57" t="s">
        <v>949</v>
      </c>
      <c r="AN57" s="5"/>
      <c r="AO57" t="s">
        <v>946</v>
      </c>
      <c r="AP57" s="135" t="s">
        <v>248</v>
      </c>
      <c r="AQ57" t="s">
        <v>950</v>
      </c>
      <c r="AR57" t="s">
        <v>947</v>
      </c>
      <c r="AS57" t="s">
        <v>1005</v>
      </c>
    </row>
    <row r="58" spans="35:45" ht="15" customHeight="1" x14ac:dyDescent="0.25">
      <c r="AI58" t="s">
        <v>3</v>
      </c>
      <c r="AJ58" t="s">
        <v>591</v>
      </c>
      <c r="AK58" s="12">
        <v>46326.459999999977</v>
      </c>
      <c r="AM58" t="s">
        <v>949</v>
      </c>
      <c r="AN58" s="5"/>
      <c r="AO58" t="s">
        <v>946</v>
      </c>
      <c r="AP58" s="135" t="s">
        <v>248</v>
      </c>
      <c r="AQ58" t="s">
        <v>950</v>
      </c>
      <c r="AR58" t="s">
        <v>947</v>
      </c>
      <c r="AS58" t="s">
        <v>1006</v>
      </c>
    </row>
    <row r="59" spans="35:45" ht="15" customHeight="1" x14ac:dyDescent="0.25">
      <c r="AI59" t="s">
        <v>3</v>
      </c>
      <c r="AJ59" t="s">
        <v>591</v>
      </c>
      <c r="AK59" s="12">
        <v>46356.879999999976</v>
      </c>
      <c r="AM59" t="s">
        <v>949</v>
      </c>
      <c r="AN59" s="5"/>
      <c r="AO59" t="s">
        <v>946</v>
      </c>
      <c r="AP59" s="135" t="s">
        <v>248</v>
      </c>
      <c r="AQ59" t="s">
        <v>950</v>
      </c>
      <c r="AR59" t="s">
        <v>947</v>
      </c>
      <c r="AS59" t="s">
        <v>1007</v>
      </c>
    </row>
    <row r="60" spans="35:45" ht="15" customHeight="1" x14ac:dyDescent="0.25">
      <c r="AI60" t="s">
        <v>3</v>
      </c>
      <c r="AJ60" t="s">
        <v>478</v>
      </c>
      <c r="AK60" s="12">
        <v>45805</v>
      </c>
      <c r="AM60" t="s">
        <v>949</v>
      </c>
      <c r="AN60" s="5">
        <v>0</v>
      </c>
      <c r="AO60" t="s">
        <v>946</v>
      </c>
      <c r="AP60" s="135" t="s">
        <v>248</v>
      </c>
      <c r="AQ60" t="s">
        <v>950</v>
      </c>
      <c r="AR60" t="s">
        <v>947</v>
      </c>
      <c r="AS60" t="s">
        <v>1008</v>
      </c>
    </row>
    <row r="61" spans="35:45" ht="15" customHeight="1" x14ac:dyDescent="0.25">
      <c r="AI61" t="s">
        <v>3</v>
      </c>
      <c r="AJ61" t="s">
        <v>478</v>
      </c>
      <c r="AK61" s="12">
        <v>45835.42</v>
      </c>
      <c r="AM61" t="s">
        <v>949</v>
      </c>
      <c r="AN61" s="5">
        <v>0</v>
      </c>
      <c r="AO61" t="s">
        <v>946</v>
      </c>
      <c r="AP61" s="135" t="s">
        <v>248</v>
      </c>
      <c r="AQ61" t="s">
        <v>950</v>
      </c>
      <c r="AR61" t="s">
        <v>947</v>
      </c>
      <c r="AS61" t="s">
        <v>1009</v>
      </c>
    </row>
    <row r="62" spans="35:45" ht="15" customHeight="1" x14ac:dyDescent="0.25">
      <c r="AI62" t="s">
        <v>3</v>
      </c>
      <c r="AJ62" t="s">
        <v>478</v>
      </c>
      <c r="AK62" s="12">
        <v>45865.84</v>
      </c>
      <c r="AM62" t="s">
        <v>949</v>
      </c>
      <c r="AN62" s="5">
        <v>0</v>
      </c>
      <c r="AO62" t="s">
        <v>946</v>
      </c>
      <c r="AP62" s="135" t="s">
        <v>248</v>
      </c>
      <c r="AQ62" t="s">
        <v>950</v>
      </c>
      <c r="AR62" t="s">
        <v>947</v>
      </c>
      <c r="AS62" t="s">
        <v>1010</v>
      </c>
    </row>
    <row r="63" spans="35:45" ht="15" customHeight="1" x14ac:dyDescent="0.25">
      <c r="AI63" t="s">
        <v>3</v>
      </c>
      <c r="AJ63" t="s">
        <v>478</v>
      </c>
      <c r="AK63" s="12">
        <v>45896.259999999995</v>
      </c>
      <c r="AM63" t="s">
        <v>949</v>
      </c>
      <c r="AN63" s="5">
        <v>0</v>
      </c>
      <c r="AO63" t="s">
        <v>946</v>
      </c>
      <c r="AP63" s="135" t="s">
        <v>248</v>
      </c>
      <c r="AQ63" t="s">
        <v>950</v>
      </c>
      <c r="AR63" t="s">
        <v>947</v>
      </c>
      <c r="AS63" t="s">
        <v>1011</v>
      </c>
    </row>
    <row r="64" spans="35:45" ht="15" customHeight="1" x14ac:dyDescent="0.25">
      <c r="AI64" t="s">
        <v>3</v>
      </c>
      <c r="AJ64" t="s">
        <v>478</v>
      </c>
      <c r="AK64" s="12">
        <v>45926.679999999993</v>
      </c>
      <c r="AM64" t="s">
        <v>949</v>
      </c>
      <c r="AN64" s="5">
        <v>0</v>
      </c>
      <c r="AO64" t="s">
        <v>946</v>
      </c>
      <c r="AP64" s="135" t="s">
        <v>248</v>
      </c>
      <c r="AQ64" t="s">
        <v>950</v>
      </c>
      <c r="AR64" t="s">
        <v>947</v>
      </c>
      <c r="AS64" t="s">
        <v>1012</v>
      </c>
    </row>
    <row r="65" spans="35:45" ht="15" customHeight="1" x14ac:dyDescent="0.25">
      <c r="AI65" t="s">
        <v>3</v>
      </c>
      <c r="AJ65" t="s">
        <v>478</v>
      </c>
      <c r="AK65" s="12">
        <v>45957.099999999991</v>
      </c>
      <c r="AM65" t="s">
        <v>949</v>
      </c>
      <c r="AN65" s="5">
        <v>0</v>
      </c>
      <c r="AO65" t="s">
        <v>946</v>
      </c>
      <c r="AP65" s="135" t="s">
        <v>248</v>
      </c>
      <c r="AQ65" t="s">
        <v>950</v>
      </c>
      <c r="AR65" t="s">
        <v>947</v>
      </c>
      <c r="AS65" t="s">
        <v>1013</v>
      </c>
    </row>
    <row r="66" spans="35:45" ht="15" customHeight="1" x14ac:dyDescent="0.25">
      <c r="AI66" t="s">
        <v>3</v>
      </c>
      <c r="AJ66" t="s">
        <v>478</v>
      </c>
      <c r="AK66" s="12">
        <v>45987.51999999999</v>
      </c>
      <c r="AM66" t="s">
        <v>949</v>
      </c>
      <c r="AN66" s="5">
        <v>0</v>
      </c>
      <c r="AO66" t="s">
        <v>946</v>
      </c>
      <c r="AP66" s="135" t="s">
        <v>248</v>
      </c>
      <c r="AQ66" t="s">
        <v>950</v>
      </c>
      <c r="AR66" t="s">
        <v>947</v>
      </c>
      <c r="AS66" t="s">
        <v>1014</v>
      </c>
    </row>
    <row r="67" spans="35:45" ht="15" customHeight="1" x14ac:dyDescent="0.25">
      <c r="AI67" t="s">
        <v>3</v>
      </c>
      <c r="AJ67" t="s">
        <v>478</v>
      </c>
      <c r="AK67" s="12">
        <v>46017.939999999988</v>
      </c>
      <c r="AM67" t="s">
        <v>949</v>
      </c>
      <c r="AN67" s="5">
        <v>0</v>
      </c>
      <c r="AO67" t="s">
        <v>946</v>
      </c>
      <c r="AP67" s="135" t="s">
        <v>248</v>
      </c>
      <c r="AQ67" t="s">
        <v>950</v>
      </c>
      <c r="AR67" t="s">
        <v>947</v>
      </c>
      <c r="AS67" t="s">
        <v>1015</v>
      </c>
    </row>
    <row r="68" spans="35:45" ht="15" customHeight="1" x14ac:dyDescent="0.25">
      <c r="AI68" t="s">
        <v>3</v>
      </c>
      <c r="AJ68" t="s">
        <v>478</v>
      </c>
      <c r="AK68" s="12">
        <v>46048.359999999986</v>
      </c>
      <c r="AM68" t="s">
        <v>949</v>
      </c>
      <c r="AN68" s="5">
        <v>0</v>
      </c>
      <c r="AO68" t="s">
        <v>946</v>
      </c>
      <c r="AP68" s="135" t="s">
        <v>248</v>
      </c>
      <c r="AQ68" t="s">
        <v>950</v>
      </c>
      <c r="AR68" t="s">
        <v>947</v>
      </c>
      <c r="AS68" t="s">
        <v>1016</v>
      </c>
    </row>
    <row r="69" spans="35:45" ht="15" customHeight="1" x14ac:dyDescent="0.25">
      <c r="AI69" t="s">
        <v>3</v>
      </c>
      <c r="AJ69" t="s">
        <v>478</v>
      </c>
      <c r="AK69" s="12">
        <v>46078.779999999984</v>
      </c>
      <c r="AM69" t="s">
        <v>949</v>
      </c>
      <c r="AN69" s="5">
        <v>0</v>
      </c>
      <c r="AO69" t="s">
        <v>946</v>
      </c>
      <c r="AP69" s="135" t="s">
        <v>248</v>
      </c>
      <c r="AQ69" t="s">
        <v>950</v>
      </c>
      <c r="AR69" t="s">
        <v>947</v>
      </c>
      <c r="AS69" t="s">
        <v>1017</v>
      </c>
    </row>
    <row r="70" spans="35:45" ht="15" customHeight="1" x14ac:dyDescent="0.25">
      <c r="AI70" t="s">
        <v>3</v>
      </c>
      <c r="AJ70" t="s">
        <v>478</v>
      </c>
      <c r="AK70" s="12">
        <v>46109.199999999983</v>
      </c>
      <c r="AM70" t="s">
        <v>949</v>
      </c>
      <c r="AN70" s="5">
        <v>0</v>
      </c>
      <c r="AO70" t="s">
        <v>946</v>
      </c>
      <c r="AP70" s="135" t="s">
        <v>248</v>
      </c>
      <c r="AQ70" t="s">
        <v>950</v>
      </c>
      <c r="AR70" t="s">
        <v>947</v>
      </c>
      <c r="AS70" t="s">
        <v>1018</v>
      </c>
    </row>
    <row r="71" spans="35:45" ht="15" customHeight="1" x14ac:dyDescent="0.25">
      <c r="AI71" t="s">
        <v>3</v>
      </c>
      <c r="AJ71" t="s">
        <v>478</v>
      </c>
      <c r="AK71" s="12">
        <v>46139.619999999981</v>
      </c>
      <c r="AM71" t="s">
        <v>949</v>
      </c>
      <c r="AN71" s="5">
        <v>0</v>
      </c>
      <c r="AO71" t="s">
        <v>946</v>
      </c>
      <c r="AP71" s="135" t="s">
        <v>248</v>
      </c>
      <c r="AQ71" t="s">
        <v>950</v>
      </c>
      <c r="AR71" t="s">
        <v>947</v>
      </c>
      <c r="AS71" t="s">
        <v>1019</v>
      </c>
    </row>
    <row r="72" spans="35:45" ht="15" customHeight="1" x14ac:dyDescent="0.25">
      <c r="AI72" t="s">
        <v>3</v>
      </c>
      <c r="AJ72" t="s">
        <v>478</v>
      </c>
      <c r="AK72" s="12">
        <v>46170.039999999979</v>
      </c>
      <c r="AM72" t="s">
        <v>949</v>
      </c>
      <c r="AN72" s="5">
        <v>0</v>
      </c>
      <c r="AO72" t="s">
        <v>946</v>
      </c>
      <c r="AP72" s="135" t="s">
        <v>248</v>
      </c>
      <c r="AQ72" t="s">
        <v>950</v>
      </c>
      <c r="AR72" t="s">
        <v>947</v>
      </c>
      <c r="AS72" t="s">
        <v>1020</v>
      </c>
    </row>
    <row r="73" spans="35:45" ht="15" customHeight="1" x14ac:dyDescent="0.25">
      <c r="AI73" t="s">
        <v>3</v>
      </c>
      <c r="AJ73" t="s">
        <v>478</v>
      </c>
      <c r="AK73" s="12">
        <v>46200.459999999977</v>
      </c>
      <c r="AM73" t="s">
        <v>949</v>
      </c>
      <c r="AN73" s="5">
        <v>0</v>
      </c>
      <c r="AO73" t="s">
        <v>946</v>
      </c>
      <c r="AP73" s="135" t="s">
        <v>248</v>
      </c>
      <c r="AQ73" t="s">
        <v>950</v>
      </c>
      <c r="AR73" t="s">
        <v>947</v>
      </c>
      <c r="AS73" t="s">
        <v>1021</v>
      </c>
    </row>
    <row r="74" spans="35:45" ht="15" customHeight="1" x14ac:dyDescent="0.25">
      <c r="AI74" t="s">
        <v>3</v>
      </c>
      <c r="AJ74" t="s">
        <v>478</v>
      </c>
      <c r="AK74" s="12">
        <v>46230.879999999976</v>
      </c>
      <c r="AM74" t="s">
        <v>949</v>
      </c>
      <c r="AN74" s="5">
        <v>0</v>
      </c>
      <c r="AO74" t="s">
        <v>946</v>
      </c>
      <c r="AP74" s="135" t="s">
        <v>248</v>
      </c>
      <c r="AQ74" t="s">
        <v>950</v>
      </c>
      <c r="AR74" t="s">
        <v>947</v>
      </c>
      <c r="AS74" t="s">
        <v>1022</v>
      </c>
    </row>
    <row r="75" spans="35:45" ht="15" customHeight="1" x14ac:dyDescent="0.25">
      <c r="AI75" t="s">
        <v>3</v>
      </c>
      <c r="AJ75" t="s">
        <v>478</v>
      </c>
      <c r="AK75" s="12">
        <v>46261.299999999974</v>
      </c>
      <c r="AM75" t="s">
        <v>949</v>
      </c>
      <c r="AN75" s="5">
        <v>0</v>
      </c>
      <c r="AO75" t="s">
        <v>946</v>
      </c>
      <c r="AP75" s="135" t="s">
        <v>248</v>
      </c>
      <c r="AQ75" t="s">
        <v>950</v>
      </c>
      <c r="AR75" t="s">
        <v>947</v>
      </c>
      <c r="AS75" t="s">
        <v>1023</v>
      </c>
    </row>
    <row r="76" spans="35:45" ht="15" customHeight="1" x14ac:dyDescent="0.25">
      <c r="AI76" t="s">
        <v>3</v>
      </c>
      <c r="AJ76" t="s">
        <v>478</v>
      </c>
      <c r="AK76" s="12">
        <v>46291.719999999972</v>
      </c>
      <c r="AM76" t="s">
        <v>949</v>
      </c>
      <c r="AN76" s="5">
        <v>0</v>
      </c>
      <c r="AO76" t="s">
        <v>946</v>
      </c>
      <c r="AP76" s="135" t="s">
        <v>248</v>
      </c>
      <c r="AQ76" t="s">
        <v>950</v>
      </c>
      <c r="AR76" t="s">
        <v>947</v>
      </c>
      <c r="AS76" t="s">
        <v>1024</v>
      </c>
    </row>
    <row r="77" spans="35:45" ht="15" customHeight="1" x14ac:dyDescent="0.25">
      <c r="AI77" t="s">
        <v>3</v>
      </c>
      <c r="AJ77" t="s">
        <v>478</v>
      </c>
      <c r="AK77" s="12">
        <v>46322.13999999997</v>
      </c>
      <c r="AM77" t="s">
        <v>949</v>
      </c>
      <c r="AN77" s="5">
        <v>0</v>
      </c>
      <c r="AO77" t="s">
        <v>946</v>
      </c>
      <c r="AP77" s="135" t="s">
        <v>248</v>
      </c>
      <c r="AQ77" t="s">
        <v>950</v>
      </c>
      <c r="AR77" t="s">
        <v>947</v>
      </c>
      <c r="AS77" t="s">
        <v>1025</v>
      </c>
    </row>
    <row r="78" spans="35:45" ht="15" customHeight="1" x14ac:dyDescent="0.25">
      <c r="AI78" t="s">
        <v>3</v>
      </c>
      <c r="AJ78" t="s">
        <v>478</v>
      </c>
      <c r="AK78" s="12">
        <v>46352.559999999969</v>
      </c>
      <c r="AM78" t="s">
        <v>949</v>
      </c>
      <c r="AN78" s="5">
        <v>0</v>
      </c>
      <c r="AO78" t="s">
        <v>946</v>
      </c>
      <c r="AP78" s="135" t="s">
        <v>248</v>
      </c>
      <c r="AQ78" t="s">
        <v>950</v>
      </c>
      <c r="AR78" t="s">
        <v>947</v>
      </c>
      <c r="AS78" t="s">
        <v>1026</v>
      </c>
    </row>
    <row r="79" spans="35:45" ht="15" customHeight="1" x14ac:dyDescent="0.25">
      <c r="AI79" t="s">
        <v>3</v>
      </c>
      <c r="AJ79" t="s">
        <v>935</v>
      </c>
      <c r="AK79" s="12">
        <v>45751</v>
      </c>
      <c r="AM79" t="s">
        <v>949</v>
      </c>
      <c r="AN79" s="5">
        <v>50</v>
      </c>
      <c r="AO79" t="s">
        <v>946</v>
      </c>
      <c r="AP79" s="135" t="s">
        <v>248</v>
      </c>
      <c r="AQ79" t="s">
        <v>950</v>
      </c>
      <c r="AR79" t="s">
        <v>947</v>
      </c>
      <c r="AS79" t="s">
        <v>1027</v>
      </c>
    </row>
    <row r="80" spans="35:45" ht="15" customHeight="1" x14ac:dyDescent="0.25">
      <c r="AI80" t="s">
        <v>3</v>
      </c>
      <c r="AJ80" t="s">
        <v>935</v>
      </c>
      <c r="AK80" s="12">
        <v>45751</v>
      </c>
      <c r="AM80" t="s">
        <v>949</v>
      </c>
      <c r="AN80" s="5">
        <v>47.9</v>
      </c>
      <c r="AO80" t="s">
        <v>946</v>
      </c>
      <c r="AP80" s="135" t="s">
        <v>248</v>
      </c>
      <c r="AQ80" t="s">
        <v>950</v>
      </c>
      <c r="AR80" t="s">
        <v>947</v>
      </c>
      <c r="AS80" t="s">
        <v>1028</v>
      </c>
    </row>
    <row r="81" spans="35:45" ht="15" customHeight="1" x14ac:dyDescent="0.25">
      <c r="AI81" t="s">
        <v>3</v>
      </c>
      <c r="AJ81" t="s">
        <v>935</v>
      </c>
      <c r="AK81" s="12">
        <v>45781.42</v>
      </c>
      <c r="AM81" t="s">
        <v>949</v>
      </c>
      <c r="AN81" s="5">
        <v>53.51</v>
      </c>
      <c r="AO81" t="s">
        <v>946</v>
      </c>
      <c r="AP81" s="135" t="s">
        <v>248</v>
      </c>
      <c r="AQ81" t="s">
        <v>950</v>
      </c>
      <c r="AR81" t="s">
        <v>947</v>
      </c>
      <c r="AS81" t="s">
        <v>1029</v>
      </c>
    </row>
    <row r="82" spans="35:45" ht="15" customHeight="1" x14ac:dyDescent="0.25">
      <c r="AI82" t="s">
        <v>3</v>
      </c>
      <c r="AJ82" t="s">
        <v>935</v>
      </c>
      <c r="AK82" s="12">
        <v>45811.839999999997</v>
      </c>
      <c r="AM82" t="s">
        <v>949</v>
      </c>
      <c r="AN82" s="5">
        <v>61.43</v>
      </c>
      <c r="AO82" t="s">
        <v>946</v>
      </c>
      <c r="AP82" s="135" t="s">
        <v>248</v>
      </c>
      <c r="AQ82" t="s">
        <v>950</v>
      </c>
      <c r="AR82" t="s">
        <v>947</v>
      </c>
      <c r="AS82" t="s">
        <v>1030</v>
      </c>
    </row>
    <row r="83" spans="35:45" ht="15" customHeight="1" x14ac:dyDescent="0.25">
      <c r="AI83" t="s">
        <v>3</v>
      </c>
      <c r="AJ83" t="s">
        <v>935</v>
      </c>
      <c r="AK83" s="12">
        <v>45842.259999999995</v>
      </c>
      <c r="AM83" t="s">
        <v>949</v>
      </c>
      <c r="AN83" s="5">
        <v>64.8</v>
      </c>
      <c r="AO83" t="s">
        <v>946</v>
      </c>
      <c r="AP83" s="135" t="s">
        <v>248</v>
      </c>
      <c r="AQ83" t="s">
        <v>950</v>
      </c>
      <c r="AR83" t="s">
        <v>947</v>
      </c>
      <c r="AS83" t="s">
        <v>1031</v>
      </c>
    </row>
    <row r="84" spans="35:45" ht="15" customHeight="1" x14ac:dyDescent="0.25">
      <c r="AI84" t="s">
        <v>3</v>
      </c>
      <c r="AJ84" t="s">
        <v>935</v>
      </c>
      <c r="AK84" s="12">
        <v>45872.679999999993</v>
      </c>
      <c r="AM84" t="s">
        <v>949</v>
      </c>
      <c r="AN84" s="5">
        <v>0</v>
      </c>
      <c r="AO84" t="s">
        <v>946</v>
      </c>
      <c r="AP84" s="135" t="s">
        <v>248</v>
      </c>
      <c r="AQ84" t="s">
        <v>950</v>
      </c>
      <c r="AR84" t="s">
        <v>947</v>
      </c>
      <c r="AS84" t="s">
        <v>1032</v>
      </c>
    </row>
    <row r="85" spans="35:45" ht="15" customHeight="1" x14ac:dyDescent="0.25">
      <c r="AI85" t="s">
        <v>3</v>
      </c>
      <c r="AJ85" t="s">
        <v>935</v>
      </c>
      <c r="AK85" s="12">
        <v>45903.099999999991</v>
      </c>
      <c r="AM85" t="s">
        <v>949</v>
      </c>
      <c r="AN85" s="5">
        <v>0</v>
      </c>
      <c r="AO85" t="s">
        <v>946</v>
      </c>
      <c r="AP85" s="135" t="s">
        <v>248</v>
      </c>
      <c r="AQ85" t="s">
        <v>950</v>
      </c>
      <c r="AR85" t="s">
        <v>947</v>
      </c>
      <c r="AS85" t="s">
        <v>1033</v>
      </c>
    </row>
    <row r="86" spans="35:45" ht="15" customHeight="1" x14ac:dyDescent="0.25">
      <c r="AI86" t="s">
        <v>3</v>
      </c>
      <c r="AJ86" t="s">
        <v>935</v>
      </c>
      <c r="AK86" s="12">
        <v>45933.51999999999</v>
      </c>
      <c r="AM86" t="s">
        <v>949</v>
      </c>
      <c r="AN86" s="5">
        <v>0</v>
      </c>
      <c r="AO86" t="s">
        <v>946</v>
      </c>
      <c r="AP86" s="135" t="s">
        <v>248</v>
      </c>
      <c r="AQ86" t="s">
        <v>950</v>
      </c>
      <c r="AR86" t="s">
        <v>947</v>
      </c>
      <c r="AS86" t="s">
        <v>1034</v>
      </c>
    </row>
    <row r="87" spans="35:45" ht="15" customHeight="1" x14ac:dyDescent="0.25">
      <c r="AI87" t="s">
        <v>3</v>
      </c>
      <c r="AJ87" t="s">
        <v>935</v>
      </c>
      <c r="AK87" s="12">
        <v>45963.939999999988</v>
      </c>
      <c r="AM87" t="s">
        <v>949</v>
      </c>
      <c r="AN87" s="5">
        <v>0</v>
      </c>
      <c r="AO87" t="s">
        <v>946</v>
      </c>
      <c r="AP87" s="135" t="s">
        <v>248</v>
      </c>
      <c r="AQ87" t="s">
        <v>950</v>
      </c>
      <c r="AR87" t="s">
        <v>947</v>
      </c>
      <c r="AS87" t="s">
        <v>1035</v>
      </c>
    </row>
    <row r="88" spans="35:45" ht="15" customHeight="1" x14ac:dyDescent="0.25">
      <c r="AI88" t="s">
        <v>3</v>
      </c>
      <c r="AJ88" t="s">
        <v>935</v>
      </c>
      <c r="AK88" s="12">
        <v>45994.359999999986</v>
      </c>
      <c r="AM88" t="s">
        <v>949</v>
      </c>
      <c r="AN88" s="5">
        <v>0</v>
      </c>
      <c r="AO88" t="s">
        <v>946</v>
      </c>
      <c r="AP88" s="135" t="s">
        <v>248</v>
      </c>
      <c r="AQ88" t="s">
        <v>950</v>
      </c>
      <c r="AR88" t="s">
        <v>947</v>
      </c>
      <c r="AS88" t="s">
        <v>1036</v>
      </c>
    </row>
    <row r="89" spans="35:45" ht="15" customHeight="1" x14ac:dyDescent="0.25">
      <c r="AI89" t="s">
        <v>3</v>
      </c>
      <c r="AJ89" t="s">
        <v>935</v>
      </c>
      <c r="AK89" s="12">
        <v>46024.779999999984</v>
      </c>
      <c r="AM89" t="s">
        <v>949</v>
      </c>
      <c r="AN89" s="5">
        <v>0</v>
      </c>
      <c r="AO89" t="s">
        <v>946</v>
      </c>
      <c r="AP89" s="135" t="s">
        <v>248</v>
      </c>
      <c r="AQ89" t="s">
        <v>950</v>
      </c>
      <c r="AR89" t="s">
        <v>947</v>
      </c>
      <c r="AS89" t="s">
        <v>1037</v>
      </c>
    </row>
    <row r="90" spans="35:45" ht="15" customHeight="1" x14ac:dyDescent="0.25">
      <c r="AI90" t="s">
        <v>3</v>
      </c>
      <c r="AJ90" t="s">
        <v>935</v>
      </c>
      <c r="AK90" s="12">
        <v>46055.199999999983</v>
      </c>
      <c r="AM90" t="s">
        <v>949</v>
      </c>
      <c r="AN90" s="5">
        <v>0</v>
      </c>
      <c r="AO90" t="s">
        <v>946</v>
      </c>
      <c r="AP90" s="135" t="s">
        <v>248</v>
      </c>
      <c r="AQ90" t="s">
        <v>950</v>
      </c>
      <c r="AR90" t="s">
        <v>947</v>
      </c>
      <c r="AS90" t="s">
        <v>1038</v>
      </c>
    </row>
    <row r="91" spans="35:45" ht="15" customHeight="1" x14ac:dyDescent="0.25">
      <c r="AI91" t="s">
        <v>3</v>
      </c>
      <c r="AJ91" t="s">
        <v>935</v>
      </c>
      <c r="AK91" s="12">
        <v>46085.619999999981</v>
      </c>
      <c r="AM91" t="s">
        <v>949</v>
      </c>
      <c r="AN91" s="5">
        <v>0</v>
      </c>
      <c r="AO91" t="s">
        <v>946</v>
      </c>
      <c r="AP91" s="135" t="s">
        <v>248</v>
      </c>
      <c r="AQ91" t="s">
        <v>950</v>
      </c>
      <c r="AR91" t="s">
        <v>947</v>
      </c>
      <c r="AS91" t="s">
        <v>1039</v>
      </c>
    </row>
    <row r="92" spans="35:45" ht="15" customHeight="1" x14ac:dyDescent="0.25">
      <c r="AI92" t="s">
        <v>3</v>
      </c>
      <c r="AJ92" t="s">
        <v>935</v>
      </c>
      <c r="AK92" s="12">
        <v>46116.039999999979</v>
      </c>
      <c r="AM92" t="s">
        <v>949</v>
      </c>
      <c r="AN92" s="5">
        <v>0</v>
      </c>
      <c r="AO92" t="s">
        <v>946</v>
      </c>
      <c r="AP92" s="135" t="s">
        <v>248</v>
      </c>
      <c r="AQ92" t="s">
        <v>950</v>
      </c>
      <c r="AR92" t="s">
        <v>947</v>
      </c>
      <c r="AS92" t="s">
        <v>1040</v>
      </c>
    </row>
    <row r="93" spans="35:45" x14ac:dyDescent="0.25">
      <c r="AI93" t="s">
        <v>3</v>
      </c>
      <c r="AJ93" t="s">
        <v>935</v>
      </c>
      <c r="AK93" s="12">
        <v>46146.459999999977</v>
      </c>
      <c r="AM93" t="s">
        <v>949</v>
      </c>
      <c r="AN93" s="5">
        <v>0</v>
      </c>
      <c r="AO93" t="s">
        <v>946</v>
      </c>
      <c r="AP93" s="135" t="s">
        <v>248</v>
      </c>
      <c r="AQ93" t="s">
        <v>950</v>
      </c>
      <c r="AR93" t="s">
        <v>947</v>
      </c>
      <c r="AS93" t="s">
        <v>1041</v>
      </c>
    </row>
    <row r="94" spans="35:45" x14ac:dyDescent="0.25">
      <c r="AI94" t="s">
        <v>3</v>
      </c>
      <c r="AJ94" t="s">
        <v>935</v>
      </c>
      <c r="AK94" s="12">
        <v>46176.879999999976</v>
      </c>
      <c r="AM94" t="s">
        <v>949</v>
      </c>
      <c r="AN94" s="5">
        <v>0</v>
      </c>
      <c r="AO94" t="s">
        <v>946</v>
      </c>
      <c r="AP94" s="135" t="s">
        <v>248</v>
      </c>
      <c r="AQ94" t="s">
        <v>950</v>
      </c>
      <c r="AR94" t="s">
        <v>947</v>
      </c>
      <c r="AS94" t="s">
        <v>1042</v>
      </c>
    </row>
    <row r="95" spans="35:45" x14ac:dyDescent="0.25">
      <c r="AI95" t="s">
        <v>3</v>
      </c>
      <c r="AJ95" t="s">
        <v>935</v>
      </c>
      <c r="AK95" s="12">
        <v>46207.299999999974</v>
      </c>
      <c r="AM95" t="s">
        <v>949</v>
      </c>
      <c r="AN95" s="5">
        <v>0</v>
      </c>
      <c r="AO95" t="s">
        <v>946</v>
      </c>
      <c r="AP95" s="135" t="s">
        <v>248</v>
      </c>
      <c r="AQ95" t="s">
        <v>950</v>
      </c>
      <c r="AR95" t="s">
        <v>947</v>
      </c>
      <c r="AS95" t="s">
        <v>1043</v>
      </c>
    </row>
    <row r="96" spans="35:45" x14ac:dyDescent="0.25">
      <c r="AI96" t="s">
        <v>3</v>
      </c>
      <c r="AJ96" t="s">
        <v>935</v>
      </c>
      <c r="AK96" s="12">
        <v>46237.719999999972</v>
      </c>
      <c r="AM96" t="s">
        <v>949</v>
      </c>
      <c r="AN96" s="5">
        <v>0</v>
      </c>
      <c r="AO96" t="s">
        <v>946</v>
      </c>
      <c r="AP96" s="135" t="s">
        <v>248</v>
      </c>
      <c r="AQ96" t="s">
        <v>950</v>
      </c>
      <c r="AR96" t="s">
        <v>947</v>
      </c>
      <c r="AS96" t="s">
        <v>1044</v>
      </c>
    </row>
    <row r="97" spans="35:45" x14ac:dyDescent="0.25">
      <c r="AI97" t="s">
        <v>3</v>
      </c>
      <c r="AJ97" t="s">
        <v>935</v>
      </c>
      <c r="AK97" s="12">
        <v>46268.13999999997</v>
      </c>
      <c r="AM97" t="s">
        <v>949</v>
      </c>
      <c r="AN97" s="5">
        <v>0</v>
      </c>
      <c r="AO97" t="s">
        <v>946</v>
      </c>
      <c r="AP97" s="135" t="s">
        <v>248</v>
      </c>
      <c r="AQ97" t="s">
        <v>950</v>
      </c>
      <c r="AR97" t="s">
        <v>947</v>
      </c>
      <c r="AS97" t="s">
        <v>1045</v>
      </c>
    </row>
    <row r="98" spans="35:45" x14ac:dyDescent="0.25">
      <c r="AI98" t="s">
        <v>3</v>
      </c>
      <c r="AJ98" t="s">
        <v>935</v>
      </c>
      <c r="AK98" s="12">
        <v>46298.559999999969</v>
      </c>
      <c r="AM98" t="s">
        <v>949</v>
      </c>
      <c r="AN98" s="5">
        <v>0</v>
      </c>
      <c r="AO98" t="s">
        <v>946</v>
      </c>
      <c r="AP98" s="135" t="s">
        <v>248</v>
      </c>
      <c r="AQ98" t="s">
        <v>950</v>
      </c>
      <c r="AR98" t="s">
        <v>947</v>
      </c>
      <c r="AS98" t="s">
        <v>1046</v>
      </c>
    </row>
    <row r="99" spans="35:45" x14ac:dyDescent="0.25">
      <c r="AI99" t="s">
        <v>3</v>
      </c>
      <c r="AJ99" t="s">
        <v>590</v>
      </c>
      <c r="AK99" s="12">
        <v>45751</v>
      </c>
      <c r="AM99" t="s">
        <v>949</v>
      </c>
      <c r="AN99" s="5"/>
      <c r="AO99" t="s">
        <v>946</v>
      </c>
      <c r="AP99" s="135" t="s">
        <v>248</v>
      </c>
      <c r="AQ99" t="s">
        <v>950</v>
      </c>
      <c r="AR99" t="s">
        <v>947</v>
      </c>
      <c r="AS99" t="s">
        <v>1047</v>
      </c>
    </row>
    <row r="100" spans="35:45" x14ac:dyDescent="0.25">
      <c r="AI100" t="s">
        <v>3</v>
      </c>
      <c r="AJ100" t="s">
        <v>590</v>
      </c>
      <c r="AK100" s="12">
        <v>45781.42</v>
      </c>
      <c r="AM100" t="s">
        <v>949</v>
      </c>
      <c r="AN100" s="5" t="s">
        <v>151</v>
      </c>
      <c r="AO100" t="s">
        <v>946</v>
      </c>
      <c r="AP100" s="135" t="s">
        <v>248</v>
      </c>
      <c r="AQ100" t="s">
        <v>950</v>
      </c>
      <c r="AR100" t="s">
        <v>947</v>
      </c>
      <c r="AS100" t="s">
        <v>1048</v>
      </c>
    </row>
    <row r="101" spans="35:45" x14ac:dyDescent="0.25">
      <c r="AI101" t="s">
        <v>3</v>
      </c>
      <c r="AJ101" t="s">
        <v>590</v>
      </c>
      <c r="AK101" s="12">
        <v>45811.839999999997</v>
      </c>
      <c r="AM101" t="s">
        <v>949</v>
      </c>
      <c r="AN101" s="5" t="s">
        <v>151</v>
      </c>
      <c r="AO101" t="s">
        <v>946</v>
      </c>
      <c r="AP101" s="135" t="s">
        <v>248</v>
      </c>
      <c r="AQ101" t="s">
        <v>950</v>
      </c>
      <c r="AR101" t="s">
        <v>947</v>
      </c>
      <c r="AS101" t="s">
        <v>1049</v>
      </c>
    </row>
    <row r="102" spans="35:45" x14ac:dyDescent="0.25">
      <c r="AI102" t="s">
        <v>3</v>
      </c>
      <c r="AJ102" t="s">
        <v>590</v>
      </c>
      <c r="AK102" s="12">
        <v>45842.259999999995</v>
      </c>
      <c r="AM102" t="s">
        <v>949</v>
      </c>
      <c r="AN102" s="5" t="s">
        <v>151</v>
      </c>
      <c r="AO102" t="s">
        <v>946</v>
      </c>
      <c r="AP102" s="135" t="s">
        <v>248</v>
      </c>
      <c r="AQ102" t="s">
        <v>950</v>
      </c>
      <c r="AR102" t="s">
        <v>947</v>
      </c>
      <c r="AS102" t="s">
        <v>1050</v>
      </c>
    </row>
    <row r="103" spans="35:45" x14ac:dyDescent="0.25">
      <c r="AI103" t="s">
        <v>3</v>
      </c>
      <c r="AJ103" t="s">
        <v>590</v>
      </c>
      <c r="AK103" s="12">
        <v>45872.679999999993</v>
      </c>
      <c r="AM103" t="s">
        <v>949</v>
      </c>
      <c r="AN103" s="5" t="s">
        <v>151</v>
      </c>
      <c r="AO103" t="s">
        <v>946</v>
      </c>
      <c r="AP103" s="135" t="s">
        <v>248</v>
      </c>
      <c r="AQ103" t="s">
        <v>950</v>
      </c>
      <c r="AR103" t="s">
        <v>947</v>
      </c>
      <c r="AS103" t="s">
        <v>1051</v>
      </c>
    </row>
    <row r="104" spans="35:45" x14ac:dyDescent="0.25">
      <c r="AI104" t="s">
        <v>3</v>
      </c>
      <c r="AJ104" t="s">
        <v>590</v>
      </c>
      <c r="AK104" s="12">
        <v>45903.099999999991</v>
      </c>
      <c r="AM104" t="s">
        <v>949</v>
      </c>
      <c r="AN104" s="5" t="s">
        <v>151</v>
      </c>
      <c r="AO104" t="s">
        <v>946</v>
      </c>
      <c r="AP104" s="135" t="s">
        <v>248</v>
      </c>
      <c r="AQ104" t="s">
        <v>950</v>
      </c>
      <c r="AR104" t="s">
        <v>947</v>
      </c>
      <c r="AS104" t="s">
        <v>1052</v>
      </c>
    </row>
    <row r="105" spans="35:45" x14ac:dyDescent="0.25">
      <c r="AI105" t="s">
        <v>3</v>
      </c>
      <c r="AJ105" t="s">
        <v>590</v>
      </c>
      <c r="AK105" s="12">
        <v>45933.51999999999</v>
      </c>
      <c r="AM105" t="s">
        <v>949</v>
      </c>
      <c r="AN105" s="5">
        <v>0</v>
      </c>
      <c r="AO105" t="s">
        <v>946</v>
      </c>
      <c r="AP105" s="135" t="s">
        <v>248</v>
      </c>
      <c r="AQ105" t="s">
        <v>950</v>
      </c>
      <c r="AR105" t="s">
        <v>947</v>
      </c>
      <c r="AS105" t="s">
        <v>1053</v>
      </c>
    </row>
    <row r="106" spans="35:45" x14ac:dyDescent="0.25">
      <c r="AI106" t="s">
        <v>3</v>
      </c>
      <c r="AJ106" t="s">
        <v>590</v>
      </c>
      <c r="AK106" s="12">
        <v>45963.939999999988</v>
      </c>
      <c r="AM106" t="s">
        <v>949</v>
      </c>
      <c r="AN106" s="5">
        <v>0</v>
      </c>
      <c r="AO106" t="s">
        <v>946</v>
      </c>
      <c r="AP106" s="135" t="s">
        <v>248</v>
      </c>
      <c r="AQ106" t="s">
        <v>950</v>
      </c>
      <c r="AR106" t="s">
        <v>947</v>
      </c>
      <c r="AS106" t="s">
        <v>1054</v>
      </c>
    </row>
    <row r="107" spans="35:45" x14ac:dyDescent="0.25">
      <c r="AI107" t="s">
        <v>3</v>
      </c>
      <c r="AJ107" t="s">
        <v>590</v>
      </c>
      <c r="AK107" s="12">
        <v>45994.359999999986</v>
      </c>
      <c r="AM107" t="s">
        <v>949</v>
      </c>
      <c r="AN107" s="5">
        <v>0</v>
      </c>
      <c r="AO107" t="s">
        <v>946</v>
      </c>
      <c r="AP107" s="135" t="s">
        <v>248</v>
      </c>
      <c r="AQ107" t="s">
        <v>950</v>
      </c>
      <c r="AR107" t="s">
        <v>947</v>
      </c>
      <c r="AS107" t="s">
        <v>1055</v>
      </c>
    </row>
    <row r="108" spans="35:45" x14ac:dyDescent="0.25">
      <c r="AI108" t="s">
        <v>3</v>
      </c>
      <c r="AJ108" t="s">
        <v>590</v>
      </c>
      <c r="AK108" s="12">
        <v>46024.779999999984</v>
      </c>
      <c r="AM108" t="s">
        <v>949</v>
      </c>
      <c r="AN108" s="5">
        <v>0</v>
      </c>
      <c r="AO108" t="s">
        <v>946</v>
      </c>
      <c r="AP108" s="135" t="s">
        <v>248</v>
      </c>
      <c r="AQ108" t="s">
        <v>950</v>
      </c>
      <c r="AR108" t="s">
        <v>947</v>
      </c>
      <c r="AS108" t="s">
        <v>1056</v>
      </c>
    </row>
    <row r="109" spans="35:45" x14ac:dyDescent="0.25">
      <c r="AI109" t="s">
        <v>3</v>
      </c>
      <c r="AJ109" t="s">
        <v>590</v>
      </c>
      <c r="AK109" s="12">
        <v>46055.199999999983</v>
      </c>
      <c r="AM109" t="s">
        <v>949</v>
      </c>
      <c r="AN109" s="5">
        <v>0</v>
      </c>
      <c r="AO109" t="s">
        <v>946</v>
      </c>
      <c r="AP109" s="135" t="s">
        <v>248</v>
      </c>
      <c r="AQ109" t="s">
        <v>950</v>
      </c>
      <c r="AR109" t="s">
        <v>947</v>
      </c>
      <c r="AS109" t="s">
        <v>1057</v>
      </c>
    </row>
    <row r="110" spans="35:45" x14ac:dyDescent="0.25">
      <c r="AI110" t="s">
        <v>3</v>
      </c>
      <c r="AJ110" t="s">
        <v>590</v>
      </c>
      <c r="AK110" s="12">
        <v>46085.619999999981</v>
      </c>
      <c r="AM110" t="s">
        <v>949</v>
      </c>
      <c r="AN110" s="5">
        <v>0</v>
      </c>
      <c r="AO110" t="s">
        <v>946</v>
      </c>
      <c r="AP110" s="135" t="s">
        <v>248</v>
      </c>
      <c r="AQ110" t="s">
        <v>950</v>
      </c>
      <c r="AR110" t="s">
        <v>947</v>
      </c>
      <c r="AS110" t="s">
        <v>1058</v>
      </c>
    </row>
    <row r="111" spans="35:45" x14ac:dyDescent="0.25">
      <c r="AI111" t="s">
        <v>3</v>
      </c>
      <c r="AJ111" t="s">
        <v>590</v>
      </c>
      <c r="AK111" s="12">
        <v>46116.039999999979</v>
      </c>
      <c r="AM111" t="s">
        <v>949</v>
      </c>
      <c r="AN111" s="5">
        <v>0</v>
      </c>
      <c r="AO111" t="s">
        <v>946</v>
      </c>
      <c r="AP111" s="135" t="s">
        <v>248</v>
      </c>
      <c r="AQ111" t="s">
        <v>950</v>
      </c>
      <c r="AR111" t="s">
        <v>947</v>
      </c>
      <c r="AS111" t="s">
        <v>1059</v>
      </c>
    </row>
    <row r="112" spans="35:45" x14ac:dyDescent="0.25">
      <c r="AI112" t="s">
        <v>3</v>
      </c>
      <c r="AJ112" t="s">
        <v>590</v>
      </c>
      <c r="AK112" s="12">
        <v>46146.459999999977</v>
      </c>
      <c r="AM112" t="s">
        <v>949</v>
      </c>
      <c r="AN112" s="5">
        <v>0</v>
      </c>
      <c r="AO112" t="s">
        <v>946</v>
      </c>
      <c r="AP112" s="135" t="s">
        <v>248</v>
      </c>
      <c r="AQ112" t="s">
        <v>950</v>
      </c>
      <c r="AR112" t="s">
        <v>947</v>
      </c>
      <c r="AS112" t="s">
        <v>1060</v>
      </c>
    </row>
    <row r="113" spans="35:45" x14ac:dyDescent="0.25">
      <c r="AI113" t="s">
        <v>3</v>
      </c>
      <c r="AJ113" t="s">
        <v>590</v>
      </c>
      <c r="AK113" s="12">
        <v>46176.879999999976</v>
      </c>
      <c r="AM113" t="s">
        <v>949</v>
      </c>
      <c r="AN113" s="5">
        <v>0</v>
      </c>
      <c r="AO113" t="s">
        <v>946</v>
      </c>
      <c r="AP113" s="135" t="s">
        <v>248</v>
      </c>
      <c r="AQ113" t="s">
        <v>950</v>
      </c>
      <c r="AR113" t="s">
        <v>947</v>
      </c>
      <c r="AS113" t="s">
        <v>1061</v>
      </c>
    </row>
    <row r="114" spans="35:45" x14ac:dyDescent="0.25">
      <c r="AI114" t="s">
        <v>3</v>
      </c>
      <c r="AJ114" t="s">
        <v>590</v>
      </c>
      <c r="AK114" s="12">
        <v>46207.299999999974</v>
      </c>
      <c r="AM114" t="s">
        <v>949</v>
      </c>
      <c r="AN114" s="5">
        <v>0</v>
      </c>
      <c r="AO114" t="s">
        <v>946</v>
      </c>
      <c r="AP114" s="135" t="s">
        <v>248</v>
      </c>
      <c r="AQ114" t="s">
        <v>950</v>
      </c>
      <c r="AR114" t="s">
        <v>947</v>
      </c>
      <c r="AS114" t="s">
        <v>1062</v>
      </c>
    </row>
    <row r="115" spans="35:45" x14ac:dyDescent="0.25">
      <c r="AI115" t="s">
        <v>3</v>
      </c>
      <c r="AJ115" t="s">
        <v>590</v>
      </c>
      <c r="AK115" s="12">
        <v>46237.719999999972</v>
      </c>
      <c r="AM115" t="s">
        <v>949</v>
      </c>
      <c r="AN115" s="5">
        <v>0</v>
      </c>
      <c r="AO115" t="s">
        <v>946</v>
      </c>
      <c r="AP115" s="135" t="s">
        <v>248</v>
      </c>
      <c r="AQ115" t="s">
        <v>950</v>
      </c>
      <c r="AR115" t="s">
        <v>947</v>
      </c>
      <c r="AS115" t="s">
        <v>1063</v>
      </c>
    </row>
    <row r="116" spans="35:45" x14ac:dyDescent="0.25">
      <c r="AI116" t="s">
        <v>3</v>
      </c>
      <c r="AJ116" t="s">
        <v>590</v>
      </c>
      <c r="AK116" s="12">
        <v>46268.13999999997</v>
      </c>
      <c r="AM116" t="s">
        <v>949</v>
      </c>
      <c r="AN116" s="5">
        <v>0</v>
      </c>
      <c r="AO116" t="s">
        <v>946</v>
      </c>
      <c r="AP116" s="135" t="s">
        <v>248</v>
      </c>
      <c r="AQ116" t="s">
        <v>950</v>
      </c>
      <c r="AR116" t="s">
        <v>947</v>
      </c>
      <c r="AS116" t="s">
        <v>1064</v>
      </c>
    </row>
    <row r="117" spans="35:45" x14ac:dyDescent="0.25">
      <c r="AI117" t="s">
        <v>3</v>
      </c>
      <c r="AJ117" t="s">
        <v>590</v>
      </c>
      <c r="AK117" s="12">
        <v>46298.559999999969</v>
      </c>
      <c r="AM117" t="s">
        <v>949</v>
      </c>
      <c r="AN117" s="5">
        <v>0</v>
      </c>
      <c r="AO117" t="s">
        <v>946</v>
      </c>
      <c r="AP117" s="135" t="s">
        <v>248</v>
      </c>
      <c r="AQ117" t="s">
        <v>950</v>
      </c>
      <c r="AR117" t="s">
        <v>947</v>
      </c>
      <c r="AS117" t="s">
        <v>1065</v>
      </c>
    </row>
    <row r="118" spans="35:45" x14ac:dyDescent="0.25">
      <c r="AI118" t="s">
        <v>3</v>
      </c>
      <c r="AJ118" t="s">
        <v>657</v>
      </c>
      <c r="AK118" s="12">
        <v>45170</v>
      </c>
      <c r="AM118" t="s">
        <v>949</v>
      </c>
      <c r="AN118" s="5">
        <v>893</v>
      </c>
      <c r="AO118" t="s">
        <v>946</v>
      </c>
      <c r="AP118" s="135" t="s">
        <v>248</v>
      </c>
      <c r="AQ118" t="s">
        <v>950</v>
      </c>
      <c r="AR118" t="s">
        <v>947</v>
      </c>
      <c r="AS118" t="s">
        <v>1066</v>
      </c>
    </row>
    <row r="119" spans="35:45" x14ac:dyDescent="0.25">
      <c r="AI119" t="s">
        <v>3</v>
      </c>
      <c r="AJ119" t="s">
        <v>657</v>
      </c>
      <c r="AK119" s="12">
        <v>45536</v>
      </c>
      <c r="AM119" t="s">
        <v>949</v>
      </c>
      <c r="AN119" s="5">
        <v>2453</v>
      </c>
      <c r="AO119" t="s">
        <v>946</v>
      </c>
      <c r="AP119" s="135" t="s">
        <v>248</v>
      </c>
      <c r="AQ119" t="s">
        <v>950</v>
      </c>
      <c r="AR119" t="s">
        <v>947</v>
      </c>
      <c r="AS119" t="s">
        <v>1067</v>
      </c>
    </row>
    <row r="120" spans="35:45" x14ac:dyDescent="0.25">
      <c r="AI120" t="s">
        <v>3</v>
      </c>
      <c r="AJ120" t="s">
        <v>657</v>
      </c>
      <c r="AK120" s="12">
        <v>45901</v>
      </c>
      <c r="AM120" t="s">
        <v>949</v>
      </c>
      <c r="AN120" s="5">
        <v>2557.71</v>
      </c>
      <c r="AO120" t="s">
        <v>946</v>
      </c>
      <c r="AP120" s="135" t="s">
        <v>248</v>
      </c>
      <c r="AQ120" t="s">
        <v>950</v>
      </c>
      <c r="AR120" t="s">
        <v>947</v>
      </c>
      <c r="AS120" t="s">
        <v>1068</v>
      </c>
    </row>
    <row r="121" spans="35:45" x14ac:dyDescent="0.25">
      <c r="AI121" t="s">
        <v>3</v>
      </c>
      <c r="AJ121" t="s">
        <v>657</v>
      </c>
      <c r="AK121" s="12">
        <v>46266</v>
      </c>
      <c r="AM121" t="s">
        <v>949</v>
      </c>
      <c r="AN121" s="5">
        <v>0</v>
      </c>
      <c r="AO121" t="s">
        <v>946</v>
      </c>
      <c r="AP121" s="135" t="s">
        <v>248</v>
      </c>
      <c r="AQ121" t="s">
        <v>950</v>
      </c>
      <c r="AR121" t="s">
        <v>947</v>
      </c>
      <c r="AS121" t="s">
        <v>1069</v>
      </c>
    </row>
    <row r="122" spans="35:45" x14ac:dyDescent="0.25">
      <c r="AI122" t="s">
        <v>3</v>
      </c>
      <c r="AJ122" t="s">
        <v>657</v>
      </c>
      <c r="AK122" s="12">
        <v>46631</v>
      </c>
      <c r="AM122" t="s">
        <v>949</v>
      </c>
      <c r="AN122" s="5">
        <v>0</v>
      </c>
      <c r="AO122" t="s">
        <v>946</v>
      </c>
      <c r="AP122" s="135" t="s">
        <v>248</v>
      </c>
      <c r="AQ122" t="s">
        <v>950</v>
      </c>
      <c r="AR122" t="s">
        <v>947</v>
      </c>
      <c r="AS122" t="s">
        <v>1070</v>
      </c>
    </row>
    <row r="123" spans="35:45" x14ac:dyDescent="0.25">
      <c r="AI123" t="s">
        <v>3</v>
      </c>
      <c r="AJ123" t="s">
        <v>657</v>
      </c>
      <c r="AK123" s="12">
        <v>46996</v>
      </c>
      <c r="AM123" t="s">
        <v>949</v>
      </c>
      <c r="AN123" s="5">
        <v>0</v>
      </c>
      <c r="AO123" t="s">
        <v>946</v>
      </c>
      <c r="AP123" s="135" t="s">
        <v>248</v>
      </c>
      <c r="AQ123" t="s">
        <v>950</v>
      </c>
      <c r="AR123" t="s">
        <v>947</v>
      </c>
      <c r="AS123" t="s">
        <v>1071</v>
      </c>
    </row>
    <row r="124" spans="35:45" x14ac:dyDescent="0.25">
      <c r="AI124" t="s">
        <v>3</v>
      </c>
      <c r="AJ124" t="s">
        <v>657</v>
      </c>
      <c r="AK124" s="12">
        <v>47361</v>
      </c>
      <c r="AM124" t="s">
        <v>949</v>
      </c>
      <c r="AN124" s="5">
        <v>0</v>
      </c>
      <c r="AO124" t="s">
        <v>946</v>
      </c>
      <c r="AP124" s="135" t="s">
        <v>248</v>
      </c>
      <c r="AQ124" t="s">
        <v>950</v>
      </c>
      <c r="AR124" t="s">
        <v>947</v>
      </c>
      <c r="AS124" t="s">
        <v>1072</v>
      </c>
    </row>
    <row r="125" spans="35:45" x14ac:dyDescent="0.25">
      <c r="AI125" t="s">
        <v>3</v>
      </c>
      <c r="AJ125" t="s">
        <v>657</v>
      </c>
      <c r="AK125" s="12">
        <v>47726</v>
      </c>
      <c r="AM125" t="s">
        <v>949</v>
      </c>
      <c r="AN125" s="5">
        <v>0</v>
      </c>
      <c r="AO125" t="s">
        <v>946</v>
      </c>
      <c r="AP125" s="135" t="s">
        <v>248</v>
      </c>
      <c r="AQ125" t="s">
        <v>950</v>
      </c>
      <c r="AR125" t="s">
        <v>947</v>
      </c>
      <c r="AS125" t="s">
        <v>1073</v>
      </c>
    </row>
    <row r="126" spans="35:45" x14ac:dyDescent="0.25">
      <c r="AI126" t="s">
        <v>3</v>
      </c>
      <c r="AJ126" t="s">
        <v>657</v>
      </c>
      <c r="AK126" s="12">
        <v>48091</v>
      </c>
      <c r="AM126" t="s">
        <v>949</v>
      </c>
      <c r="AN126" s="5">
        <v>0</v>
      </c>
      <c r="AO126" t="s">
        <v>946</v>
      </c>
      <c r="AP126" s="135" t="s">
        <v>248</v>
      </c>
      <c r="AQ126" t="s">
        <v>950</v>
      </c>
      <c r="AR126" t="s">
        <v>947</v>
      </c>
      <c r="AS126" t="s">
        <v>1074</v>
      </c>
    </row>
    <row r="127" spans="35:45" x14ac:dyDescent="0.25">
      <c r="AI127" t="s">
        <v>3</v>
      </c>
      <c r="AJ127" t="s">
        <v>657</v>
      </c>
      <c r="AK127" s="12">
        <v>48456</v>
      </c>
      <c r="AM127" t="s">
        <v>949</v>
      </c>
      <c r="AN127" s="5">
        <v>0</v>
      </c>
      <c r="AO127" t="s">
        <v>946</v>
      </c>
      <c r="AP127" s="135" t="s">
        <v>248</v>
      </c>
      <c r="AQ127" t="s">
        <v>950</v>
      </c>
      <c r="AR127" t="s">
        <v>947</v>
      </c>
      <c r="AS127" t="s">
        <v>1075</v>
      </c>
    </row>
    <row r="128" spans="35:45" x14ac:dyDescent="0.25">
      <c r="AI128" t="s">
        <v>3</v>
      </c>
      <c r="AJ128" t="s">
        <v>657</v>
      </c>
      <c r="AK128" s="12">
        <v>48821</v>
      </c>
      <c r="AM128" t="s">
        <v>949</v>
      </c>
      <c r="AN128" s="5">
        <v>0</v>
      </c>
      <c r="AO128" t="s">
        <v>946</v>
      </c>
      <c r="AP128" s="135" t="s">
        <v>248</v>
      </c>
      <c r="AQ128" t="s">
        <v>950</v>
      </c>
      <c r="AR128" t="s">
        <v>947</v>
      </c>
      <c r="AS128" t="s">
        <v>1076</v>
      </c>
    </row>
    <row r="129" spans="35:45" x14ac:dyDescent="0.25">
      <c r="AI129" t="s">
        <v>3</v>
      </c>
      <c r="AJ129" t="s">
        <v>657</v>
      </c>
      <c r="AK129" s="12">
        <v>49186</v>
      </c>
      <c r="AM129" t="s">
        <v>949</v>
      </c>
      <c r="AN129" s="5">
        <v>0</v>
      </c>
      <c r="AO129" t="s">
        <v>946</v>
      </c>
      <c r="AP129" s="135" t="s">
        <v>248</v>
      </c>
      <c r="AQ129" t="s">
        <v>950</v>
      </c>
      <c r="AR129" t="s">
        <v>947</v>
      </c>
      <c r="AS129" t="s">
        <v>1077</v>
      </c>
    </row>
    <row r="130" spans="35:45" x14ac:dyDescent="0.25">
      <c r="AI130" t="s">
        <v>3</v>
      </c>
      <c r="AJ130" t="s">
        <v>657</v>
      </c>
      <c r="AK130" s="12">
        <v>49551</v>
      </c>
      <c r="AM130" t="s">
        <v>949</v>
      </c>
      <c r="AN130" s="5">
        <v>0</v>
      </c>
      <c r="AO130" t="s">
        <v>946</v>
      </c>
      <c r="AP130" s="135" t="s">
        <v>248</v>
      </c>
      <c r="AQ130" t="s">
        <v>950</v>
      </c>
      <c r="AR130" t="s">
        <v>947</v>
      </c>
      <c r="AS130" t="s">
        <v>1078</v>
      </c>
    </row>
    <row r="131" spans="35:45" x14ac:dyDescent="0.25">
      <c r="AI131" t="s">
        <v>3</v>
      </c>
      <c r="AJ131" t="s">
        <v>657</v>
      </c>
      <c r="AK131" s="12">
        <v>49916</v>
      </c>
      <c r="AM131" t="s">
        <v>949</v>
      </c>
      <c r="AN131" s="5">
        <v>0</v>
      </c>
      <c r="AO131" t="s">
        <v>946</v>
      </c>
      <c r="AP131" s="135" t="s">
        <v>248</v>
      </c>
      <c r="AQ131" t="s">
        <v>950</v>
      </c>
      <c r="AR131" t="s">
        <v>947</v>
      </c>
      <c r="AS131" t="s">
        <v>1079</v>
      </c>
    </row>
    <row r="132" spans="35:45" x14ac:dyDescent="0.25">
      <c r="AI132" t="s">
        <v>3</v>
      </c>
      <c r="AJ132" t="s">
        <v>657</v>
      </c>
      <c r="AK132" s="12">
        <v>50281</v>
      </c>
      <c r="AM132" t="s">
        <v>949</v>
      </c>
      <c r="AN132" s="5">
        <v>0</v>
      </c>
      <c r="AO132" t="s">
        <v>946</v>
      </c>
      <c r="AP132" s="135" t="s">
        <v>248</v>
      </c>
      <c r="AQ132" t="s">
        <v>950</v>
      </c>
      <c r="AR132" t="s">
        <v>947</v>
      </c>
      <c r="AS132" t="s">
        <v>1080</v>
      </c>
    </row>
    <row r="133" spans="35:45" x14ac:dyDescent="0.25">
      <c r="AI133" t="s">
        <v>3</v>
      </c>
      <c r="AJ133" t="s">
        <v>657</v>
      </c>
      <c r="AK133" s="12">
        <v>50646</v>
      </c>
      <c r="AM133" t="s">
        <v>949</v>
      </c>
      <c r="AN133" s="5">
        <v>0</v>
      </c>
      <c r="AO133" t="s">
        <v>946</v>
      </c>
      <c r="AP133" s="135" t="s">
        <v>248</v>
      </c>
      <c r="AQ133" t="s">
        <v>950</v>
      </c>
      <c r="AR133" t="s">
        <v>947</v>
      </c>
      <c r="AS133" t="s">
        <v>1081</v>
      </c>
    </row>
    <row r="134" spans="35:45" x14ac:dyDescent="0.25">
      <c r="AI134" t="s">
        <v>3</v>
      </c>
      <c r="AJ134" t="s">
        <v>657</v>
      </c>
      <c r="AK134" s="12">
        <v>51011</v>
      </c>
      <c r="AM134" t="s">
        <v>949</v>
      </c>
      <c r="AN134" s="5">
        <v>0</v>
      </c>
      <c r="AO134" t="s">
        <v>946</v>
      </c>
      <c r="AP134" s="135" t="s">
        <v>248</v>
      </c>
      <c r="AQ134" t="s">
        <v>950</v>
      </c>
      <c r="AR134" t="s">
        <v>947</v>
      </c>
      <c r="AS134" t="s">
        <v>1082</v>
      </c>
    </row>
    <row r="135" spans="35:45" x14ac:dyDescent="0.25">
      <c r="AI135" t="s">
        <v>3</v>
      </c>
      <c r="AJ135" t="s">
        <v>657</v>
      </c>
      <c r="AK135" s="12">
        <v>51376</v>
      </c>
      <c r="AM135" t="s">
        <v>949</v>
      </c>
      <c r="AN135" s="5">
        <v>0</v>
      </c>
      <c r="AO135" t="s">
        <v>946</v>
      </c>
      <c r="AP135" s="135" t="s">
        <v>248</v>
      </c>
      <c r="AQ135" t="s">
        <v>950</v>
      </c>
      <c r="AR135" t="s">
        <v>947</v>
      </c>
      <c r="AS135" t="s">
        <v>1083</v>
      </c>
    </row>
    <row r="136" spans="35:45" x14ac:dyDescent="0.25">
      <c r="AI136" t="s">
        <v>3</v>
      </c>
      <c r="AJ136" t="s">
        <v>657</v>
      </c>
      <c r="AK136" s="12">
        <v>51741</v>
      </c>
      <c r="AM136" t="s">
        <v>949</v>
      </c>
      <c r="AN136" s="5">
        <v>0</v>
      </c>
      <c r="AO136" t="s">
        <v>946</v>
      </c>
      <c r="AP136" s="135" t="s">
        <v>248</v>
      </c>
      <c r="AQ136" t="s">
        <v>950</v>
      </c>
      <c r="AR136" t="s">
        <v>947</v>
      </c>
      <c r="AS136" t="s">
        <v>1084</v>
      </c>
    </row>
  </sheetData>
  <mergeCells count="24">
    <mergeCell ref="AC25:AD25"/>
    <mergeCell ref="AF25:AG25"/>
    <mergeCell ref="AA2:AA3"/>
    <mergeCell ref="B25:C25"/>
    <mergeCell ref="E25:F25"/>
    <mergeCell ref="H25:I25"/>
    <mergeCell ref="K25:L25"/>
    <mergeCell ref="N25:O25"/>
    <mergeCell ref="Q25:R25"/>
    <mergeCell ref="T25:U25"/>
    <mergeCell ref="W25:X25"/>
    <mergeCell ref="Z25:AA25"/>
    <mergeCell ref="V1:X1"/>
    <mergeCell ref="Y1:AA1"/>
    <mergeCell ref="AB1:AD1"/>
    <mergeCell ref="AE1:AG1"/>
    <mergeCell ref="AI1:AS1"/>
    <mergeCell ref="S1:U1"/>
    <mergeCell ref="P1:R1"/>
    <mergeCell ref="A1:C1"/>
    <mergeCell ref="D1:F1"/>
    <mergeCell ref="J1:L1"/>
    <mergeCell ref="M1:O1"/>
    <mergeCell ref="G1:I1"/>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813" t="str">
        <f>"Preassigned Rows Indicating Payment or Scheduling by " &amp;Profit!E1&amp;" Your Home"</f>
        <v>Preassigned Rows Indicating Payment or Scheduling by  Your Home</v>
      </c>
      <c r="C2" s="814"/>
      <c r="E2" s="54"/>
    </row>
    <row r="3" spans="1:13" ht="15.75" hidden="1" thickBot="1" x14ac:dyDescent="0.3">
      <c r="B3" s="815"/>
      <c r="C3" s="816"/>
      <c r="E3" s="54"/>
    </row>
    <row r="4" spans="1:13" hidden="1" x14ac:dyDescent="0.25">
      <c r="B4" s="821" t="s">
        <v>176</v>
      </c>
      <c r="C4" s="822"/>
      <c r="E4" s="54"/>
    </row>
    <row r="5" spans="1:13" ht="15.75" hidden="1" thickBot="1" x14ac:dyDescent="0.3">
      <c r="B5" s="823"/>
      <c r="C5" s="824"/>
      <c r="E5" s="54"/>
    </row>
    <row r="6" spans="1:13" hidden="1" x14ac:dyDescent="0.25">
      <c r="B6" s="817" t="s">
        <v>177</v>
      </c>
      <c r="C6" s="818"/>
      <c r="E6" s="54"/>
    </row>
    <row r="7" spans="1:13" ht="15.75" hidden="1" thickBot="1" x14ac:dyDescent="0.3">
      <c r="B7" s="819"/>
      <c r="C7" s="820"/>
    </row>
    <row r="8" spans="1:13" hidden="1" x14ac:dyDescent="0.25">
      <c r="B8" s="825" t="s">
        <v>178</v>
      </c>
      <c r="C8" s="826"/>
    </row>
    <row r="9" spans="1:13" ht="15.75" hidden="1" thickBot="1" x14ac:dyDescent="0.3">
      <c r="B9" s="827"/>
      <c r="C9" s="828"/>
    </row>
    <row r="10" spans="1:13" hidden="1" x14ac:dyDescent="0.25"/>
    <row r="11" spans="1:13" s="48" customFormat="1" ht="15.75" thickBot="1" x14ac:dyDescent="0.3">
      <c r="A11" s="47" t="s">
        <v>179</v>
      </c>
      <c r="B11" s="47" t="s">
        <v>180</v>
      </c>
      <c r="C11" s="47" t="s">
        <v>181</v>
      </c>
      <c r="D11" s="64" t="s">
        <v>182</v>
      </c>
      <c r="E11" s="65" t="s">
        <v>183</v>
      </c>
      <c r="G11" s="54"/>
      <c r="H11" s="54"/>
      <c r="I11" s="54"/>
      <c r="J11" s="54"/>
      <c r="K11" s="54"/>
      <c r="L11" s="54"/>
      <c r="M11" s="54"/>
    </row>
    <row r="12" spans="1:13" s="48" customFormat="1" ht="15.75" thickTop="1" x14ac:dyDescent="0.25">
      <c r="A12" s="50" t="s">
        <v>184</v>
      </c>
      <c r="B12" s="50" t="s">
        <v>184</v>
      </c>
      <c r="C12" s="50" t="s">
        <v>185</v>
      </c>
      <c r="D12" s="62">
        <v>0</v>
      </c>
      <c r="E12" s="63"/>
      <c r="G12" s="54"/>
      <c r="H12" s="54"/>
      <c r="I12" s="54"/>
      <c r="J12" s="54"/>
      <c r="K12" s="54"/>
      <c r="L12" s="54"/>
      <c r="M12" s="54"/>
    </row>
    <row r="13" spans="1:13" s="48" customFormat="1" x14ac:dyDescent="0.25">
      <c r="A13" s="50" t="s">
        <v>186</v>
      </c>
      <c r="B13" s="50" t="s">
        <v>187</v>
      </c>
      <c r="C13" s="50" t="s">
        <v>188</v>
      </c>
      <c r="D13" s="62">
        <v>0</v>
      </c>
      <c r="E13" s="63"/>
      <c r="G13" s="54"/>
      <c r="H13" s="54"/>
      <c r="I13" s="54"/>
      <c r="J13" s="54"/>
      <c r="K13" s="54"/>
      <c r="L13" s="54"/>
      <c r="M13" s="54"/>
    </row>
    <row r="14" spans="1:13" s="48" customFormat="1" x14ac:dyDescent="0.25">
      <c r="A14" s="50" t="s">
        <v>186</v>
      </c>
      <c r="B14" s="50" t="s">
        <v>189</v>
      </c>
      <c r="C14" s="50" t="s">
        <v>189</v>
      </c>
      <c r="D14" s="62">
        <v>0</v>
      </c>
      <c r="E14" s="63"/>
      <c r="G14" s="54"/>
      <c r="H14" s="54"/>
      <c r="I14" s="54"/>
      <c r="J14" s="54"/>
      <c r="K14" s="54"/>
      <c r="L14" s="54"/>
      <c r="M14" s="54"/>
    </row>
    <row r="15" spans="1:13" s="48" customFormat="1" x14ac:dyDescent="0.25">
      <c r="A15" s="50"/>
      <c r="B15" s="50" t="s">
        <v>190</v>
      </c>
      <c r="C15" s="50" t="s">
        <v>191</v>
      </c>
      <c r="D15" s="62">
        <v>6</v>
      </c>
      <c r="E15" s="63"/>
      <c r="G15" s="54"/>
      <c r="H15" s="54"/>
      <c r="I15" s="54"/>
      <c r="J15" s="54"/>
      <c r="K15" s="54"/>
      <c r="L15" s="54"/>
      <c r="M15" s="54"/>
    </row>
    <row r="16" spans="1:13" s="48" customFormat="1" x14ac:dyDescent="0.25">
      <c r="A16" s="51" t="s">
        <v>192</v>
      </c>
      <c r="B16" s="51" t="s">
        <v>193</v>
      </c>
      <c r="C16" s="51" t="s">
        <v>497</v>
      </c>
      <c r="D16" s="52">
        <v>0</v>
      </c>
      <c r="E16" s="53">
        <v>0</v>
      </c>
      <c r="G16" s="54"/>
      <c r="H16" s="54"/>
      <c r="I16" s="54"/>
      <c r="J16" s="54"/>
      <c r="K16" s="54"/>
      <c r="L16" s="54"/>
      <c r="M16" s="54"/>
    </row>
    <row r="17" spans="1:13" s="48" customFormat="1" x14ac:dyDescent="0.25">
      <c r="A17" s="51" t="s">
        <v>194</v>
      </c>
      <c r="B17" s="51" t="s">
        <v>193</v>
      </c>
      <c r="C17" s="51" t="s">
        <v>492</v>
      </c>
      <c r="D17" s="52">
        <v>0</v>
      </c>
      <c r="E17" s="53">
        <v>0</v>
      </c>
      <c r="G17" s="54"/>
      <c r="H17" s="54"/>
      <c r="I17" s="54"/>
      <c r="J17" s="54"/>
      <c r="K17" s="54"/>
      <c r="L17" s="54"/>
      <c r="M17" s="54"/>
    </row>
    <row r="18" spans="1:13" s="48" customFormat="1" x14ac:dyDescent="0.25">
      <c r="A18" s="51" t="s">
        <v>195</v>
      </c>
      <c r="B18" s="51" t="s">
        <v>193</v>
      </c>
      <c r="C18" s="51" t="s">
        <v>493</v>
      </c>
      <c r="D18" s="52">
        <v>0</v>
      </c>
      <c r="E18" s="53">
        <v>0</v>
      </c>
      <c r="G18" s="54"/>
      <c r="H18" s="54"/>
      <c r="I18" s="54"/>
      <c r="J18" s="54"/>
      <c r="K18" s="54"/>
      <c r="L18" s="54"/>
      <c r="M18" s="54"/>
    </row>
    <row r="19" spans="1:13" s="48" customFormat="1" x14ac:dyDescent="0.25">
      <c r="A19" s="51" t="s">
        <v>197</v>
      </c>
      <c r="B19" s="51" t="s">
        <v>193</v>
      </c>
      <c r="C19" s="51" t="s">
        <v>494</v>
      </c>
      <c r="D19" s="52">
        <v>0</v>
      </c>
      <c r="E19" s="53">
        <v>0</v>
      </c>
      <c r="G19" s="54"/>
      <c r="H19" s="54"/>
      <c r="I19" s="54"/>
      <c r="J19" s="54"/>
      <c r="K19" s="54"/>
      <c r="L19" s="54"/>
      <c r="M19" s="54"/>
    </row>
    <row r="20" spans="1:13" s="48" customFormat="1" x14ac:dyDescent="0.25">
      <c r="A20" s="51" t="s">
        <v>198</v>
      </c>
      <c r="B20" s="51" t="s">
        <v>193</v>
      </c>
      <c r="C20" s="51" t="s">
        <v>495</v>
      </c>
      <c r="D20" s="52">
        <v>0</v>
      </c>
      <c r="E20" s="53">
        <v>0</v>
      </c>
      <c r="G20" s="49"/>
    </row>
    <row r="21" spans="1:13" x14ac:dyDescent="0.25">
      <c r="A21" s="240"/>
      <c r="B21" s="240"/>
      <c r="C21" s="534" t="s">
        <v>802</v>
      </c>
      <c r="D21" s="536">
        <v>1</v>
      </c>
      <c r="E21" s="261">
        <v>155</v>
      </c>
    </row>
    <row r="22" spans="1:13" x14ac:dyDescent="0.25">
      <c r="A22" s="244"/>
      <c r="B22" s="244"/>
      <c r="C22" s="244" t="s">
        <v>801</v>
      </c>
      <c r="D22" s="536">
        <v>1</v>
      </c>
      <c r="E22" s="246">
        <v>45</v>
      </c>
    </row>
    <row r="23" spans="1:13" x14ac:dyDescent="0.25">
      <c r="A23" s="244"/>
      <c r="B23" s="240"/>
      <c r="C23" s="240" t="s">
        <v>815</v>
      </c>
      <c r="D23" s="260">
        <v>1</v>
      </c>
      <c r="E23" s="261">
        <v>25</v>
      </c>
    </row>
    <row r="24" spans="1:13" x14ac:dyDescent="0.25">
      <c r="A24" s="240"/>
      <c r="B24" s="240"/>
      <c r="C24" s="240" t="s">
        <v>803</v>
      </c>
      <c r="D24" s="536">
        <v>1</v>
      </c>
      <c r="E24" s="261">
        <v>85</v>
      </c>
    </row>
    <row r="25" spans="1:13" x14ac:dyDescent="0.25">
      <c r="A25" s="240"/>
      <c r="B25" s="240"/>
      <c r="C25" s="240" t="s">
        <v>804</v>
      </c>
      <c r="D25" s="536">
        <v>1</v>
      </c>
      <c r="E25" s="261">
        <v>25</v>
      </c>
    </row>
    <row r="26" spans="1:13" x14ac:dyDescent="0.25">
      <c r="A26" s="240"/>
      <c r="B26" s="240"/>
      <c r="C26" s="240" t="s">
        <v>805</v>
      </c>
      <c r="D26" s="260">
        <v>2</v>
      </c>
      <c r="E26" s="261">
        <v>35</v>
      </c>
    </row>
    <row r="27" spans="1:13" x14ac:dyDescent="0.25">
      <c r="A27" s="240"/>
      <c r="B27" s="240"/>
      <c r="C27" s="240" t="s">
        <v>806</v>
      </c>
      <c r="D27" s="536">
        <v>1</v>
      </c>
      <c r="E27" s="261">
        <v>350</v>
      </c>
    </row>
    <row r="28" spans="1:13" x14ac:dyDescent="0.25">
      <c r="A28" s="240"/>
      <c r="B28" s="240"/>
      <c r="C28" s="240" t="s">
        <v>807</v>
      </c>
      <c r="D28" s="536">
        <v>1</v>
      </c>
      <c r="E28" s="261">
        <v>1200</v>
      </c>
    </row>
    <row r="29" spans="1:13" x14ac:dyDescent="0.25">
      <c r="A29" s="240"/>
      <c r="B29" s="240"/>
      <c r="C29" s="240" t="s">
        <v>808</v>
      </c>
      <c r="D29" s="536">
        <v>1</v>
      </c>
      <c r="E29" s="261">
        <v>110</v>
      </c>
    </row>
    <row r="30" spans="1:13" x14ac:dyDescent="0.25">
      <c r="A30" s="240"/>
      <c r="B30" s="240"/>
      <c r="C30" s="240" t="s">
        <v>809</v>
      </c>
      <c r="D30" s="536">
        <v>1</v>
      </c>
      <c r="E30" s="261">
        <v>215</v>
      </c>
    </row>
    <row r="31" spans="1:13" x14ac:dyDescent="0.25">
      <c r="A31" s="240"/>
      <c r="B31" s="240"/>
      <c r="C31" s="240" t="s">
        <v>810</v>
      </c>
      <c r="D31" s="536">
        <v>1</v>
      </c>
      <c r="E31" s="261">
        <v>1300.0999999999999</v>
      </c>
    </row>
    <row r="32" spans="1:13" x14ac:dyDescent="0.25">
      <c r="A32" s="240"/>
      <c r="B32" s="240"/>
      <c r="C32" s="240" t="s">
        <v>811</v>
      </c>
      <c r="D32" s="536">
        <v>1</v>
      </c>
      <c r="E32" s="261">
        <v>95</v>
      </c>
    </row>
    <row r="33" spans="1:7" x14ac:dyDescent="0.25">
      <c r="A33" s="240"/>
      <c r="B33" s="240"/>
      <c r="C33" s="240" t="s">
        <v>812</v>
      </c>
      <c r="D33" s="536">
        <v>1</v>
      </c>
      <c r="E33" s="261">
        <v>65</v>
      </c>
    </row>
    <row r="34" spans="1:7" x14ac:dyDescent="0.25">
      <c r="A34" s="240"/>
      <c r="B34" s="240"/>
      <c r="C34" s="244" t="s">
        <v>813</v>
      </c>
      <c r="D34" s="536">
        <v>1</v>
      </c>
      <c r="E34" s="261">
        <v>95</v>
      </c>
    </row>
    <row r="35" spans="1:7" x14ac:dyDescent="0.25">
      <c r="A35" s="535"/>
      <c r="B35" s="535"/>
      <c r="C35" s="535" t="s">
        <v>814</v>
      </c>
      <c r="D35" s="536">
        <v>0</v>
      </c>
      <c r="E35" s="538">
        <v>95</v>
      </c>
    </row>
    <row r="36" spans="1:7" x14ac:dyDescent="0.25">
      <c r="A36" s="535"/>
      <c r="B36" s="535"/>
      <c r="C36" s="535" t="s">
        <v>805</v>
      </c>
      <c r="D36" s="536">
        <v>1</v>
      </c>
      <c r="E36" s="538">
        <v>35</v>
      </c>
    </row>
    <row r="37" spans="1:7" x14ac:dyDescent="0.25">
      <c r="A37" s="535"/>
      <c r="B37" s="535"/>
      <c r="C37" s="535" t="s">
        <v>816</v>
      </c>
      <c r="D37" s="536">
        <v>1</v>
      </c>
      <c r="E37" s="538">
        <v>0</v>
      </c>
    </row>
    <row r="38" spans="1:7" x14ac:dyDescent="0.25">
      <c r="A38" s="535"/>
      <c r="B38" s="535"/>
      <c r="C38" s="535" t="s">
        <v>818</v>
      </c>
      <c r="D38" s="536">
        <v>1</v>
      </c>
      <c r="E38" s="538">
        <v>45</v>
      </c>
    </row>
    <row r="39" spans="1:7" x14ac:dyDescent="0.25">
      <c r="A39" s="535"/>
      <c r="B39" s="535"/>
      <c r="C39" s="535" t="s">
        <v>819</v>
      </c>
      <c r="D39" s="536">
        <v>1</v>
      </c>
      <c r="E39" s="538">
        <v>95</v>
      </c>
    </row>
    <row r="40" spans="1:7" x14ac:dyDescent="0.25">
      <c r="A40" s="535"/>
      <c r="B40" s="535"/>
      <c r="C40" s="535" t="s">
        <v>820</v>
      </c>
      <c r="D40" s="536">
        <v>1</v>
      </c>
      <c r="E40" s="538">
        <v>95</v>
      </c>
    </row>
    <row r="41" spans="1:7" x14ac:dyDescent="0.25">
      <c r="A41" s="535"/>
      <c r="B41" s="535"/>
      <c r="C41" s="535" t="s">
        <v>824</v>
      </c>
      <c r="D41" s="536">
        <v>8</v>
      </c>
      <c r="E41" s="538">
        <v>25</v>
      </c>
    </row>
    <row r="42" spans="1:7" x14ac:dyDescent="0.25">
      <c r="A42" s="535"/>
      <c r="B42" s="535"/>
      <c r="C42" s="535" t="s">
        <v>821</v>
      </c>
      <c r="D42" s="536">
        <v>8</v>
      </c>
      <c r="E42" s="538">
        <v>10</v>
      </c>
    </row>
    <row r="43" spans="1:7" x14ac:dyDescent="0.25">
      <c r="A43" s="535"/>
      <c r="B43" s="535"/>
      <c r="C43" s="535" t="s">
        <v>822</v>
      </c>
      <c r="D43" s="536">
        <v>3</v>
      </c>
      <c r="E43" s="538">
        <v>10</v>
      </c>
    </row>
    <row r="44" spans="1:7" x14ac:dyDescent="0.25">
      <c r="A44" s="535"/>
      <c r="B44" s="535"/>
      <c r="C44" s="535" t="s">
        <v>823</v>
      </c>
      <c r="D44" s="536">
        <v>2</v>
      </c>
      <c r="E44" s="538">
        <v>35</v>
      </c>
    </row>
    <row r="45" spans="1:7" x14ac:dyDescent="0.25">
      <c r="A45" s="535"/>
      <c r="B45" s="535"/>
      <c r="C45" s="535" t="s">
        <v>817</v>
      </c>
      <c r="D45" s="536">
        <v>1</v>
      </c>
      <c r="E45" s="538">
        <v>95</v>
      </c>
    </row>
    <row r="46" spans="1:7" x14ac:dyDescent="0.25">
      <c r="A46" s="535"/>
      <c r="B46" s="535"/>
      <c r="C46" s="535" t="s">
        <v>825</v>
      </c>
      <c r="D46" s="536">
        <v>1</v>
      </c>
      <c r="E46" s="538">
        <v>50</v>
      </c>
    </row>
    <row r="47" spans="1:7" s="48" customFormat="1" x14ac:dyDescent="0.25">
      <c r="A47" s="535"/>
      <c r="B47" s="535"/>
      <c r="C47" s="535" t="s">
        <v>881</v>
      </c>
      <c r="D47" s="537">
        <v>1</v>
      </c>
      <c r="E47" s="539">
        <v>48</v>
      </c>
      <c r="G47" s="49"/>
    </row>
    <row r="48" spans="1:7" x14ac:dyDescent="0.25">
      <c r="A48" s="535"/>
      <c r="B48" s="535"/>
      <c r="C48" s="535" t="s">
        <v>882</v>
      </c>
      <c r="D48" s="536">
        <v>1</v>
      </c>
      <c r="E48" s="538">
        <v>80</v>
      </c>
    </row>
    <row r="49" spans="1:5" x14ac:dyDescent="0.25">
      <c r="A49" s="535"/>
      <c r="B49" s="535"/>
      <c r="C49" s="240" t="s">
        <v>903</v>
      </c>
      <c r="D49" s="536">
        <v>1</v>
      </c>
      <c r="E49" s="538">
        <v>139.47</v>
      </c>
    </row>
    <row r="50" spans="1:5" x14ac:dyDescent="0.25">
      <c r="A50" s="535"/>
      <c r="B50" s="535"/>
      <c r="C50" s="535"/>
      <c r="D50" s="536"/>
      <c r="E50" s="538"/>
    </row>
    <row r="51" spans="1:5" x14ac:dyDescent="0.25">
      <c r="A51" s="535"/>
      <c r="B51" s="535"/>
      <c r="C51" s="534"/>
      <c r="D51" s="536"/>
      <c r="E51" s="538"/>
    </row>
    <row r="52" spans="1:5" x14ac:dyDescent="0.25">
      <c r="A52" s="535"/>
      <c r="B52" s="535"/>
      <c r="C52" s="535"/>
      <c r="D52" s="536"/>
      <c r="E52" s="538"/>
    </row>
    <row r="53" spans="1:5" x14ac:dyDescent="0.25">
      <c r="A53" s="535"/>
      <c r="B53" s="535"/>
      <c r="C53" s="535"/>
      <c r="D53" s="536"/>
      <c r="E53" s="538"/>
    </row>
    <row r="54" spans="1:5" x14ac:dyDescent="0.25">
      <c r="A54" s="535"/>
      <c r="B54" s="535"/>
      <c r="C54" s="535"/>
      <c r="D54" s="536"/>
      <c r="E54" s="538"/>
    </row>
    <row r="55" spans="1:5" x14ac:dyDescent="0.25">
      <c r="A55" s="535"/>
      <c r="B55" s="535"/>
      <c r="C55" s="535"/>
      <c r="D55" s="536"/>
      <c r="E55" s="538"/>
    </row>
    <row r="56" spans="1:5" x14ac:dyDescent="0.25">
      <c r="A56" s="317"/>
      <c r="B56" s="317"/>
      <c r="C56" s="317"/>
      <c r="D56" s="318"/>
      <c r="E56" s="319"/>
    </row>
    <row r="57" spans="1:5" x14ac:dyDescent="0.25">
      <c r="A57" s="317"/>
      <c r="B57" s="317"/>
      <c r="C57" s="317"/>
      <c r="D57" s="318"/>
      <c r="E57" s="319"/>
    </row>
    <row r="58" spans="1:5" x14ac:dyDescent="0.25">
      <c r="A58" s="240"/>
      <c r="B58" s="240"/>
      <c r="C58" s="240"/>
      <c r="D58" s="260"/>
      <c r="E58" s="261"/>
    </row>
    <row r="59" spans="1:5" x14ac:dyDescent="0.25">
      <c r="A59" s="240"/>
      <c r="B59" s="240"/>
      <c r="C59" s="240"/>
      <c r="D59" s="260"/>
      <c r="E59" s="261"/>
    </row>
    <row r="60" spans="1:5" x14ac:dyDescent="0.25">
      <c r="A60" s="280"/>
      <c r="B60" s="280"/>
      <c r="C60" s="280"/>
      <c r="D60" s="281"/>
      <c r="E60" s="282"/>
    </row>
    <row r="61" spans="1:5" x14ac:dyDescent="0.25">
      <c r="A61" s="280"/>
      <c r="B61" s="280"/>
      <c r="C61" s="280"/>
      <c r="D61" s="281"/>
      <c r="E61" s="282"/>
    </row>
    <row r="62" spans="1:5" x14ac:dyDescent="0.25">
      <c r="A62" s="280"/>
      <c r="B62" s="280"/>
      <c r="C62" s="280"/>
      <c r="D62" s="281"/>
      <c r="E62" s="282"/>
    </row>
    <row r="63" spans="1:5" x14ac:dyDescent="0.25">
      <c r="A63" s="280"/>
      <c r="B63" s="280"/>
      <c r="C63" s="280"/>
      <c r="D63" s="281"/>
      <c r="E63" s="282"/>
    </row>
    <row r="64" spans="1:5" x14ac:dyDescent="0.25">
      <c r="A64" s="286"/>
      <c r="B64" s="286"/>
      <c r="C64" s="286"/>
      <c r="D64" s="281"/>
      <c r="E64" s="282"/>
    </row>
    <row r="65" spans="1:5" x14ac:dyDescent="0.25">
      <c r="A65" s="286"/>
      <c r="B65" s="286"/>
      <c r="C65" s="286"/>
      <c r="D65" s="287"/>
      <c r="E65" s="288"/>
    </row>
    <row r="66" spans="1:5" x14ac:dyDescent="0.25">
      <c r="A66" s="286"/>
      <c r="B66" s="286"/>
      <c r="C66" s="286"/>
      <c r="D66" s="281"/>
      <c r="E66" s="282"/>
    </row>
    <row r="67" spans="1:5" x14ac:dyDescent="0.25">
      <c r="A67" s="286"/>
      <c r="B67" s="286"/>
      <c r="C67" s="286"/>
      <c r="D67" s="287"/>
      <c r="E67" s="288"/>
    </row>
    <row r="68" spans="1:5" x14ac:dyDescent="0.25">
      <c r="A68" s="286"/>
      <c r="B68" s="286"/>
      <c r="C68" s="286"/>
      <c r="D68" s="281"/>
      <c r="E68" s="282"/>
    </row>
    <row r="69" spans="1:5" x14ac:dyDescent="0.25">
      <c r="A69" s="286"/>
      <c r="B69" s="286"/>
      <c r="C69" s="286"/>
      <c r="D69" s="287"/>
      <c r="E69" s="288"/>
    </row>
    <row r="70" spans="1:5" x14ac:dyDescent="0.25">
      <c r="A70" s="286"/>
      <c r="B70" s="286"/>
      <c r="C70" s="286"/>
      <c r="D70" s="281"/>
      <c r="E70" s="282"/>
    </row>
    <row r="71" spans="1:5" x14ac:dyDescent="0.25">
      <c r="A71" s="286"/>
      <c r="B71" s="286"/>
      <c r="C71" s="286"/>
      <c r="D71" s="287"/>
      <c r="E71" s="28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4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838" t="s">
        <v>200</v>
      </c>
      <c r="B1" s="839"/>
      <c r="C1" s="839"/>
      <c r="D1" s="839"/>
      <c r="E1" s="839"/>
      <c r="F1" s="839"/>
      <c r="G1" s="839"/>
      <c r="H1" s="840"/>
      <c r="I1" s="829" t="s">
        <v>201</v>
      </c>
      <c r="J1" s="830"/>
      <c r="K1" s="830"/>
      <c r="L1" s="830"/>
      <c r="M1" s="830"/>
      <c r="N1" s="831"/>
      <c r="P1" s="30" t="s">
        <v>202</v>
      </c>
      <c r="Q1" s="15">
        <v>1</v>
      </c>
      <c r="R1" s="59" t="s">
        <v>203</v>
      </c>
      <c r="S1" s="15">
        <v>4</v>
      </c>
    </row>
    <row r="2" spans="1:19" x14ac:dyDescent="0.25">
      <c r="A2" s="841"/>
      <c r="B2" s="772"/>
      <c r="C2" s="772"/>
      <c r="D2" s="772"/>
      <c r="E2" s="772"/>
      <c r="F2" s="772"/>
      <c r="G2" s="772"/>
      <c r="H2" s="842"/>
      <c r="I2" s="832"/>
      <c r="J2" s="833"/>
      <c r="K2" s="833"/>
      <c r="L2" s="833"/>
      <c r="M2" s="833"/>
      <c r="N2" s="834"/>
      <c r="P2" s="30" t="s">
        <v>204</v>
      </c>
      <c r="Q2" s="15">
        <v>2</v>
      </c>
      <c r="R2" s="30" t="s">
        <v>205</v>
      </c>
      <c r="S2" s="15">
        <v>0</v>
      </c>
    </row>
    <row r="3" spans="1:19" ht="15.75" thickBot="1" x14ac:dyDescent="0.3">
      <c r="A3" s="843"/>
      <c r="B3" s="844"/>
      <c r="C3" s="844"/>
      <c r="D3" s="844"/>
      <c r="E3" s="844"/>
      <c r="F3" s="844"/>
      <c r="G3" s="844"/>
      <c r="H3" s="845"/>
      <c r="I3" s="835"/>
      <c r="J3" s="836"/>
      <c r="K3" s="836"/>
      <c r="L3" s="836"/>
      <c r="M3" s="836"/>
      <c r="N3" s="837"/>
      <c r="P3" s="30" t="s">
        <v>496</v>
      </c>
      <c r="Q3" s="15">
        <v>3</v>
      </c>
      <c r="R3" s="15" t="s">
        <v>206</v>
      </c>
      <c r="S3" s="15">
        <v>5</v>
      </c>
    </row>
    <row r="4" spans="1:19" s="61" customFormat="1" ht="30.75" thickTop="1" x14ac:dyDescent="0.25">
      <c r="A4" s="108" t="s">
        <v>207</v>
      </c>
      <c r="B4" s="109" t="s">
        <v>208</v>
      </c>
      <c r="C4" s="108" t="s">
        <v>209</v>
      </c>
      <c r="D4" s="108" t="s">
        <v>210</v>
      </c>
      <c r="E4" s="108" t="s">
        <v>211</v>
      </c>
      <c r="F4" s="108" t="s">
        <v>182</v>
      </c>
      <c r="G4" s="110" t="s">
        <v>183</v>
      </c>
      <c r="H4" s="110" t="s">
        <v>212</v>
      </c>
      <c r="I4" s="241" t="s">
        <v>213</v>
      </c>
      <c r="J4" s="67" t="s">
        <v>214</v>
      </c>
      <c r="K4" s="255" t="s">
        <v>215</v>
      </c>
      <c r="L4" s="67" t="s">
        <v>216</v>
      </c>
      <c r="M4" s="67" t="s">
        <v>217</v>
      </c>
      <c r="N4" s="67" t="s">
        <v>137</v>
      </c>
    </row>
    <row r="5" spans="1:19" x14ac:dyDescent="0.25">
      <c r="A5" s="72" t="str">
        <f>+IF(FromProposal[[#This Row],[Cost Code]]&lt;&gt;0,+'Gnatt Chart'!$A$2,"")</f>
        <v xml:space="preserve">Tim Flemming </v>
      </c>
      <c r="B5" s="70">
        <v>1</v>
      </c>
      <c r="C5" s="72" t="s">
        <v>184</v>
      </c>
      <c r="D5" s="72" t="s">
        <v>184</v>
      </c>
      <c r="E5" s="72" t="s">
        <v>185</v>
      </c>
      <c r="F5" s="72">
        <v>0</v>
      </c>
      <c r="G5" s="294"/>
      <c r="H5" s="294"/>
      <c r="I5" s="242"/>
      <c r="J5" s="68">
        <v>4</v>
      </c>
      <c r="K5" s="259">
        <v>45363</v>
      </c>
      <c r="L5" s="68"/>
      <c r="M5" s="258"/>
      <c r="N5" s="69"/>
    </row>
    <row r="6" spans="1:19" x14ac:dyDescent="0.25">
      <c r="A6" s="72" t="str">
        <f>+IF(FromProposal[[#This Row],[Cost Code]]&lt;&gt;0,+'Gnatt Chart'!$A$2,"")</f>
        <v xml:space="preserve">Tim Flemming </v>
      </c>
      <c r="B6" s="70">
        <v>2</v>
      </c>
      <c r="C6" s="72" t="s">
        <v>186</v>
      </c>
      <c r="D6" s="72" t="s">
        <v>187</v>
      </c>
      <c r="E6" s="72" t="s">
        <v>188</v>
      </c>
      <c r="F6" s="72">
        <v>0</v>
      </c>
      <c r="G6" s="294"/>
      <c r="H6" s="294"/>
      <c r="I6" s="242"/>
      <c r="J6" s="68">
        <v>4</v>
      </c>
      <c r="K6" s="259">
        <v>45823</v>
      </c>
      <c r="L6" s="68"/>
      <c r="M6" s="258">
        <v>4897.57</v>
      </c>
      <c r="N6" s="69"/>
    </row>
    <row r="7" spans="1:19" x14ac:dyDescent="0.25">
      <c r="A7" s="72" t="str">
        <f>+IF(FromProposal[[#This Row],[Cost Code]]&lt;&gt;0,+'Gnatt Chart'!$A$2,"")</f>
        <v xml:space="preserve">Tim Flemming </v>
      </c>
      <c r="B7" s="70">
        <v>3</v>
      </c>
      <c r="C7" s="72" t="s">
        <v>186</v>
      </c>
      <c r="D7" s="72" t="s">
        <v>189</v>
      </c>
      <c r="E7" s="72" t="s">
        <v>189</v>
      </c>
      <c r="F7" s="72">
        <v>0</v>
      </c>
      <c r="G7" s="294"/>
      <c r="H7" s="294"/>
      <c r="I7" s="242"/>
      <c r="J7" s="68">
        <v>4</v>
      </c>
      <c r="K7" s="259"/>
      <c r="L7" s="68"/>
      <c r="M7" s="258"/>
      <c r="N7" s="69"/>
    </row>
    <row r="8" spans="1:19" x14ac:dyDescent="0.25">
      <c r="A8" s="72" t="str">
        <f>+IF(FromProposal[[#This Row],[Cost Code]]&lt;&gt;0,+'Gnatt Chart'!$A$2,"")</f>
        <v/>
      </c>
      <c r="B8" s="70">
        <v>4</v>
      </c>
      <c r="D8" s="72" t="s">
        <v>190</v>
      </c>
      <c r="E8" s="72" t="s">
        <v>191</v>
      </c>
      <c r="F8" s="72">
        <v>6</v>
      </c>
      <c r="G8" s="294"/>
      <c r="H8" s="294"/>
      <c r="I8" s="242"/>
      <c r="J8" s="68">
        <v>5</v>
      </c>
      <c r="K8" s="259"/>
      <c r="L8" s="68"/>
      <c r="M8" s="258"/>
      <c r="N8" s="69"/>
    </row>
    <row r="9" spans="1:19" x14ac:dyDescent="0.25">
      <c r="A9" s="72" t="str">
        <f>+IF(FromProposal[[#This Row],[Cost Code]]&lt;&gt;0,+'Gnatt Chart'!$A$2,"")</f>
        <v xml:space="preserve">Tim Flemming </v>
      </c>
      <c r="B9" s="70">
        <v>5</v>
      </c>
      <c r="C9" s="72" t="s">
        <v>192</v>
      </c>
      <c r="D9" s="72" t="s">
        <v>193</v>
      </c>
      <c r="E9" s="72" t="s">
        <v>497</v>
      </c>
      <c r="F9" s="72">
        <v>0</v>
      </c>
      <c r="G9" s="294">
        <v>0</v>
      </c>
      <c r="H9" s="294">
        <v>0</v>
      </c>
      <c r="I9" s="242"/>
      <c r="J9" s="68"/>
      <c r="K9" s="259"/>
      <c r="L9" s="68"/>
      <c r="M9" s="258"/>
      <c r="N9" s="69"/>
    </row>
    <row r="10" spans="1:19" x14ac:dyDescent="0.25">
      <c r="A10" s="72" t="str">
        <f>+IF(FromProposal[[#This Row],[Cost Code]]&lt;&gt;0,+'Gnatt Chart'!$A$2,"")</f>
        <v xml:space="preserve">Tim Flemming </v>
      </c>
      <c r="B10" s="70">
        <v>6</v>
      </c>
      <c r="C10" s="72" t="s">
        <v>194</v>
      </c>
      <c r="D10" s="72" t="s">
        <v>193</v>
      </c>
      <c r="E10" s="72" t="s">
        <v>492</v>
      </c>
      <c r="F10" s="72">
        <v>0</v>
      </c>
      <c r="G10" s="294">
        <v>0</v>
      </c>
      <c r="H10" s="294">
        <v>0</v>
      </c>
      <c r="I10" s="242"/>
      <c r="J10" s="68"/>
      <c r="K10" s="259"/>
      <c r="L10" s="68"/>
      <c r="M10" s="258"/>
      <c r="N10" s="69"/>
    </row>
    <row r="11" spans="1:19" x14ac:dyDescent="0.25">
      <c r="A11" s="72" t="str">
        <f>+IF(FromProposal[[#This Row],[Cost Code]]&lt;&gt;0,+'Gnatt Chart'!$A$2,"")</f>
        <v xml:space="preserve">Tim Flemming </v>
      </c>
      <c r="B11" s="70">
        <v>7</v>
      </c>
      <c r="C11" s="72" t="s">
        <v>195</v>
      </c>
      <c r="D11" s="72" t="s">
        <v>193</v>
      </c>
      <c r="E11" s="72" t="s">
        <v>493</v>
      </c>
      <c r="F11" s="72">
        <v>0</v>
      </c>
      <c r="G11" s="294">
        <v>0</v>
      </c>
      <c r="H11" s="294">
        <v>0</v>
      </c>
      <c r="I11" s="242"/>
      <c r="J11" s="68"/>
      <c r="K11" s="259"/>
      <c r="L11" s="68"/>
      <c r="M11" s="258"/>
      <c r="N11" s="69"/>
    </row>
    <row r="12" spans="1:19" x14ac:dyDescent="0.25">
      <c r="A12" s="72" t="str">
        <f>+IF(FromProposal[[#This Row],[Cost Code]]&lt;&gt;0,+'Gnatt Chart'!$A$2,"")</f>
        <v xml:space="preserve">Tim Flemming </v>
      </c>
      <c r="B12" s="70">
        <v>8</v>
      </c>
      <c r="C12" s="72" t="s">
        <v>197</v>
      </c>
      <c r="D12" s="72" t="s">
        <v>193</v>
      </c>
      <c r="E12" s="72" t="s">
        <v>494</v>
      </c>
      <c r="F12" s="72">
        <v>0</v>
      </c>
      <c r="G12" s="294">
        <v>0</v>
      </c>
      <c r="H12" s="294">
        <v>0</v>
      </c>
      <c r="I12" s="242"/>
      <c r="J12" s="68"/>
      <c r="K12" s="259"/>
      <c r="L12" s="68"/>
      <c r="M12" s="258"/>
      <c r="N12" s="69"/>
    </row>
    <row r="13" spans="1:19" x14ac:dyDescent="0.25">
      <c r="A13" s="72" t="str">
        <f>+IF(FromProposal[[#This Row],[Cost Code]]&lt;&gt;0,+'Gnatt Chart'!$A$2,"")</f>
        <v xml:space="preserve">Tim Flemming </v>
      </c>
      <c r="B13" s="70">
        <v>9</v>
      </c>
      <c r="C13" s="72" t="s">
        <v>198</v>
      </c>
      <c r="D13" s="72" t="s">
        <v>193</v>
      </c>
      <c r="E13" s="72" t="s">
        <v>495</v>
      </c>
      <c r="F13" s="72">
        <v>0</v>
      </c>
      <c r="G13" s="294">
        <v>0</v>
      </c>
      <c r="H13" s="294">
        <v>0</v>
      </c>
      <c r="I13" s="242"/>
      <c r="J13" s="68"/>
      <c r="K13" s="259"/>
      <c r="L13" s="68"/>
      <c r="M13" s="258"/>
      <c r="N13" s="69"/>
    </row>
    <row r="14" spans="1:19" x14ac:dyDescent="0.25">
      <c r="A14" s="72" t="str">
        <f>+IF(FromProposal[[#This Row],[Cost Code]]&lt;&gt;0,+'Gnatt Chart'!$A$2,"")</f>
        <v/>
      </c>
      <c r="B14" s="70">
        <v>10</v>
      </c>
      <c r="E14" s="72" t="s">
        <v>802</v>
      </c>
      <c r="F14" s="72">
        <v>1</v>
      </c>
      <c r="G14" s="293">
        <v>155</v>
      </c>
      <c r="H14" s="293">
        <v>155</v>
      </c>
      <c r="I14" s="242" t="s">
        <v>31</v>
      </c>
      <c r="J14" s="68"/>
      <c r="K14" s="259"/>
      <c r="L14" s="68"/>
      <c r="M14" s="258"/>
      <c r="N14" s="69"/>
    </row>
    <row r="15" spans="1:19" x14ac:dyDescent="0.25">
      <c r="A15" s="72" t="str">
        <f>+IF(FromProposal[[#This Row],[Cost Code]]&lt;&gt;0,+'Gnatt Chart'!$A$2,"")</f>
        <v/>
      </c>
      <c r="B15" s="70">
        <v>11</v>
      </c>
      <c r="E15" s="72" t="s">
        <v>801</v>
      </c>
      <c r="F15" s="72">
        <v>1</v>
      </c>
      <c r="G15" s="294">
        <v>45</v>
      </c>
      <c r="H15" s="294">
        <v>45</v>
      </c>
      <c r="I15" s="242" t="s">
        <v>31</v>
      </c>
      <c r="J15" s="68"/>
      <c r="K15" s="259"/>
      <c r="L15" s="68"/>
      <c r="M15" s="258"/>
      <c r="N15" s="69"/>
    </row>
    <row r="16" spans="1:19" x14ac:dyDescent="0.25">
      <c r="A16" s="72" t="str">
        <f>+IF(FromProposal[[#This Row],[Cost Code]]&lt;&gt;0,+'Gnatt Chart'!$A$2,"")</f>
        <v/>
      </c>
      <c r="B16" s="70">
        <v>12</v>
      </c>
      <c r="E16" s="72" t="s">
        <v>815</v>
      </c>
      <c r="F16" s="72">
        <v>1</v>
      </c>
      <c r="G16" s="294">
        <v>25</v>
      </c>
      <c r="H16" s="294">
        <v>25</v>
      </c>
      <c r="I16" s="242" t="s">
        <v>31</v>
      </c>
      <c r="J16" s="68"/>
      <c r="K16" s="259"/>
      <c r="L16" s="68"/>
      <c r="M16" s="258"/>
      <c r="N16" s="69"/>
    </row>
    <row r="17" spans="1:14" x14ac:dyDescent="0.25">
      <c r="A17" s="72" t="str">
        <f>+IF(FromProposal[[#This Row],[Cost Code]]&lt;&gt;0,+'Gnatt Chart'!$A$2,"")</f>
        <v/>
      </c>
      <c r="B17" s="70">
        <v>13</v>
      </c>
      <c r="E17" s="72" t="s">
        <v>803</v>
      </c>
      <c r="F17" s="72">
        <v>1</v>
      </c>
      <c r="G17" s="294">
        <v>85</v>
      </c>
      <c r="H17" s="294">
        <v>85</v>
      </c>
      <c r="I17" s="242" t="s">
        <v>31</v>
      </c>
      <c r="J17" s="68"/>
      <c r="K17" s="259"/>
      <c r="L17" s="68"/>
      <c r="M17" s="258"/>
      <c r="N17" s="69"/>
    </row>
    <row r="18" spans="1:14" x14ac:dyDescent="0.25">
      <c r="A18" s="72" t="str">
        <f>+IF(FromProposal[[#This Row],[Cost Code]]&lt;&gt;0,+'Gnatt Chart'!$A$2,"")</f>
        <v/>
      </c>
      <c r="B18" s="70">
        <v>14</v>
      </c>
      <c r="E18" s="72" t="s">
        <v>804</v>
      </c>
      <c r="F18" s="72">
        <v>1</v>
      </c>
      <c r="G18" s="294">
        <v>25</v>
      </c>
      <c r="H18" s="294">
        <v>25</v>
      </c>
      <c r="I18" s="242" t="s">
        <v>31</v>
      </c>
      <c r="J18" s="68"/>
      <c r="K18" s="259"/>
      <c r="L18" s="68"/>
      <c r="M18" s="258"/>
      <c r="N18" s="69"/>
    </row>
    <row r="19" spans="1:14" x14ac:dyDescent="0.25">
      <c r="A19" s="72" t="str">
        <f>+IF(FromProposal[[#This Row],[Cost Code]]&lt;&gt;0,+'Gnatt Chart'!$A$2,"")</f>
        <v/>
      </c>
      <c r="B19" s="70">
        <v>15</v>
      </c>
      <c r="E19" s="72" t="s">
        <v>805</v>
      </c>
      <c r="F19" s="72">
        <v>2</v>
      </c>
      <c r="G19" s="294">
        <v>35</v>
      </c>
      <c r="H19" s="294">
        <v>70</v>
      </c>
      <c r="I19" s="242" t="s">
        <v>31</v>
      </c>
      <c r="J19" s="68"/>
      <c r="K19" s="259"/>
      <c r="L19" s="68"/>
      <c r="M19" s="258"/>
      <c r="N19" s="69"/>
    </row>
    <row r="20" spans="1:14" x14ac:dyDescent="0.25">
      <c r="A20" s="72" t="str">
        <f>+IF(FromProposal[[#This Row],[Cost Code]]&lt;&gt;0,+'Gnatt Chart'!$A$2,"")</f>
        <v/>
      </c>
      <c r="B20" s="70">
        <v>16</v>
      </c>
      <c r="E20" s="72" t="s">
        <v>806</v>
      </c>
      <c r="F20" s="72">
        <v>1</v>
      </c>
      <c r="G20" s="294">
        <v>350</v>
      </c>
      <c r="H20" s="294">
        <v>350</v>
      </c>
      <c r="I20" s="242" t="s">
        <v>31</v>
      </c>
      <c r="J20" s="68"/>
      <c r="K20" s="259"/>
      <c r="L20" s="68"/>
      <c r="M20" s="258"/>
      <c r="N20" s="69"/>
    </row>
    <row r="21" spans="1:14" x14ac:dyDescent="0.25">
      <c r="A21" s="72" t="str">
        <f>+IF(FromProposal[[#This Row],[Cost Code]]&lt;&gt;0,+'Gnatt Chart'!$A$2,"")</f>
        <v/>
      </c>
      <c r="B21" s="70">
        <v>17</v>
      </c>
      <c r="E21" s="72" t="s">
        <v>807</v>
      </c>
      <c r="F21" s="72">
        <v>1</v>
      </c>
      <c r="G21" s="294">
        <v>1200</v>
      </c>
      <c r="H21" s="294">
        <v>1200</v>
      </c>
      <c r="I21" s="242" t="s">
        <v>31</v>
      </c>
      <c r="J21" s="68"/>
      <c r="K21" s="259"/>
      <c r="L21" s="68"/>
      <c r="M21" s="258"/>
      <c r="N21" s="69"/>
    </row>
    <row r="22" spans="1:14" x14ac:dyDescent="0.25">
      <c r="A22" s="72" t="str">
        <f>+IF(FromProposal[[#This Row],[Cost Code]]&lt;&gt;0,+'Gnatt Chart'!$A$2,"")</f>
        <v/>
      </c>
      <c r="B22" s="70">
        <v>18</v>
      </c>
      <c r="E22" s="72" t="s">
        <v>808</v>
      </c>
      <c r="F22" s="72">
        <v>1</v>
      </c>
      <c r="G22" s="294">
        <v>110</v>
      </c>
      <c r="H22" s="294">
        <v>110</v>
      </c>
      <c r="I22" s="242" t="s">
        <v>31</v>
      </c>
      <c r="J22" s="68"/>
      <c r="K22" s="259"/>
      <c r="L22" s="68"/>
      <c r="M22" s="258"/>
      <c r="N22" s="69" t="s">
        <v>523</v>
      </c>
    </row>
    <row r="23" spans="1:14" x14ac:dyDescent="0.25">
      <c r="A23" s="72" t="str">
        <f>+IF(FromProposal[[#This Row],[Cost Code]]&lt;&gt;0,+'Gnatt Chart'!$A$2,"")</f>
        <v/>
      </c>
      <c r="B23" s="70">
        <v>19</v>
      </c>
      <c r="E23" s="72" t="s">
        <v>809</v>
      </c>
      <c r="F23" s="72">
        <v>1</v>
      </c>
      <c r="G23" s="294">
        <v>215</v>
      </c>
      <c r="H23" s="294">
        <v>215</v>
      </c>
      <c r="I23" s="242" t="s">
        <v>31</v>
      </c>
      <c r="J23" s="68"/>
      <c r="K23" s="259"/>
      <c r="L23" s="68"/>
      <c r="M23" s="258"/>
      <c r="N23" s="69"/>
    </row>
    <row r="24" spans="1:14" x14ac:dyDescent="0.25">
      <c r="A24" s="72" t="str">
        <f>+IF(FromProposal[[#This Row],[Cost Code]]&lt;&gt;0,+'Gnatt Chart'!$A$2,"")</f>
        <v/>
      </c>
      <c r="B24" s="70">
        <v>20</v>
      </c>
      <c r="E24" s="72" t="s">
        <v>810</v>
      </c>
      <c r="F24" s="72">
        <v>1</v>
      </c>
      <c r="G24" s="294">
        <v>1300.0999999999999</v>
      </c>
      <c r="H24" s="294">
        <v>1300.0999999999999</v>
      </c>
      <c r="I24" s="242" t="s">
        <v>31</v>
      </c>
      <c r="J24" s="68"/>
      <c r="K24" s="259"/>
      <c r="L24" s="68"/>
      <c r="M24" s="258"/>
      <c r="N24" s="69"/>
    </row>
    <row r="25" spans="1:14" x14ac:dyDescent="0.25">
      <c r="A25" s="72" t="str">
        <f>+IF(FromProposal[[#This Row],[Cost Code]]&lt;&gt;0,+'Gnatt Chart'!$A$2,"")</f>
        <v/>
      </c>
      <c r="B25" s="70">
        <v>21</v>
      </c>
      <c r="E25" s="72" t="s">
        <v>811</v>
      </c>
      <c r="F25" s="72">
        <v>1</v>
      </c>
      <c r="G25" s="294">
        <v>95</v>
      </c>
      <c r="H25" s="294">
        <v>95</v>
      </c>
      <c r="I25" s="242" t="s">
        <v>31</v>
      </c>
      <c r="J25" s="68"/>
      <c r="K25" s="259"/>
      <c r="L25" s="68"/>
      <c r="M25" s="258"/>
      <c r="N25" s="69"/>
    </row>
    <row r="26" spans="1:14" x14ac:dyDescent="0.25">
      <c r="A26" s="72" t="str">
        <f>+IF(FromProposal[[#This Row],[Cost Code]]&lt;&gt;0,+'Gnatt Chart'!$A$2,"")</f>
        <v/>
      </c>
      <c r="B26" s="70">
        <v>22</v>
      </c>
      <c r="E26" s="271" t="s">
        <v>812</v>
      </c>
      <c r="F26" s="271">
        <v>1</v>
      </c>
      <c r="G26" s="295">
        <v>65</v>
      </c>
      <c r="H26" s="295">
        <v>65</v>
      </c>
      <c r="I26" s="242" t="s">
        <v>31</v>
      </c>
      <c r="J26" s="68"/>
      <c r="K26" s="259"/>
      <c r="L26" s="68"/>
      <c r="M26" s="258"/>
      <c r="N26" s="69"/>
    </row>
    <row r="27" spans="1:14" x14ac:dyDescent="0.25">
      <c r="A27" s="72" t="str">
        <f>+IF(FromProposal[[#This Row],[Cost Code]]&lt;&gt;0,+'Gnatt Chart'!$A$2,"")</f>
        <v/>
      </c>
      <c r="B27" s="70">
        <v>23</v>
      </c>
      <c r="E27" s="72" t="s">
        <v>813</v>
      </c>
      <c r="F27" s="72">
        <v>1</v>
      </c>
      <c r="G27" s="294">
        <v>95</v>
      </c>
      <c r="H27" s="294">
        <v>95</v>
      </c>
      <c r="I27" s="242" t="s">
        <v>31</v>
      </c>
      <c r="J27" s="68"/>
      <c r="K27" s="259"/>
      <c r="L27" s="68"/>
      <c r="M27" s="258"/>
      <c r="N27" s="69"/>
    </row>
    <row r="28" spans="1:14" x14ac:dyDescent="0.25">
      <c r="A28" s="72" t="str">
        <f>+IF(FromProposal[[#This Row],[Cost Code]]&lt;&gt;0,+'Gnatt Chart'!$A$2,"")</f>
        <v/>
      </c>
      <c r="B28" s="70">
        <v>24</v>
      </c>
      <c r="E28" s="72" t="s">
        <v>814</v>
      </c>
      <c r="F28" s="72">
        <v>0</v>
      </c>
      <c r="G28" s="294">
        <v>95</v>
      </c>
      <c r="H28" s="294">
        <v>0</v>
      </c>
      <c r="I28" s="242"/>
      <c r="J28" s="68"/>
      <c r="K28" s="259"/>
      <c r="L28" s="68"/>
      <c r="M28" s="258"/>
      <c r="N28" s="69"/>
    </row>
    <row r="29" spans="1:14" x14ac:dyDescent="0.25">
      <c r="A29" s="72" t="str">
        <f>+IF(FromProposal[[#This Row],[Cost Code]]&lt;&gt;0,+'Gnatt Chart'!$A$2,"")</f>
        <v/>
      </c>
      <c r="B29" s="70">
        <v>25</v>
      </c>
      <c r="E29" s="72" t="s">
        <v>805</v>
      </c>
      <c r="F29" s="72">
        <v>1</v>
      </c>
      <c r="G29" s="294">
        <v>35</v>
      </c>
      <c r="H29" s="294">
        <v>35</v>
      </c>
      <c r="I29" s="242" t="s">
        <v>31</v>
      </c>
      <c r="J29" s="68"/>
      <c r="K29" s="259"/>
      <c r="L29" s="68"/>
      <c r="M29" s="258"/>
      <c r="N29" s="69"/>
    </row>
    <row r="30" spans="1:14" x14ac:dyDescent="0.25">
      <c r="A30" s="72" t="str">
        <f>+IF(FromProposal[[#This Row],[Cost Code]]&lt;&gt;0,+'Gnatt Chart'!$A$2,"")</f>
        <v/>
      </c>
      <c r="B30" s="70">
        <v>26</v>
      </c>
      <c r="E30" s="72" t="s">
        <v>816</v>
      </c>
      <c r="F30" s="72">
        <v>1</v>
      </c>
      <c r="G30" s="294">
        <v>0</v>
      </c>
      <c r="H30" s="294">
        <v>0</v>
      </c>
      <c r="I30" s="242"/>
      <c r="J30" s="68"/>
      <c r="K30" s="259"/>
      <c r="L30" s="68"/>
      <c r="M30" s="258"/>
      <c r="N30" s="69"/>
    </row>
    <row r="31" spans="1:14" x14ac:dyDescent="0.25">
      <c r="A31" s="72" t="str">
        <f>+IF(FromProposal[[#This Row],[Cost Code]]&lt;&gt;0,+'Gnatt Chart'!$A$2,"")</f>
        <v/>
      </c>
      <c r="B31" s="70">
        <v>27</v>
      </c>
      <c r="E31" s="72" t="s">
        <v>818</v>
      </c>
      <c r="F31" s="72">
        <v>1</v>
      </c>
      <c r="G31" s="294">
        <v>45</v>
      </c>
      <c r="H31" s="294">
        <v>45</v>
      </c>
      <c r="I31" s="242" t="s">
        <v>31</v>
      </c>
      <c r="J31" s="68"/>
      <c r="K31" s="259"/>
      <c r="L31" s="68"/>
      <c r="M31" s="258"/>
      <c r="N31" s="69"/>
    </row>
    <row r="32" spans="1:14" x14ac:dyDescent="0.25">
      <c r="A32" s="72" t="str">
        <f>+IF(FromProposal[[#This Row],[Cost Code]]&lt;&gt;0,+'Gnatt Chart'!$A$2,"")</f>
        <v/>
      </c>
      <c r="B32" s="70">
        <v>28</v>
      </c>
      <c r="E32" s="72" t="s">
        <v>819</v>
      </c>
      <c r="F32" s="72">
        <v>1</v>
      </c>
      <c r="G32" s="294">
        <v>95</v>
      </c>
      <c r="H32" s="294">
        <v>95</v>
      </c>
      <c r="I32" s="242" t="s">
        <v>31</v>
      </c>
      <c r="J32" s="68"/>
      <c r="K32" s="259"/>
      <c r="L32" s="68"/>
      <c r="M32" s="258"/>
      <c r="N32" s="69"/>
    </row>
    <row r="33" spans="1:14" x14ac:dyDescent="0.25">
      <c r="A33" s="72" t="str">
        <f>+IF(FromProposal[[#This Row],[Cost Code]]&lt;&gt;0,+'Gnatt Chart'!$A$2,"")</f>
        <v/>
      </c>
      <c r="B33" s="70">
        <v>29</v>
      </c>
      <c r="E33" s="72" t="s">
        <v>820</v>
      </c>
      <c r="F33" s="72">
        <v>1</v>
      </c>
      <c r="G33" s="294">
        <v>95</v>
      </c>
      <c r="H33" s="294">
        <v>95</v>
      </c>
      <c r="I33" s="242" t="s">
        <v>31</v>
      </c>
      <c r="J33" s="68"/>
      <c r="K33" s="259"/>
      <c r="L33" s="68"/>
      <c r="M33" s="258"/>
      <c r="N33" s="69"/>
    </row>
    <row r="34" spans="1:14" x14ac:dyDescent="0.25">
      <c r="A34" s="72" t="str">
        <f>+IF(FromProposal[[#This Row],[Cost Code]]&lt;&gt;0,+'Gnatt Chart'!$A$2,"")</f>
        <v/>
      </c>
      <c r="B34" s="70">
        <v>30</v>
      </c>
      <c r="E34" s="72" t="s">
        <v>824</v>
      </c>
      <c r="F34" s="72">
        <v>8</v>
      </c>
      <c r="G34" s="294">
        <v>25</v>
      </c>
      <c r="H34" s="294">
        <v>200</v>
      </c>
      <c r="I34" s="242" t="s">
        <v>31</v>
      </c>
      <c r="J34" s="68"/>
      <c r="K34" s="259"/>
      <c r="L34" s="68"/>
      <c r="M34" s="258"/>
      <c r="N34" s="69"/>
    </row>
    <row r="35" spans="1:14" x14ac:dyDescent="0.25">
      <c r="A35" s="72" t="str">
        <f>+IF(FromProposal[[#This Row],[Cost Code]]&lt;&gt;0,+'Gnatt Chart'!$A$2,"")</f>
        <v/>
      </c>
      <c r="B35" s="70">
        <v>31</v>
      </c>
      <c r="E35" s="72" t="s">
        <v>821</v>
      </c>
      <c r="F35" s="72">
        <v>8</v>
      </c>
      <c r="G35" s="294">
        <v>10</v>
      </c>
      <c r="H35" s="294">
        <v>80</v>
      </c>
      <c r="I35" s="242" t="s">
        <v>31</v>
      </c>
      <c r="J35" s="68"/>
      <c r="K35" s="259"/>
      <c r="L35" s="68"/>
      <c r="M35" s="258"/>
      <c r="N35" s="69"/>
    </row>
    <row r="36" spans="1:14" x14ac:dyDescent="0.25">
      <c r="A36" s="72" t="str">
        <f>+IF(FromProposal[[#This Row],[Cost Code]]&lt;&gt;0,+'Gnatt Chart'!$A$2,"")</f>
        <v/>
      </c>
      <c r="B36" s="70">
        <v>32</v>
      </c>
      <c r="E36" s="72" t="s">
        <v>822</v>
      </c>
      <c r="F36" s="72">
        <v>3</v>
      </c>
      <c r="G36" s="294">
        <v>10</v>
      </c>
      <c r="H36" s="294">
        <v>30</v>
      </c>
      <c r="I36" s="242" t="s">
        <v>31</v>
      </c>
      <c r="J36" s="68"/>
      <c r="K36" s="259"/>
      <c r="L36" s="68"/>
      <c r="M36" s="258"/>
      <c r="N36" s="69"/>
    </row>
    <row r="37" spans="1:14" x14ac:dyDescent="0.25">
      <c r="A37" s="72" t="str">
        <f>+IF(FromProposal[[#This Row],[Cost Code]]&lt;&gt;0,+'Gnatt Chart'!$A$2,"")</f>
        <v/>
      </c>
      <c r="B37" s="70">
        <v>33</v>
      </c>
      <c r="E37" s="72" t="s">
        <v>823</v>
      </c>
      <c r="F37" s="72">
        <v>2</v>
      </c>
      <c r="G37" s="294">
        <v>35</v>
      </c>
      <c r="H37" s="294">
        <v>70</v>
      </c>
      <c r="I37" s="242" t="s">
        <v>31</v>
      </c>
      <c r="J37" s="68"/>
      <c r="K37" s="259"/>
      <c r="L37" s="68"/>
      <c r="M37" s="258"/>
      <c r="N37" s="69"/>
    </row>
    <row r="38" spans="1:14" x14ac:dyDescent="0.25">
      <c r="A38" s="72" t="str">
        <f>+IF(FromProposal[[#This Row],[Cost Code]]&lt;&gt;0,+'Gnatt Chart'!$A$2,"")</f>
        <v/>
      </c>
      <c r="B38" s="70">
        <v>34</v>
      </c>
      <c r="E38" s="72" t="s">
        <v>817</v>
      </c>
      <c r="F38" s="72">
        <v>1</v>
      </c>
      <c r="G38" s="294">
        <v>95</v>
      </c>
      <c r="H38" s="294">
        <v>95</v>
      </c>
      <c r="I38" s="242" t="s">
        <v>31</v>
      </c>
      <c r="J38" s="68"/>
      <c r="K38" s="259"/>
      <c r="L38" s="68"/>
      <c r="M38" s="258"/>
      <c r="N38" s="69"/>
    </row>
    <row r="39" spans="1:14" x14ac:dyDescent="0.25">
      <c r="A39" s="72" t="str">
        <f>+IF(FromProposal[[#This Row],[Cost Code]]&lt;&gt;0,+'Gnatt Chart'!$A$2,"")</f>
        <v/>
      </c>
      <c r="B39" s="70">
        <v>35</v>
      </c>
      <c r="E39" s="72" t="s">
        <v>825</v>
      </c>
      <c r="F39" s="72">
        <v>1</v>
      </c>
      <c r="G39" s="294">
        <v>50</v>
      </c>
      <c r="H39" s="294">
        <v>50</v>
      </c>
      <c r="I39" s="242" t="s">
        <v>31</v>
      </c>
      <c r="J39" s="68"/>
      <c r="K39" s="259"/>
      <c r="L39" s="68"/>
      <c r="M39" s="258"/>
      <c r="N39" s="69"/>
    </row>
    <row r="40" spans="1:14" x14ac:dyDescent="0.25">
      <c r="A40" s="72" t="str">
        <f>+IF(FromProposal[[#This Row],[Cost Code]]&lt;&gt;0,+'Gnatt Chart'!$A$2,"")</f>
        <v/>
      </c>
      <c r="B40" s="70">
        <v>36</v>
      </c>
      <c r="E40" s="72" t="s">
        <v>881</v>
      </c>
      <c r="F40" s="72">
        <v>1</v>
      </c>
      <c r="G40" s="294">
        <v>48</v>
      </c>
      <c r="H40" s="294">
        <v>48</v>
      </c>
      <c r="I40" s="242" t="s">
        <v>31</v>
      </c>
      <c r="J40" s="68"/>
      <c r="K40" s="259"/>
      <c r="L40" s="68"/>
      <c r="M40" s="258"/>
      <c r="N40" s="69"/>
    </row>
    <row r="41" spans="1:14" x14ac:dyDescent="0.25">
      <c r="A41" s="72" t="str">
        <f>+IF(FromProposal[[#This Row],[Cost Code]]&lt;&gt;0,+'Gnatt Chart'!$A$2,"")</f>
        <v/>
      </c>
      <c r="B41" s="70">
        <v>37</v>
      </c>
      <c r="E41" s="72" t="s">
        <v>882</v>
      </c>
      <c r="F41" s="72">
        <v>1</v>
      </c>
      <c r="G41" s="294">
        <v>80</v>
      </c>
      <c r="H41" s="294">
        <v>80</v>
      </c>
      <c r="I41" s="242" t="s">
        <v>31</v>
      </c>
      <c r="J41" s="68"/>
      <c r="K41" s="259"/>
      <c r="L41" s="68"/>
      <c r="M41" s="258"/>
      <c r="N41" s="69"/>
    </row>
    <row r="42" spans="1:14" x14ac:dyDescent="0.25">
      <c r="A42" s="72" t="str">
        <f>+IF(FromProposal[[#This Row],[Cost Code]]&lt;&gt;0,+'Gnatt Chart'!$A$2,"")</f>
        <v/>
      </c>
      <c r="B42" s="70">
        <v>38</v>
      </c>
      <c r="E42" s="72" t="s">
        <v>903</v>
      </c>
      <c r="F42" s="72">
        <v>1</v>
      </c>
      <c r="G42" s="294">
        <v>139.47</v>
      </c>
      <c r="H42" s="294">
        <v>139.47</v>
      </c>
      <c r="I42" s="242" t="s">
        <v>31</v>
      </c>
      <c r="J42" s="68"/>
      <c r="K42" s="259"/>
      <c r="L42" s="68"/>
      <c r="M42" s="258"/>
      <c r="N42" s="69"/>
    </row>
    <row r="43" spans="1:14" x14ac:dyDescent="0.25">
      <c r="A43" s="72" t="str">
        <f>+IF(FromProposal[[#This Row],[Cost Code]]&lt;&gt;0,+'Gnatt Chart'!$A$2,"")</f>
        <v/>
      </c>
      <c r="B43" s="70">
        <v>39</v>
      </c>
      <c r="G43" s="294"/>
      <c r="H43" s="294"/>
      <c r="I43" s="242"/>
      <c r="J43" s="68"/>
      <c r="K43" s="259"/>
      <c r="L43" s="68"/>
      <c r="M43" s="258"/>
      <c r="N43" s="69"/>
    </row>
    <row r="44" spans="1:14" x14ac:dyDescent="0.25">
      <c r="A44" s="72" t="str">
        <f>+IF(FromProposal[[#This Row],[Cost Code]]&lt;&gt;0,+'Gnatt Chart'!$A$2,"")</f>
        <v/>
      </c>
      <c r="B44" s="70">
        <v>40</v>
      </c>
      <c r="G44" s="294"/>
      <c r="H44" s="294"/>
      <c r="I44" s="242"/>
      <c r="J44" s="68"/>
      <c r="K44" s="259"/>
      <c r="L44" s="68"/>
      <c r="M44" s="258"/>
      <c r="N44" s="69"/>
    </row>
    <row r="45" spans="1:14" x14ac:dyDescent="0.25">
      <c r="A45" s="72" t="str">
        <f>+IF(FromProposal[[#This Row],[Cost Code]]&lt;&gt;0,+'Gnatt Chart'!$A$2,"")</f>
        <v/>
      </c>
      <c r="B45" s="70">
        <v>41</v>
      </c>
      <c r="G45" s="294"/>
      <c r="H45" s="294"/>
      <c r="I45" s="242"/>
      <c r="J45" s="68"/>
      <c r="K45" s="259"/>
      <c r="L45" s="68"/>
      <c r="M45" s="258"/>
      <c r="N45" s="69"/>
    </row>
    <row r="46" spans="1:14" x14ac:dyDescent="0.25">
      <c r="A46" s="72" t="str">
        <f>+IF(FromProposal[[#This Row],[Cost Code]]&lt;&gt;0,+'Gnatt Chart'!$A$2,"")</f>
        <v/>
      </c>
      <c r="B46" s="70">
        <v>42</v>
      </c>
      <c r="G46" s="294"/>
      <c r="H46" s="294"/>
      <c r="I46" s="242"/>
      <c r="J46" s="68"/>
      <c r="K46" s="259"/>
      <c r="L46" s="68"/>
      <c r="M46" s="258"/>
      <c r="N46" s="69"/>
    </row>
    <row r="47" spans="1:14" x14ac:dyDescent="0.25">
      <c r="A47" s="72" t="str">
        <f>+IF(FromProposal[[#This Row],[Cost Code]]&lt;&gt;0,+'Gnatt Chart'!$A$2,"")</f>
        <v/>
      </c>
      <c r="B47" s="70">
        <v>43</v>
      </c>
      <c r="G47" s="294"/>
      <c r="H47" s="294"/>
      <c r="I47" s="242"/>
      <c r="J47" s="68"/>
      <c r="K47" s="259"/>
      <c r="L47" s="68"/>
      <c r="M47" s="258"/>
      <c r="N47" s="69"/>
    </row>
    <row r="48" spans="1:14" x14ac:dyDescent="0.25">
      <c r="A48" s="72" t="str">
        <f>+IF(FromProposal[[#This Row],[Cost Code]]&lt;&gt;0,+'Gnatt Chart'!$A$2,"")</f>
        <v/>
      </c>
      <c r="B48" s="70">
        <v>44</v>
      </c>
      <c r="G48" s="294"/>
      <c r="H48" s="294"/>
      <c r="I48" s="242"/>
      <c r="J48" s="68"/>
      <c r="K48" s="259"/>
      <c r="L48" s="68"/>
      <c r="M48" s="258"/>
      <c r="N48" s="69"/>
    </row>
    <row r="49" spans="7:11" x14ac:dyDescent="0.25">
      <c r="G49" s="72"/>
      <c r="H49" s="72"/>
      <c r="K49" s="256"/>
    </row>
    <row r="50" spans="7:11" x14ac:dyDescent="0.25">
      <c r="G50" s="72"/>
      <c r="H50" s="72"/>
      <c r="K50" s="256"/>
    </row>
    <row r="51" spans="7:11" x14ac:dyDescent="0.25">
      <c r="G51" s="72"/>
      <c r="H51" s="72"/>
      <c r="K51" s="256"/>
    </row>
    <row r="52" spans="7:11" x14ac:dyDescent="0.25">
      <c r="G52" s="72"/>
      <c r="H52" s="72"/>
      <c r="K52" s="256"/>
    </row>
    <row r="53" spans="7:11" x14ac:dyDescent="0.25">
      <c r="G53" s="72"/>
      <c r="H53" s="72"/>
      <c r="K53" s="256"/>
    </row>
    <row r="54" spans="7:11" x14ac:dyDescent="0.25">
      <c r="G54" s="72"/>
      <c r="H54" s="72"/>
      <c r="K54" s="256"/>
    </row>
    <row r="55" spans="7:11" x14ac:dyDescent="0.25">
      <c r="G55" s="72"/>
      <c r="H55" s="72"/>
      <c r="K55" s="256"/>
    </row>
    <row r="56" spans="7:11" x14ac:dyDescent="0.25">
      <c r="G56" s="72"/>
      <c r="H56" s="72"/>
      <c r="K56" s="256"/>
    </row>
    <row r="57" spans="7:11" x14ac:dyDescent="0.25">
      <c r="G57" s="72"/>
      <c r="H57" s="72"/>
      <c r="K57" s="256"/>
    </row>
    <row r="58" spans="7:11" x14ac:dyDescent="0.25">
      <c r="G58" s="72"/>
      <c r="H58" s="72"/>
      <c r="K58" s="256"/>
    </row>
    <row r="59" spans="7:11" x14ac:dyDescent="0.25">
      <c r="G59" s="72"/>
      <c r="H59" s="72"/>
      <c r="K59" s="256"/>
    </row>
    <row r="60" spans="7:11" x14ac:dyDescent="0.25">
      <c r="G60" s="72"/>
      <c r="H60" s="72"/>
      <c r="K60" s="256"/>
    </row>
    <row r="61" spans="7:11" x14ac:dyDescent="0.25">
      <c r="G61" s="72"/>
      <c r="H61" s="72"/>
      <c r="K61" s="256"/>
    </row>
    <row r="62" spans="7:11" x14ac:dyDescent="0.25">
      <c r="G62" s="72"/>
      <c r="H62" s="72"/>
      <c r="K62" s="256"/>
    </row>
    <row r="63" spans="7:11" x14ac:dyDescent="0.25">
      <c r="G63" s="72"/>
      <c r="H63" s="72"/>
      <c r="K63" s="256"/>
    </row>
    <row r="64" spans="7:11" x14ac:dyDescent="0.25">
      <c r="G64" s="72"/>
      <c r="H64" s="72"/>
      <c r="K64" s="256"/>
    </row>
    <row r="65" spans="7:11" x14ac:dyDescent="0.25">
      <c r="G65" s="72"/>
      <c r="H65" s="72"/>
      <c r="K65" s="256"/>
    </row>
    <row r="66" spans="7:11" x14ac:dyDescent="0.25">
      <c r="G66" s="72"/>
      <c r="H66" s="72"/>
      <c r="K66" s="256"/>
    </row>
    <row r="67" spans="7:11" x14ac:dyDescent="0.25">
      <c r="G67" s="72"/>
      <c r="H67" s="72"/>
      <c r="K67" s="256"/>
    </row>
    <row r="68" spans="7:11" x14ac:dyDescent="0.25">
      <c r="G68" s="72"/>
      <c r="H68" s="72"/>
      <c r="K68" s="256"/>
    </row>
    <row r="69" spans="7:11" x14ac:dyDescent="0.25">
      <c r="G69" s="72"/>
      <c r="H69" s="72"/>
      <c r="K69" s="256"/>
    </row>
    <row r="70" spans="7:11" x14ac:dyDescent="0.25">
      <c r="G70" s="72"/>
      <c r="H70" s="72"/>
      <c r="K70" s="256"/>
    </row>
    <row r="71" spans="7:11" x14ac:dyDescent="0.25">
      <c r="G71" s="72"/>
      <c r="H71" s="72"/>
      <c r="K71" s="256"/>
    </row>
    <row r="72" spans="7:11" x14ac:dyDescent="0.25">
      <c r="G72" s="72"/>
      <c r="H72" s="72"/>
      <c r="K72" s="256"/>
    </row>
    <row r="73" spans="7:11" x14ac:dyDescent="0.25">
      <c r="G73" s="72"/>
      <c r="H73" s="72"/>
      <c r="K73" s="256"/>
    </row>
    <row r="74" spans="7:11" x14ac:dyDescent="0.25">
      <c r="G74" s="72"/>
      <c r="H74" s="72"/>
      <c r="K74" s="256"/>
    </row>
    <row r="75" spans="7:11" x14ac:dyDescent="0.25">
      <c r="G75" s="72"/>
      <c r="H75" s="72"/>
      <c r="K75" s="256"/>
    </row>
    <row r="76" spans="7:11" x14ac:dyDescent="0.25">
      <c r="G76" s="72"/>
      <c r="H76" s="72"/>
      <c r="K76" s="256"/>
    </row>
    <row r="77" spans="7:11" x14ac:dyDescent="0.25">
      <c r="G77" s="72"/>
      <c r="H77" s="72"/>
      <c r="K77" s="256"/>
    </row>
    <row r="78" spans="7:11" x14ac:dyDescent="0.25">
      <c r="G78" s="72"/>
      <c r="H78" s="72"/>
      <c r="K78" s="256"/>
    </row>
    <row r="79" spans="7:11" x14ac:dyDescent="0.25">
      <c r="G79" s="72"/>
      <c r="H79" s="72"/>
      <c r="K79" s="256"/>
    </row>
    <row r="80" spans="7:11" x14ac:dyDescent="0.25">
      <c r="G80" s="72"/>
      <c r="H80" s="72"/>
      <c r="K80" s="256"/>
    </row>
    <row r="81" spans="7:11" x14ac:dyDescent="0.25">
      <c r="G81" s="72"/>
      <c r="H81" s="72"/>
      <c r="K81" s="256"/>
    </row>
    <row r="82" spans="7:11" x14ac:dyDescent="0.25">
      <c r="G82" s="72"/>
      <c r="H82" s="72"/>
      <c r="K82" s="256"/>
    </row>
    <row r="83" spans="7:11" x14ac:dyDescent="0.25">
      <c r="G83" s="72"/>
      <c r="H83" s="72"/>
      <c r="K83" s="256"/>
    </row>
    <row r="84" spans="7:11" x14ac:dyDescent="0.25">
      <c r="G84" s="72"/>
      <c r="H84" s="72"/>
      <c r="K84" s="256"/>
    </row>
    <row r="85" spans="7:11" x14ac:dyDescent="0.25">
      <c r="G85" s="72"/>
      <c r="H85" s="72"/>
      <c r="K85" s="256"/>
    </row>
    <row r="86" spans="7:11" x14ac:dyDescent="0.25">
      <c r="G86" s="72"/>
      <c r="H86" s="72"/>
      <c r="K86" s="256"/>
    </row>
    <row r="87" spans="7:11" x14ac:dyDescent="0.25">
      <c r="G87" s="72"/>
      <c r="H87" s="72"/>
      <c r="K87" s="256"/>
    </row>
    <row r="88" spans="7:11" x14ac:dyDescent="0.25">
      <c r="G88" s="72"/>
      <c r="H88" s="72"/>
      <c r="K88" s="256"/>
    </row>
    <row r="89" spans="7:11" x14ac:dyDescent="0.25">
      <c r="G89" s="72"/>
      <c r="H89" s="72"/>
      <c r="K89" s="256"/>
    </row>
    <row r="90" spans="7:11" x14ac:dyDescent="0.25">
      <c r="K90" s="256"/>
    </row>
    <row r="91" spans="7:11" x14ac:dyDescent="0.25">
      <c r="K91" s="256"/>
    </row>
    <row r="92" spans="7:11" x14ac:dyDescent="0.25">
      <c r="K92" s="256"/>
    </row>
    <row r="93" spans="7:11" x14ac:dyDescent="0.25">
      <c r="K93" s="256"/>
    </row>
    <row r="94" spans="7:11" x14ac:dyDescent="0.25">
      <c r="K94" s="256"/>
    </row>
    <row r="95" spans="7:11" x14ac:dyDescent="0.25">
      <c r="K95" s="256"/>
    </row>
    <row r="96" spans="7:11" x14ac:dyDescent="0.25">
      <c r="K96" s="256"/>
    </row>
    <row r="97" spans="11:11" x14ac:dyDescent="0.25">
      <c r="K97" s="256"/>
    </row>
    <row r="98" spans="11:11" x14ac:dyDescent="0.25">
      <c r="K98" s="256"/>
    </row>
    <row r="99" spans="11:11" x14ac:dyDescent="0.25">
      <c r="K99" s="256"/>
    </row>
    <row r="100" spans="11:11" x14ac:dyDescent="0.25">
      <c r="K100" s="256"/>
    </row>
    <row r="101" spans="11:11" x14ac:dyDescent="0.25">
      <c r="K101" s="256"/>
    </row>
    <row r="102" spans="11:11" x14ac:dyDescent="0.25">
      <c r="K102" s="256"/>
    </row>
    <row r="103" spans="11:11" x14ac:dyDescent="0.25">
      <c r="K103" s="256"/>
    </row>
    <row r="104" spans="11:11" x14ac:dyDescent="0.25">
      <c r="K104" s="256"/>
    </row>
    <row r="105" spans="11:11" x14ac:dyDescent="0.25">
      <c r="K105" s="256"/>
    </row>
    <row r="106" spans="11:11" x14ac:dyDescent="0.25">
      <c r="K106" s="256"/>
    </row>
    <row r="107" spans="11:11" x14ac:dyDescent="0.25">
      <c r="K107" s="256"/>
    </row>
    <row r="108" spans="11:11" x14ac:dyDescent="0.25">
      <c r="K108" s="256"/>
    </row>
    <row r="109" spans="11:11" x14ac:dyDescent="0.25">
      <c r="K109" s="256"/>
    </row>
    <row r="110" spans="11:11" x14ac:dyDescent="0.25">
      <c r="K110" s="256"/>
    </row>
    <row r="111" spans="11:11" x14ac:dyDescent="0.25">
      <c r="K111" s="256"/>
    </row>
    <row r="112" spans="11:11" x14ac:dyDescent="0.25">
      <c r="K112" s="256"/>
    </row>
    <row r="113" spans="11:11" x14ac:dyDescent="0.25">
      <c r="K113" s="256"/>
    </row>
    <row r="114" spans="11:11" x14ac:dyDescent="0.25">
      <c r="K114" s="256"/>
    </row>
    <row r="115" spans="11:11" x14ac:dyDescent="0.25">
      <c r="K115" s="256"/>
    </row>
    <row r="116" spans="11:11" x14ac:dyDescent="0.25">
      <c r="K116" s="256"/>
    </row>
    <row r="117" spans="11:11" x14ac:dyDescent="0.25">
      <c r="K117" s="256"/>
    </row>
    <row r="118" spans="11:11" x14ac:dyDescent="0.25">
      <c r="K118" s="256"/>
    </row>
    <row r="119" spans="11:11" x14ac:dyDescent="0.25">
      <c r="K119" s="256"/>
    </row>
    <row r="120" spans="11:11" x14ac:dyDescent="0.25">
      <c r="K120" s="256"/>
    </row>
    <row r="121" spans="11:11" x14ac:dyDescent="0.25">
      <c r="K121" s="256"/>
    </row>
    <row r="122" spans="11:11" x14ac:dyDescent="0.25">
      <c r="K122" s="256"/>
    </row>
    <row r="123" spans="11:11" x14ac:dyDescent="0.25">
      <c r="K123" s="256"/>
    </row>
    <row r="124" spans="11:11" x14ac:dyDescent="0.25">
      <c r="K124" s="256"/>
    </row>
    <row r="125" spans="11:11" x14ac:dyDescent="0.25">
      <c r="K125" s="256"/>
    </row>
    <row r="126" spans="11:11" x14ac:dyDescent="0.25">
      <c r="K126" s="256"/>
    </row>
    <row r="127" spans="11:11" x14ac:dyDescent="0.25">
      <c r="K127" s="256"/>
    </row>
    <row r="128" spans="11:11" x14ac:dyDescent="0.25">
      <c r="K128" s="256"/>
    </row>
    <row r="129" spans="11:11" x14ac:dyDescent="0.25">
      <c r="K129" s="256"/>
    </row>
    <row r="130" spans="11:11" x14ac:dyDescent="0.25">
      <c r="K130" s="256"/>
    </row>
    <row r="131" spans="11:11" x14ac:dyDescent="0.25">
      <c r="K131" s="256"/>
    </row>
    <row r="132" spans="11:11" x14ac:dyDescent="0.25">
      <c r="K132" s="256"/>
    </row>
    <row r="133" spans="11:11" x14ac:dyDescent="0.25">
      <c r="K133" s="256"/>
    </row>
    <row r="134" spans="11:11" x14ac:dyDescent="0.25">
      <c r="K134" s="256"/>
    </row>
    <row r="135" spans="11:11" x14ac:dyDescent="0.25">
      <c r="K135" s="256"/>
    </row>
    <row r="136" spans="11:11" x14ac:dyDescent="0.25">
      <c r="K136" s="256"/>
    </row>
    <row r="137" spans="11:11" x14ac:dyDescent="0.25">
      <c r="K137" s="256"/>
    </row>
    <row r="138" spans="11:11" x14ac:dyDescent="0.25">
      <c r="K138" s="256"/>
    </row>
    <row r="139" spans="11:11" x14ac:dyDescent="0.25">
      <c r="K139" s="256"/>
    </row>
    <row r="140" spans="11:11" x14ac:dyDescent="0.25">
      <c r="K140" s="256"/>
    </row>
    <row r="141" spans="11:11" x14ac:dyDescent="0.25">
      <c r="K141" s="256"/>
    </row>
    <row r="142" spans="11:11" x14ac:dyDescent="0.25">
      <c r="K142" s="256"/>
    </row>
    <row r="143" spans="11:11" x14ac:dyDescent="0.25">
      <c r="K143" s="256"/>
    </row>
    <row r="144" spans="11:11" x14ac:dyDescent="0.25">
      <c r="K144" s="256"/>
    </row>
    <row r="145" spans="11:11" x14ac:dyDescent="0.25">
      <c r="K145" s="256"/>
    </row>
    <row r="146" spans="11:11" x14ac:dyDescent="0.25">
      <c r="K146" s="256"/>
    </row>
    <row r="147" spans="11:11" x14ac:dyDescent="0.25">
      <c r="K147" s="256"/>
    </row>
    <row r="148" spans="11:11" x14ac:dyDescent="0.25">
      <c r="K148" s="256"/>
    </row>
    <row r="149" spans="11:11" x14ac:dyDescent="0.25">
      <c r="K149" s="256"/>
    </row>
    <row r="150" spans="11:11" x14ac:dyDescent="0.25">
      <c r="K150" s="256"/>
    </row>
    <row r="151" spans="11:11" x14ac:dyDescent="0.25">
      <c r="K151" s="256"/>
    </row>
    <row r="152" spans="11:11" x14ac:dyDescent="0.25">
      <c r="K152" s="256"/>
    </row>
    <row r="153" spans="11:11" x14ac:dyDescent="0.25">
      <c r="K153" s="256"/>
    </row>
    <row r="154" spans="11:11" x14ac:dyDescent="0.25">
      <c r="K154" s="256"/>
    </row>
    <row r="155" spans="11:11" x14ac:dyDescent="0.25">
      <c r="K155" s="256"/>
    </row>
    <row r="156" spans="11:11" x14ac:dyDescent="0.25">
      <c r="K156" s="256"/>
    </row>
    <row r="157" spans="11:11" x14ac:dyDescent="0.25">
      <c r="K157" s="256"/>
    </row>
    <row r="158" spans="11:11" x14ac:dyDescent="0.25">
      <c r="K158" s="256"/>
    </row>
    <row r="159" spans="11:11" x14ac:dyDescent="0.25">
      <c r="K159" s="256"/>
    </row>
    <row r="160" spans="11:11" x14ac:dyDescent="0.25">
      <c r="K160" s="256"/>
    </row>
    <row r="161" spans="11:11" x14ac:dyDescent="0.25">
      <c r="K161" s="256"/>
    </row>
    <row r="162" spans="11:11" x14ac:dyDescent="0.25">
      <c r="K162" s="256"/>
    </row>
    <row r="163" spans="11:11" x14ac:dyDescent="0.25">
      <c r="K163" s="256"/>
    </row>
    <row r="164" spans="11:11" x14ac:dyDescent="0.25">
      <c r="K164" s="256"/>
    </row>
    <row r="165" spans="11:11" x14ac:dyDescent="0.25">
      <c r="K165" s="256"/>
    </row>
    <row r="166" spans="11:11" x14ac:dyDescent="0.25">
      <c r="K166" s="256"/>
    </row>
    <row r="167" spans="11:11" x14ac:dyDescent="0.25">
      <c r="K167" s="256"/>
    </row>
    <row r="168" spans="11:11" x14ac:dyDescent="0.25">
      <c r="K168" s="256"/>
    </row>
    <row r="169" spans="11:11" x14ac:dyDescent="0.25">
      <c r="K169" s="256"/>
    </row>
    <row r="170" spans="11:11" x14ac:dyDescent="0.25">
      <c r="K170" s="256"/>
    </row>
    <row r="171" spans="11:11" x14ac:dyDescent="0.25">
      <c r="K171" s="256"/>
    </row>
    <row r="172" spans="11:11" x14ac:dyDescent="0.25">
      <c r="K172" s="256"/>
    </row>
    <row r="173" spans="11:11" x14ac:dyDescent="0.25">
      <c r="K173" s="256"/>
    </row>
    <row r="174" spans="11:11" x14ac:dyDescent="0.25">
      <c r="K174" s="256"/>
    </row>
    <row r="175" spans="11:11" x14ac:dyDescent="0.25">
      <c r="K175" s="256"/>
    </row>
    <row r="176" spans="11:11" x14ac:dyDescent="0.25">
      <c r="K176" s="256"/>
    </row>
    <row r="177" spans="11:11" x14ac:dyDescent="0.25">
      <c r="K177" s="256"/>
    </row>
    <row r="178" spans="11:11" x14ac:dyDescent="0.25">
      <c r="K178" s="256"/>
    </row>
    <row r="179" spans="11:11" x14ac:dyDescent="0.25">
      <c r="K179" s="256"/>
    </row>
    <row r="180" spans="11:11" x14ac:dyDescent="0.25">
      <c r="K180" s="256"/>
    </row>
    <row r="181" spans="11:11" x14ac:dyDescent="0.25">
      <c r="K181" s="256"/>
    </row>
    <row r="182" spans="11:11" x14ac:dyDescent="0.25">
      <c r="K182" s="256"/>
    </row>
    <row r="183" spans="11:11" x14ac:dyDescent="0.25">
      <c r="K183" s="256"/>
    </row>
    <row r="184" spans="11:11" x14ac:dyDescent="0.25">
      <c r="K184" s="256"/>
    </row>
    <row r="185" spans="11:11" x14ac:dyDescent="0.25">
      <c r="K185" s="256"/>
    </row>
    <row r="186" spans="11:11" x14ac:dyDescent="0.25">
      <c r="K186" s="256"/>
    </row>
    <row r="187" spans="11:11" x14ac:dyDescent="0.25">
      <c r="K187" s="256"/>
    </row>
    <row r="188" spans="11:11" x14ac:dyDescent="0.25">
      <c r="K188" s="256"/>
    </row>
    <row r="189" spans="11:11" x14ac:dyDescent="0.25">
      <c r="K189" s="256"/>
    </row>
    <row r="190" spans="11:11" x14ac:dyDescent="0.25">
      <c r="K190" s="25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30"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96" bestFit="1" customWidth="1"/>
    <col min="8" max="8" width="10.140625" style="296" bestFit="1" customWidth="1"/>
    <col min="9" max="9" width="5.5703125" style="34" customWidth="1"/>
    <col min="10" max="10" width="6.28515625" style="34" customWidth="1"/>
    <col min="11" max="11" width="13" style="34" customWidth="1"/>
    <col min="12" max="12" width="5.28515625" style="34" customWidth="1"/>
    <col min="13" max="13" width="9.42578125" style="296" customWidth="1"/>
    <col min="14" max="14" width="9" style="29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57"/>
      <c r="B1" s="158"/>
      <c r="C1" s="159"/>
      <c r="D1" s="160"/>
      <c r="E1" s="161"/>
      <c r="F1" s="162"/>
      <c r="G1" s="162"/>
      <c r="H1" s="162"/>
      <c r="I1" s="162"/>
      <c r="J1" s="868" t="s">
        <v>218</v>
      </c>
      <c r="K1" s="868"/>
      <c r="L1" s="162"/>
      <c r="M1" s="864" t="s">
        <v>219</v>
      </c>
      <c r="N1" s="865"/>
      <c r="O1" s="272" t="s">
        <v>220</v>
      </c>
    </row>
    <row r="2" spans="1:125" ht="30" customHeight="1" thickBot="1" x14ac:dyDescent="0.35">
      <c r="A2" s="863" t="s">
        <v>491</v>
      </c>
      <c r="B2" s="770"/>
      <c r="C2" s="861" t="str">
        <f>Profit!E1&amp; " Your Home"</f>
        <v xml:space="preserve"> Your Home</v>
      </c>
      <c r="D2" s="862"/>
      <c r="E2" s="171" t="s">
        <v>221</v>
      </c>
      <c r="F2" s="859">
        <f>+MIN(ProposalToGnatt[Start Date])</f>
        <v>45363</v>
      </c>
      <c r="G2" s="860"/>
      <c r="H2" s="871" t="s">
        <v>222</v>
      </c>
      <c r="I2" s="872"/>
      <c r="J2" s="849">
        <f>+SUM(H8:H20)</f>
        <v>20549.104910999999</v>
      </c>
      <c r="K2" s="850"/>
      <c r="L2" s="163"/>
      <c r="M2" s="849">
        <f>+SUM(N8:N20)-SUM(M8:M20)</f>
        <v>0</v>
      </c>
      <c r="N2" s="877"/>
      <c r="O2" s="27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846"/>
      <c r="B3" s="847"/>
      <c r="C3" s="847"/>
      <c r="D3" s="847"/>
      <c r="E3" s="172"/>
      <c r="G3" s="34"/>
      <c r="H3" s="873" t="s">
        <v>223</v>
      </c>
      <c r="I3" s="874"/>
      <c r="J3" s="853">
        <f>SUM(H22:H25)</f>
        <v>0</v>
      </c>
      <c r="K3" s="854"/>
      <c r="L3" s="164"/>
      <c r="M3" s="853">
        <f>+J3-SUM(M22:M25)</f>
        <v>0</v>
      </c>
      <c r="N3" s="877"/>
      <c r="O3" s="274">
        <f>+SUM(H22:H25)-SUM(M22:M25)</f>
        <v>0</v>
      </c>
      <c r="AP3" s="15"/>
      <c r="AQ3" s="15"/>
      <c r="AR3" s="15"/>
    </row>
    <row r="4" spans="1:125" ht="30" customHeight="1" x14ac:dyDescent="0.3">
      <c r="A4" s="846" t="str">
        <f>+Profit!B2</f>
        <v>4121 Tensity Dr</v>
      </c>
      <c r="B4" s="847" t="str">
        <f>+Profit!B2</f>
        <v>4121 Tensity Dr</v>
      </c>
      <c r="C4" s="847"/>
      <c r="D4" s="847"/>
      <c r="E4" s="869" t="s">
        <v>224</v>
      </c>
      <c r="F4" s="870"/>
      <c r="G4" s="76">
        <v>1</v>
      </c>
      <c r="H4" s="875" t="str">
        <f>+A2 &amp; "Total:"</f>
        <v>Tim Flemming Total:</v>
      </c>
      <c r="I4" s="876"/>
      <c r="J4" s="855">
        <f>SUM(ProposalToGnatt[Price])</f>
        <v>4897.5700000000006</v>
      </c>
      <c r="K4" s="856"/>
      <c r="L4" s="165"/>
      <c r="M4" s="855" cm="1">
        <f t="array" ref="M4">+SUM(ProposalToGnatt[Due]-ProposalToGnatt[Paid])</f>
        <v>1.9895196601282805E-13</v>
      </c>
      <c r="N4" s="877"/>
      <c r="O4" s="275">
        <f>+SUM(ProposalToGnatt[Price])-SUM(ProposalToGnatt[Paid])</f>
        <v>0</v>
      </c>
      <c r="AP4" s="15"/>
      <c r="AQ4" s="15"/>
      <c r="AR4" s="15"/>
    </row>
    <row r="5" spans="1:125" ht="18" customHeight="1" thickBot="1" x14ac:dyDescent="0.3">
      <c r="A5" s="166"/>
      <c r="B5" s="167" t="s">
        <v>225</v>
      </c>
      <c r="C5" s="168"/>
      <c r="D5" s="169"/>
      <c r="E5" s="851" t="s">
        <v>226</v>
      </c>
      <c r="F5" s="852"/>
      <c r="G5" s="170">
        <v>2</v>
      </c>
      <c r="H5" s="848" t="s">
        <v>227</v>
      </c>
      <c r="I5" s="848"/>
      <c r="J5" s="857">
        <f>+SUM(J2:K4)</f>
        <v>25446.674910999998</v>
      </c>
      <c r="K5" s="858"/>
      <c r="L5" s="24"/>
      <c r="M5" s="878">
        <f>+SUM(M2:M4)</f>
        <v>1.9895196601282805E-13</v>
      </c>
      <c r="N5" s="879"/>
      <c r="O5" s="278">
        <f>+SUM(O2:Q4)</f>
        <v>20549.104910999999</v>
      </c>
      <c r="BB5" s="15"/>
      <c r="BC5" s="15"/>
      <c r="BD5" s="15"/>
    </row>
    <row r="6" spans="1:125" s="22" customFormat="1" ht="30.75" customHeight="1" thickBot="1" x14ac:dyDescent="0.4">
      <c r="A6" s="77"/>
      <c r="B6" s="78"/>
      <c r="C6" s="79"/>
      <c r="D6" s="77"/>
      <c r="E6" s="80" t="str">
        <f>Profit!E1&amp;" Your Home Supplied Materials"</f>
        <v xml:space="preserve"> Your Home Supplied Materials</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228</v>
      </c>
      <c r="B7" s="78" t="s">
        <v>229</v>
      </c>
      <c r="C7" s="79" t="s">
        <v>209</v>
      </c>
      <c r="D7" s="77" t="s">
        <v>210</v>
      </c>
      <c r="E7" s="77" t="s">
        <v>211</v>
      </c>
      <c r="F7" s="77" t="s">
        <v>182</v>
      </c>
      <c r="G7" s="81" t="s">
        <v>183</v>
      </c>
      <c r="H7" s="81" t="s">
        <v>212</v>
      </c>
      <c r="I7" s="77" t="s">
        <v>213</v>
      </c>
      <c r="J7" s="77" t="s">
        <v>214</v>
      </c>
      <c r="K7" s="82" t="s">
        <v>215</v>
      </c>
      <c r="L7" s="77" t="s">
        <v>216</v>
      </c>
      <c r="M7" s="77" t="s">
        <v>217</v>
      </c>
      <c r="N7" s="77" t="s">
        <v>219</v>
      </c>
      <c r="O7" s="77" t="s">
        <v>137</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str">
        <f>Profit!$E$1&amp;" Your Home"</f>
        <v xml:space="preserve"> Your Home</v>
      </c>
      <c r="B8" s="84">
        <v>1</v>
      </c>
      <c r="C8" s="85"/>
      <c r="D8" s="83"/>
      <c r="E8" s="83" t="s">
        <v>230</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str">
        <f>Profit!$E$1&amp;" Your Home"</f>
        <v xml:space="preserve"> Your Home</v>
      </c>
      <c r="B9" s="84">
        <f>+B8+1</f>
        <v>2</v>
      </c>
      <c r="C9" s="85"/>
      <c r="D9" s="83"/>
      <c r="E9" s="83" t="s">
        <v>231</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str">
        <f>Profit!$E$1&amp;" Your Home"</f>
        <v xml:space="preserve"> Your Home</v>
      </c>
      <c r="B10" s="84">
        <f t="shared" ref="B10:B20" si="4">+B9+1</f>
        <v>3</v>
      </c>
      <c r="C10" s="85"/>
      <c r="D10" s="83"/>
      <c r="E10" s="83" t="s">
        <v>232</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str">
        <f>Profit!$E$1&amp;" Your Home"</f>
        <v xml:space="preserve"> Your Home</v>
      </c>
      <c r="B11" s="84">
        <f t="shared" si="4"/>
        <v>4</v>
      </c>
      <c r="C11" s="85"/>
      <c r="D11" s="83"/>
      <c r="E11" s="83" t="s">
        <v>233</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str">
        <f>Profit!$E$1&amp;" Your Home"</f>
        <v xml:space="preserve"> Your Home</v>
      </c>
      <c r="B12" s="84">
        <f t="shared" si="4"/>
        <v>5</v>
      </c>
      <c r="C12" s="85"/>
      <c r="D12" s="83"/>
      <c r="E12" s="83" t="s">
        <v>234</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str">
        <f>Profit!$E$1&amp;" Your Home"</f>
        <v xml:space="preserve"> Your Home</v>
      </c>
      <c r="B13" s="84">
        <f t="shared" si="4"/>
        <v>6</v>
      </c>
      <c r="C13" s="85"/>
      <c r="D13" s="83"/>
      <c r="E13" s="83" t="s">
        <v>235</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str">
        <f>Profit!$E$1&amp;" Your Home"</f>
        <v xml:space="preserve"> Your Home</v>
      </c>
      <c r="B14" s="84">
        <f t="shared" si="4"/>
        <v>7</v>
      </c>
      <c r="C14" s="85"/>
      <c r="D14" s="83"/>
      <c r="E14" s="83" t="s">
        <v>236</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str">
        <f>Profit!$E$1&amp;" Your Home"</f>
        <v xml:space="preserve"> Your Home</v>
      </c>
      <c r="B15" s="84">
        <f t="shared" si="4"/>
        <v>8</v>
      </c>
      <c r="C15" s="85"/>
      <c r="D15" s="83"/>
      <c r="E15" s="83" t="s">
        <v>237</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str">
        <f>Profit!$E$1&amp;" Your Home"</f>
        <v xml:space="preserve"> Your Home</v>
      </c>
      <c r="B16" s="84">
        <f t="shared" si="4"/>
        <v>9</v>
      </c>
      <c r="C16" s="85"/>
      <c r="D16" s="83"/>
      <c r="E16" s="83" t="s">
        <v>481</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str">
        <f>Profit!$E$1&amp;" Your Home"</f>
        <v xml:space="preserve"> Your Home</v>
      </c>
      <c r="B17" s="84">
        <f>+B15+1</f>
        <v>9</v>
      </c>
      <c r="C17" s="85"/>
      <c r="D17" s="83"/>
      <c r="E17" s="83" t="s">
        <v>238</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str">
        <f>Profit!$E$1&amp;" Your Home"</f>
        <v xml:space="preserve"> Your Home</v>
      </c>
      <c r="B18" s="84">
        <f t="shared" si="4"/>
        <v>10</v>
      </c>
      <c r="C18" s="85"/>
      <c r="D18" s="83"/>
      <c r="E18" s="83" t="s">
        <v>239</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str">
        <f>Profit!$E$1&amp;" Your Home"</f>
        <v xml:space="preserve"> Your Home</v>
      </c>
      <c r="B19" s="84">
        <f t="shared" si="4"/>
        <v>11</v>
      </c>
      <c r="C19" s="85"/>
      <c r="D19" s="83"/>
      <c r="E19" s="83" t="s">
        <v>240</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str">
        <f>Profit!$E$1&amp;" Your Home"</f>
        <v xml:space="preserve"> Your Home</v>
      </c>
      <c r="B20" s="84">
        <f t="shared" si="4"/>
        <v>12</v>
      </c>
      <c r="C20" s="85"/>
      <c r="D20" s="83"/>
      <c r="E20" s="83" t="s">
        <v>578</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str">
        <f>Profit!E1&amp;" Your Home's Paid Contractors"</f>
        <v xml:space="preserve"> Your Home's Paid Contractors</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242</v>
      </c>
      <c r="B22" s="96">
        <f>+B20+1</f>
        <v>13</v>
      </c>
      <c r="C22" s="97"/>
      <c r="D22" s="98"/>
      <c r="E22" s="99" t="s">
        <v>243</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866" t="s">
        <v>244</v>
      </c>
      <c r="AB22" s="867"/>
      <c r="AC22" s="867"/>
      <c r="AD22" s="867"/>
      <c r="AE22" s="867"/>
      <c r="AF22" s="867"/>
      <c r="AG22" s="867"/>
      <c r="AH22" s="867"/>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242</v>
      </c>
      <c r="B23" s="96">
        <f>+B22+1</f>
        <v>14</v>
      </c>
      <c r="C23" s="97"/>
      <c r="D23" s="98"/>
      <c r="E23" s="99" t="s">
        <v>243</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867"/>
      <c r="AB23" s="867"/>
      <c r="AC23" s="867"/>
      <c r="AD23" s="867"/>
      <c r="AE23" s="867"/>
      <c r="AF23" s="867"/>
      <c r="AG23" s="867"/>
      <c r="AH23" s="867"/>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245</v>
      </c>
      <c r="B24" s="96">
        <f>+B23+1</f>
        <v>15</v>
      </c>
      <c r="C24" s="97"/>
      <c r="D24" s="98"/>
      <c r="E24" s="99" t="s">
        <v>246</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245</v>
      </c>
      <c r="B25" s="96">
        <f>+B24+1</f>
        <v>16</v>
      </c>
      <c r="C25" s="97"/>
      <c r="D25" s="98"/>
      <c r="E25" s="99" t="s">
        <v>247</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57" t="s">
        <v>207</v>
      </c>
      <c r="B27" s="257" t="s">
        <v>208</v>
      </c>
      <c r="C27" s="257" t="s">
        <v>209</v>
      </c>
      <c r="D27" s="257" t="s">
        <v>210</v>
      </c>
      <c r="E27" s="257" t="s">
        <v>211</v>
      </c>
      <c r="F27" s="257" t="s">
        <v>182</v>
      </c>
      <c r="G27" s="276" t="s">
        <v>183</v>
      </c>
      <c r="H27" s="276" t="s">
        <v>212</v>
      </c>
      <c r="I27" s="257" t="s">
        <v>213</v>
      </c>
      <c r="J27" s="257" t="s">
        <v>214</v>
      </c>
      <c r="K27" s="277" t="s">
        <v>215</v>
      </c>
      <c r="L27" s="257" t="s">
        <v>216</v>
      </c>
      <c r="M27" s="257" t="s">
        <v>217</v>
      </c>
      <c r="N27" s="22" t="s">
        <v>219</v>
      </c>
      <c r="O27" s="22" t="s">
        <v>137</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491</v>
      </c>
      <c r="B28">
        <v>1</v>
      </c>
      <c r="C28" t="s">
        <v>184</v>
      </c>
      <c r="D28" t="s">
        <v>184</v>
      </c>
      <c r="E28" t="s">
        <v>185</v>
      </c>
      <c r="F28">
        <v>0</v>
      </c>
      <c r="G28" s="14"/>
      <c r="H28" s="14"/>
      <c r="I28"/>
      <c r="J28">
        <v>4</v>
      </c>
      <c r="K28" s="245">
        <v>45363</v>
      </c>
      <c r="L28"/>
      <c r="M28" s="14"/>
      <c r="N28" s="297"/>
      <c r="O28" s="27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491</v>
      </c>
      <c r="B29">
        <v>2</v>
      </c>
      <c r="C29" t="s">
        <v>186</v>
      </c>
      <c r="D29" t="s">
        <v>187</v>
      </c>
      <c r="E29" t="s">
        <v>188</v>
      </c>
      <c r="F29">
        <v>0</v>
      </c>
      <c r="G29" s="14"/>
      <c r="H29" s="14"/>
      <c r="I29"/>
      <c r="J29">
        <v>4</v>
      </c>
      <c r="K29" s="245">
        <v>45823</v>
      </c>
      <c r="L29"/>
      <c r="M29" s="14">
        <v>4897.57</v>
      </c>
      <c r="N29" s="297"/>
      <c r="O29" s="27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491</v>
      </c>
      <c r="B30">
        <v>3</v>
      </c>
      <c r="C30" t="s">
        <v>186</v>
      </c>
      <c r="D30" t="s">
        <v>189</v>
      </c>
      <c r="E30" t="s">
        <v>189</v>
      </c>
      <c r="F30">
        <v>0</v>
      </c>
      <c r="G30" s="14"/>
      <c r="H30" s="14"/>
      <c r="I30"/>
      <c r="J30">
        <v>4</v>
      </c>
      <c r="K30" s="245"/>
      <c r="L30"/>
      <c r="M30" s="14"/>
      <c r="N30" s="297"/>
      <c r="O30" s="27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248</v>
      </c>
      <c r="B31">
        <v>4</v>
      </c>
      <c r="C31"/>
      <c r="D31" t="s">
        <v>190</v>
      </c>
      <c r="E31" t="s">
        <v>191</v>
      </c>
      <c r="F31">
        <v>6</v>
      </c>
      <c r="G31" s="14"/>
      <c r="H31" s="14"/>
      <c r="I31"/>
      <c r="J31">
        <v>5</v>
      </c>
      <c r="K31" s="245"/>
      <c r="L31"/>
      <c r="M31" s="14"/>
      <c r="N31" s="297"/>
      <c r="O31" s="27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491</v>
      </c>
      <c r="B32">
        <v>5</v>
      </c>
      <c r="C32" t="s">
        <v>192</v>
      </c>
      <c r="D32" t="s">
        <v>193</v>
      </c>
      <c r="E32" t="s">
        <v>497</v>
      </c>
      <c r="F32">
        <v>0</v>
      </c>
      <c r="G32" s="14">
        <v>0</v>
      </c>
      <c r="H32" s="14">
        <v>0</v>
      </c>
      <c r="I32"/>
      <c r="J32"/>
      <c r="K32" s="245"/>
      <c r="L32"/>
      <c r="M32" s="14"/>
      <c r="N32" s="297"/>
      <c r="O32" s="27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491</v>
      </c>
      <c r="B33">
        <v>6</v>
      </c>
      <c r="C33" t="s">
        <v>194</v>
      </c>
      <c r="D33" t="s">
        <v>193</v>
      </c>
      <c r="E33" t="s">
        <v>492</v>
      </c>
      <c r="F33">
        <v>0</v>
      </c>
      <c r="G33" s="14">
        <v>0</v>
      </c>
      <c r="H33" s="14">
        <v>0</v>
      </c>
      <c r="I33"/>
      <c r="J33"/>
      <c r="K33" s="245"/>
      <c r="L33"/>
      <c r="M33" s="14"/>
      <c r="N33" s="297"/>
      <c r="O33" s="27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491</v>
      </c>
      <c r="B34">
        <v>7</v>
      </c>
      <c r="C34" t="s">
        <v>195</v>
      </c>
      <c r="D34" t="s">
        <v>193</v>
      </c>
      <c r="E34" t="s">
        <v>493</v>
      </c>
      <c r="F34">
        <v>0</v>
      </c>
      <c r="G34" s="14">
        <v>0</v>
      </c>
      <c r="H34" s="14">
        <v>0</v>
      </c>
      <c r="I34"/>
      <c r="J34"/>
      <c r="K34" s="245"/>
      <c r="L34"/>
      <c r="M34" s="14"/>
      <c r="N34" s="297"/>
      <c r="O34" s="27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491</v>
      </c>
      <c r="B35">
        <v>8</v>
      </c>
      <c r="C35" t="s">
        <v>197</v>
      </c>
      <c r="D35" t="s">
        <v>193</v>
      </c>
      <c r="E35" t="s">
        <v>494</v>
      </c>
      <c r="F35">
        <v>0</v>
      </c>
      <c r="G35" s="14">
        <v>0</v>
      </c>
      <c r="H35" s="14">
        <v>0</v>
      </c>
      <c r="I35"/>
      <c r="J35"/>
      <c r="K35" s="245"/>
      <c r="L35"/>
      <c r="M35" s="14"/>
      <c r="N35" s="297"/>
      <c r="O35" s="27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491</v>
      </c>
      <c r="B36">
        <v>9</v>
      </c>
      <c r="C36" t="s">
        <v>198</v>
      </c>
      <c r="D36" t="s">
        <v>193</v>
      </c>
      <c r="E36" t="s">
        <v>495</v>
      </c>
      <c r="F36">
        <v>0</v>
      </c>
      <c r="G36" s="14">
        <v>0</v>
      </c>
      <c r="H36" s="14">
        <v>0</v>
      </c>
      <c r="I36"/>
      <c r="J36"/>
      <c r="K36" s="245"/>
      <c r="L36"/>
      <c r="M36" s="14"/>
      <c r="N36" s="297"/>
      <c r="O36" s="27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248</v>
      </c>
      <c r="B37">
        <v>10</v>
      </c>
      <c r="C37"/>
      <c r="D37"/>
      <c r="E37" t="s">
        <v>802</v>
      </c>
      <c r="F37">
        <v>1</v>
      </c>
      <c r="G37" s="14">
        <v>155</v>
      </c>
      <c r="H37" s="14">
        <v>155</v>
      </c>
      <c r="I37" t="s">
        <v>31</v>
      </c>
      <c r="J37"/>
      <c r="K37" s="245"/>
      <c r="L37"/>
      <c r="M37" s="14"/>
      <c r="N37" s="297">
        <v>155</v>
      </c>
      <c r="O37" s="27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248</v>
      </c>
      <c r="B38">
        <v>11</v>
      </c>
      <c r="C38"/>
      <c r="D38"/>
      <c r="E38" t="s">
        <v>801</v>
      </c>
      <c r="F38">
        <v>1</v>
      </c>
      <c r="G38" s="14">
        <v>45</v>
      </c>
      <c r="H38" s="14">
        <v>45</v>
      </c>
      <c r="I38" t="s">
        <v>31</v>
      </c>
      <c r="J38"/>
      <c r="K38" s="245"/>
      <c r="L38"/>
      <c r="M38" s="14"/>
      <c r="N38" s="297">
        <v>45</v>
      </c>
      <c r="O38" s="27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248</v>
      </c>
      <c r="B39">
        <v>12</v>
      </c>
      <c r="C39"/>
      <c r="D39"/>
      <c r="E39" t="s">
        <v>815</v>
      </c>
      <c r="F39">
        <v>1</v>
      </c>
      <c r="G39" s="14">
        <v>25</v>
      </c>
      <c r="H39" s="14">
        <v>25</v>
      </c>
      <c r="I39" t="s">
        <v>31</v>
      </c>
      <c r="J39"/>
      <c r="K39" s="245"/>
      <c r="L39"/>
      <c r="M39" s="14"/>
      <c r="N39" s="297">
        <v>25</v>
      </c>
      <c r="O39" s="27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248</v>
      </c>
      <c r="B40">
        <v>13</v>
      </c>
      <c r="C40"/>
      <c r="D40"/>
      <c r="E40" t="s">
        <v>803</v>
      </c>
      <c r="F40">
        <v>1</v>
      </c>
      <c r="G40" s="14">
        <v>85</v>
      </c>
      <c r="H40" s="14">
        <v>85</v>
      </c>
      <c r="I40" t="s">
        <v>31</v>
      </c>
      <c r="J40"/>
      <c r="K40" s="245"/>
      <c r="L40"/>
      <c r="M40" s="14"/>
      <c r="N40" s="297">
        <v>85</v>
      </c>
      <c r="O40" s="27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248</v>
      </c>
      <c r="B41">
        <v>14</v>
      </c>
      <c r="C41"/>
      <c r="D41"/>
      <c r="E41" t="s">
        <v>804</v>
      </c>
      <c r="F41">
        <v>1</v>
      </c>
      <c r="G41" s="14">
        <v>25</v>
      </c>
      <c r="H41" s="14">
        <v>25</v>
      </c>
      <c r="I41" t="s">
        <v>31</v>
      </c>
      <c r="J41"/>
      <c r="K41" s="245"/>
      <c r="L41"/>
      <c r="M41" s="14"/>
      <c r="N41" s="297">
        <v>25</v>
      </c>
      <c r="O41" s="27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248</v>
      </c>
      <c r="B42">
        <v>15</v>
      </c>
      <c r="C42"/>
      <c r="D42"/>
      <c r="E42" t="s">
        <v>805</v>
      </c>
      <c r="F42">
        <v>2</v>
      </c>
      <c r="G42" s="14">
        <v>35</v>
      </c>
      <c r="H42" s="14">
        <v>70</v>
      </c>
      <c r="I42" t="s">
        <v>31</v>
      </c>
      <c r="J42"/>
      <c r="K42" s="245"/>
      <c r="L42"/>
      <c r="M42" s="14"/>
      <c r="N42" s="297">
        <v>70</v>
      </c>
      <c r="O42" s="27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248</v>
      </c>
      <c r="B43">
        <v>16</v>
      </c>
      <c r="C43"/>
      <c r="D43"/>
      <c r="E43" t="s">
        <v>806</v>
      </c>
      <c r="F43">
        <v>1</v>
      </c>
      <c r="G43" s="14">
        <v>350</v>
      </c>
      <c r="H43" s="14">
        <v>350</v>
      </c>
      <c r="I43" t="s">
        <v>31</v>
      </c>
      <c r="J43"/>
      <c r="K43" s="245"/>
      <c r="L43"/>
      <c r="M43" s="14"/>
      <c r="N43" s="297">
        <v>350</v>
      </c>
      <c r="O43" s="27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248</v>
      </c>
      <c r="B44">
        <v>17</v>
      </c>
      <c r="C44"/>
      <c r="D44"/>
      <c r="E44" t="s">
        <v>807</v>
      </c>
      <c r="F44">
        <v>1</v>
      </c>
      <c r="G44" s="14">
        <v>1200</v>
      </c>
      <c r="H44" s="14">
        <v>1200</v>
      </c>
      <c r="I44" t="s">
        <v>31</v>
      </c>
      <c r="J44"/>
      <c r="K44" s="245"/>
      <c r="L44"/>
      <c r="M44" s="14"/>
      <c r="N44" s="297">
        <v>1200</v>
      </c>
      <c r="O44" s="27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248</v>
      </c>
      <c r="B45">
        <v>18</v>
      </c>
      <c r="C45"/>
      <c r="D45"/>
      <c r="E45" t="s">
        <v>808</v>
      </c>
      <c r="F45">
        <v>1</v>
      </c>
      <c r="G45" s="14">
        <v>110</v>
      </c>
      <c r="H45" s="14">
        <v>110</v>
      </c>
      <c r="I45" t="s">
        <v>31</v>
      </c>
      <c r="J45"/>
      <c r="K45" s="245"/>
      <c r="L45"/>
      <c r="M45" s="14"/>
      <c r="N45" s="297">
        <v>110</v>
      </c>
      <c r="O45" s="279" t="s">
        <v>523</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248</v>
      </c>
      <c r="B46">
        <v>19</v>
      </c>
      <c r="C46"/>
      <c r="D46"/>
      <c r="E46" t="s">
        <v>809</v>
      </c>
      <c r="F46">
        <v>1</v>
      </c>
      <c r="G46" s="14">
        <v>215</v>
      </c>
      <c r="H46" s="14">
        <v>215</v>
      </c>
      <c r="I46" t="s">
        <v>31</v>
      </c>
      <c r="J46"/>
      <c r="K46" s="245"/>
      <c r="L46"/>
      <c r="M46" s="14"/>
      <c r="N46" s="297">
        <v>215</v>
      </c>
      <c r="O46" s="27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248</v>
      </c>
      <c r="B47">
        <v>20</v>
      </c>
      <c r="C47"/>
      <c r="D47"/>
      <c r="E47" t="s">
        <v>810</v>
      </c>
      <c r="F47">
        <v>1</v>
      </c>
      <c r="G47" s="14">
        <v>1300.0999999999999</v>
      </c>
      <c r="H47" s="14">
        <v>1300.0999999999999</v>
      </c>
      <c r="I47" t="s">
        <v>31</v>
      </c>
      <c r="J47"/>
      <c r="K47" s="245"/>
      <c r="L47"/>
      <c r="M47" s="14"/>
      <c r="N47" s="297">
        <v>1300.0999999999999</v>
      </c>
      <c r="O47" s="27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248</v>
      </c>
      <c r="B48">
        <v>21</v>
      </c>
      <c r="C48"/>
      <c r="D48"/>
      <c r="E48" t="s">
        <v>811</v>
      </c>
      <c r="F48">
        <v>1</v>
      </c>
      <c r="G48" s="14">
        <v>95</v>
      </c>
      <c r="H48" s="14">
        <v>95</v>
      </c>
      <c r="I48" t="s">
        <v>31</v>
      </c>
      <c r="J48"/>
      <c r="K48" s="245"/>
      <c r="L48"/>
      <c r="M48" s="14"/>
      <c r="N48" s="297">
        <v>95</v>
      </c>
      <c r="O48" s="27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248</v>
      </c>
      <c r="B49">
        <v>22</v>
      </c>
      <c r="C49"/>
      <c r="D49"/>
      <c r="E49" t="s">
        <v>812</v>
      </c>
      <c r="F49">
        <v>1</v>
      </c>
      <c r="G49" s="14">
        <v>65</v>
      </c>
      <c r="H49" s="14">
        <v>65</v>
      </c>
      <c r="I49" t="s">
        <v>31</v>
      </c>
      <c r="J49"/>
      <c r="K49" s="245"/>
      <c r="L49"/>
      <c r="M49" s="14"/>
      <c r="N49" s="297">
        <v>65</v>
      </c>
      <c r="O49" s="27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248</v>
      </c>
      <c r="B50">
        <v>23</v>
      </c>
      <c r="C50"/>
      <c r="D50"/>
      <c r="E50" t="s">
        <v>813</v>
      </c>
      <c r="F50">
        <v>1</v>
      </c>
      <c r="G50" s="14">
        <v>95</v>
      </c>
      <c r="H50" s="14">
        <v>95</v>
      </c>
      <c r="I50" t="s">
        <v>31</v>
      </c>
      <c r="J50"/>
      <c r="K50" s="245"/>
      <c r="L50"/>
      <c r="M50" s="14"/>
      <c r="N50" s="297">
        <v>95</v>
      </c>
      <c r="O50" s="27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248</v>
      </c>
      <c r="B51">
        <v>24</v>
      </c>
      <c r="C51"/>
      <c r="D51"/>
      <c r="E51" t="s">
        <v>814</v>
      </c>
      <c r="F51">
        <v>0</v>
      </c>
      <c r="G51" s="14">
        <v>95</v>
      </c>
      <c r="H51" s="14">
        <v>0</v>
      </c>
      <c r="I51"/>
      <c r="J51"/>
      <c r="K51" s="245"/>
      <c r="L51"/>
      <c r="M51" s="14"/>
      <c r="N51" s="297"/>
      <c r="O51" s="27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248</v>
      </c>
      <c r="B52">
        <v>25</v>
      </c>
      <c r="C52"/>
      <c r="D52"/>
      <c r="E52" t="s">
        <v>805</v>
      </c>
      <c r="F52">
        <v>1</v>
      </c>
      <c r="G52" s="14">
        <v>35</v>
      </c>
      <c r="H52" s="14">
        <v>35</v>
      </c>
      <c r="I52" t="s">
        <v>31</v>
      </c>
      <c r="J52"/>
      <c r="K52" s="245"/>
      <c r="L52"/>
      <c r="M52" s="14"/>
      <c r="N52" s="297">
        <v>35</v>
      </c>
      <c r="O52" s="27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248</v>
      </c>
      <c r="B53">
        <v>26</v>
      </c>
      <c r="C53"/>
      <c r="D53"/>
      <c r="E53" t="s">
        <v>816</v>
      </c>
      <c r="F53">
        <v>1</v>
      </c>
      <c r="G53" s="14">
        <v>0</v>
      </c>
      <c r="H53" s="14">
        <v>0</v>
      </c>
      <c r="I53"/>
      <c r="J53"/>
      <c r="K53" s="245"/>
      <c r="L53"/>
      <c r="M53" s="14"/>
      <c r="N53" s="297"/>
      <c r="O53" s="27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248</v>
      </c>
      <c r="B54">
        <v>27</v>
      </c>
      <c r="C54"/>
      <c r="D54"/>
      <c r="E54" t="s">
        <v>818</v>
      </c>
      <c r="F54">
        <v>1</v>
      </c>
      <c r="G54" s="14">
        <v>45</v>
      </c>
      <c r="H54" s="14">
        <v>45</v>
      </c>
      <c r="I54" t="s">
        <v>31</v>
      </c>
      <c r="J54"/>
      <c r="K54" s="245"/>
      <c r="L54"/>
      <c r="M54" s="14"/>
      <c r="N54" s="297">
        <v>45</v>
      </c>
      <c r="O54" s="27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248</v>
      </c>
      <c r="B55">
        <v>28</v>
      </c>
      <c r="C55"/>
      <c r="D55"/>
      <c r="E55" t="s">
        <v>819</v>
      </c>
      <c r="F55">
        <v>1</v>
      </c>
      <c r="G55" s="14">
        <v>95</v>
      </c>
      <c r="H55" s="14">
        <v>95</v>
      </c>
      <c r="I55" t="s">
        <v>31</v>
      </c>
      <c r="J55"/>
      <c r="K55" s="245"/>
      <c r="L55"/>
      <c r="M55" s="14"/>
      <c r="N55" s="297">
        <v>95</v>
      </c>
      <c r="O55" s="27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248</v>
      </c>
      <c r="B56">
        <v>29</v>
      </c>
      <c r="C56"/>
      <c r="D56"/>
      <c r="E56" t="s">
        <v>820</v>
      </c>
      <c r="F56">
        <v>1</v>
      </c>
      <c r="G56" s="14">
        <v>95</v>
      </c>
      <c r="H56" s="14">
        <v>95</v>
      </c>
      <c r="I56" t="s">
        <v>31</v>
      </c>
      <c r="J56"/>
      <c r="K56" s="245"/>
      <c r="L56"/>
      <c r="M56" s="14"/>
      <c r="N56" s="297">
        <v>95</v>
      </c>
      <c r="O56" s="27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248</v>
      </c>
      <c r="B57">
        <v>30</v>
      </c>
      <c r="C57"/>
      <c r="D57"/>
      <c r="E57" t="s">
        <v>824</v>
      </c>
      <c r="F57">
        <v>8</v>
      </c>
      <c r="G57" s="14">
        <v>25</v>
      </c>
      <c r="H57" s="14">
        <v>200</v>
      </c>
      <c r="I57" t="s">
        <v>31</v>
      </c>
      <c r="J57"/>
      <c r="K57" s="245"/>
      <c r="L57"/>
      <c r="M57" s="14"/>
      <c r="N57" s="297">
        <v>200</v>
      </c>
      <c r="O57" s="27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248</v>
      </c>
      <c r="B58">
        <v>31</v>
      </c>
      <c r="C58"/>
      <c r="D58"/>
      <c r="E58" t="s">
        <v>821</v>
      </c>
      <c r="F58">
        <v>8</v>
      </c>
      <c r="G58" s="14">
        <v>10</v>
      </c>
      <c r="H58" s="14">
        <v>80</v>
      </c>
      <c r="I58" t="s">
        <v>31</v>
      </c>
      <c r="J58"/>
      <c r="K58" s="245"/>
      <c r="L58"/>
      <c r="M58" s="14"/>
      <c r="N58" s="297">
        <v>80</v>
      </c>
      <c r="O58" s="27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248</v>
      </c>
      <c r="B59">
        <v>32</v>
      </c>
      <c r="C59"/>
      <c r="D59"/>
      <c r="E59" t="s">
        <v>822</v>
      </c>
      <c r="F59">
        <v>3</v>
      </c>
      <c r="G59" s="14">
        <v>10</v>
      </c>
      <c r="H59" s="14">
        <v>30</v>
      </c>
      <c r="I59" t="s">
        <v>31</v>
      </c>
      <c r="J59"/>
      <c r="K59" s="245"/>
      <c r="L59"/>
      <c r="M59" s="14"/>
      <c r="N59" s="297">
        <v>30</v>
      </c>
      <c r="O59" s="27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248</v>
      </c>
      <c r="B60">
        <v>33</v>
      </c>
      <c r="C60"/>
      <c r="D60"/>
      <c r="E60" t="s">
        <v>823</v>
      </c>
      <c r="F60">
        <v>2</v>
      </c>
      <c r="G60" s="14">
        <v>35</v>
      </c>
      <c r="H60" s="14">
        <v>70</v>
      </c>
      <c r="I60" t="s">
        <v>31</v>
      </c>
      <c r="J60"/>
      <c r="K60" s="245"/>
      <c r="L60"/>
      <c r="M60" s="14"/>
      <c r="N60" s="297">
        <v>70</v>
      </c>
      <c r="O60" s="27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248</v>
      </c>
      <c r="B61">
        <v>34</v>
      </c>
      <c r="C61"/>
      <c r="D61"/>
      <c r="E61" t="s">
        <v>817</v>
      </c>
      <c r="F61">
        <v>1</v>
      </c>
      <c r="G61" s="14">
        <v>95</v>
      </c>
      <c r="H61" s="14">
        <v>95</v>
      </c>
      <c r="I61" t="s">
        <v>31</v>
      </c>
      <c r="J61"/>
      <c r="K61" s="245"/>
      <c r="L61"/>
      <c r="M61" s="14"/>
      <c r="N61" s="297">
        <v>95</v>
      </c>
      <c r="O61" s="27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248</v>
      </c>
      <c r="B62">
        <v>35</v>
      </c>
      <c r="C62"/>
      <c r="D62"/>
      <c r="E62" t="s">
        <v>825</v>
      </c>
      <c r="F62">
        <v>1</v>
      </c>
      <c r="G62" s="14">
        <v>50</v>
      </c>
      <c r="H62" s="14">
        <v>50</v>
      </c>
      <c r="I62" t="s">
        <v>31</v>
      </c>
      <c r="J62"/>
      <c r="K62" s="245"/>
      <c r="L62"/>
      <c r="M62" s="14"/>
      <c r="N62" s="297">
        <v>50</v>
      </c>
      <c r="O62" s="27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248</v>
      </c>
      <c r="B63">
        <v>36</v>
      </c>
      <c r="C63"/>
      <c r="D63"/>
      <c r="E63" t="s">
        <v>881</v>
      </c>
      <c r="F63">
        <v>1</v>
      </c>
      <c r="G63" s="14">
        <v>48</v>
      </c>
      <c r="H63" s="14">
        <v>48</v>
      </c>
      <c r="I63" t="s">
        <v>31</v>
      </c>
      <c r="J63"/>
      <c r="K63" s="245"/>
      <c r="L63"/>
      <c r="M63" s="14"/>
      <c r="N63" s="297">
        <v>48</v>
      </c>
      <c r="O63" s="27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248</v>
      </c>
      <c r="B64">
        <v>37</v>
      </c>
      <c r="C64"/>
      <c r="D64"/>
      <c r="E64" t="s">
        <v>882</v>
      </c>
      <c r="F64">
        <v>1</v>
      </c>
      <c r="G64" s="14">
        <v>80</v>
      </c>
      <c r="H64" s="14">
        <v>80</v>
      </c>
      <c r="I64" t="s">
        <v>31</v>
      </c>
      <c r="J64"/>
      <c r="K64" s="245"/>
      <c r="L64"/>
      <c r="M64" s="14"/>
      <c r="N64" s="297">
        <v>80</v>
      </c>
      <c r="O64" s="27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248</v>
      </c>
      <c r="B65">
        <v>38</v>
      </c>
      <c r="C65"/>
      <c r="D65"/>
      <c r="E65" t="s">
        <v>903</v>
      </c>
      <c r="F65">
        <v>1</v>
      </c>
      <c r="G65" s="14">
        <v>139.47</v>
      </c>
      <c r="H65" s="14">
        <v>139.47</v>
      </c>
      <c r="I65" t="s">
        <v>31</v>
      </c>
      <c r="J65"/>
      <c r="K65" s="245"/>
      <c r="L65"/>
      <c r="M65" s="14"/>
      <c r="N65" s="297">
        <v>139.47</v>
      </c>
      <c r="O65" s="27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248</v>
      </c>
      <c r="B66">
        <v>39</v>
      </c>
      <c r="C66"/>
      <c r="D66"/>
      <c r="E66"/>
      <c r="F66"/>
      <c r="G66" s="14"/>
      <c r="H66" s="14"/>
      <c r="I66"/>
      <c r="J66"/>
      <c r="K66" s="245"/>
      <c r="L66"/>
      <c r="M66" s="14"/>
      <c r="N66" s="297"/>
      <c r="O66" s="27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248</v>
      </c>
      <c r="B67">
        <v>40</v>
      </c>
      <c r="C67"/>
      <c r="D67"/>
      <c r="E67"/>
      <c r="F67"/>
      <c r="G67" s="14"/>
      <c r="H67" s="14"/>
      <c r="I67"/>
      <c r="J67"/>
      <c r="K67" s="245"/>
      <c r="L67"/>
      <c r="M67" s="14"/>
      <c r="N67" s="297"/>
      <c r="O67" s="27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248</v>
      </c>
      <c r="B68">
        <v>41</v>
      </c>
      <c r="C68"/>
      <c r="D68"/>
      <c r="E68"/>
      <c r="F68"/>
      <c r="G68" s="14"/>
      <c r="H68" s="14"/>
      <c r="I68"/>
      <c r="J68"/>
      <c r="K68" s="245"/>
      <c r="L68"/>
      <c r="M68" s="14"/>
      <c r="N68" s="297"/>
      <c r="O68" s="27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248</v>
      </c>
      <c r="B69">
        <v>42</v>
      </c>
      <c r="C69"/>
      <c r="D69"/>
      <c r="E69"/>
      <c r="F69"/>
      <c r="G69" s="14"/>
      <c r="H69" s="14"/>
      <c r="I69"/>
      <c r="J69"/>
      <c r="K69" s="245"/>
      <c r="L69"/>
      <c r="M69" s="14"/>
      <c r="N69" s="297"/>
      <c r="O69" s="27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248</v>
      </c>
      <c r="B70">
        <v>43</v>
      </c>
      <c r="C70"/>
      <c r="D70"/>
      <c r="E70"/>
      <c r="F70"/>
      <c r="G70" s="14"/>
      <c r="H70" s="14"/>
      <c r="I70"/>
      <c r="J70"/>
      <c r="K70" s="245"/>
      <c r="L70"/>
      <c r="M70" s="14"/>
      <c r="N70" s="297"/>
      <c r="O70" s="27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248</v>
      </c>
      <c r="B71">
        <v>44</v>
      </c>
      <c r="C71"/>
      <c r="D71"/>
      <c r="E71"/>
      <c r="F71"/>
      <c r="G71" s="14"/>
      <c r="H71" s="14"/>
      <c r="I71"/>
      <c r="J71"/>
      <c r="K71" s="245"/>
      <c r="L71"/>
      <c r="M71" s="14"/>
      <c r="N71" s="297"/>
      <c r="O71" s="27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45"/>
      <c r="L72"/>
      <c r="M72" s="14"/>
      <c r="N72" s="297"/>
      <c r="O72" s="27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45"/>
      <c r="L73"/>
      <c r="M73" s="14"/>
      <c r="N73" s="297"/>
      <c r="O73" s="27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45"/>
      <c r="L74"/>
      <c r="M74" s="14"/>
      <c r="N74" s="297"/>
      <c r="O74" s="27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45"/>
      <c r="L75"/>
      <c r="M75" s="14"/>
      <c r="N75" s="297"/>
      <c r="O75" s="27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45"/>
      <c r="L76"/>
      <c r="M76" s="14"/>
      <c r="N76" s="297"/>
      <c r="O76" s="27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45"/>
      <c r="L77"/>
      <c r="M77" s="14"/>
      <c r="N77" s="297"/>
      <c r="O77" s="27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45"/>
      <c r="L78"/>
      <c r="M78" s="14"/>
      <c r="N78" s="297"/>
      <c r="O78" s="27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45"/>
      <c r="L79"/>
      <c r="M79" s="14"/>
      <c r="N79" s="297"/>
      <c r="O79" s="27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45"/>
      <c r="L80"/>
      <c r="M80" s="14"/>
      <c r="N80" s="297"/>
      <c r="O80" s="27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45"/>
      <c r="L81"/>
      <c r="M81" s="14"/>
      <c r="N81" s="297"/>
      <c r="O81" s="27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45"/>
      <c r="L82"/>
      <c r="M82" s="14"/>
      <c r="N82" s="297"/>
      <c r="O82" s="27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45"/>
      <c r="L83"/>
      <c r="M83" s="14"/>
      <c r="N83" s="297"/>
      <c r="O83" s="27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45"/>
      <c r="L84"/>
      <c r="M84" s="14"/>
      <c r="N84" s="297"/>
      <c r="O84" s="27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45"/>
      <c r="L85"/>
      <c r="M85" s="14"/>
      <c r="N85" s="297"/>
      <c r="O85" s="27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45"/>
      <c r="L86"/>
      <c r="M86" s="14"/>
      <c r="N86" s="297"/>
      <c r="O86" s="27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45"/>
      <c r="L87"/>
      <c r="M87" s="14"/>
      <c r="N87" s="297"/>
      <c r="O87" s="27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M1:N1"/>
    <mergeCell ref="AA22:AH23"/>
    <mergeCell ref="J1:K1"/>
    <mergeCell ref="E4:F4"/>
    <mergeCell ref="H2:I2"/>
    <mergeCell ref="H3:I3"/>
    <mergeCell ref="H4:I4"/>
    <mergeCell ref="M4:N4"/>
    <mergeCell ref="M5:N5"/>
    <mergeCell ref="M3:N3"/>
    <mergeCell ref="M2:N2"/>
    <mergeCell ref="A3:D3"/>
    <mergeCell ref="A4:D4"/>
    <mergeCell ref="H5:I5"/>
    <mergeCell ref="J2:K2"/>
    <mergeCell ref="E5:F5"/>
    <mergeCell ref="J3:K3"/>
    <mergeCell ref="J4:K4"/>
    <mergeCell ref="J5:K5"/>
    <mergeCell ref="F2:G2"/>
    <mergeCell ref="C2:D2"/>
    <mergeCell ref="A2:B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898</v>
      </c>
      <c r="D1" s="104"/>
      <c r="E1" s="104"/>
      <c r="F1" s="104"/>
      <c r="G1" s="104"/>
      <c r="H1" s="104"/>
    </row>
    <row r="2" spans="1:8" ht="30" x14ac:dyDescent="0.25">
      <c r="A2" s="257" t="s">
        <v>207</v>
      </c>
      <c r="B2" s="257" t="s">
        <v>208</v>
      </c>
      <c r="C2" s="257" t="s">
        <v>211</v>
      </c>
      <c r="D2" s="257" t="s">
        <v>182</v>
      </c>
      <c r="E2" s="276" t="s">
        <v>183</v>
      </c>
      <c r="F2" s="276" t="s">
        <v>212</v>
      </c>
      <c r="G2" s="257" t="s">
        <v>213</v>
      </c>
      <c r="H2" s="22" t="s">
        <v>219</v>
      </c>
    </row>
    <row r="3" spans="1:8" x14ac:dyDescent="0.25">
      <c r="A3" t="s">
        <v>491</v>
      </c>
      <c r="B3">
        <v>1</v>
      </c>
      <c r="C3" t="s">
        <v>185</v>
      </c>
      <c r="D3">
        <v>0</v>
      </c>
      <c r="E3" s="14"/>
      <c r="F3" s="14"/>
      <c r="H3" s="297"/>
    </row>
    <row r="4" spans="1:8" x14ac:dyDescent="0.25">
      <c r="A4" t="s">
        <v>491</v>
      </c>
      <c r="B4">
        <v>2</v>
      </c>
      <c r="C4" t="s">
        <v>188</v>
      </c>
      <c r="D4">
        <v>0</v>
      </c>
      <c r="E4" s="14"/>
      <c r="F4" s="14"/>
      <c r="H4" s="297"/>
    </row>
    <row r="5" spans="1:8" x14ac:dyDescent="0.25">
      <c r="A5" t="s">
        <v>491</v>
      </c>
      <c r="B5">
        <v>3</v>
      </c>
      <c r="C5" t="s">
        <v>189</v>
      </c>
      <c r="D5">
        <v>0</v>
      </c>
      <c r="E5" s="14"/>
      <c r="F5" s="14"/>
      <c r="H5" s="297"/>
    </row>
    <row r="6" spans="1:8" x14ac:dyDescent="0.25">
      <c r="A6" t="s">
        <v>248</v>
      </c>
      <c r="B6">
        <v>4</v>
      </c>
      <c r="C6" t="s">
        <v>191</v>
      </c>
      <c r="D6">
        <v>6</v>
      </c>
      <c r="E6" s="14"/>
      <c r="F6" s="14"/>
      <c r="H6" s="297"/>
    </row>
    <row r="7" spans="1:8" x14ac:dyDescent="0.25">
      <c r="A7" t="s">
        <v>491</v>
      </c>
      <c r="B7">
        <v>5</v>
      </c>
      <c r="C7" t="s">
        <v>497</v>
      </c>
      <c r="D7">
        <v>0</v>
      </c>
      <c r="E7" s="14">
        <v>0</v>
      </c>
      <c r="F7" s="14">
        <v>0</v>
      </c>
      <c r="H7" s="297"/>
    </row>
    <row r="8" spans="1:8" x14ac:dyDescent="0.25">
      <c r="A8" t="s">
        <v>491</v>
      </c>
      <c r="B8">
        <v>6</v>
      </c>
      <c r="C8" t="s">
        <v>492</v>
      </c>
      <c r="D8">
        <v>0</v>
      </c>
      <c r="E8" s="14">
        <v>0</v>
      </c>
      <c r="F8" s="14">
        <v>0</v>
      </c>
      <c r="H8" s="297"/>
    </row>
    <row r="9" spans="1:8" x14ac:dyDescent="0.25">
      <c r="A9" t="s">
        <v>491</v>
      </c>
      <c r="B9">
        <v>7</v>
      </c>
      <c r="C9" t="s">
        <v>493</v>
      </c>
      <c r="D9">
        <v>0</v>
      </c>
      <c r="E9" s="14">
        <v>0</v>
      </c>
      <c r="F9" s="14">
        <v>0</v>
      </c>
      <c r="H9" s="297"/>
    </row>
    <row r="10" spans="1:8" x14ac:dyDescent="0.25">
      <c r="A10" t="s">
        <v>491</v>
      </c>
      <c r="B10">
        <v>8</v>
      </c>
      <c r="C10" t="s">
        <v>494</v>
      </c>
      <c r="D10">
        <v>0</v>
      </c>
      <c r="E10" s="14">
        <v>0</v>
      </c>
      <c r="F10" s="14">
        <v>0</v>
      </c>
      <c r="H10" s="297"/>
    </row>
    <row r="11" spans="1:8" x14ac:dyDescent="0.25">
      <c r="A11" t="s">
        <v>491</v>
      </c>
      <c r="B11">
        <v>9</v>
      </c>
      <c r="C11" t="s">
        <v>495</v>
      </c>
      <c r="D11">
        <v>0</v>
      </c>
      <c r="E11" s="14">
        <v>0</v>
      </c>
      <c r="F11" s="14">
        <v>0</v>
      </c>
      <c r="H11" s="297"/>
    </row>
    <row r="12" spans="1:8" x14ac:dyDescent="0.25">
      <c r="A12" t="s">
        <v>248</v>
      </c>
      <c r="B12">
        <v>10</v>
      </c>
      <c r="C12" t="s">
        <v>802</v>
      </c>
      <c r="D12">
        <v>1</v>
      </c>
      <c r="E12" s="14">
        <v>155</v>
      </c>
      <c r="F12" s="14">
        <v>155</v>
      </c>
      <c r="G12" t="s">
        <v>31</v>
      </c>
      <c r="H12" s="297">
        <v>155</v>
      </c>
    </row>
    <row r="13" spans="1:8" x14ac:dyDescent="0.25">
      <c r="A13" t="s">
        <v>248</v>
      </c>
      <c r="B13">
        <v>11</v>
      </c>
      <c r="C13" t="s">
        <v>801</v>
      </c>
      <c r="D13">
        <v>1</v>
      </c>
      <c r="E13" s="14">
        <v>45</v>
      </c>
      <c r="F13" s="14">
        <v>45</v>
      </c>
      <c r="G13" t="s">
        <v>31</v>
      </c>
      <c r="H13" s="297">
        <v>45</v>
      </c>
    </row>
    <row r="14" spans="1:8" x14ac:dyDescent="0.25">
      <c r="A14" t="s">
        <v>248</v>
      </c>
      <c r="B14">
        <v>12</v>
      </c>
      <c r="C14" t="s">
        <v>815</v>
      </c>
      <c r="D14">
        <v>1</v>
      </c>
      <c r="E14" s="14">
        <v>25</v>
      </c>
      <c r="F14" s="14">
        <v>25</v>
      </c>
      <c r="G14" t="s">
        <v>31</v>
      </c>
      <c r="H14" s="297">
        <v>25</v>
      </c>
    </row>
    <row r="15" spans="1:8" x14ac:dyDescent="0.25">
      <c r="A15" t="s">
        <v>248</v>
      </c>
      <c r="B15">
        <v>13</v>
      </c>
      <c r="C15" t="s">
        <v>803</v>
      </c>
      <c r="D15">
        <v>1</v>
      </c>
      <c r="E15" s="14">
        <v>85</v>
      </c>
      <c r="F15" s="14">
        <v>85</v>
      </c>
      <c r="G15" t="s">
        <v>31</v>
      </c>
      <c r="H15" s="297">
        <v>85</v>
      </c>
    </row>
    <row r="16" spans="1:8" x14ac:dyDescent="0.25">
      <c r="A16" t="s">
        <v>248</v>
      </c>
      <c r="B16">
        <v>14</v>
      </c>
      <c r="C16" t="s">
        <v>804</v>
      </c>
      <c r="D16">
        <v>1</v>
      </c>
      <c r="E16" s="14">
        <v>25</v>
      </c>
      <c r="F16" s="14">
        <v>25</v>
      </c>
      <c r="G16" t="s">
        <v>31</v>
      </c>
      <c r="H16" s="297">
        <v>25</v>
      </c>
    </row>
    <row r="17" spans="1:8" x14ac:dyDescent="0.25">
      <c r="A17" t="s">
        <v>248</v>
      </c>
      <c r="B17">
        <v>15</v>
      </c>
      <c r="C17" t="s">
        <v>805</v>
      </c>
      <c r="D17">
        <v>2</v>
      </c>
      <c r="E17" s="14">
        <v>35</v>
      </c>
      <c r="F17" s="14">
        <v>70</v>
      </c>
      <c r="G17" t="s">
        <v>31</v>
      </c>
      <c r="H17" s="297">
        <v>70</v>
      </c>
    </row>
    <row r="18" spans="1:8" x14ac:dyDescent="0.25">
      <c r="A18" t="s">
        <v>248</v>
      </c>
      <c r="B18">
        <v>16</v>
      </c>
      <c r="C18" t="s">
        <v>806</v>
      </c>
      <c r="D18">
        <v>1</v>
      </c>
      <c r="E18" s="14">
        <v>350</v>
      </c>
      <c r="F18" s="14">
        <v>350</v>
      </c>
      <c r="G18" t="s">
        <v>31</v>
      </c>
      <c r="H18" s="297">
        <v>350</v>
      </c>
    </row>
    <row r="19" spans="1:8" x14ac:dyDescent="0.25">
      <c r="A19" t="s">
        <v>248</v>
      </c>
      <c r="B19">
        <v>17</v>
      </c>
      <c r="C19" t="s">
        <v>807</v>
      </c>
      <c r="D19">
        <v>1</v>
      </c>
      <c r="E19" s="14">
        <v>1200</v>
      </c>
      <c r="F19" s="14">
        <v>1200</v>
      </c>
      <c r="G19" t="s">
        <v>31</v>
      </c>
      <c r="H19" s="297">
        <v>1200</v>
      </c>
    </row>
    <row r="20" spans="1:8" x14ac:dyDescent="0.25">
      <c r="A20" t="s">
        <v>248</v>
      </c>
      <c r="B20">
        <v>18</v>
      </c>
      <c r="C20" t="s">
        <v>808</v>
      </c>
      <c r="D20">
        <v>1</v>
      </c>
      <c r="E20" s="14">
        <v>110</v>
      </c>
      <c r="F20" s="14">
        <v>110</v>
      </c>
      <c r="G20" t="s">
        <v>31</v>
      </c>
      <c r="H20" s="297">
        <v>110</v>
      </c>
    </row>
    <row r="21" spans="1:8" x14ac:dyDescent="0.25">
      <c r="A21" t="s">
        <v>248</v>
      </c>
      <c r="B21">
        <v>19</v>
      </c>
      <c r="C21" t="s">
        <v>809</v>
      </c>
      <c r="D21">
        <v>1</v>
      </c>
      <c r="E21" s="14">
        <v>215</v>
      </c>
      <c r="F21" s="14">
        <v>215</v>
      </c>
      <c r="G21" t="s">
        <v>31</v>
      </c>
      <c r="H21" s="297">
        <v>215</v>
      </c>
    </row>
    <row r="22" spans="1:8" x14ac:dyDescent="0.25">
      <c r="A22" t="s">
        <v>248</v>
      </c>
      <c r="B22">
        <v>20</v>
      </c>
      <c r="C22" t="s">
        <v>810</v>
      </c>
      <c r="D22">
        <v>1</v>
      </c>
      <c r="E22" s="14">
        <v>1300.0999999999999</v>
      </c>
      <c r="F22" s="14">
        <v>1300.0999999999999</v>
      </c>
      <c r="G22" t="s">
        <v>31</v>
      </c>
      <c r="H22" s="297">
        <v>1300.0999999999999</v>
      </c>
    </row>
    <row r="23" spans="1:8" x14ac:dyDescent="0.25">
      <c r="A23" t="s">
        <v>248</v>
      </c>
      <c r="B23">
        <v>21</v>
      </c>
      <c r="C23" t="s">
        <v>811</v>
      </c>
      <c r="D23">
        <v>1</v>
      </c>
      <c r="E23" s="14">
        <v>95</v>
      </c>
      <c r="F23" s="14">
        <v>95</v>
      </c>
      <c r="G23" t="s">
        <v>31</v>
      </c>
      <c r="H23" s="297">
        <v>95</v>
      </c>
    </row>
    <row r="24" spans="1:8" x14ac:dyDescent="0.25">
      <c r="A24" t="s">
        <v>248</v>
      </c>
      <c r="B24">
        <v>22</v>
      </c>
      <c r="C24" t="s">
        <v>812</v>
      </c>
      <c r="D24">
        <v>1</v>
      </c>
      <c r="E24" s="14">
        <v>65</v>
      </c>
      <c r="F24" s="14">
        <v>65</v>
      </c>
      <c r="G24" t="s">
        <v>31</v>
      </c>
      <c r="H24" s="297">
        <v>65</v>
      </c>
    </row>
    <row r="25" spans="1:8" x14ac:dyDescent="0.25">
      <c r="A25" t="s">
        <v>248</v>
      </c>
      <c r="B25">
        <v>23</v>
      </c>
      <c r="C25" t="s">
        <v>813</v>
      </c>
      <c r="D25">
        <v>1</v>
      </c>
      <c r="E25" s="14">
        <v>95</v>
      </c>
      <c r="F25" s="14">
        <v>95</v>
      </c>
      <c r="G25" t="s">
        <v>31</v>
      </c>
      <c r="H25" s="297">
        <v>95</v>
      </c>
    </row>
    <row r="26" spans="1:8" x14ac:dyDescent="0.25">
      <c r="A26" t="s">
        <v>248</v>
      </c>
      <c r="B26">
        <v>24</v>
      </c>
      <c r="C26" t="s">
        <v>814</v>
      </c>
      <c r="D26">
        <v>0</v>
      </c>
      <c r="E26" s="14">
        <v>95</v>
      </c>
      <c r="F26" s="14">
        <v>0</v>
      </c>
      <c r="H26" s="297"/>
    </row>
    <row r="27" spans="1:8" x14ac:dyDescent="0.25">
      <c r="A27" t="s">
        <v>248</v>
      </c>
      <c r="B27">
        <v>25</v>
      </c>
      <c r="C27" t="s">
        <v>805</v>
      </c>
      <c r="D27">
        <v>1</v>
      </c>
      <c r="E27" s="14">
        <v>35</v>
      </c>
      <c r="F27" s="14">
        <v>35</v>
      </c>
      <c r="G27" t="s">
        <v>31</v>
      </c>
      <c r="H27" s="297">
        <v>35</v>
      </c>
    </row>
    <row r="28" spans="1:8" x14ac:dyDescent="0.25">
      <c r="A28" t="s">
        <v>248</v>
      </c>
      <c r="B28">
        <v>26</v>
      </c>
      <c r="C28" t="s">
        <v>816</v>
      </c>
      <c r="D28">
        <v>1</v>
      </c>
      <c r="E28" s="14">
        <v>0</v>
      </c>
      <c r="F28" s="14">
        <v>0</v>
      </c>
      <c r="H28" s="297"/>
    </row>
    <row r="29" spans="1:8" x14ac:dyDescent="0.25">
      <c r="A29" t="s">
        <v>248</v>
      </c>
      <c r="B29">
        <v>27</v>
      </c>
      <c r="C29" t="s">
        <v>818</v>
      </c>
      <c r="D29">
        <v>1</v>
      </c>
      <c r="E29" s="14">
        <v>45</v>
      </c>
      <c r="F29" s="14">
        <v>45</v>
      </c>
      <c r="G29" t="s">
        <v>31</v>
      </c>
      <c r="H29" s="297">
        <v>45</v>
      </c>
    </row>
    <row r="30" spans="1:8" x14ac:dyDescent="0.25">
      <c r="A30" t="s">
        <v>248</v>
      </c>
      <c r="B30">
        <v>28</v>
      </c>
      <c r="C30" t="s">
        <v>819</v>
      </c>
      <c r="D30">
        <v>1</v>
      </c>
      <c r="E30" s="14">
        <v>95</v>
      </c>
      <c r="F30" s="14">
        <v>95</v>
      </c>
      <c r="G30" t="s">
        <v>31</v>
      </c>
      <c r="H30" s="297">
        <v>95</v>
      </c>
    </row>
    <row r="31" spans="1:8" x14ac:dyDescent="0.25">
      <c r="A31" t="s">
        <v>248</v>
      </c>
      <c r="B31">
        <v>29</v>
      </c>
      <c r="C31" t="s">
        <v>820</v>
      </c>
      <c r="D31">
        <v>1</v>
      </c>
      <c r="E31" s="14">
        <v>95</v>
      </c>
      <c r="F31" s="14">
        <v>95</v>
      </c>
      <c r="G31" t="s">
        <v>31</v>
      </c>
      <c r="H31" s="297">
        <v>95</v>
      </c>
    </row>
    <row r="32" spans="1:8" x14ac:dyDescent="0.25">
      <c r="A32" t="s">
        <v>248</v>
      </c>
      <c r="B32">
        <v>30</v>
      </c>
      <c r="C32" t="s">
        <v>824</v>
      </c>
      <c r="D32">
        <v>8</v>
      </c>
      <c r="E32" s="14">
        <v>25</v>
      </c>
      <c r="F32" s="14">
        <v>200</v>
      </c>
      <c r="G32" t="s">
        <v>31</v>
      </c>
      <c r="H32" s="297">
        <v>200</v>
      </c>
    </row>
    <row r="33" spans="1:8" x14ac:dyDescent="0.25">
      <c r="A33" t="s">
        <v>248</v>
      </c>
      <c r="B33">
        <v>31</v>
      </c>
      <c r="C33" t="s">
        <v>821</v>
      </c>
      <c r="D33">
        <v>8</v>
      </c>
      <c r="E33" s="14">
        <v>10</v>
      </c>
      <c r="F33" s="14">
        <v>80</v>
      </c>
      <c r="G33" t="s">
        <v>31</v>
      </c>
      <c r="H33" s="297">
        <v>80</v>
      </c>
    </row>
    <row r="34" spans="1:8" x14ac:dyDescent="0.25">
      <c r="A34" t="s">
        <v>248</v>
      </c>
      <c r="B34">
        <v>32</v>
      </c>
      <c r="C34" t="s">
        <v>822</v>
      </c>
      <c r="D34">
        <v>3</v>
      </c>
      <c r="E34" s="14">
        <v>10</v>
      </c>
      <c r="F34" s="14">
        <v>30</v>
      </c>
      <c r="G34" t="s">
        <v>31</v>
      </c>
      <c r="H34" s="297">
        <v>30</v>
      </c>
    </row>
    <row r="35" spans="1:8" x14ac:dyDescent="0.25">
      <c r="A35" t="s">
        <v>248</v>
      </c>
      <c r="B35">
        <v>33</v>
      </c>
      <c r="C35" t="s">
        <v>823</v>
      </c>
      <c r="D35">
        <v>2</v>
      </c>
      <c r="E35" s="14">
        <v>35</v>
      </c>
      <c r="F35" s="14">
        <v>70</v>
      </c>
      <c r="G35" t="s">
        <v>31</v>
      </c>
      <c r="H35" s="297">
        <v>70</v>
      </c>
    </row>
    <row r="36" spans="1:8" x14ac:dyDescent="0.25">
      <c r="A36" t="s">
        <v>248</v>
      </c>
      <c r="B36">
        <v>34</v>
      </c>
      <c r="C36" t="s">
        <v>817</v>
      </c>
      <c r="D36">
        <v>1</v>
      </c>
      <c r="E36" s="14">
        <v>95</v>
      </c>
      <c r="F36" s="14">
        <v>95</v>
      </c>
      <c r="G36" t="s">
        <v>31</v>
      </c>
      <c r="H36" s="297">
        <v>95</v>
      </c>
    </row>
    <row r="37" spans="1:8" x14ac:dyDescent="0.25">
      <c r="A37" t="s">
        <v>248</v>
      </c>
      <c r="B37">
        <v>35</v>
      </c>
      <c r="C37" t="s">
        <v>825</v>
      </c>
      <c r="D37">
        <v>1</v>
      </c>
      <c r="E37" s="14">
        <v>50</v>
      </c>
      <c r="F37" s="14">
        <v>50</v>
      </c>
      <c r="G37" t="s">
        <v>31</v>
      </c>
      <c r="H37" s="297">
        <v>50</v>
      </c>
    </row>
    <row r="38" spans="1:8" x14ac:dyDescent="0.25">
      <c r="A38" t="s">
        <v>248</v>
      </c>
      <c r="B38">
        <v>36</v>
      </c>
      <c r="C38" t="s">
        <v>881</v>
      </c>
      <c r="D38">
        <v>1</v>
      </c>
      <c r="E38" s="14">
        <v>48</v>
      </c>
      <c r="F38" s="14">
        <v>48</v>
      </c>
      <c r="G38" t="s">
        <v>31</v>
      </c>
      <c r="H38" s="297">
        <v>48</v>
      </c>
    </row>
    <row r="39" spans="1:8" x14ac:dyDescent="0.25">
      <c r="A39" t="s">
        <v>248</v>
      </c>
      <c r="B39">
        <v>37</v>
      </c>
      <c r="C39" t="s">
        <v>882</v>
      </c>
      <c r="D39">
        <v>1</v>
      </c>
      <c r="E39" s="14">
        <v>80</v>
      </c>
      <c r="F39" s="14">
        <v>80</v>
      </c>
      <c r="G39" t="s">
        <v>31</v>
      </c>
      <c r="H39" s="297">
        <v>80</v>
      </c>
    </row>
    <row r="41" spans="1:8" x14ac:dyDescent="0.25">
      <c r="F41" t="s">
        <v>899</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54" bestFit="1" customWidth="1"/>
    <col min="6" max="6" width="10" style="254" bestFit="1" customWidth="1"/>
    <col min="7" max="8" width="10.28515625" style="254" bestFit="1" customWidth="1"/>
    <col min="9" max="9" width="5.42578125" style="254" customWidth="1"/>
    <col min="10" max="10" width="50.7109375" bestFit="1" customWidth="1"/>
    <col min="11" max="12" width="9.7109375" bestFit="1" customWidth="1"/>
    <col min="13" max="13" width="8.7109375" style="24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45" bestFit="1" customWidth="1"/>
    <col min="24" max="25" width="14.28515625" bestFit="1" customWidth="1"/>
  </cols>
  <sheetData>
    <row r="1" spans="1:23" x14ac:dyDescent="0.25">
      <c r="A1" s="894" t="s">
        <v>249</v>
      </c>
      <c r="B1" s="895"/>
      <c r="C1" s="850"/>
      <c r="D1" s="850"/>
      <c r="E1" s="850"/>
      <c r="F1" s="850"/>
      <c r="G1" s="772"/>
      <c r="I1" s="890" t="s">
        <v>250</v>
      </c>
      <c r="J1" s="891"/>
      <c r="K1" s="892"/>
      <c r="L1" s="893"/>
      <c r="M1"/>
      <c r="N1" s="880" t="s">
        <v>251</v>
      </c>
      <c r="O1" s="881"/>
      <c r="P1" s="881"/>
      <c r="Q1" s="881"/>
      <c r="R1" s="881"/>
      <c r="S1" s="882"/>
      <c r="W1"/>
    </row>
    <row r="2" spans="1:23" ht="15.75" thickBot="1" x14ac:dyDescent="0.3">
      <c r="A2" s="894" t="s">
        <v>252</v>
      </c>
      <c r="B2" s="895"/>
      <c r="C2" s="850"/>
      <c r="D2" s="850"/>
      <c r="E2" s="850"/>
      <c r="F2" s="850"/>
      <c r="G2" s="772"/>
      <c r="I2" s="886" t="s">
        <v>253</v>
      </c>
      <c r="J2" s="887"/>
      <c r="K2" s="888"/>
      <c r="L2" s="889"/>
      <c r="M2"/>
      <c r="N2" s="883" t="str">
        <f>"Recap Summary Table - " &amp; +Profit!B2</f>
        <v>Recap Summary Table - 4121 Tensity Dr</v>
      </c>
      <c r="O2" s="884"/>
      <c r="P2" s="884"/>
      <c r="Q2" s="884"/>
      <c r="R2" s="884"/>
      <c r="S2" s="885"/>
      <c r="W2"/>
    </row>
    <row r="4" spans="1:23" s="61" customFormat="1" x14ac:dyDescent="0.25">
      <c r="A4" s="61" t="s">
        <v>208</v>
      </c>
      <c r="B4" s="22" t="s">
        <v>210</v>
      </c>
      <c r="C4" s="61" t="s">
        <v>211</v>
      </c>
      <c r="D4" s="3" t="s">
        <v>254</v>
      </c>
      <c r="E4" s="283" t="s">
        <v>215</v>
      </c>
      <c r="F4" s="3" t="s">
        <v>212</v>
      </c>
      <c r="G4" s="61" t="s">
        <v>213</v>
      </c>
      <c r="I4" s="61" t="s">
        <v>208</v>
      </c>
      <c r="J4" s="61" t="s">
        <v>255</v>
      </c>
      <c r="K4" s="284" t="s">
        <v>256</v>
      </c>
      <c r="L4" s="61" t="s">
        <v>213</v>
      </c>
      <c r="N4" s="3" t="s">
        <v>208</v>
      </c>
      <c r="O4" s="22" t="s">
        <v>210</v>
      </c>
      <c r="P4" s="3" t="s">
        <v>211</v>
      </c>
      <c r="Q4" s="3" t="s">
        <v>255</v>
      </c>
      <c r="R4" s="3" t="s">
        <v>256</v>
      </c>
      <c r="S4" s="3" t="s">
        <v>213</v>
      </c>
    </row>
    <row r="5" spans="1:23" x14ac:dyDescent="0.25">
      <c r="A5">
        <v>5</v>
      </c>
      <c r="B5" t="s">
        <v>193</v>
      </c>
      <c r="C5" t="s">
        <v>497</v>
      </c>
      <c r="F5" s="285">
        <v>0</v>
      </c>
      <c r="G5"/>
      <c r="H5"/>
      <c r="I5"/>
      <c r="K5" s="245"/>
      <c r="M5"/>
      <c r="R5" s="245"/>
      <c r="W5"/>
    </row>
    <row r="6" spans="1:23" x14ac:dyDescent="0.25">
      <c r="A6">
        <v>6</v>
      </c>
      <c r="B6" t="s">
        <v>193</v>
      </c>
      <c r="C6" t="s">
        <v>492</v>
      </c>
      <c r="F6" s="285">
        <v>0</v>
      </c>
      <c r="G6"/>
      <c r="H6"/>
      <c r="I6"/>
      <c r="K6" s="245"/>
      <c r="M6"/>
      <c r="W6"/>
    </row>
    <row r="7" spans="1:23" x14ac:dyDescent="0.25">
      <c r="A7">
        <v>7</v>
      </c>
      <c r="B7" t="s">
        <v>193</v>
      </c>
      <c r="C7" t="s">
        <v>493</v>
      </c>
      <c r="F7" s="285">
        <v>0</v>
      </c>
      <c r="G7"/>
      <c r="H7"/>
      <c r="I7"/>
      <c r="K7" s="245"/>
      <c r="M7"/>
      <c r="W7"/>
    </row>
    <row r="8" spans="1:23" x14ac:dyDescent="0.25">
      <c r="A8">
        <v>8</v>
      </c>
      <c r="B8" t="s">
        <v>193</v>
      </c>
      <c r="C8" t="s">
        <v>494</v>
      </c>
      <c r="F8" s="285">
        <v>0</v>
      </c>
      <c r="G8"/>
      <c r="H8"/>
      <c r="I8"/>
      <c r="K8" s="245"/>
      <c r="M8"/>
      <c r="W8"/>
    </row>
    <row r="9" spans="1:23" x14ac:dyDescent="0.25">
      <c r="A9">
        <v>9</v>
      </c>
      <c r="B9" t="s">
        <v>193</v>
      </c>
      <c r="C9" t="s">
        <v>495</v>
      </c>
      <c r="F9" s="285">
        <v>0</v>
      </c>
      <c r="G9"/>
      <c r="H9"/>
      <c r="I9"/>
      <c r="K9" s="245"/>
      <c r="M9"/>
      <c r="W9"/>
    </row>
    <row r="10" spans="1:23" x14ac:dyDescent="0.25">
      <c r="A10">
        <v>24</v>
      </c>
      <c r="C10" t="s">
        <v>814</v>
      </c>
      <c r="F10" s="285">
        <v>0</v>
      </c>
      <c r="G10"/>
      <c r="H10"/>
      <c r="I10"/>
      <c r="K10" s="245"/>
      <c r="M10"/>
      <c r="W10"/>
    </row>
    <row r="11" spans="1:23" x14ac:dyDescent="0.25">
      <c r="A11">
        <v>26</v>
      </c>
      <c r="C11" t="s">
        <v>816</v>
      </c>
      <c r="F11" s="285">
        <v>0</v>
      </c>
      <c r="G11"/>
      <c r="H11"/>
      <c r="I11"/>
      <c r="K11" s="245"/>
      <c r="M11"/>
      <c r="W11"/>
    </row>
    <row r="12" spans="1:23" x14ac:dyDescent="0.25">
      <c r="A12">
        <v>39</v>
      </c>
      <c r="F12" s="285"/>
      <c r="G12"/>
      <c r="H12"/>
      <c r="I12"/>
      <c r="K12" s="245"/>
      <c r="M12"/>
      <c r="W12"/>
    </row>
    <row r="13" spans="1:23" x14ac:dyDescent="0.25">
      <c r="A13">
        <v>40</v>
      </c>
      <c r="F13" s="285"/>
      <c r="G13"/>
      <c r="H13"/>
      <c r="I13"/>
      <c r="K13" s="245"/>
      <c r="M13"/>
      <c r="U13" s="245"/>
      <c r="W13"/>
    </row>
    <row r="14" spans="1:23" x14ac:dyDescent="0.25">
      <c r="A14">
        <v>41</v>
      </c>
      <c r="F14" s="285"/>
      <c r="G14"/>
      <c r="H14"/>
      <c r="I14"/>
      <c r="K14" s="245"/>
      <c r="M14"/>
      <c r="U14" s="245"/>
      <c r="W14"/>
    </row>
    <row r="15" spans="1:23" x14ac:dyDescent="0.25">
      <c r="A15">
        <v>42</v>
      </c>
      <c r="F15" s="285"/>
      <c r="G15"/>
      <c r="H15"/>
      <c r="I15"/>
      <c r="K15" s="245"/>
      <c r="M15"/>
      <c r="U15" s="245"/>
      <c r="W15"/>
    </row>
    <row r="16" spans="1:23" x14ac:dyDescent="0.25">
      <c r="A16">
        <v>43</v>
      </c>
      <c r="F16" s="285"/>
      <c r="G16"/>
      <c r="H16"/>
      <c r="I16"/>
      <c r="K16" s="245"/>
      <c r="M16"/>
      <c r="U16" s="245"/>
      <c r="W16"/>
    </row>
    <row r="17" spans="1:23" x14ac:dyDescent="0.25">
      <c r="A17">
        <v>44</v>
      </c>
      <c r="F17" s="285"/>
      <c r="G17"/>
      <c r="H17"/>
      <c r="I17"/>
      <c r="K17" s="245"/>
      <c r="M17"/>
      <c r="U17" s="245"/>
      <c r="W17"/>
    </row>
    <row r="18" spans="1:23" x14ac:dyDescent="0.25">
      <c r="A18">
        <v>3</v>
      </c>
      <c r="B18" t="s">
        <v>189</v>
      </c>
      <c r="C18" t="s">
        <v>189</v>
      </c>
      <c r="D18">
        <v>4</v>
      </c>
      <c r="F18" s="285"/>
      <c r="G18"/>
      <c r="H18"/>
      <c r="I18"/>
      <c r="K18" s="245"/>
      <c r="M18"/>
      <c r="U18" s="245"/>
      <c r="W18"/>
    </row>
    <row r="19" spans="1:23" x14ac:dyDescent="0.25">
      <c r="A19">
        <v>1</v>
      </c>
      <c r="B19" t="s">
        <v>184</v>
      </c>
      <c r="C19" t="s">
        <v>185</v>
      </c>
      <c r="D19">
        <v>4</v>
      </c>
      <c r="E19" s="254">
        <v>45363</v>
      </c>
      <c r="F19" s="285"/>
      <c r="G19"/>
      <c r="H19"/>
      <c r="I19"/>
      <c r="K19" s="245"/>
      <c r="M19"/>
      <c r="U19" s="245"/>
      <c r="W19"/>
    </row>
    <row r="20" spans="1:23" x14ac:dyDescent="0.25">
      <c r="A20">
        <v>2</v>
      </c>
      <c r="B20" t="s">
        <v>188</v>
      </c>
      <c r="C20" t="s">
        <v>188</v>
      </c>
      <c r="D20">
        <v>4</v>
      </c>
      <c r="E20" s="254">
        <v>45823</v>
      </c>
      <c r="F20" s="285"/>
      <c r="G20"/>
      <c r="H20"/>
      <c r="I20"/>
      <c r="K20" s="245"/>
      <c r="M20"/>
      <c r="U20" s="245"/>
      <c r="W20"/>
    </row>
    <row r="21" spans="1:23" x14ac:dyDescent="0.25">
      <c r="A21">
        <v>4</v>
      </c>
      <c r="B21" t="s">
        <v>190</v>
      </c>
      <c r="C21" t="s">
        <v>191</v>
      </c>
      <c r="D21">
        <v>5</v>
      </c>
      <c r="F21" s="28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482</v>
      </c>
    </row>
    <row r="2" spans="1:11" x14ac:dyDescent="0.25">
      <c r="I2" s="898" t="s">
        <v>2</v>
      </c>
      <c r="J2" s="898" t="str">
        <f>IF(Profit!$Q$6,IF(K2="No","No","Yes"),"No")</f>
        <v>No</v>
      </c>
      <c r="K2" s="900"/>
    </row>
    <row r="3" spans="1:11" s="3" customFormat="1" ht="15.75" thickBot="1" x14ac:dyDescent="0.3">
      <c r="A3" s="3" t="s">
        <v>308</v>
      </c>
      <c r="B3" s="3" t="s">
        <v>256</v>
      </c>
      <c r="C3" s="13" t="s">
        <v>309</v>
      </c>
      <c r="D3" s="3" t="s">
        <v>310</v>
      </c>
      <c r="E3" s="13" t="s">
        <v>311</v>
      </c>
      <c r="F3" s="3" t="s">
        <v>312</v>
      </c>
      <c r="I3" s="899"/>
      <c r="J3" s="899"/>
      <c r="K3" s="901"/>
    </row>
    <row r="4" spans="1:11" s="3" customFormat="1" x14ac:dyDescent="0.25">
      <c r="C4" s="13"/>
      <c r="E4" s="13"/>
    </row>
    <row r="5" spans="1:11" s="3" customFormat="1" x14ac:dyDescent="0.25">
      <c r="A5" s="2" t="s">
        <v>479</v>
      </c>
      <c r="B5" s="12">
        <v>45316</v>
      </c>
      <c r="C5" s="31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479</v>
      </c>
      <c r="B10" s="12">
        <v>45316</v>
      </c>
      <c r="C10" s="311"/>
      <c r="D10">
        <v>0</v>
      </c>
      <c r="E10" s="14">
        <v>35</v>
      </c>
      <c r="F10" s="14">
        <f t="shared" si="0"/>
        <v>0</v>
      </c>
      <c r="G10"/>
      <c r="H10" s="3"/>
      <c r="I10" s="3"/>
    </row>
    <row r="11" spans="1:11" x14ac:dyDescent="0.25">
      <c r="A11" s="2" t="s">
        <v>479</v>
      </c>
      <c r="B11" s="12">
        <v>45322</v>
      </c>
      <c r="C11" s="311"/>
      <c r="D11">
        <v>0</v>
      </c>
      <c r="E11" s="14">
        <v>55</v>
      </c>
      <c r="F11" s="14">
        <f t="shared" si="0"/>
        <v>0</v>
      </c>
    </row>
    <row r="12" spans="1:11" x14ac:dyDescent="0.25">
      <c r="A12" s="2" t="s">
        <v>480</v>
      </c>
      <c r="B12" s="12"/>
      <c r="C12" s="311"/>
      <c r="D12">
        <v>0</v>
      </c>
      <c r="E12" s="14"/>
      <c r="F12" s="14">
        <f t="shared" si="0"/>
        <v>0</v>
      </c>
    </row>
    <row r="13" spans="1:11" x14ac:dyDescent="0.25">
      <c r="A13" s="2" t="s">
        <v>525</v>
      </c>
      <c r="B13" s="12">
        <v>45315</v>
      </c>
      <c r="C13" s="311"/>
      <c r="D13">
        <v>0</v>
      </c>
      <c r="E13" s="14">
        <v>201.25</v>
      </c>
      <c r="F13" s="14">
        <f>+D13*E13</f>
        <v>0</v>
      </c>
    </row>
    <row r="14" spans="1:11" x14ac:dyDescent="0.25">
      <c r="A14" s="2" t="s">
        <v>526</v>
      </c>
      <c r="B14" s="12">
        <v>45322</v>
      </c>
      <c r="C14" s="311"/>
      <c r="D14">
        <v>0</v>
      </c>
      <c r="E14" s="14">
        <v>46</v>
      </c>
      <c r="F14" s="14">
        <f>+D14*E14</f>
        <v>0</v>
      </c>
    </row>
    <row r="15" spans="1:11" x14ac:dyDescent="0.25">
      <c r="A15" s="2" t="s">
        <v>527</v>
      </c>
      <c r="B15" s="12">
        <v>45322</v>
      </c>
      <c r="C15" s="311"/>
      <c r="D15">
        <v>0</v>
      </c>
      <c r="E15" s="14">
        <v>10</v>
      </c>
      <c r="F15" s="14">
        <f>+D15*E15</f>
        <v>0</v>
      </c>
    </row>
    <row r="16" spans="1:11" x14ac:dyDescent="0.25">
      <c r="B16" s="12"/>
      <c r="C16" s="311"/>
      <c r="D16">
        <v>1</v>
      </c>
      <c r="E16" s="14"/>
      <c r="F16" s="14">
        <f>+D16*E16</f>
        <v>0</v>
      </c>
    </row>
    <row r="17" spans="1:10" x14ac:dyDescent="0.25">
      <c r="B17" s="12"/>
      <c r="C17" s="311"/>
      <c r="D17">
        <v>1</v>
      </c>
      <c r="E17" s="14"/>
      <c r="F17" s="14">
        <f>+D17*E17</f>
        <v>0</v>
      </c>
    </row>
    <row r="18" spans="1:10" x14ac:dyDescent="0.25">
      <c r="B18" s="175"/>
      <c r="C18" s="14"/>
      <c r="D18"/>
      <c r="E18" s="14"/>
      <c r="F18" s="14">
        <f t="shared" ref="F18:F21" si="1">+D18*E18</f>
        <v>0</v>
      </c>
    </row>
    <row r="19" spans="1:10" x14ac:dyDescent="0.25">
      <c r="B19" s="175"/>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896"/>
      <c r="D28" s="897"/>
      <c r="E28" s="897"/>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258</v>
      </c>
      <c r="B1" s="7" t="s">
        <v>259</v>
      </c>
    </row>
    <row r="2" spans="1:5" x14ac:dyDescent="0.25">
      <c r="A2" s="3" t="s">
        <v>260</v>
      </c>
      <c r="B2" s="6"/>
      <c r="C2" s="4"/>
    </row>
    <row r="4" spans="1:5" x14ac:dyDescent="0.25">
      <c r="A4" s="2" t="s">
        <v>261</v>
      </c>
      <c r="B4" s="1">
        <v>0</v>
      </c>
      <c r="C4" s="1">
        <v>0</v>
      </c>
    </row>
    <row r="5" spans="1:5" x14ac:dyDescent="0.25">
      <c r="A5" s="2" t="s">
        <v>262</v>
      </c>
      <c r="B5" s="1">
        <v>33</v>
      </c>
      <c r="C5"/>
      <c r="D5" s="1"/>
    </row>
    <row r="6" spans="1:5" ht="15.75" thickBot="1" x14ac:dyDescent="0.3">
      <c r="A6" s="2" t="s">
        <v>263</v>
      </c>
      <c r="B6" s="20">
        <v>0</v>
      </c>
      <c r="C6" s="20">
        <f>B5*B6</f>
        <v>0</v>
      </c>
      <c r="D6" s="29"/>
    </row>
    <row r="7" spans="1:5" x14ac:dyDescent="0.25">
      <c r="C7" s="9" t="s">
        <v>264</v>
      </c>
      <c r="D7" s="1">
        <f>SUM(C4:C6)</f>
        <v>0</v>
      </c>
    </row>
    <row r="8" spans="1:5" x14ac:dyDescent="0.25">
      <c r="D8" s="1"/>
    </row>
    <row r="10" spans="1:5" ht="15.75" thickBot="1" x14ac:dyDescent="0.3">
      <c r="D10" s="29"/>
    </row>
    <row r="11" spans="1:5" x14ac:dyDescent="0.25">
      <c r="D11" s="30" t="s">
        <v>265</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266</v>
      </c>
    </row>
    <row r="2" spans="1:7" s="3" customFormat="1" x14ac:dyDescent="0.25">
      <c r="B2" s="3" t="s">
        <v>267</v>
      </c>
      <c r="C2" s="3" t="s">
        <v>268</v>
      </c>
      <c r="D2" s="8" t="s">
        <v>269</v>
      </c>
      <c r="E2" s="3" t="s">
        <v>270</v>
      </c>
      <c r="F2" s="8" t="s">
        <v>257</v>
      </c>
      <c r="G2" s="3" t="s">
        <v>271</v>
      </c>
    </row>
    <row r="3" spans="1:7" x14ac:dyDescent="0.25">
      <c r="A3" s="184" t="s">
        <v>272</v>
      </c>
      <c r="B3" s="184"/>
      <c r="C3" s="185">
        <v>0</v>
      </c>
      <c r="D3" s="186">
        <v>0</v>
      </c>
      <c r="E3">
        <f>+C3*D3</f>
        <v>0</v>
      </c>
      <c r="F3" s="26">
        <f t="shared" ref="F3:F44" si="0">+E3*0.0725</f>
        <v>0</v>
      </c>
    </row>
    <row r="4" spans="1:7" x14ac:dyDescent="0.25">
      <c r="A4" s="184" t="s">
        <v>273</v>
      </c>
      <c r="B4" s="184"/>
      <c r="C4" s="185">
        <v>0</v>
      </c>
      <c r="D4" s="186">
        <v>0</v>
      </c>
      <c r="E4">
        <f t="shared" ref="E4:E61" si="1">+C4*D4</f>
        <v>0</v>
      </c>
      <c r="F4" s="26">
        <f t="shared" si="0"/>
        <v>0</v>
      </c>
    </row>
    <row r="5" spans="1:7" x14ac:dyDescent="0.25">
      <c r="A5" s="184" t="s">
        <v>274</v>
      </c>
      <c r="B5" s="184"/>
      <c r="C5" s="185">
        <v>0</v>
      </c>
      <c r="D5" s="186">
        <v>0</v>
      </c>
      <c r="E5">
        <f t="shared" si="1"/>
        <v>0</v>
      </c>
      <c r="F5" s="26">
        <f t="shared" si="0"/>
        <v>0</v>
      </c>
    </row>
    <row r="6" spans="1:7" x14ac:dyDescent="0.25">
      <c r="A6" s="184" t="s">
        <v>275</v>
      </c>
      <c r="B6" s="184"/>
      <c r="C6" s="185">
        <v>0</v>
      </c>
      <c r="D6" s="186">
        <v>0</v>
      </c>
      <c r="E6">
        <f t="shared" si="1"/>
        <v>0</v>
      </c>
      <c r="F6" s="26">
        <f t="shared" si="0"/>
        <v>0</v>
      </c>
    </row>
    <row r="7" spans="1:7" x14ac:dyDescent="0.25">
      <c r="A7" s="184" t="s">
        <v>276</v>
      </c>
      <c r="B7" s="184"/>
      <c r="C7" s="185">
        <v>0</v>
      </c>
      <c r="D7" s="186">
        <v>0</v>
      </c>
      <c r="E7">
        <f t="shared" si="1"/>
        <v>0</v>
      </c>
      <c r="F7" s="26">
        <f t="shared" si="0"/>
        <v>0</v>
      </c>
    </row>
    <row r="8" spans="1:7" x14ac:dyDescent="0.25">
      <c r="A8" s="184" t="s">
        <v>277</v>
      </c>
      <c r="B8" s="184"/>
      <c r="C8" s="185">
        <v>0</v>
      </c>
      <c r="D8" s="186">
        <v>0</v>
      </c>
      <c r="E8">
        <f t="shared" si="1"/>
        <v>0</v>
      </c>
      <c r="F8" s="26">
        <f t="shared" si="0"/>
        <v>0</v>
      </c>
    </row>
    <row r="9" spans="1:7" x14ac:dyDescent="0.25">
      <c r="A9" s="184" t="s">
        <v>278</v>
      </c>
      <c r="B9" s="184"/>
      <c r="C9" s="185">
        <v>0</v>
      </c>
      <c r="D9" s="186">
        <v>0</v>
      </c>
      <c r="E9">
        <f t="shared" si="1"/>
        <v>0</v>
      </c>
      <c r="F9" s="26">
        <f t="shared" si="0"/>
        <v>0</v>
      </c>
    </row>
    <row r="10" spans="1:7" x14ac:dyDescent="0.25">
      <c r="A10" s="184" t="s">
        <v>151</v>
      </c>
      <c r="B10" s="184"/>
      <c r="C10" s="185">
        <v>0</v>
      </c>
      <c r="D10" s="186">
        <v>0</v>
      </c>
      <c r="E10">
        <f t="shared" si="1"/>
        <v>0</v>
      </c>
      <c r="F10" s="26">
        <f t="shared" si="0"/>
        <v>0</v>
      </c>
    </row>
    <row r="11" spans="1:7" x14ac:dyDescent="0.25">
      <c r="A11" s="184"/>
      <c r="B11" s="184"/>
      <c r="C11" s="185">
        <v>0</v>
      </c>
      <c r="D11" s="186">
        <v>0</v>
      </c>
      <c r="E11">
        <f t="shared" si="1"/>
        <v>0</v>
      </c>
      <c r="F11" s="26">
        <f t="shared" si="0"/>
        <v>0</v>
      </c>
    </row>
    <row r="12" spans="1:7" x14ac:dyDescent="0.25">
      <c r="A12" s="184" t="s">
        <v>279</v>
      </c>
      <c r="B12" s="184"/>
      <c r="C12" s="185">
        <v>0</v>
      </c>
      <c r="D12" s="186">
        <v>0</v>
      </c>
      <c r="E12">
        <f t="shared" si="1"/>
        <v>0</v>
      </c>
      <c r="F12" s="26">
        <f t="shared" si="0"/>
        <v>0</v>
      </c>
    </row>
    <row r="13" spans="1:7" x14ac:dyDescent="0.25">
      <c r="A13" s="184" t="s">
        <v>280</v>
      </c>
      <c r="B13" s="184"/>
      <c r="C13" s="185">
        <v>0</v>
      </c>
      <c r="D13" s="186">
        <v>0</v>
      </c>
      <c r="E13">
        <f t="shared" si="1"/>
        <v>0</v>
      </c>
      <c r="F13" s="26">
        <f t="shared" si="0"/>
        <v>0</v>
      </c>
    </row>
    <row r="14" spans="1:7" x14ac:dyDescent="0.25">
      <c r="A14" s="184" t="s">
        <v>281</v>
      </c>
      <c r="B14" s="184"/>
      <c r="C14" s="185">
        <v>0</v>
      </c>
      <c r="D14" s="186">
        <v>0</v>
      </c>
      <c r="E14">
        <f t="shared" si="1"/>
        <v>0</v>
      </c>
      <c r="F14" s="26">
        <f t="shared" si="0"/>
        <v>0</v>
      </c>
    </row>
    <row r="15" spans="1:7" x14ac:dyDescent="0.25">
      <c r="A15" s="184" t="s">
        <v>282</v>
      </c>
      <c r="B15" s="184"/>
      <c r="C15" s="185">
        <v>0</v>
      </c>
      <c r="D15" s="186">
        <v>0</v>
      </c>
      <c r="E15">
        <f t="shared" si="1"/>
        <v>0</v>
      </c>
      <c r="F15" s="26">
        <f t="shared" si="0"/>
        <v>0</v>
      </c>
    </row>
    <row r="16" spans="1:7" x14ac:dyDescent="0.25">
      <c r="A16" s="184"/>
      <c r="B16" s="184"/>
      <c r="C16" s="185">
        <v>0</v>
      </c>
      <c r="D16" s="186">
        <v>0</v>
      </c>
      <c r="E16">
        <f t="shared" si="1"/>
        <v>0</v>
      </c>
      <c r="F16" s="26">
        <f t="shared" si="0"/>
        <v>0</v>
      </c>
    </row>
    <row r="17" spans="1:6" x14ac:dyDescent="0.25">
      <c r="A17" s="184" t="s">
        <v>283</v>
      </c>
      <c r="B17" s="184"/>
      <c r="C17" s="185">
        <v>0</v>
      </c>
      <c r="D17" s="186">
        <v>0</v>
      </c>
      <c r="E17">
        <f t="shared" si="1"/>
        <v>0</v>
      </c>
      <c r="F17" s="26">
        <f t="shared" si="0"/>
        <v>0</v>
      </c>
    </row>
    <row r="18" spans="1:6" x14ac:dyDescent="0.25">
      <c r="A18" s="184" t="s">
        <v>284</v>
      </c>
      <c r="B18" s="184"/>
      <c r="C18" s="185">
        <v>0</v>
      </c>
      <c r="D18" s="186">
        <v>0</v>
      </c>
      <c r="E18">
        <f t="shared" si="1"/>
        <v>0</v>
      </c>
      <c r="F18" s="26">
        <f t="shared" si="0"/>
        <v>0</v>
      </c>
    </row>
    <row r="19" spans="1:6" x14ac:dyDescent="0.25">
      <c r="A19" s="184"/>
      <c r="B19" s="184"/>
      <c r="C19" s="185">
        <v>0</v>
      </c>
      <c r="D19" s="186">
        <v>0</v>
      </c>
      <c r="E19">
        <f t="shared" si="1"/>
        <v>0</v>
      </c>
      <c r="F19" s="26">
        <f t="shared" si="0"/>
        <v>0</v>
      </c>
    </row>
    <row r="20" spans="1:6" x14ac:dyDescent="0.25">
      <c r="A20" s="184" t="s">
        <v>285</v>
      </c>
      <c r="B20" s="184"/>
      <c r="C20" s="185">
        <v>0</v>
      </c>
      <c r="D20" s="186">
        <v>0</v>
      </c>
      <c r="E20">
        <f t="shared" si="1"/>
        <v>0</v>
      </c>
      <c r="F20" s="26">
        <f t="shared" si="0"/>
        <v>0</v>
      </c>
    </row>
    <row r="21" spans="1:6" x14ac:dyDescent="0.25">
      <c r="A21" s="184" t="s">
        <v>286</v>
      </c>
      <c r="B21" s="184"/>
      <c r="C21" s="185">
        <v>0</v>
      </c>
      <c r="D21" s="186">
        <v>0</v>
      </c>
      <c r="E21">
        <f t="shared" si="1"/>
        <v>0</v>
      </c>
      <c r="F21" s="26">
        <f t="shared" si="0"/>
        <v>0</v>
      </c>
    </row>
    <row r="22" spans="1:6" x14ac:dyDescent="0.25">
      <c r="A22" s="184"/>
      <c r="B22" s="184"/>
      <c r="C22" s="185">
        <v>0</v>
      </c>
      <c r="D22" s="186">
        <v>0</v>
      </c>
      <c r="E22">
        <f t="shared" si="1"/>
        <v>0</v>
      </c>
      <c r="F22" s="26">
        <f t="shared" si="0"/>
        <v>0</v>
      </c>
    </row>
    <row r="23" spans="1:6" x14ac:dyDescent="0.25">
      <c r="A23" s="184" t="s">
        <v>287</v>
      </c>
      <c r="B23" s="184"/>
      <c r="C23" s="185">
        <v>0</v>
      </c>
      <c r="D23" s="186">
        <v>0</v>
      </c>
      <c r="E23">
        <f t="shared" si="1"/>
        <v>0</v>
      </c>
      <c r="F23" s="26">
        <f t="shared" si="0"/>
        <v>0</v>
      </c>
    </row>
    <row r="24" spans="1:6" x14ac:dyDescent="0.25">
      <c r="A24" s="184"/>
      <c r="B24" s="184"/>
      <c r="C24" s="185">
        <v>0</v>
      </c>
      <c r="D24" s="186">
        <v>0</v>
      </c>
      <c r="E24">
        <f t="shared" si="1"/>
        <v>0</v>
      </c>
      <c r="F24" s="26">
        <f t="shared" si="0"/>
        <v>0</v>
      </c>
    </row>
    <row r="25" spans="1:6" x14ac:dyDescent="0.25">
      <c r="A25" s="184"/>
      <c r="B25" s="184"/>
      <c r="C25" s="185">
        <v>0</v>
      </c>
      <c r="D25" s="186">
        <v>0</v>
      </c>
      <c r="E25">
        <f t="shared" si="1"/>
        <v>0</v>
      </c>
      <c r="F25" s="26">
        <f t="shared" si="0"/>
        <v>0</v>
      </c>
    </row>
    <row r="26" spans="1:6" x14ac:dyDescent="0.25">
      <c r="A26" s="184" t="s">
        <v>288</v>
      </c>
      <c r="B26" s="184"/>
      <c r="C26" s="185">
        <v>0</v>
      </c>
      <c r="D26" s="186">
        <v>0</v>
      </c>
      <c r="E26">
        <f t="shared" si="1"/>
        <v>0</v>
      </c>
      <c r="F26" s="26">
        <f t="shared" si="0"/>
        <v>0</v>
      </c>
    </row>
    <row r="27" spans="1:6" x14ac:dyDescent="0.25">
      <c r="A27" s="184" t="s">
        <v>289</v>
      </c>
      <c r="B27" s="184"/>
      <c r="C27" s="185">
        <v>0</v>
      </c>
      <c r="D27" s="186">
        <v>0</v>
      </c>
      <c r="E27">
        <f t="shared" si="1"/>
        <v>0</v>
      </c>
      <c r="F27" s="26">
        <f t="shared" si="0"/>
        <v>0</v>
      </c>
    </row>
    <row r="28" spans="1:6" x14ac:dyDescent="0.25">
      <c r="A28" s="184" t="s">
        <v>290</v>
      </c>
      <c r="B28" s="184"/>
      <c r="C28" s="185">
        <v>0</v>
      </c>
      <c r="D28" s="186">
        <v>0</v>
      </c>
      <c r="E28">
        <f t="shared" si="1"/>
        <v>0</v>
      </c>
      <c r="F28" s="26">
        <f t="shared" si="0"/>
        <v>0</v>
      </c>
    </row>
    <row r="29" spans="1:6" x14ac:dyDescent="0.25">
      <c r="A29" s="184" t="s">
        <v>291</v>
      </c>
      <c r="B29" s="184"/>
      <c r="C29" s="185">
        <v>0</v>
      </c>
      <c r="D29" s="186">
        <v>0</v>
      </c>
      <c r="E29">
        <f t="shared" si="1"/>
        <v>0</v>
      </c>
      <c r="F29" s="26">
        <f t="shared" si="0"/>
        <v>0</v>
      </c>
    </row>
    <row r="30" spans="1:6" x14ac:dyDescent="0.25">
      <c r="A30" s="184" t="s">
        <v>292</v>
      </c>
      <c r="B30" s="184"/>
      <c r="C30" s="185">
        <v>0</v>
      </c>
      <c r="D30" s="186">
        <v>0</v>
      </c>
      <c r="E30">
        <f t="shared" si="1"/>
        <v>0</v>
      </c>
      <c r="F30" s="26">
        <f t="shared" si="0"/>
        <v>0</v>
      </c>
    </row>
    <row r="31" spans="1:6" x14ac:dyDescent="0.25">
      <c r="A31" s="184" t="s">
        <v>293</v>
      </c>
      <c r="B31" s="184"/>
      <c r="C31" s="185">
        <v>0</v>
      </c>
      <c r="D31" s="186">
        <v>0</v>
      </c>
      <c r="E31">
        <f t="shared" si="1"/>
        <v>0</v>
      </c>
      <c r="F31" s="26">
        <f t="shared" si="0"/>
        <v>0</v>
      </c>
    </row>
    <row r="32" spans="1:6" x14ac:dyDescent="0.25">
      <c r="A32" s="184" t="s">
        <v>294</v>
      </c>
      <c r="B32" s="184"/>
      <c r="C32" s="185">
        <v>0</v>
      </c>
      <c r="D32" s="186">
        <v>0</v>
      </c>
      <c r="E32">
        <f t="shared" si="1"/>
        <v>0</v>
      </c>
      <c r="F32" s="26">
        <f t="shared" si="0"/>
        <v>0</v>
      </c>
    </row>
    <row r="33" spans="1:6" x14ac:dyDescent="0.25">
      <c r="A33" s="184" t="s">
        <v>295</v>
      </c>
      <c r="B33" s="184"/>
      <c r="C33" s="185">
        <v>0</v>
      </c>
      <c r="D33" s="186">
        <v>0</v>
      </c>
      <c r="E33">
        <f t="shared" si="1"/>
        <v>0</v>
      </c>
      <c r="F33" s="26">
        <f t="shared" si="0"/>
        <v>0</v>
      </c>
    </row>
    <row r="34" spans="1:6" x14ac:dyDescent="0.25">
      <c r="A34" s="184" t="s">
        <v>296</v>
      </c>
      <c r="B34" s="184"/>
      <c r="C34" s="185">
        <v>0</v>
      </c>
      <c r="D34" s="186">
        <v>0</v>
      </c>
      <c r="E34">
        <f t="shared" si="1"/>
        <v>0</v>
      </c>
      <c r="F34" s="26">
        <f t="shared" si="0"/>
        <v>0</v>
      </c>
    </row>
    <row r="35" spans="1:6" x14ac:dyDescent="0.25">
      <c r="A35" s="184" t="s">
        <v>297</v>
      </c>
      <c r="B35" s="184"/>
      <c r="C35" s="185">
        <v>0</v>
      </c>
      <c r="D35" s="186">
        <v>0</v>
      </c>
      <c r="E35">
        <f t="shared" si="1"/>
        <v>0</v>
      </c>
      <c r="F35" s="26">
        <f t="shared" si="0"/>
        <v>0</v>
      </c>
    </row>
    <row r="36" spans="1:6" x14ac:dyDescent="0.25">
      <c r="A36" s="184" t="s">
        <v>298</v>
      </c>
      <c r="B36" s="184"/>
      <c r="C36" s="185">
        <v>0</v>
      </c>
      <c r="D36" s="186">
        <v>0</v>
      </c>
      <c r="E36">
        <f t="shared" si="1"/>
        <v>0</v>
      </c>
      <c r="F36" s="26">
        <f t="shared" si="0"/>
        <v>0</v>
      </c>
    </row>
    <row r="37" spans="1:6" x14ac:dyDescent="0.25">
      <c r="A37" s="184"/>
      <c r="B37" s="184"/>
      <c r="C37" s="185">
        <v>0</v>
      </c>
      <c r="D37" s="186">
        <v>0</v>
      </c>
      <c r="E37">
        <f t="shared" si="1"/>
        <v>0</v>
      </c>
      <c r="F37" s="26">
        <f t="shared" si="0"/>
        <v>0</v>
      </c>
    </row>
    <row r="38" spans="1:6" x14ac:dyDescent="0.25">
      <c r="A38" s="184" t="s">
        <v>299</v>
      </c>
      <c r="B38" s="184"/>
      <c r="C38" s="185">
        <v>0</v>
      </c>
      <c r="D38" s="186">
        <v>0</v>
      </c>
      <c r="E38">
        <f t="shared" si="1"/>
        <v>0</v>
      </c>
      <c r="F38" s="26">
        <f t="shared" si="0"/>
        <v>0</v>
      </c>
    </row>
    <row r="39" spans="1:6" x14ac:dyDescent="0.25">
      <c r="A39" s="184" t="s">
        <v>300</v>
      </c>
      <c r="B39" s="184"/>
      <c r="C39" s="185">
        <v>0</v>
      </c>
      <c r="D39" s="186">
        <v>0</v>
      </c>
      <c r="E39">
        <f t="shared" si="1"/>
        <v>0</v>
      </c>
      <c r="F39" s="26">
        <f t="shared" si="0"/>
        <v>0</v>
      </c>
    </row>
    <row r="40" spans="1:6" x14ac:dyDescent="0.25">
      <c r="A40" s="184" t="s">
        <v>301</v>
      </c>
      <c r="B40" s="184"/>
      <c r="C40" s="185">
        <v>0</v>
      </c>
      <c r="D40" s="186">
        <v>0</v>
      </c>
      <c r="E40">
        <f t="shared" si="1"/>
        <v>0</v>
      </c>
      <c r="F40" s="26">
        <f t="shared" si="0"/>
        <v>0</v>
      </c>
    </row>
    <row r="41" spans="1:6" x14ac:dyDescent="0.25">
      <c r="A41" s="184" t="s">
        <v>302</v>
      </c>
      <c r="B41" s="184"/>
      <c r="C41" s="185">
        <v>0</v>
      </c>
      <c r="D41" s="186">
        <v>0</v>
      </c>
      <c r="E41">
        <f t="shared" si="1"/>
        <v>0</v>
      </c>
      <c r="F41" s="26">
        <f t="shared" si="0"/>
        <v>0</v>
      </c>
    </row>
    <row r="42" spans="1:6" x14ac:dyDescent="0.25">
      <c r="A42" s="184"/>
      <c r="B42" s="184"/>
      <c r="C42" s="185">
        <v>0</v>
      </c>
      <c r="D42" s="186">
        <v>0</v>
      </c>
      <c r="E42">
        <f t="shared" si="1"/>
        <v>0</v>
      </c>
      <c r="F42" s="26">
        <f t="shared" si="0"/>
        <v>0</v>
      </c>
    </row>
    <row r="43" spans="1:6" x14ac:dyDescent="0.25">
      <c r="A43" s="184" t="s">
        <v>303</v>
      </c>
      <c r="B43" s="184"/>
      <c r="C43" s="185">
        <v>0</v>
      </c>
      <c r="D43" s="186">
        <v>0</v>
      </c>
      <c r="E43">
        <f t="shared" ref="E43:E57" si="2">+C43*D43</f>
        <v>0</v>
      </c>
      <c r="F43" s="26">
        <f t="shared" si="0"/>
        <v>0</v>
      </c>
    </row>
    <row r="44" spans="1:6" x14ac:dyDescent="0.25">
      <c r="A44" s="184" t="s">
        <v>304</v>
      </c>
      <c r="B44" s="184"/>
      <c r="C44" s="185">
        <v>0</v>
      </c>
      <c r="D44" s="186">
        <v>0</v>
      </c>
      <c r="E44">
        <f t="shared" si="2"/>
        <v>0</v>
      </c>
      <c r="F44" s="26">
        <f t="shared" si="0"/>
        <v>0</v>
      </c>
    </row>
    <row r="45" spans="1:6" x14ac:dyDescent="0.25">
      <c r="A45" s="184" t="s">
        <v>305</v>
      </c>
      <c r="B45" s="184">
        <v>6973242570225</v>
      </c>
      <c r="C45" s="185">
        <v>0</v>
      </c>
      <c r="D45" s="186">
        <v>49.97</v>
      </c>
      <c r="E45">
        <f t="shared" si="2"/>
        <v>0</v>
      </c>
      <c r="F45" s="26">
        <f>+E45*0.0725</f>
        <v>0</v>
      </c>
    </row>
    <row r="46" spans="1:6" x14ac:dyDescent="0.25">
      <c r="A46" s="184" t="s">
        <v>306</v>
      </c>
      <c r="B46" s="184"/>
      <c r="C46" s="185">
        <v>0</v>
      </c>
      <c r="D46" s="186">
        <v>69.989999999999995</v>
      </c>
      <c r="E46">
        <f t="shared" si="2"/>
        <v>0</v>
      </c>
      <c r="F46" s="26">
        <f t="shared" ref="F46:F60" si="3">+E46*0.0725</f>
        <v>0</v>
      </c>
    </row>
    <row r="47" spans="1:6" x14ac:dyDescent="0.25">
      <c r="A47" s="184"/>
      <c r="B47" s="184"/>
      <c r="C47" s="185">
        <v>0</v>
      </c>
      <c r="D47" s="186">
        <v>0</v>
      </c>
      <c r="E47">
        <f t="shared" si="2"/>
        <v>0</v>
      </c>
      <c r="F47" s="26">
        <f t="shared" si="3"/>
        <v>0</v>
      </c>
    </row>
    <row r="48" spans="1:6" x14ac:dyDescent="0.25">
      <c r="A48" s="184"/>
      <c r="B48" s="184"/>
      <c r="C48" s="185">
        <v>0</v>
      </c>
      <c r="D48" s="186">
        <v>0</v>
      </c>
      <c r="E48">
        <f t="shared" si="2"/>
        <v>0</v>
      </c>
      <c r="F48" s="26">
        <f t="shared" si="3"/>
        <v>0</v>
      </c>
    </row>
    <row r="49" spans="1:7" x14ac:dyDescent="0.25">
      <c r="A49" s="184"/>
      <c r="B49" s="184"/>
      <c r="C49" s="185">
        <v>0</v>
      </c>
      <c r="D49" s="186">
        <v>0</v>
      </c>
      <c r="E49">
        <f t="shared" si="2"/>
        <v>0</v>
      </c>
      <c r="F49" s="26">
        <f t="shared" si="3"/>
        <v>0</v>
      </c>
    </row>
    <row r="50" spans="1:7" x14ac:dyDescent="0.25">
      <c r="A50" s="184"/>
      <c r="B50" s="184"/>
      <c r="C50" s="185">
        <v>0</v>
      </c>
      <c r="D50" s="186">
        <v>0</v>
      </c>
      <c r="E50">
        <f t="shared" si="2"/>
        <v>0</v>
      </c>
      <c r="F50" s="26">
        <f t="shared" si="3"/>
        <v>0</v>
      </c>
    </row>
    <row r="51" spans="1:7" x14ac:dyDescent="0.25">
      <c r="A51" s="184"/>
      <c r="B51" s="184"/>
      <c r="C51" s="185">
        <v>0</v>
      </c>
      <c r="D51" s="186">
        <v>0</v>
      </c>
      <c r="E51">
        <f t="shared" si="2"/>
        <v>0</v>
      </c>
      <c r="F51" s="26">
        <f t="shared" si="3"/>
        <v>0</v>
      </c>
    </row>
    <row r="52" spans="1:7" x14ac:dyDescent="0.25">
      <c r="A52" s="184"/>
      <c r="B52" s="184"/>
      <c r="C52" s="185">
        <v>0</v>
      </c>
      <c r="D52" s="186">
        <v>0</v>
      </c>
      <c r="E52">
        <f t="shared" si="2"/>
        <v>0</v>
      </c>
      <c r="F52" s="26">
        <f t="shared" si="3"/>
        <v>0</v>
      </c>
    </row>
    <row r="53" spans="1:7" x14ac:dyDescent="0.25">
      <c r="A53" s="184"/>
      <c r="B53" s="184"/>
      <c r="C53" s="185">
        <v>0</v>
      </c>
      <c r="D53" s="186">
        <v>0</v>
      </c>
      <c r="E53">
        <f t="shared" si="2"/>
        <v>0</v>
      </c>
      <c r="F53" s="26">
        <f t="shared" si="3"/>
        <v>0</v>
      </c>
    </row>
    <row r="54" spans="1:7" x14ac:dyDescent="0.25">
      <c r="A54" s="184"/>
      <c r="B54" s="184"/>
      <c r="C54" s="185">
        <v>0</v>
      </c>
      <c r="D54" s="186">
        <v>0</v>
      </c>
      <c r="E54">
        <f t="shared" si="2"/>
        <v>0</v>
      </c>
      <c r="F54" s="26">
        <f t="shared" si="3"/>
        <v>0</v>
      </c>
    </row>
    <row r="55" spans="1:7" x14ac:dyDescent="0.25">
      <c r="A55" s="184"/>
      <c r="B55" s="184"/>
      <c r="C55" s="185">
        <v>0</v>
      </c>
      <c r="D55" s="186">
        <v>0</v>
      </c>
      <c r="E55">
        <f t="shared" si="2"/>
        <v>0</v>
      </c>
      <c r="F55" s="26">
        <f t="shared" si="3"/>
        <v>0</v>
      </c>
    </row>
    <row r="56" spans="1:7" x14ac:dyDescent="0.25">
      <c r="A56" s="184"/>
      <c r="B56" s="184"/>
      <c r="C56" s="185">
        <v>0</v>
      </c>
      <c r="D56" s="186">
        <v>0</v>
      </c>
      <c r="E56">
        <f t="shared" si="2"/>
        <v>0</v>
      </c>
      <c r="F56" s="26">
        <f t="shared" si="3"/>
        <v>0</v>
      </c>
    </row>
    <row r="57" spans="1:7" x14ac:dyDescent="0.25">
      <c r="A57" s="184"/>
      <c r="B57" s="184"/>
      <c r="C57" s="185">
        <v>0</v>
      </c>
      <c r="D57" s="186">
        <v>0</v>
      </c>
      <c r="E57">
        <f t="shared" si="2"/>
        <v>0</v>
      </c>
      <c r="F57" s="26">
        <f t="shared" si="3"/>
        <v>0</v>
      </c>
    </row>
    <row r="58" spans="1:7" x14ac:dyDescent="0.25">
      <c r="A58" s="184"/>
      <c r="B58" s="184"/>
      <c r="C58" s="185">
        <v>0</v>
      </c>
      <c r="D58" s="186">
        <v>0</v>
      </c>
      <c r="E58">
        <f t="shared" si="1"/>
        <v>0</v>
      </c>
      <c r="F58" s="26">
        <f t="shared" si="3"/>
        <v>0</v>
      </c>
    </row>
    <row r="59" spans="1:7" x14ac:dyDescent="0.25">
      <c r="A59" s="184" t="s">
        <v>307</v>
      </c>
      <c r="B59" s="184"/>
      <c r="C59" s="185">
        <v>0</v>
      </c>
      <c r="D59" s="186">
        <v>0</v>
      </c>
      <c r="E59">
        <f t="shared" si="1"/>
        <v>0</v>
      </c>
      <c r="F59" s="26">
        <f t="shared" si="3"/>
        <v>0</v>
      </c>
    </row>
    <row r="60" spans="1:7" x14ac:dyDescent="0.25">
      <c r="A60" s="183"/>
      <c r="B60" s="184"/>
      <c r="C60" s="185">
        <v>0</v>
      </c>
      <c r="D60" s="186">
        <v>0</v>
      </c>
      <c r="E60">
        <f t="shared" si="1"/>
        <v>0</v>
      </c>
      <c r="F60" s="26">
        <f t="shared" si="3"/>
        <v>0</v>
      </c>
    </row>
    <row r="61" spans="1:7" ht="15.75" thickBot="1" x14ac:dyDescent="0.3">
      <c r="A61" s="183"/>
      <c r="B61" s="184"/>
      <c r="C61" s="185">
        <v>0</v>
      </c>
      <c r="D61" s="186">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308</v>
      </c>
      <c r="B1" s="3" t="s">
        <v>256</v>
      </c>
      <c r="C1" s="13" t="s">
        <v>309</v>
      </c>
      <c r="D1" s="3" t="s">
        <v>310</v>
      </c>
      <c r="E1" s="13" t="s">
        <v>311</v>
      </c>
      <c r="F1" s="3" t="s">
        <v>312</v>
      </c>
    </row>
    <row r="2" spans="1:10" ht="15.75" thickBot="1" x14ac:dyDescent="0.3">
      <c r="A2" s="434" t="s">
        <v>635</v>
      </c>
      <c r="B2" s="435"/>
      <c r="C2" s="436"/>
      <c r="D2" s="435"/>
      <c r="E2" s="436"/>
      <c r="F2" s="436">
        <v>0</v>
      </c>
    </row>
    <row r="3" spans="1:10" x14ac:dyDescent="0.25">
      <c r="A3" s="434" t="s">
        <v>313</v>
      </c>
      <c r="B3" s="437"/>
      <c r="C3" s="436" t="s">
        <v>594</v>
      </c>
      <c r="D3" s="435">
        <v>0</v>
      </c>
      <c r="E3" s="436">
        <v>75</v>
      </c>
      <c r="F3" s="436">
        <f>IF($I$3="Yes",+D3*E3,0)</f>
        <v>0</v>
      </c>
      <c r="H3" s="898" t="s">
        <v>2</v>
      </c>
      <c r="I3" s="898" t="str">
        <f>IF(Profit!$Q$6,IF(J3,"Yes","N0"),"no")</f>
        <v>no</v>
      </c>
      <c r="J3" s="902" t="b">
        <v>1</v>
      </c>
    </row>
    <row r="4" spans="1:10" ht="15.75" thickBot="1" x14ac:dyDescent="0.3">
      <c r="A4" s="434" t="s">
        <v>313</v>
      </c>
      <c r="B4" s="438"/>
      <c r="C4" s="436" t="s">
        <v>314</v>
      </c>
      <c r="D4" s="435">
        <v>0</v>
      </c>
      <c r="E4" s="436">
        <v>325</v>
      </c>
      <c r="F4" s="436">
        <f t="shared" ref="F4:F5" si="0">IF($I$3="Yes",+D4*E4,0)</f>
        <v>0</v>
      </c>
      <c r="H4" s="899"/>
      <c r="I4" s="899"/>
      <c r="J4" s="903"/>
    </row>
    <row r="5" spans="1:10" x14ac:dyDescent="0.25">
      <c r="A5" s="434" t="s">
        <v>313</v>
      </c>
      <c r="B5" s="435"/>
      <c r="C5" s="436" t="s">
        <v>315</v>
      </c>
      <c r="D5" s="435">
        <v>0</v>
      </c>
      <c r="E5" s="436">
        <v>104</v>
      </c>
      <c r="F5" s="436">
        <f t="shared" si="0"/>
        <v>0</v>
      </c>
      <c r="G5">
        <f>IF(I3="yes",+SUM(F2:F5),0)</f>
        <v>0</v>
      </c>
    </row>
    <row r="6" spans="1:10" s="22" customFormat="1" x14ac:dyDescent="0.25">
      <c r="A6" s="147" t="s">
        <v>313</v>
      </c>
      <c r="B6" s="469">
        <v>45579</v>
      </c>
      <c r="C6" s="470" t="s">
        <v>594</v>
      </c>
      <c r="D6" s="262">
        <v>0</v>
      </c>
      <c r="E6" s="470">
        <v>75</v>
      </c>
      <c r="F6" s="470">
        <f>IF($I$3="Yes",0,+D6*E6)</f>
        <v>0</v>
      </c>
      <c r="G6"/>
    </row>
    <row r="7" spans="1:10" x14ac:dyDescent="0.25">
      <c r="A7" s="147" t="s">
        <v>313</v>
      </c>
      <c r="B7" s="471">
        <v>45211</v>
      </c>
      <c r="C7" s="470" t="s">
        <v>314</v>
      </c>
      <c r="D7" s="262">
        <v>0</v>
      </c>
      <c r="E7" s="470">
        <v>325</v>
      </c>
      <c r="F7" s="470">
        <f t="shared" ref="F7:F19" si="1">IF($I$3="Yes",0,+D7*E7)</f>
        <v>0</v>
      </c>
    </row>
    <row r="8" spans="1:10" x14ac:dyDescent="0.25">
      <c r="A8" s="147" t="s">
        <v>313</v>
      </c>
      <c r="B8" s="262"/>
      <c r="C8" s="470" t="s">
        <v>315</v>
      </c>
      <c r="D8" s="262">
        <v>0</v>
      </c>
      <c r="E8" s="470">
        <v>104</v>
      </c>
      <c r="F8" s="470">
        <f t="shared" si="1"/>
        <v>0</v>
      </c>
    </row>
    <row r="9" spans="1:10" x14ac:dyDescent="0.25">
      <c r="A9" s="147" t="s">
        <v>313</v>
      </c>
      <c r="B9" s="262"/>
      <c r="C9" s="470" t="s">
        <v>316</v>
      </c>
      <c r="D9" s="262">
        <v>0</v>
      </c>
      <c r="E9" s="470">
        <f>+(12.13+31.46+41.63)/3</f>
        <v>28.406666666666666</v>
      </c>
      <c r="F9" s="470">
        <f t="shared" si="1"/>
        <v>0</v>
      </c>
    </row>
    <row r="10" spans="1:10" x14ac:dyDescent="0.25">
      <c r="A10" s="147" t="s">
        <v>313</v>
      </c>
      <c r="B10" s="262"/>
      <c r="C10" s="470" t="s">
        <v>317</v>
      </c>
      <c r="D10" s="262">
        <v>0</v>
      </c>
      <c r="E10" s="470">
        <v>6.35</v>
      </c>
      <c r="F10" s="470">
        <f t="shared" si="1"/>
        <v>0</v>
      </c>
    </row>
    <row r="11" spans="1:10" x14ac:dyDescent="0.25">
      <c r="A11" s="147" t="s">
        <v>313</v>
      </c>
      <c r="B11" s="262"/>
      <c r="C11" s="470" t="s">
        <v>318</v>
      </c>
      <c r="D11" s="262"/>
      <c r="E11" s="470">
        <v>2.5</v>
      </c>
      <c r="F11" s="470">
        <f t="shared" si="1"/>
        <v>0</v>
      </c>
    </row>
    <row r="12" spans="1:10" x14ac:dyDescent="0.25">
      <c r="A12" s="147" t="s">
        <v>313</v>
      </c>
      <c r="B12" s="262"/>
      <c r="C12" s="470" t="s">
        <v>319</v>
      </c>
      <c r="D12" s="262">
        <v>0</v>
      </c>
      <c r="E12" s="470">
        <f>(8.5+10+17.34)/3</f>
        <v>11.946666666666667</v>
      </c>
      <c r="F12" s="470">
        <f t="shared" si="1"/>
        <v>0</v>
      </c>
    </row>
    <row r="13" spans="1:10" x14ac:dyDescent="0.25">
      <c r="A13" s="147" t="s">
        <v>313</v>
      </c>
      <c r="B13" s="471"/>
      <c r="C13" s="470" t="s">
        <v>320</v>
      </c>
      <c r="D13" s="262">
        <v>0</v>
      </c>
      <c r="E13" s="470">
        <v>73.13</v>
      </c>
      <c r="F13" s="470">
        <f t="shared" si="1"/>
        <v>0</v>
      </c>
    </row>
    <row r="14" spans="1:10" x14ac:dyDescent="0.25">
      <c r="A14" s="147" t="s">
        <v>313</v>
      </c>
      <c r="B14" s="471"/>
      <c r="C14" s="470" t="s">
        <v>321</v>
      </c>
      <c r="D14" s="262">
        <v>0</v>
      </c>
      <c r="E14" s="470">
        <v>472</v>
      </c>
      <c r="F14" s="470">
        <f t="shared" si="1"/>
        <v>0</v>
      </c>
    </row>
    <row r="15" spans="1:10" x14ac:dyDescent="0.25">
      <c r="A15" s="147" t="s">
        <v>322</v>
      </c>
      <c r="B15" s="471">
        <v>45737</v>
      </c>
      <c r="C15" s="470"/>
      <c r="D15" s="262">
        <v>1</v>
      </c>
      <c r="E15" s="470">
        <v>1350</v>
      </c>
      <c r="F15" s="470">
        <f t="shared" si="1"/>
        <v>1350</v>
      </c>
    </row>
    <row r="16" spans="1:10" x14ac:dyDescent="0.25">
      <c r="A16" s="147" t="s">
        <v>826</v>
      </c>
      <c r="B16" s="471">
        <v>45757</v>
      </c>
      <c r="C16" s="147" t="s">
        <v>522</v>
      </c>
      <c r="D16" s="262">
        <v>1</v>
      </c>
      <c r="E16" s="470">
        <v>250</v>
      </c>
      <c r="F16" s="470">
        <f t="shared" si="1"/>
        <v>250</v>
      </c>
    </row>
    <row r="17" spans="1:10" x14ac:dyDescent="0.25">
      <c r="A17" s="147" t="s">
        <v>826</v>
      </c>
      <c r="B17" s="472">
        <v>45810</v>
      </c>
      <c r="C17" s="147" t="s">
        <v>901</v>
      </c>
      <c r="D17" s="262">
        <v>1</v>
      </c>
      <c r="E17" s="470">
        <v>350</v>
      </c>
      <c r="F17" s="470">
        <f t="shared" si="1"/>
        <v>350</v>
      </c>
    </row>
    <row r="18" spans="1:10" x14ac:dyDescent="0.25">
      <c r="A18" s="147" t="s">
        <v>322</v>
      </c>
      <c r="B18" s="471"/>
      <c r="C18" s="470" t="s">
        <v>553</v>
      </c>
      <c r="D18" s="262">
        <v>0</v>
      </c>
      <c r="E18" s="470">
        <v>100</v>
      </c>
      <c r="F18" s="470">
        <f t="shared" si="1"/>
        <v>0</v>
      </c>
      <c r="I18" s="3"/>
    </row>
    <row r="19" spans="1:10" x14ac:dyDescent="0.25">
      <c r="A19" s="147" t="s">
        <v>322</v>
      </c>
      <c r="B19" s="471"/>
      <c r="C19" s="470" t="s">
        <v>554</v>
      </c>
      <c r="D19" s="262">
        <v>0</v>
      </c>
      <c r="E19" s="470">
        <v>150</v>
      </c>
      <c r="F19" s="470">
        <f t="shared" si="1"/>
        <v>0</v>
      </c>
      <c r="I19" s="3"/>
    </row>
    <row r="20" spans="1:10" x14ac:dyDescent="0.25">
      <c r="B20" s="175"/>
      <c r="C20" s="14"/>
      <c r="D20"/>
      <c r="E20" s="14"/>
      <c r="F20" s="14"/>
      <c r="G20">
        <f>IF(I4="yes",0,+SUM(F6:F19))</f>
        <v>1950</v>
      </c>
      <c r="I20" s="3"/>
    </row>
    <row r="21" spans="1:10" x14ac:dyDescent="0.25">
      <c r="B21" s="175"/>
      <c r="C21" s="14"/>
      <c r="D21"/>
      <c r="E21" s="14"/>
      <c r="F21" s="14"/>
      <c r="I21" s="3"/>
    </row>
    <row r="22" spans="1:10" x14ac:dyDescent="0.25">
      <c r="B22" s="175"/>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323</v>
      </c>
      <c r="B1" s="3"/>
      <c r="D1" s="5"/>
      <c r="E1" s="14"/>
      <c r="F1" s="14"/>
      <c r="G1" s="14"/>
    </row>
    <row r="2" spans="1:11" x14ac:dyDescent="0.25">
      <c r="A2" s="2"/>
      <c r="B2" s="2"/>
      <c r="C2" s="3"/>
      <c r="D2" s="8"/>
      <c r="E2" s="13"/>
      <c r="F2" s="13"/>
      <c r="G2" s="13"/>
    </row>
    <row r="3" spans="1:11" ht="15.75" thickBot="1" x14ac:dyDescent="0.3">
      <c r="A3" s="3" t="s">
        <v>211</v>
      </c>
      <c r="B3" s="3" t="s">
        <v>324</v>
      </c>
      <c r="C3" s="3" t="s">
        <v>268</v>
      </c>
      <c r="D3" s="8" t="s">
        <v>269</v>
      </c>
      <c r="E3" s="13" t="s">
        <v>270</v>
      </c>
      <c r="F3" s="13" t="s">
        <v>257</v>
      </c>
      <c r="G3" s="13" t="s">
        <v>271</v>
      </c>
    </row>
    <row r="4" spans="1:11" x14ac:dyDescent="0.25">
      <c r="A4" s="439" t="s">
        <v>638</v>
      </c>
      <c r="B4" s="439"/>
      <c r="C4" s="439"/>
      <c r="D4" s="440"/>
      <c r="E4" s="441"/>
      <c r="F4" s="441"/>
      <c r="G4" s="441"/>
      <c r="I4" s="898" t="s">
        <v>2</v>
      </c>
      <c r="J4" s="898" t="str">
        <f>IF(Profit!$Q$6,IF(K4,"Yes","N0"),"no")</f>
        <v>no</v>
      </c>
      <c r="K4" s="902" t="b">
        <v>0</v>
      </c>
    </row>
    <row r="5" spans="1:11" ht="15.75" thickBot="1" x14ac:dyDescent="0.3">
      <c r="A5" s="434" t="s">
        <v>641</v>
      </c>
      <c r="B5" s="434">
        <v>977057</v>
      </c>
      <c r="C5" s="435">
        <v>0</v>
      </c>
      <c r="D5" s="442">
        <v>149</v>
      </c>
      <c r="E5" s="436">
        <f>+C5*D5</f>
        <v>0</v>
      </c>
      <c r="F5" s="443">
        <f>+E5*0.0725</f>
        <v>0</v>
      </c>
      <c r="G5" s="441"/>
      <c r="I5" s="899"/>
      <c r="J5" s="899"/>
      <c r="K5" s="903"/>
    </row>
    <row r="6" spans="1:11" x14ac:dyDescent="0.25">
      <c r="A6" s="434" t="s">
        <v>640</v>
      </c>
      <c r="B6" s="434">
        <v>3648606</v>
      </c>
      <c r="C6" s="435">
        <v>0</v>
      </c>
      <c r="D6" s="442">
        <v>700</v>
      </c>
      <c r="E6" s="436">
        <f>+C6*D6</f>
        <v>0</v>
      </c>
      <c r="F6" s="443">
        <f t="shared" ref="F6" si="0">+E6*0.0725</f>
        <v>0</v>
      </c>
      <c r="G6" s="441"/>
    </row>
    <row r="7" spans="1:11" ht="15.75" thickBot="1" x14ac:dyDescent="0.3">
      <c r="A7" s="434" t="s">
        <v>639</v>
      </c>
      <c r="B7" s="434">
        <v>1654366</v>
      </c>
      <c r="C7" s="435">
        <v>0</v>
      </c>
      <c r="D7" s="442">
        <v>450</v>
      </c>
      <c r="E7" s="436">
        <f>+C7*D7</f>
        <v>0</v>
      </c>
      <c r="F7" s="443">
        <f t="shared" ref="F7" si="1">+E7*0.0725</f>
        <v>0</v>
      </c>
      <c r="G7" s="444"/>
    </row>
    <row r="8" spans="1:11" x14ac:dyDescent="0.25">
      <c r="A8" s="439"/>
      <c r="B8" s="439"/>
      <c r="C8" s="439"/>
      <c r="D8" s="234" t="s">
        <v>637</v>
      </c>
      <c r="E8" s="436"/>
      <c r="F8" s="436"/>
      <c r="G8" s="436">
        <f>IF(J4="yes",+SUM(E5:E7)+SUM(F5:F7),0)</f>
        <v>0</v>
      </c>
    </row>
    <row r="9" spans="1:11" x14ac:dyDescent="0.25">
      <c r="A9" s="147" t="s">
        <v>325</v>
      </c>
      <c r="B9" s="147">
        <v>977057</v>
      </c>
      <c r="C9" s="262">
        <v>0</v>
      </c>
      <c r="D9" s="249">
        <v>149</v>
      </c>
      <c r="E9" s="14">
        <f>+C9*D9</f>
        <v>0</v>
      </c>
      <c r="F9" s="26">
        <f>+E9*0.0725</f>
        <v>0</v>
      </c>
      <c r="G9" s="13"/>
    </row>
    <row r="10" spans="1:11" x14ac:dyDescent="0.25">
      <c r="A10" s="147" t="s">
        <v>326</v>
      </c>
      <c r="B10" s="147"/>
      <c r="C10" s="262">
        <v>0</v>
      </c>
      <c r="D10" s="249">
        <v>500</v>
      </c>
      <c r="E10" s="14">
        <f>+C10*D10</f>
        <v>0</v>
      </c>
      <c r="F10" s="26">
        <f>+E10*0.0725</f>
        <v>0</v>
      </c>
      <c r="G10" s="14"/>
    </row>
    <row r="11" spans="1:11" x14ac:dyDescent="0.25">
      <c r="A11" s="147" t="s">
        <v>327</v>
      </c>
      <c r="B11" s="147">
        <v>1008246199</v>
      </c>
      <c r="C11" s="262">
        <v>0</v>
      </c>
      <c r="D11" s="249">
        <v>448</v>
      </c>
      <c r="E11" s="14">
        <f>+C11*D11</f>
        <v>0</v>
      </c>
      <c r="F11" s="26">
        <f>+E11*0.0725</f>
        <v>0</v>
      </c>
      <c r="G11" s="14"/>
    </row>
    <row r="12" spans="1:11" ht="15.75" thickBot="1" x14ac:dyDescent="0.3">
      <c r="A12" s="147" t="s">
        <v>555</v>
      </c>
      <c r="B12" s="147">
        <v>205954</v>
      </c>
      <c r="C12" s="262">
        <v>0</v>
      </c>
      <c r="D12" s="249">
        <v>0</v>
      </c>
      <c r="E12" s="21"/>
      <c r="F12" s="21"/>
      <c r="G12" s="21"/>
    </row>
    <row r="13" spans="1:11" x14ac:dyDescent="0.25">
      <c r="A13" s="147"/>
      <c r="B13" s="147"/>
      <c r="C13" s="262"/>
      <c r="D13" s="263" t="s">
        <v>328</v>
      </c>
      <c r="E13" s="14"/>
      <c r="F13" s="14"/>
      <c r="G13" s="14">
        <f>IF(J4="yes",0,+SUM(E9:E12)+SUM(F9:F12))</f>
        <v>0</v>
      </c>
    </row>
    <row r="14" spans="1:11" x14ac:dyDescent="0.25">
      <c r="A14" s="147" t="s">
        <v>329</v>
      </c>
      <c r="B14" s="147">
        <v>206436</v>
      </c>
      <c r="C14" s="262">
        <v>0</v>
      </c>
      <c r="D14" s="263">
        <v>12.98</v>
      </c>
      <c r="E14" s="14">
        <v>0</v>
      </c>
      <c r="F14" s="26">
        <f>+E14*0.0725</f>
        <v>0</v>
      </c>
      <c r="G14" s="14">
        <v>0</v>
      </c>
    </row>
    <row r="15" spans="1:11" x14ac:dyDescent="0.25">
      <c r="A15" s="147" t="s">
        <v>556</v>
      </c>
      <c r="B15" s="147">
        <v>1006760329</v>
      </c>
      <c r="C15" s="262">
        <v>0</v>
      </c>
      <c r="D15" s="249">
        <v>698</v>
      </c>
      <c r="E15" s="14" t="s">
        <v>151</v>
      </c>
      <c r="F15" s="14"/>
      <c r="G15" s="14"/>
    </row>
    <row r="16" spans="1:11" x14ac:dyDescent="0.25">
      <c r="A16" s="147" t="s">
        <v>329</v>
      </c>
      <c r="B16" s="147">
        <v>1630551</v>
      </c>
      <c r="C16" s="262">
        <v>0</v>
      </c>
      <c r="D16" s="249">
        <v>32.979999999999997</v>
      </c>
      <c r="E16" s="14">
        <f>+C16*D16</f>
        <v>0</v>
      </c>
      <c r="F16" s="26">
        <f>+E16*0.0725</f>
        <v>0</v>
      </c>
      <c r="G16" s="14"/>
    </row>
    <row r="17" spans="1:8" x14ac:dyDescent="0.25">
      <c r="A17" s="147" t="s">
        <v>636</v>
      </c>
      <c r="B17" s="147">
        <v>3648606</v>
      </c>
      <c r="C17" s="262">
        <v>0</v>
      </c>
      <c r="D17" s="249">
        <v>700</v>
      </c>
      <c r="E17" s="14">
        <f>+C17*D17</f>
        <v>0</v>
      </c>
      <c r="F17" s="26">
        <f t="shared" ref="F17:F29" si="2">+E17*0.0725</f>
        <v>0</v>
      </c>
      <c r="G17" s="14"/>
    </row>
    <row r="18" spans="1:8" x14ac:dyDescent="0.25">
      <c r="A18" s="147" t="s">
        <v>330</v>
      </c>
      <c r="B18" s="147">
        <v>1654366</v>
      </c>
      <c r="C18" s="262">
        <v>0</v>
      </c>
      <c r="D18" s="249">
        <v>374.29</v>
      </c>
      <c r="E18" s="14">
        <f>+C18*D18</f>
        <v>0</v>
      </c>
      <c r="F18" s="26">
        <f t="shared" si="2"/>
        <v>0</v>
      </c>
      <c r="G18" s="14"/>
    </row>
    <row r="19" spans="1:8" x14ac:dyDescent="0.25">
      <c r="A19" s="147" t="s">
        <v>331</v>
      </c>
      <c r="B19" s="147">
        <v>118694</v>
      </c>
      <c r="C19" s="262">
        <v>0</v>
      </c>
      <c r="D19" s="249">
        <v>39.28</v>
      </c>
      <c r="E19" s="14">
        <f>+C19*D19</f>
        <v>0</v>
      </c>
      <c r="F19" s="26">
        <f t="shared" si="2"/>
        <v>0</v>
      </c>
      <c r="G19" s="14"/>
    </row>
    <row r="20" spans="1:8" x14ac:dyDescent="0.25">
      <c r="A20" s="147" t="s">
        <v>332</v>
      </c>
      <c r="B20" s="264"/>
      <c r="C20" s="262">
        <v>0</v>
      </c>
      <c r="D20" s="249">
        <v>189</v>
      </c>
      <c r="E20" s="14">
        <f>+C20*D20</f>
        <v>0</v>
      </c>
      <c r="F20" s="26">
        <f t="shared" si="2"/>
        <v>0</v>
      </c>
      <c r="G20" s="14"/>
    </row>
    <row r="21" spans="1:8" x14ac:dyDescent="0.25">
      <c r="A21" s="147" t="s">
        <v>557</v>
      </c>
      <c r="B21" s="264">
        <v>206332</v>
      </c>
      <c r="C21" s="262">
        <v>0</v>
      </c>
      <c r="D21" s="249">
        <v>32.85</v>
      </c>
      <c r="E21" s="14" t="s">
        <v>151</v>
      </c>
      <c r="F21" s="26"/>
      <c r="G21" s="14"/>
    </row>
    <row r="22" spans="1:8" x14ac:dyDescent="0.25">
      <c r="A22" s="147" t="s">
        <v>333</v>
      </c>
      <c r="B22" s="264"/>
      <c r="C22" s="262">
        <v>0</v>
      </c>
      <c r="D22" s="249">
        <v>169</v>
      </c>
      <c r="E22" s="14">
        <f t="shared" ref="E22:E29" si="3">+C22*D22</f>
        <v>0</v>
      </c>
      <c r="F22" s="26">
        <f t="shared" si="2"/>
        <v>0</v>
      </c>
      <c r="G22" s="14"/>
    </row>
    <row r="23" spans="1:8" x14ac:dyDescent="0.25">
      <c r="A23" s="264" t="s">
        <v>334</v>
      </c>
      <c r="B23" s="264">
        <v>1692925</v>
      </c>
      <c r="C23" s="262">
        <v>0</v>
      </c>
      <c r="D23" s="249">
        <v>170.39</v>
      </c>
      <c r="E23" s="14">
        <f t="shared" si="3"/>
        <v>0</v>
      </c>
      <c r="F23" s="26">
        <f t="shared" si="2"/>
        <v>0</v>
      </c>
      <c r="G23" s="14"/>
    </row>
    <row r="24" spans="1:8" x14ac:dyDescent="0.25">
      <c r="A24" s="264" t="s">
        <v>587</v>
      </c>
      <c r="B24" s="264"/>
      <c r="C24" s="262">
        <v>0</v>
      </c>
      <c r="D24" s="249">
        <v>900</v>
      </c>
      <c r="E24" s="14">
        <f t="shared" si="3"/>
        <v>0</v>
      </c>
      <c r="F24" s="26">
        <f>+E24*0.0725</f>
        <v>0</v>
      </c>
      <c r="G24" s="14"/>
    </row>
    <row r="25" spans="1:8" x14ac:dyDescent="0.25">
      <c r="A25" s="264" t="s">
        <v>588</v>
      </c>
      <c r="B25" s="264"/>
      <c r="C25" s="262">
        <v>0</v>
      </c>
      <c r="D25" s="249">
        <v>900</v>
      </c>
      <c r="E25" s="14">
        <f t="shared" si="3"/>
        <v>0</v>
      </c>
      <c r="F25" s="26">
        <f>+E25*0.0725</f>
        <v>0</v>
      </c>
      <c r="G25" s="14"/>
    </row>
    <row r="26" spans="1:8" x14ac:dyDescent="0.25">
      <c r="A26" s="264"/>
      <c r="B26" s="264"/>
      <c r="C26" s="262">
        <v>0</v>
      </c>
      <c r="D26" s="249">
        <v>170.39</v>
      </c>
      <c r="E26" s="14">
        <f t="shared" si="3"/>
        <v>0</v>
      </c>
      <c r="F26" s="26">
        <f>+E26*0.0725</f>
        <v>0</v>
      </c>
      <c r="G26" s="14"/>
    </row>
    <row r="27" spans="1:8" x14ac:dyDescent="0.25">
      <c r="A27" s="264"/>
      <c r="B27" s="264"/>
      <c r="C27" s="262">
        <v>0</v>
      </c>
      <c r="D27" s="249">
        <v>170.39</v>
      </c>
      <c r="E27" s="14">
        <f t="shared" si="3"/>
        <v>0</v>
      </c>
      <c r="F27" s="26">
        <f>+E27*0.0725</f>
        <v>0</v>
      </c>
      <c r="G27" s="14"/>
    </row>
    <row r="28" spans="1:8" x14ac:dyDescent="0.25">
      <c r="A28" s="264"/>
      <c r="B28" s="264"/>
      <c r="C28" s="262">
        <v>0</v>
      </c>
      <c r="D28" s="249">
        <v>170.39</v>
      </c>
      <c r="E28" s="14">
        <f t="shared" si="3"/>
        <v>0</v>
      </c>
      <c r="F28" s="26">
        <f>+E28*0.0725</f>
        <v>0</v>
      </c>
      <c r="G28" s="14"/>
    </row>
    <row r="29" spans="1:8" ht="15.75" thickBot="1" x14ac:dyDescent="0.3">
      <c r="A29" s="147" t="s">
        <v>558</v>
      </c>
      <c r="B29" s="264"/>
      <c r="C29" s="262">
        <v>0</v>
      </c>
      <c r="D29" s="249">
        <v>0</v>
      </c>
      <c r="E29" s="14">
        <f t="shared" si="3"/>
        <v>0</v>
      </c>
      <c r="F29" s="26">
        <f t="shared" si="2"/>
        <v>0</v>
      </c>
      <c r="G29" s="21"/>
    </row>
    <row r="30" spans="1:8" x14ac:dyDescent="0.25">
      <c r="B30" s="2"/>
      <c r="C30" s="897" t="s">
        <v>335</v>
      </c>
      <c r="D30" s="897"/>
      <c r="E30" s="897"/>
      <c r="F30" s="30"/>
      <c r="G30" s="14">
        <f>IF(J4="yes",0,SUM(E9:E29)+SUM(F9:F29))</f>
        <v>0</v>
      </c>
    </row>
    <row r="31" spans="1:8" x14ac:dyDescent="0.25">
      <c r="H31" s="14" t="s">
        <v>151</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K20" sqref="K20"/>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541" t="s">
        <v>256</v>
      </c>
      <c r="B1" s="3" t="s">
        <v>336</v>
      </c>
      <c r="C1" s="3"/>
    </row>
    <row r="2" spans="1:12" x14ac:dyDescent="0.25">
      <c r="D2" s="3"/>
      <c r="E2" s="8"/>
      <c r="F2" s="13"/>
      <c r="G2" s="13"/>
      <c r="H2" s="13"/>
    </row>
    <row r="3" spans="1:12" x14ac:dyDescent="0.25">
      <c r="B3" s="3" t="s">
        <v>211</v>
      </c>
      <c r="C3" s="3" t="s">
        <v>324</v>
      </c>
      <c r="D3" s="3" t="s">
        <v>268</v>
      </c>
      <c r="E3" s="8" t="s">
        <v>269</v>
      </c>
      <c r="F3" s="13" t="s">
        <v>270</v>
      </c>
      <c r="G3" s="13" t="s">
        <v>257</v>
      </c>
      <c r="H3" s="13" t="s">
        <v>271</v>
      </c>
    </row>
    <row r="4" spans="1:12" ht="15.75" thickBot="1" x14ac:dyDescent="0.3">
      <c r="B4" s="3" t="s">
        <v>638</v>
      </c>
      <c r="C4" s="3"/>
      <c r="D4" s="3"/>
      <c r="E4" s="8"/>
      <c r="F4" s="13"/>
      <c r="G4" s="13"/>
      <c r="H4" s="13"/>
    </row>
    <row r="5" spans="1:12" x14ac:dyDescent="0.25">
      <c r="B5" s="445" t="s">
        <v>343</v>
      </c>
      <c r="C5" s="445"/>
      <c r="D5" s="435">
        <v>1</v>
      </c>
      <c r="E5" s="442">
        <v>179</v>
      </c>
      <c r="F5" s="436">
        <f>+D5*E5</f>
        <v>179</v>
      </c>
      <c r="G5" s="443">
        <f t="shared" ref="G5:G9" si="0">+F5*0.0725</f>
        <v>12.977499999999999</v>
      </c>
      <c r="H5" s="441"/>
      <c r="J5" s="898" t="s">
        <v>2</v>
      </c>
      <c r="K5" s="898" t="str">
        <f>IF(Profit!Q6,IF(L5,"Yes","No"),"No")</f>
        <v>No</v>
      </c>
      <c r="L5" s="902" t="b">
        <v>0</v>
      </c>
    </row>
    <row r="6" spans="1:12" ht="15.75" thickBot="1" x14ac:dyDescent="0.3">
      <c r="B6" s="445" t="s">
        <v>642</v>
      </c>
      <c r="C6" s="445"/>
      <c r="D6" s="435">
        <v>1</v>
      </c>
      <c r="E6" s="442">
        <v>53.98</v>
      </c>
      <c r="F6" s="436">
        <f>+D6*E6</f>
        <v>53.98</v>
      </c>
      <c r="G6" s="443">
        <f t="shared" si="0"/>
        <v>3.9135499999999994</v>
      </c>
      <c r="H6" s="441"/>
      <c r="J6" s="899"/>
      <c r="K6" s="899"/>
      <c r="L6" s="903"/>
    </row>
    <row r="7" spans="1:12" x14ac:dyDescent="0.25">
      <c r="B7" s="445" t="s">
        <v>291</v>
      </c>
      <c r="C7" s="445"/>
      <c r="D7" s="435">
        <v>2</v>
      </c>
      <c r="E7" s="442">
        <v>15.47</v>
      </c>
      <c r="F7" s="436">
        <f>+D7*E7</f>
        <v>30.94</v>
      </c>
      <c r="G7" s="443">
        <f t="shared" si="0"/>
        <v>2.24315</v>
      </c>
      <c r="H7" s="441"/>
    </row>
    <row r="8" spans="1:12" x14ac:dyDescent="0.25">
      <c r="B8" s="445" t="s">
        <v>643</v>
      </c>
      <c r="C8" s="445"/>
      <c r="D8" s="435">
        <v>5</v>
      </c>
      <c r="E8" s="442">
        <v>39.979999999999997</v>
      </c>
      <c r="F8" s="436">
        <v>0</v>
      </c>
      <c r="G8" s="443">
        <f t="shared" si="0"/>
        <v>0</v>
      </c>
      <c r="H8" s="441"/>
    </row>
    <row r="9" spans="1:12" ht="15.75" thickBot="1" x14ac:dyDescent="0.3">
      <c r="B9" s="445" t="s">
        <v>340</v>
      </c>
      <c r="C9" s="445">
        <v>732291231619</v>
      </c>
      <c r="D9" s="435">
        <v>3</v>
      </c>
      <c r="E9" s="442">
        <v>99</v>
      </c>
      <c r="F9" s="444">
        <f>+D9*E9</f>
        <v>297</v>
      </c>
      <c r="G9" s="444">
        <f t="shared" si="0"/>
        <v>21.532499999999999</v>
      </c>
      <c r="H9" s="444"/>
    </row>
    <row r="10" spans="1:12" x14ac:dyDescent="0.25">
      <c r="B10" s="445"/>
      <c r="C10" s="445"/>
      <c r="D10" s="435"/>
      <c r="E10" s="442"/>
      <c r="F10" s="436"/>
      <c r="G10" s="436"/>
      <c r="H10" s="436">
        <f>IF(K5="Yes",+SUM(F5:F9)+SUM(G5:G9),0)</f>
        <v>0</v>
      </c>
    </row>
    <row r="11" spans="1:12" x14ac:dyDescent="0.25">
      <c r="B11" s="264"/>
      <c r="C11" s="264"/>
      <c r="D11" s="262"/>
      <c r="E11" s="249"/>
      <c r="G11" s="26"/>
      <c r="H11" s="13"/>
    </row>
    <row r="12" spans="1:12" x14ac:dyDescent="0.25">
      <c r="B12" s="264"/>
      <c r="C12" s="264"/>
      <c r="D12" s="262"/>
      <c r="E12" s="249"/>
      <c r="G12" s="26"/>
      <c r="H12" s="13"/>
    </row>
    <row r="13" spans="1:12" x14ac:dyDescent="0.25">
      <c r="B13" s="264" t="s">
        <v>873</v>
      </c>
      <c r="C13" s="264" t="s">
        <v>874</v>
      </c>
      <c r="D13" s="262">
        <v>2</v>
      </c>
      <c r="E13" s="249">
        <v>28.12</v>
      </c>
      <c r="F13" s="14">
        <f>+D13*E13</f>
        <v>56.24</v>
      </c>
      <c r="G13" s="26">
        <f t="shared" ref="G13:G30" si="1">+F13*0.0725</f>
        <v>4.0773999999999999</v>
      </c>
      <c r="H13" s="13"/>
    </row>
    <row r="14" spans="1:12" x14ac:dyDescent="0.25">
      <c r="B14" s="264" t="s">
        <v>858</v>
      </c>
      <c r="C14" s="264" t="s">
        <v>859</v>
      </c>
      <c r="D14" s="262">
        <v>1</v>
      </c>
      <c r="E14" s="249">
        <v>48.58</v>
      </c>
      <c r="F14" s="14">
        <f>+D14*E14</f>
        <v>48.58</v>
      </c>
      <c r="G14" s="26">
        <f t="shared" si="1"/>
        <v>3.5220499999999997</v>
      </c>
    </row>
    <row r="15" spans="1:12" x14ac:dyDescent="0.25">
      <c r="B15" s="264" t="s">
        <v>869</v>
      </c>
      <c r="C15" s="264" t="s">
        <v>870</v>
      </c>
      <c r="D15" s="262">
        <v>1</v>
      </c>
      <c r="E15" s="249">
        <v>35.229999999999997</v>
      </c>
      <c r="F15" s="14">
        <f>+D15*E15</f>
        <v>35.229999999999997</v>
      </c>
      <c r="G15" s="26">
        <f t="shared" si="1"/>
        <v>2.5541749999999994</v>
      </c>
    </row>
    <row r="16" spans="1:12" x14ac:dyDescent="0.25">
      <c r="B16" s="264" t="s">
        <v>871</v>
      </c>
      <c r="C16" s="264" t="s">
        <v>872</v>
      </c>
      <c r="D16" s="262">
        <v>1</v>
      </c>
      <c r="E16" s="249">
        <v>6.33</v>
      </c>
      <c r="F16" s="14">
        <f>+D16*E16</f>
        <v>6.33</v>
      </c>
      <c r="G16" s="26">
        <f t="shared" si="1"/>
        <v>0.45892499999999997</v>
      </c>
    </row>
    <row r="17" spans="1:11" x14ac:dyDescent="0.25">
      <c r="B17" s="264" t="s">
        <v>337</v>
      </c>
      <c r="C17" s="264">
        <v>1233228</v>
      </c>
      <c r="D17" s="262">
        <v>0</v>
      </c>
      <c r="E17" s="249">
        <v>39.979999999999997</v>
      </c>
      <c r="F17" s="14">
        <v>0</v>
      </c>
      <c r="G17" s="26">
        <f t="shared" si="1"/>
        <v>0</v>
      </c>
    </row>
    <row r="18" spans="1:11" x14ac:dyDescent="0.25">
      <c r="B18" s="264" t="s">
        <v>338</v>
      </c>
      <c r="C18" s="264" t="s">
        <v>151</v>
      </c>
      <c r="D18" s="262">
        <v>0</v>
      </c>
      <c r="E18" s="249">
        <v>6.99</v>
      </c>
      <c r="F18" s="14">
        <f t="shared" ref="F18:F29" si="2">+D18*E18</f>
        <v>0</v>
      </c>
      <c r="G18" s="26">
        <f t="shared" si="1"/>
        <v>0</v>
      </c>
    </row>
    <row r="19" spans="1:11" x14ac:dyDescent="0.25">
      <c r="B19" s="264" t="s">
        <v>339</v>
      </c>
      <c r="C19" s="264"/>
      <c r="D19" s="262">
        <v>0</v>
      </c>
      <c r="E19" s="249">
        <v>24.4</v>
      </c>
      <c r="F19" s="14">
        <f t="shared" si="2"/>
        <v>0</v>
      </c>
      <c r="G19" s="26">
        <f t="shared" si="1"/>
        <v>0</v>
      </c>
    </row>
    <row r="20" spans="1:11" x14ac:dyDescent="0.25">
      <c r="B20" s="264" t="s">
        <v>340</v>
      </c>
      <c r="C20" s="264" t="s">
        <v>521</v>
      </c>
      <c r="D20" s="262">
        <v>0</v>
      </c>
      <c r="E20" s="249">
        <v>89.1</v>
      </c>
      <c r="F20" s="14">
        <f t="shared" si="2"/>
        <v>0</v>
      </c>
      <c r="G20" s="26">
        <f t="shared" si="1"/>
        <v>0</v>
      </c>
    </row>
    <row r="21" spans="1:11" x14ac:dyDescent="0.25">
      <c r="B21" s="264" t="s">
        <v>341</v>
      </c>
      <c r="C21" s="289">
        <v>26508261804</v>
      </c>
      <c r="D21" s="262">
        <v>0</v>
      </c>
      <c r="E21" s="249">
        <v>114</v>
      </c>
      <c r="F21" s="14">
        <f t="shared" si="2"/>
        <v>0</v>
      </c>
      <c r="G21" s="26">
        <f t="shared" si="1"/>
        <v>0</v>
      </c>
    </row>
    <row r="22" spans="1:11" x14ac:dyDescent="0.25">
      <c r="B22" s="264" t="s">
        <v>291</v>
      </c>
      <c r="C22" s="264">
        <v>6925699939094</v>
      </c>
      <c r="D22" s="262">
        <v>0</v>
      </c>
      <c r="E22" s="249">
        <v>34.979999999999997</v>
      </c>
      <c r="F22" s="14">
        <f t="shared" si="2"/>
        <v>0</v>
      </c>
      <c r="G22" s="26">
        <f t="shared" si="1"/>
        <v>0</v>
      </c>
    </row>
    <row r="23" spans="1:11" x14ac:dyDescent="0.25">
      <c r="B23" s="264" t="s">
        <v>342</v>
      </c>
      <c r="C23" s="264"/>
      <c r="D23" s="262">
        <v>0</v>
      </c>
      <c r="E23" s="249"/>
      <c r="F23" s="14">
        <f t="shared" si="2"/>
        <v>0</v>
      </c>
      <c r="G23" s="26">
        <f t="shared" si="1"/>
        <v>0</v>
      </c>
    </row>
    <row r="24" spans="1:11" x14ac:dyDescent="0.25">
      <c r="B24" s="264" t="s">
        <v>343</v>
      </c>
      <c r="C24" s="264">
        <v>38877656754</v>
      </c>
      <c r="D24" s="262">
        <v>0</v>
      </c>
      <c r="E24" s="249">
        <v>169</v>
      </c>
      <c r="F24" s="14">
        <f t="shared" si="2"/>
        <v>0</v>
      </c>
      <c r="G24" s="26">
        <f t="shared" si="1"/>
        <v>0</v>
      </c>
    </row>
    <row r="25" spans="1:11" x14ac:dyDescent="0.25">
      <c r="B25" s="264" t="s">
        <v>340</v>
      </c>
      <c r="C25" s="264" t="s">
        <v>843</v>
      </c>
      <c r="D25" s="262">
        <v>1</v>
      </c>
      <c r="E25" s="249">
        <v>89.1</v>
      </c>
      <c r="F25" s="14">
        <f t="shared" si="2"/>
        <v>89.1</v>
      </c>
      <c r="G25" s="26">
        <f t="shared" si="1"/>
        <v>6.4597499999999988</v>
      </c>
    </row>
    <row r="26" spans="1:11" x14ac:dyDescent="0.25">
      <c r="B26" s="264" t="s">
        <v>344</v>
      </c>
      <c r="C26" s="264"/>
      <c r="D26" s="262">
        <v>0</v>
      </c>
      <c r="E26" s="249">
        <v>-29.7</v>
      </c>
      <c r="F26" s="14">
        <f t="shared" si="2"/>
        <v>0</v>
      </c>
      <c r="G26" s="26">
        <f t="shared" si="1"/>
        <v>0</v>
      </c>
    </row>
    <row r="27" spans="1:11" x14ac:dyDescent="0.25">
      <c r="A27" s="12">
        <v>45845</v>
      </c>
      <c r="B27" s="264" t="s">
        <v>905</v>
      </c>
      <c r="C27" s="542">
        <v>45845</v>
      </c>
      <c r="D27" s="262">
        <v>1</v>
      </c>
      <c r="E27" s="249">
        <v>1299.33</v>
      </c>
      <c r="F27" s="14">
        <f t="shared" si="2"/>
        <v>1299.33</v>
      </c>
      <c r="G27" s="26" t="s">
        <v>151</v>
      </c>
    </row>
    <row r="28" spans="1:11" x14ac:dyDescent="0.25">
      <c r="A28" s="12">
        <v>45845</v>
      </c>
      <c r="B28" s="264" t="s">
        <v>925</v>
      </c>
      <c r="C28" s="542">
        <v>45845</v>
      </c>
      <c r="D28" s="262">
        <v>1</v>
      </c>
      <c r="E28" s="249">
        <v>125</v>
      </c>
      <c r="F28" s="14">
        <f t="shared" si="2"/>
        <v>125</v>
      </c>
      <c r="G28" s="26">
        <f t="shared" si="1"/>
        <v>9.0625</v>
      </c>
    </row>
    <row r="29" spans="1:11" x14ac:dyDescent="0.25">
      <c r="B29" s="264"/>
      <c r="C29" s="264"/>
      <c r="D29" s="262"/>
      <c r="E29" s="249"/>
      <c r="F29" s="14">
        <f t="shared" si="2"/>
        <v>0</v>
      </c>
      <c r="G29" s="26">
        <f t="shared" si="1"/>
        <v>0</v>
      </c>
    </row>
    <row r="30" spans="1:11" ht="15.75" thickBot="1" x14ac:dyDescent="0.3">
      <c r="B30" s="264"/>
      <c r="C30" s="264"/>
      <c r="D30" s="262"/>
      <c r="E30" s="24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345</v>
      </c>
      <c r="B1" s="32"/>
      <c r="C1" s="32"/>
    </row>
    <row r="2" spans="1:13" x14ac:dyDescent="0.25">
      <c r="D2" s="3"/>
      <c r="E2" s="8"/>
      <c r="F2" s="13"/>
      <c r="G2" s="13"/>
      <c r="H2" s="13"/>
      <c r="K2" s="898" t="s">
        <v>2</v>
      </c>
      <c r="L2" s="898" t="str">
        <f>IF(Profit!Q6,IF(M2,"Yes","No"),"No")</f>
        <v>No</v>
      </c>
      <c r="M2" s="902" t="b">
        <v>1</v>
      </c>
    </row>
    <row r="3" spans="1:13" s="22" customFormat="1" ht="14.25" customHeight="1" thickBot="1" x14ac:dyDescent="0.3">
      <c r="A3" s="3" t="s">
        <v>211</v>
      </c>
      <c r="B3" s="3" t="s">
        <v>256</v>
      </c>
      <c r="C3" s="3" t="s">
        <v>324</v>
      </c>
      <c r="D3" s="3" t="s">
        <v>268</v>
      </c>
      <c r="E3" s="8" t="s">
        <v>269</v>
      </c>
      <c r="F3" s="13" t="s">
        <v>270</v>
      </c>
      <c r="G3" s="13"/>
      <c r="H3" s="13" t="s">
        <v>271</v>
      </c>
      <c r="K3" s="899"/>
      <c r="L3" s="899"/>
      <c r="M3" s="903"/>
    </row>
    <row r="4" spans="1:13" s="22" customFormat="1" ht="14.25" customHeight="1" x14ac:dyDescent="0.25">
      <c r="A4" s="3"/>
      <c r="B4" s="3"/>
      <c r="C4" s="3"/>
      <c r="D4" s="3"/>
      <c r="E4" s="8"/>
      <c r="F4" s="13"/>
      <c r="G4" s="13"/>
      <c r="H4" s="13"/>
      <c r="K4"/>
      <c r="L4"/>
      <c r="M4"/>
    </row>
    <row r="5" spans="1:13" s="22" customFormat="1" ht="14.25" customHeight="1" x14ac:dyDescent="0.25">
      <c r="A5" s="3"/>
      <c r="B5" s="473"/>
      <c r="C5" s="3"/>
      <c r="D5" s="3" t="s">
        <v>151</v>
      </c>
      <c r="E5" s="8" t="s">
        <v>151</v>
      </c>
      <c r="F5" s="14" t="s">
        <v>151</v>
      </c>
      <c r="G5" s="14"/>
      <c r="H5" s="13"/>
      <c r="K5"/>
      <c r="L5"/>
      <c r="M5"/>
    </row>
    <row r="6" spans="1:13" s="22" customFormat="1" ht="14.25" customHeight="1" x14ac:dyDescent="0.25">
      <c r="A6" s="3" t="s">
        <v>850</v>
      </c>
      <c r="B6" s="3" t="s">
        <v>851</v>
      </c>
      <c r="C6" s="3"/>
      <c r="D6" s="3">
        <v>6</v>
      </c>
      <c r="E6" s="8">
        <v>8.91</v>
      </c>
      <c r="F6" s="14">
        <f t="shared" ref="F6:F18" si="0">+D6*E6</f>
        <v>53.46</v>
      </c>
      <c r="G6" s="14">
        <f>+F6*0.0725</f>
        <v>3.8758499999999998</v>
      </c>
      <c r="H6" s="13"/>
      <c r="K6"/>
      <c r="L6"/>
      <c r="M6"/>
    </row>
    <row r="7" spans="1:13" ht="14.25" customHeight="1" x14ac:dyDescent="0.25">
      <c r="A7" s="32" t="s">
        <v>346</v>
      </c>
      <c r="B7" s="32"/>
      <c r="C7" s="32">
        <v>935605</v>
      </c>
      <c r="D7" s="264">
        <v>0</v>
      </c>
      <c r="E7" s="249">
        <v>209</v>
      </c>
      <c r="F7" s="14">
        <f t="shared" si="0"/>
        <v>0</v>
      </c>
      <c r="G7" s="14">
        <f t="shared" ref="G7:G37" si="1">+F7*0.0725</f>
        <v>0</v>
      </c>
      <c r="H7" s="13"/>
    </row>
    <row r="8" spans="1:13" ht="14.25" customHeight="1" x14ac:dyDescent="0.25">
      <c r="A8" s="32" t="s">
        <v>897</v>
      </c>
      <c r="B8" s="32" t="s">
        <v>896</v>
      </c>
      <c r="C8" s="32" t="s">
        <v>151</v>
      </c>
      <c r="D8" s="264">
        <v>1</v>
      </c>
      <c r="E8" s="249">
        <v>5.68</v>
      </c>
      <c r="F8" s="14">
        <f t="shared" si="0"/>
        <v>5.68</v>
      </c>
      <c r="G8" s="14">
        <f t="shared" si="1"/>
        <v>0.41179999999999994</v>
      </c>
      <c r="H8" s="13"/>
    </row>
    <row r="9" spans="1:13" ht="14.25" customHeight="1" x14ac:dyDescent="0.25">
      <c r="A9" s="32" t="s">
        <v>895</v>
      </c>
      <c r="B9" s="32" t="s">
        <v>857</v>
      </c>
      <c r="C9" s="32" t="s">
        <v>151</v>
      </c>
      <c r="D9" s="264">
        <v>1</v>
      </c>
      <c r="E9" s="249">
        <v>47.48</v>
      </c>
      <c r="F9" s="14">
        <f>+D9*E9</f>
        <v>47.48</v>
      </c>
      <c r="G9" s="14">
        <f t="shared" si="1"/>
        <v>3.4422999999999995</v>
      </c>
      <c r="H9" s="13"/>
    </row>
    <row r="10" spans="1:13" ht="14.25" customHeight="1" x14ac:dyDescent="0.25">
      <c r="A10" s="32" t="s">
        <v>893</v>
      </c>
      <c r="B10" s="32" t="s">
        <v>894</v>
      </c>
      <c r="C10" s="32" t="s">
        <v>151</v>
      </c>
      <c r="D10" s="262">
        <v>1</v>
      </c>
      <c r="E10" s="249">
        <v>74.08</v>
      </c>
      <c r="F10" s="14">
        <f t="shared" si="0"/>
        <v>74.08</v>
      </c>
      <c r="G10" s="14">
        <f t="shared" si="1"/>
        <v>5.3707999999999991</v>
      </c>
    </row>
    <row r="11" spans="1:13" ht="14.25" customHeight="1" x14ac:dyDescent="0.25">
      <c r="A11" s="32" t="s">
        <v>891</v>
      </c>
      <c r="B11" s="32" t="s">
        <v>892</v>
      </c>
      <c r="C11" s="32" t="s">
        <v>151</v>
      </c>
      <c r="D11" s="262">
        <v>1</v>
      </c>
      <c r="E11" s="249">
        <v>47.96</v>
      </c>
      <c r="F11" s="14">
        <f t="shared" si="0"/>
        <v>47.96</v>
      </c>
      <c r="G11" s="14">
        <f t="shared" si="1"/>
        <v>3.4770999999999996</v>
      </c>
    </row>
    <row r="12" spans="1:13" ht="14.25" customHeight="1" x14ac:dyDescent="0.25">
      <c r="A12" s="32" t="s">
        <v>867</v>
      </c>
      <c r="B12" s="32" t="s">
        <v>868</v>
      </c>
      <c r="C12" s="32" t="s">
        <v>151</v>
      </c>
      <c r="D12" s="262">
        <v>1</v>
      </c>
      <c r="E12" s="249">
        <v>104.72</v>
      </c>
      <c r="F12" s="14">
        <f>+D12*E12</f>
        <v>104.72</v>
      </c>
      <c r="G12" s="14">
        <f t="shared" si="1"/>
        <v>7.5921999999999992</v>
      </c>
    </row>
    <row r="13" spans="1:13" ht="14.25" customHeight="1" x14ac:dyDescent="0.25">
      <c r="A13" s="32" t="s">
        <v>865</v>
      </c>
      <c r="B13" s="32" t="s">
        <v>866</v>
      </c>
      <c r="C13" s="32" t="s">
        <v>151</v>
      </c>
      <c r="D13" s="262">
        <v>1</v>
      </c>
      <c r="E13" s="249">
        <v>103.04</v>
      </c>
      <c r="F13" s="14">
        <f t="shared" si="0"/>
        <v>103.04</v>
      </c>
      <c r="G13" s="14">
        <f t="shared" si="1"/>
        <v>7.4703999999999997</v>
      </c>
    </row>
    <row r="14" spans="1:13" ht="14.25" customHeight="1" x14ac:dyDescent="0.25">
      <c r="A14" s="32" t="s">
        <v>862</v>
      </c>
      <c r="B14" s="32" t="s">
        <v>864</v>
      </c>
      <c r="C14" s="32" t="s">
        <v>151</v>
      </c>
      <c r="D14" s="262">
        <v>2</v>
      </c>
      <c r="E14" s="249">
        <v>18.46</v>
      </c>
      <c r="F14" s="14">
        <f t="shared" si="0"/>
        <v>36.92</v>
      </c>
      <c r="G14" s="14">
        <f t="shared" si="1"/>
        <v>2.6766999999999999</v>
      </c>
    </row>
    <row r="15" spans="1:13" ht="14.25" customHeight="1" x14ac:dyDescent="0.25">
      <c r="A15" s="32" t="s">
        <v>862</v>
      </c>
      <c r="B15" s="32" t="s">
        <v>863</v>
      </c>
      <c r="C15" s="32" t="s">
        <v>151</v>
      </c>
      <c r="D15" s="262">
        <v>2</v>
      </c>
      <c r="E15" s="249">
        <v>14.5</v>
      </c>
      <c r="F15" s="14">
        <f t="shared" si="0"/>
        <v>29</v>
      </c>
      <c r="G15" s="14">
        <f t="shared" si="1"/>
        <v>2.1025</v>
      </c>
    </row>
    <row r="16" spans="1:13" ht="14.25" customHeight="1" x14ac:dyDescent="0.25">
      <c r="A16" s="32" t="s">
        <v>856</v>
      </c>
      <c r="B16" s="32" t="s">
        <v>857</v>
      </c>
      <c r="C16" s="32" t="s">
        <v>151</v>
      </c>
      <c r="D16" s="262">
        <v>1</v>
      </c>
      <c r="E16" s="249">
        <v>44.98</v>
      </c>
      <c r="F16" s="14">
        <f t="shared" si="0"/>
        <v>44.98</v>
      </c>
      <c r="G16" s="14">
        <f t="shared" si="1"/>
        <v>3.2610499999999996</v>
      </c>
    </row>
    <row r="17" spans="1:7" ht="14.25" customHeight="1" x14ac:dyDescent="0.25">
      <c r="A17" s="32" t="s">
        <v>854</v>
      </c>
      <c r="B17" s="32" t="s">
        <v>855</v>
      </c>
      <c r="C17" s="32"/>
      <c r="D17" s="262">
        <v>1</v>
      </c>
      <c r="E17" s="249">
        <v>66.599999999999994</v>
      </c>
      <c r="F17" s="14">
        <f t="shared" si="0"/>
        <v>66.599999999999994</v>
      </c>
      <c r="G17" s="14">
        <f t="shared" si="1"/>
        <v>4.8284999999999991</v>
      </c>
    </row>
    <row r="18" spans="1:7" ht="14.25" customHeight="1" x14ac:dyDescent="0.25">
      <c r="A18" s="32" t="s">
        <v>853</v>
      </c>
      <c r="B18" s="32" t="s">
        <v>852</v>
      </c>
      <c r="C18" s="32" t="s">
        <v>151</v>
      </c>
      <c r="D18" s="262">
        <v>2</v>
      </c>
      <c r="E18" s="249">
        <v>16.809999999999999</v>
      </c>
      <c r="F18" s="14">
        <f t="shared" si="0"/>
        <v>33.619999999999997</v>
      </c>
      <c r="G18" s="14">
        <f t="shared" si="1"/>
        <v>2.4374499999999997</v>
      </c>
    </row>
    <row r="19" spans="1:7" ht="14.25" customHeight="1" x14ac:dyDescent="0.25">
      <c r="A19" s="326" t="s">
        <v>550</v>
      </c>
      <c r="B19" s="326"/>
      <c r="C19" s="326">
        <v>25598</v>
      </c>
      <c r="D19" s="262">
        <v>0</v>
      </c>
      <c r="E19" s="249">
        <v>101</v>
      </c>
      <c r="F19" s="14">
        <f t="shared" ref="F19:F37" si="2">+D19*E19</f>
        <v>0</v>
      </c>
      <c r="G19" s="14">
        <f t="shared" si="1"/>
        <v>0</v>
      </c>
    </row>
    <row r="20" spans="1:7" ht="14.25" customHeight="1" x14ac:dyDescent="0.25">
      <c r="A20" s="326" t="s">
        <v>520</v>
      </c>
      <c r="B20" s="326"/>
      <c r="C20" s="326">
        <v>30151125574</v>
      </c>
      <c r="D20" s="262">
        <v>0</v>
      </c>
      <c r="E20" s="249">
        <v>91.46</v>
      </c>
      <c r="F20" s="14">
        <f t="shared" si="2"/>
        <v>0</v>
      </c>
      <c r="G20" s="14">
        <f t="shared" si="1"/>
        <v>0</v>
      </c>
    </row>
    <row r="21" spans="1:7" ht="14.25" customHeight="1" x14ac:dyDescent="0.25">
      <c r="A21" s="32" t="s">
        <v>347</v>
      </c>
      <c r="B21" s="32"/>
      <c r="C21" s="32"/>
      <c r="D21" s="262">
        <v>0</v>
      </c>
      <c r="E21" s="249">
        <v>284.56</v>
      </c>
      <c r="F21" s="14">
        <f t="shared" si="2"/>
        <v>0</v>
      </c>
      <c r="G21" s="14">
        <f t="shared" si="1"/>
        <v>0</v>
      </c>
    </row>
    <row r="22" spans="1:7" ht="14.25" customHeight="1" x14ac:dyDescent="0.25">
      <c r="A22" s="32" t="s">
        <v>348</v>
      </c>
      <c r="B22" s="32"/>
      <c r="C22" s="32">
        <v>72904</v>
      </c>
      <c r="D22" s="262">
        <v>0</v>
      </c>
      <c r="E22" s="249">
        <v>429.62</v>
      </c>
      <c r="F22" s="14">
        <f>+D22*E22</f>
        <v>0</v>
      </c>
      <c r="G22" s="14">
        <f t="shared" si="1"/>
        <v>0</v>
      </c>
    </row>
    <row r="23" spans="1:7" ht="14.25" customHeight="1" x14ac:dyDescent="0.25">
      <c r="A23" s="32" t="s">
        <v>349</v>
      </c>
      <c r="B23" s="32"/>
      <c r="C23" s="32" t="s">
        <v>564</v>
      </c>
      <c r="D23" s="262">
        <v>0</v>
      </c>
      <c r="E23" s="249">
        <v>8.77</v>
      </c>
      <c r="F23" s="14">
        <f t="shared" si="2"/>
        <v>0</v>
      </c>
      <c r="G23" s="14">
        <f t="shared" si="1"/>
        <v>0</v>
      </c>
    </row>
    <row r="24" spans="1:7" ht="14.25" customHeight="1" x14ac:dyDescent="0.25">
      <c r="A24" s="326" t="s">
        <v>561</v>
      </c>
      <c r="B24" s="326"/>
      <c r="C24" s="326" t="s">
        <v>566</v>
      </c>
      <c r="D24" s="262">
        <v>0</v>
      </c>
      <c r="E24" s="249">
        <v>18.88</v>
      </c>
      <c r="F24" s="14">
        <f t="shared" si="2"/>
        <v>0</v>
      </c>
      <c r="G24" s="14">
        <f t="shared" si="1"/>
        <v>0</v>
      </c>
    </row>
    <row r="25" spans="1:7" ht="14.25" customHeight="1" x14ac:dyDescent="0.25">
      <c r="A25" s="326" t="s">
        <v>562</v>
      </c>
      <c r="B25" s="326"/>
      <c r="C25" s="326" t="s">
        <v>565</v>
      </c>
      <c r="D25" s="262">
        <v>0</v>
      </c>
      <c r="E25" s="249">
        <v>47.14</v>
      </c>
      <c r="F25" s="14">
        <f t="shared" si="2"/>
        <v>0</v>
      </c>
      <c r="G25" s="14">
        <f t="shared" si="1"/>
        <v>0</v>
      </c>
    </row>
    <row r="26" spans="1:7" ht="14.25" customHeight="1" x14ac:dyDescent="0.25">
      <c r="A26" s="326" t="s">
        <v>562</v>
      </c>
      <c r="B26" s="326"/>
      <c r="C26" s="326" t="s">
        <v>563</v>
      </c>
      <c r="D26" s="262">
        <v>0</v>
      </c>
      <c r="E26" s="249">
        <v>27.73</v>
      </c>
      <c r="F26" s="14">
        <f t="shared" si="2"/>
        <v>0</v>
      </c>
      <c r="G26" s="14">
        <f t="shared" si="1"/>
        <v>0</v>
      </c>
    </row>
    <row r="27" spans="1:7" ht="14.25" customHeight="1" x14ac:dyDescent="0.25">
      <c r="A27" s="32" t="s">
        <v>350</v>
      </c>
      <c r="B27" s="32"/>
      <c r="C27" s="32">
        <v>5279793</v>
      </c>
      <c r="D27" s="262">
        <v>1</v>
      </c>
      <c r="E27" s="249">
        <v>66.48</v>
      </c>
      <c r="F27" s="14">
        <f t="shared" si="2"/>
        <v>66.48</v>
      </c>
      <c r="G27" s="14">
        <f t="shared" si="1"/>
        <v>4.8197999999999999</v>
      </c>
    </row>
    <row r="28" spans="1:7" ht="14.25" customHeight="1" x14ac:dyDescent="0.25">
      <c r="A28" s="32" t="s">
        <v>351</v>
      </c>
      <c r="B28" s="32"/>
      <c r="C28" s="32">
        <v>287027</v>
      </c>
      <c r="D28" s="262">
        <v>0</v>
      </c>
      <c r="E28" s="249">
        <v>50.48</v>
      </c>
      <c r="F28" s="14">
        <f t="shared" si="2"/>
        <v>0</v>
      </c>
      <c r="G28" s="14">
        <f t="shared" si="1"/>
        <v>0</v>
      </c>
    </row>
    <row r="29" spans="1:7" ht="14.25" customHeight="1" x14ac:dyDescent="0.25">
      <c r="A29" s="32" t="s">
        <v>846</v>
      </c>
      <c r="B29" s="32" t="s">
        <v>847</v>
      </c>
      <c r="C29" s="32"/>
      <c r="D29" s="262">
        <v>8</v>
      </c>
      <c r="E29" s="249">
        <v>16.32</v>
      </c>
      <c r="F29" s="14">
        <f t="shared" si="2"/>
        <v>130.56</v>
      </c>
      <c r="G29" s="14">
        <f t="shared" si="1"/>
        <v>9.4656000000000002</v>
      </c>
    </row>
    <row r="30" spans="1:7" ht="14.25" customHeight="1" x14ac:dyDescent="0.25">
      <c r="A30" s="32" t="s">
        <v>352</v>
      </c>
      <c r="B30" s="32"/>
      <c r="C30" s="32" t="s">
        <v>548</v>
      </c>
      <c r="D30" s="262">
        <v>0</v>
      </c>
      <c r="E30" s="249">
        <v>69.97</v>
      </c>
      <c r="F30" s="14">
        <f t="shared" si="2"/>
        <v>0</v>
      </c>
      <c r="G30" s="14">
        <f t="shared" si="1"/>
        <v>0</v>
      </c>
    </row>
    <row r="31" spans="1:7" ht="14.25" customHeight="1" x14ac:dyDescent="0.25">
      <c r="A31" s="32" t="s">
        <v>353</v>
      </c>
      <c r="B31" s="32" t="s">
        <v>842</v>
      </c>
      <c r="C31" s="32" t="s">
        <v>151</v>
      </c>
      <c r="D31" s="262">
        <v>2</v>
      </c>
      <c r="E31" s="249">
        <v>95.68</v>
      </c>
      <c r="F31" s="14">
        <f t="shared" si="2"/>
        <v>191.36</v>
      </c>
      <c r="G31" s="14">
        <f t="shared" si="1"/>
        <v>13.8736</v>
      </c>
    </row>
    <row r="32" spans="1:7" ht="14.25" customHeight="1" x14ac:dyDescent="0.25">
      <c r="A32" s="32" t="s">
        <v>354</v>
      </c>
      <c r="B32" s="32"/>
      <c r="C32" s="32" t="s">
        <v>355</v>
      </c>
      <c r="D32" s="262">
        <v>0</v>
      </c>
      <c r="E32" s="249">
        <v>12.97</v>
      </c>
      <c r="F32" s="14">
        <f t="shared" si="2"/>
        <v>0</v>
      </c>
      <c r="G32" s="14">
        <f t="shared" si="1"/>
        <v>0</v>
      </c>
    </row>
    <row r="33" spans="1:11" ht="14.25" customHeight="1" x14ac:dyDescent="0.25">
      <c r="A33" s="32" t="s">
        <v>356</v>
      </c>
      <c r="B33" s="32"/>
      <c r="C33" s="32"/>
      <c r="D33" s="262"/>
      <c r="E33" s="249"/>
      <c r="F33" s="14">
        <f t="shared" si="2"/>
        <v>0</v>
      </c>
      <c r="G33" s="14">
        <f t="shared" si="1"/>
        <v>0</v>
      </c>
    </row>
    <row r="34" spans="1:11" ht="14.25" customHeight="1" x14ac:dyDescent="0.25">
      <c r="A34" s="32" t="s">
        <v>357</v>
      </c>
      <c r="B34" s="32"/>
      <c r="C34" s="32">
        <v>30699285174</v>
      </c>
      <c r="D34" s="262">
        <v>0</v>
      </c>
      <c r="E34" s="249">
        <v>12.93</v>
      </c>
      <c r="F34" s="14">
        <f t="shared" si="2"/>
        <v>0</v>
      </c>
      <c r="G34" s="14">
        <f t="shared" si="1"/>
        <v>0</v>
      </c>
    </row>
    <row r="35" spans="1:11" ht="14.25" customHeight="1" x14ac:dyDescent="0.25">
      <c r="A35" s="32" t="s">
        <v>358</v>
      </c>
      <c r="B35" s="32"/>
      <c r="C35" s="290">
        <v>883351469845</v>
      </c>
      <c r="D35" s="262">
        <v>0</v>
      </c>
      <c r="E35" s="249">
        <v>47.97</v>
      </c>
      <c r="F35" s="14">
        <f t="shared" si="2"/>
        <v>0</v>
      </c>
      <c r="G35" s="14">
        <f t="shared" si="1"/>
        <v>0</v>
      </c>
    </row>
    <row r="36" spans="1:11" ht="14.25" customHeight="1" x14ac:dyDescent="0.25">
      <c r="A36" s="32" t="s">
        <v>359</v>
      </c>
      <c r="B36" s="32"/>
      <c r="C36" s="290">
        <v>883351891448</v>
      </c>
      <c r="D36" s="262">
        <v>0</v>
      </c>
      <c r="E36" s="249">
        <v>77.569999999999993</v>
      </c>
      <c r="F36" s="14">
        <f t="shared" si="2"/>
        <v>0</v>
      </c>
      <c r="G36" s="14">
        <f t="shared" si="1"/>
        <v>0</v>
      </c>
    </row>
    <row r="37" spans="1:11" ht="14.25" customHeight="1" thickBot="1" x14ac:dyDescent="0.3">
      <c r="A37" s="32" t="s">
        <v>360</v>
      </c>
      <c r="B37" s="32"/>
      <c r="C37" s="290">
        <v>883351396332</v>
      </c>
      <c r="D37" s="262">
        <v>0</v>
      </c>
      <c r="E37" s="249">
        <v>139</v>
      </c>
      <c r="F37" s="14">
        <f t="shared" si="2"/>
        <v>0</v>
      </c>
      <c r="G37" s="14">
        <f t="shared" si="1"/>
        <v>0</v>
      </c>
      <c r="H37" s="21"/>
    </row>
    <row r="38" spans="1:11" ht="14.25" customHeight="1" x14ac:dyDescent="0.25">
      <c r="A38" s="32"/>
      <c r="B38" s="32"/>
      <c r="C38" s="290"/>
      <c r="D38" s="292"/>
      <c r="E38" s="29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361</v>
      </c>
      <c r="B1" s="3"/>
    </row>
    <row r="2" spans="1:12" x14ac:dyDescent="0.25">
      <c r="C2" s="3"/>
      <c r="D2" s="8"/>
      <c r="E2" s="13"/>
      <c r="F2" s="13"/>
      <c r="G2" s="13"/>
      <c r="J2" s="898" t="s">
        <v>2</v>
      </c>
      <c r="K2" s="898" t="str">
        <f>IF(Profit!Q6,IF(L2,"Yes","No"),"No")</f>
        <v>No</v>
      </c>
      <c r="L2" s="902" t="b">
        <v>1</v>
      </c>
    </row>
    <row r="3" spans="1:12" ht="15.75" thickBot="1" x14ac:dyDescent="0.3">
      <c r="A3" s="31" t="s">
        <v>211</v>
      </c>
      <c r="B3" s="31" t="s">
        <v>324</v>
      </c>
      <c r="C3" s="31" t="s">
        <v>268</v>
      </c>
      <c r="D3" s="268" t="s">
        <v>269</v>
      </c>
      <c r="E3" s="269" t="s">
        <v>270</v>
      </c>
      <c r="F3" s="269" t="s">
        <v>257</v>
      </c>
      <c r="G3" s="269" t="s">
        <v>271</v>
      </c>
      <c r="J3" s="899"/>
      <c r="K3" s="899"/>
      <c r="L3" s="903"/>
    </row>
    <row r="4" spans="1:12" x14ac:dyDescent="0.25">
      <c r="A4" s="266"/>
      <c r="B4" s="266" t="s">
        <v>362</v>
      </c>
      <c r="C4" s="264">
        <v>0</v>
      </c>
      <c r="D4" s="267">
        <v>154</v>
      </c>
      <c r="E4" s="1">
        <f>C4*D4</f>
        <v>0</v>
      </c>
      <c r="F4" s="26">
        <f t="shared" ref="F4:F22" si="0">+E4*0.0725</f>
        <v>0</v>
      </c>
      <c r="G4" s="13"/>
    </row>
    <row r="5" spans="1:12" x14ac:dyDescent="0.25">
      <c r="A5" s="264" t="s">
        <v>363</v>
      </c>
      <c r="B5" s="264">
        <v>795984</v>
      </c>
      <c r="C5" s="262">
        <v>0</v>
      </c>
      <c r="D5" s="249">
        <v>144</v>
      </c>
      <c r="E5" s="1">
        <f>C5*D5</f>
        <v>0</v>
      </c>
      <c r="F5" s="26">
        <f t="shared" si="0"/>
        <v>0</v>
      </c>
    </row>
    <row r="6" spans="1:12" x14ac:dyDescent="0.25">
      <c r="A6" s="264" t="s">
        <v>364</v>
      </c>
      <c r="B6" s="264" t="s">
        <v>364</v>
      </c>
      <c r="C6" s="262">
        <v>0</v>
      </c>
      <c r="D6" s="249">
        <v>224</v>
      </c>
      <c r="E6" s="1">
        <f t="shared" ref="E6:E22" si="1">C6*D6</f>
        <v>0</v>
      </c>
      <c r="F6" s="26">
        <f t="shared" si="0"/>
        <v>0</v>
      </c>
    </row>
    <row r="7" spans="1:12" x14ac:dyDescent="0.25">
      <c r="A7" s="264" t="s">
        <v>365</v>
      </c>
      <c r="B7" s="264" t="s">
        <v>366</v>
      </c>
      <c r="C7" s="262">
        <v>0</v>
      </c>
      <c r="D7" s="249">
        <v>152</v>
      </c>
      <c r="E7" s="1">
        <f t="shared" si="1"/>
        <v>0</v>
      </c>
      <c r="F7" s="26">
        <f t="shared" si="0"/>
        <v>0</v>
      </c>
    </row>
    <row r="8" spans="1:12" x14ac:dyDescent="0.25">
      <c r="A8" s="264" t="s">
        <v>367</v>
      </c>
      <c r="B8" s="264" t="s">
        <v>368</v>
      </c>
      <c r="C8" s="262">
        <v>0</v>
      </c>
      <c r="D8" s="249">
        <v>50</v>
      </c>
      <c r="E8" s="1">
        <f t="shared" si="1"/>
        <v>0</v>
      </c>
      <c r="F8" s="26">
        <f t="shared" si="0"/>
        <v>0</v>
      </c>
    </row>
    <row r="9" spans="1:12" x14ac:dyDescent="0.25">
      <c r="A9" s="264" t="s">
        <v>369</v>
      </c>
      <c r="B9" s="264" t="s">
        <v>370</v>
      </c>
      <c r="C9" s="262">
        <v>0</v>
      </c>
      <c r="D9" s="249">
        <v>166</v>
      </c>
      <c r="E9" s="1">
        <f t="shared" si="1"/>
        <v>0</v>
      </c>
      <c r="F9" s="26">
        <f t="shared" si="0"/>
        <v>0</v>
      </c>
    </row>
    <row r="10" spans="1:12" x14ac:dyDescent="0.25">
      <c r="A10" s="264" t="s">
        <v>371</v>
      </c>
      <c r="B10" s="264" t="s">
        <v>372</v>
      </c>
      <c r="C10" s="262">
        <v>0</v>
      </c>
      <c r="D10" s="249">
        <v>104</v>
      </c>
      <c r="E10" s="1">
        <f t="shared" si="1"/>
        <v>0</v>
      </c>
      <c r="F10" s="26">
        <f t="shared" si="0"/>
        <v>0</v>
      </c>
    </row>
    <row r="11" spans="1:12" x14ac:dyDescent="0.25">
      <c r="A11" s="264" t="s">
        <v>373</v>
      </c>
      <c r="B11" s="264" t="s">
        <v>374</v>
      </c>
      <c r="C11" s="262">
        <v>0</v>
      </c>
      <c r="D11" s="249">
        <v>81.98</v>
      </c>
      <c r="E11" s="1">
        <f t="shared" si="1"/>
        <v>0</v>
      </c>
      <c r="F11" s="26">
        <f t="shared" si="0"/>
        <v>0</v>
      </c>
    </row>
    <row r="12" spans="1:12" x14ac:dyDescent="0.25">
      <c r="A12" s="264" t="s">
        <v>373</v>
      </c>
      <c r="B12" s="264" t="s">
        <v>375</v>
      </c>
      <c r="C12" s="262">
        <v>0</v>
      </c>
      <c r="D12" s="249">
        <v>143</v>
      </c>
      <c r="E12" s="1">
        <f t="shared" si="1"/>
        <v>0</v>
      </c>
      <c r="F12" s="26">
        <f t="shared" si="0"/>
        <v>0</v>
      </c>
    </row>
    <row r="13" spans="1:12" x14ac:dyDescent="0.25">
      <c r="A13" s="264" t="s">
        <v>373</v>
      </c>
      <c r="B13" s="264" t="s">
        <v>376</v>
      </c>
      <c r="C13" s="262">
        <v>0</v>
      </c>
      <c r="D13" s="249">
        <v>98.98</v>
      </c>
      <c r="E13" s="1">
        <f t="shared" si="1"/>
        <v>0</v>
      </c>
      <c r="F13" s="26">
        <f t="shared" si="0"/>
        <v>0</v>
      </c>
    </row>
    <row r="14" spans="1:12" x14ac:dyDescent="0.25">
      <c r="A14" s="264" t="s">
        <v>377</v>
      </c>
      <c r="B14" s="264" t="s">
        <v>378</v>
      </c>
      <c r="C14" s="262">
        <v>0</v>
      </c>
      <c r="D14" s="249">
        <v>165</v>
      </c>
      <c r="E14" s="1">
        <f t="shared" si="1"/>
        <v>0</v>
      </c>
      <c r="F14" s="26">
        <f t="shared" si="0"/>
        <v>0</v>
      </c>
    </row>
    <row r="15" spans="1:12" x14ac:dyDescent="0.25">
      <c r="A15" s="264" t="s">
        <v>379</v>
      </c>
      <c r="B15" s="264">
        <v>795984</v>
      </c>
      <c r="C15" s="262">
        <v>0</v>
      </c>
      <c r="D15" s="249">
        <v>144</v>
      </c>
      <c r="E15" s="1">
        <f t="shared" si="1"/>
        <v>0</v>
      </c>
      <c r="F15" s="26">
        <f t="shared" si="0"/>
        <v>0</v>
      </c>
    </row>
    <row r="16" spans="1:12" x14ac:dyDescent="0.25">
      <c r="A16" s="264"/>
      <c r="B16" s="264" t="s">
        <v>380</v>
      </c>
      <c r="C16" s="262">
        <v>0</v>
      </c>
      <c r="D16" s="249">
        <v>107</v>
      </c>
      <c r="E16" s="1">
        <f t="shared" si="1"/>
        <v>0</v>
      </c>
      <c r="F16" s="26">
        <f t="shared" si="0"/>
        <v>0</v>
      </c>
    </row>
    <row r="17" spans="1:10" x14ac:dyDescent="0.25">
      <c r="A17" s="264" t="s">
        <v>373</v>
      </c>
      <c r="B17" s="264" t="s">
        <v>381</v>
      </c>
      <c r="C17" s="262">
        <v>0</v>
      </c>
      <c r="D17" s="249">
        <v>112</v>
      </c>
      <c r="E17" s="1">
        <f t="shared" si="1"/>
        <v>0</v>
      </c>
      <c r="F17" s="26">
        <f t="shared" si="0"/>
        <v>0</v>
      </c>
    </row>
    <row r="18" spans="1:10" x14ac:dyDescent="0.25">
      <c r="A18" s="264" t="s">
        <v>382</v>
      </c>
      <c r="B18" s="264" t="s">
        <v>382</v>
      </c>
      <c r="C18" s="262">
        <v>0</v>
      </c>
      <c r="D18" s="249">
        <v>40.96</v>
      </c>
      <c r="E18" s="1">
        <f t="shared" si="1"/>
        <v>0</v>
      </c>
      <c r="F18" s="26">
        <f t="shared" si="0"/>
        <v>0</v>
      </c>
    </row>
    <row r="19" spans="1:10" x14ac:dyDescent="0.25">
      <c r="A19" s="264"/>
      <c r="B19" s="264" t="s">
        <v>383</v>
      </c>
      <c r="C19" s="262">
        <v>0</v>
      </c>
      <c r="D19" s="249">
        <v>18.28</v>
      </c>
      <c r="E19" s="1">
        <f t="shared" si="1"/>
        <v>0</v>
      </c>
      <c r="F19" s="26">
        <f t="shared" si="0"/>
        <v>0</v>
      </c>
    </row>
    <row r="20" spans="1:10" x14ac:dyDescent="0.25">
      <c r="A20" s="264" t="s">
        <v>551</v>
      </c>
      <c r="B20" s="264" t="s">
        <v>552</v>
      </c>
      <c r="C20" s="262">
        <v>0</v>
      </c>
      <c r="D20" s="249">
        <v>13.48</v>
      </c>
      <c r="E20" s="1">
        <f t="shared" si="1"/>
        <v>0</v>
      </c>
      <c r="F20" s="26">
        <f t="shared" si="0"/>
        <v>0</v>
      </c>
    </row>
    <row r="21" spans="1:10" x14ac:dyDescent="0.25">
      <c r="A21" s="264" t="s">
        <v>384</v>
      </c>
      <c r="B21" s="264"/>
      <c r="C21" s="262">
        <v>0</v>
      </c>
      <c r="D21" s="249">
        <v>0</v>
      </c>
      <c r="E21" s="1">
        <f t="shared" si="1"/>
        <v>0</v>
      </c>
      <c r="F21" s="26">
        <f t="shared" si="0"/>
        <v>0</v>
      </c>
    </row>
    <row r="22" spans="1:10" ht="15.75" thickBot="1" x14ac:dyDescent="0.3">
      <c r="A22" s="264" t="s">
        <v>385</v>
      </c>
      <c r="B22" s="264"/>
      <c r="C22" s="262">
        <v>0</v>
      </c>
      <c r="D22" s="249">
        <v>935.09</v>
      </c>
      <c r="E22" s="1">
        <f t="shared" si="1"/>
        <v>0</v>
      </c>
      <c r="F22" s="21">
        <f t="shared" si="0"/>
        <v>0</v>
      </c>
      <c r="G22" s="21"/>
    </row>
    <row r="23" spans="1:10" x14ac:dyDescent="0.25">
      <c r="G23" s="14">
        <f>+SUM(E4:E22)+SUM(F4:F22)</f>
        <v>0</v>
      </c>
      <c r="J23" s="1"/>
    </row>
    <row r="24" spans="1:10" x14ac:dyDescent="0.25">
      <c r="A24" s="32" t="s">
        <v>386</v>
      </c>
    </row>
    <row r="25" spans="1:10" x14ac:dyDescent="0.25">
      <c r="A25" s="3" t="s">
        <v>211</v>
      </c>
      <c r="B25" s="3" t="s">
        <v>324</v>
      </c>
      <c r="C25" s="3" t="s">
        <v>268</v>
      </c>
      <c r="D25" s="8" t="s">
        <v>269</v>
      </c>
      <c r="E25" s="13" t="s">
        <v>270</v>
      </c>
      <c r="F25" s="13"/>
      <c r="G25" s="13" t="s">
        <v>271</v>
      </c>
    </row>
    <row r="26" spans="1:10" x14ac:dyDescent="0.25">
      <c r="A26" s="147"/>
      <c r="B26" s="147" t="s">
        <v>387</v>
      </c>
      <c r="C26" s="262">
        <v>0</v>
      </c>
      <c r="D26" s="249">
        <v>2000</v>
      </c>
      <c r="E26" s="1">
        <f>C26*D26</f>
        <v>0</v>
      </c>
      <c r="F26" s="26">
        <f>+E26*0.0725</f>
        <v>0</v>
      </c>
    </row>
    <row r="27" spans="1:10" x14ac:dyDescent="0.25">
      <c r="A27" s="147"/>
      <c r="B27" s="147" t="s">
        <v>388</v>
      </c>
      <c r="C27" s="262">
        <v>0</v>
      </c>
      <c r="D27" s="249">
        <v>0</v>
      </c>
      <c r="E27" s="1">
        <f>C27*D27</f>
        <v>0</v>
      </c>
      <c r="F27" s="26">
        <f>+E27*0.0725</f>
        <v>0</v>
      </c>
    </row>
    <row r="28" spans="1:10" x14ac:dyDescent="0.25">
      <c r="A28" s="147"/>
      <c r="B28" s="147" t="s">
        <v>389</v>
      </c>
      <c r="C28" s="262">
        <v>0</v>
      </c>
      <c r="D28" s="249">
        <v>0</v>
      </c>
      <c r="E28" s="1">
        <f>C28*D28</f>
        <v>0</v>
      </c>
      <c r="F28" s="26">
        <f>+E28*0.0725</f>
        <v>0</v>
      </c>
    </row>
    <row r="29" spans="1:10" x14ac:dyDescent="0.25">
      <c r="A29" s="28" t="s">
        <v>560</v>
      </c>
      <c r="B29" s="147"/>
      <c r="C29" s="262">
        <v>0</v>
      </c>
      <c r="D29" s="249">
        <v>8800</v>
      </c>
      <c r="E29" s="1">
        <f>C29*D29</f>
        <v>0</v>
      </c>
      <c r="F29" s="26">
        <f>+E29*0.0725</f>
        <v>0</v>
      </c>
    </row>
    <row r="30" spans="1:10" x14ac:dyDescent="0.25">
      <c r="A30" s="147"/>
      <c r="B30" s="147"/>
      <c r="C30" s="262">
        <v>0</v>
      </c>
      <c r="D30" s="24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390</v>
      </c>
    </row>
    <row r="35" spans="1:10" x14ac:dyDescent="0.25">
      <c r="A35" s="3" t="s">
        <v>211</v>
      </c>
      <c r="B35" s="3" t="s">
        <v>324</v>
      </c>
      <c r="C35" s="3" t="s">
        <v>268</v>
      </c>
      <c r="D35" s="8" t="s">
        <v>269</v>
      </c>
      <c r="E35" s="13" t="s">
        <v>270</v>
      </c>
      <c r="F35" s="13"/>
      <c r="G35" s="13" t="s">
        <v>271</v>
      </c>
    </row>
    <row r="36" spans="1:10" x14ac:dyDescent="0.25">
      <c r="A36" s="266" t="s">
        <v>391</v>
      </c>
      <c r="B36" s="266"/>
      <c r="C36" s="266">
        <v>0</v>
      </c>
      <c r="D36" s="267">
        <v>1100</v>
      </c>
      <c r="E36" s="14">
        <f t="shared" ref="E36:E41" si="2">+C36*D36</f>
        <v>0</v>
      </c>
      <c r="F36" s="26">
        <f t="shared" ref="F36:F41" si="3">+E36*0.0725</f>
        <v>0</v>
      </c>
      <c r="G36" s="13"/>
    </row>
    <row r="37" spans="1:10" x14ac:dyDescent="0.25">
      <c r="A37" s="147" t="s">
        <v>392</v>
      </c>
      <c r="B37" s="147">
        <v>400390</v>
      </c>
      <c r="C37" s="262">
        <v>0</v>
      </c>
      <c r="D37" s="249">
        <v>2.0499999999999998</v>
      </c>
      <c r="E37" s="14">
        <f t="shared" si="2"/>
        <v>0</v>
      </c>
      <c r="F37" s="26">
        <f t="shared" si="3"/>
        <v>0</v>
      </c>
    </row>
    <row r="38" spans="1:10" x14ac:dyDescent="0.25">
      <c r="A38" s="147" t="s">
        <v>393</v>
      </c>
      <c r="B38" s="147">
        <v>376787</v>
      </c>
      <c r="C38" s="262">
        <v>0</v>
      </c>
      <c r="D38" s="249">
        <v>4.9800000000000004</v>
      </c>
      <c r="E38" s="14">
        <f t="shared" si="2"/>
        <v>0</v>
      </c>
      <c r="F38" s="26">
        <f t="shared" si="3"/>
        <v>0</v>
      </c>
    </row>
    <row r="39" spans="1:10" x14ac:dyDescent="0.25">
      <c r="A39" s="147" t="s">
        <v>151</v>
      </c>
      <c r="B39" s="147" t="s">
        <v>151</v>
      </c>
      <c r="C39" s="262">
        <v>0</v>
      </c>
      <c r="D39" s="249">
        <v>0</v>
      </c>
      <c r="E39" s="14">
        <f t="shared" si="2"/>
        <v>0</v>
      </c>
      <c r="F39" s="26">
        <f t="shared" si="3"/>
        <v>0</v>
      </c>
    </row>
    <row r="40" spans="1:10" x14ac:dyDescent="0.25">
      <c r="A40" s="147" t="s">
        <v>394</v>
      </c>
      <c r="B40" s="147">
        <v>2280072</v>
      </c>
      <c r="C40" s="262">
        <v>0</v>
      </c>
      <c r="D40" s="249">
        <v>18.97</v>
      </c>
      <c r="E40" s="14">
        <f t="shared" si="2"/>
        <v>0</v>
      </c>
      <c r="F40" s="26">
        <f t="shared" si="3"/>
        <v>0</v>
      </c>
    </row>
    <row r="41" spans="1:10" ht="15.75" thickBot="1" x14ac:dyDescent="0.3">
      <c r="A41" s="147" t="s">
        <v>395</v>
      </c>
      <c r="B41" s="147">
        <v>1000707539</v>
      </c>
      <c r="C41" s="262">
        <v>0</v>
      </c>
      <c r="D41" s="249">
        <v>1.98</v>
      </c>
      <c r="E41" s="21">
        <f t="shared" si="2"/>
        <v>0</v>
      </c>
      <c r="F41" s="21">
        <f t="shared" si="3"/>
        <v>0</v>
      </c>
      <c r="G41" s="21"/>
    </row>
    <row r="42" spans="1:10" x14ac:dyDescent="0.25">
      <c r="G42" s="14">
        <f>+SUM(E36:E41)+SUM(F36:F41)</f>
        <v>0</v>
      </c>
    </row>
    <row r="43" spans="1:10" ht="15.75" thickBot="1" x14ac:dyDescent="0.3">
      <c r="H43" s="21"/>
      <c r="J43" s="3" t="s">
        <v>151</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199</v>
      </c>
      <c r="D1" s="32"/>
      <c r="E1" s="32"/>
      <c r="F1" s="32" t="s">
        <v>917</v>
      </c>
      <c r="N1" s="898" t="s">
        <v>2</v>
      </c>
      <c r="O1" s="898" t="str">
        <f>IF(Profit!Q6,IF(P1,"Yes","No"),"No")</f>
        <v>No</v>
      </c>
      <c r="P1" s="902" t="b">
        <v>1</v>
      </c>
    </row>
    <row r="2" spans="1:16" s="3" customFormat="1" ht="15.75" thickBot="1" x14ac:dyDescent="0.3">
      <c r="A2" s="473" t="s">
        <v>256</v>
      </c>
      <c r="B2" s="3" t="s">
        <v>915</v>
      </c>
      <c r="C2" s="3" t="s">
        <v>211</v>
      </c>
      <c r="D2" s="3" t="s">
        <v>540</v>
      </c>
      <c r="E2" s="3" t="s">
        <v>396</v>
      </c>
      <c r="G2" s="3" t="s">
        <v>916</v>
      </c>
      <c r="H2" s="3" t="s">
        <v>182</v>
      </c>
      <c r="I2" s="8" t="s">
        <v>269</v>
      </c>
      <c r="J2" s="6" t="s">
        <v>270</v>
      </c>
      <c r="K2" s="13" t="s">
        <v>257</v>
      </c>
      <c r="L2" s="3" t="s">
        <v>271</v>
      </c>
      <c r="M2" s="3" t="s">
        <v>217</v>
      </c>
      <c r="N2" s="899"/>
      <c r="O2" s="899"/>
      <c r="P2" s="903"/>
    </row>
    <row r="3" spans="1:16" s="3" customFormat="1" x14ac:dyDescent="0.25">
      <c r="A3" s="545"/>
      <c r="B3" s="439"/>
      <c r="C3" s="439" t="s">
        <v>638</v>
      </c>
      <c r="D3" s="439"/>
      <c r="E3" s="446">
        <f>+Profit!K9</f>
        <v>1368</v>
      </c>
      <c r="F3" s="543"/>
      <c r="G3" s="439"/>
      <c r="H3" s="439"/>
      <c r="I3" s="440"/>
      <c r="J3" s="450"/>
      <c r="K3" s="441"/>
      <c r="N3"/>
      <c r="O3"/>
      <c r="P3" s="5"/>
    </row>
    <row r="4" spans="1:16" s="3" customFormat="1" x14ac:dyDescent="0.25">
      <c r="A4" s="546" t="s">
        <v>397</v>
      </c>
      <c r="B4" s="434"/>
      <c r="C4" s="434" t="s">
        <v>398</v>
      </c>
      <c r="D4" s="434"/>
      <c r="E4" s="434"/>
      <c r="F4" s="434"/>
      <c r="G4" s="434" t="s">
        <v>399</v>
      </c>
      <c r="H4" s="448">
        <v>8.0000000000000002E-3</v>
      </c>
      <c r="I4" s="442">
        <v>68.540000000000006</v>
      </c>
      <c r="J4" s="442">
        <f>I4*H4*$E$3</f>
        <v>750.10176000000001</v>
      </c>
      <c r="K4" s="443">
        <f>+J4*0.0725</f>
        <v>54.382377599999998</v>
      </c>
      <c r="N4"/>
      <c r="O4"/>
      <c r="P4" s="5"/>
    </row>
    <row r="5" spans="1:16" s="3" customFormat="1" x14ac:dyDescent="0.25">
      <c r="A5" s="546" t="s">
        <v>536</v>
      </c>
      <c r="B5" s="434"/>
      <c r="C5" s="434" t="s">
        <v>528</v>
      </c>
      <c r="D5" s="434"/>
      <c r="E5" s="434"/>
      <c r="F5" s="434"/>
      <c r="G5" s="434" t="s">
        <v>529</v>
      </c>
      <c r="H5" s="448">
        <v>4.0000000000000001E-3</v>
      </c>
      <c r="I5" s="442">
        <v>33.99</v>
      </c>
      <c r="J5" s="442">
        <f>I5*H5*$E$3</f>
        <v>185.99328</v>
      </c>
      <c r="K5" s="443">
        <f t="shared" ref="K5" si="0">+J5*0.0725</f>
        <v>13.484512799999999</v>
      </c>
      <c r="N5"/>
      <c r="O5"/>
      <c r="P5" s="5"/>
    </row>
    <row r="6" spans="1:16" s="3" customFormat="1" x14ac:dyDescent="0.25">
      <c r="A6" s="546" t="s">
        <v>537</v>
      </c>
      <c r="B6" s="434"/>
      <c r="C6" s="434" t="s">
        <v>403</v>
      </c>
      <c r="D6" s="434"/>
      <c r="E6" s="434"/>
      <c r="F6" s="434"/>
      <c r="G6" s="434">
        <v>185342</v>
      </c>
      <c r="H6" s="448">
        <f>10/2526</f>
        <v>3.95882818685669E-3</v>
      </c>
      <c r="I6" s="435">
        <f>147/5</f>
        <v>29.4</v>
      </c>
      <c r="J6" s="442">
        <f>I6*H6*$E$3</f>
        <v>159.22090261282659</v>
      </c>
      <c r="K6" s="443">
        <f>+J6*0.0725</f>
        <v>11.543515439429926</v>
      </c>
      <c r="N6"/>
      <c r="O6"/>
      <c r="P6" s="5"/>
    </row>
    <row r="7" spans="1:16" x14ac:dyDescent="0.25">
      <c r="A7" s="546" t="s">
        <v>538</v>
      </c>
      <c r="B7" s="434"/>
      <c r="C7" s="434" t="s">
        <v>405</v>
      </c>
      <c r="D7" s="434"/>
      <c r="E7" s="434"/>
      <c r="F7" s="434"/>
      <c r="G7" s="434">
        <v>985007</v>
      </c>
      <c r="H7" s="448">
        <f>3/2526</f>
        <v>1.1876484560570072E-3</v>
      </c>
      <c r="I7" s="442">
        <v>52.23</v>
      </c>
      <c r="J7" s="442">
        <f>I7*H7*$E$3</f>
        <v>84.85824228028504</v>
      </c>
      <c r="K7" s="443">
        <f t="shared" ref="K7" si="1">+J7*0.0725</f>
        <v>6.152222565320665</v>
      </c>
      <c r="L7"/>
      <c r="M7"/>
    </row>
    <row r="8" spans="1:16" x14ac:dyDescent="0.25">
      <c r="A8" s="546" t="s">
        <v>418</v>
      </c>
      <c r="B8" s="434"/>
      <c r="C8" s="434"/>
      <c r="D8" s="434"/>
      <c r="E8" s="446">
        <f>+$E$3</f>
        <v>1368</v>
      </c>
      <c r="F8" s="543"/>
      <c r="G8" s="434" t="s">
        <v>420</v>
      </c>
      <c r="H8" s="449">
        <v>5.1528384279475983</v>
      </c>
      <c r="I8" s="442">
        <v>2.41</v>
      </c>
      <c r="J8" s="442">
        <f>H8*$E$3</f>
        <v>7049.0829694323147</v>
      </c>
      <c r="K8" s="447"/>
      <c r="L8"/>
      <c r="M8"/>
    </row>
    <row r="9" spans="1:16" s="3" customFormat="1" x14ac:dyDescent="0.25">
      <c r="A9" s="473"/>
      <c r="H9" s="896" t="s">
        <v>644</v>
      </c>
      <c r="I9" s="897"/>
      <c r="J9" s="897"/>
      <c r="K9" s="30"/>
      <c r="L9" s="1">
        <f>IF(O1="Yes",SUM(J4:J8)+SUM(K4:K8),0)</f>
        <v>0</v>
      </c>
      <c r="M9" s="1"/>
      <c r="N9"/>
      <c r="O9"/>
      <c r="P9" s="5"/>
    </row>
    <row r="10" spans="1:16" s="3" customFormat="1" x14ac:dyDescent="0.25">
      <c r="A10" s="473"/>
      <c r="N10"/>
      <c r="O10"/>
      <c r="P10" s="5"/>
    </row>
    <row r="11" spans="1:16" s="3" customFormat="1" x14ac:dyDescent="0.25">
      <c r="A11" s="12" t="s">
        <v>397</v>
      </c>
      <c r="B11"/>
      <c r="D11" s="32"/>
      <c r="N11"/>
      <c r="O11"/>
      <c r="P11" s="5"/>
    </row>
    <row r="12" spans="1:16" x14ac:dyDescent="0.25">
      <c r="A12" s="12">
        <v>45783</v>
      </c>
      <c r="B12" t="s">
        <v>918</v>
      </c>
      <c r="C12" s="147" t="s">
        <v>906</v>
      </c>
      <c r="D12" s="147" t="s">
        <v>907</v>
      </c>
      <c r="F12" s="2" t="s">
        <v>410</v>
      </c>
      <c r="G12" s="147" t="s">
        <v>908</v>
      </c>
      <c r="H12" s="262">
        <v>5</v>
      </c>
      <c r="I12" s="249">
        <v>37.549999999999997</v>
      </c>
      <c r="J12" s="5">
        <f t="shared" ref="J12:J18" si="2">+H12*I12</f>
        <v>187.75</v>
      </c>
      <c r="K12" s="26">
        <f t="shared" ref="K12:K18" si="3">+J12*0.0725</f>
        <v>13.611875</v>
      </c>
      <c r="L12"/>
      <c r="M12" t="s">
        <v>3</v>
      </c>
      <c r="P12" s="5"/>
    </row>
    <row r="13" spans="1:16" x14ac:dyDescent="0.25">
      <c r="A13" s="12">
        <v>45780</v>
      </c>
      <c r="B13" t="s">
        <v>921</v>
      </c>
      <c r="C13" s="147" t="s">
        <v>909</v>
      </c>
      <c r="D13" s="147" t="s">
        <v>911</v>
      </c>
      <c r="G13" s="147" t="s">
        <v>910</v>
      </c>
      <c r="H13" s="262">
        <v>2</v>
      </c>
      <c r="I13" s="249">
        <v>29</v>
      </c>
      <c r="J13" s="5">
        <f t="shared" si="2"/>
        <v>58</v>
      </c>
      <c r="K13" s="26">
        <f t="shared" si="3"/>
        <v>4.2050000000000001</v>
      </c>
      <c r="L13"/>
      <c r="M13" t="s">
        <v>3</v>
      </c>
      <c r="P13" s="5"/>
    </row>
    <row r="14" spans="1:16" x14ac:dyDescent="0.25">
      <c r="A14" s="12">
        <v>45780</v>
      </c>
      <c r="B14" t="s">
        <v>922</v>
      </c>
      <c r="C14" s="147" t="s">
        <v>909</v>
      </c>
      <c r="D14" s="147" t="s">
        <v>912</v>
      </c>
      <c r="G14" s="147" t="s">
        <v>913</v>
      </c>
      <c r="H14" s="262">
        <v>1</v>
      </c>
      <c r="I14" s="249">
        <v>31</v>
      </c>
      <c r="J14" s="5">
        <f t="shared" si="2"/>
        <v>31</v>
      </c>
      <c r="K14" s="26">
        <f t="shared" si="3"/>
        <v>2.2475000000000001</v>
      </c>
      <c r="L14"/>
      <c r="M14" t="s">
        <v>3</v>
      </c>
      <c r="P14" s="5"/>
    </row>
    <row r="15" spans="1:16" x14ac:dyDescent="0.25">
      <c r="A15" s="12">
        <v>45786</v>
      </c>
      <c r="B15" t="s">
        <v>919</v>
      </c>
      <c r="C15" s="147" t="s">
        <v>906</v>
      </c>
      <c r="D15" s="147" t="s">
        <v>907</v>
      </c>
      <c r="F15" s="2" t="s">
        <v>920</v>
      </c>
      <c r="G15" s="147" t="s">
        <v>908</v>
      </c>
      <c r="H15" s="262">
        <v>2</v>
      </c>
      <c r="I15" s="249">
        <v>37.549999999999997</v>
      </c>
      <c r="J15" s="5">
        <f t="shared" ref="J15" si="4">+H15*I15</f>
        <v>75.099999999999994</v>
      </c>
      <c r="K15" s="26">
        <f t="shared" ref="K15" si="5">+J15*0.0725</f>
        <v>5.4447499999999991</v>
      </c>
      <c r="L15"/>
      <c r="M15" t="s">
        <v>914</v>
      </c>
      <c r="P15" s="5"/>
    </row>
    <row r="16" spans="1:16" x14ac:dyDescent="0.25">
      <c r="A16" s="12" t="s">
        <v>536</v>
      </c>
      <c r="C16" s="147"/>
      <c r="D16" s="147"/>
      <c r="G16" s="147"/>
      <c r="H16" s="262"/>
      <c r="I16" s="249"/>
      <c r="J16" s="5">
        <f t="shared" si="2"/>
        <v>0</v>
      </c>
      <c r="K16" s="26">
        <f t="shared" si="3"/>
        <v>0</v>
      </c>
      <c r="L16"/>
      <c r="M16"/>
    </row>
    <row r="17" spans="1:13" x14ac:dyDescent="0.25">
      <c r="C17" s="147" t="s">
        <v>533</v>
      </c>
      <c r="D17" s="147"/>
      <c r="G17" s="147" t="s">
        <v>400</v>
      </c>
      <c r="H17" s="262">
        <v>0</v>
      </c>
      <c r="I17" s="249">
        <v>109.95</v>
      </c>
      <c r="J17" s="5">
        <f t="shared" si="2"/>
        <v>0</v>
      </c>
      <c r="K17" s="26">
        <f t="shared" si="3"/>
        <v>0</v>
      </c>
      <c r="L17"/>
      <c r="M17"/>
    </row>
    <row r="18" spans="1:13" x14ac:dyDescent="0.25">
      <c r="C18" s="147" t="s">
        <v>401</v>
      </c>
      <c r="D18" s="147"/>
      <c r="G18" s="147" t="s">
        <v>402</v>
      </c>
      <c r="H18" s="262">
        <v>0</v>
      </c>
      <c r="I18" s="249">
        <v>65.64</v>
      </c>
      <c r="J18" s="5">
        <f t="shared" si="2"/>
        <v>0</v>
      </c>
      <c r="K18" s="26">
        <f t="shared" si="3"/>
        <v>0</v>
      </c>
      <c r="L18"/>
      <c r="M18"/>
    </row>
    <row r="20" spans="1:13" x14ac:dyDescent="0.25">
      <c r="L20"/>
      <c r="M20"/>
    </row>
    <row r="21" spans="1:13" x14ac:dyDescent="0.25">
      <c r="C21" s="147" t="s">
        <v>530</v>
      </c>
      <c r="D21" s="147"/>
      <c r="G21" s="147" t="s">
        <v>529</v>
      </c>
      <c r="H21" s="262"/>
      <c r="I21" s="249">
        <v>33.99</v>
      </c>
      <c r="J21" s="5">
        <f>+H21*I21</f>
        <v>0</v>
      </c>
      <c r="K21" s="26">
        <f>+J21*0.0725</f>
        <v>0</v>
      </c>
      <c r="L21"/>
      <c r="M21"/>
    </row>
    <row r="22" spans="1:13" x14ac:dyDescent="0.25">
      <c r="C22" s="147" t="s">
        <v>528</v>
      </c>
      <c r="D22" s="147"/>
      <c r="G22" s="147" t="s">
        <v>529</v>
      </c>
      <c r="H22" s="262"/>
      <c r="I22" s="249">
        <v>33.99</v>
      </c>
      <c r="J22" s="5">
        <f t="shared" ref="J22:J31" si="6">+H22*I22</f>
        <v>0</v>
      </c>
      <c r="K22" s="26">
        <f t="shared" ref="K22:K31" si="7">+J22*0.0725</f>
        <v>0</v>
      </c>
      <c r="L22"/>
      <c r="M22"/>
    </row>
    <row r="23" spans="1:13" x14ac:dyDescent="0.25">
      <c r="A23" s="12" t="s">
        <v>537</v>
      </c>
      <c r="C23" s="147" t="s">
        <v>403</v>
      </c>
      <c r="D23" s="147"/>
      <c r="G23" s="147">
        <v>185342</v>
      </c>
      <c r="H23" s="262"/>
      <c r="I23" s="262">
        <f>147/5</f>
        <v>29.4</v>
      </c>
      <c r="J23" s="5">
        <f t="shared" si="6"/>
        <v>0</v>
      </c>
      <c r="K23" s="26">
        <f t="shared" si="7"/>
        <v>0</v>
      </c>
      <c r="L23"/>
      <c r="M23"/>
    </row>
    <row r="24" spans="1:13" x14ac:dyDescent="0.25">
      <c r="C24" s="147" t="s">
        <v>531</v>
      </c>
      <c r="D24" s="147"/>
      <c r="G24" s="147" t="s">
        <v>532</v>
      </c>
      <c r="H24" s="262">
        <v>0</v>
      </c>
      <c r="I24" s="249">
        <f>5*25.79</f>
        <v>128.94999999999999</v>
      </c>
      <c r="J24" s="5">
        <f t="shared" si="6"/>
        <v>0</v>
      </c>
      <c r="K24" s="26">
        <f t="shared" si="7"/>
        <v>0</v>
      </c>
      <c r="L24"/>
      <c r="M24"/>
    </row>
    <row r="25" spans="1:13" x14ac:dyDescent="0.25">
      <c r="A25" s="12" t="s">
        <v>538</v>
      </c>
      <c r="C25" s="147"/>
      <c r="D25" s="147"/>
      <c r="G25" s="147"/>
      <c r="H25" s="262"/>
      <c r="I25" s="249"/>
      <c r="J25" s="5">
        <f t="shared" si="6"/>
        <v>0</v>
      </c>
      <c r="K25" s="26">
        <f t="shared" si="7"/>
        <v>0</v>
      </c>
      <c r="L25"/>
      <c r="M25"/>
    </row>
    <row r="26" spans="1:13" x14ac:dyDescent="0.25">
      <c r="C26" s="147" t="s">
        <v>534</v>
      </c>
      <c r="D26" s="147"/>
      <c r="G26" s="147" t="s">
        <v>535</v>
      </c>
      <c r="H26" s="262">
        <v>0</v>
      </c>
      <c r="I26" s="249">
        <f>5*63.05</f>
        <v>315.25</v>
      </c>
      <c r="J26" s="5">
        <f t="shared" si="6"/>
        <v>0</v>
      </c>
      <c r="K26" s="26">
        <f t="shared" si="7"/>
        <v>0</v>
      </c>
      <c r="L26"/>
      <c r="M26"/>
    </row>
    <row r="27" spans="1:13" x14ac:dyDescent="0.25">
      <c r="C27" s="147" t="s">
        <v>404</v>
      </c>
      <c r="D27" s="147"/>
      <c r="G27" s="147">
        <v>389832</v>
      </c>
      <c r="H27" s="262">
        <v>0</v>
      </c>
      <c r="I27" s="249">
        <v>39.979999999999997</v>
      </c>
      <c r="J27" s="5">
        <f t="shared" si="6"/>
        <v>0</v>
      </c>
      <c r="K27" s="26">
        <f t="shared" si="7"/>
        <v>0</v>
      </c>
      <c r="L27"/>
      <c r="M27"/>
    </row>
    <row r="28" spans="1:13" x14ac:dyDescent="0.25">
      <c r="C28" s="147" t="s">
        <v>405</v>
      </c>
      <c r="D28" s="147"/>
      <c r="G28" s="147">
        <v>985007</v>
      </c>
      <c r="H28" s="262"/>
      <c r="I28" s="249">
        <v>52.23</v>
      </c>
      <c r="J28" s="5">
        <f t="shared" si="6"/>
        <v>0</v>
      </c>
      <c r="K28" s="26">
        <f t="shared" si="7"/>
        <v>0</v>
      </c>
      <c r="L28"/>
      <c r="M28"/>
    </row>
    <row r="29" spans="1:13" x14ac:dyDescent="0.25">
      <c r="C29" s="147" t="s">
        <v>406</v>
      </c>
      <c r="D29" s="147"/>
      <c r="G29" s="147">
        <v>814917</v>
      </c>
      <c r="H29" s="262"/>
      <c r="I29" s="249">
        <f>109/5</f>
        <v>21.8</v>
      </c>
      <c r="J29" s="5">
        <f t="shared" si="6"/>
        <v>0</v>
      </c>
      <c r="K29" s="26">
        <f t="shared" si="7"/>
        <v>0</v>
      </c>
      <c r="L29"/>
      <c r="M29"/>
    </row>
    <row r="30" spans="1:13" x14ac:dyDescent="0.25">
      <c r="C30" s="147" t="s">
        <v>407</v>
      </c>
      <c r="D30" s="147"/>
      <c r="G30" s="147" t="s">
        <v>408</v>
      </c>
      <c r="H30" s="262">
        <v>0</v>
      </c>
      <c r="I30" s="249">
        <v>40</v>
      </c>
      <c r="J30" s="5">
        <f t="shared" si="6"/>
        <v>0</v>
      </c>
      <c r="K30" s="26">
        <f t="shared" si="7"/>
        <v>0</v>
      </c>
      <c r="L30"/>
      <c r="M30"/>
    </row>
    <row r="31" spans="1:13" x14ac:dyDescent="0.25">
      <c r="C31" s="2" t="s">
        <v>409</v>
      </c>
      <c r="G31" s="147" t="s">
        <v>410</v>
      </c>
      <c r="H31" s="262">
        <v>0</v>
      </c>
      <c r="I31" s="249">
        <v>50.24</v>
      </c>
      <c r="J31" s="5">
        <f t="shared" si="6"/>
        <v>0</v>
      </c>
      <c r="K31" s="26">
        <f t="shared" si="7"/>
        <v>0</v>
      </c>
    </row>
    <row r="32" spans="1:13" x14ac:dyDescent="0.25">
      <c r="A32" s="12" t="s">
        <v>361</v>
      </c>
      <c r="D32" s="32"/>
      <c r="E32" s="148">
        <v>0</v>
      </c>
      <c r="F32" s="264"/>
      <c r="H32"/>
      <c r="I32" s="5"/>
      <c r="K32" s="1"/>
      <c r="L32"/>
      <c r="M32"/>
    </row>
    <row r="33" spans="1:18" x14ac:dyDescent="0.25">
      <c r="C33" s="147" t="s">
        <v>544</v>
      </c>
      <c r="D33" s="147" t="s">
        <v>545</v>
      </c>
      <c r="E33" s="264"/>
      <c r="F33" s="264"/>
      <c r="G33" s="147" t="s">
        <v>543</v>
      </c>
      <c r="H33" s="262">
        <v>0</v>
      </c>
      <c r="I33" s="249">
        <v>74.37</v>
      </c>
      <c r="J33" s="5">
        <f t="shared" ref="J33:J34" si="8">+H33*I33</f>
        <v>0</v>
      </c>
      <c r="K33" s="26">
        <f t="shared" ref="K33:K34" si="9">+J33*0.0725</f>
        <v>0</v>
      </c>
      <c r="L33"/>
      <c r="M33"/>
    </row>
    <row r="34" spans="1:18" x14ac:dyDescent="0.25">
      <c r="C34" s="147" t="s">
        <v>411</v>
      </c>
      <c r="D34" s="147"/>
      <c r="G34" s="147"/>
      <c r="H34" s="262"/>
      <c r="I34" s="249"/>
      <c r="J34" s="5">
        <f t="shared" si="8"/>
        <v>0</v>
      </c>
      <c r="K34" s="26">
        <f t="shared" si="9"/>
        <v>0</v>
      </c>
      <c r="L34"/>
      <c r="M34"/>
    </row>
    <row r="35" spans="1:18" x14ac:dyDescent="0.25">
      <c r="E35" s="189">
        <f>+E3</f>
        <v>1368</v>
      </c>
      <c r="F35" s="544"/>
      <c r="H35"/>
      <c r="I35" s="5"/>
      <c r="K35" s="1"/>
      <c r="L35"/>
      <c r="M35"/>
    </row>
    <row r="36" spans="1:18" x14ac:dyDescent="0.25">
      <c r="A36" s="12" t="s">
        <v>547</v>
      </c>
      <c r="D36" s="32"/>
      <c r="E36" s="148">
        <v>0</v>
      </c>
      <c r="F36" s="264"/>
      <c r="H36"/>
      <c r="I36" s="5"/>
      <c r="K36" s="1"/>
      <c r="L36"/>
      <c r="M36"/>
    </row>
    <row r="37" spans="1:18" x14ac:dyDescent="0.25">
      <c r="C37" s="147" t="s">
        <v>542</v>
      </c>
      <c r="D37" s="147" t="s">
        <v>541</v>
      </c>
      <c r="E37" s="264"/>
      <c r="F37" s="264"/>
      <c r="G37" s="147" t="s">
        <v>539</v>
      </c>
      <c r="H37" s="262"/>
      <c r="I37" s="249">
        <v>55.99</v>
      </c>
      <c r="J37" s="5">
        <f t="shared" ref="J37:J41" si="10">+H37*I37</f>
        <v>0</v>
      </c>
      <c r="K37" s="26">
        <f t="shared" ref="K37:K41" si="11">+J37*0.0725</f>
        <v>0</v>
      </c>
      <c r="L37"/>
      <c r="M37"/>
    </row>
    <row r="38" spans="1:18" x14ac:dyDescent="0.25">
      <c r="A38" s="12" t="s">
        <v>412</v>
      </c>
      <c r="D38" s="32"/>
      <c r="E38" s="148">
        <v>500</v>
      </c>
      <c r="F38" s="264"/>
      <c r="H38" s="262"/>
      <c r="I38" s="249"/>
      <c r="J38" s="5">
        <f t="shared" si="10"/>
        <v>0</v>
      </c>
      <c r="K38" s="26">
        <f t="shared" si="11"/>
        <v>0</v>
      </c>
      <c r="L38"/>
      <c r="M38"/>
    </row>
    <row r="39" spans="1:18" x14ac:dyDescent="0.25">
      <c r="C39" s="147" t="s">
        <v>413</v>
      </c>
      <c r="D39" s="147"/>
      <c r="G39" s="147" t="s">
        <v>414</v>
      </c>
      <c r="H39" s="262">
        <v>0</v>
      </c>
      <c r="I39" s="249">
        <v>47.98</v>
      </c>
      <c r="J39" s="5">
        <f t="shared" si="10"/>
        <v>0</v>
      </c>
      <c r="K39" s="26">
        <f t="shared" si="11"/>
        <v>0</v>
      </c>
      <c r="L39"/>
      <c r="M39"/>
    </row>
    <row r="40" spans="1:18" x14ac:dyDescent="0.25">
      <c r="C40" s="2" t="s">
        <v>415</v>
      </c>
      <c r="G40" s="147" t="s">
        <v>416</v>
      </c>
      <c r="H40" s="262">
        <v>0</v>
      </c>
      <c r="I40" s="249">
        <v>48.98</v>
      </c>
      <c r="J40" s="5">
        <f t="shared" si="10"/>
        <v>0</v>
      </c>
      <c r="K40" s="26">
        <f t="shared" si="11"/>
        <v>0</v>
      </c>
      <c r="L40"/>
      <c r="M40"/>
      <c r="N40" s="2"/>
    </row>
    <row r="41" spans="1:18" x14ac:dyDescent="0.25">
      <c r="H41" s="262">
        <v>0</v>
      </c>
      <c r="I41" s="249"/>
      <c r="J41" s="5">
        <f t="shared" si="10"/>
        <v>0</v>
      </c>
      <c r="K41" s="26">
        <f t="shared" si="11"/>
        <v>0</v>
      </c>
      <c r="N41" s="2"/>
    </row>
    <row r="42" spans="1:18" ht="15.75" thickBot="1" x14ac:dyDescent="0.3">
      <c r="H42"/>
      <c r="I42" s="5"/>
      <c r="J42" s="320"/>
      <c r="K42" s="265"/>
      <c r="L42" s="29"/>
    </row>
    <row r="43" spans="1:18" x14ac:dyDescent="0.25">
      <c r="H43" s="896" t="s">
        <v>417</v>
      </c>
      <c r="I43" s="897"/>
      <c r="J43" s="897"/>
      <c r="K43" s="30"/>
      <c r="L43" s="1">
        <f>IF($O$1="No",SUM(J12:J42)+SUM(K12:K42),0)</f>
        <v>377.35912500000001</v>
      </c>
      <c r="R43" s="2"/>
    </row>
    <row r="45" spans="1:18" x14ac:dyDescent="0.25">
      <c r="C45" s="2" t="s">
        <v>418</v>
      </c>
      <c r="H45"/>
      <c r="I45" s="5"/>
      <c r="J45" s="1"/>
      <c r="K45" s="1"/>
      <c r="L45"/>
      <c r="M45"/>
    </row>
    <row r="46" spans="1:18" x14ac:dyDescent="0.25">
      <c r="C46" s="147" t="s">
        <v>419</v>
      </c>
      <c r="D46" s="147"/>
      <c r="E46" s="189">
        <f>+$E$3</f>
        <v>1368</v>
      </c>
      <c r="F46" s="544"/>
      <c r="G46" s="147" t="s">
        <v>420</v>
      </c>
      <c r="H46" s="262">
        <v>1</v>
      </c>
      <c r="I46" s="249">
        <v>3400</v>
      </c>
      <c r="J46" s="1">
        <f>IF(H46="yes",E46*#REF!,I46)</f>
        <v>3400</v>
      </c>
      <c r="K46" s="1"/>
      <c r="L46"/>
      <c r="M46"/>
    </row>
    <row r="47" spans="1:18" x14ac:dyDescent="0.25">
      <c r="C47" s="147" t="s">
        <v>418</v>
      </c>
      <c r="D47" s="147"/>
      <c r="E47" s="189">
        <v>200</v>
      </c>
      <c r="F47" s="544"/>
      <c r="G47" s="147" t="s">
        <v>546</v>
      </c>
      <c r="H47" s="262">
        <v>0</v>
      </c>
      <c r="I47" s="249">
        <v>0</v>
      </c>
      <c r="J47" s="1">
        <f>IF(H47="yes",E47*#REF!,I47)</f>
        <v>0</v>
      </c>
      <c r="K47" s="1"/>
      <c r="L47"/>
      <c r="M47"/>
    </row>
    <row r="48" spans="1:18" ht="15.75" thickBot="1" x14ac:dyDescent="0.3">
      <c r="C48" s="147" t="s">
        <v>418</v>
      </c>
      <c r="D48" s="147"/>
      <c r="E48" s="189">
        <f>+$E$3</f>
        <v>1368</v>
      </c>
      <c r="F48" s="544"/>
      <c r="G48" s="147" t="s">
        <v>421</v>
      </c>
      <c r="H48" s="262">
        <v>0</v>
      </c>
      <c r="I48" s="24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645</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422</v>
      </c>
      <c r="B1" s="32"/>
      <c r="J1" s="898" t="s">
        <v>2</v>
      </c>
      <c r="K1" s="898" t="str">
        <f>IF(Profit!Q6,IF(L1,"Yes","No"),"No")</f>
        <v>No</v>
      </c>
      <c r="L1" s="902" t="b">
        <v>1</v>
      </c>
    </row>
    <row r="2" spans="1:12" s="3" customFormat="1" ht="15.75" thickBot="1" x14ac:dyDescent="0.3">
      <c r="A2" s="269" t="s">
        <v>211</v>
      </c>
      <c r="B2" s="269" t="s">
        <v>396</v>
      </c>
      <c r="C2" s="269" t="s">
        <v>229</v>
      </c>
      <c r="D2" s="269" t="s">
        <v>182</v>
      </c>
      <c r="E2" s="269" t="s">
        <v>269</v>
      </c>
      <c r="F2" s="269" t="s">
        <v>270</v>
      </c>
      <c r="G2" s="269" t="s">
        <v>257</v>
      </c>
      <c r="H2" s="269" t="s">
        <v>271</v>
      </c>
      <c r="J2" s="899"/>
      <c r="K2" s="899"/>
      <c r="L2" s="903"/>
    </row>
    <row r="3" spans="1:12" x14ac:dyDescent="0.25">
      <c r="A3" s="439" t="s">
        <v>638</v>
      </c>
      <c r="B3" s="446">
        <f>+Profit!K9</f>
        <v>1368</v>
      </c>
      <c r="C3" s="434"/>
      <c r="D3" s="435"/>
      <c r="E3" s="442"/>
      <c r="F3" s="447"/>
      <c r="G3" s="443"/>
      <c r="H3" s="435"/>
      <c r="J3" s="3"/>
    </row>
    <row r="4" spans="1:12" x14ac:dyDescent="0.25">
      <c r="A4" s="434" t="s">
        <v>423</v>
      </c>
      <c r="B4" s="446">
        <f>+B3</f>
        <v>1368</v>
      </c>
      <c r="C4" s="434" t="s">
        <v>420</v>
      </c>
      <c r="D4" s="435">
        <v>1</v>
      </c>
      <c r="E4" s="442">
        <v>5.5487134502924</v>
      </c>
      <c r="F4" s="447">
        <f>B4*E4*D4</f>
        <v>7590.6400000000031</v>
      </c>
      <c r="G4" s="443">
        <f t="shared" ref="G4:G5" si="0">+F4*0.0725</f>
        <v>550.32140000000015</v>
      </c>
      <c r="H4" s="435"/>
      <c r="J4" s="3"/>
    </row>
    <row r="5" spans="1:12" ht="15.75" thickBot="1" x14ac:dyDescent="0.3">
      <c r="A5" s="434" t="s">
        <v>424</v>
      </c>
      <c r="B5" s="446">
        <f>+B3</f>
        <v>1368</v>
      </c>
      <c r="C5" s="434"/>
      <c r="D5" s="435">
        <v>0</v>
      </c>
      <c r="E5" s="442">
        <f>+F8/B4</f>
        <v>5.5487134502923983</v>
      </c>
      <c r="F5" s="447">
        <f>B5*E5*D5</f>
        <v>0</v>
      </c>
      <c r="G5" s="443">
        <f t="shared" si="0"/>
        <v>0</v>
      </c>
      <c r="H5" s="423"/>
      <c r="J5" s="3"/>
    </row>
    <row r="6" spans="1:12" x14ac:dyDescent="0.25">
      <c r="A6" s="434"/>
      <c r="B6" s="446"/>
      <c r="C6" s="434"/>
      <c r="D6" s="435"/>
      <c r="E6" s="442"/>
      <c r="F6" s="447"/>
      <c r="G6" s="443"/>
      <c r="H6" s="436">
        <f>IF(K1="Yes",SUM(F4:G5),0)</f>
        <v>0</v>
      </c>
      <c r="J6" s="3"/>
    </row>
    <row r="7" spans="1:12" x14ac:dyDescent="0.25">
      <c r="B7" s="189"/>
      <c r="D7"/>
      <c r="E7" s="5"/>
      <c r="F7" s="1"/>
      <c r="G7" s="26"/>
      <c r="H7"/>
      <c r="J7" s="3"/>
    </row>
    <row r="8" spans="1:12" x14ac:dyDescent="0.25">
      <c r="A8" s="147" t="s">
        <v>830</v>
      </c>
      <c r="B8" s="204">
        <v>1368</v>
      </c>
      <c r="C8" s="147" t="s">
        <v>420</v>
      </c>
      <c r="D8" s="262">
        <v>1</v>
      </c>
      <c r="E8" s="249">
        <v>5.5487134502923983</v>
      </c>
      <c r="F8" s="447">
        <f t="shared" ref="F8:F20" si="1">B8*E8*D8</f>
        <v>7590.6400000000012</v>
      </c>
      <c r="G8" s="26">
        <f>+F8*0.0299</f>
        <v>226.96013600000003</v>
      </c>
      <c r="H8"/>
      <c r="I8" s="253" t="s">
        <v>831</v>
      </c>
    </row>
    <row r="9" spans="1:12" x14ac:dyDescent="0.25">
      <c r="A9" s="147" t="s">
        <v>498</v>
      </c>
      <c r="B9" s="204">
        <v>800</v>
      </c>
      <c r="C9" s="147"/>
      <c r="D9" s="262">
        <v>0</v>
      </c>
      <c r="E9" s="249">
        <v>6.22</v>
      </c>
      <c r="F9" s="447">
        <f t="shared" si="1"/>
        <v>0</v>
      </c>
      <c r="G9" s="26">
        <f t="shared" ref="G9:G20" si="2">+F9*0.0725</f>
        <v>0</v>
      </c>
      <c r="H9"/>
    </row>
    <row r="10" spans="1:12" x14ac:dyDescent="0.25">
      <c r="A10" s="147" t="s">
        <v>499</v>
      </c>
      <c r="B10" s="204">
        <v>1800</v>
      </c>
      <c r="C10" s="147"/>
      <c r="D10" s="262">
        <v>0</v>
      </c>
      <c r="E10" s="249">
        <v>3</v>
      </c>
      <c r="F10" s="447">
        <f t="shared" si="1"/>
        <v>0</v>
      </c>
      <c r="G10" s="26">
        <f t="shared" si="2"/>
        <v>0</v>
      </c>
      <c r="H10"/>
    </row>
    <row r="11" spans="1:12" x14ac:dyDescent="0.25">
      <c r="A11" s="147"/>
      <c r="B11" s="204"/>
      <c r="C11" s="147"/>
      <c r="D11" s="262"/>
      <c r="E11" s="249"/>
      <c r="F11" s="447">
        <f t="shared" si="1"/>
        <v>0</v>
      </c>
      <c r="G11" s="26">
        <f t="shared" si="2"/>
        <v>0</v>
      </c>
      <c r="H11"/>
    </row>
    <row r="12" spans="1:12" x14ac:dyDescent="0.25">
      <c r="A12" s="147"/>
      <c r="B12" s="204"/>
      <c r="C12" s="147"/>
      <c r="D12" s="262"/>
      <c r="E12" s="249"/>
      <c r="F12" s="447">
        <f t="shared" si="1"/>
        <v>0</v>
      </c>
      <c r="G12" s="26">
        <f t="shared" si="2"/>
        <v>0</v>
      </c>
      <c r="H12"/>
    </row>
    <row r="13" spans="1:12" x14ac:dyDescent="0.25">
      <c r="A13" s="147"/>
      <c r="B13" s="204"/>
      <c r="C13" s="147"/>
      <c r="D13" s="262"/>
      <c r="E13" s="249"/>
      <c r="F13" s="447">
        <f t="shared" si="1"/>
        <v>0</v>
      </c>
      <c r="G13" s="26">
        <f t="shared" si="2"/>
        <v>0</v>
      </c>
      <c r="H13"/>
    </row>
    <row r="14" spans="1:12" x14ac:dyDescent="0.25">
      <c r="A14" s="147"/>
      <c r="B14" s="204"/>
      <c r="C14" s="147"/>
      <c r="D14" s="262"/>
      <c r="E14" s="249"/>
      <c r="F14" s="447">
        <f t="shared" si="1"/>
        <v>0</v>
      </c>
      <c r="G14" s="26">
        <f t="shared" si="2"/>
        <v>0</v>
      </c>
      <c r="H14"/>
    </row>
    <row r="15" spans="1:12" x14ac:dyDescent="0.25">
      <c r="A15" s="147"/>
      <c r="B15" s="204"/>
      <c r="C15" s="147"/>
      <c r="D15" s="262"/>
      <c r="E15" s="249"/>
      <c r="F15" s="447">
        <f t="shared" si="1"/>
        <v>0</v>
      </c>
      <c r="G15" s="26">
        <f t="shared" si="2"/>
        <v>0</v>
      </c>
      <c r="H15"/>
    </row>
    <row r="16" spans="1:12" x14ac:dyDescent="0.25">
      <c r="A16" s="147" t="s">
        <v>559</v>
      </c>
      <c r="B16" s="204"/>
      <c r="C16" s="147"/>
      <c r="D16" s="262">
        <v>0</v>
      </c>
      <c r="E16" s="249">
        <v>0</v>
      </c>
      <c r="F16" s="447">
        <f t="shared" si="1"/>
        <v>0</v>
      </c>
      <c r="G16" s="26">
        <f t="shared" si="2"/>
        <v>0</v>
      </c>
      <c r="H16"/>
    </row>
    <row r="17" spans="1:11" x14ac:dyDescent="0.25">
      <c r="A17" s="147" t="s">
        <v>559</v>
      </c>
      <c r="B17" s="204"/>
      <c r="C17" s="147"/>
      <c r="D17" s="262">
        <v>0</v>
      </c>
      <c r="E17" s="249"/>
      <c r="F17" s="447">
        <f t="shared" si="1"/>
        <v>0</v>
      </c>
      <c r="G17" s="26">
        <f t="shared" si="2"/>
        <v>0</v>
      </c>
      <c r="H17"/>
    </row>
    <row r="18" spans="1:11" x14ac:dyDescent="0.25">
      <c r="A18" s="147" t="s">
        <v>559</v>
      </c>
      <c r="B18" s="204"/>
      <c r="C18" s="147"/>
      <c r="D18" s="262">
        <v>0</v>
      </c>
      <c r="E18" s="249"/>
      <c r="F18" s="447">
        <f t="shared" si="1"/>
        <v>0</v>
      </c>
      <c r="G18" s="26">
        <f t="shared" si="2"/>
        <v>0</v>
      </c>
      <c r="H18"/>
    </row>
    <row r="19" spans="1:11" x14ac:dyDescent="0.25">
      <c r="A19" s="147" t="s">
        <v>559</v>
      </c>
      <c r="B19" s="204"/>
      <c r="C19" s="147"/>
      <c r="D19" s="262">
        <v>0</v>
      </c>
      <c r="E19" s="249"/>
      <c r="F19" s="447">
        <f t="shared" si="1"/>
        <v>0</v>
      </c>
      <c r="G19" s="26">
        <f t="shared" si="2"/>
        <v>0</v>
      </c>
      <c r="H19"/>
    </row>
    <row r="20" spans="1:11" ht="15.75" thickBot="1" x14ac:dyDescent="0.3">
      <c r="A20" s="147" t="s">
        <v>424</v>
      </c>
      <c r="B20" s="204">
        <f>+$B$3</f>
        <v>1368</v>
      </c>
      <c r="C20" s="147"/>
      <c r="D20" s="262">
        <v>0</v>
      </c>
      <c r="E20" s="249">
        <v>1</v>
      </c>
      <c r="F20" s="447">
        <f t="shared" si="1"/>
        <v>0</v>
      </c>
      <c r="G20" s="26">
        <f t="shared" si="2"/>
        <v>0</v>
      </c>
      <c r="H20" s="23"/>
      <c r="K20" s="3"/>
    </row>
    <row r="21" spans="1:11" x14ac:dyDescent="0.25">
      <c r="D21"/>
      <c r="E21" s="5"/>
      <c r="F21" s="1"/>
      <c r="G21" s="1"/>
      <c r="H21" s="14">
        <f>IF(K1="No",SUM(F8:G20),0)</f>
        <v>7817.6001360000009</v>
      </c>
      <c r="J21" s="2"/>
    </row>
    <row r="22" spans="1:11" x14ac:dyDescent="0.25">
      <c r="A22" s="2" t="s">
        <v>425</v>
      </c>
      <c r="D22"/>
      <c r="F22" s="5">
        <v>0</v>
      </c>
      <c r="I22" s="14">
        <f>SUM(H6:H21)</f>
        <v>7817.6001360000009</v>
      </c>
      <c r="J22" s="2"/>
    </row>
    <row r="23" spans="1:11" x14ac:dyDescent="0.25">
      <c r="A23" s="2" t="s">
        <v>151</v>
      </c>
      <c r="D23" t="s">
        <v>151</v>
      </c>
      <c r="E23" s="5" t="s">
        <v>151</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898" t="s">
        <v>2</v>
      </c>
      <c r="K1" s="898" t="str">
        <f>IF(Profit!Q6,IF(L1,"Yes","No"),"No")</f>
        <v>No</v>
      </c>
      <c r="L1" s="902" t="b">
        <v>0</v>
      </c>
    </row>
    <row r="2" spans="1:16" ht="15.75" thickBot="1" x14ac:dyDescent="0.3">
      <c r="A2" s="32" t="s">
        <v>192</v>
      </c>
      <c r="B2" s="32"/>
      <c r="C2" s="32"/>
      <c r="J2" s="899"/>
      <c r="K2" s="899"/>
      <c r="L2" s="903"/>
    </row>
    <row r="3" spans="1:16" s="22" customFormat="1" x14ac:dyDescent="0.25">
      <c r="A3" s="3" t="s">
        <v>308</v>
      </c>
      <c r="B3" s="3" t="s">
        <v>211</v>
      </c>
      <c r="C3" s="3" t="s">
        <v>256</v>
      </c>
      <c r="D3" s="3" t="s">
        <v>426</v>
      </c>
      <c r="E3" s="3" t="s">
        <v>268</v>
      </c>
      <c r="F3" s="8" t="s">
        <v>269</v>
      </c>
      <c r="G3" s="16" t="s">
        <v>312</v>
      </c>
      <c r="H3" s="3" t="s">
        <v>271</v>
      </c>
      <c r="J3" s="3"/>
      <c r="K3" s="3"/>
    </row>
    <row r="4" spans="1:16" s="22" customFormat="1" ht="15.75" thickBot="1" x14ac:dyDescent="0.3">
      <c r="A4" s="435"/>
      <c r="B4" s="435" t="s">
        <v>427</v>
      </c>
      <c r="C4" s="435"/>
      <c r="D4" s="434" t="s">
        <v>428</v>
      </c>
      <c r="E4" s="451">
        <v>0</v>
      </c>
      <c r="F4" s="442">
        <v>7000</v>
      </c>
      <c r="G4" s="443">
        <f>+E4*F4</f>
        <v>0</v>
      </c>
      <c r="H4" s="452"/>
      <c r="J4" s="3"/>
      <c r="K4" s="3"/>
    </row>
    <row r="5" spans="1:16" s="22" customFormat="1" x14ac:dyDescent="0.25">
      <c r="A5" s="439"/>
      <c r="B5" s="439"/>
      <c r="C5" s="439"/>
      <c r="D5" s="439"/>
      <c r="E5" s="439"/>
      <c r="F5" s="440"/>
      <c r="G5" s="453"/>
      <c r="H5" s="454">
        <f>IF(K1="Yes",+SUM(G4),0)</f>
        <v>0</v>
      </c>
      <c r="J5" s="3"/>
      <c r="K5" s="3"/>
    </row>
    <row r="6" spans="1:16" s="22" customFormat="1" x14ac:dyDescent="0.25">
      <c r="A6" s="3"/>
      <c r="B6" s="3" t="s">
        <v>827</v>
      </c>
      <c r="C6" s="3"/>
      <c r="D6" s="3" t="s">
        <v>828</v>
      </c>
      <c r="E6" s="3">
        <v>1</v>
      </c>
      <c r="F6" s="8">
        <v>152.83000000000001</v>
      </c>
      <c r="G6" s="26">
        <f t="shared" ref="G6:G7" si="0">+E6*F6</f>
        <v>152.83000000000001</v>
      </c>
      <c r="H6" s="3"/>
      <c r="J6" s="3"/>
      <c r="K6" s="3"/>
    </row>
    <row r="7" spans="1:16" s="22" customFormat="1" x14ac:dyDescent="0.25">
      <c r="A7" s="3"/>
      <c r="B7" s="3" t="s">
        <v>827</v>
      </c>
      <c r="C7" s="3"/>
      <c r="D7" s="3" t="s">
        <v>829</v>
      </c>
      <c r="E7" s="3">
        <v>1</v>
      </c>
      <c r="F7" s="8">
        <v>410.23</v>
      </c>
      <c r="G7" s="26">
        <f t="shared" si="0"/>
        <v>410.23</v>
      </c>
      <c r="H7" s="3"/>
      <c r="J7" s="3"/>
      <c r="K7" s="3"/>
    </row>
    <row r="8" spans="1:16" x14ac:dyDescent="0.25">
      <c r="A8"/>
      <c r="B8" t="s">
        <v>427</v>
      </c>
      <c r="C8"/>
      <c r="D8" s="2" t="s">
        <v>428</v>
      </c>
      <c r="E8" s="11">
        <v>0</v>
      </c>
      <c r="F8" s="5">
        <v>6000</v>
      </c>
      <c r="G8" s="26">
        <f>+E8*F8</f>
        <v>0</v>
      </c>
    </row>
    <row r="9" spans="1:16" x14ac:dyDescent="0.25">
      <c r="A9"/>
      <c r="B9" t="s">
        <v>429</v>
      </c>
      <c r="C9"/>
      <c r="D9" s="2" t="s">
        <v>430</v>
      </c>
      <c r="E9" s="11">
        <v>0</v>
      </c>
      <c r="F9" s="5">
        <v>8.98</v>
      </c>
      <c r="G9" s="26">
        <f>+E9*F9</f>
        <v>0</v>
      </c>
    </row>
    <row r="10" spans="1:16" x14ac:dyDescent="0.25">
      <c r="A10"/>
      <c r="B10" t="s">
        <v>506</v>
      </c>
      <c r="C10"/>
      <c r="D10" s="2" t="s">
        <v>505</v>
      </c>
      <c r="E10" s="11">
        <v>0</v>
      </c>
      <c r="F10" s="5">
        <v>22.97</v>
      </c>
      <c r="G10" s="26">
        <f t="shared" ref="G10:G15" si="1">+E10*F10</f>
        <v>0</v>
      </c>
    </row>
    <row r="11" spans="1:16" x14ac:dyDescent="0.25">
      <c r="A11"/>
      <c r="B11" t="s">
        <v>431</v>
      </c>
      <c r="C11"/>
      <c r="D11" s="2" t="s">
        <v>432</v>
      </c>
      <c r="E11" s="11">
        <v>0</v>
      </c>
      <c r="F11" s="5">
        <v>44.93</v>
      </c>
      <c r="G11" s="26">
        <f t="shared" si="1"/>
        <v>0</v>
      </c>
    </row>
    <row r="12" spans="1:16" x14ac:dyDescent="0.25">
      <c r="A12"/>
      <c r="B12" t="s">
        <v>433</v>
      </c>
      <c r="C12"/>
      <c r="D12" s="2" t="s">
        <v>507</v>
      </c>
      <c r="E12" s="11">
        <v>0</v>
      </c>
      <c r="F12" s="5">
        <v>5.98</v>
      </c>
      <c r="G12" s="26">
        <f t="shared" si="1"/>
        <v>0</v>
      </c>
    </row>
    <row r="13" spans="1:16" x14ac:dyDescent="0.25">
      <c r="A13"/>
      <c r="B13" t="s">
        <v>433</v>
      </c>
      <c r="C13"/>
      <c r="D13" s="2" t="s">
        <v>434</v>
      </c>
      <c r="E13" s="11">
        <v>0</v>
      </c>
      <c r="F13" s="5">
        <v>4.97</v>
      </c>
      <c r="G13" s="26">
        <f t="shared" si="1"/>
        <v>0</v>
      </c>
      <c r="K13" s="32"/>
      <c r="L13" s="2"/>
      <c r="N13" s="5"/>
      <c r="O13" s="26"/>
    </row>
    <row r="14" spans="1:16" x14ac:dyDescent="0.25">
      <c r="A14"/>
      <c r="B14" t="s">
        <v>435</v>
      </c>
      <c r="C14"/>
      <c r="D14" s="2" t="s">
        <v>436</v>
      </c>
      <c r="E14" s="11">
        <v>0</v>
      </c>
      <c r="F14" s="5">
        <v>23</v>
      </c>
      <c r="G14" s="26">
        <f t="shared" si="1"/>
        <v>0</v>
      </c>
      <c r="K14" s="3"/>
      <c r="L14" s="3"/>
      <c r="M14" s="3"/>
      <c r="N14" s="8"/>
      <c r="O14" s="16"/>
      <c r="P14" s="3"/>
    </row>
    <row r="15" spans="1:16" x14ac:dyDescent="0.25">
      <c r="A15"/>
      <c r="B15" t="s">
        <v>836</v>
      </c>
      <c r="C15" t="s">
        <v>151</v>
      </c>
      <c r="D15" s="2" t="s">
        <v>837</v>
      </c>
      <c r="E15" s="11">
        <v>1</v>
      </c>
      <c r="F15" s="5">
        <v>123.49</v>
      </c>
      <c r="G15" s="26">
        <f t="shared" si="1"/>
        <v>123.49</v>
      </c>
      <c r="L15" s="2"/>
      <c r="M15" s="11"/>
      <c r="N15" s="5"/>
      <c r="O15" s="26"/>
    </row>
    <row r="16" spans="1:16" ht="15.75" thickBot="1" x14ac:dyDescent="0.3">
      <c r="A16" s="2" t="s">
        <v>151</v>
      </c>
      <c r="B16" s="2" t="s">
        <v>437</v>
      </c>
      <c r="C16" s="480" t="s">
        <v>151</v>
      </c>
      <c r="E16">
        <v>0</v>
      </c>
      <c r="F16" s="5">
        <v>0</v>
      </c>
      <c r="G16" s="29">
        <f>+E16*F16</f>
        <v>0</v>
      </c>
      <c r="H16" s="29"/>
      <c r="L16" s="2"/>
      <c r="M16" s="11"/>
      <c r="N16" s="5"/>
      <c r="O16" s="26"/>
    </row>
    <row r="17" spans="5:16" x14ac:dyDescent="0.25">
      <c r="E17" s="896"/>
      <c r="F17" s="897"/>
      <c r="G17" s="897"/>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896"/>
      <c r="N24" s="897"/>
      <c r="O24" s="897"/>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438</v>
      </c>
      <c r="B1" s="3"/>
      <c r="I1" s="898" t="s">
        <v>2</v>
      </c>
      <c r="J1" s="898" t="str">
        <f>IF(Profit!Q6,IF(K1,"Yes","No"),"No")</f>
        <v>No</v>
      </c>
      <c r="K1" s="902" t="b">
        <v>0</v>
      </c>
    </row>
    <row r="2" spans="1:11" ht="15.75" thickBot="1" x14ac:dyDescent="0.3">
      <c r="C2" s="3"/>
      <c r="D2" s="8"/>
      <c r="E2" s="13"/>
      <c r="F2" s="13"/>
      <c r="G2" s="13"/>
      <c r="I2" s="899"/>
      <c r="J2" s="899"/>
      <c r="K2" s="903"/>
    </row>
    <row r="3" spans="1:11" x14ac:dyDescent="0.25">
      <c r="A3" s="3" t="s">
        <v>211</v>
      </c>
      <c r="B3" s="3" t="s">
        <v>324</v>
      </c>
      <c r="C3" s="3" t="s">
        <v>268</v>
      </c>
      <c r="D3" s="8" t="s">
        <v>269</v>
      </c>
      <c r="E3" s="13" t="s">
        <v>270</v>
      </c>
      <c r="F3" s="13" t="s">
        <v>257</v>
      </c>
      <c r="G3" s="13" t="s">
        <v>271</v>
      </c>
    </row>
    <row r="4" spans="1:11" x14ac:dyDescent="0.25">
      <c r="A4" s="445" t="s">
        <v>501</v>
      </c>
      <c r="B4" s="445" t="s">
        <v>549</v>
      </c>
      <c r="C4" s="435">
        <v>4</v>
      </c>
      <c r="D4" s="442">
        <v>21.97</v>
      </c>
      <c r="E4" s="436">
        <f>+C4*D4</f>
        <v>87.88</v>
      </c>
      <c r="F4" s="443">
        <f t="shared" ref="F4:F7" si="0">+E4*0.0725</f>
        <v>6.3712999999999989</v>
      </c>
      <c r="G4" s="441"/>
    </row>
    <row r="5" spans="1:11" x14ac:dyDescent="0.25">
      <c r="A5" s="445" t="s">
        <v>512</v>
      </c>
      <c r="B5" s="445" t="s">
        <v>513</v>
      </c>
      <c r="C5" s="435">
        <v>2</v>
      </c>
      <c r="D5" s="442">
        <v>79.97</v>
      </c>
      <c r="E5" s="436">
        <f t="shared" ref="E5:E7" si="1">+C5*D5</f>
        <v>159.94</v>
      </c>
      <c r="F5" s="443">
        <f t="shared" si="0"/>
        <v>11.595649999999999</v>
      </c>
      <c r="G5" s="436"/>
    </row>
    <row r="6" spans="1:11" x14ac:dyDescent="0.25">
      <c r="A6" s="445" t="s">
        <v>514</v>
      </c>
      <c r="B6" s="445" t="s">
        <v>515</v>
      </c>
      <c r="C6" s="435">
        <v>1</v>
      </c>
      <c r="D6" s="442">
        <v>123</v>
      </c>
      <c r="E6" s="436">
        <f t="shared" si="1"/>
        <v>123</v>
      </c>
      <c r="F6" s="443">
        <f t="shared" si="0"/>
        <v>8.9174999999999986</v>
      </c>
      <c r="G6" s="436"/>
    </row>
    <row r="7" spans="1:11" ht="15.75" thickBot="1" x14ac:dyDescent="0.3">
      <c r="A7" s="445" t="s">
        <v>518</v>
      </c>
      <c r="B7" s="445" t="s">
        <v>519</v>
      </c>
      <c r="C7" s="435">
        <v>2</v>
      </c>
      <c r="D7" s="442">
        <v>54.98</v>
      </c>
      <c r="E7" s="436">
        <f t="shared" si="1"/>
        <v>109.96</v>
      </c>
      <c r="F7" s="443">
        <f t="shared" si="0"/>
        <v>7.9720999999999993</v>
      </c>
      <c r="G7" s="444"/>
    </row>
    <row r="8" spans="1:11" x14ac:dyDescent="0.25">
      <c r="A8" s="439"/>
      <c r="B8" s="439"/>
      <c r="C8" s="439"/>
      <c r="D8" s="440"/>
      <c r="E8" s="441"/>
      <c r="F8" s="441"/>
      <c r="G8" s="436">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500</v>
      </c>
      <c r="B11" s="3" t="s">
        <v>844</v>
      </c>
      <c r="C11" s="30">
        <v>1</v>
      </c>
      <c r="D11" s="8">
        <v>80.73</v>
      </c>
      <c r="E11" s="14">
        <f>+C11*D11</f>
        <v>80.73</v>
      </c>
      <c r="F11" s="26">
        <f t="shared" ref="F11:F33" si="2">+E11*0.0725</f>
        <v>5.8529249999999999</v>
      </c>
      <c r="G11" s="13"/>
    </row>
    <row r="12" spans="1:11" x14ac:dyDescent="0.25">
      <c r="A12" s="30" t="s">
        <v>501</v>
      </c>
      <c r="B12" s="30" t="s">
        <v>845</v>
      </c>
      <c r="C12">
        <v>1</v>
      </c>
      <c r="D12" s="5">
        <v>25.48</v>
      </c>
      <c r="E12" s="14">
        <f>+C12*D12</f>
        <v>25.48</v>
      </c>
      <c r="F12" s="26">
        <f t="shared" si="2"/>
        <v>1.8472999999999999</v>
      </c>
    </row>
    <row r="13" spans="1:11" x14ac:dyDescent="0.25">
      <c r="A13" s="30" t="s">
        <v>501</v>
      </c>
      <c r="B13" s="30" t="s">
        <v>502</v>
      </c>
      <c r="C13">
        <v>0</v>
      </c>
      <c r="D13" s="5">
        <v>29.97</v>
      </c>
      <c r="E13" s="14">
        <f>+C13*D13</f>
        <v>0</v>
      </c>
      <c r="F13" s="26">
        <f t="shared" si="2"/>
        <v>0</v>
      </c>
    </row>
    <row r="14" spans="1:11" x14ac:dyDescent="0.25">
      <c r="A14" s="30" t="s">
        <v>501</v>
      </c>
      <c r="B14" s="30" t="s">
        <v>503</v>
      </c>
      <c r="C14">
        <v>0</v>
      </c>
      <c r="D14" s="5">
        <v>21.97</v>
      </c>
      <c r="E14" s="14">
        <f>+C14*D14</f>
        <v>0</v>
      </c>
      <c r="F14" s="26">
        <f t="shared" si="2"/>
        <v>0</v>
      </c>
    </row>
    <row r="15" spans="1:11" x14ac:dyDescent="0.25">
      <c r="A15" s="30" t="s">
        <v>501</v>
      </c>
      <c r="B15" s="30" t="s">
        <v>504</v>
      </c>
      <c r="C15">
        <v>0</v>
      </c>
      <c r="D15" s="5">
        <v>69.97</v>
      </c>
      <c r="E15" s="14">
        <f>+C15*D15</f>
        <v>0</v>
      </c>
      <c r="F15" s="26">
        <f t="shared" si="2"/>
        <v>0</v>
      </c>
    </row>
    <row r="16" spans="1:11" x14ac:dyDescent="0.25">
      <c r="A16" s="30" t="s">
        <v>508</v>
      </c>
      <c r="B16" s="30" t="s">
        <v>509</v>
      </c>
      <c r="C16">
        <v>0</v>
      </c>
      <c r="D16" s="5">
        <v>64.97</v>
      </c>
      <c r="E16" s="14">
        <f t="shared" ref="E16:E33" si="3">+C16*D16</f>
        <v>0</v>
      </c>
      <c r="F16" s="26">
        <f t="shared" si="2"/>
        <v>0</v>
      </c>
    </row>
    <row r="17" spans="1:6" x14ac:dyDescent="0.25">
      <c r="A17" s="30" t="s">
        <v>510</v>
      </c>
      <c r="B17" s="30" t="s">
        <v>511</v>
      </c>
      <c r="C17">
        <v>0</v>
      </c>
      <c r="D17" s="5">
        <v>89.97</v>
      </c>
      <c r="E17" s="14">
        <f t="shared" si="3"/>
        <v>0</v>
      </c>
      <c r="F17" s="26">
        <f t="shared" si="2"/>
        <v>0</v>
      </c>
    </row>
    <row r="18" spans="1:6" x14ac:dyDescent="0.25">
      <c r="A18" s="30" t="s">
        <v>439</v>
      </c>
      <c r="B18" s="30">
        <v>2535475</v>
      </c>
      <c r="C18">
        <v>0</v>
      </c>
      <c r="D18" s="5">
        <v>24.98</v>
      </c>
      <c r="E18" s="14">
        <f t="shared" si="3"/>
        <v>0</v>
      </c>
      <c r="F18" s="26">
        <f t="shared" si="2"/>
        <v>0</v>
      </c>
    </row>
    <row r="19" spans="1:6" x14ac:dyDescent="0.25">
      <c r="A19" s="30" t="s">
        <v>923</v>
      </c>
      <c r="B19" s="30" t="s">
        <v>924</v>
      </c>
      <c r="C19">
        <v>1</v>
      </c>
      <c r="D19" s="5">
        <v>43.98</v>
      </c>
      <c r="E19" s="14">
        <f t="shared" si="3"/>
        <v>43.98</v>
      </c>
      <c r="F19" s="26">
        <f t="shared" si="2"/>
        <v>3.1885499999999998</v>
      </c>
    </row>
    <row r="20" spans="1:6" x14ac:dyDescent="0.25">
      <c r="A20" s="30" t="s">
        <v>516</v>
      </c>
      <c r="B20" s="30" t="s">
        <v>517</v>
      </c>
      <c r="C20">
        <v>0</v>
      </c>
      <c r="D20" s="5">
        <v>62.97</v>
      </c>
      <c r="E20" s="14">
        <f t="shared" si="3"/>
        <v>0</v>
      </c>
      <c r="F20" s="26">
        <f t="shared" si="2"/>
        <v>0</v>
      </c>
    </row>
    <row r="21" spans="1:6" x14ac:dyDescent="0.25">
      <c r="A21" s="30" t="s">
        <v>518</v>
      </c>
      <c r="B21" s="30" t="s">
        <v>519</v>
      </c>
      <c r="C21">
        <v>0</v>
      </c>
      <c r="D21" s="5">
        <v>54.98</v>
      </c>
      <c r="E21" s="14">
        <f t="shared" si="3"/>
        <v>0</v>
      </c>
      <c r="F21" s="26">
        <f t="shared" si="2"/>
        <v>0</v>
      </c>
    </row>
    <row r="22" spans="1:6" x14ac:dyDescent="0.25">
      <c r="A22" s="30" t="s">
        <v>440</v>
      </c>
      <c r="B22" s="30" t="s">
        <v>441</v>
      </c>
      <c r="C22">
        <v>0</v>
      </c>
      <c r="D22" s="5">
        <v>17.97</v>
      </c>
      <c r="E22" s="14">
        <f t="shared" si="3"/>
        <v>0</v>
      </c>
      <c r="F22" s="26">
        <f t="shared" si="2"/>
        <v>0</v>
      </c>
    </row>
    <row r="23" spans="1:6" x14ac:dyDescent="0.25">
      <c r="A23" s="30" t="s">
        <v>442</v>
      </c>
      <c r="B23" s="30" t="s">
        <v>443</v>
      </c>
      <c r="C23">
        <v>0</v>
      </c>
      <c r="D23" s="5">
        <v>16.98</v>
      </c>
      <c r="E23" s="14">
        <f t="shared" si="3"/>
        <v>0</v>
      </c>
      <c r="F23" s="26">
        <f t="shared" si="2"/>
        <v>0</v>
      </c>
    </row>
    <row r="24" spans="1:6" x14ac:dyDescent="0.25">
      <c r="A24" s="30" t="s">
        <v>444</v>
      </c>
      <c r="B24" s="30" t="s">
        <v>445</v>
      </c>
      <c r="C24">
        <v>0</v>
      </c>
      <c r="D24" s="5">
        <v>3.27</v>
      </c>
      <c r="E24" s="14">
        <f t="shared" si="3"/>
        <v>0</v>
      </c>
      <c r="F24" s="26">
        <f t="shared" si="2"/>
        <v>0</v>
      </c>
    </row>
    <row r="25" spans="1:6" x14ac:dyDescent="0.25">
      <c r="A25" s="30" t="s">
        <v>512</v>
      </c>
      <c r="B25" s="30" t="s">
        <v>513</v>
      </c>
      <c r="C25">
        <v>0</v>
      </c>
      <c r="D25" s="5">
        <v>79.97</v>
      </c>
      <c r="E25" s="14">
        <f t="shared" si="3"/>
        <v>0</v>
      </c>
      <c r="F25" s="26">
        <f t="shared" si="2"/>
        <v>0</v>
      </c>
    </row>
    <row r="26" spans="1:6" x14ac:dyDescent="0.25">
      <c r="A26" s="30" t="s">
        <v>514</v>
      </c>
      <c r="B26" s="30" t="s">
        <v>515</v>
      </c>
      <c r="C26">
        <v>0</v>
      </c>
      <c r="D26" s="5">
        <v>123</v>
      </c>
      <c r="E26" s="14">
        <f t="shared" si="3"/>
        <v>0</v>
      </c>
      <c r="F26" s="26">
        <f t="shared" si="2"/>
        <v>0</v>
      </c>
    </row>
    <row r="27" spans="1:6" x14ac:dyDescent="0.25">
      <c r="A27" s="30" t="s">
        <v>446</v>
      </c>
      <c r="B27" s="30" t="s">
        <v>447</v>
      </c>
      <c r="C27">
        <v>0</v>
      </c>
      <c r="D27" s="5">
        <v>13.98</v>
      </c>
      <c r="E27" s="14">
        <f t="shared" si="3"/>
        <v>0</v>
      </c>
      <c r="F27" s="26">
        <f t="shared" si="2"/>
        <v>0</v>
      </c>
    </row>
    <row r="28" spans="1:6" x14ac:dyDescent="0.25">
      <c r="A28" s="30" t="s">
        <v>448</v>
      </c>
      <c r="B28" s="30">
        <v>39800072986</v>
      </c>
      <c r="C28">
        <v>0</v>
      </c>
      <c r="D28" s="5">
        <v>17.87</v>
      </c>
      <c r="E28" s="14">
        <f t="shared" si="3"/>
        <v>0</v>
      </c>
      <c r="F28" s="26">
        <f t="shared" si="2"/>
        <v>0</v>
      </c>
    </row>
    <row r="29" spans="1:6" x14ac:dyDescent="0.25">
      <c r="A29" s="30" t="s">
        <v>449</v>
      </c>
      <c r="B29" s="290">
        <v>46335120372</v>
      </c>
      <c r="C29">
        <v>0</v>
      </c>
      <c r="D29" s="5">
        <v>99.97</v>
      </c>
      <c r="E29" s="14">
        <f t="shared" si="3"/>
        <v>0</v>
      </c>
      <c r="F29" s="26">
        <f t="shared" si="2"/>
        <v>0</v>
      </c>
    </row>
    <row r="30" spans="1:6" x14ac:dyDescent="0.25">
      <c r="A30" s="30" t="s">
        <v>450</v>
      </c>
      <c r="B30" s="290">
        <v>792145370178</v>
      </c>
      <c r="C30">
        <v>0</v>
      </c>
      <c r="D30" s="5">
        <v>59.97</v>
      </c>
      <c r="E30" s="14">
        <f t="shared" si="3"/>
        <v>0</v>
      </c>
      <c r="F30" s="26">
        <f t="shared" si="2"/>
        <v>0</v>
      </c>
    </row>
    <row r="31" spans="1:6" x14ac:dyDescent="0.25">
      <c r="A31" s="30" t="s">
        <v>451</v>
      </c>
      <c r="B31" s="30">
        <v>82392573331</v>
      </c>
      <c r="C31">
        <v>0</v>
      </c>
      <c r="D31" s="5">
        <v>109</v>
      </c>
      <c r="E31" s="14">
        <f t="shared" si="3"/>
        <v>0</v>
      </c>
      <c r="F31" s="26">
        <f t="shared" si="2"/>
        <v>0</v>
      </c>
    </row>
    <row r="32" spans="1:6" x14ac:dyDescent="0.25">
      <c r="A32" s="30" t="s">
        <v>452</v>
      </c>
      <c r="B32" s="30">
        <v>5190530</v>
      </c>
      <c r="C32">
        <v>0</v>
      </c>
      <c r="D32" s="5">
        <v>18.98</v>
      </c>
      <c r="E32" s="14">
        <f t="shared" si="3"/>
        <v>0</v>
      </c>
      <c r="F32" s="26">
        <f t="shared" si="2"/>
        <v>0</v>
      </c>
    </row>
    <row r="33" spans="1:10" ht="15.75" thickBot="1" x14ac:dyDescent="0.3">
      <c r="A33" s="30" t="s">
        <v>453</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241</v>
      </c>
      <c r="B1" s="16"/>
      <c r="H1" s="898" t="s">
        <v>2</v>
      </c>
      <c r="I1" s="898" t="str">
        <f>IF(Profit!$Q$6,IF(J1="No","No","Yes"),"no")</f>
        <v>no</v>
      </c>
      <c r="J1" s="900"/>
    </row>
    <row r="2" spans="1:10" s="15" customFormat="1" ht="15.75" thickBot="1" x14ac:dyDescent="0.3">
      <c r="A2" s="3" t="s">
        <v>208</v>
      </c>
      <c r="B2" s="17" t="s">
        <v>454</v>
      </c>
      <c r="C2" s="30" t="s">
        <v>455</v>
      </c>
      <c r="D2" s="3" t="s">
        <v>268</v>
      </c>
      <c r="E2" s="8" t="s">
        <v>456</v>
      </c>
      <c r="F2" s="6" t="s">
        <v>457</v>
      </c>
      <c r="G2" s="15" t="s">
        <v>271</v>
      </c>
      <c r="H2" s="899"/>
      <c r="I2" s="899"/>
      <c r="J2" s="901"/>
    </row>
    <row r="4" spans="1:10" x14ac:dyDescent="0.25">
      <c r="A4" s="2" t="s">
        <v>151</v>
      </c>
      <c r="B4" s="18">
        <v>0</v>
      </c>
      <c r="C4" s="2" t="s">
        <v>151</v>
      </c>
      <c r="D4">
        <v>1</v>
      </c>
      <c r="E4" s="5">
        <v>0</v>
      </c>
      <c r="F4" s="1">
        <f t="shared" ref="F4:F11" si="0">+D4*E4</f>
        <v>0</v>
      </c>
    </row>
    <row r="5" spans="1:10" x14ac:dyDescent="0.25">
      <c r="A5" s="2" t="s">
        <v>458</v>
      </c>
      <c r="B5" s="18">
        <v>1</v>
      </c>
      <c r="C5" s="2">
        <f>24*10</f>
        <v>240</v>
      </c>
      <c r="D5">
        <v>0</v>
      </c>
      <c r="E5" s="5">
        <v>60</v>
      </c>
      <c r="F5" s="1">
        <f>+C5*B5*D5</f>
        <v>0</v>
      </c>
    </row>
    <row r="6" spans="1:10" x14ac:dyDescent="0.25">
      <c r="A6" s="2" t="s">
        <v>459</v>
      </c>
      <c r="D6">
        <v>0</v>
      </c>
      <c r="E6" s="5">
        <v>150</v>
      </c>
      <c r="F6" s="1">
        <f t="shared" si="0"/>
        <v>0</v>
      </c>
    </row>
    <row r="7" spans="1:10" x14ac:dyDescent="0.25">
      <c r="A7" s="2" t="s">
        <v>460</v>
      </c>
      <c r="D7">
        <v>1</v>
      </c>
      <c r="E7" s="5">
        <v>2871</v>
      </c>
      <c r="F7" s="1">
        <f t="shared" si="0"/>
        <v>2871</v>
      </c>
    </row>
    <row r="8" spans="1:10" x14ac:dyDescent="0.25">
      <c r="A8" s="2" t="s">
        <v>890</v>
      </c>
      <c r="D8">
        <v>1</v>
      </c>
      <c r="E8" s="5">
        <v>29.96</v>
      </c>
      <c r="F8" s="1">
        <f t="shared" si="0"/>
        <v>29.96</v>
      </c>
    </row>
    <row r="9" spans="1:10" x14ac:dyDescent="0.25">
      <c r="A9" s="2" t="s">
        <v>461</v>
      </c>
      <c r="D9">
        <v>0</v>
      </c>
      <c r="E9" s="5">
        <v>29</v>
      </c>
      <c r="F9" s="1">
        <f t="shared" si="0"/>
        <v>0</v>
      </c>
    </row>
    <row r="10" spans="1:10" x14ac:dyDescent="0.25">
      <c r="A10" s="2" t="s">
        <v>462</v>
      </c>
      <c r="D10">
        <v>0</v>
      </c>
      <c r="E10" s="5">
        <v>15</v>
      </c>
      <c r="F10" s="1">
        <f t="shared" si="0"/>
        <v>0</v>
      </c>
    </row>
    <row r="11" spans="1:10" x14ac:dyDescent="0.25">
      <c r="A11" s="2" t="s">
        <v>463</v>
      </c>
      <c r="D11">
        <v>0</v>
      </c>
      <c r="E11" s="5">
        <v>1100</v>
      </c>
      <c r="F11" s="1">
        <f t="shared" si="0"/>
        <v>0</v>
      </c>
    </row>
    <row r="12" spans="1:10" x14ac:dyDescent="0.25">
      <c r="A12" s="2" t="s">
        <v>524</v>
      </c>
      <c r="D12">
        <v>0</v>
      </c>
      <c r="E12" s="5">
        <v>285</v>
      </c>
      <c r="F12" s="1">
        <v>0</v>
      </c>
    </row>
    <row r="13" spans="1:10" x14ac:dyDescent="0.25">
      <c r="A13" s="2" t="s">
        <v>838</v>
      </c>
      <c r="B13" s="18" t="s">
        <v>151</v>
      </c>
      <c r="D13">
        <v>1</v>
      </c>
      <c r="E13" s="5">
        <v>80</v>
      </c>
      <c r="F13" s="1">
        <f>+D13*E13</f>
        <v>80</v>
      </c>
    </row>
    <row r="14" spans="1:10" x14ac:dyDescent="0.25">
      <c r="A14" s="2" t="s">
        <v>902</v>
      </c>
      <c r="C14" s="480">
        <v>45836</v>
      </c>
      <c r="D14">
        <v>1</v>
      </c>
      <c r="E14" s="5">
        <v>75</v>
      </c>
      <c r="F14" s="1">
        <f>+D14*E14</f>
        <v>75</v>
      </c>
    </row>
    <row r="15" spans="1:10" x14ac:dyDescent="0.25">
      <c r="A15" s="2" t="s">
        <v>889</v>
      </c>
      <c r="D15">
        <v>1</v>
      </c>
      <c r="E15" s="5">
        <v>250</v>
      </c>
      <c r="F15" s="1">
        <f>+D15*E15</f>
        <v>250</v>
      </c>
    </row>
    <row r="16" spans="1:10" ht="15.75" thickBot="1" x14ac:dyDescent="0.3">
      <c r="F16" s="29"/>
      <c r="G16" s="23"/>
    </row>
    <row r="17" spans="3:7" x14ac:dyDescent="0.25">
      <c r="C17" s="2">
        <f>+SUM(C4:C16)</f>
        <v>46076</v>
      </c>
      <c r="F17" s="15" t="s">
        <v>271</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646</v>
      </c>
      <c r="B1" s="32"/>
      <c r="C1" s="32"/>
      <c r="D1" s="16"/>
      <c r="I1" s="898" t="s">
        <v>2</v>
      </c>
      <c r="J1" s="898" t="str">
        <f>IF(Profit!$Q$6,IF(K1="No","No","Yes"),"no")</f>
        <v>no</v>
      </c>
      <c r="K1" s="900"/>
    </row>
    <row r="2" spans="1:14" s="61" customFormat="1" ht="30.75" thickBot="1" x14ac:dyDescent="0.3">
      <c r="A2" s="61" t="s">
        <v>208</v>
      </c>
      <c r="B2" s="61" t="s">
        <v>208</v>
      </c>
      <c r="C2" s="61" t="s">
        <v>182</v>
      </c>
      <c r="D2" s="325" t="s">
        <v>464</v>
      </c>
      <c r="E2" s="61" t="s">
        <v>271</v>
      </c>
      <c r="F2" s="61" t="s">
        <v>465</v>
      </c>
      <c r="G2" s="257"/>
      <c r="H2" s="325">
        <v>20</v>
      </c>
      <c r="I2" s="899"/>
      <c r="J2" s="899"/>
      <c r="K2" s="901"/>
    </row>
    <row r="4" spans="1:14" x14ac:dyDescent="0.25">
      <c r="A4" s="2" t="s">
        <v>196</v>
      </c>
      <c r="C4" s="2">
        <v>0</v>
      </c>
      <c r="D4" s="18">
        <v>800</v>
      </c>
      <c r="E4" s="5">
        <f>+C4*D4</f>
        <v>0</v>
      </c>
    </row>
    <row r="5" spans="1:14" x14ac:dyDescent="0.25">
      <c r="A5" s="2" t="s">
        <v>466</v>
      </c>
      <c r="B5" s="2" t="s">
        <v>841</v>
      </c>
      <c r="C5" s="2">
        <v>1</v>
      </c>
      <c r="D5" s="18">
        <v>24.63</v>
      </c>
      <c r="E5" s="5">
        <f t="shared" ref="E5:E20" si="0">+C5*D5</f>
        <v>24.63</v>
      </c>
    </row>
    <row r="6" spans="1:14" x14ac:dyDescent="0.25">
      <c r="A6" s="2" t="s">
        <v>848</v>
      </c>
      <c r="B6" s="2" t="s">
        <v>849</v>
      </c>
      <c r="C6" s="2">
        <v>1</v>
      </c>
      <c r="D6" s="18">
        <v>35.229999999999997</v>
      </c>
      <c r="E6" s="5">
        <f t="shared" si="0"/>
        <v>35.229999999999997</v>
      </c>
    </row>
    <row r="7" spans="1:14" x14ac:dyDescent="0.25">
      <c r="A7" s="2" t="s">
        <v>467</v>
      </c>
      <c r="C7" s="2">
        <v>0</v>
      </c>
      <c r="D7" s="18">
        <v>28.47</v>
      </c>
      <c r="E7" s="5">
        <f t="shared" si="0"/>
        <v>0</v>
      </c>
    </row>
    <row r="8" spans="1:14" x14ac:dyDescent="0.25">
      <c r="A8" s="32" t="s">
        <v>832</v>
      </c>
      <c r="B8" s="32"/>
      <c r="C8" s="2">
        <v>0</v>
      </c>
      <c r="D8" s="18">
        <v>28.47</v>
      </c>
      <c r="E8" s="5">
        <f t="shared" ref="E8:E12" si="1">+C8*D8</f>
        <v>0</v>
      </c>
    </row>
    <row r="9" spans="1:14" x14ac:dyDescent="0.25">
      <c r="A9" s="2" t="s">
        <v>839</v>
      </c>
      <c r="C9" s="2">
        <v>2</v>
      </c>
      <c r="D9" s="18">
        <v>300</v>
      </c>
      <c r="E9" s="5">
        <v>643.5</v>
      </c>
    </row>
    <row r="10" spans="1:14" x14ac:dyDescent="0.25">
      <c r="A10" s="2" t="s">
        <v>833</v>
      </c>
      <c r="C10" s="2">
        <v>0</v>
      </c>
      <c r="D10" s="18">
        <v>1000</v>
      </c>
      <c r="E10" s="5">
        <f t="shared" si="1"/>
        <v>0</v>
      </c>
    </row>
    <row r="11" spans="1:14" x14ac:dyDescent="0.25">
      <c r="A11" s="2" t="s">
        <v>834</v>
      </c>
      <c r="C11" s="2">
        <v>0</v>
      </c>
      <c r="D11" s="18">
        <v>300</v>
      </c>
      <c r="E11" s="5">
        <f t="shared" si="1"/>
        <v>0</v>
      </c>
    </row>
    <row r="12" spans="1:14" x14ac:dyDescent="0.25">
      <c r="A12" s="2" t="s">
        <v>835</v>
      </c>
      <c r="C12" s="2">
        <v>0</v>
      </c>
      <c r="D12" s="18">
        <v>500</v>
      </c>
      <c r="E12" s="5">
        <f t="shared" si="1"/>
        <v>0</v>
      </c>
    </row>
    <row r="13" spans="1:14" x14ac:dyDescent="0.25">
      <c r="A13" s="2" t="s">
        <v>860</v>
      </c>
      <c r="B13" s="2" t="s">
        <v>861</v>
      </c>
      <c r="C13" s="2">
        <v>1</v>
      </c>
      <c r="D13" s="18">
        <v>22.64</v>
      </c>
      <c r="E13" s="5">
        <f t="shared" si="0"/>
        <v>22.64</v>
      </c>
    </row>
    <row r="14" spans="1:14" x14ac:dyDescent="0.25">
      <c r="A14" s="2" t="s">
        <v>468</v>
      </c>
      <c r="C14" s="2">
        <v>0</v>
      </c>
      <c r="D14" s="18">
        <v>1000</v>
      </c>
      <c r="E14" s="5">
        <f t="shared" si="0"/>
        <v>0</v>
      </c>
    </row>
    <row r="15" spans="1:14" x14ac:dyDescent="0.25">
      <c r="A15" s="2" t="s">
        <v>469</v>
      </c>
      <c r="E15" s="5">
        <f t="shared" si="0"/>
        <v>0</v>
      </c>
    </row>
    <row r="16" spans="1:14" x14ac:dyDescent="0.25">
      <c r="A16" s="2" t="s">
        <v>469</v>
      </c>
      <c r="E16" s="5">
        <f t="shared" si="0"/>
        <v>0</v>
      </c>
      <c r="K16">
        <v>872.32</v>
      </c>
      <c r="L16">
        <v>112.37</v>
      </c>
      <c r="M16">
        <f>+K16+L16</f>
        <v>984.69</v>
      </c>
      <c r="N16">
        <f>+L16/M16</f>
        <v>0.11411713331099127</v>
      </c>
    </row>
    <row r="17" spans="1:10" x14ac:dyDescent="0.25">
      <c r="A17" s="2" t="s">
        <v>470</v>
      </c>
      <c r="C17" s="2">
        <v>0</v>
      </c>
      <c r="D17" s="18">
        <v>5500</v>
      </c>
      <c r="E17" s="5">
        <f t="shared" si="0"/>
        <v>0</v>
      </c>
    </row>
    <row r="18" spans="1:10" x14ac:dyDescent="0.25">
      <c r="A18" s="2" t="s">
        <v>875</v>
      </c>
      <c r="B18" s="2" t="s">
        <v>876</v>
      </c>
      <c r="C18" s="2">
        <v>1</v>
      </c>
      <c r="D18" s="18">
        <v>12.33</v>
      </c>
      <c r="E18" s="5">
        <f t="shared" si="0"/>
        <v>12.33</v>
      </c>
    </row>
    <row r="19" spans="1:10" x14ac:dyDescent="0.25">
      <c r="A19" s="2" t="s">
        <v>877</v>
      </c>
      <c r="B19" s="2" t="s">
        <v>878</v>
      </c>
      <c r="C19" s="2">
        <v>1</v>
      </c>
      <c r="D19" s="18">
        <v>14.23</v>
      </c>
      <c r="E19" s="5">
        <f t="shared" si="0"/>
        <v>14.23</v>
      </c>
    </row>
    <row r="20" spans="1:10" x14ac:dyDescent="0.25">
      <c r="A20" s="2" t="s">
        <v>879</v>
      </c>
      <c r="B20" s="2" t="s">
        <v>880</v>
      </c>
      <c r="C20" s="2">
        <v>1</v>
      </c>
      <c r="D20" s="18">
        <v>37.979999999999997</v>
      </c>
      <c r="E20" s="5">
        <f t="shared" si="0"/>
        <v>37.979999999999997</v>
      </c>
      <c r="J20" s="3" t="s">
        <v>151</v>
      </c>
    </row>
    <row r="21" spans="1:10" x14ac:dyDescent="0.25">
      <c r="A21" s="2" t="s">
        <v>471</v>
      </c>
      <c r="C21" s="2">
        <v>0</v>
      </c>
      <c r="D21" s="18">
        <v>7.33</v>
      </c>
      <c r="E21" s="5">
        <f>+C21*D21</f>
        <v>0</v>
      </c>
      <c r="J21" s="3"/>
    </row>
    <row r="22" spans="1:10" x14ac:dyDescent="0.25">
      <c r="A22" s="2" t="s">
        <v>472</v>
      </c>
      <c r="C22" s="2">
        <v>0</v>
      </c>
      <c r="D22" s="18">
        <v>9.9700000000000006</v>
      </c>
      <c r="E22" s="5">
        <f>+C22*D22</f>
        <v>0</v>
      </c>
      <c r="J22" s="3"/>
    </row>
    <row r="23" spans="1:10" x14ac:dyDescent="0.25">
      <c r="A23" s="2" t="s">
        <v>473</v>
      </c>
      <c r="C23" s="2">
        <v>0</v>
      </c>
      <c r="D23" s="18">
        <v>3.98</v>
      </c>
      <c r="E23" s="5">
        <f>+C23*D23</f>
        <v>0</v>
      </c>
      <c r="J23" s="3"/>
    </row>
    <row r="24" spans="1:10" x14ac:dyDescent="0.25">
      <c r="A24" s="2" t="s">
        <v>904</v>
      </c>
      <c r="C24" s="2">
        <v>1</v>
      </c>
      <c r="D24" s="18">
        <v>367.22</v>
      </c>
      <c r="E24" s="5">
        <f>+C24*D24</f>
        <v>367.22</v>
      </c>
      <c r="I24" s="1"/>
      <c r="J24" t="s">
        <v>151</v>
      </c>
    </row>
    <row r="25" spans="1:10" x14ac:dyDescent="0.25">
      <c r="A25" s="2" t="s">
        <v>840</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789" t="s">
        <v>570</v>
      </c>
      <c r="C1" s="790"/>
      <c r="E1" s="789" t="s">
        <v>574</v>
      </c>
      <c r="F1" s="790"/>
      <c r="H1" s="789" t="s">
        <v>573</v>
      </c>
      <c r="I1" s="790"/>
      <c r="L1" s="789" t="s">
        <v>589</v>
      </c>
      <c r="M1" s="790"/>
    </row>
    <row r="2" spans="1:14" x14ac:dyDescent="0.25">
      <c r="A2" s="2" t="s">
        <v>571</v>
      </c>
    </row>
    <row r="3" spans="1:14" x14ac:dyDescent="0.25">
      <c r="A3" s="2" t="s">
        <v>575</v>
      </c>
      <c r="B3" s="327">
        <v>0.56000000000000005</v>
      </c>
      <c r="E3" s="327">
        <f>+B3</f>
        <v>0.56000000000000005</v>
      </c>
      <c r="H3" s="327">
        <f>+E3</f>
        <v>0.56000000000000005</v>
      </c>
      <c r="L3" s="327">
        <f>+E3</f>
        <v>0.56000000000000005</v>
      </c>
    </row>
    <row r="4" spans="1:14" ht="15.75" thickBot="1" x14ac:dyDescent="0.3">
      <c r="A4" s="2" t="s">
        <v>572</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580</v>
      </c>
      <c r="B12" s="789" t="s">
        <v>570</v>
      </c>
      <c r="C12" s="790"/>
      <c r="D12" s="3"/>
      <c r="E12" s="789" t="s">
        <v>574</v>
      </c>
      <c r="F12" s="790"/>
      <c r="G12" s="3"/>
      <c r="H12" s="789" t="s">
        <v>573</v>
      </c>
      <c r="I12" s="790"/>
      <c r="J12" s="3"/>
      <c r="K12" s="3"/>
    </row>
    <row r="13" spans="1:14" x14ac:dyDescent="0.25">
      <c r="A13" s="2" t="s">
        <v>582</v>
      </c>
      <c r="B13" s="327">
        <v>0.2</v>
      </c>
      <c r="C13">
        <f>+B13*STR!$C$4</f>
        <v>0</v>
      </c>
      <c r="E13" s="327">
        <f>+B13</f>
        <v>0.2</v>
      </c>
      <c r="F13">
        <f>+E13*STR!$F$4</f>
        <v>0</v>
      </c>
      <c r="H13" s="327">
        <f>+E13</f>
        <v>0.2</v>
      </c>
      <c r="I13">
        <f>+H13*STR!$M$4</f>
        <v>0</v>
      </c>
      <c r="K13" s="4">
        <f>+C13+F13+I13</f>
        <v>0</v>
      </c>
    </row>
    <row r="14" spans="1:14" ht="15.75" thickBot="1" x14ac:dyDescent="0.3">
      <c r="A14" s="2" t="s">
        <v>576</v>
      </c>
      <c r="B14" s="327">
        <v>0.05</v>
      </c>
      <c r="C14">
        <f>+B14*STR!$C$4</f>
        <v>0</v>
      </c>
      <c r="E14" s="327">
        <v>0.05</v>
      </c>
      <c r="F14">
        <f>+E14*STR!$C$4</f>
        <v>0</v>
      </c>
      <c r="H14" s="327">
        <v>0.05</v>
      </c>
      <c r="I14">
        <f>+H14*STR!$C$4</f>
        <v>0</v>
      </c>
      <c r="K14" s="328">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08" t="s">
        <v>593</v>
      </c>
      <c r="C2" s="909"/>
      <c r="D2" s="299" t="s">
        <v>137</v>
      </c>
      <c r="E2" s="305" t="s">
        <v>138</v>
      </c>
      <c r="F2" s="182" t="s">
        <v>139</v>
      </c>
      <c r="G2" s="154"/>
      <c r="H2" s="151"/>
    </row>
    <row r="3" spans="1:11" ht="15.75" thickBot="1" x14ac:dyDescent="0.3">
      <c r="B3" s="178" t="s">
        <v>152</v>
      </c>
      <c r="C3" s="179">
        <f>+SUM(E3:G3)</f>
        <v>335000</v>
      </c>
      <c r="D3" s="179"/>
      <c r="E3" s="252">
        <v>50000</v>
      </c>
      <c r="F3" s="302">
        <v>285000</v>
      </c>
      <c r="G3" s="250"/>
      <c r="I3" s="61"/>
      <c r="J3" s="61"/>
      <c r="K3" s="61"/>
    </row>
    <row r="4" spans="1:11" x14ac:dyDescent="0.25">
      <c r="B4" s="178" t="s">
        <v>153</v>
      </c>
      <c r="C4" s="179">
        <f>+SUM(E4:$G$4)</f>
        <v>89099.277500000011</v>
      </c>
      <c r="D4" s="179"/>
      <c r="E4" s="252">
        <v>10000.13875</v>
      </c>
      <c r="F4" s="303">
        <v>79099.138750000013</v>
      </c>
      <c r="G4" s="250"/>
      <c r="I4" s="61"/>
      <c r="J4" s="61"/>
      <c r="K4" s="61"/>
    </row>
    <row r="5" spans="1:11" x14ac:dyDescent="0.25">
      <c r="B5" s="180" t="s">
        <v>154</v>
      </c>
      <c r="C5" s="181">
        <f>+SUM(E5:G5)</f>
        <v>84974.5</v>
      </c>
      <c r="D5" s="181"/>
      <c r="E5" s="252">
        <v>0</v>
      </c>
      <c r="F5" s="303">
        <v>84974.5</v>
      </c>
      <c r="G5" s="152"/>
      <c r="I5" s="61"/>
      <c r="J5" s="61"/>
      <c r="K5" s="61"/>
    </row>
    <row r="6" spans="1:11" ht="15.75" thickBot="1" x14ac:dyDescent="0.3">
      <c r="B6" s="153" t="s">
        <v>155</v>
      </c>
      <c r="C6" s="149">
        <f>+SUM($E$6:$G$6)</f>
        <v>91406.693999999989</v>
      </c>
      <c r="D6" s="149"/>
      <c r="E6" s="300">
        <v>30489.599999999999</v>
      </c>
      <c r="F6" s="300">
        <v>60917.093999999997</v>
      </c>
      <c r="G6" s="152"/>
      <c r="I6" s="61"/>
      <c r="J6" s="61"/>
      <c r="K6" s="61"/>
    </row>
    <row r="7" spans="1:11" ht="15.75" thickBot="1" x14ac:dyDescent="0.3">
      <c r="B7" s="153" t="s">
        <v>156</v>
      </c>
      <c r="C7" s="149">
        <f>+SUM($E$7:$G$7)</f>
        <v>0</v>
      </c>
      <c r="D7" s="149"/>
      <c r="E7" s="252"/>
      <c r="F7" s="304"/>
      <c r="G7" s="152"/>
      <c r="I7" s="61"/>
      <c r="J7" s="61"/>
      <c r="K7" s="61"/>
    </row>
    <row r="8" spans="1:11" ht="15.75" thickBot="1" x14ac:dyDescent="0.3">
      <c r="B8" s="153" t="s">
        <v>157</v>
      </c>
      <c r="C8" s="904">
        <f>+AVERAGE(E3:F3)</f>
        <v>167500</v>
      </c>
      <c r="D8" s="687"/>
      <c r="E8" s="910"/>
      <c r="F8" s="772"/>
      <c r="G8" s="659"/>
      <c r="I8" s="61"/>
      <c r="J8" s="61"/>
      <c r="K8" s="61"/>
    </row>
    <row r="9" spans="1:11" ht="15.75" thickBot="1" x14ac:dyDescent="0.3">
      <c r="B9" s="153" t="s">
        <v>158</v>
      </c>
      <c r="C9" s="904">
        <f>+AVERAGE(E4:F4)</f>
        <v>44549.638750000006</v>
      </c>
      <c r="D9" s="687"/>
      <c r="E9" s="660"/>
      <c r="F9" s="774"/>
      <c r="G9" s="661"/>
      <c r="I9" s="61"/>
      <c r="J9" s="61"/>
      <c r="K9" s="61"/>
    </row>
    <row r="10" spans="1:11" ht="15.75" thickBot="1" x14ac:dyDescent="0.3">
      <c r="B10" s="153" t="s">
        <v>159</v>
      </c>
      <c r="C10" s="904">
        <f>+AVERAGE(E5:F5)</f>
        <v>42487.25</v>
      </c>
      <c r="D10" s="687"/>
      <c r="E10" s="911" t="s">
        <v>160</v>
      </c>
      <c r="F10" s="723"/>
      <c r="G10" s="721"/>
      <c r="I10" s="61"/>
      <c r="J10" s="61"/>
      <c r="K10" s="61"/>
    </row>
    <row r="11" spans="1:11" ht="15.75" thickBot="1" x14ac:dyDescent="0.3">
      <c r="B11" s="153" t="s">
        <v>161</v>
      </c>
      <c r="C11" s="904">
        <f>+AVERAGE(E6:F6)</f>
        <v>45703.346999999994</v>
      </c>
      <c r="D11" s="687"/>
      <c r="E11" s="905" t="s">
        <v>162</v>
      </c>
      <c r="F11" s="906"/>
      <c r="G11" s="907"/>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08" t="s">
        <v>592</v>
      </c>
      <c r="C2" s="909"/>
      <c r="D2" s="299" t="s">
        <v>137</v>
      </c>
      <c r="E2" s="305" t="s">
        <v>475</v>
      </c>
      <c r="F2" s="182" t="s">
        <v>140</v>
      </c>
      <c r="G2" s="154"/>
      <c r="H2" s="151"/>
    </row>
    <row r="3" spans="1:8" ht="15.75" thickBot="1" x14ac:dyDescent="0.3">
      <c r="B3" s="178" t="s">
        <v>152</v>
      </c>
      <c r="C3" s="179">
        <f>+SUM(E3:G3)</f>
        <v>750000</v>
      </c>
      <c r="D3" s="179"/>
      <c r="E3" s="252">
        <v>435000</v>
      </c>
      <c r="F3" s="302">
        <v>315000</v>
      </c>
      <c r="G3" s="250"/>
    </row>
    <row r="4" spans="1:8" x14ac:dyDescent="0.25">
      <c r="B4" s="178" t="s">
        <v>153</v>
      </c>
      <c r="C4" s="179">
        <f>+SUM(E4:$G$4)</f>
        <v>352369</v>
      </c>
      <c r="D4" s="179"/>
      <c r="E4" s="252">
        <v>249869</v>
      </c>
      <c r="F4" s="303">
        <v>102500</v>
      </c>
      <c r="G4" s="250"/>
    </row>
    <row r="5" spans="1:8" x14ac:dyDescent="0.25">
      <c r="B5" s="180" t="s">
        <v>154</v>
      </c>
      <c r="C5" s="181">
        <f>+SUM(E5:G5)</f>
        <v>242267</v>
      </c>
      <c r="D5" s="181"/>
      <c r="E5" s="252">
        <v>98192</v>
      </c>
      <c r="F5" s="303">
        <f>+F3+-F4-F6</f>
        <v>144075</v>
      </c>
      <c r="G5" s="152"/>
    </row>
    <row r="6" spans="1:8" ht="15.75" thickBot="1" x14ac:dyDescent="0.3">
      <c r="B6" s="153" t="s">
        <v>155</v>
      </c>
      <c r="C6" s="149">
        <f>+SUM($E$6:$G$6)</f>
        <v>155363.89666666667</v>
      </c>
      <c r="D6" s="149"/>
      <c r="E6" s="252">
        <v>86938.896666666667</v>
      </c>
      <c r="F6" s="303">
        <v>68425</v>
      </c>
      <c r="G6" s="152"/>
    </row>
    <row r="7" spans="1:8" ht="15.75" thickBot="1" x14ac:dyDescent="0.3">
      <c r="B7" s="153" t="s">
        <v>156</v>
      </c>
      <c r="C7" s="149">
        <f>+SUM($E$7:$G$7)</f>
        <v>0</v>
      </c>
      <c r="D7" s="149"/>
      <c r="E7" s="252"/>
      <c r="F7" s="304"/>
      <c r="G7" s="152"/>
    </row>
    <row r="8" spans="1:8" ht="15.75" thickBot="1" x14ac:dyDescent="0.3">
      <c r="B8" s="153" t="s">
        <v>157</v>
      </c>
      <c r="C8" s="904">
        <f>+AVERAGE(E3:F3)</f>
        <v>375000</v>
      </c>
      <c r="D8" s="687"/>
      <c r="E8" s="910"/>
      <c r="F8" s="772"/>
      <c r="G8" s="659"/>
    </row>
    <row r="9" spans="1:8" ht="15.75" thickBot="1" x14ac:dyDescent="0.3">
      <c r="B9" s="153" t="s">
        <v>158</v>
      </c>
      <c r="C9" s="904">
        <f>+AVERAGE(E4:F4)</f>
        <v>176184.5</v>
      </c>
      <c r="D9" s="687"/>
      <c r="E9" s="660"/>
      <c r="F9" s="774"/>
      <c r="G9" s="661"/>
    </row>
    <row r="10" spans="1:8" ht="15.75" thickBot="1" x14ac:dyDescent="0.3">
      <c r="B10" s="153" t="s">
        <v>159</v>
      </c>
      <c r="C10" s="904">
        <f>+AVERAGE(E5:F5)</f>
        <v>121133.5</v>
      </c>
      <c r="D10" s="687"/>
      <c r="E10" s="911" t="s">
        <v>160</v>
      </c>
      <c r="F10" s="723"/>
      <c r="G10" s="721"/>
    </row>
    <row r="11" spans="1:8" ht="15.75" thickBot="1" x14ac:dyDescent="0.3">
      <c r="B11" s="153" t="s">
        <v>161</v>
      </c>
      <c r="C11" s="904">
        <f>+AVERAGE(E6:F6)</f>
        <v>77681.948333333334</v>
      </c>
      <c r="D11" s="687"/>
      <c r="E11" s="905" t="s">
        <v>162</v>
      </c>
      <c r="F11" s="906"/>
      <c r="G11" s="907"/>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55"/>
      <c r="B2" s="908" t="s">
        <v>476</v>
      </c>
      <c r="C2" s="915"/>
      <c r="D2" s="299" t="s">
        <v>137</v>
      </c>
      <c r="E2" s="177" t="s">
        <v>141</v>
      </c>
      <c r="F2" s="177" t="s">
        <v>142</v>
      </c>
      <c r="G2" s="177" t="s">
        <v>143</v>
      </c>
      <c r="H2" s="182" t="s">
        <v>144</v>
      </c>
      <c r="I2" s="154"/>
      <c r="J2" s="151"/>
    </row>
    <row r="3" spans="1:10" ht="15.75" thickBot="1" x14ac:dyDescent="0.3">
      <c r="A3" s="156"/>
      <c r="B3" s="178" t="s">
        <v>152</v>
      </c>
      <c r="C3" s="179">
        <f>+SUM(E3:I3)</f>
        <v>1262529</v>
      </c>
      <c r="D3" s="179"/>
      <c r="E3" s="252">
        <v>210000</v>
      </c>
      <c r="F3" s="252">
        <v>423529</v>
      </c>
      <c r="G3" s="252">
        <v>330000</v>
      </c>
      <c r="H3" s="251">
        <v>299000</v>
      </c>
      <c r="I3" s="250"/>
    </row>
    <row r="4" spans="1:10" x14ac:dyDescent="0.25">
      <c r="A4" s="156"/>
      <c r="B4" s="178" t="s">
        <v>153</v>
      </c>
      <c r="C4" s="179">
        <f>+SUM(E4:$I$4)</f>
        <v>554594.92000000004</v>
      </c>
      <c r="D4" s="179"/>
      <c r="E4" s="252">
        <v>127000</v>
      </c>
      <c r="F4" s="252">
        <v>174585.47</v>
      </c>
      <c r="G4" s="252">
        <v>85975.790000000008</v>
      </c>
      <c r="H4" s="251">
        <v>167033.66</v>
      </c>
      <c r="I4" s="250"/>
    </row>
    <row r="5" spans="1:10" x14ac:dyDescent="0.25">
      <c r="A5" s="156"/>
      <c r="B5" s="180" t="s">
        <v>154</v>
      </c>
      <c r="C5" s="181">
        <f>+SUM(E5:I5)</f>
        <v>148708.10749999998</v>
      </c>
      <c r="D5" s="181"/>
      <c r="E5" s="252">
        <v>15000</v>
      </c>
      <c r="F5" s="252">
        <v>12223</v>
      </c>
      <c r="G5" s="252">
        <v>82805.727499999994</v>
      </c>
      <c r="H5" s="251">
        <v>38679.380000000005</v>
      </c>
      <c r="I5" s="152"/>
    </row>
    <row r="6" spans="1:10" ht="15.75" thickBot="1" x14ac:dyDescent="0.3">
      <c r="A6" s="156"/>
      <c r="B6" s="153" t="s">
        <v>155</v>
      </c>
      <c r="C6" s="149">
        <f>+SUM($E$6:$I$6)</f>
        <v>471212.07700000005</v>
      </c>
      <c r="D6" s="149"/>
      <c r="E6" s="252">
        <v>67485.868000000002</v>
      </c>
      <c r="F6" s="252">
        <v>154708.03800000003</v>
      </c>
      <c r="G6" s="252">
        <v>154490.20250000001</v>
      </c>
      <c r="H6" s="251">
        <v>94527.968499999988</v>
      </c>
      <c r="I6" s="152"/>
    </row>
    <row r="7" spans="1:10" ht="15.75" thickBot="1" x14ac:dyDescent="0.3">
      <c r="A7" s="156"/>
      <c r="B7" s="153" t="s">
        <v>156</v>
      </c>
      <c r="C7" s="149">
        <f>+SUM($E$7:$I$7)</f>
        <v>15470.803800000003</v>
      </c>
      <c r="D7" s="149"/>
      <c r="E7" s="301"/>
      <c r="F7" s="308">
        <v>15470.803800000003</v>
      </c>
      <c r="G7" s="308"/>
      <c r="H7" s="310"/>
      <c r="I7" s="152"/>
    </row>
    <row r="8" spans="1:10" ht="15.75" thickBot="1" x14ac:dyDescent="0.3">
      <c r="A8" s="156"/>
      <c r="B8" s="153" t="s">
        <v>157</v>
      </c>
      <c r="C8" s="904">
        <f>+AVERAGE(E3:H3)</f>
        <v>315632.25</v>
      </c>
      <c r="D8" s="912"/>
      <c r="E8" s="910"/>
      <c r="F8" s="772"/>
      <c r="G8" s="772"/>
      <c r="H8" s="772"/>
      <c r="I8" s="659"/>
    </row>
    <row r="9" spans="1:10" ht="15.75" thickBot="1" x14ac:dyDescent="0.3">
      <c r="A9" s="156"/>
      <c r="B9" s="153" t="s">
        <v>158</v>
      </c>
      <c r="C9" s="904">
        <f>+AVERAGE(E4:H4)</f>
        <v>138648.73000000001</v>
      </c>
      <c r="D9" s="912"/>
      <c r="E9" s="660"/>
      <c r="F9" s="774"/>
      <c r="G9" s="774"/>
      <c r="H9" s="774"/>
      <c r="I9" s="661"/>
    </row>
    <row r="10" spans="1:10" ht="15.75" thickBot="1" x14ac:dyDescent="0.3">
      <c r="A10" s="156"/>
      <c r="B10" s="153" t="s">
        <v>159</v>
      </c>
      <c r="C10" s="904">
        <f>+AVERAGE(E5:H5)</f>
        <v>37177.026874999996</v>
      </c>
      <c r="D10" s="912"/>
      <c r="E10" s="911" t="s">
        <v>160</v>
      </c>
      <c r="F10" s="916"/>
      <c r="G10" s="916"/>
      <c r="H10" s="916"/>
      <c r="I10" s="917"/>
    </row>
    <row r="11" spans="1:10" ht="15.75" thickBot="1" x14ac:dyDescent="0.3">
      <c r="B11" s="153" t="s">
        <v>161</v>
      </c>
      <c r="C11" s="904">
        <f>+AVERAGE(E6:H6)</f>
        <v>117803.01925000001</v>
      </c>
      <c r="D11" s="912"/>
      <c r="E11" s="905" t="s">
        <v>162</v>
      </c>
      <c r="F11" s="913"/>
      <c r="G11" s="913"/>
      <c r="H11" s="913"/>
      <c r="I11" s="914"/>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08" t="s">
        <v>476</v>
      </c>
      <c r="C2" s="909"/>
      <c r="D2" s="299" t="s">
        <v>137</v>
      </c>
      <c r="E2" s="305" t="s">
        <v>145</v>
      </c>
      <c r="F2" s="305" t="s">
        <v>146</v>
      </c>
      <c r="G2" s="182" t="s">
        <v>147</v>
      </c>
      <c r="H2" s="154"/>
      <c r="I2" s="151"/>
    </row>
    <row r="3" spans="1:9" ht="15.75" thickBot="1" x14ac:dyDescent="0.3">
      <c r="B3" s="178" t="s">
        <v>152</v>
      </c>
      <c r="C3" s="179">
        <f>+SUM(E3:H3)</f>
        <v>811800</v>
      </c>
      <c r="D3" s="179"/>
      <c r="E3" s="252">
        <v>363900</v>
      </c>
      <c r="F3" s="306">
        <v>210000</v>
      </c>
      <c r="G3" s="302">
        <v>237900</v>
      </c>
      <c r="H3" s="250"/>
    </row>
    <row r="4" spans="1:9" x14ac:dyDescent="0.25">
      <c r="B4" s="178" t="s">
        <v>153</v>
      </c>
      <c r="C4" s="179">
        <f>+SUM(E4:$H$4)</f>
        <v>401770.9</v>
      </c>
      <c r="D4" s="179"/>
      <c r="E4" s="252">
        <v>220000</v>
      </c>
      <c r="F4" s="307">
        <v>107061.9</v>
      </c>
      <c r="G4" s="303">
        <v>74709</v>
      </c>
      <c r="H4" s="250"/>
    </row>
    <row r="5" spans="1:9" x14ac:dyDescent="0.25">
      <c r="B5" s="180" t="s">
        <v>154</v>
      </c>
      <c r="C5" s="181">
        <f>+SUM(E5:H5)</f>
        <v>146350.07515412499</v>
      </c>
      <c r="D5" s="181"/>
      <c r="E5" s="252">
        <v>27507.698</v>
      </c>
      <c r="F5" s="307">
        <v>47760.57</v>
      </c>
      <c r="G5" s="303">
        <v>71081.80715412501</v>
      </c>
      <c r="H5" s="152"/>
    </row>
    <row r="6" spans="1:9" ht="15.75" thickBot="1" x14ac:dyDescent="0.3">
      <c r="B6" s="153" t="s">
        <v>155</v>
      </c>
      <c r="C6" s="149">
        <f>+SUM($E$6:$H$6)</f>
        <v>257067.10484587503</v>
      </c>
      <c r="D6" s="149"/>
      <c r="E6" s="252">
        <v>92658.781999999992</v>
      </c>
      <c r="F6" s="307">
        <v>64240.530000000028</v>
      </c>
      <c r="G6" s="303">
        <v>100167.792845875</v>
      </c>
      <c r="H6" s="152"/>
    </row>
    <row r="7" spans="1:9" ht="15.75" thickBot="1" x14ac:dyDescent="0.3">
      <c r="B7" s="153" t="s">
        <v>156</v>
      </c>
      <c r="C7" s="149">
        <f>+SUM($E$7:$H$7)</f>
        <v>0</v>
      </c>
      <c r="D7" s="149"/>
      <c r="E7" s="301"/>
      <c r="F7" s="308"/>
      <c r="G7" s="309"/>
      <c r="H7" s="152"/>
    </row>
    <row r="8" spans="1:9" ht="15.75" thickBot="1" x14ac:dyDescent="0.3">
      <c r="B8" s="153" t="s">
        <v>157</v>
      </c>
      <c r="C8" s="904">
        <f>+AVERAGE(E3:G3)</f>
        <v>270600</v>
      </c>
      <c r="D8" s="687"/>
      <c r="E8" s="910"/>
      <c r="F8" s="918"/>
      <c r="G8" s="772"/>
      <c r="H8" s="659"/>
    </row>
    <row r="9" spans="1:9" ht="15.75" thickBot="1" x14ac:dyDescent="0.3">
      <c r="B9" s="153" t="s">
        <v>158</v>
      </c>
      <c r="C9" s="904">
        <f>+AVERAGE(E4:G4)</f>
        <v>133923.63333333333</v>
      </c>
      <c r="D9" s="687"/>
      <c r="E9" s="660"/>
      <c r="F9" s="774"/>
      <c r="G9" s="774"/>
      <c r="H9" s="661"/>
    </row>
    <row r="10" spans="1:9" ht="15.75" thickBot="1" x14ac:dyDescent="0.3">
      <c r="B10" s="153" t="s">
        <v>159</v>
      </c>
      <c r="C10" s="904">
        <f>+AVERAGE(E5:G5)</f>
        <v>48783.358384708328</v>
      </c>
      <c r="D10" s="687"/>
      <c r="E10" s="911" t="s">
        <v>160</v>
      </c>
      <c r="F10" s="916"/>
      <c r="G10" s="723"/>
      <c r="H10" s="721"/>
    </row>
    <row r="11" spans="1:9" ht="15.75" thickBot="1" x14ac:dyDescent="0.3">
      <c r="B11" s="153" t="s">
        <v>161</v>
      </c>
      <c r="C11" s="904">
        <f>+AVERAGE(E6:G6)</f>
        <v>85689.034948625005</v>
      </c>
      <c r="D11" s="687"/>
      <c r="E11" s="905" t="s">
        <v>162</v>
      </c>
      <c r="F11" s="913"/>
      <c r="G11" s="906"/>
      <c r="H11" s="907"/>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08" t="s">
        <v>476</v>
      </c>
      <c r="C2" s="909"/>
      <c r="D2" s="299" t="s">
        <v>137</v>
      </c>
      <c r="E2" s="305" t="s">
        <v>148</v>
      </c>
      <c r="F2" s="305" t="s">
        <v>149</v>
      </c>
      <c r="G2" s="182" t="s">
        <v>150</v>
      </c>
      <c r="H2" s="154"/>
      <c r="I2" s="151"/>
    </row>
    <row r="3" spans="1:9" ht="15.75" thickBot="1" x14ac:dyDescent="0.3">
      <c r="B3" s="178" t="s">
        <v>152</v>
      </c>
      <c r="C3" s="179">
        <f>+SUM(E3:H3)</f>
        <v>540000</v>
      </c>
      <c r="D3" s="179"/>
      <c r="E3" s="252">
        <v>150000</v>
      </c>
      <c r="F3" s="306">
        <v>195000</v>
      </c>
      <c r="G3" s="302">
        <v>195000</v>
      </c>
      <c r="H3" s="250"/>
    </row>
    <row r="4" spans="1:9" x14ac:dyDescent="0.25">
      <c r="B4" s="178" t="s">
        <v>153</v>
      </c>
      <c r="C4" s="179">
        <f>+SUM(E4:$H$4)</f>
        <v>310642.71000000002</v>
      </c>
      <c r="D4" s="179"/>
      <c r="E4" s="252">
        <v>71644.86</v>
      </c>
      <c r="F4" s="307">
        <v>110309.86</v>
      </c>
      <c r="G4" s="303">
        <v>128687.99</v>
      </c>
      <c r="H4" s="250"/>
    </row>
    <row r="5" spans="1:9" x14ac:dyDescent="0.25">
      <c r="B5" s="180" t="s">
        <v>154</v>
      </c>
      <c r="C5" s="181">
        <f>+SUM(E5:H5)</f>
        <v>49980.701499999996</v>
      </c>
      <c r="D5" s="181"/>
      <c r="E5" s="252">
        <v>6302.96</v>
      </c>
      <c r="F5" s="307">
        <v>20425.14</v>
      </c>
      <c r="G5" s="303">
        <v>23252.601500000001</v>
      </c>
      <c r="H5" s="152"/>
    </row>
    <row r="6" spans="1:9" ht="15.75" thickBot="1" x14ac:dyDescent="0.3">
      <c r="B6" s="153" t="s">
        <v>155</v>
      </c>
      <c r="C6" s="149">
        <f>+SUM($E$6:$H$6)</f>
        <v>116039.9257777778</v>
      </c>
      <c r="D6" s="149"/>
      <c r="E6" s="252">
        <v>37694.072</v>
      </c>
      <c r="F6" s="307">
        <v>52771.490000000005</v>
      </c>
      <c r="G6" s="303">
        <v>25574.363777777784</v>
      </c>
      <c r="H6" s="152"/>
    </row>
    <row r="7" spans="1:9" ht="15.75" thickBot="1" x14ac:dyDescent="0.3">
      <c r="B7" s="153" t="s">
        <v>156</v>
      </c>
      <c r="C7" s="149">
        <f>+SUM($E$7:$H$7)</f>
        <v>0</v>
      </c>
      <c r="D7" s="149"/>
      <c r="E7" s="301"/>
      <c r="F7" s="308"/>
      <c r="G7" s="309"/>
      <c r="H7" s="152"/>
    </row>
    <row r="8" spans="1:9" ht="15.75" thickBot="1" x14ac:dyDescent="0.3">
      <c r="B8" s="153" t="s">
        <v>157</v>
      </c>
      <c r="C8" s="904">
        <f>+AVERAGE(E3:G3)</f>
        <v>180000</v>
      </c>
      <c r="D8" s="687"/>
      <c r="E8" s="910"/>
      <c r="F8" s="918"/>
      <c r="G8" s="772"/>
      <c r="H8" s="659"/>
    </row>
    <row r="9" spans="1:9" ht="15.75" thickBot="1" x14ac:dyDescent="0.3">
      <c r="B9" s="153" t="s">
        <v>158</v>
      </c>
      <c r="C9" s="904">
        <f>+AVERAGE(E4:G4)</f>
        <v>103547.57</v>
      </c>
      <c r="D9" s="687"/>
      <c r="E9" s="660"/>
      <c r="F9" s="774"/>
      <c r="G9" s="774"/>
      <c r="H9" s="661"/>
    </row>
    <row r="10" spans="1:9" ht="15.75" thickBot="1" x14ac:dyDescent="0.3">
      <c r="B10" s="153" t="s">
        <v>159</v>
      </c>
      <c r="C10" s="904">
        <f>+AVERAGE(E5:G5)</f>
        <v>16660.233833333332</v>
      </c>
      <c r="D10" s="687"/>
      <c r="E10" s="911" t="s">
        <v>160</v>
      </c>
      <c r="F10" s="916"/>
      <c r="G10" s="723"/>
      <c r="H10" s="721"/>
    </row>
    <row r="11" spans="1:9" ht="15.75" thickBot="1" x14ac:dyDescent="0.3">
      <c r="B11" s="153" t="s">
        <v>161</v>
      </c>
      <c r="C11" s="904">
        <f>+AVERAGE(E6:G6)</f>
        <v>38679.975259259263</v>
      </c>
      <c r="D11" s="687"/>
      <c r="E11" s="905" t="s">
        <v>162</v>
      </c>
      <c r="F11" s="913"/>
      <c r="G11" s="906"/>
      <c r="H11" s="907"/>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577</v>
      </c>
      <c r="C2">
        <v>1000</v>
      </c>
    </row>
    <row r="3" spans="1:3" x14ac:dyDescent="0.25">
      <c r="A3" t="s">
        <v>579</v>
      </c>
      <c r="C3">
        <v>9000</v>
      </c>
    </row>
    <row r="18" spans="6:7" x14ac:dyDescent="0.25">
      <c r="F18" s="30" t="s">
        <v>584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4.xml>�� 
</file>

<file path=customXml/item5.xml><?xml version="1.0" encoding="utf-8"?>
<?mso-contentType ?>
<FormTemplates xmlns="http://schemas.microsoft.com/sharepoint/v3/contenttype/forms">
  <Display>DocumentLibraryForm</Display>
  <Edit>DocumentLibraryForm</Edit>
  <New>DocumentLibraryForm</New>
</FormTemplates>
</file>

<file path=customXml/item6.xml>�� 
</file>

<file path=customXml/item7.xml>�� 
</file>

<file path=customXml/itemProps1.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2.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4.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5.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6.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3</vt:i4>
      </vt:variant>
    </vt:vector>
  </HeadingPairs>
  <TitlesOfParts>
    <vt:vector size="36"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Milestone_Marker</vt:lpstr>
      <vt:lpstr>Project_Start</vt:lpstr>
      <vt:lpstr>Scrolling_Increment</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2026-06-19T20:20:36Z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