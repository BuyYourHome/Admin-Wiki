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84" documentId="13_ncr:1_{5917DC0B-776D-4D0F-9B53-6A2C0097DDF9}" xr6:coauthVersionLast="47" xr6:coauthVersionMax="47" xr10:uidLastSave="{8E3BABDC-C87D-49F0-B305-1A918C55BD14}"/>
  <bookViews>
    <workbookView xWindow="33960" yWindow="3705" windowWidth="28800" windowHeight="11295" tabRatio="889" activeTab="3" xr2:uid="{00000000-000D-0000-FFFF-FFFF00000000}"/>
  </bookViews>
  <sheets>
    <sheet name="Profit" sheetId="1" r:id="rId1"/>
    <sheet name="Amortization" sheetId="63" r:id="rId2"/>
    <sheet name="Docs" sheetId="64" r:id="rId3"/>
    <sheet name="Replacement Docs" sheetId="66"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1" i="66" l="1"/>
  <c r="E39" i="66"/>
  <c r="E38" i="66"/>
  <c r="E34" i="66"/>
  <c r="E16" i="66"/>
  <c r="E15" i="66"/>
  <c r="E14" i="66" s="1"/>
  <c r="E12" i="66"/>
  <c r="E11" i="66"/>
  <c r="E4" i="66"/>
  <c r="B49" i="66"/>
  <c r="B46" i="66"/>
  <c r="B45" i="66"/>
  <c r="B33" i="66"/>
  <c r="E3" i="66" s="1"/>
  <c r="B30" i="66"/>
  <c r="B29" i="66"/>
  <c r="B21" i="66"/>
  <c r="B20" i="66"/>
  <c r="B19" i="66"/>
  <c r="B16" i="66"/>
  <c r="B17" i="66" s="1"/>
  <c r="B8"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3" i="66" l="1"/>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77" i="64"/>
  <c r="AW2" i="64" s="1"/>
  <c r="B51" i="64"/>
  <c r="O2" i="64" s="1"/>
  <c r="AA8" i="63" l="1"/>
  <c r="Z511" i="63" s="1"/>
  <c r="B50" i="66"/>
  <c r="B40" i="64"/>
  <c r="AF2" i="64" s="1"/>
  <c r="AB6" i="63"/>
  <c r="AA9" i="63" s="1"/>
  <c r="AD6" i="63"/>
  <c r="BO2" i="64"/>
  <c r="AC6" i="63"/>
  <c r="Z494" i="63"/>
  <c r="Z510" i="63"/>
  <c r="Z503" i="63"/>
  <c r="B41" i="64"/>
  <c r="AG2" i="64" s="1"/>
  <c r="Z497" i="63"/>
  <c r="Z505" i="63"/>
  <c r="Z513" i="63"/>
  <c r="Z506" i="63"/>
  <c r="Z499" i="63"/>
  <c r="Z523" i="63"/>
  <c r="Z538" i="63"/>
  <c r="Z500" i="63"/>
  <c r="Z508" i="63"/>
  <c r="Z516" i="63"/>
  <c r="Z524" i="63"/>
  <c r="Z493" i="63"/>
  <c r="Z501" i="63"/>
  <c r="Z509" i="63"/>
  <c r="Z517"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AM492" i="63"/>
  <c r="AM519" i="63"/>
  <c r="AM535" i="63"/>
  <c r="AM505" i="63"/>
  <c r="AM538" i="63"/>
  <c r="AM530" i="63"/>
  <c r="Z530" i="63"/>
  <c r="AM497" i="63"/>
  <c r="AM529" i="63"/>
  <c r="AM521" i="63"/>
  <c r="Z512" i="63"/>
  <c r="AM514" i="63"/>
  <c r="Z514" i="63"/>
  <c r="AM522" i="63"/>
  <c r="AM498" i="63"/>
  <c r="AM502" i="63"/>
  <c r="Z502" i="63"/>
  <c r="AM518" i="63"/>
  <c r="Z518" i="63"/>
  <c r="AM526" i="63"/>
  <c r="AM534" i="63"/>
  <c r="AM542" i="63"/>
  <c r="Z542" i="63"/>
  <c r="Z528"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Z536" i="63" l="1"/>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B51" i="66"/>
  <c r="Y9" i="63"/>
  <c r="Y12" i="63"/>
  <c r="Z9" i="63"/>
  <c r="B13" i="66" s="1"/>
  <c r="B14" i="66" s="1"/>
  <c r="AE15" i="63"/>
  <c r="AF15" i="63" s="1"/>
  <c r="AR2" i="64"/>
  <c r="N2" i="64"/>
  <c r="B15" i="64" l="1"/>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B52" i="66" s="1"/>
  <c r="P4" i="63" l="1"/>
  <c r="O4" i="63" s="1"/>
  <c r="B9" i="66" s="1"/>
  <c r="AB4" i="63"/>
  <c r="AA4" i="63" s="1"/>
  <c r="B42" i="64"/>
  <c r="AH2" i="64" s="1"/>
  <c r="N12" i="63"/>
  <c r="AC4" i="63"/>
  <c r="AD4" i="63"/>
  <c r="B6" i="1"/>
  <c r="C44" i="1" s="1"/>
  <c r="R4" i="63"/>
  <c r="R5" i="63" s="1"/>
  <c r="Q4" i="63"/>
  <c r="Q5" i="63" s="1"/>
  <c r="E80" i="1"/>
  <c r="G81" i="1"/>
  <c r="D81" i="1"/>
  <c r="B19" i="1"/>
  <c r="C7" i="1" l="1"/>
  <c r="E7" i="1" s="1"/>
  <c r="E10" i="1" s="1"/>
  <c r="P5" i="63"/>
  <c r="O5" i="63"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B37" i="64" l="1"/>
  <c r="V2" i="64" s="1"/>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P19" i="63"/>
  <c r="W19" i="63" s="1"/>
  <c r="O20" i="63" s="1"/>
  <c r="AI20" i="63" s="1"/>
  <c r="L19" i="63"/>
  <c r="AD19" i="63"/>
  <c r="S19" i="63"/>
  <c r="T19" i="63" s="1"/>
  <c r="N20" i="63"/>
  <c r="Q20" i="63" s="1"/>
  <c r="V20" i="63" s="1"/>
  <c r="U19" i="63" l="1"/>
  <c r="AO19" i="63" s="1"/>
  <c r="AN20" i="63"/>
  <c r="AS20" i="63" s="1"/>
  <c r="AP20" i="63"/>
  <c r="R20" i="63"/>
  <c r="AT19" i="63"/>
  <c r="AU19" i="63"/>
  <c r="AV19" i="63" s="1"/>
  <c r="Z19" i="63"/>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W24" i="63" s="1"/>
  <c r="O25" i="63" s="1"/>
  <c r="M24" i="63"/>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W27" i="63" s="1"/>
  <c r="O28" i="63" s="1"/>
  <c r="M27" i="63"/>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c r="AT54" i="63" l="1"/>
  <c r="AI55" i="63"/>
  <c r="AP55" i="63"/>
  <c r="R55" i="63"/>
  <c r="AN55" i="63"/>
  <c r="AS55" i="63" s="1"/>
  <c r="AE54" i="63"/>
  <c r="AF54" i="63" s="1"/>
  <c r="AG54" i="63"/>
  <c r="Q55" i="63"/>
  <c r="V55" i="63" s="1"/>
  <c r="M55" i="63"/>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c r="U75" i="63" s="1"/>
  <c r="W75" i="63" l="1"/>
  <c r="Z75" i="63"/>
  <c r="AM75" i="63"/>
  <c r="AT75" i="63" l="1"/>
  <c r="AU75" i="63"/>
  <c r="AV75" i="63" s="1"/>
  <c r="O76" i="63"/>
  <c r="N76" i="63"/>
  <c r="M76" i="63" l="1"/>
  <c r="L76" i="63" s="1"/>
  <c r="Q76" i="63"/>
  <c r="V76" i="63" s="1"/>
  <c r="AN76" i="63"/>
  <c r="AS76" i="63" s="1"/>
  <c r="P76" i="63" l="1"/>
  <c r="W76" i="63"/>
  <c r="U76" i="63"/>
  <c r="AM76" i="63"/>
  <c r="Z76" i="63"/>
  <c r="O77" i="63" l="1"/>
  <c r="N77" i="63"/>
  <c r="AT76" i="63"/>
  <c r="AU76" i="63"/>
  <c r="AV76" i="63" s="1"/>
  <c r="M77" i="63" l="1"/>
  <c r="L77" i="63" s="1"/>
  <c r="Q77" i="63"/>
  <c r="V77" i="63" s="1"/>
  <c r="AN77" i="63"/>
  <c r="AS77" i="63" s="1"/>
  <c r="P77" i="63" l="1"/>
  <c r="U77" i="63" s="1"/>
  <c r="W77" i="63"/>
  <c r="Z77" i="63"/>
  <c r="AM77" i="63"/>
  <c r="O78" i="63" l="1"/>
  <c r="AT77" i="63"/>
  <c r="N78" i="63"/>
  <c r="AU77" i="63"/>
  <c r="AV77" i="63" s="1"/>
  <c r="M78" i="63" l="1"/>
  <c r="L78" i="63" s="1"/>
  <c r="Q78" i="63"/>
  <c r="V78" i="63" s="1"/>
  <c r="AN78" i="63"/>
  <c r="AS78" i="63" s="1"/>
  <c r="P78" i="63" l="1"/>
  <c r="Z78" i="63"/>
  <c r="AM78" i="63"/>
  <c r="U78" i="63" l="1"/>
  <c r="W78" i="63"/>
  <c r="N79" i="63" l="1"/>
  <c r="AT78" i="63"/>
  <c r="O79" i="63"/>
  <c r="AU78" i="63"/>
  <c r="AV78" i="63" s="1"/>
  <c r="AN79" i="63" l="1"/>
  <c r="AS79" i="63" s="1"/>
  <c r="Q79" i="63"/>
  <c r="V79" i="63" s="1"/>
  <c r="M79" i="63"/>
  <c r="L79" i="63" s="1"/>
  <c r="Z79" i="63" l="1"/>
  <c r="AM79" i="63"/>
  <c r="P79" i="63"/>
  <c r="U79" i="63" l="1"/>
  <c r="W79" i="63"/>
  <c r="O80" i="63" l="1"/>
  <c r="AU79" i="63"/>
  <c r="AV79" i="63" s="1"/>
  <c r="AT79" i="63"/>
  <c r="N80" i="63"/>
  <c r="Q80" i="63" l="1"/>
  <c r="V80" i="63" s="1"/>
  <c r="M80" i="63"/>
  <c r="L80" i="63" s="1"/>
  <c r="AN80" i="63"/>
  <c r="AS80" i="63" s="1"/>
  <c r="P80" i="63"/>
  <c r="U80" i="63" s="1"/>
  <c r="W80" i="63" l="1"/>
  <c r="Z80" i="63"/>
  <c r="AM80" i="63"/>
  <c r="AT80" i="63" l="1"/>
  <c r="N81" i="63"/>
  <c r="AU80" i="63"/>
  <c r="AV80" i="63" s="1"/>
  <c r="O81" i="63"/>
  <c r="AN81" i="63" l="1"/>
  <c r="AS81" i="63" s="1"/>
  <c r="M81" i="63"/>
  <c r="L81" i="63" s="1"/>
  <c r="Q81" i="63"/>
  <c r="V81" i="63" s="1"/>
  <c r="Z81" i="63" l="1"/>
  <c r="AM81" i="63"/>
  <c r="P81" i="63"/>
  <c r="U81" i="63" l="1"/>
  <c r="W81" i="63"/>
  <c r="AT81" i="63" l="1"/>
  <c r="N82" i="63"/>
  <c r="O82" i="63"/>
  <c r="AU81" i="63"/>
  <c r="AV81" i="63" s="1"/>
  <c r="AN82" i="63" l="1"/>
  <c r="AS82" i="63" s="1"/>
  <c r="Q82" i="63"/>
  <c r="V82" i="63" s="1"/>
  <c r="M82" i="63"/>
  <c r="L82" i="63" s="1"/>
  <c r="P82" i="63" l="1"/>
  <c r="Z82" i="63"/>
  <c r="AM82" i="63"/>
  <c r="U82" i="63" l="1"/>
  <c r="W82" i="63"/>
  <c r="AT82" i="63" l="1"/>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O89" i="63"/>
  <c r="N89" i="63"/>
  <c r="AU88" i="63" l="1"/>
  <c r="AV88" i="63" s="1"/>
  <c r="Q89" i="63"/>
  <c r="V89" i="63" s="1"/>
  <c r="M89" i="63"/>
  <c r="L89" i="63" s="1"/>
  <c r="AN89" i="63"/>
  <c r="AS89" i="63" s="1"/>
  <c r="P89" i="63"/>
  <c r="U89" i="63" s="1"/>
  <c r="W89" i="63" l="1"/>
  <c r="Z89" i="63"/>
  <c r="AM89" i="63"/>
  <c r="O90" i="63" l="1"/>
  <c r="AT89" i="63"/>
  <c r="N90" i="63"/>
  <c r="AU89" i="63"/>
  <c r="AV89" i="63" s="1"/>
  <c r="Q90" i="63" l="1"/>
  <c r="V90" i="63" s="1"/>
  <c r="M90" i="63"/>
  <c r="L90" i="63" s="1"/>
  <c r="AN90" i="63"/>
  <c r="AS90" i="63" s="1"/>
  <c r="P90" i="63" l="1"/>
  <c r="U90" i="63" s="1"/>
  <c r="W90" i="63"/>
  <c r="Z90" i="63"/>
  <c r="AM90" i="63"/>
  <c r="AT90" i="63" l="1"/>
  <c r="N91" i="63"/>
  <c r="AU90" i="63"/>
  <c r="AV90" i="63" s="1"/>
  <c r="O91" i="63"/>
  <c r="AN91" i="63" l="1"/>
  <c r="AS91" i="63" s="1"/>
  <c r="Q91" i="63"/>
  <c r="V91" i="63" s="1"/>
  <c r="M91" i="63"/>
  <c r="L91" i="63" s="1"/>
  <c r="AM91" i="63" l="1"/>
  <c r="Z91" i="63"/>
  <c r="P91" i="63"/>
  <c r="U91" i="63" l="1"/>
  <c r="W91" i="63"/>
  <c r="AU91" i="63" l="1"/>
  <c r="AV91" i="63" s="1"/>
  <c r="N92" i="63"/>
  <c r="AT91" i="63"/>
  <c r="O92" i="63"/>
  <c r="AN92" i="63" l="1"/>
  <c r="AS92" i="63" s="1"/>
  <c r="M92" i="63"/>
  <c r="L92" i="63" s="1"/>
  <c r="Q92" i="63"/>
  <c r="V92" i="63" s="1"/>
  <c r="Z92" i="63" l="1"/>
  <c r="AM92" i="63"/>
  <c r="P92" i="63"/>
  <c r="U92" i="63" l="1"/>
  <c r="W92" i="63"/>
  <c r="AT92" i="63" l="1"/>
  <c r="N93" i="63"/>
  <c r="O93" i="63"/>
  <c r="AU92" i="63"/>
  <c r="AV92" i="63" s="1"/>
  <c r="AN93" i="63" l="1"/>
  <c r="AS93" i="63" s="1"/>
  <c r="Q93" i="63"/>
  <c r="V93" i="63" s="1"/>
  <c r="M93" i="63"/>
  <c r="L93" i="63" s="1"/>
  <c r="Z93" i="63" l="1"/>
  <c r="AM93" i="63"/>
  <c r="P93" i="63"/>
  <c r="U93" i="63" l="1"/>
  <c r="W93" i="63"/>
  <c r="AU93" i="63" l="1"/>
  <c r="AV93" i="63" s="1"/>
  <c r="AT93" i="63"/>
  <c r="O94" i="63"/>
  <c r="N94" i="63"/>
  <c r="M94" i="63" l="1"/>
  <c r="L94" i="63" s="1"/>
  <c r="Q94" i="63"/>
  <c r="V94" i="63" s="1"/>
  <c r="AN94" i="63"/>
  <c r="AS94" i="63" s="1"/>
  <c r="P94" i="63" l="1"/>
  <c r="U94" i="63" s="1"/>
  <c r="Z94" i="63"/>
  <c r="AM94" i="63"/>
  <c r="W94" i="63" l="1"/>
  <c r="N95" i="63" s="1"/>
  <c r="O95" i="63" l="1"/>
  <c r="AT94" i="63"/>
  <c r="AU94" i="63"/>
  <c r="AV94" i="63" s="1"/>
  <c r="AN95" i="63"/>
  <c r="AS95" i="63" s="1"/>
  <c r="M95" i="63"/>
  <c r="L95" i="63" s="1"/>
  <c r="Q95" i="63"/>
  <c r="V95" i="63" s="1"/>
  <c r="P95" i="63" l="1"/>
  <c r="Z95" i="63"/>
  <c r="AM95" i="63"/>
  <c r="U95" i="63" l="1"/>
  <c r="W95" i="63"/>
  <c r="O96" i="63" l="1"/>
  <c r="N96" i="63"/>
  <c r="AT95" i="63"/>
  <c r="AU95" i="63"/>
  <c r="AV95" i="63" s="1"/>
  <c r="Q96" i="63" l="1"/>
  <c r="V96" i="63" s="1"/>
  <c r="M96" i="63"/>
  <c r="L96" i="63" s="1"/>
  <c r="AN96" i="63"/>
  <c r="AS96" i="63" s="1"/>
  <c r="P96" i="63" l="1"/>
  <c r="U96" i="63" s="1"/>
  <c r="Z96" i="63"/>
  <c r="AM96" i="63"/>
  <c r="W96" i="63" l="1"/>
  <c r="O97" i="63" s="1"/>
  <c r="AU96" i="63"/>
  <c r="AV96" i="63" s="1"/>
  <c r="N97" i="63"/>
  <c r="AT96" i="63"/>
  <c r="M97" i="63" l="1"/>
  <c r="L97" i="63" s="1"/>
  <c r="Q97" i="63"/>
  <c r="V97" i="63" s="1"/>
  <c r="AN97" i="63"/>
  <c r="AS97" i="63" s="1"/>
  <c r="P97" i="63" l="1"/>
  <c r="U97" i="63" s="1"/>
  <c r="AM97" i="63"/>
  <c r="Z97" i="63"/>
  <c r="W97" i="63" l="1"/>
  <c r="O98" i="63"/>
  <c r="N98" i="63"/>
  <c r="AT97" i="63"/>
  <c r="AU97" i="63"/>
  <c r="AV97" i="63" s="1"/>
  <c r="M98" i="63" l="1"/>
  <c r="L98" i="63" s="1"/>
  <c r="Q98" i="63"/>
  <c r="V98" i="63" s="1"/>
  <c r="AN98" i="63"/>
  <c r="AS98" i="63" s="1"/>
  <c r="P98" i="63" l="1"/>
  <c r="AM98" i="63"/>
  <c r="Z98" i="63"/>
  <c r="U98" i="63" l="1"/>
  <c r="W98" i="63"/>
  <c r="AU98" i="63" l="1"/>
  <c r="AV98" i="63" s="1"/>
  <c r="N99" i="63"/>
  <c r="AT98" i="63"/>
  <c r="O99" i="63"/>
  <c r="AN99" i="63" l="1"/>
  <c r="AS99" i="63" s="1"/>
  <c r="M99" i="63"/>
  <c r="L99" i="63" s="1"/>
  <c r="Q99" i="63"/>
  <c r="V99" i="63" s="1"/>
  <c r="AM99" i="63" l="1"/>
  <c r="Z99" i="63"/>
  <c r="P99" i="63"/>
  <c r="W99" i="63" l="1"/>
  <c r="U99" i="63"/>
  <c r="N100" i="63" l="1"/>
  <c r="AT99" i="63"/>
  <c r="O100" i="63"/>
  <c r="AU99" i="63"/>
  <c r="AV99" i="63" s="1"/>
  <c r="AN100" i="63" l="1"/>
  <c r="AS100" i="63" s="1"/>
  <c r="Q100" i="63"/>
  <c r="V100" i="63" s="1"/>
  <c r="M100" i="63"/>
  <c r="L100" i="63" s="1"/>
  <c r="AM100" i="63" l="1"/>
  <c r="Z100" i="63"/>
  <c r="P100" i="63"/>
  <c r="W100" i="63" l="1"/>
  <c r="U100" i="63"/>
  <c r="AT100" i="63" l="1"/>
  <c r="AU100" i="63"/>
  <c r="AV100" i="63" s="1"/>
  <c r="N101" i="63"/>
  <c r="O101" i="63"/>
  <c r="AN101" i="63" l="1"/>
  <c r="AS101" i="63" s="1"/>
  <c r="M101" i="63"/>
  <c r="L101" i="63" s="1"/>
  <c r="Q101" i="63"/>
  <c r="V101" i="63" s="1"/>
  <c r="Z101" i="63" l="1"/>
  <c r="AM101" i="63"/>
  <c r="P101" i="63"/>
  <c r="U101" i="63" l="1"/>
  <c r="W101" i="63"/>
  <c r="N102" i="63" l="1"/>
  <c r="O102" i="63"/>
  <c r="AU101" i="63"/>
  <c r="AV101" i="63" s="1"/>
  <c r="AT101" i="63"/>
  <c r="AN102" i="63" l="1"/>
  <c r="AS102" i="63" s="1"/>
  <c r="M102" i="63"/>
  <c r="L102" i="63" s="1"/>
  <c r="Q102" i="63"/>
  <c r="V102" i="63" s="1"/>
  <c r="P102" i="63" l="1"/>
  <c r="Z102" i="63"/>
  <c r="AM102" i="63"/>
  <c r="W102" i="63" l="1"/>
  <c r="U102" i="63"/>
  <c r="N103" i="63" l="1"/>
  <c r="AU102" i="63"/>
  <c r="AV102" i="63" s="1"/>
  <c r="AT102" i="63"/>
  <c r="O103" i="63"/>
  <c r="AN103" i="63" l="1"/>
  <c r="AS103" i="63" s="1"/>
  <c r="M103" i="63"/>
  <c r="L103" i="63" s="1"/>
  <c r="Q103" i="63"/>
  <c r="V103" i="63" s="1"/>
  <c r="Z103" i="63" l="1"/>
  <c r="AM103" i="63"/>
  <c r="P103" i="63"/>
  <c r="W103" i="63" l="1"/>
  <c r="U103" i="63"/>
  <c r="AT103" i="63" l="1"/>
  <c r="O104" i="63"/>
  <c r="N104" i="63"/>
  <c r="AU103" i="63"/>
  <c r="AV103" i="63" s="1"/>
  <c r="Q104" i="63" l="1"/>
  <c r="V104" i="63" s="1"/>
  <c r="M104" i="63"/>
  <c r="L104" i="63" s="1"/>
  <c r="AN104" i="63"/>
  <c r="AS104" i="63" s="1"/>
  <c r="P104" i="63"/>
  <c r="Z104" i="63" l="1"/>
  <c r="AM104" i="63"/>
  <c r="U104" i="63"/>
  <c r="W104" i="63"/>
  <c r="O105" i="63" l="1"/>
  <c r="AN105" i="63" s="1"/>
  <c r="AS105" i="63" s="1"/>
  <c r="AT104" i="63"/>
  <c r="N105" i="63"/>
  <c r="AU104" i="63"/>
  <c r="AV104" i="63" s="1"/>
  <c r="M105" i="63" l="1"/>
  <c r="L105" i="63" s="1"/>
  <c r="Q105" i="63"/>
  <c r="V105" i="63" l="1"/>
  <c r="P105" i="63"/>
  <c r="AM105" i="63"/>
  <c r="Z105" i="63"/>
  <c r="W105" i="63" l="1"/>
  <c r="U105" i="63"/>
  <c r="AT105" i="63" l="1"/>
  <c r="O106" i="63"/>
  <c r="AN106" i="63" s="1"/>
  <c r="AS106" i="63" s="1"/>
  <c r="N106" i="63"/>
  <c r="AU105" i="63"/>
  <c r="AV105" i="63" s="1"/>
  <c r="M106" i="63" l="1"/>
  <c r="L106" i="63" s="1"/>
  <c r="Q106" i="63"/>
  <c r="V106" i="63" l="1"/>
  <c r="P106" i="63"/>
  <c r="AM106" i="63"/>
  <c r="Z106" i="63"/>
  <c r="U106" i="63" l="1"/>
  <c r="W106" i="63"/>
  <c r="O107" i="63" l="1"/>
  <c r="N107" i="63"/>
  <c r="AT106" i="63"/>
  <c r="AU106" i="63"/>
  <c r="AV106" i="63" s="1"/>
  <c r="M107" i="63" l="1"/>
  <c r="L107" i="63" s="1"/>
  <c r="Q107" i="63"/>
  <c r="V107" i="63" s="1"/>
  <c r="AN107" i="63"/>
  <c r="AS107" i="63" s="1"/>
  <c r="P107" i="63" l="1"/>
  <c r="Z107" i="63"/>
  <c r="AM107" i="63"/>
  <c r="W107" i="63" l="1"/>
  <c r="U107" i="63"/>
  <c r="AU107" i="63" l="1"/>
  <c r="AV107" i="63" s="1"/>
  <c r="O108" i="63"/>
  <c r="AT107" i="63"/>
  <c r="N108" i="63"/>
  <c r="M108" i="63" l="1"/>
  <c r="L108" i="63" s="1"/>
  <c r="Q108" i="63"/>
  <c r="V108" i="63" s="1"/>
  <c r="AN108" i="63"/>
  <c r="AS108" i="63" s="1"/>
  <c r="P108" i="63" l="1"/>
  <c r="Z108" i="63"/>
  <c r="AM108" i="63"/>
  <c r="U108" i="63" l="1"/>
  <c r="W108" i="63"/>
  <c r="N109" i="63" l="1"/>
  <c r="O109" i="63"/>
  <c r="AT108" i="63"/>
  <c r="AU108" i="63"/>
  <c r="AV108" i="63" s="1"/>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N111" i="63" l="1"/>
  <c r="O111" i="63"/>
  <c r="AT110" i="63"/>
  <c r="AU110" i="63"/>
  <c r="AV110" i="63" s="1"/>
  <c r="AN111" i="63" l="1"/>
  <c r="AS111" i="63" s="1"/>
  <c r="M111" i="63"/>
  <c r="L111" i="63" s="1"/>
  <c r="Q111" i="63"/>
  <c r="V111" i="63" s="1"/>
  <c r="P111" i="63" l="1"/>
  <c r="AM111" i="63"/>
  <c r="Z111" i="63"/>
  <c r="W111" i="63" l="1"/>
  <c r="U111" i="63"/>
  <c r="O112" i="63" l="1"/>
  <c r="AT111" i="63"/>
  <c r="AU111" i="63"/>
  <c r="AV111" i="63" s="1"/>
  <c r="N112" i="63"/>
  <c r="Q112" i="63" l="1"/>
  <c r="V112" i="63" s="1"/>
  <c r="M112" i="63"/>
  <c r="L112" i="63" s="1"/>
  <c r="AN112" i="63"/>
  <c r="AS112" i="63" s="1"/>
  <c r="P112" i="63"/>
  <c r="W112" i="63" l="1"/>
  <c r="U112" i="63"/>
  <c r="Z112" i="63"/>
  <c r="AM112" i="63"/>
  <c r="O113" i="63" l="1"/>
  <c r="N113" i="63"/>
  <c r="AT112" i="63"/>
  <c r="AU112" i="63"/>
  <c r="AV112" i="63" s="1"/>
  <c r="M113" i="63" l="1"/>
  <c r="L113" i="63" s="1"/>
  <c r="Q113" i="63"/>
  <c r="V113" i="63" s="1"/>
  <c r="AN113" i="63"/>
  <c r="AS113" i="63" s="1"/>
  <c r="P113" i="63" l="1"/>
  <c r="U113" i="63"/>
  <c r="W113" i="63"/>
  <c r="AM113" i="63"/>
  <c r="Z113" i="63"/>
  <c r="AT113" i="63" l="1"/>
  <c r="N114" i="63"/>
  <c r="AU113" i="63"/>
  <c r="AV113" i="63" s="1"/>
  <c r="O114" i="63"/>
  <c r="AN114" i="63" s="1"/>
  <c r="AS114" i="63" s="1"/>
  <c r="Q114" i="63" l="1"/>
  <c r="V114" i="63" s="1"/>
  <c r="M114" i="63"/>
  <c r="L114" i="63" s="1"/>
  <c r="Z114" i="63" l="1"/>
  <c r="AM114" i="63"/>
  <c r="P114" i="63"/>
  <c r="U114" i="63" l="1"/>
  <c r="W114" i="63"/>
  <c r="AT114" i="63" l="1"/>
  <c r="O115" i="63"/>
  <c r="AN115" i="63" s="1"/>
  <c r="AS115" i="63" s="1"/>
  <c r="N115" i="63"/>
  <c r="AU114" i="63"/>
  <c r="AV114" i="63" s="1"/>
  <c r="M115" i="63" l="1"/>
  <c r="L115" i="63" s="1"/>
  <c r="Q115" i="63"/>
  <c r="V115" i="63" l="1"/>
  <c r="P115" i="63"/>
  <c r="AM115" i="63"/>
  <c r="Z115" i="63"/>
  <c r="W115" i="63" l="1"/>
  <c r="U115" i="63"/>
  <c r="AU115" i="63" l="1"/>
  <c r="AV115" i="63" s="1"/>
  <c r="AT115" i="63"/>
  <c r="O116" i="63"/>
  <c r="AN116" i="63" s="1"/>
  <c r="AS116" i="63" s="1"/>
  <c r="N116" i="63"/>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AT117" i="63" l="1"/>
  <c r="N118" i="63"/>
  <c r="AU117" i="63"/>
  <c r="AV117" i="63" s="1"/>
  <c r="O118" i="63"/>
  <c r="AN118" i="63" s="1"/>
  <c r="AS118" i="63" s="1"/>
  <c r="Q118" i="63" l="1"/>
  <c r="M118" i="63"/>
  <c r="L118" i="63" s="1"/>
  <c r="Z118" i="63" l="1"/>
  <c r="AM118" i="63"/>
  <c r="V118" i="63"/>
  <c r="P118" i="63"/>
  <c r="U118" i="63" l="1"/>
  <c r="W118" i="63"/>
  <c r="AT118" i="63" l="1"/>
  <c r="N119" i="63"/>
  <c r="AU118" i="63"/>
  <c r="AV118" i="63" s="1"/>
  <c r="O119" i="63"/>
  <c r="AN119" i="63" s="1"/>
  <c r="AS119" i="63" s="1"/>
  <c r="M119" i="63" l="1"/>
  <c r="L119" i="63" s="1"/>
  <c r="Q119" i="63"/>
  <c r="V119" i="63" s="1"/>
  <c r="Z119" i="63" l="1"/>
  <c r="AM119" i="63"/>
  <c r="P119" i="63"/>
  <c r="W119" i="63" l="1"/>
  <c r="U119" i="63"/>
  <c r="AU119" i="63" l="1"/>
  <c r="AV119" i="63" s="1"/>
  <c r="AT119" i="63"/>
  <c r="N120" i="63"/>
  <c r="O120" i="63"/>
  <c r="AN120" i="63" s="1"/>
  <c r="AS120" i="63" s="1"/>
  <c r="M120" i="63" l="1"/>
  <c r="L120" i="63" s="1"/>
  <c r="Q120" i="63"/>
  <c r="V120" i="63" s="1"/>
  <c r="Z120" i="63" l="1"/>
  <c r="AM120" i="63"/>
  <c r="P120" i="63"/>
  <c r="U120" i="63" l="1"/>
  <c r="W120" i="63"/>
  <c r="O121" i="63" l="1"/>
  <c r="AN121" i="63" s="1"/>
  <c r="AS121" i="63" s="1"/>
  <c r="AU120" i="63"/>
  <c r="AV120" i="63" s="1"/>
  <c r="N121" i="63"/>
  <c r="AT120"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O123" i="63" l="1"/>
  <c r="AN123" i="63" s="1"/>
  <c r="AS123" i="63" s="1"/>
  <c r="AU122" i="63"/>
  <c r="AV122" i="63" s="1"/>
  <c r="AT122" i="63"/>
  <c r="N123" i="63"/>
  <c r="M123" i="63" l="1"/>
  <c r="L123" i="63" s="1"/>
  <c r="Q123" i="63"/>
  <c r="V123" i="63" l="1"/>
  <c r="P123" i="63"/>
  <c r="AM123" i="63"/>
  <c r="Z123" i="63"/>
  <c r="W123" i="63" l="1"/>
  <c r="U123" i="63"/>
  <c r="AU123" i="63" l="1"/>
  <c r="AV123" i="63" s="1"/>
  <c r="N124" i="63"/>
  <c r="O124" i="63"/>
  <c r="AT123" i="63"/>
  <c r="AN124" i="63" l="1"/>
  <c r="AS124" i="63" s="1"/>
  <c r="M124" i="63"/>
  <c r="L124" i="63" s="1"/>
  <c r="Q124" i="63"/>
  <c r="V124" i="63" s="1"/>
  <c r="Z124" i="63" l="1"/>
  <c r="AM124" i="63"/>
  <c r="P124" i="63"/>
  <c r="U124" i="63" l="1"/>
  <c r="W124" i="63"/>
  <c r="O125" i="63" l="1"/>
  <c r="N125" i="63"/>
  <c r="AT124" i="63"/>
  <c r="AU124" i="63"/>
  <c r="AV124" i="63" s="1"/>
  <c r="M125" i="63" l="1"/>
  <c r="L125" i="63" s="1"/>
  <c r="Q125" i="63"/>
  <c r="V125" i="63" s="1"/>
  <c r="AN125" i="63"/>
  <c r="AS125" i="63" s="1"/>
  <c r="P125" i="63" l="1"/>
  <c r="U125" i="63" s="1"/>
  <c r="W125" i="63"/>
  <c r="AM125" i="63"/>
  <c r="Z125" i="63"/>
  <c r="AT125" i="63" l="1"/>
  <c r="AU125" i="63"/>
  <c r="AV125" i="63" s="1"/>
  <c r="O126" i="63"/>
  <c r="N126" i="63"/>
  <c r="Q126" i="63" l="1"/>
  <c r="V126" i="63" s="1"/>
  <c r="M126" i="63"/>
  <c r="L126" i="63" s="1"/>
  <c r="AN126" i="63"/>
  <c r="AS126" i="63" s="1"/>
  <c r="P126" i="63" l="1"/>
  <c r="AM126" i="63"/>
  <c r="Z126" i="63"/>
  <c r="U126" i="63"/>
  <c r="W126" i="63"/>
  <c r="AT126" i="63" l="1"/>
  <c r="N127" i="63"/>
  <c r="O127" i="63"/>
  <c r="AU126" i="63"/>
  <c r="AV126" i="63" s="1"/>
  <c r="M127" i="63" l="1"/>
  <c r="L127" i="63" s="1"/>
  <c r="Q127" i="63"/>
  <c r="V127" i="63" s="1"/>
  <c r="AN127" i="63"/>
  <c r="AS127" i="63" s="1"/>
  <c r="P127" i="63" l="1"/>
  <c r="Z127" i="63"/>
  <c r="AM127" i="63"/>
  <c r="U127" i="63" l="1"/>
  <c r="W127" i="63"/>
  <c r="AU127" i="63" l="1"/>
  <c r="AV127" i="63" s="1"/>
  <c r="AT127" i="63"/>
  <c r="N128" i="63"/>
  <c r="O128" i="63"/>
  <c r="M128" i="63" l="1"/>
  <c r="L128" i="63" s="1"/>
  <c r="Q128" i="63"/>
  <c r="V128" i="63" s="1"/>
  <c r="AN128" i="63"/>
  <c r="AS128" i="63" s="1"/>
  <c r="P128" i="63" l="1"/>
  <c r="AM128" i="63"/>
  <c r="Z128" i="63"/>
  <c r="U128" i="63" l="1"/>
  <c r="W128" i="63"/>
  <c r="N129" i="63" l="1"/>
  <c r="O129" i="63"/>
  <c r="AT128" i="63"/>
  <c r="AU128" i="63"/>
  <c r="AV128" i="63" s="1"/>
  <c r="AN129" i="63" l="1"/>
  <c r="AS129" i="63" s="1"/>
  <c r="M129" i="63"/>
  <c r="L129" i="63" s="1"/>
  <c r="Q129" i="63"/>
  <c r="V129" i="63" s="1"/>
  <c r="AM129" i="63" l="1"/>
  <c r="Z129" i="63"/>
  <c r="P129" i="63"/>
  <c r="U129" i="63" l="1"/>
  <c r="W129" i="63"/>
  <c r="O130" i="63" l="1"/>
  <c r="AT129" i="63"/>
  <c r="N130" i="63"/>
  <c r="AU129" i="63"/>
  <c r="AV129" i="63" s="1"/>
  <c r="Q130" i="63" l="1"/>
  <c r="V130" i="63" s="1"/>
  <c r="M130" i="63"/>
  <c r="L130" i="63" s="1"/>
  <c r="AN130" i="63"/>
  <c r="AS130" i="63" s="1"/>
  <c r="P130" i="63"/>
  <c r="Z130" i="63" l="1"/>
  <c r="AM130" i="63"/>
  <c r="U130" i="63"/>
  <c r="W130" i="63"/>
  <c r="AU130" i="63" l="1"/>
  <c r="AV130" i="63" s="1"/>
  <c r="N131" i="63"/>
  <c r="O131" i="63"/>
  <c r="AN131" i="63" s="1"/>
  <c r="AS131" i="63" s="1"/>
  <c r="AT130" i="63"/>
  <c r="Q131" i="63" l="1"/>
  <c r="M131" i="63"/>
  <c r="L131" i="63" s="1"/>
  <c r="Z131" i="63" l="1"/>
  <c r="AM131" i="63"/>
  <c r="V131" i="63"/>
  <c r="P131" i="63"/>
  <c r="U131" i="63" l="1"/>
  <c r="W131" i="63"/>
  <c r="AT131" i="63" l="1"/>
  <c r="AU131" i="63"/>
  <c r="AV131" i="63" s="1"/>
  <c r="O132" i="63"/>
  <c r="N132" i="63"/>
  <c r="M132" i="63" l="1"/>
  <c r="L132" i="63" s="1"/>
  <c r="Q132" i="63"/>
  <c r="V132" i="63" s="1"/>
  <c r="AN132" i="63"/>
  <c r="AS132" i="63" s="1"/>
  <c r="P132" i="63" l="1"/>
  <c r="W132" i="63"/>
  <c r="U132" i="63"/>
  <c r="AM132" i="63"/>
  <c r="Z132" i="63"/>
  <c r="AT132" i="63" l="1"/>
  <c r="AU132" i="63"/>
  <c r="AV132" i="63" s="1"/>
  <c r="O133" i="63"/>
  <c r="AN133" i="63" s="1"/>
  <c r="AS133" i="63" s="1"/>
  <c r="N133" i="63"/>
  <c r="Q133" i="63" l="1"/>
  <c r="M133" i="63"/>
  <c r="L133" i="63" s="1"/>
  <c r="AM133" i="63" l="1"/>
  <c r="Z133" i="63"/>
  <c r="V133" i="63"/>
  <c r="P133" i="63"/>
  <c r="W133" i="63" l="1"/>
  <c r="U133" i="63"/>
  <c r="AU133" i="63" l="1"/>
  <c r="AV133" i="63" s="1"/>
  <c r="O134" i="63"/>
  <c r="AN134" i="63" s="1"/>
  <c r="AS134" i="63" s="1"/>
  <c r="N134" i="63"/>
  <c r="AT133" i="63"/>
  <c r="M134" i="63" l="1"/>
  <c r="L134" i="63" s="1"/>
  <c r="Q134" i="63"/>
  <c r="V134" i="63" l="1"/>
  <c r="P134" i="63"/>
  <c r="Z134" i="63"/>
  <c r="AM134" i="63"/>
  <c r="U134" i="63" l="1"/>
  <c r="W134" i="63"/>
  <c r="AT134" i="63" l="1"/>
  <c r="AU134" i="63"/>
  <c r="AV134" i="63" s="1"/>
  <c r="N135" i="63"/>
  <c r="O135" i="63"/>
  <c r="AN135" i="63" s="1"/>
  <c r="AS135" i="63" s="1"/>
  <c r="M135" i="63" l="1"/>
  <c r="L135" i="63" s="1"/>
  <c r="Q135" i="63"/>
  <c r="V135" i="63" s="1"/>
  <c r="P135" i="63" l="1"/>
  <c r="U135" i="63" s="1"/>
  <c r="W135" i="63"/>
  <c r="Z135" i="63"/>
  <c r="AM135" i="63"/>
  <c r="AU135" i="63" l="1"/>
  <c r="AV135" i="63" s="1"/>
  <c r="N136" i="63"/>
  <c r="AT135" i="63"/>
  <c r="O136" i="63"/>
  <c r="AN136" i="63" s="1"/>
  <c r="AS136" i="63" s="1"/>
  <c r="M136" i="63" l="1"/>
  <c r="L136" i="63" s="1"/>
  <c r="Q136" i="63"/>
  <c r="V136" i="63" l="1"/>
  <c r="P136" i="63"/>
  <c r="Z136" i="63"/>
  <c r="AM136" i="63"/>
  <c r="W136" i="63" l="1"/>
  <c r="U136" i="63"/>
  <c r="AT136" i="63" l="1"/>
  <c r="N137" i="63"/>
  <c r="AU136" i="63"/>
  <c r="AV136" i="63" s="1"/>
  <c r="O137" i="63"/>
  <c r="AN137" i="63" s="1"/>
  <c r="AS137" i="63" s="1"/>
  <c r="M137" i="63" l="1"/>
  <c r="L137" i="63" s="1"/>
  <c r="Q137" i="63"/>
  <c r="V137" i="63" l="1"/>
  <c r="P137" i="63"/>
  <c r="AM137" i="63"/>
  <c r="Z137" i="63"/>
  <c r="W137" i="63" l="1"/>
  <c r="U137" i="63"/>
  <c r="AU137" i="63" l="1"/>
  <c r="AV137" i="63" s="1"/>
  <c r="N138" i="63"/>
  <c r="AT137" i="63"/>
  <c r="O138" i="63"/>
  <c r="AN138" i="63" s="1"/>
  <c r="AS138" i="63" s="1"/>
  <c r="M138" i="63" l="1"/>
  <c r="L138" i="63" s="1"/>
  <c r="Q138" i="63"/>
  <c r="V138" i="63" l="1"/>
  <c r="P138" i="63"/>
  <c r="AM138" i="63"/>
  <c r="Z138" i="63"/>
  <c r="U138" i="63" l="1"/>
  <c r="W138" i="63"/>
  <c r="AT138" i="63" l="1"/>
  <c r="AU138" i="63"/>
  <c r="AV138" i="63" s="1"/>
  <c r="N139" i="63"/>
  <c r="O139" i="63"/>
  <c r="AN139" i="63" l="1"/>
  <c r="AS139" i="63" s="1"/>
  <c r="M139" i="63"/>
  <c r="L139" i="63" s="1"/>
  <c r="Q139" i="63"/>
  <c r="V139" i="63" s="1"/>
  <c r="P139" i="63" l="1"/>
  <c r="AM139" i="63"/>
  <c r="Z139" i="63"/>
  <c r="W139" i="63" l="1"/>
  <c r="U139" i="63"/>
  <c r="O140" i="63" l="1"/>
  <c r="N140" i="63"/>
  <c r="AU139" i="63"/>
  <c r="AV139" i="63" s="1"/>
  <c r="AT139" i="63"/>
  <c r="M140" i="63" l="1"/>
  <c r="L140" i="63" s="1"/>
  <c r="Q140" i="63"/>
  <c r="V140" i="63" s="1"/>
  <c r="AN140" i="63"/>
  <c r="AS140" i="63" s="1"/>
  <c r="P140" i="63" l="1"/>
  <c r="U140" i="63" s="1"/>
  <c r="AM140" i="63"/>
  <c r="Z140" i="63"/>
  <c r="W140" i="63" l="1"/>
  <c r="N141" i="63"/>
  <c r="AT140" i="63"/>
  <c r="AU140" i="63"/>
  <c r="AV140" i="63" s="1"/>
  <c r="O141" i="63"/>
  <c r="AN141" i="63" l="1"/>
  <c r="AS141" i="63" s="1"/>
  <c r="Q141" i="63"/>
  <c r="V141" i="63" s="1"/>
  <c r="M141" i="63"/>
  <c r="L141" i="63" s="1"/>
  <c r="AM141" i="63" l="1"/>
  <c r="Z141" i="63"/>
  <c r="P141" i="63"/>
  <c r="U141" i="63" l="1"/>
  <c r="W141" i="63"/>
  <c r="O142" i="63" l="1"/>
  <c r="AU141" i="63"/>
  <c r="AV141" i="63" s="1"/>
  <c r="AT141" i="63"/>
  <c r="N142" i="63"/>
  <c r="M142" i="63" l="1"/>
  <c r="L142" i="63" s="1"/>
  <c r="Q142" i="63"/>
  <c r="V142" i="63" s="1"/>
  <c r="AN142" i="63"/>
  <c r="AS142" i="63" s="1"/>
  <c r="P142" i="63" l="1"/>
  <c r="U142" i="63" s="1"/>
  <c r="W142" i="63"/>
  <c r="Z142" i="63"/>
  <c r="AM142" i="63"/>
  <c r="N143" i="63" l="1"/>
  <c r="AU142" i="63"/>
  <c r="AV142" i="63" s="1"/>
  <c r="O143" i="63"/>
  <c r="AN143" i="63" s="1"/>
  <c r="AS143" i="63" s="1"/>
  <c r="AT142" i="63"/>
  <c r="M143" i="63" l="1"/>
  <c r="L143" i="63" s="1"/>
  <c r="Q143" i="63"/>
  <c r="V143" i="63" l="1"/>
  <c r="P143" i="63"/>
  <c r="Z143" i="63"/>
  <c r="AM143" i="63"/>
  <c r="W143" i="63" l="1"/>
  <c r="U143" i="63"/>
  <c r="N144" i="63" l="1"/>
  <c r="AT143" i="63"/>
  <c r="AU143" i="63"/>
  <c r="AV143" i="63" s="1"/>
  <c r="O144" i="63"/>
  <c r="AN144" i="63" s="1"/>
  <c r="AS144" i="63" s="1"/>
  <c r="Q144" i="63" l="1"/>
  <c r="M144" i="63"/>
  <c r="L144" i="63" s="1"/>
  <c r="Z144" i="63" l="1"/>
  <c r="AM144" i="63"/>
  <c r="V144" i="63"/>
  <c r="P144" i="63"/>
  <c r="U144" i="63" l="1"/>
  <c r="W144" i="63"/>
  <c r="N145" i="63" l="1"/>
  <c r="AT144" i="63"/>
  <c r="O145" i="63"/>
  <c r="AN145" i="63" s="1"/>
  <c r="AS145" i="63" s="1"/>
  <c r="AU144" i="63"/>
  <c r="AV144" i="63" s="1"/>
  <c r="M145" i="63" l="1"/>
  <c r="L145" i="63" s="1"/>
  <c r="Q145" i="63"/>
  <c r="V145" i="63" l="1"/>
  <c r="P145" i="63"/>
  <c r="AM145" i="63"/>
  <c r="Z145" i="63"/>
  <c r="U145" i="63" l="1"/>
  <c r="W145" i="63"/>
  <c r="AT145" i="63" l="1"/>
  <c r="N146" i="63"/>
  <c r="AU145" i="63"/>
  <c r="AV145" i="63" s="1"/>
  <c r="O146" i="63"/>
  <c r="AN146" i="63" s="1"/>
  <c r="AS146" i="63" s="1"/>
  <c r="M146" i="63" l="1"/>
  <c r="L146" i="63" s="1"/>
  <c r="Q146" i="63"/>
  <c r="V146" i="63" l="1"/>
  <c r="P146" i="63"/>
  <c r="Z146" i="63"/>
  <c r="AM146" i="63"/>
  <c r="U146" i="63" l="1"/>
  <c r="W146" i="63"/>
  <c r="N147" i="63" l="1"/>
  <c r="AU146" i="63"/>
  <c r="AV146" i="63" s="1"/>
  <c r="AT146" i="63"/>
  <c r="O147" i="63"/>
  <c r="AN147" i="63" s="1"/>
  <c r="AS147" i="63" s="1"/>
  <c r="Q147" i="63" l="1"/>
  <c r="V147" i="63" s="1"/>
  <c r="M147" i="63"/>
  <c r="L147" i="63" s="1"/>
  <c r="AM147" i="63" l="1"/>
  <c r="Z147" i="63"/>
  <c r="P147" i="63"/>
  <c r="U147" i="63" l="1"/>
  <c r="W147" i="63"/>
  <c r="O148" i="63" l="1"/>
  <c r="AN148" i="63" s="1"/>
  <c r="AS148" i="63" s="1"/>
  <c r="AT147" i="63"/>
  <c r="N148" i="63"/>
  <c r="AU147" i="63"/>
  <c r="AV147" i="63" s="1"/>
  <c r="M148" i="63" l="1"/>
  <c r="L148" i="63" s="1"/>
  <c r="Q148" i="63"/>
  <c r="Z148" i="63" l="1"/>
  <c r="AM148" i="63"/>
  <c r="V148" i="63"/>
  <c r="P148" i="63"/>
  <c r="U148" i="63" l="1"/>
  <c r="W148" i="63"/>
  <c r="AU148" i="63" l="1"/>
  <c r="AV148" i="63" s="1"/>
  <c r="AT148" i="63"/>
  <c r="N149" i="63"/>
  <c r="O149" i="63"/>
  <c r="AN149" i="63" s="1"/>
  <c r="AS149" i="63" s="1"/>
  <c r="M149" i="63" l="1"/>
  <c r="L149" i="63" s="1"/>
  <c r="Q149" i="63"/>
  <c r="V149" i="63" l="1"/>
  <c r="P149" i="63"/>
  <c r="Z149" i="63"/>
  <c r="AM149" i="63"/>
  <c r="W149" i="63" l="1"/>
  <c r="U149" i="63"/>
  <c r="O150" i="63" l="1"/>
  <c r="AT149" i="63"/>
  <c r="N150" i="63"/>
  <c r="AU149" i="63"/>
  <c r="AV149" i="63" s="1"/>
  <c r="M150" i="63" l="1"/>
  <c r="L150" i="63" s="1"/>
  <c r="Q150" i="63"/>
  <c r="V150" i="63" s="1"/>
  <c r="AN150" i="63"/>
  <c r="AS150" i="63" s="1"/>
  <c r="P150" i="63" l="1"/>
  <c r="U150" i="63" s="1"/>
  <c r="W150" i="63"/>
  <c r="Z150" i="63"/>
  <c r="AM150" i="63"/>
  <c r="O151" i="63" l="1"/>
  <c r="AN151" i="63" s="1"/>
  <c r="AS151" i="63" s="1"/>
  <c r="AU150" i="63"/>
  <c r="AV150" i="63" s="1"/>
  <c r="N151" i="63"/>
  <c r="AT150" i="63"/>
  <c r="M151" i="63" l="1"/>
  <c r="L151" i="63" s="1"/>
  <c r="Q151" i="63"/>
  <c r="V151" i="63" l="1"/>
  <c r="P151" i="63"/>
  <c r="Z151" i="63"/>
  <c r="AM151" i="63"/>
  <c r="U151" i="63" l="1"/>
  <c r="W151" i="63"/>
  <c r="AT151" i="63" l="1"/>
  <c r="N152" i="63"/>
  <c r="O152" i="63"/>
  <c r="AU151" i="63"/>
  <c r="AV151" i="63" s="1"/>
  <c r="AN152" i="63" l="1"/>
  <c r="AS152" i="63" s="1"/>
  <c r="Q152" i="63"/>
  <c r="V152" i="63" s="1"/>
  <c r="M152" i="63"/>
  <c r="L152" i="63" s="1"/>
  <c r="AM152" i="63" l="1"/>
  <c r="Z152" i="63"/>
  <c r="P152" i="63"/>
  <c r="U152" i="63" l="1"/>
  <c r="W152" i="63"/>
  <c r="AT152" i="63" l="1"/>
  <c r="N153" i="63"/>
  <c r="AU152" i="63"/>
  <c r="AV152" i="63" s="1"/>
  <c r="O153" i="63"/>
  <c r="AN153" i="63" l="1"/>
  <c r="AS153" i="63" s="1"/>
  <c r="Q153" i="63"/>
  <c r="V153" i="63" s="1"/>
  <c r="M153" i="63"/>
  <c r="L153" i="63" s="1"/>
  <c r="Z153" i="63" l="1"/>
  <c r="AM153" i="63"/>
  <c r="P153" i="63"/>
  <c r="U153" i="63" l="1"/>
  <c r="W153" i="63"/>
  <c r="AU153" i="63" l="1"/>
  <c r="AV153" i="63" s="1"/>
  <c r="O154" i="63"/>
  <c r="AT153" i="63"/>
  <c r="N154" i="63"/>
  <c r="M154" i="63" l="1"/>
  <c r="L154" i="63" s="1"/>
  <c r="Q154" i="63"/>
  <c r="V154" i="63" s="1"/>
  <c r="AN154" i="63"/>
  <c r="AS154" i="63" s="1"/>
  <c r="P154" i="63" l="1"/>
  <c r="U154" i="63" s="1"/>
  <c r="Z154" i="63"/>
  <c r="AM154" i="63"/>
  <c r="W154" i="63" l="1"/>
  <c r="N155" i="63" s="1"/>
  <c r="O155" i="63" l="1"/>
  <c r="AU154" i="63"/>
  <c r="AV154" i="63" s="1"/>
  <c r="AT154" i="63"/>
  <c r="AN155" i="63"/>
  <c r="AS155" i="63" s="1"/>
  <c r="M155" i="63"/>
  <c r="L155" i="63" s="1"/>
  <c r="Q155" i="63"/>
  <c r="V155" i="63" s="1"/>
  <c r="Z155" i="63" l="1"/>
  <c r="AM155" i="63"/>
  <c r="P155" i="63"/>
  <c r="W155" i="63" l="1"/>
  <c r="U155" i="63"/>
  <c r="N156" i="63" l="1"/>
  <c r="O156" i="63"/>
  <c r="AT155" i="63"/>
  <c r="AU155" i="63"/>
  <c r="AV155" i="63" s="1"/>
  <c r="AN156" i="63" l="1"/>
  <c r="AS156" i="63" s="1"/>
  <c r="M156" i="63"/>
  <c r="L156" i="63" s="1"/>
  <c r="Q156" i="63"/>
  <c r="V156" i="63" s="1"/>
  <c r="AM156" i="63" l="1"/>
  <c r="Z156" i="63"/>
  <c r="P156" i="63"/>
  <c r="U156" i="63" l="1"/>
  <c r="W156" i="63"/>
  <c r="O157" i="63" l="1"/>
  <c r="AT156" i="63"/>
  <c r="N157" i="63"/>
  <c r="AU156" i="63"/>
  <c r="AV156" i="63" s="1"/>
  <c r="M157" i="63" l="1"/>
  <c r="L157" i="63" s="1"/>
  <c r="Q157" i="63"/>
  <c r="V157" i="63" s="1"/>
  <c r="AN157" i="63"/>
  <c r="AS157" i="63" s="1"/>
  <c r="P157" i="63" l="1"/>
  <c r="U157" i="63" s="1"/>
  <c r="Z157" i="63"/>
  <c r="AM157" i="63"/>
  <c r="W157" i="63" l="1"/>
  <c r="N158" i="63"/>
  <c r="AU157" i="63"/>
  <c r="AV157" i="63" s="1"/>
  <c r="O158" i="63"/>
  <c r="AT157" i="63"/>
  <c r="AN158" i="63" l="1"/>
  <c r="AS158" i="63" s="1"/>
  <c r="M158" i="63"/>
  <c r="L158" i="63" s="1"/>
  <c r="Q158" i="63"/>
  <c r="V158" i="63" s="1"/>
  <c r="P158" i="63" l="1"/>
  <c r="Z158" i="63"/>
  <c r="AM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O160" i="63"/>
  <c r="AT159" i="63"/>
  <c r="AN160" i="63" l="1"/>
  <c r="AS160" i="63" s="1"/>
  <c r="M160" i="63"/>
  <c r="L160" i="63" s="1"/>
  <c r="Q160" i="63"/>
  <c r="V160" i="63" s="1"/>
  <c r="Z160" i="63" l="1"/>
  <c r="AM160" i="63"/>
  <c r="P160" i="63"/>
  <c r="U160" i="63" l="1"/>
  <c r="W160" i="63"/>
  <c r="AT160" i="63" l="1"/>
  <c r="AU160" i="63"/>
  <c r="AV160" i="63" s="1"/>
  <c r="O161" i="63"/>
  <c r="N161" i="63"/>
  <c r="M161" i="63" l="1"/>
  <c r="L161" i="63" s="1"/>
  <c r="Q161" i="63"/>
  <c r="V161" i="63" s="1"/>
  <c r="AN161" i="63"/>
  <c r="AS161" i="63" s="1"/>
  <c r="P161" i="63" l="1"/>
  <c r="Z161" i="63"/>
  <c r="AM161" i="63"/>
  <c r="U161" i="63" l="1"/>
  <c r="W161" i="63"/>
  <c r="AT161" i="63" l="1"/>
  <c r="AU161" i="63"/>
  <c r="AV161" i="63" s="1"/>
  <c r="O162" i="63"/>
  <c r="N162" i="63"/>
  <c r="Q162" i="63" l="1"/>
  <c r="V162" i="63" s="1"/>
  <c r="M162" i="63"/>
  <c r="L162" i="63" s="1"/>
  <c r="AN162" i="63"/>
  <c r="AS162" i="63" s="1"/>
  <c r="P162" i="63" l="1"/>
  <c r="U162" i="63" s="1"/>
  <c r="AM162" i="63"/>
  <c r="Z162" i="63"/>
  <c r="W162" i="63" l="1"/>
  <c r="AT162" i="63"/>
  <c r="N163" i="63"/>
  <c r="AU162" i="63"/>
  <c r="AV162" i="63" s="1"/>
  <c r="O163" i="63"/>
  <c r="AN163" i="63" l="1"/>
  <c r="AS163" i="63" s="1"/>
  <c r="M163" i="63"/>
  <c r="L163" i="63" s="1"/>
  <c r="Q163" i="63"/>
  <c r="V163" i="63" s="1"/>
  <c r="Z163" i="63" l="1"/>
  <c r="AM163" i="63"/>
  <c r="P163" i="63"/>
  <c r="U163" i="63" l="1"/>
  <c r="W163" i="63"/>
  <c r="AU163" i="63" l="1"/>
  <c r="AV163" i="63" s="1"/>
  <c r="N164" i="63"/>
  <c r="AT163" i="63"/>
  <c r="O164" i="63"/>
  <c r="AN164" i="63" l="1"/>
  <c r="AS164" i="63" s="1"/>
  <c r="Q164" i="63"/>
  <c r="V164" i="63" s="1"/>
  <c r="M164" i="63"/>
  <c r="L164" i="63" s="1"/>
  <c r="Z164" i="63" l="1"/>
  <c r="AM164" i="63"/>
  <c r="P164" i="63"/>
  <c r="U164" i="63" l="1"/>
  <c r="W164" i="63"/>
  <c r="AT164" i="63" l="1"/>
  <c r="O165" i="63"/>
  <c r="N165" i="63"/>
  <c r="AU164" i="63"/>
  <c r="AV164" i="63" s="1"/>
  <c r="Q165" i="63" l="1"/>
  <c r="V165" i="63" s="1"/>
  <c r="M165" i="63"/>
  <c r="L165" i="63" s="1"/>
  <c r="AN165" i="63"/>
  <c r="AS165" i="63" s="1"/>
  <c r="P165" i="63" l="1"/>
  <c r="U165" i="63" s="1"/>
  <c r="Z165" i="63"/>
  <c r="AM165" i="63"/>
  <c r="W165" i="63"/>
  <c r="AT165" i="63" l="1"/>
  <c r="O166" i="63"/>
  <c r="AU165" i="63"/>
  <c r="AV165" i="63" s="1"/>
  <c r="N166" i="63"/>
  <c r="Q166" i="63" l="1"/>
  <c r="V166" i="63" s="1"/>
  <c r="M166" i="63"/>
  <c r="L166" i="63" s="1"/>
  <c r="AN166" i="63"/>
  <c r="AS166" i="63" s="1"/>
  <c r="P166" i="63" l="1"/>
  <c r="Z166" i="63"/>
  <c r="AM166" i="63"/>
  <c r="U166" i="63" l="1"/>
  <c r="W166" i="63"/>
  <c r="N167" i="63" l="1"/>
  <c r="O167" i="63"/>
  <c r="AU166" i="63"/>
  <c r="AV166" i="63" s="1"/>
  <c r="AT166" i="63"/>
  <c r="AN167" i="63" l="1"/>
  <c r="AS167" i="63" s="1"/>
  <c r="M167" i="63"/>
  <c r="L167" i="63" s="1"/>
  <c r="Q167" i="63"/>
  <c r="V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O169" i="63" l="1"/>
  <c r="AT168" i="63"/>
  <c r="N169" i="63"/>
  <c r="AU168" i="63"/>
  <c r="AV168" i="63" s="1"/>
  <c r="Q169" i="63" l="1"/>
  <c r="V169" i="63" s="1"/>
  <c r="M169" i="63"/>
  <c r="L169" i="63" s="1"/>
  <c r="AN169" i="63"/>
  <c r="AS169" i="63" s="1"/>
  <c r="P169" i="63" l="1"/>
  <c r="W169" i="63" s="1"/>
  <c r="AM169" i="63"/>
  <c r="Z169" i="63"/>
  <c r="U169" i="63" l="1"/>
  <c r="AT169" i="63"/>
  <c r="O170" i="63"/>
  <c r="AN170" i="63" s="1"/>
  <c r="AS170" i="63" s="1"/>
  <c r="AU169" i="63"/>
  <c r="AV169" i="63" s="1"/>
  <c r="N170" i="63"/>
  <c r="M170" i="63" l="1"/>
  <c r="L170" i="63" s="1"/>
  <c r="Q170" i="63"/>
  <c r="V170" i="63" l="1"/>
  <c r="P170" i="63"/>
  <c r="Z170" i="63"/>
  <c r="AM170" i="63"/>
  <c r="U170" i="63" l="1"/>
  <c r="W170" i="63"/>
  <c r="N171" i="63" l="1"/>
  <c r="O171" i="63"/>
  <c r="AN171" i="63" s="1"/>
  <c r="AS171" i="63" s="1"/>
  <c r="AU170" i="63"/>
  <c r="AV170" i="63" s="1"/>
  <c r="AT170" i="63"/>
  <c r="Q171" i="63" l="1"/>
  <c r="M171" i="63"/>
  <c r="L171" i="63" s="1"/>
  <c r="Z171" i="63" l="1"/>
  <c r="AM171" i="63"/>
  <c r="V171" i="63"/>
  <c r="P171" i="63"/>
  <c r="W171" i="63" l="1"/>
  <c r="U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M173" i="63"/>
  <c r="L173" i="63" s="1"/>
  <c r="Z173" i="63" l="1"/>
  <c r="AM173" i="63"/>
  <c r="V173" i="63"/>
  <c r="P173" i="63"/>
  <c r="U173" i="63" l="1"/>
  <c r="W173" i="63"/>
  <c r="AU173" i="63" l="1"/>
  <c r="AV173" i="63" s="1"/>
  <c r="N174" i="63"/>
  <c r="AT173" i="63"/>
  <c r="O174" i="63"/>
  <c r="AN174" i="63" s="1"/>
  <c r="AS174" i="63" s="1"/>
  <c r="Q174" i="63" l="1"/>
  <c r="M174" i="63"/>
  <c r="L174" i="63" s="1"/>
  <c r="Z174" i="63" l="1"/>
  <c r="AM174" i="63"/>
  <c r="V174" i="63"/>
  <c r="P174" i="63"/>
  <c r="W174" i="63" l="1"/>
  <c r="U174" i="63"/>
  <c r="O175" i="63" l="1"/>
  <c r="AN175" i="63" s="1"/>
  <c r="AS175" i="63" s="1"/>
  <c r="N175" i="63"/>
  <c r="AT174" i="63"/>
  <c r="AU174" i="63"/>
  <c r="AV174" i="63" s="1"/>
  <c r="M175" i="63" l="1"/>
  <c r="L175" i="63" s="1"/>
  <c r="Q175" i="63"/>
  <c r="V175" i="63" l="1"/>
  <c r="P175" i="63"/>
  <c r="AM175" i="63"/>
  <c r="Z175" i="63"/>
  <c r="U175" i="63" l="1"/>
  <c r="W175" i="63"/>
  <c r="O176" i="63" l="1"/>
  <c r="AN176" i="63" s="1"/>
  <c r="AS176" i="63" s="1"/>
  <c r="AT175" i="63"/>
  <c r="N176" i="63"/>
  <c r="AU175" i="63"/>
  <c r="AV175" i="63" s="1"/>
  <c r="M176" i="63" l="1"/>
  <c r="L176" i="63" s="1"/>
  <c r="Q176" i="63"/>
  <c r="V176" i="63" l="1"/>
  <c r="P176" i="63"/>
  <c r="AM176" i="63"/>
  <c r="Z176" i="63"/>
  <c r="U176" i="63" l="1"/>
  <c r="W176" i="63"/>
  <c r="N177" i="63" l="1"/>
  <c r="AU176" i="63"/>
  <c r="AV176" i="63" s="1"/>
  <c r="AT176" i="63"/>
  <c r="O177" i="63"/>
  <c r="AN177" i="63" s="1"/>
  <c r="AS177" i="63" s="1"/>
  <c r="Q177" i="63" l="1"/>
  <c r="M177" i="63"/>
  <c r="L177" i="63" s="1"/>
  <c r="Z177" i="63" l="1"/>
  <c r="AM177" i="63"/>
  <c r="V177" i="63"/>
  <c r="P177" i="63"/>
  <c r="U177" i="63" l="1"/>
  <c r="W177" i="63"/>
  <c r="N178" i="63" l="1"/>
  <c r="AU177" i="63"/>
  <c r="AV177" i="63" s="1"/>
  <c r="AT177" i="63"/>
  <c r="O178" i="63"/>
  <c r="AN178" i="63" s="1"/>
  <c r="AS178" i="63" s="1"/>
  <c r="M178" i="63" l="1"/>
  <c r="L178" i="63" s="1"/>
  <c r="Q178" i="63"/>
  <c r="V178" i="63" s="1"/>
  <c r="Z178" i="63" l="1"/>
  <c r="AM178" i="63"/>
  <c r="P178" i="63"/>
  <c r="U178" i="63" l="1"/>
  <c r="W178" i="63"/>
  <c r="AU178" i="63" l="1"/>
  <c r="AV178" i="63" s="1"/>
  <c r="O179" i="63"/>
  <c r="AN179" i="63" s="1"/>
  <c r="AS179" i="63" s="1"/>
  <c r="AT178" i="63"/>
  <c r="N179" i="63"/>
  <c r="Q179" i="63" l="1"/>
  <c r="V179" i="63" s="1"/>
  <c r="M179" i="63"/>
  <c r="L179" i="63" s="1"/>
  <c r="Z179" i="63" l="1"/>
  <c r="AM179" i="63"/>
  <c r="P179" i="63"/>
  <c r="U179" i="63" l="1"/>
  <c r="W179" i="63"/>
  <c r="N180" i="63" l="1"/>
  <c r="O180" i="63"/>
  <c r="AT179" i="63"/>
  <c r="AU179" i="63"/>
  <c r="AV179" i="63" s="1"/>
  <c r="AN180" i="63" l="1"/>
  <c r="AS180" i="63" s="1"/>
  <c r="Q180" i="63"/>
  <c r="V180" i="63" s="1"/>
  <c r="M180" i="63"/>
  <c r="L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O182" i="63" l="1"/>
  <c r="N182" i="63"/>
  <c r="AU181" i="63"/>
  <c r="AV181" i="63" s="1"/>
  <c r="AT181" i="63"/>
  <c r="Q182" i="63" l="1"/>
  <c r="V182" i="63" s="1"/>
  <c r="M182" i="63"/>
  <c r="L182" i="63" s="1"/>
  <c r="AN182" i="63"/>
  <c r="AS182" i="63" s="1"/>
  <c r="P182" i="63"/>
  <c r="Z182" i="63" l="1"/>
  <c r="AM182" i="63"/>
  <c r="U182" i="63"/>
  <c r="W182" i="63"/>
  <c r="N183" i="63" l="1"/>
  <c r="O183" i="63"/>
  <c r="AU182" i="63"/>
  <c r="AV182" i="63" s="1"/>
  <c r="AT182" i="63"/>
  <c r="AN183" i="63" l="1"/>
  <c r="AS183" i="63" s="1"/>
  <c r="M183" i="63"/>
  <c r="L183" i="63" s="1"/>
  <c r="Q183" i="63"/>
  <c r="V183" i="63" s="1"/>
  <c r="P183" i="63" l="1"/>
  <c r="Z183" i="63"/>
  <c r="AM183" i="63"/>
  <c r="U183" i="63" l="1"/>
  <c r="W183" i="63"/>
  <c r="AT183" i="63" l="1"/>
  <c r="N184" i="63"/>
  <c r="AU183" i="63"/>
  <c r="AV183" i="63" s="1"/>
  <c r="O184" i="63"/>
  <c r="AN184" i="63" l="1"/>
  <c r="AS184" i="63" s="1"/>
  <c r="M184" i="63"/>
  <c r="L184" i="63" s="1"/>
  <c r="Q184" i="63"/>
  <c r="V184" i="63" s="1"/>
  <c r="AM184" i="63" l="1"/>
  <c r="Z184" i="63"/>
  <c r="P184" i="63"/>
  <c r="U184" i="63" l="1"/>
  <c r="W184" i="63"/>
  <c r="AU184" i="63" l="1"/>
  <c r="AV184" i="63" s="1"/>
  <c r="N185" i="63"/>
  <c r="AT184" i="63"/>
  <c r="O185" i="63"/>
  <c r="AN185" i="63" l="1"/>
  <c r="AS185" i="63" s="1"/>
  <c r="M185" i="63"/>
  <c r="L185" i="63" s="1"/>
  <c r="Q185" i="63"/>
  <c r="V185" i="63" s="1"/>
  <c r="Z185" i="63" l="1"/>
  <c r="AM185" i="63"/>
  <c r="P185" i="63"/>
  <c r="U185" i="63" l="1"/>
  <c r="W185" i="63"/>
  <c r="O186" i="63" l="1"/>
  <c r="AT185" i="63"/>
  <c r="N186" i="63"/>
  <c r="AU185" i="63"/>
  <c r="AV185" i="63" s="1"/>
  <c r="Q186" i="63" l="1"/>
  <c r="V186" i="63" s="1"/>
  <c r="M186" i="63"/>
  <c r="L186" i="63" s="1"/>
  <c r="AN186" i="63"/>
  <c r="AS186" i="63" s="1"/>
  <c r="P186" i="63" l="1"/>
  <c r="U186" i="63" s="1"/>
  <c r="Z186" i="63"/>
  <c r="AM186" i="63"/>
  <c r="W186" i="63"/>
  <c r="AU186" i="63" l="1"/>
  <c r="AV186" i="63" s="1"/>
  <c r="AT186" i="63"/>
  <c r="N187" i="63"/>
  <c r="O187" i="63"/>
  <c r="AN187" i="63" l="1"/>
  <c r="AS187" i="63" s="1"/>
  <c r="M187" i="63"/>
  <c r="L187" i="63" s="1"/>
  <c r="Q187" i="63"/>
  <c r="V187" i="63" s="1"/>
  <c r="Z187" i="63" l="1"/>
  <c r="AM187" i="63"/>
  <c r="P187" i="63"/>
  <c r="W187" i="63" l="1"/>
  <c r="U187" i="63"/>
  <c r="N188" i="63" l="1"/>
  <c r="AT187" i="63"/>
  <c r="AU187" i="63"/>
  <c r="AV187" i="63" s="1"/>
  <c r="O188" i="63"/>
  <c r="AN188" i="63" l="1"/>
  <c r="AS188" i="63" s="1"/>
  <c r="Q188" i="63"/>
  <c r="V188" i="63" s="1"/>
  <c r="M188" i="63"/>
  <c r="L188" i="63" s="1"/>
  <c r="AM188" i="63" l="1"/>
  <c r="Z188" i="63"/>
  <c r="P188" i="63"/>
  <c r="W188" i="63" l="1"/>
  <c r="U188" i="63"/>
  <c r="N189" i="63" l="1"/>
  <c r="AU188" i="63"/>
  <c r="AV188" i="63" s="1"/>
  <c r="AT188" i="63"/>
  <c r="O189" i="63"/>
  <c r="AN189" i="63" l="1"/>
  <c r="AS189" i="63" s="1"/>
  <c r="M189" i="63"/>
  <c r="L189" i="63" s="1"/>
  <c r="Q189" i="63"/>
  <c r="V189" i="63" s="1"/>
  <c r="AM189" i="63" l="1"/>
  <c r="Z189" i="63"/>
  <c r="P189" i="63"/>
  <c r="U189" i="63" l="1"/>
  <c r="W189" i="63"/>
  <c r="O190" i="63" l="1"/>
  <c r="N190" i="63"/>
  <c r="AT189" i="63"/>
  <c r="AU189" i="63"/>
  <c r="AV189" i="63" s="1"/>
  <c r="Q190" i="63" l="1"/>
  <c r="V190" i="63" s="1"/>
  <c r="M190" i="63"/>
  <c r="L190" i="63" s="1"/>
  <c r="AN190" i="63"/>
  <c r="AS190" i="63" s="1"/>
  <c r="P190" i="63"/>
  <c r="AM190" i="63" l="1"/>
  <c r="Z190" i="63"/>
  <c r="U190" i="63"/>
  <c r="W190" i="63"/>
  <c r="N191" i="63" l="1"/>
  <c r="AU190" i="63"/>
  <c r="AV190" i="63" s="1"/>
  <c r="AT190" i="63"/>
  <c r="O191" i="63"/>
  <c r="AN191" i="63" l="1"/>
  <c r="AS191" i="63" s="1"/>
  <c r="Q191" i="63"/>
  <c r="V191" i="63" s="1"/>
  <c r="M191" i="63"/>
  <c r="L191" i="63" s="1"/>
  <c r="AM191" i="63" l="1"/>
  <c r="Z191" i="63"/>
  <c r="P191" i="63"/>
  <c r="U191" i="63" l="1"/>
  <c r="W191" i="63"/>
  <c r="AT191" i="63" l="1"/>
  <c r="O192" i="63"/>
  <c r="AU191" i="63"/>
  <c r="AV191" i="63" s="1"/>
  <c r="N192" i="63"/>
  <c r="AN192" i="63" l="1"/>
  <c r="AS192" i="63" s="1"/>
  <c r="Q192" i="63"/>
  <c r="V192" i="63" s="1"/>
  <c r="M192" i="63"/>
  <c r="L192" i="63" s="1"/>
  <c r="Z192" i="63" l="1"/>
  <c r="AM192" i="63"/>
  <c r="P192" i="63"/>
  <c r="U192" i="63" l="1"/>
  <c r="W192" i="63"/>
  <c r="N193" i="63" l="1"/>
  <c r="AT192" i="63"/>
  <c r="O193" i="63"/>
  <c r="AU192" i="63"/>
  <c r="AV192" i="63" s="1"/>
  <c r="AN193" i="63" l="1"/>
  <c r="AS193" i="63" s="1"/>
  <c r="M193" i="63"/>
  <c r="L193" i="63" s="1"/>
  <c r="Q193" i="63"/>
  <c r="V193" i="63" s="1"/>
  <c r="P193" i="63" l="1"/>
  <c r="Z193" i="63"/>
  <c r="AM193" i="63"/>
  <c r="U193" i="63" l="1"/>
  <c r="W193" i="63"/>
  <c r="AU193" i="63" l="1"/>
  <c r="AV193" i="63" s="1"/>
  <c r="N194" i="63"/>
  <c r="AT193" i="63"/>
  <c r="O194" i="63"/>
  <c r="AN194" i="63" l="1"/>
  <c r="AS194" i="63" s="1"/>
  <c r="M194" i="63"/>
  <c r="L194" i="63" s="1"/>
  <c r="Q194" i="63"/>
  <c r="V194" i="63" s="1"/>
  <c r="P194" i="63" l="1"/>
  <c r="AM194" i="63"/>
  <c r="Z194" i="63"/>
  <c r="U194" i="63" l="1"/>
  <c r="W194" i="63"/>
  <c r="AU194" i="63" l="1"/>
  <c r="AV194" i="63" s="1"/>
  <c r="AT194" i="63"/>
  <c r="N195" i="63"/>
  <c r="O195" i="63"/>
  <c r="M195" i="63" l="1"/>
  <c r="L195" i="63" s="1"/>
  <c r="Q195" i="63"/>
  <c r="V195" i="63" s="1"/>
  <c r="AN195" i="63"/>
  <c r="AS195" i="63" s="1"/>
  <c r="P195" i="63" l="1"/>
  <c r="Z195" i="63"/>
  <c r="AM195" i="63"/>
  <c r="U195" i="63" l="1"/>
  <c r="W195" i="63"/>
  <c r="AT195" i="63" l="1"/>
  <c r="AU195" i="63"/>
  <c r="AV195" i="63" s="1"/>
  <c r="N196" i="63"/>
  <c r="O196" i="63"/>
  <c r="AN196" i="63" l="1"/>
  <c r="AS196" i="63" s="1"/>
  <c r="M196" i="63"/>
  <c r="L196" i="63" s="1"/>
  <c r="Q196" i="63"/>
  <c r="V196" i="63" s="1"/>
  <c r="AM196" i="63" l="1"/>
  <c r="Z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s="1"/>
  <c r="AT198" i="63"/>
  <c r="AU198" i="63"/>
  <c r="AV198" i="63" s="1"/>
  <c r="N199" i="63"/>
  <c r="Q199" i="63" l="1"/>
  <c r="V199" i="63" s="1"/>
  <c r="M199" i="63"/>
  <c r="L199" i="63" s="1"/>
  <c r="AN199" i="63"/>
  <c r="AS199" i="63" s="1"/>
  <c r="P199" i="63" l="1"/>
  <c r="U199" i="63" s="1"/>
  <c r="Z199" i="63"/>
  <c r="AM199" i="63"/>
  <c r="W199" i="63"/>
  <c r="AU199" i="63" l="1"/>
  <c r="AV199" i="63" s="1"/>
  <c r="O200" i="63"/>
  <c r="AT199" i="63"/>
  <c r="N200" i="63"/>
  <c r="Q200" i="63" l="1"/>
  <c r="V200" i="63" s="1"/>
  <c r="M200" i="63"/>
  <c r="L200" i="63" s="1"/>
  <c r="AN200" i="63"/>
  <c r="AS200" i="63" s="1"/>
  <c r="P200" i="63" l="1"/>
  <c r="U200" i="63" s="1"/>
  <c r="W200" i="63"/>
  <c r="Z200" i="63"/>
  <c r="AM200" i="63"/>
  <c r="AT200" i="63" l="1"/>
  <c r="AU200" i="63"/>
  <c r="AV200" i="63" s="1"/>
  <c r="O201" i="63"/>
  <c r="N201" i="63"/>
  <c r="M201" i="63" l="1"/>
  <c r="L201" i="63" s="1"/>
  <c r="Q201" i="63"/>
  <c r="V201" i="63" s="1"/>
  <c r="AN201" i="63"/>
  <c r="AS201" i="63" s="1"/>
  <c r="P201" i="63" l="1"/>
  <c r="U201" i="63" s="1"/>
  <c r="Z201" i="63"/>
  <c r="AM201" i="63"/>
  <c r="W201" i="63" l="1"/>
  <c r="N202" i="63"/>
  <c r="AU201" i="63"/>
  <c r="AV201" i="63" s="1"/>
  <c r="AT201" i="63"/>
  <c r="O202" i="63"/>
  <c r="AN202" i="63" l="1"/>
  <c r="AS202" i="63" s="1"/>
  <c r="Q202" i="63"/>
  <c r="V202" i="63" s="1"/>
  <c r="M202" i="63"/>
  <c r="L202" i="63" s="1"/>
  <c r="Z202" i="63" l="1"/>
  <c r="AM202" i="63"/>
  <c r="P202" i="63"/>
  <c r="U202" i="63" l="1"/>
  <c r="W202" i="63"/>
  <c r="N203" i="63" l="1"/>
  <c r="AT202" i="63"/>
  <c r="AU202" i="63"/>
  <c r="AV202" i="63" s="1"/>
  <c r="O203" i="63"/>
  <c r="AN203" i="63" l="1"/>
  <c r="AS203" i="63" s="1"/>
  <c r="Q203" i="63"/>
  <c r="V203" i="63" s="1"/>
  <c r="M203" i="63"/>
  <c r="L203" i="63" s="1"/>
  <c r="Z203" i="63" l="1"/>
  <c r="AM203" i="63"/>
  <c r="P203" i="63"/>
  <c r="U203" i="63" l="1"/>
  <c r="W203" i="63"/>
  <c r="O204" i="63" l="1"/>
  <c r="AU203" i="63"/>
  <c r="AV203" i="63" s="1"/>
  <c r="N204" i="63"/>
  <c r="AT203" i="63"/>
  <c r="M204" i="63" l="1"/>
  <c r="L204" i="63" s="1"/>
  <c r="Q204" i="63"/>
  <c r="V204" i="63" s="1"/>
  <c r="AN204" i="63"/>
  <c r="AS204" i="63" s="1"/>
  <c r="P204" i="63" l="1"/>
  <c r="U204" i="63" s="1"/>
  <c r="Z204" i="63"/>
  <c r="AM204" i="63"/>
  <c r="W204" i="63" l="1"/>
  <c r="AU204" i="63"/>
  <c r="AV204" i="63" s="1"/>
  <c r="N205" i="63"/>
  <c r="O205" i="63"/>
  <c r="AT204" i="63"/>
  <c r="AN205" i="63" l="1"/>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O207" i="63"/>
  <c r="AU206" i="63"/>
  <c r="AV206" i="63" s="1"/>
  <c r="N207" i="63"/>
  <c r="M207" i="63" l="1"/>
  <c r="L207" i="63" s="1"/>
  <c r="Q207" i="63"/>
  <c r="V207" i="63" s="1"/>
  <c r="AN207" i="63"/>
  <c r="AS207" i="63" s="1"/>
  <c r="P207" i="63" l="1"/>
  <c r="Z207" i="63"/>
  <c r="AM207" i="63"/>
  <c r="U207" i="63" l="1"/>
  <c r="W207" i="63"/>
  <c r="AU207" i="63" l="1"/>
  <c r="AV207" i="63" s="1"/>
  <c r="AT207" i="63"/>
  <c r="O208" i="63"/>
  <c r="N208" i="63"/>
  <c r="Q208" i="63" l="1"/>
  <c r="V208" i="63" s="1"/>
  <c r="M208" i="63"/>
  <c r="L208" i="63" s="1"/>
  <c r="AN208" i="63"/>
  <c r="AS208" i="63" s="1"/>
  <c r="P208" i="63" l="1"/>
  <c r="U208" i="63" s="1"/>
  <c r="Z208" i="63"/>
  <c r="AM208" i="63"/>
  <c r="W208" i="63" l="1"/>
  <c r="AU208" i="63" s="1"/>
  <c r="AV208" i="63" s="1"/>
  <c r="N209" i="63" l="1"/>
  <c r="M209" i="63" s="1"/>
  <c r="L209" i="63" s="1"/>
  <c r="O209" i="63"/>
  <c r="AT208" i="63"/>
  <c r="AN209" i="63"/>
  <c r="AS209" i="63" s="1"/>
  <c r="Q209" i="63" l="1"/>
  <c r="V209" i="63" s="1"/>
  <c r="AM209" i="63"/>
  <c r="Z209" i="63"/>
  <c r="P209" i="63" l="1"/>
  <c r="U209" i="63" l="1"/>
  <c r="W209" i="63"/>
  <c r="AU209" i="63" l="1"/>
  <c r="AV209" i="63" s="1"/>
  <c r="N210" i="63"/>
  <c r="O210" i="63"/>
  <c r="AN210" i="63" s="1"/>
  <c r="AS210" i="63" s="1"/>
  <c r="AT209" i="63"/>
  <c r="M210" i="63" l="1"/>
  <c r="L210" i="63" s="1"/>
  <c r="Q210" i="63"/>
  <c r="V210" i="63" l="1"/>
  <c r="P210" i="63"/>
  <c r="Z210" i="63"/>
  <c r="AM210" i="63"/>
  <c r="U210" i="63" l="1"/>
  <c r="W210" i="63"/>
  <c r="N211" i="63" l="1"/>
  <c r="AT210" i="63"/>
  <c r="AU210" i="63"/>
  <c r="AV210" i="63" s="1"/>
  <c r="O211" i="63"/>
  <c r="AN211" i="63" s="1"/>
  <c r="AS211" i="63" s="1"/>
  <c r="Q211" i="63" l="1"/>
  <c r="M211" i="63"/>
  <c r="L211" i="63" s="1"/>
  <c r="AM211" i="63" l="1"/>
  <c r="Z211" i="63"/>
  <c r="V211" i="63"/>
  <c r="P211" i="63"/>
  <c r="W211" i="63" l="1"/>
  <c r="U211" i="63"/>
  <c r="N212" i="63" l="1"/>
  <c r="AT211" i="63"/>
  <c r="O212" i="63"/>
  <c r="AN212" i="63" s="1"/>
  <c r="AS212" i="63" s="1"/>
  <c r="AU211" i="63"/>
  <c r="AV211" i="63" s="1"/>
  <c r="M212" i="63" l="1"/>
  <c r="L212" i="63" s="1"/>
  <c r="Q212" i="63"/>
  <c r="V212" i="63" l="1"/>
  <c r="P212" i="63"/>
  <c r="AM212" i="63"/>
  <c r="Z212" i="63"/>
  <c r="W212" i="63" l="1"/>
  <c r="U212" i="63"/>
  <c r="N213" i="63" l="1"/>
  <c r="AU212" i="63"/>
  <c r="AV212" i="63" s="1"/>
  <c r="AT212" i="63"/>
  <c r="O213" i="63"/>
  <c r="AN213" i="63" s="1"/>
  <c r="AS213" i="63" s="1"/>
  <c r="Q213" i="63" l="1"/>
  <c r="V213" i="63" s="1"/>
  <c r="M213" i="63"/>
  <c r="L213" i="63" s="1"/>
  <c r="Z213" i="63" l="1"/>
  <c r="AM213" i="63"/>
  <c r="P213" i="63"/>
  <c r="U213" i="63" l="1"/>
  <c r="W213" i="63"/>
  <c r="AU213" i="63" l="1"/>
  <c r="AV213" i="63" s="1"/>
  <c r="AT213" i="63"/>
  <c r="N214" i="63"/>
  <c r="O214" i="63"/>
  <c r="AN214" i="63" s="1"/>
  <c r="AS214" i="63" s="1"/>
  <c r="M214" i="63" l="1"/>
  <c r="L214" i="63" s="1"/>
  <c r="Q214" i="63"/>
  <c r="V214" i="63" l="1"/>
  <c r="P214" i="63"/>
  <c r="Z214" i="63"/>
  <c r="AM214" i="63"/>
  <c r="U214" i="63" l="1"/>
  <c r="W214" i="63"/>
  <c r="N215" i="63" l="1"/>
  <c r="AU214" i="63"/>
  <c r="AV214" i="63" s="1"/>
  <c r="AT214" i="63"/>
  <c r="O215" i="63"/>
  <c r="AN215" i="63" s="1"/>
  <c r="AS215" i="63" s="1"/>
  <c r="M215" i="63" l="1"/>
  <c r="L215" i="63" s="1"/>
  <c r="Q215" i="63"/>
  <c r="V215" i="63" l="1"/>
  <c r="P215" i="63"/>
  <c r="Z215" i="63"/>
  <c r="AM215" i="63"/>
  <c r="U215" i="63" l="1"/>
  <c r="W215" i="63"/>
  <c r="N216" i="63" l="1"/>
  <c r="O216" i="63"/>
  <c r="AN216" i="63" s="1"/>
  <c r="AS216" i="63" s="1"/>
  <c r="AU215" i="63"/>
  <c r="AV215" i="63" s="1"/>
  <c r="AT215" i="63"/>
  <c r="M216" i="63" l="1"/>
  <c r="L216" i="63" s="1"/>
  <c r="Q216" i="63"/>
  <c r="V216" i="63" l="1"/>
  <c r="P216" i="63"/>
  <c r="AM216" i="63"/>
  <c r="Z216" i="63"/>
  <c r="U216" i="63" l="1"/>
  <c r="W216" i="63"/>
  <c r="AT216" i="63" l="1"/>
  <c r="O217" i="63"/>
  <c r="AN217" i="63" s="1"/>
  <c r="AS217" i="63" s="1"/>
  <c r="N217" i="63"/>
  <c r="AU216" i="63"/>
  <c r="AV216" i="63" s="1"/>
  <c r="Q217" i="63" l="1"/>
  <c r="M217" i="63"/>
  <c r="L217" i="63" s="1"/>
  <c r="Z217" i="63" l="1"/>
  <c r="AM217" i="63"/>
  <c r="V217" i="63"/>
  <c r="P217" i="63"/>
  <c r="U217" i="63" l="1"/>
  <c r="W217" i="63"/>
  <c r="N218" i="63" l="1"/>
  <c r="O218" i="63"/>
  <c r="AN218" i="63" s="1"/>
  <c r="AS218" i="63" s="1"/>
  <c r="AU217" i="63"/>
  <c r="AV217" i="63" s="1"/>
  <c r="AT217" i="63"/>
  <c r="Q218" i="63" l="1"/>
  <c r="M218" i="63"/>
  <c r="L218" i="63" s="1"/>
  <c r="AM218" i="63" l="1"/>
  <c r="Z218" i="63"/>
  <c r="V218" i="63"/>
  <c r="P218" i="63"/>
  <c r="U218" i="63" l="1"/>
  <c r="W218" i="63"/>
  <c r="N219" i="63" l="1"/>
  <c r="AT218" i="63"/>
  <c r="AU218" i="63"/>
  <c r="AV218" i="63" s="1"/>
  <c r="O219" i="63"/>
  <c r="AN219" i="63" s="1"/>
  <c r="AS219" i="63" s="1"/>
  <c r="Q219" i="63" l="1"/>
  <c r="M219" i="63"/>
  <c r="L219" i="63" s="1"/>
  <c r="Z219" i="63" l="1"/>
  <c r="AM219" i="63"/>
  <c r="V219" i="63"/>
  <c r="P219" i="63"/>
  <c r="U219" i="63" l="1"/>
  <c r="W219" i="63"/>
  <c r="N220" i="63" l="1"/>
  <c r="O220" i="63"/>
  <c r="AU219" i="63"/>
  <c r="AV219" i="63" s="1"/>
  <c r="AT219" i="63"/>
  <c r="AN220" i="63" l="1"/>
  <c r="AS220" i="63" s="1"/>
  <c r="Q220" i="63"/>
  <c r="V220" i="63" s="1"/>
  <c r="M220" i="63"/>
  <c r="L220" i="63" s="1"/>
  <c r="Z220" i="63" l="1"/>
  <c r="AM220" i="63"/>
  <c r="P220" i="63"/>
  <c r="U220" i="63" l="1"/>
  <c r="W220" i="63"/>
  <c r="N221" i="63" l="1"/>
  <c r="AT220" i="63"/>
  <c r="AU220" i="63"/>
  <c r="AV220" i="63" s="1"/>
  <c r="O221" i="63"/>
  <c r="AN221" i="63" l="1"/>
  <c r="AS221" i="63" s="1"/>
  <c r="Q221" i="63"/>
  <c r="V221" i="63" s="1"/>
  <c r="M221" i="63"/>
  <c r="L221" i="63" s="1"/>
  <c r="Z221" i="63" l="1"/>
  <c r="AM221" i="63"/>
  <c r="P221" i="63"/>
  <c r="U221" i="63" l="1"/>
  <c r="W221" i="63"/>
  <c r="AU221" i="63" l="1"/>
  <c r="AV221" i="63" s="1"/>
  <c r="AT221" i="63"/>
  <c r="N222" i="63"/>
  <c r="O222" i="63"/>
  <c r="AN222" i="63" l="1"/>
  <c r="AS222" i="63" s="1"/>
  <c r="M222" i="63"/>
  <c r="L222" i="63" s="1"/>
  <c r="Q222" i="63"/>
  <c r="V222" i="63" s="1"/>
  <c r="AM222" i="63" l="1"/>
  <c r="Z222" i="63"/>
  <c r="P222" i="63"/>
  <c r="U222" i="63" l="1"/>
  <c r="W222" i="63"/>
  <c r="N223" i="63" l="1"/>
  <c r="AU222" i="63"/>
  <c r="AV222" i="63" s="1"/>
  <c r="O223" i="63"/>
  <c r="AT222" i="63"/>
  <c r="AN223" i="63" l="1"/>
  <c r="AS223" i="63" s="1"/>
  <c r="Q223" i="63"/>
  <c r="V223" i="63" s="1"/>
  <c r="M223" i="63"/>
  <c r="L223" i="63" s="1"/>
  <c r="Z223" i="63" l="1"/>
  <c r="AM223" i="63"/>
  <c r="P223" i="63"/>
  <c r="U223" i="63" l="1"/>
  <c r="W223" i="63"/>
  <c r="AU223" i="63" l="1"/>
  <c r="AV223" i="63" s="1"/>
  <c r="N224" i="63"/>
  <c r="AT223" i="63"/>
  <c r="O224" i="63"/>
  <c r="AN224" i="63" l="1"/>
  <c r="AS224" i="63" s="1"/>
  <c r="M224" i="63"/>
  <c r="L224" i="63" s="1"/>
  <c r="Q224" i="63"/>
  <c r="V224" i="63" s="1"/>
  <c r="P224" i="63" l="1"/>
  <c r="AM224" i="63"/>
  <c r="Z224" i="63"/>
  <c r="U224" i="63" l="1"/>
  <c r="W224" i="63"/>
  <c r="AU224" i="63" l="1"/>
  <c r="AV224" i="63" s="1"/>
  <c r="AT224" i="63"/>
  <c r="N225" i="63"/>
  <c r="O225" i="63"/>
  <c r="Q225" i="63" l="1"/>
  <c r="V225" i="63" s="1"/>
  <c r="M225" i="63"/>
  <c r="L225" i="63" s="1"/>
  <c r="AN225" i="63"/>
  <c r="AS225" i="63" s="1"/>
  <c r="P225" i="63"/>
  <c r="U225" i="63" s="1"/>
  <c r="W225" i="63" l="1"/>
  <c r="Z225" i="63"/>
  <c r="AM225" i="63"/>
  <c r="N226" i="63" l="1"/>
  <c r="AU225" i="63"/>
  <c r="AV225" i="63" s="1"/>
  <c r="O226" i="63"/>
  <c r="AT225" i="63"/>
  <c r="AN226" i="63" l="1"/>
  <c r="AS226" i="63" s="1"/>
  <c r="M226" i="63"/>
  <c r="L226" i="63" s="1"/>
  <c r="Q226" i="63"/>
  <c r="V226" i="63" s="1"/>
  <c r="P226" i="63" l="1"/>
  <c r="AM226" i="63"/>
  <c r="Z226" i="63"/>
  <c r="U226" i="63" l="1"/>
  <c r="W226" i="63"/>
  <c r="N227" i="63" l="1"/>
  <c r="AU226" i="63"/>
  <c r="AV226" i="63" s="1"/>
  <c r="O227" i="63"/>
  <c r="AT226" i="63"/>
  <c r="AN227" i="63" l="1"/>
  <c r="AS227" i="63" s="1"/>
  <c r="M227" i="63"/>
  <c r="L227" i="63" s="1"/>
  <c r="Q227" i="63"/>
  <c r="V227" i="63" s="1"/>
  <c r="AM227" i="63" l="1"/>
  <c r="Z227" i="63"/>
  <c r="P227" i="63"/>
  <c r="U227" i="63" l="1"/>
  <c r="W227" i="63"/>
  <c r="N228" i="63" l="1"/>
  <c r="O228" i="63"/>
  <c r="AU227" i="63"/>
  <c r="AV227" i="63" s="1"/>
  <c r="AT227" i="63"/>
  <c r="AN228" i="63" l="1"/>
  <c r="AS228" i="63" s="1"/>
  <c r="Q228" i="63"/>
  <c r="V228" i="63" s="1"/>
  <c r="M228" i="63"/>
  <c r="L228" i="63" s="1"/>
  <c r="AM228" i="63" l="1"/>
  <c r="Z228" i="63"/>
  <c r="P228" i="63"/>
  <c r="W228" i="63" l="1"/>
  <c r="U228" i="63"/>
  <c r="AT228" i="63" l="1"/>
  <c r="O229" i="63"/>
  <c r="AU228" i="63"/>
  <c r="AV228" i="63" s="1"/>
  <c r="N229" i="63"/>
  <c r="Q229" i="63" l="1"/>
  <c r="V229" i="63" s="1"/>
  <c r="M229" i="63"/>
  <c r="L229" i="63" s="1"/>
  <c r="AN229" i="63"/>
  <c r="AS229" i="63" s="1"/>
  <c r="P229" i="63"/>
  <c r="U229" i="63" s="1"/>
  <c r="W229" i="63" l="1"/>
  <c r="Z229" i="63"/>
  <c r="AM229" i="63"/>
  <c r="AT229" i="63" l="1"/>
  <c r="N230" i="63"/>
  <c r="O230" i="63"/>
  <c r="AU229" i="63"/>
  <c r="AV229" i="63" s="1"/>
  <c r="AN230" i="63" l="1"/>
  <c r="AS230" i="63" s="1"/>
  <c r="M230" i="63"/>
  <c r="L230" i="63" s="1"/>
  <c r="Q230" i="63"/>
  <c r="V230" i="63" s="1"/>
  <c r="P230" i="63" l="1"/>
  <c r="Z230" i="63"/>
  <c r="AM230" i="63"/>
  <c r="U230" i="63" l="1"/>
  <c r="W230" i="63"/>
  <c r="O231" i="63" l="1"/>
  <c r="AT230" i="63"/>
  <c r="AU230" i="63"/>
  <c r="AV230" i="63" s="1"/>
  <c r="N231" i="63"/>
  <c r="Q231" i="63" l="1"/>
  <c r="V231" i="63" s="1"/>
  <c r="M231" i="63"/>
  <c r="L231" i="63" s="1"/>
  <c r="AN231" i="63"/>
  <c r="AS231" i="63" s="1"/>
  <c r="P231" i="63"/>
  <c r="U231" i="63" s="1"/>
  <c r="AM231" i="63" l="1"/>
  <c r="Z231" i="63"/>
  <c r="W231" i="63"/>
  <c r="AU231" i="63" l="1"/>
  <c r="AV231" i="63" s="1"/>
  <c r="N232" i="63"/>
  <c r="AT231" i="63"/>
  <c r="O232" i="63"/>
  <c r="AN232" i="63" l="1"/>
  <c r="AS232" i="63" s="1"/>
  <c r="M232" i="63"/>
  <c r="L232" i="63" s="1"/>
  <c r="Q232" i="63"/>
  <c r="V232" i="63" s="1"/>
  <c r="AM232" i="63" l="1"/>
  <c r="Z232" i="63"/>
  <c r="P232" i="63"/>
  <c r="U232" i="63" l="1"/>
  <c r="W232" i="63"/>
  <c r="N233" i="63" l="1"/>
  <c r="AT232" i="63"/>
  <c r="AU232" i="63"/>
  <c r="AV232" i="63" s="1"/>
  <c r="O233" i="63"/>
  <c r="AN233" i="63" l="1"/>
  <c r="AS233" i="63" s="1"/>
  <c r="M233" i="63"/>
  <c r="L233" i="63" s="1"/>
  <c r="Q233" i="63"/>
  <c r="V233" i="63" s="1"/>
  <c r="AM233" i="63" l="1"/>
  <c r="Z233" i="63"/>
  <c r="P233" i="63"/>
  <c r="U233" i="63" l="1"/>
  <c r="W233" i="63"/>
  <c r="N234" i="63" l="1"/>
  <c r="AU233" i="63"/>
  <c r="AV233" i="63" s="1"/>
  <c r="O234" i="63"/>
  <c r="AT233" i="63"/>
  <c r="AN234" i="63" l="1"/>
  <c r="AS234" i="63" s="1"/>
  <c r="M234" i="63"/>
  <c r="L234" i="63" s="1"/>
  <c r="Q234" i="63"/>
  <c r="V234" i="63" s="1"/>
  <c r="AM234" i="63" l="1"/>
  <c r="Z234" i="63"/>
  <c r="P234" i="63"/>
  <c r="U234" i="63" l="1"/>
  <c r="W234" i="63"/>
  <c r="AT234" i="63" l="1"/>
  <c r="AU234" i="63"/>
  <c r="AV234" i="63" s="1"/>
  <c r="N235" i="63"/>
  <c r="O235" i="63"/>
  <c r="AN235" i="63" l="1"/>
  <c r="AS235" i="63" s="1"/>
  <c r="M235" i="63"/>
  <c r="L235" i="63" s="1"/>
  <c r="Q235" i="63"/>
  <c r="V235" i="63" s="1"/>
  <c r="Z235" i="63" l="1"/>
  <c r="AM235" i="63"/>
  <c r="P235" i="63"/>
  <c r="U235" i="63" l="1"/>
  <c r="W235" i="63"/>
  <c r="AT235" i="63" l="1"/>
  <c r="N236" i="63"/>
  <c r="AU235" i="63"/>
  <c r="AV235" i="63" s="1"/>
  <c r="O236" i="63"/>
  <c r="AN236" i="63" l="1"/>
  <c r="AS236" i="63" s="1"/>
  <c r="Q236" i="63"/>
  <c r="V236" i="63" s="1"/>
  <c r="M236" i="63"/>
  <c r="L236" i="63" s="1"/>
  <c r="Z236" i="63" l="1"/>
  <c r="AM236" i="63"/>
  <c r="P236" i="63"/>
  <c r="U236" i="63" l="1"/>
  <c r="W236" i="63"/>
  <c r="AT236" i="63" l="1"/>
  <c r="O237" i="63"/>
  <c r="AU236" i="63"/>
  <c r="AV236" i="63" s="1"/>
  <c r="N237" i="63"/>
  <c r="M237" i="63" l="1"/>
  <c r="L237" i="63" s="1"/>
  <c r="Q237" i="63"/>
  <c r="V237" i="63" s="1"/>
  <c r="AN237" i="63"/>
  <c r="AS237" i="63" s="1"/>
  <c r="P237" i="63"/>
  <c r="W237" i="63" l="1"/>
  <c r="U237" i="63"/>
  <c r="AM237" i="63"/>
  <c r="Z237" i="63"/>
  <c r="AU237" i="63" l="1"/>
  <c r="AV237" i="63" s="1"/>
  <c r="N238" i="63"/>
  <c r="O238" i="63"/>
  <c r="AT237" i="63"/>
  <c r="AN238" i="63" l="1"/>
  <c r="AS238" i="63" s="1"/>
  <c r="M238" i="63"/>
  <c r="L238" i="63" s="1"/>
  <c r="Q238" i="63"/>
  <c r="V238" i="63" s="1"/>
  <c r="Z238" i="63" l="1"/>
  <c r="AM238" i="63"/>
  <c r="P238" i="63"/>
  <c r="U238" i="63" l="1"/>
  <c r="W238" i="63"/>
  <c r="N239" i="63" l="1"/>
  <c r="O239" i="63"/>
  <c r="AT238" i="63"/>
  <c r="AU238" i="63"/>
  <c r="AV238" i="63" s="1"/>
  <c r="AN239" i="63" l="1"/>
  <c r="AS239" i="63" s="1"/>
  <c r="M239" i="63"/>
  <c r="L239" i="63" s="1"/>
  <c r="Q239" i="63"/>
  <c r="V239" i="63" s="1"/>
  <c r="Z239" i="63" l="1"/>
  <c r="AM239" i="63"/>
  <c r="P239" i="63"/>
  <c r="U239" i="63" l="1"/>
  <c r="W239" i="63"/>
  <c r="O240" i="63" l="1"/>
  <c r="N240" i="63"/>
  <c r="AT239" i="63"/>
  <c r="AU239" i="63"/>
  <c r="AV239" i="63" s="1"/>
  <c r="Q240" i="63" l="1"/>
  <c r="V240" i="63" s="1"/>
  <c r="M240" i="63"/>
  <c r="L240" i="63" s="1"/>
  <c r="AN240" i="63"/>
  <c r="AS240" i="63" s="1"/>
  <c r="P240" i="63"/>
  <c r="U240" i="63" s="1"/>
  <c r="W240" i="63" l="1"/>
  <c r="AM240" i="63"/>
  <c r="Z240" i="63"/>
  <c r="AT240" i="63" l="1"/>
  <c r="N241" i="63"/>
  <c r="AU240" i="63"/>
  <c r="AV240" i="63" s="1"/>
  <c r="O241" i="63"/>
  <c r="AN241" i="63" l="1"/>
  <c r="AS241" i="63" s="1"/>
  <c r="Q241" i="63"/>
  <c r="V241" i="63" s="1"/>
  <c r="M241" i="63"/>
  <c r="L241" i="63" s="1"/>
  <c r="P241" i="63" l="1"/>
  <c r="AM241" i="63"/>
  <c r="Z241" i="63"/>
  <c r="U241" i="63" l="1"/>
  <c r="W241" i="63"/>
  <c r="AT241" i="63" l="1"/>
  <c r="N242" i="63"/>
  <c r="AU241" i="63"/>
  <c r="AV241" i="63" s="1"/>
  <c r="O242" i="63"/>
  <c r="AN242" i="63" l="1"/>
  <c r="AS242" i="63" s="1"/>
  <c r="Q242" i="63"/>
  <c r="V242" i="63" s="1"/>
  <c r="M242" i="63"/>
  <c r="L242" i="63" s="1"/>
  <c r="Z242" i="63" l="1"/>
  <c r="AM242" i="63"/>
  <c r="P242" i="63"/>
  <c r="U242" i="63" l="1"/>
  <c r="W242" i="63"/>
  <c r="O243" i="63" l="1"/>
  <c r="N243" i="63"/>
  <c r="AT242" i="63"/>
  <c r="AU242" i="63"/>
  <c r="AV242" i="63" s="1"/>
  <c r="M243" i="63" l="1"/>
  <c r="L243" i="63" s="1"/>
  <c r="Q243" i="63"/>
  <c r="V243" i="63" s="1"/>
  <c r="AN243" i="63"/>
  <c r="AS243" i="63" s="1"/>
  <c r="P243" i="63"/>
  <c r="U243" i="63" s="1"/>
  <c r="W243" i="63" l="1"/>
  <c r="Z243" i="63"/>
  <c r="AM243" i="63"/>
  <c r="O244" i="63" l="1"/>
  <c r="AU243" i="63"/>
  <c r="AV243" i="63" s="1"/>
  <c r="AT243" i="63"/>
  <c r="N244" i="63"/>
  <c r="M244" i="63" l="1"/>
  <c r="L244" i="63" s="1"/>
  <c r="Q244" i="63"/>
  <c r="V244" i="63" s="1"/>
  <c r="AN244" i="63"/>
  <c r="AS244" i="63" s="1"/>
  <c r="P244" i="63" l="1"/>
  <c r="AM244" i="63"/>
  <c r="Z244" i="63"/>
  <c r="U244" i="63" l="1"/>
  <c r="W244" i="63"/>
  <c r="AU244" i="63" l="1"/>
  <c r="AV244" i="63" s="1"/>
  <c r="AT244" i="63"/>
  <c r="N245" i="63"/>
  <c r="O245" i="63"/>
  <c r="AN245" i="63" l="1"/>
  <c r="AS245" i="63" s="1"/>
  <c r="M245" i="63"/>
  <c r="L245" i="63" s="1"/>
  <c r="Q245" i="63"/>
  <c r="V245" i="63" s="1"/>
  <c r="AM245" i="63" l="1"/>
  <c r="Z245" i="63"/>
  <c r="P245" i="63"/>
  <c r="U245" i="63" l="1"/>
  <c r="W245" i="63"/>
  <c r="N246" i="63" l="1"/>
  <c r="AT245" i="63"/>
  <c r="AU245" i="63"/>
  <c r="AV245" i="63" s="1"/>
  <c r="O246" i="63"/>
  <c r="AN246" i="63" l="1"/>
  <c r="AS246" i="63" s="1"/>
  <c r="Q246" i="63"/>
  <c r="V246" i="63" s="1"/>
  <c r="M246" i="63"/>
  <c r="L246" i="63" s="1"/>
  <c r="P246" i="63" l="1"/>
  <c r="Z246" i="63"/>
  <c r="AM246" i="63"/>
  <c r="U246" i="63" l="1"/>
  <c r="W246" i="63"/>
  <c r="AU246" i="63" l="1"/>
  <c r="AV246" i="63" s="1"/>
  <c r="O247" i="63"/>
  <c r="AT246" i="63"/>
  <c r="N247" i="63"/>
  <c r="M247" i="63" l="1"/>
  <c r="L247" i="63" s="1"/>
  <c r="Q247" i="63"/>
  <c r="V247" i="63" s="1"/>
  <c r="AN247" i="63"/>
  <c r="AS247" i="63" s="1"/>
  <c r="P247" i="63"/>
  <c r="W247" i="63" l="1"/>
  <c r="U247" i="63"/>
  <c r="Z247" i="63"/>
  <c r="AM247" i="63"/>
  <c r="AT247" i="63" l="1"/>
  <c r="O248" i="63"/>
  <c r="AU247" i="63"/>
  <c r="AV247" i="63" s="1"/>
  <c r="N248" i="63"/>
  <c r="M248" i="63" l="1"/>
  <c r="L248" i="63" s="1"/>
  <c r="Q248" i="63"/>
  <c r="V248" i="63" s="1"/>
  <c r="AN248" i="63"/>
  <c r="AS248" i="63" s="1"/>
  <c r="P248" i="63" l="1"/>
  <c r="AM248" i="63"/>
  <c r="Z248" i="63"/>
  <c r="W248" i="63" l="1"/>
  <c r="U248" i="63"/>
  <c r="AT248" i="63" l="1"/>
  <c r="O249" i="63"/>
  <c r="N249" i="63"/>
  <c r="AU248" i="63"/>
  <c r="AV248" i="63" s="1"/>
  <c r="M249" i="63" l="1"/>
  <c r="L249" i="63" s="1"/>
  <c r="Q249" i="63"/>
  <c r="V249" i="63" s="1"/>
  <c r="AN249" i="63"/>
  <c r="AS249" i="63" s="1"/>
  <c r="P249" i="63"/>
  <c r="U249" i="63" s="1"/>
  <c r="W249" i="63" l="1"/>
  <c r="Z249" i="63"/>
  <c r="AM249" i="63"/>
  <c r="AU249" i="63" l="1"/>
  <c r="AV249" i="63" s="1"/>
  <c r="AT249" i="63"/>
  <c r="N250" i="63"/>
  <c r="O250" i="63"/>
  <c r="AN250" i="63" l="1"/>
  <c r="AS250" i="63" s="1"/>
  <c r="M250" i="63"/>
  <c r="L250" i="63" s="1"/>
  <c r="Q250" i="63"/>
  <c r="V250" i="63" s="1"/>
  <c r="P250" i="63" l="1"/>
  <c r="AM250" i="63"/>
  <c r="Z250" i="63"/>
  <c r="U250" i="63" l="1"/>
  <c r="W250" i="63"/>
  <c r="N251" i="63" l="1"/>
  <c r="AT250" i="63"/>
  <c r="AU250" i="63"/>
  <c r="AV250" i="63" s="1"/>
  <c r="O251" i="63"/>
  <c r="AN251" i="63" l="1"/>
  <c r="AS251" i="63" s="1"/>
  <c r="M251" i="63"/>
  <c r="L251" i="63" s="1"/>
  <c r="Q251" i="63"/>
  <c r="V251" i="63" s="1"/>
  <c r="AM251" i="63" l="1"/>
  <c r="Z251" i="63"/>
  <c r="P251" i="63"/>
  <c r="W251" i="63" l="1"/>
  <c r="U251" i="63"/>
  <c r="AT251" i="63" l="1"/>
  <c r="O252" i="63"/>
  <c r="AU251" i="63"/>
  <c r="AV251" i="63" s="1"/>
  <c r="N252" i="63"/>
  <c r="AN252" i="63" l="1"/>
  <c r="AS252" i="63" s="1"/>
  <c r="Q252" i="63"/>
  <c r="V252" i="63" s="1"/>
  <c r="M252" i="63"/>
  <c r="L252" i="63" s="1"/>
  <c r="AM252" i="63" l="1"/>
  <c r="Z252" i="63"/>
  <c r="P252" i="63"/>
  <c r="U252" i="63" l="1"/>
  <c r="W252" i="63"/>
  <c r="AT252" i="63" l="1"/>
  <c r="O253" i="63"/>
  <c r="AU252" i="63"/>
  <c r="AV252" i="63" s="1"/>
  <c r="N253" i="63"/>
  <c r="Q253" i="63" l="1"/>
  <c r="V253" i="63" s="1"/>
  <c r="M253" i="63"/>
  <c r="L253" i="63" s="1"/>
  <c r="AN253" i="63"/>
  <c r="AS253" i="63" s="1"/>
  <c r="P253" i="63"/>
  <c r="U253" i="63" s="1"/>
  <c r="Z253" i="63" l="1"/>
  <c r="AM253" i="63"/>
  <c r="W253" i="63"/>
  <c r="N254" i="63" l="1"/>
  <c r="AT253" i="63"/>
  <c r="AU253" i="63"/>
  <c r="AV253" i="63" s="1"/>
  <c r="O254" i="63"/>
  <c r="AN254" i="63" l="1"/>
  <c r="AS254" i="63" s="1"/>
  <c r="M254" i="63"/>
  <c r="L254" i="63" s="1"/>
  <c r="Q254" i="63"/>
  <c r="V254" i="63" s="1"/>
  <c r="P254" i="63" l="1"/>
  <c r="AM254" i="63"/>
  <c r="Z254" i="63"/>
  <c r="U254" i="63" l="1"/>
  <c r="W254" i="63"/>
  <c r="AU254" i="63" l="1"/>
  <c r="AV254" i="63" s="1"/>
  <c r="AT254" i="63"/>
  <c r="O255" i="63"/>
  <c r="N255" i="63"/>
  <c r="Q255" i="63" l="1"/>
  <c r="V255" i="63" s="1"/>
  <c r="M255" i="63"/>
  <c r="L255" i="63" s="1"/>
  <c r="AN255" i="63"/>
  <c r="AS255" i="63" s="1"/>
  <c r="P255" i="63"/>
  <c r="U255" i="63" s="1"/>
  <c r="W255" i="63" l="1"/>
  <c r="Z255" i="63"/>
  <c r="AM255" i="63"/>
  <c r="N256" i="63" l="1"/>
  <c r="AU255" i="63"/>
  <c r="AV255" i="63" s="1"/>
  <c r="O256" i="63"/>
  <c r="AT255" i="63"/>
  <c r="AN256" i="63" l="1"/>
  <c r="AS256" i="63" s="1"/>
  <c r="Q256" i="63"/>
  <c r="V256" i="63" s="1"/>
  <c r="M256" i="63"/>
  <c r="L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O258" i="63" l="1"/>
  <c r="AU257" i="63"/>
  <c r="AV257" i="63" s="1"/>
  <c r="AT257" i="63"/>
  <c r="N258" i="63"/>
  <c r="AN258" i="63" l="1"/>
  <c r="AS258" i="63" s="1"/>
  <c r="M258" i="63"/>
  <c r="L258" i="63" s="1"/>
  <c r="Q258" i="63"/>
  <c r="V258" i="63" s="1"/>
  <c r="Z258" i="63" l="1"/>
  <c r="AM258" i="63"/>
  <c r="P258" i="63"/>
  <c r="U258" i="63" l="1"/>
  <c r="W258" i="63"/>
  <c r="N259" i="63" l="1"/>
  <c r="AU258" i="63"/>
  <c r="AV258" i="63" s="1"/>
  <c r="AT258" i="63"/>
  <c r="O259" i="63"/>
  <c r="AN259" i="63" l="1"/>
  <c r="AS259" i="63" s="1"/>
  <c r="Q259" i="63"/>
  <c r="V259" i="63" s="1"/>
  <c r="M259" i="63"/>
  <c r="L259" i="63" s="1"/>
  <c r="P259" i="63" l="1"/>
  <c r="Z259" i="63"/>
  <c r="AM259" i="63"/>
  <c r="U259" i="63" l="1"/>
  <c r="W259" i="63"/>
  <c r="AU259" i="63" l="1"/>
  <c r="AV259" i="63" s="1"/>
  <c r="N260" i="63"/>
  <c r="AT259" i="63"/>
  <c r="O260" i="63"/>
  <c r="AN260" i="63" l="1"/>
  <c r="AS260" i="63" s="1"/>
  <c r="Q260" i="63"/>
  <c r="V260" i="63" s="1"/>
  <c r="M260" i="63"/>
  <c r="L260" i="63" s="1"/>
  <c r="P260" i="63" l="1"/>
  <c r="AM260" i="63"/>
  <c r="Z260" i="63"/>
  <c r="U260" i="63" l="1"/>
  <c r="W260" i="63"/>
  <c r="O261" i="63" l="1"/>
  <c r="N261" i="63"/>
  <c r="AT260" i="63"/>
  <c r="AU260" i="63"/>
  <c r="AV260" i="63" s="1"/>
  <c r="Q261" i="63" l="1"/>
  <c r="V261" i="63" s="1"/>
  <c r="M261" i="63"/>
  <c r="L261" i="63" s="1"/>
  <c r="W261" i="63"/>
  <c r="AN261" i="63"/>
  <c r="AS261" i="63" s="1"/>
  <c r="P261" i="63"/>
  <c r="U261" i="63" s="1"/>
  <c r="AU261" i="63" l="1"/>
  <c r="AV261" i="63" s="1"/>
  <c r="O262" i="63"/>
  <c r="N262" i="63"/>
  <c r="AT261" i="63"/>
  <c r="AM261" i="63"/>
  <c r="Z261" i="63"/>
  <c r="M262" i="63" l="1"/>
  <c r="L262" i="63" s="1"/>
  <c r="Q262" i="63"/>
  <c r="V262" i="63" s="1"/>
  <c r="AN262" i="63"/>
  <c r="AS262" i="63" s="1"/>
  <c r="P262" i="63" l="1"/>
  <c r="Z262" i="63"/>
  <c r="AM262" i="63"/>
  <c r="U262" i="63" l="1"/>
  <c r="W262" i="63"/>
  <c r="N263" i="63" l="1"/>
  <c r="AT262" i="63"/>
  <c r="O263" i="63"/>
  <c r="AU262" i="63"/>
  <c r="AV262" i="63" s="1"/>
  <c r="AN263" i="63" l="1"/>
  <c r="AS263" i="63" s="1"/>
  <c r="Q263" i="63"/>
  <c r="V263" i="63" s="1"/>
  <c r="M263" i="63"/>
  <c r="L263" i="63" s="1"/>
  <c r="Z263" i="63" l="1"/>
  <c r="AM263" i="63"/>
  <c r="P263" i="63"/>
  <c r="U263" i="63" l="1"/>
  <c r="W263" i="63"/>
  <c r="N264" i="63" l="1"/>
  <c r="O264" i="63"/>
  <c r="AT263" i="63"/>
  <c r="AU263" i="63"/>
  <c r="AV263" i="63" s="1"/>
  <c r="AN264" i="63" l="1"/>
  <c r="AS264" i="63" s="1"/>
  <c r="Q264" i="63"/>
  <c r="V264" i="63" s="1"/>
  <c r="M264" i="63"/>
  <c r="L264" i="63" s="1"/>
  <c r="Z264" i="63" l="1"/>
  <c r="AM264" i="63"/>
  <c r="P264" i="63"/>
  <c r="U264" i="63" l="1"/>
  <c r="W264" i="63"/>
  <c r="N265" i="63" l="1"/>
  <c r="AU264" i="63"/>
  <c r="AV264" i="63" s="1"/>
  <c r="AT264" i="63"/>
  <c r="O265" i="63"/>
  <c r="AN265" i="63" l="1"/>
  <c r="AS265" i="63" s="1"/>
  <c r="M265" i="63"/>
  <c r="L265" i="63" s="1"/>
  <c r="Q265" i="63"/>
  <c r="V265" i="63" s="1"/>
  <c r="Z265" i="63" l="1"/>
  <c r="AM265" i="63"/>
  <c r="P265" i="63"/>
  <c r="U265" i="63" l="1"/>
  <c r="W265" i="63"/>
  <c r="N266" i="63" l="1"/>
  <c r="AT265" i="63"/>
  <c r="O266" i="63"/>
  <c r="AU265" i="63"/>
  <c r="AV265" i="63" s="1"/>
  <c r="AN266" i="63" l="1"/>
  <c r="AS266" i="63" s="1"/>
  <c r="Q266" i="63"/>
  <c r="V266" i="63" s="1"/>
  <c r="M266" i="63"/>
  <c r="L266" i="63" s="1"/>
  <c r="AM266" i="63" l="1"/>
  <c r="Z266" i="63"/>
  <c r="P266" i="63"/>
  <c r="U266" i="63" l="1"/>
  <c r="W266" i="63"/>
  <c r="AU266" i="63" l="1"/>
  <c r="AV266" i="63" s="1"/>
  <c r="AT266" i="63"/>
  <c r="N267" i="63"/>
  <c r="O267" i="63"/>
  <c r="AN267" i="63" l="1"/>
  <c r="AS267" i="63" s="1"/>
  <c r="M267" i="63"/>
  <c r="L267" i="63" s="1"/>
  <c r="Q267" i="63"/>
  <c r="V267" i="63" s="1"/>
  <c r="P267" i="63" l="1"/>
  <c r="Z267" i="63"/>
  <c r="AM267" i="63"/>
  <c r="U267" i="63" l="1"/>
  <c r="W267" i="63"/>
  <c r="N268" i="63" l="1"/>
  <c r="O268" i="63"/>
  <c r="AU267" i="63"/>
  <c r="AV267" i="63" s="1"/>
  <c r="AT267" i="63"/>
  <c r="AN268" i="63" l="1"/>
  <c r="AS268" i="63" s="1"/>
  <c r="Q268" i="63"/>
  <c r="V268" i="63" s="1"/>
  <c r="M268" i="63"/>
  <c r="L268" i="63" s="1"/>
  <c r="AM268" i="63" l="1"/>
  <c r="Z268" i="63"/>
  <c r="P268" i="63"/>
  <c r="U268" i="63" l="1"/>
  <c r="W268" i="63"/>
  <c r="O269" i="63" l="1"/>
  <c r="N269" i="63"/>
  <c r="AU268" i="63"/>
  <c r="AV268" i="63" s="1"/>
  <c r="AT268" i="63"/>
  <c r="M269" i="63" l="1"/>
  <c r="L269" i="63" s="1"/>
  <c r="Q269" i="63"/>
  <c r="V269" i="63" s="1"/>
  <c r="AN269" i="63"/>
  <c r="AS269" i="63" s="1"/>
  <c r="P269" i="63" l="1"/>
  <c r="AM269" i="63"/>
  <c r="Z269" i="63"/>
  <c r="U269" i="63" l="1"/>
  <c r="W269" i="63"/>
  <c r="O270" i="63" l="1"/>
  <c r="N270" i="63"/>
  <c r="AU269" i="63"/>
  <c r="AV269" i="63" s="1"/>
  <c r="AT269" i="63"/>
  <c r="M270" i="63" l="1"/>
  <c r="L270" i="63" s="1"/>
  <c r="Q270" i="63"/>
  <c r="V270" i="63" s="1"/>
  <c r="AN270" i="63"/>
  <c r="AS270" i="63" s="1"/>
  <c r="P270" i="63"/>
  <c r="U270" i="63" s="1"/>
  <c r="W270" i="63" l="1"/>
  <c r="AM270" i="63"/>
  <c r="Z270" i="63"/>
  <c r="N271" i="63" l="1"/>
  <c r="AU270" i="63"/>
  <c r="AV270" i="63" s="1"/>
  <c r="AT270" i="63"/>
  <c r="O271" i="63"/>
  <c r="AN271" i="63" l="1"/>
  <c r="AS271" i="63" s="1"/>
  <c r="M271" i="63"/>
  <c r="L271" i="63" s="1"/>
  <c r="Q271" i="63"/>
  <c r="V271" i="63" s="1"/>
  <c r="P271" i="63" l="1"/>
  <c r="AM271" i="63"/>
  <c r="Z271" i="63"/>
  <c r="U271" i="63" l="1"/>
  <c r="W271" i="63"/>
  <c r="O272" i="63" l="1"/>
  <c r="N272" i="63"/>
  <c r="AT271" i="63"/>
  <c r="AU271" i="63"/>
  <c r="AV271" i="63" s="1"/>
  <c r="Q272" i="63" l="1"/>
  <c r="V272" i="63" s="1"/>
  <c r="M272" i="63"/>
  <c r="L272" i="63" s="1"/>
  <c r="AN272" i="63"/>
  <c r="AS272" i="63" s="1"/>
  <c r="P272" i="63"/>
  <c r="U272" i="63" s="1"/>
  <c r="AM272" i="63" l="1"/>
  <c r="Z272" i="63"/>
  <c r="W272" i="63"/>
  <c r="AT272" i="63" l="1"/>
  <c r="AU272" i="63"/>
  <c r="AV272" i="63" s="1"/>
  <c r="O273" i="63"/>
  <c r="N273" i="63"/>
  <c r="M273" i="63" l="1"/>
  <c r="L273" i="63" s="1"/>
  <c r="Q273" i="63"/>
  <c r="V273" i="63" s="1"/>
  <c r="AN273" i="63"/>
  <c r="AS273" i="63" s="1"/>
  <c r="P273" i="63" l="1"/>
  <c r="Z273" i="63"/>
  <c r="AM273" i="63"/>
  <c r="U273" i="63" l="1"/>
  <c r="W273" i="63"/>
  <c r="AT273" i="63" l="1"/>
  <c r="AU273" i="63"/>
  <c r="AV273" i="63" s="1"/>
  <c r="O274" i="63"/>
  <c r="N274" i="63"/>
  <c r="M274" i="63" l="1"/>
  <c r="L274" i="63" s="1"/>
  <c r="Q274" i="63"/>
  <c r="V274" i="63" s="1"/>
  <c r="AN274" i="63"/>
  <c r="AS274" i="63" s="1"/>
  <c r="P274" i="63"/>
  <c r="U274" i="63" s="1"/>
  <c r="Z274" i="63" l="1"/>
  <c r="AM274" i="63"/>
  <c r="W274" i="63"/>
  <c r="AU274" i="63" l="1"/>
  <c r="AV274" i="63" s="1"/>
  <c r="O275" i="63"/>
  <c r="AT274" i="63"/>
  <c r="N275" i="63"/>
  <c r="AN275" i="63" l="1"/>
  <c r="AS275" i="63" s="1"/>
  <c r="M275" i="63"/>
  <c r="L275" i="63" s="1"/>
  <c r="Q275" i="63"/>
  <c r="V275" i="63" s="1"/>
  <c r="AM275" i="63" l="1"/>
  <c r="Z275" i="63"/>
  <c r="P275" i="63"/>
  <c r="U275" i="63" l="1"/>
  <c r="W275" i="63"/>
  <c r="AT275" i="63" l="1"/>
  <c r="O276" i="63"/>
  <c r="N276" i="63"/>
  <c r="AU275" i="63"/>
  <c r="AV275" i="63" s="1"/>
  <c r="Q276" i="63" l="1"/>
  <c r="V276" i="63" s="1"/>
  <c r="M276" i="63"/>
  <c r="L276" i="63" s="1"/>
  <c r="AN276" i="63"/>
  <c r="AS276" i="63" s="1"/>
  <c r="P276" i="63"/>
  <c r="U276" i="63" s="1"/>
  <c r="W276" i="63" l="1"/>
  <c r="Z276" i="63"/>
  <c r="AM276" i="63"/>
  <c r="AT276" i="63" l="1"/>
  <c r="O277" i="63"/>
  <c r="N277" i="63"/>
  <c r="AU276" i="63"/>
  <c r="AV276" i="63" s="1"/>
  <c r="Q277" i="63" l="1"/>
  <c r="V277" i="63" s="1"/>
  <c r="M277" i="63"/>
  <c r="L277" i="63" s="1"/>
  <c r="AN277" i="63"/>
  <c r="AS277" i="63" s="1"/>
  <c r="P277" i="63"/>
  <c r="U277" i="63" s="1"/>
  <c r="W277" i="63" l="1"/>
  <c r="Z277" i="63"/>
  <c r="AM277" i="63"/>
  <c r="O278" i="63" l="1"/>
  <c r="AT277" i="63"/>
  <c r="N278" i="63"/>
  <c r="AU277" i="63"/>
  <c r="AV277" i="63" s="1"/>
  <c r="Q278" i="63" l="1"/>
  <c r="V278" i="63" s="1"/>
  <c r="M278" i="63"/>
  <c r="L278" i="63" s="1"/>
  <c r="AN278" i="63"/>
  <c r="AS278" i="63" s="1"/>
  <c r="P278" i="63"/>
  <c r="U278" i="63" s="1"/>
  <c r="W278" i="63" l="1"/>
  <c r="AM278" i="63"/>
  <c r="Z278" i="63"/>
  <c r="N279" i="63" l="1"/>
  <c r="AT278" i="63"/>
  <c r="AU278" i="63"/>
  <c r="AV278" i="63" s="1"/>
  <c r="O279" i="63"/>
  <c r="AN279" i="63" l="1"/>
  <c r="AS279" i="63" s="1"/>
  <c r="M279" i="63"/>
  <c r="L279" i="63" s="1"/>
  <c r="Q279" i="63"/>
  <c r="V279" i="63" s="1"/>
  <c r="AM279" i="63" l="1"/>
  <c r="Z279" i="63"/>
  <c r="P279" i="63"/>
  <c r="U279" i="63" l="1"/>
  <c r="W279" i="63"/>
  <c r="AT279" i="63" l="1"/>
  <c r="AU279" i="63"/>
  <c r="AV279" i="63" s="1"/>
  <c r="N280" i="63"/>
  <c r="O280" i="63"/>
  <c r="AN280" i="63" l="1"/>
  <c r="AS280" i="63" s="1"/>
  <c r="Q280" i="63"/>
  <c r="V280" i="63" s="1"/>
  <c r="M280" i="63"/>
  <c r="L280" i="63" s="1"/>
  <c r="Z280" i="63" l="1"/>
  <c r="AM280" i="63"/>
  <c r="P280" i="63"/>
  <c r="U280" i="63" l="1"/>
  <c r="W280" i="63"/>
  <c r="AU280" i="63" l="1"/>
  <c r="AV280" i="63" s="1"/>
  <c r="N281" i="63"/>
  <c r="O281" i="63"/>
  <c r="AT280" i="63"/>
  <c r="AN281" i="63" l="1"/>
  <c r="AS281" i="63" s="1"/>
  <c r="M281" i="63"/>
  <c r="L281" i="63" s="1"/>
  <c r="Q281" i="63"/>
  <c r="V281" i="63" s="1"/>
  <c r="P281" i="63" l="1"/>
  <c r="AM281" i="63"/>
  <c r="Z281" i="63"/>
  <c r="U281" i="63" l="1"/>
  <c r="W281" i="63"/>
  <c r="O282" i="63" l="1"/>
  <c r="N282" i="63"/>
  <c r="AU281" i="63"/>
  <c r="AV281" i="63" s="1"/>
  <c r="AT281" i="63"/>
  <c r="Q282" i="63" l="1"/>
  <c r="V282" i="63" s="1"/>
  <c r="M282" i="63"/>
  <c r="L282" i="63" s="1"/>
  <c r="AN282" i="63"/>
  <c r="AS282" i="63" s="1"/>
  <c r="P282" i="63"/>
  <c r="U282" i="63" s="1"/>
  <c r="AM282" i="63" l="1"/>
  <c r="Z282" i="63"/>
  <c r="W282" i="63"/>
  <c r="AT282" i="63" l="1"/>
  <c r="O283" i="63"/>
  <c r="AU282" i="63"/>
  <c r="AV282" i="63" s="1"/>
  <c r="N283" i="63"/>
  <c r="Q283" i="63" l="1"/>
  <c r="V283" i="63" s="1"/>
  <c r="M283" i="63"/>
  <c r="L283" i="63" s="1"/>
  <c r="AN283" i="63"/>
  <c r="AS283" i="63" s="1"/>
  <c r="P283" i="63"/>
  <c r="U283" i="63" s="1"/>
  <c r="W283" i="63" l="1"/>
  <c r="AM283" i="63"/>
  <c r="Z283" i="63"/>
  <c r="O284" i="63" l="1"/>
  <c r="N284" i="63"/>
  <c r="AT283" i="63"/>
  <c r="AU283" i="63"/>
  <c r="AV283" i="63" s="1"/>
  <c r="M284" i="63" l="1"/>
  <c r="L284" i="63" s="1"/>
  <c r="Q284" i="63"/>
  <c r="V284" i="63" s="1"/>
  <c r="AN284" i="63"/>
  <c r="AS284" i="63" s="1"/>
  <c r="P284" i="63"/>
  <c r="U284" i="63" s="1"/>
  <c r="W284" i="63" l="1"/>
  <c r="AM284" i="63"/>
  <c r="Z284" i="63"/>
  <c r="N285" i="63" l="1"/>
  <c r="AT284" i="63"/>
  <c r="O285" i="63"/>
  <c r="AU284" i="63"/>
  <c r="AV284" i="63" s="1"/>
  <c r="AN285" i="63" l="1"/>
  <c r="AS285" i="63" s="1"/>
  <c r="Q285" i="63"/>
  <c r="V285" i="63" s="1"/>
  <c r="M285" i="63"/>
  <c r="L285" i="63" s="1"/>
  <c r="AM285" i="63" l="1"/>
  <c r="Z285" i="63"/>
  <c r="P285" i="63"/>
  <c r="U285" i="63" l="1"/>
  <c r="W285" i="63"/>
  <c r="N286" i="63" l="1"/>
  <c r="AT285" i="63"/>
  <c r="AU285" i="63"/>
  <c r="AV285" i="63" s="1"/>
  <c r="O286" i="63"/>
  <c r="AN286" i="63" l="1"/>
  <c r="AS286" i="63" s="1"/>
  <c r="Q286" i="63"/>
  <c r="V286" i="63" s="1"/>
  <c r="M286" i="63"/>
  <c r="L286" i="63" s="1"/>
  <c r="Z286" i="63" l="1"/>
  <c r="AM286" i="63"/>
  <c r="P286" i="63"/>
  <c r="U286" i="63" l="1"/>
  <c r="W286" i="63"/>
  <c r="N287" i="63" l="1"/>
  <c r="AU286" i="63"/>
  <c r="AV286" i="63" s="1"/>
  <c r="AT286" i="63"/>
  <c r="O287" i="63"/>
  <c r="AN287" i="63" l="1"/>
  <c r="AS287" i="63" s="1"/>
  <c r="Q287" i="63"/>
  <c r="V287" i="63" s="1"/>
  <c r="M287" i="63"/>
  <c r="L287" i="63" s="1"/>
  <c r="Z287" i="63" l="1"/>
  <c r="AM287" i="63"/>
  <c r="P287" i="63"/>
  <c r="U287" i="63" l="1"/>
  <c r="W287" i="63"/>
  <c r="AT287" i="63" l="1"/>
  <c r="AU287" i="63"/>
  <c r="AV287" i="63" s="1"/>
  <c r="O288" i="63"/>
  <c r="N288" i="63"/>
  <c r="Q288" i="63" l="1"/>
  <c r="V288" i="63" s="1"/>
  <c r="M288" i="63"/>
  <c r="L288" i="63" s="1"/>
  <c r="P288" i="63"/>
  <c r="U288" i="63" s="1"/>
  <c r="AN288" i="63"/>
  <c r="AS288" i="63" s="1"/>
  <c r="W288" i="63" l="1"/>
  <c r="Z288" i="63"/>
  <c r="AM288" i="63"/>
  <c r="AU288" i="63" l="1"/>
  <c r="AV288" i="63" s="1"/>
  <c r="N289" i="63"/>
  <c r="AT288" i="63"/>
  <c r="O289" i="63"/>
  <c r="AN289" i="63" l="1"/>
  <c r="AS289" i="63" s="1"/>
  <c r="Q289" i="63"/>
  <c r="V289" i="63" s="1"/>
  <c r="M289" i="63"/>
  <c r="L289" i="63" s="1"/>
  <c r="Z289" i="63" l="1"/>
  <c r="AM289" i="63"/>
  <c r="P289" i="63"/>
  <c r="U289" i="63" l="1"/>
  <c r="W289" i="63"/>
  <c r="O290" i="63" l="1"/>
  <c r="AT289" i="63"/>
  <c r="AU289" i="63"/>
  <c r="AV289" i="63" s="1"/>
  <c r="N290" i="63"/>
  <c r="Q290" i="63" l="1"/>
  <c r="V290" i="63" s="1"/>
  <c r="M290" i="63"/>
  <c r="L290" i="63" s="1"/>
  <c r="AN290" i="63"/>
  <c r="AS290" i="63" s="1"/>
  <c r="P290" i="63"/>
  <c r="U290" i="63" s="1"/>
  <c r="W290" i="63" l="1"/>
  <c r="AM290" i="63"/>
  <c r="Z290" i="63"/>
  <c r="O291" i="63" l="1"/>
  <c r="AT290" i="63"/>
  <c r="AU290" i="63"/>
  <c r="AV290" i="63" s="1"/>
  <c r="N291" i="63"/>
  <c r="Q291" i="63" l="1"/>
  <c r="V291" i="63" s="1"/>
  <c r="M291" i="63"/>
  <c r="L291" i="63" s="1"/>
  <c r="W291" i="63"/>
  <c r="AN291" i="63"/>
  <c r="AS291" i="63" s="1"/>
  <c r="P291" i="63"/>
  <c r="U291" i="63" s="1"/>
  <c r="N292" i="63" l="1"/>
  <c r="AU291" i="63"/>
  <c r="AV291" i="63" s="1"/>
  <c r="O292" i="63"/>
  <c r="AT291" i="63"/>
  <c r="Z291" i="63"/>
  <c r="AM291" i="63"/>
  <c r="AN292" i="63" l="1"/>
  <c r="AS292" i="63" s="1"/>
  <c r="Q292" i="63"/>
  <c r="V292" i="63" s="1"/>
  <c r="M292" i="63"/>
  <c r="L292" i="63" s="1"/>
  <c r="P292" i="63" l="1"/>
  <c r="Z292" i="63"/>
  <c r="AM292" i="63"/>
  <c r="U292" i="63" l="1"/>
  <c r="W292" i="63"/>
  <c r="N293" i="63" l="1"/>
  <c r="AT292" i="63"/>
  <c r="AU292" i="63"/>
  <c r="AV292" i="63" s="1"/>
  <c r="O293" i="63"/>
  <c r="AN293" i="63" l="1"/>
  <c r="AS293" i="63" s="1"/>
  <c r="M293" i="63"/>
  <c r="L293" i="63" s="1"/>
  <c r="Q293" i="63"/>
  <c r="V293" i="63" s="1"/>
  <c r="Z293" i="63" l="1"/>
  <c r="AM293" i="63"/>
  <c r="P293" i="63"/>
  <c r="U293" i="63" l="1"/>
  <c r="W293" i="63"/>
  <c r="N294" i="63" l="1"/>
  <c r="AT293" i="63"/>
  <c r="O294" i="63"/>
  <c r="AU293" i="63"/>
  <c r="AV293" i="63" s="1"/>
  <c r="AN294" i="63" l="1"/>
  <c r="AS294" i="63" s="1"/>
  <c r="Q294" i="63"/>
  <c r="V294" i="63" s="1"/>
  <c r="M294" i="63"/>
  <c r="L294" i="63" s="1"/>
  <c r="Z294" i="63" l="1"/>
  <c r="AM294" i="63"/>
  <c r="P294" i="63"/>
  <c r="U294" i="63" l="1"/>
  <c r="W294" i="63"/>
  <c r="N295" i="63" l="1"/>
  <c r="AT294" i="63"/>
  <c r="AU294" i="63"/>
  <c r="AV294" i="63" s="1"/>
  <c r="O295" i="63"/>
  <c r="AN295" i="63" l="1"/>
  <c r="AS295" i="63" s="1"/>
  <c r="Q295" i="63"/>
  <c r="V295" i="63" s="1"/>
  <c r="M295" i="63"/>
  <c r="L295" i="63" s="1"/>
  <c r="AM295" i="63" l="1"/>
  <c r="Z295" i="63"/>
  <c r="P295" i="63"/>
  <c r="U295" i="63" l="1"/>
  <c r="W295" i="63"/>
  <c r="N296" i="63" l="1"/>
  <c r="AT295" i="63"/>
  <c r="O296" i="63"/>
  <c r="AU295" i="63"/>
  <c r="AV295" i="63" s="1"/>
  <c r="AN296" i="63" l="1"/>
  <c r="AS296" i="63" s="1"/>
  <c r="Q296" i="63"/>
  <c r="V296" i="63" s="1"/>
  <c r="M296" i="63"/>
  <c r="L296" i="63" s="1"/>
  <c r="AM296" i="63" l="1"/>
  <c r="Z296" i="63"/>
  <c r="P296" i="63"/>
  <c r="U296" i="63" l="1"/>
  <c r="W296" i="63"/>
  <c r="AT296" i="63" l="1"/>
  <c r="AU296" i="63"/>
  <c r="AV296" i="63" s="1"/>
  <c r="O297" i="63"/>
  <c r="N297" i="63"/>
  <c r="AN297" i="63" l="1"/>
  <c r="AS297" i="63" s="1"/>
  <c r="M297" i="63"/>
  <c r="L297" i="63" s="1"/>
  <c r="Q297" i="63"/>
  <c r="V297" i="63" s="1"/>
  <c r="P297" i="63" l="1"/>
  <c r="AM297" i="63"/>
  <c r="Z297" i="63"/>
  <c r="U297" i="63" l="1"/>
  <c r="W297" i="63"/>
  <c r="AT297" i="63" l="1"/>
  <c r="N298" i="63"/>
  <c r="AU297" i="63"/>
  <c r="AV297" i="63" s="1"/>
  <c r="O298" i="63"/>
  <c r="AN298" i="63" l="1"/>
  <c r="AS298" i="63" s="1"/>
  <c r="Q298" i="63"/>
  <c r="V298" i="63" s="1"/>
  <c r="M298" i="63"/>
  <c r="L298" i="63" s="1"/>
  <c r="Z298" i="63" l="1"/>
  <c r="AM298" i="63"/>
  <c r="P298" i="63"/>
  <c r="U298" i="63" l="1"/>
  <c r="W298" i="63"/>
  <c r="AT298" i="63" l="1"/>
  <c r="O299" i="63"/>
  <c r="AU298" i="63"/>
  <c r="AV298" i="63" s="1"/>
  <c r="N299" i="63"/>
  <c r="M299" i="63" l="1"/>
  <c r="L299" i="63" s="1"/>
  <c r="Q299" i="63"/>
  <c r="V299" i="63" s="1"/>
  <c r="AN299" i="63"/>
  <c r="AS299" i="63" s="1"/>
  <c r="P299" i="63"/>
  <c r="U299" i="63" s="1"/>
  <c r="W299" i="63" l="1"/>
  <c r="Z299" i="63"/>
  <c r="AM299" i="63"/>
  <c r="AT299" i="63" l="1"/>
  <c r="O300" i="63"/>
  <c r="N300" i="63"/>
  <c r="AU299" i="63"/>
  <c r="AV299" i="63" s="1"/>
  <c r="M300" i="63" l="1"/>
  <c r="L300" i="63" s="1"/>
  <c r="Q300" i="63"/>
  <c r="V300" i="63" s="1"/>
  <c r="AN300" i="63"/>
  <c r="AS300" i="63" s="1"/>
  <c r="P300" i="63"/>
  <c r="U300" i="63" s="1"/>
  <c r="W300" i="63" l="1"/>
  <c r="AM300" i="63"/>
  <c r="Z300" i="63"/>
  <c r="AU300" i="63" l="1"/>
  <c r="AV300" i="63" s="1"/>
  <c r="AT300" i="63"/>
  <c r="N301" i="63"/>
  <c r="O301" i="63"/>
  <c r="AN301" i="63" l="1"/>
  <c r="AS301" i="63" s="1"/>
  <c r="M301" i="63"/>
  <c r="L301" i="63" s="1"/>
  <c r="Q301" i="63"/>
  <c r="V301" i="63" s="1"/>
  <c r="AM301" i="63" l="1"/>
  <c r="Z301" i="63"/>
  <c r="P301" i="63"/>
  <c r="W301" i="63" l="1"/>
  <c r="U301" i="63"/>
  <c r="N302" i="63" l="1"/>
  <c r="O302" i="63"/>
  <c r="AU301" i="63"/>
  <c r="AV301" i="63" s="1"/>
  <c r="AT301" i="63"/>
  <c r="AN302" i="63" l="1"/>
  <c r="AS302" i="63" s="1"/>
  <c r="Q302" i="63"/>
  <c r="V302" i="63" s="1"/>
  <c r="M302" i="63"/>
  <c r="L302" i="63" s="1"/>
  <c r="Z302" i="63" l="1"/>
  <c r="AM302" i="63"/>
  <c r="P302" i="63"/>
  <c r="U302" i="63" l="1"/>
  <c r="W302" i="63"/>
  <c r="AT302" i="63" l="1"/>
  <c r="N303" i="63"/>
  <c r="AU302" i="63"/>
  <c r="AV302" i="63" s="1"/>
  <c r="O303" i="63"/>
  <c r="AN303" i="63" l="1"/>
  <c r="AS303" i="63" s="1"/>
  <c r="M303" i="63"/>
  <c r="L303" i="63" s="1"/>
  <c r="Q303" i="63"/>
  <c r="V303" i="63" s="1"/>
  <c r="AM303" i="63" l="1"/>
  <c r="Z303" i="63"/>
  <c r="P303" i="63"/>
  <c r="U303" i="63" l="1"/>
  <c r="W303" i="63"/>
  <c r="AT303" i="63" l="1"/>
  <c r="O304" i="63"/>
  <c r="AU303" i="63"/>
  <c r="AV303" i="63" s="1"/>
  <c r="N304" i="63"/>
  <c r="Q304" i="63" l="1"/>
  <c r="V304" i="63" s="1"/>
  <c r="M304" i="63"/>
  <c r="L304" i="63" s="1"/>
  <c r="AN304" i="63"/>
  <c r="AS304" i="63" s="1"/>
  <c r="P304" i="63" l="1"/>
  <c r="Z304" i="63"/>
  <c r="AM304" i="63"/>
  <c r="U304" i="63" l="1"/>
  <c r="W304" i="63"/>
  <c r="AT304" i="63" l="1"/>
  <c r="AU304" i="63"/>
  <c r="AV304" i="63" s="1"/>
  <c r="O305" i="63"/>
  <c r="N305" i="63"/>
  <c r="Q305" i="63" l="1"/>
  <c r="V305" i="63" s="1"/>
  <c r="M305" i="63"/>
  <c r="L305" i="63" s="1"/>
  <c r="AN305" i="63"/>
  <c r="AS305" i="63" s="1"/>
  <c r="P305" i="63" l="1"/>
  <c r="AM305" i="63"/>
  <c r="Z305" i="63"/>
  <c r="U305" i="63" l="1"/>
  <c r="W305" i="63"/>
  <c r="O306" i="63" l="1"/>
  <c r="AT305" i="63"/>
  <c r="AU305" i="63"/>
  <c r="AV305" i="63" s="1"/>
  <c r="N306" i="63"/>
  <c r="M306" i="63" l="1"/>
  <c r="L306" i="63" s="1"/>
  <c r="Q306" i="63"/>
  <c r="V306" i="63" s="1"/>
  <c r="AN306" i="63"/>
  <c r="AS306" i="63" s="1"/>
  <c r="P306" i="63"/>
  <c r="U306" i="63" s="1"/>
  <c r="W306" i="63" l="1"/>
  <c r="AM306" i="63"/>
  <c r="Z306" i="63"/>
  <c r="O307" i="63" l="1"/>
  <c r="N307" i="63"/>
  <c r="AU306" i="63"/>
  <c r="AV306" i="63" s="1"/>
  <c r="AT306" i="63"/>
  <c r="M307" i="63" l="1"/>
  <c r="L307" i="63" s="1"/>
  <c r="Q307" i="63"/>
  <c r="V307" i="63" s="1"/>
  <c r="W307" i="63"/>
  <c r="AN307" i="63"/>
  <c r="AS307" i="63" s="1"/>
  <c r="P307" i="63"/>
  <c r="U307" i="63" s="1"/>
  <c r="AU307" i="63" l="1"/>
  <c r="AV307" i="63" s="1"/>
  <c r="N308" i="63"/>
  <c r="AT307" i="63"/>
  <c r="O308" i="63"/>
  <c r="AM307" i="63"/>
  <c r="Z307" i="63"/>
  <c r="AN308" i="63" l="1"/>
  <c r="AS308" i="63" s="1"/>
  <c r="M308" i="63"/>
  <c r="L308" i="63" s="1"/>
  <c r="Q308" i="63"/>
  <c r="V308" i="63" s="1"/>
  <c r="Z308" i="63" l="1"/>
  <c r="AM308" i="63"/>
  <c r="P308" i="63"/>
  <c r="W308" i="63" l="1"/>
  <c r="U308" i="63"/>
  <c r="AU308" i="63" l="1"/>
  <c r="AV308" i="63" s="1"/>
  <c r="AT308" i="63"/>
  <c r="N309" i="63"/>
  <c r="O309" i="63"/>
  <c r="AN309" i="63" l="1"/>
  <c r="AS309" i="63" s="1"/>
  <c r="Q309" i="63"/>
  <c r="V309" i="63" s="1"/>
  <c r="M309" i="63"/>
  <c r="L309" i="63" s="1"/>
  <c r="Z309" i="63" l="1"/>
  <c r="AM309" i="63"/>
  <c r="P309" i="63"/>
  <c r="W309" i="63" l="1"/>
  <c r="U309" i="63"/>
  <c r="AT309" i="63" l="1"/>
  <c r="N310" i="63"/>
  <c r="AU309" i="63"/>
  <c r="AV309" i="63" s="1"/>
  <c r="O310" i="63"/>
  <c r="AN310" i="63" l="1"/>
  <c r="AS310" i="63" s="1"/>
  <c r="Q310" i="63"/>
  <c r="V310" i="63" s="1"/>
  <c r="M310" i="63"/>
  <c r="L310" i="63" s="1"/>
  <c r="P310" i="63" l="1"/>
  <c r="AM310" i="63"/>
  <c r="Z310" i="63"/>
  <c r="W310" i="63" l="1"/>
  <c r="U310" i="63"/>
  <c r="O311" i="63" l="1"/>
  <c r="AT310" i="63"/>
  <c r="N311" i="63"/>
  <c r="AU310" i="63"/>
  <c r="AV310" i="63" s="1"/>
  <c r="M311" i="63" l="1"/>
  <c r="L311" i="63" s="1"/>
  <c r="Q311" i="63"/>
  <c r="V311" i="63" s="1"/>
  <c r="AN311" i="63"/>
  <c r="AS311" i="63" s="1"/>
  <c r="P311" i="63" l="1"/>
  <c r="AM311" i="63"/>
  <c r="Z311" i="63"/>
  <c r="U311" i="63" l="1"/>
  <c r="W311" i="63"/>
  <c r="AU311" i="63" l="1"/>
  <c r="AV311" i="63" s="1"/>
  <c r="AT311" i="63"/>
  <c r="O312" i="63"/>
  <c r="N312" i="63"/>
  <c r="Q312" i="63" l="1"/>
  <c r="V312" i="63" s="1"/>
  <c r="M312" i="63"/>
  <c r="L312" i="63" s="1"/>
  <c r="AN312" i="63"/>
  <c r="AS312" i="63" s="1"/>
  <c r="P312" i="63" l="1"/>
  <c r="Z312" i="63"/>
  <c r="AM312" i="63"/>
  <c r="U312" i="63" l="1"/>
  <c r="W312" i="63"/>
  <c r="AU312" i="63" l="1"/>
  <c r="AV312" i="63" s="1"/>
  <c r="O313" i="63"/>
  <c r="AT312" i="63"/>
  <c r="N313" i="63"/>
  <c r="Q313" i="63" l="1"/>
  <c r="V313" i="63" s="1"/>
  <c r="M313" i="63"/>
  <c r="L313" i="63" s="1"/>
  <c r="AN313" i="63"/>
  <c r="AS313" i="63" s="1"/>
  <c r="P313" i="63" l="1"/>
  <c r="AM313" i="63"/>
  <c r="Z313" i="63"/>
  <c r="W313" i="63" l="1"/>
  <c r="U313" i="63"/>
  <c r="AT313" i="63" l="1"/>
  <c r="O314" i="63"/>
  <c r="N314" i="63"/>
  <c r="AU313" i="63"/>
  <c r="AV313" i="63" s="1"/>
  <c r="M314" i="63" l="1"/>
  <c r="L314" i="63" s="1"/>
  <c r="Q314" i="63"/>
  <c r="V314" i="63" s="1"/>
  <c r="AN314" i="63"/>
  <c r="AS314" i="63" s="1"/>
  <c r="P314" i="63"/>
  <c r="U314" i="63" s="1"/>
  <c r="W314" i="63" l="1"/>
  <c r="Z314" i="63"/>
  <c r="AM314" i="63"/>
  <c r="AT314" i="63" l="1"/>
  <c r="AU314" i="63"/>
  <c r="AV314" i="63" s="1"/>
  <c r="N315" i="63"/>
  <c r="O315" i="63"/>
  <c r="AN315" i="63" l="1"/>
  <c r="AS315" i="63" s="1"/>
  <c r="M315" i="63"/>
  <c r="L315" i="63" s="1"/>
  <c r="Q315" i="63"/>
  <c r="V315" i="63" s="1"/>
  <c r="Z315" i="63" l="1"/>
  <c r="AM315" i="63"/>
  <c r="P315" i="63"/>
  <c r="U315" i="63" l="1"/>
  <c r="W315" i="63"/>
  <c r="AT315" i="63" l="1"/>
  <c r="O316" i="63"/>
  <c r="AU315" i="63"/>
  <c r="AV315" i="63" s="1"/>
  <c r="N316" i="63"/>
  <c r="M316" i="63" l="1"/>
  <c r="L316" i="63" s="1"/>
  <c r="Q316" i="63"/>
  <c r="V316" i="63" s="1"/>
  <c r="AN316" i="63"/>
  <c r="AS316" i="63" s="1"/>
  <c r="P316" i="63"/>
  <c r="U316" i="63" l="1"/>
  <c r="W316" i="63"/>
  <c r="AM316" i="63"/>
  <c r="Z316" i="63"/>
  <c r="O317" i="63" l="1"/>
  <c r="AN317" i="63" s="1"/>
  <c r="AS317" i="63" s="1"/>
  <c r="AT316" i="63"/>
  <c r="AU316" i="63"/>
  <c r="AV316" i="63" s="1"/>
  <c r="N317" i="63"/>
  <c r="M317" i="63" l="1"/>
  <c r="L317" i="63" s="1"/>
  <c r="Q317" i="63"/>
  <c r="V317" i="63" l="1"/>
  <c r="P317" i="63"/>
  <c r="Z317" i="63"/>
  <c r="AM317" i="63"/>
  <c r="U317" i="63" l="1"/>
  <c r="W317" i="63"/>
  <c r="AT317" i="63" l="1"/>
  <c r="AU317" i="63"/>
  <c r="AV317" i="63" s="1"/>
  <c r="O318" i="63"/>
  <c r="AN318" i="63" s="1"/>
  <c r="AS318" i="63" s="1"/>
  <c r="N318" i="63"/>
  <c r="Q318" i="63" l="1"/>
  <c r="M318" i="63"/>
  <c r="L318" i="63" s="1"/>
  <c r="Z318" i="63" l="1"/>
  <c r="AM318" i="63"/>
  <c r="P318" i="63"/>
  <c r="V318" i="63"/>
  <c r="U318" i="63" l="1"/>
  <c r="W318" i="63"/>
  <c r="O319" i="63" l="1"/>
  <c r="AN319" i="63" s="1"/>
  <c r="AS319" i="63" s="1"/>
  <c r="N319" i="63"/>
  <c r="AT318" i="63"/>
  <c r="AU318" i="63"/>
  <c r="AV318" i="63" s="1"/>
  <c r="M319" i="63" l="1"/>
  <c r="L319" i="63" s="1"/>
  <c r="Q319" i="63"/>
  <c r="V319" i="63" l="1"/>
  <c r="P319" i="63"/>
  <c r="Z319" i="63"/>
  <c r="AM319" i="63"/>
  <c r="U319" i="63" l="1"/>
  <c r="W319" i="63"/>
  <c r="AT319" i="63" l="1"/>
  <c r="N320" i="63"/>
  <c r="AU319" i="63"/>
  <c r="AV319" i="63" s="1"/>
  <c r="O320" i="63"/>
  <c r="AN320" i="63" l="1"/>
  <c r="AS320" i="63" s="1"/>
  <c r="Q320" i="63"/>
  <c r="V320" i="63" s="1"/>
  <c r="M320" i="63"/>
  <c r="L320" i="63" s="1"/>
  <c r="Z320" i="63" l="1"/>
  <c r="AM320" i="63"/>
  <c r="P320" i="63"/>
  <c r="U320" i="63" l="1"/>
  <c r="W320" i="63"/>
  <c r="N321" i="63" l="1"/>
  <c r="AU320" i="63"/>
  <c r="AV320" i="63" s="1"/>
  <c r="AT320" i="63"/>
  <c r="O321" i="63"/>
  <c r="AN321" i="63" l="1"/>
  <c r="AS321" i="63" s="1"/>
  <c r="Q321" i="63"/>
  <c r="V321" i="63" s="1"/>
  <c r="M321" i="63"/>
  <c r="L321" i="63" s="1"/>
  <c r="AM321" i="63" l="1"/>
  <c r="Z321" i="63"/>
  <c r="P321" i="63"/>
  <c r="U321" i="63" l="1"/>
  <c r="W321" i="63"/>
  <c r="AU321" i="63" l="1"/>
  <c r="AV321" i="63" s="1"/>
  <c r="N322" i="63"/>
  <c r="O322" i="63"/>
  <c r="AT321" i="63"/>
  <c r="Q322" i="63" l="1"/>
  <c r="V322" i="63" s="1"/>
  <c r="M322" i="63"/>
  <c r="L322" i="63" s="1"/>
  <c r="AN322" i="63"/>
  <c r="AS322" i="63" s="1"/>
  <c r="P322" i="63"/>
  <c r="W322" i="63" l="1"/>
  <c r="U322" i="63"/>
  <c r="Z322" i="63"/>
  <c r="AM322" i="63"/>
  <c r="N323" i="63" l="1"/>
  <c r="AU322" i="63"/>
  <c r="AV322" i="63" s="1"/>
  <c r="AT322" i="63"/>
  <c r="O323" i="63"/>
  <c r="AN323" i="63" s="1"/>
  <c r="AS323" i="63" s="1"/>
  <c r="M323" i="63" l="1"/>
  <c r="L323" i="63" s="1"/>
  <c r="Q323" i="63"/>
  <c r="V323" i="63" l="1"/>
  <c r="P323" i="63"/>
  <c r="Z323" i="63"/>
  <c r="AM323" i="63"/>
  <c r="U323" i="63" l="1"/>
  <c r="W323" i="63"/>
  <c r="O324" i="63" l="1"/>
  <c r="AU323" i="63"/>
  <c r="AV323" i="63" s="1"/>
  <c r="AT323" i="63"/>
  <c r="N324" i="63"/>
  <c r="AN324" i="63" l="1"/>
  <c r="AS324" i="63" s="1"/>
  <c r="M324" i="63"/>
  <c r="L324" i="63" s="1"/>
  <c r="Q324" i="63"/>
  <c r="V324" i="63" s="1"/>
  <c r="Z324" i="63" l="1"/>
  <c r="AM324" i="63"/>
  <c r="P324" i="63"/>
  <c r="U324" i="63" l="1"/>
  <c r="W324" i="63"/>
  <c r="AU324" i="63" l="1"/>
  <c r="AV324" i="63" s="1"/>
  <c r="AT324" i="63"/>
  <c r="O325" i="63"/>
  <c r="N325" i="63"/>
  <c r="M325" i="63" l="1"/>
  <c r="L325" i="63" s="1"/>
  <c r="Q325" i="63"/>
  <c r="V325" i="63" s="1"/>
  <c r="AN325" i="63"/>
  <c r="AS325" i="63" s="1"/>
  <c r="P325" i="63"/>
  <c r="W325" i="63" l="1"/>
  <c r="U325" i="63"/>
  <c r="Z325" i="63"/>
  <c r="AM325" i="63"/>
  <c r="AU325" i="63" l="1"/>
  <c r="AV325" i="63" s="1"/>
  <c r="O326" i="63"/>
  <c r="AN326" i="63" s="1"/>
  <c r="AS326" i="63" s="1"/>
  <c r="N326" i="63"/>
  <c r="AT325" i="63"/>
  <c r="M326" i="63" l="1"/>
  <c r="L326" i="63" s="1"/>
  <c r="Q326" i="63"/>
  <c r="V326" i="63" s="1"/>
  <c r="P326" i="63" l="1"/>
  <c r="Z326" i="63"/>
  <c r="AM326" i="63"/>
  <c r="W326" i="63" l="1"/>
  <c r="U326" i="63"/>
  <c r="AU326" i="63" l="1"/>
  <c r="AV326" i="63" s="1"/>
  <c r="N327" i="63"/>
  <c r="AT326" i="63"/>
  <c r="O327" i="63"/>
  <c r="AN327" i="63" s="1"/>
  <c r="AS327" i="63" s="1"/>
  <c r="M327" i="63" l="1"/>
  <c r="L327" i="63" s="1"/>
  <c r="Q327" i="63"/>
  <c r="V327" i="63" s="1"/>
  <c r="Z327" i="63" l="1"/>
  <c r="AM327" i="63"/>
  <c r="P327" i="63"/>
  <c r="U327" i="63" l="1"/>
  <c r="W327" i="63"/>
  <c r="AU327" i="63" l="1"/>
  <c r="AV327" i="63" s="1"/>
  <c r="AT327" i="63"/>
  <c r="N328" i="63"/>
  <c r="O328" i="63"/>
  <c r="AN328" i="63" s="1"/>
  <c r="AS328" i="63" s="1"/>
  <c r="M328" i="63" l="1"/>
  <c r="L328" i="63" s="1"/>
  <c r="Q328" i="63"/>
  <c r="V328" i="63" s="1"/>
  <c r="Z328" i="63" l="1"/>
  <c r="AM328" i="63"/>
  <c r="P328" i="63"/>
  <c r="U328" i="63" l="1"/>
  <c r="W328" i="63"/>
  <c r="O329" i="63" l="1"/>
  <c r="AN329" i="63" s="1"/>
  <c r="AS329" i="63" s="1"/>
  <c r="AT328" i="63"/>
  <c r="AU328" i="63"/>
  <c r="AV328" i="63" s="1"/>
  <c r="N329" i="63"/>
  <c r="M329" i="63" l="1"/>
  <c r="L329" i="63" s="1"/>
  <c r="Q329" i="63"/>
  <c r="V329" i="63" s="1"/>
  <c r="P329" i="63" l="1"/>
  <c r="Z329" i="63"/>
  <c r="AM329" i="63"/>
  <c r="U329" i="63" l="1"/>
  <c r="W329" i="63"/>
  <c r="AT329" i="63" l="1"/>
  <c r="N330" i="63"/>
  <c r="AU329" i="63"/>
  <c r="AV329" i="63" s="1"/>
  <c r="O330" i="63"/>
  <c r="AN330" i="63" l="1"/>
  <c r="AS330" i="63" s="1"/>
  <c r="Q330" i="63"/>
  <c r="V330" i="63" s="1"/>
  <c r="M330" i="63"/>
  <c r="L330" i="63" s="1"/>
  <c r="Z330" i="63" l="1"/>
  <c r="AM330" i="63"/>
  <c r="P330" i="63"/>
  <c r="U330" i="63" l="1"/>
  <c r="W330" i="63"/>
  <c r="AT330" i="63" l="1"/>
  <c r="AU330" i="63"/>
  <c r="AV330" i="63" s="1"/>
  <c r="O331" i="63"/>
  <c r="N331" i="63"/>
  <c r="M331" i="63" l="1"/>
  <c r="L331" i="63" s="1"/>
  <c r="Q331" i="63"/>
  <c r="V331" i="63" s="1"/>
  <c r="AN331" i="63"/>
  <c r="AS331" i="63" s="1"/>
  <c r="P331" i="63"/>
  <c r="W331" i="63" l="1"/>
  <c r="U331" i="63"/>
  <c r="AM331" i="63"/>
  <c r="Z331" i="63"/>
  <c r="N332" i="63" l="1"/>
  <c r="AT331" i="63"/>
  <c r="AU331" i="63"/>
  <c r="AV331" i="63" s="1"/>
  <c r="O332" i="63"/>
  <c r="AN332" i="63" s="1"/>
  <c r="AS332" i="63" s="1"/>
  <c r="M332" i="63" l="1"/>
  <c r="L332" i="63" s="1"/>
  <c r="Q332" i="63"/>
  <c r="V332" i="63" l="1"/>
  <c r="P332" i="63"/>
  <c r="Z332" i="63"/>
  <c r="AM332" i="63"/>
  <c r="W332" i="63" l="1"/>
  <c r="U332" i="63"/>
  <c r="N333" i="63" l="1"/>
  <c r="O333" i="63"/>
  <c r="AN333" i="63" s="1"/>
  <c r="AS333" i="63" s="1"/>
  <c r="AT332" i="63"/>
  <c r="AU332" i="63"/>
  <c r="AV332" i="63" s="1"/>
  <c r="M333" i="63" l="1"/>
  <c r="L333" i="63" s="1"/>
  <c r="Q333" i="63"/>
  <c r="P333" i="63" l="1"/>
  <c r="V333" i="63"/>
  <c r="AM333" i="63"/>
  <c r="Z333" i="63"/>
  <c r="U333" i="63" l="1"/>
  <c r="W333" i="63"/>
  <c r="AU333" i="63" l="1"/>
  <c r="AV333" i="63" s="1"/>
  <c r="N334" i="63"/>
  <c r="AT333" i="63"/>
  <c r="O334" i="63"/>
  <c r="AN334" i="63" s="1"/>
  <c r="AS334" i="63" s="1"/>
  <c r="Q334" i="63" l="1"/>
  <c r="M334" i="63"/>
  <c r="L334" i="63" s="1"/>
  <c r="AM334" i="63" l="1"/>
  <c r="Z334" i="63"/>
  <c r="V334" i="63"/>
  <c r="P334" i="63"/>
  <c r="W334" i="63" l="1"/>
  <c r="U334" i="63"/>
  <c r="AU334" i="63" l="1"/>
  <c r="AV334" i="63" s="1"/>
  <c r="N335" i="63"/>
  <c r="AT334" i="63"/>
  <c r="O335" i="63"/>
  <c r="AN335" i="63" s="1"/>
  <c r="AS335" i="63" s="1"/>
  <c r="M335" i="63" l="1"/>
  <c r="L335" i="63" s="1"/>
  <c r="Q335" i="63"/>
  <c r="V335" i="63" l="1"/>
  <c r="P335" i="63"/>
  <c r="AM335" i="63"/>
  <c r="Z335" i="63"/>
  <c r="U335" i="63" l="1"/>
  <c r="W335" i="63"/>
  <c r="AU335" i="63" l="1"/>
  <c r="AV335" i="63" s="1"/>
  <c r="N336" i="63"/>
  <c r="AT335" i="63"/>
  <c r="O336" i="63"/>
  <c r="AN336" i="63" s="1"/>
  <c r="AS336" i="63" s="1"/>
  <c r="M336" i="63" l="1"/>
  <c r="L336" i="63" s="1"/>
  <c r="Q336" i="63"/>
  <c r="V336" i="63" s="1"/>
  <c r="AM336" i="63" l="1"/>
  <c r="Z336" i="63"/>
  <c r="P336" i="63"/>
  <c r="W336" i="63" l="1"/>
  <c r="U336" i="63"/>
  <c r="AT336" i="63" l="1"/>
  <c r="O337" i="63"/>
  <c r="AN337" i="63" s="1"/>
  <c r="AS337" i="63" s="1"/>
  <c r="N337" i="63"/>
  <c r="AU336" i="63"/>
  <c r="AV336" i="63" s="1"/>
  <c r="M337" i="63" l="1"/>
  <c r="L337" i="63" s="1"/>
  <c r="Q337" i="63"/>
  <c r="V337" i="63" l="1"/>
  <c r="P337" i="63"/>
  <c r="Z337" i="63"/>
  <c r="AM337" i="63"/>
  <c r="U337" i="63" l="1"/>
  <c r="W337" i="63"/>
  <c r="O338" i="63" l="1"/>
  <c r="AN338" i="63" s="1"/>
  <c r="AS338" i="63" s="1"/>
  <c r="AU337" i="63"/>
  <c r="AV337" i="63" s="1"/>
  <c r="AT337" i="63"/>
  <c r="N338" i="63"/>
  <c r="M338" i="63" l="1"/>
  <c r="L338" i="63" s="1"/>
  <c r="Q338" i="63"/>
  <c r="P338" i="63" l="1"/>
  <c r="V338" i="63"/>
  <c r="AM338" i="63"/>
  <c r="Z338" i="63"/>
  <c r="U338" i="63" l="1"/>
  <c r="W338" i="63"/>
  <c r="O339" i="63" l="1"/>
  <c r="AN339" i="63" s="1"/>
  <c r="AS339" i="63" s="1"/>
  <c r="N339" i="63"/>
  <c r="AT338" i="63"/>
  <c r="AU338" i="63"/>
  <c r="AV338" i="63" s="1"/>
  <c r="M339" i="63" l="1"/>
  <c r="L339" i="63" s="1"/>
  <c r="Q339" i="63"/>
  <c r="V339" i="63" l="1"/>
  <c r="P339" i="63"/>
  <c r="AM339" i="63"/>
  <c r="Z339" i="63"/>
  <c r="U339" i="63" l="1"/>
  <c r="W339" i="63"/>
  <c r="O340" i="63" l="1"/>
  <c r="AN340" i="63" s="1"/>
  <c r="AS340" i="63" s="1"/>
  <c r="AT339" i="63"/>
  <c r="N340" i="63"/>
  <c r="AU339" i="63"/>
  <c r="AV339" i="63" s="1"/>
  <c r="M340" i="63" l="1"/>
  <c r="L340" i="63" s="1"/>
  <c r="Q340" i="63"/>
  <c r="V340" i="63" l="1"/>
  <c r="P340" i="63"/>
  <c r="AM340" i="63"/>
  <c r="Z340" i="63"/>
  <c r="U340" i="63" l="1"/>
  <c r="W340" i="63"/>
  <c r="AU340" i="63" l="1"/>
  <c r="AV340" i="63" s="1"/>
  <c r="AT340" i="63"/>
  <c r="N341" i="63"/>
  <c r="O341" i="63"/>
  <c r="AN341" i="63" l="1"/>
  <c r="AS341" i="63" s="1"/>
  <c r="M341" i="63"/>
  <c r="L341" i="63" s="1"/>
  <c r="Q341" i="63"/>
  <c r="V341" i="63" s="1"/>
  <c r="Z341" i="63" l="1"/>
  <c r="AM341" i="63"/>
  <c r="P341" i="63"/>
  <c r="U341" i="63" l="1"/>
  <c r="W341" i="63"/>
  <c r="AU341" i="63" l="1"/>
  <c r="AV341" i="63" s="1"/>
  <c r="O342" i="63"/>
  <c r="AT341" i="63"/>
  <c r="N342" i="63"/>
  <c r="M342" i="63" l="1"/>
  <c r="L342" i="63" s="1"/>
  <c r="Q342" i="63"/>
  <c r="V342" i="63" s="1"/>
  <c r="AN342" i="63"/>
  <c r="AS342" i="63" s="1"/>
  <c r="P342" i="63"/>
  <c r="U342" i="63" s="1"/>
  <c r="W342" i="63" l="1"/>
  <c r="AM342" i="63"/>
  <c r="Z342" i="63"/>
  <c r="AU342" i="63" l="1"/>
  <c r="AV342" i="63" s="1"/>
  <c r="O343" i="63"/>
  <c r="N343" i="63"/>
  <c r="AT342" i="63"/>
  <c r="Q343" i="63" l="1"/>
  <c r="V343" i="63" s="1"/>
  <c r="M343" i="63"/>
  <c r="L343" i="63" s="1"/>
  <c r="AN343" i="63"/>
  <c r="AS343" i="63" s="1"/>
  <c r="P343" i="63" l="1"/>
  <c r="AM343" i="63"/>
  <c r="Z343" i="63"/>
  <c r="U343" i="63" l="1"/>
  <c r="W343" i="63"/>
  <c r="N344" i="63" l="1"/>
  <c r="AU343" i="63"/>
  <c r="AV343" i="63" s="1"/>
  <c r="AT343" i="63"/>
  <c r="O344" i="63"/>
  <c r="AN344" i="63" l="1"/>
  <c r="AS344" i="63" s="1"/>
  <c r="M344" i="63"/>
  <c r="L344" i="63" s="1"/>
  <c r="Q344" i="63"/>
  <c r="V344" i="63" s="1"/>
  <c r="Z344" i="63" l="1"/>
  <c r="AM344" i="63"/>
  <c r="P344" i="63"/>
  <c r="U344" i="63" l="1"/>
  <c r="W344" i="63"/>
  <c r="N345" i="63" l="1"/>
  <c r="AT344" i="63"/>
  <c r="O345" i="63"/>
  <c r="AU344" i="63"/>
  <c r="AV344" i="63" s="1"/>
  <c r="AN345" i="63" l="1"/>
  <c r="AS345" i="63" s="1"/>
  <c r="M345" i="63"/>
  <c r="L345" i="63" s="1"/>
  <c r="Q345" i="63"/>
  <c r="V345" i="63" s="1"/>
  <c r="Z345" i="63" l="1"/>
  <c r="AM345" i="63"/>
  <c r="P345" i="63"/>
  <c r="U345" i="63" l="1"/>
  <c r="W345" i="63"/>
  <c r="AU345" i="63" l="1"/>
  <c r="AV345" i="63" s="1"/>
  <c r="AT345" i="63"/>
  <c r="O346" i="63"/>
  <c r="N346" i="63"/>
  <c r="M346" i="63" l="1"/>
  <c r="L346" i="63" s="1"/>
  <c r="Q346" i="63"/>
  <c r="V346" i="63" s="1"/>
  <c r="AN346" i="63"/>
  <c r="AS346" i="63" s="1"/>
  <c r="P346" i="63"/>
  <c r="W346" i="63" l="1"/>
  <c r="U346" i="63"/>
  <c r="Z346" i="63"/>
  <c r="AM346" i="63"/>
  <c r="AT346" i="63" l="1"/>
  <c r="N347" i="63"/>
  <c r="AU346" i="63"/>
  <c r="AV346" i="63" s="1"/>
  <c r="O347" i="63"/>
  <c r="AN347" i="63" s="1"/>
  <c r="AS347" i="63" s="1"/>
  <c r="M347" i="63" l="1"/>
  <c r="L347" i="63" s="1"/>
  <c r="Q347" i="63"/>
  <c r="V347" i="63" s="1"/>
  <c r="Z347" i="63" l="1"/>
  <c r="AM347" i="63"/>
  <c r="P347" i="63"/>
  <c r="W347" i="63" l="1"/>
  <c r="U347" i="63"/>
  <c r="N348" i="63" l="1"/>
  <c r="O348" i="63"/>
  <c r="AU347" i="63"/>
  <c r="AV347" i="63" s="1"/>
  <c r="AT347" i="63"/>
  <c r="AN348" i="63" l="1"/>
  <c r="AS348" i="63" s="1"/>
  <c r="M348" i="63"/>
  <c r="L348" i="63" s="1"/>
  <c r="Q348" i="63"/>
  <c r="V348" i="63" s="1"/>
  <c r="Z348" i="63" l="1"/>
  <c r="AM348" i="63"/>
  <c r="P348" i="63"/>
  <c r="U348" i="63" l="1"/>
  <c r="W348" i="63"/>
  <c r="N349" i="63" l="1"/>
  <c r="O349" i="63"/>
  <c r="AT348" i="63"/>
  <c r="AU348" i="63"/>
  <c r="AV348" i="63" s="1"/>
  <c r="AN349" i="63" l="1"/>
  <c r="AS349" i="63" s="1"/>
  <c r="M349" i="63"/>
  <c r="L349" i="63" s="1"/>
  <c r="Q349" i="63"/>
  <c r="V349" i="63" s="1"/>
  <c r="AM349" i="63" l="1"/>
  <c r="Z349" i="63"/>
  <c r="P349" i="63"/>
  <c r="U349" i="63" l="1"/>
  <c r="W349" i="63"/>
  <c r="AU349" i="63" l="1"/>
  <c r="AV349" i="63" s="1"/>
  <c r="N350" i="63"/>
  <c r="O350" i="63"/>
  <c r="AT349" i="63"/>
  <c r="AN350" i="63" l="1"/>
  <c r="AS350" i="63" s="1"/>
  <c r="Q350" i="63"/>
  <c r="V350" i="63" s="1"/>
  <c r="M350" i="63"/>
  <c r="L350" i="63" s="1"/>
  <c r="P350" i="63" l="1"/>
  <c r="Z350" i="63"/>
  <c r="AM350" i="63"/>
  <c r="U350" i="63" l="1"/>
  <c r="W350" i="63"/>
  <c r="O351" i="63" l="1"/>
  <c r="AT350" i="63"/>
  <c r="N351" i="63"/>
  <c r="AU350" i="63"/>
  <c r="AV350" i="63" s="1"/>
  <c r="Q351" i="63" l="1"/>
  <c r="V351" i="63" s="1"/>
  <c r="M351" i="63"/>
  <c r="L351" i="63" s="1"/>
  <c r="AN351" i="63"/>
  <c r="AS351" i="63" s="1"/>
  <c r="P351" i="63"/>
  <c r="Z351" i="63" l="1"/>
  <c r="AM351" i="63"/>
  <c r="U351" i="63"/>
  <c r="W351" i="63"/>
  <c r="AU351" i="63" l="1"/>
  <c r="AV351" i="63" s="1"/>
  <c r="O352" i="63"/>
  <c r="AN352" i="63" s="1"/>
  <c r="AS352" i="63" s="1"/>
  <c r="N352" i="63"/>
  <c r="AT351" i="63"/>
  <c r="M352" i="63" l="1"/>
  <c r="L352" i="63" s="1"/>
  <c r="Q352" i="63"/>
  <c r="V352" i="63" l="1"/>
  <c r="P352" i="63"/>
  <c r="Z352" i="63"/>
  <c r="AM352" i="63"/>
  <c r="U352" i="63" l="1"/>
  <c r="W352" i="63"/>
  <c r="O353" i="63" l="1"/>
  <c r="AN353" i="63" s="1"/>
  <c r="AS353" i="63" s="1"/>
  <c r="N353" i="63"/>
  <c r="AT352" i="63"/>
  <c r="AU352" i="63"/>
  <c r="AV352" i="63" s="1"/>
  <c r="M353" i="63" l="1"/>
  <c r="L353" i="63" s="1"/>
  <c r="Q353" i="63"/>
  <c r="V353" i="63" l="1"/>
  <c r="P353" i="63"/>
  <c r="AM353" i="63"/>
  <c r="Z353" i="63"/>
  <c r="U353" i="63" l="1"/>
  <c r="W353" i="63"/>
  <c r="N354" i="63" l="1"/>
  <c r="AU353" i="63"/>
  <c r="AV353" i="63" s="1"/>
  <c r="O354" i="63"/>
  <c r="AN354" i="63" s="1"/>
  <c r="AS354" i="63" s="1"/>
  <c r="AT353" i="63"/>
  <c r="M354" i="63" l="1"/>
  <c r="L354" i="63" s="1"/>
  <c r="Q354" i="63"/>
  <c r="V354" i="63" l="1"/>
  <c r="P354" i="63"/>
  <c r="AM354" i="63"/>
  <c r="Z354" i="63"/>
  <c r="U354" i="63" l="1"/>
  <c r="W354" i="63"/>
  <c r="AT354" i="63" l="1"/>
  <c r="N355" i="63"/>
  <c r="O355" i="63"/>
  <c r="AN355" i="63" s="1"/>
  <c r="AS355" i="63" s="1"/>
  <c r="AU354" i="63"/>
  <c r="AV354" i="63" s="1"/>
  <c r="Q355" i="63" l="1"/>
  <c r="M355" i="63"/>
  <c r="L355" i="63" s="1"/>
  <c r="AM355" i="63" l="1"/>
  <c r="Z355" i="63"/>
  <c r="V355" i="63"/>
  <c r="P355" i="63"/>
  <c r="U355" i="63" l="1"/>
  <c r="W355" i="63"/>
  <c r="N356" i="63" l="1"/>
  <c r="O356" i="63"/>
  <c r="AN356" i="63" s="1"/>
  <c r="AS356" i="63" s="1"/>
  <c r="AT355" i="63"/>
  <c r="AU355" i="63"/>
  <c r="AV355" i="63" s="1"/>
  <c r="Q356" i="63" l="1"/>
  <c r="M356" i="63"/>
  <c r="L356" i="63" s="1"/>
  <c r="Z356" i="63" l="1"/>
  <c r="AM356" i="63"/>
  <c r="V356" i="63"/>
  <c r="P356" i="63"/>
  <c r="W356" i="63" l="1"/>
  <c r="U356" i="63"/>
  <c r="AU356" i="63" l="1"/>
  <c r="AV356" i="63" s="1"/>
  <c r="N357" i="63"/>
  <c r="AT356" i="63"/>
  <c r="O357" i="63"/>
  <c r="AN357" i="63" s="1"/>
  <c r="AS357" i="63" s="1"/>
  <c r="Q357" i="63" l="1"/>
  <c r="M357" i="63"/>
  <c r="L357" i="63" s="1"/>
  <c r="Z357" i="63" l="1"/>
  <c r="AM357" i="63"/>
  <c r="V357" i="63"/>
  <c r="P357" i="63"/>
  <c r="U357" i="63" l="1"/>
  <c r="W357" i="63"/>
  <c r="AT357" i="63" l="1"/>
  <c r="O358" i="63"/>
  <c r="AN358" i="63" s="1"/>
  <c r="AS358" i="63" s="1"/>
  <c r="AU357" i="63"/>
  <c r="AV357" i="63" s="1"/>
  <c r="N358" i="63"/>
  <c r="M358" i="63" l="1"/>
  <c r="L358" i="63" s="1"/>
  <c r="Q358" i="63"/>
  <c r="V358" i="63" l="1"/>
  <c r="P358" i="63"/>
  <c r="Z358" i="63"/>
  <c r="AM358" i="63"/>
  <c r="U358" i="63" l="1"/>
  <c r="W358" i="63"/>
  <c r="O359" i="63" l="1"/>
  <c r="AN359" i="63" s="1"/>
  <c r="AS359" i="63" s="1"/>
  <c r="N359" i="63"/>
  <c r="AT358" i="63"/>
  <c r="AU358" i="63"/>
  <c r="AV358" i="63" s="1"/>
  <c r="M359" i="63" l="1"/>
  <c r="L359" i="63" s="1"/>
  <c r="Q359" i="63"/>
  <c r="V359" i="63" l="1"/>
  <c r="P359" i="63"/>
  <c r="Z359" i="63"/>
  <c r="AM359" i="63"/>
  <c r="U359" i="63" l="1"/>
  <c r="W359" i="63"/>
  <c r="O360" i="63" l="1"/>
  <c r="N360" i="63"/>
  <c r="AU359" i="63"/>
  <c r="AV359" i="63" s="1"/>
  <c r="AT359" i="63"/>
  <c r="Q360" i="63" l="1"/>
  <c r="V360" i="63" s="1"/>
  <c r="M360" i="63"/>
  <c r="L360" i="63" s="1"/>
  <c r="AN360" i="63"/>
  <c r="AS360" i="63" s="1"/>
  <c r="P360" i="63"/>
  <c r="U360" i="63" s="1"/>
  <c r="W360" i="63" l="1"/>
  <c r="AM360" i="63"/>
  <c r="Z360" i="63"/>
  <c r="AT360" i="63" l="1"/>
  <c r="AU360" i="63"/>
  <c r="AV360" i="63" s="1"/>
  <c r="O361" i="63"/>
  <c r="N361" i="63"/>
  <c r="Q361" i="63" l="1"/>
  <c r="V361" i="63" s="1"/>
  <c r="M361" i="63"/>
  <c r="L361" i="63" s="1"/>
  <c r="AN361" i="63"/>
  <c r="AS361" i="63" s="1"/>
  <c r="P361" i="63" l="1"/>
  <c r="AM361" i="63"/>
  <c r="Z361" i="63"/>
  <c r="U361" i="63" l="1"/>
  <c r="W361" i="63"/>
  <c r="AT361" i="63" l="1"/>
  <c r="O362" i="63"/>
  <c r="AU361" i="63"/>
  <c r="AV361" i="63" s="1"/>
  <c r="N362" i="63"/>
  <c r="M362" i="63" l="1"/>
  <c r="L362" i="63" s="1"/>
  <c r="Q362" i="63"/>
  <c r="V362" i="63" s="1"/>
  <c r="AN362" i="63"/>
  <c r="AS362" i="63" s="1"/>
  <c r="P362" i="63" l="1"/>
  <c r="AM362" i="63"/>
  <c r="Z362" i="63"/>
  <c r="U362" i="63" l="1"/>
  <c r="W362" i="63"/>
  <c r="O363" i="63" l="1"/>
  <c r="AU362" i="63"/>
  <c r="AV362" i="63" s="1"/>
  <c r="AT362" i="63"/>
  <c r="N363" i="63"/>
  <c r="M363" i="63" l="1"/>
  <c r="L363" i="63" s="1"/>
  <c r="Q363" i="63"/>
  <c r="V363" i="63" s="1"/>
  <c r="AN363" i="63"/>
  <c r="AS363" i="63" s="1"/>
  <c r="P363" i="63"/>
  <c r="U363" i="63" l="1"/>
  <c r="W363" i="63"/>
  <c r="Z363" i="63"/>
  <c r="AM363" i="63"/>
  <c r="O364" i="63" l="1"/>
  <c r="AT363" i="63"/>
  <c r="N364" i="63"/>
  <c r="AU363" i="63"/>
  <c r="AV363" i="63" s="1"/>
  <c r="M364" i="63" l="1"/>
  <c r="L364" i="63" s="1"/>
  <c r="Q364" i="63"/>
  <c r="V364" i="63" s="1"/>
  <c r="AN364" i="63"/>
  <c r="AS364" i="63" s="1"/>
  <c r="P364" i="63"/>
  <c r="U364" i="63" s="1"/>
  <c r="W364" i="63" l="1"/>
  <c r="AM364" i="63"/>
  <c r="Z364" i="63"/>
  <c r="AT364" i="63" l="1"/>
  <c r="O365" i="63"/>
  <c r="N365" i="63"/>
  <c r="AU364" i="63"/>
  <c r="AV364" i="63" s="1"/>
  <c r="M365" i="63" l="1"/>
  <c r="L365" i="63" s="1"/>
  <c r="Q365" i="63"/>
  <c r="V365" i="63" s="1"/>
  <c r="AN365" i="63"/>
  <c r="AS365" i="63" s="1"/>
  <c r="P365" i="63" l="1"/>
  <c r="Z365" i="63"/>
  <c r="AM365" i="63"/>
  <c r="U365" i="63" l="1"/>
  <c r="W365" i="63"/>
  <c r="AU365" i="63" l="1"/>
  <c r="AV365" i="63" s="1"/>
  <c r="N366" i="63"/>
  <c r="O366" i="63"/>
  <c r="AT365" i="63"/>
  <c r="AN366" i="63" l="1"/>
  <c r="AS366" i="63" s="1"/>
  <c r="Q366" i="63"/>
  <c r="V366" i="63" s="1"/>
  <c r="M366" i="63"/>
  <c r="L366" i="63" s="1"/>
  <c r="Z366" i="63" l="1"/>
  <c r="AM366" i="63"/>
  <c r="P366" i="63"/>
  <c r="U366" i="63" l="1"/>
  <c r="W366" i="63"/>
  <c r="N367" i="63" l="1"/>
  <c r="O367" i="63"/>
  <c r="AT366" i="63"/>
  <c r="AU366" i="63"/>
  <c r="AV366" i="63" s="1"/>
  <c r="AN367" i="63" l="1"/>
  <c r="AS367" i="63" s="1"/>
  <c r="Q367" i="63"/>
  <c r="V367" i="63" s="1"/>
  <c r="M367" i="63"/>
  <c r="L367" i="63" s="1"/>
  <c r="Z367" i="63" l="1"/>
  <c r="AM367" i="63"/>
  <c r="P367" i="63"/>
  <c r="U367" i="63" l="1"/>
  <c r="W367" i="63"/>
  <c r="AU367" i="63" l="1"/>
  <c r="AV367" i="63" s="1"/>
  <c r="AT367" i="63"/>
  <c r="N368" i="63"/>
  <c r="O368" i="63"/>
  <c r="Q368" i="63" l="1"/>
  <c r="V368" i="63" s="1"/>
  <c r="M368" i="63"/>
  <c r="L368" i="63" s="1"/>
  <c r="AN368" i="63"/>
  <c r="AS368" i="63" s="1"/>
  <c r="P368" i="63"/>
  <c r="U368" i="63" s="1"/>
  <c r="AM368" i="63" l="1"/>
  <c r="Z368" i="63"/>
  <c r="W368" i="63"/>
  <c r="AT368" i="63" l="1"/>
  <c r="N369" i="63"/>
  <c r="AU368" i="63"/>
  <c r="AV368" i="63" s="1"/>
  <c r="O369" i="63"/>
  <c r="AN369" i="63" l="1"/>
  <c r="AS369" i="63" s="1"/>
  <c r="M369" i="63"/>
  <c r="L369" i="63" s="1"/>
  <c r="Q369" i="63"/>
  <c r="V369" i="63" s="1"/>
  <c r="AM369" i="63" l="1"/>
  <c r="Z369" i="63"/>
  <c r="P369" i="63"/>
  <c r="U369" i="63" l="1"/>
  <c r="W369" i="63"/>
  <c r="N370" i="63" l="1"/>
  <c r="AU369" i="63"/>
  <c r="AV369" i="63" s="1"/>
  <c r="O370" i="63"/>
  <c r="AT369" i="63"/>
  <c r="AN370" i="63" l="1"/>
  <c r="AS370" i="63" s="1"/>
  <c r="M370" i="63"/>
  <c r="L370" i="63" s="1"/>
  <c r="Q370" i="63"/>
  <c r="V370" i="63" s="1"/>
  <c r="Z370" i="63" l="1"/>
  <c r="AM370" i="63"/>
  <c r="P370" i="63"/>
  <c r="W370" i="63" l="1"/>
  <c r="U370" i="63"/>
  <c r="N371" i="63" l="1"/>
  <c r="O371" i="63"/>
  <c r="AU370" i="63"/>
  <c r="AV370" i="63" s="1"/>
  <c r="AT370" i="63"/>
  <c r="AN371" i="63" l="1"/>
  <c r="AS371" i="63" s="1"/>
  <c r="M371" i="63"/>
  <c r="L371" i="63" s="1"/>
  <c r="Q371" i="63"/>
  <c r="V371" i="63" s="1"/>
  <c r="P371" i="63" l="1"/>
  <c r="AM371" i="63"/>
  <c r="Z371" i="63"/>
  <c r="U371" i="63" l="1"/>
  <c r="W371" i="63"/>
  <c r="AU371" i="63" l="1"/>
  <c r="AV371" i="63" s="1"/>
  <c r="N372" i="63"/>
  <c r="O372" i="63"/>
  <c r="AT371" i="63"/>
  <c r="AN372" i="63" l="1"/>
  <c r="AS372" i="63" s="1"/>
  <c r="M372" i="63"/>
  <c r="L372" i="63" s="1"/>
  <c r="Q372" i="63"/>
  <c r="V372" i="63" s="1"/>
  <c r="Z372" i="63" l="1"/>
  <c r="AM372" i="63"/>
  <c r="P372" i="63"/>
  <c r="U372" i="63" l="1"/>
  <c r="W372" i="63"/>
  <c r="N373" i="63" l="1"/>
  <c r="O373" i="63"/>
  <c r="AU372" i="63"/>
  <c r="AV372" i="63" s="1"/>
  <c r="AT372" i="63"/>
  <c r="AN373" i="63" l="1"/>
  <c r="AS373" i="63" s="1"/>
  <c r="M373" i="63"/>
  <c r="L373" i="63" s="1"/>
  <c r="Q373" i="63"/>
  <c r="V373" i="63" s="1"/>
  <c r="P373" i="63" l="1"/>
  <c r="Z373" i="63"/>
  <c r="AM373" i="63"/>
  <c r="U373" i="63" l="1"/>
  <c r="W373" i="63"/>
  <c r="O374" i="63" l="1"/>
  <c r="AU373" i="63"/>
  <c r="AV373" i="63" s="1"/>
  <c r="AT373" i="63"/>
  <c r="N374" i="63"/>
  <c r="M374" i="63" l="1"/>
  <c r="L374" i="63" s="1"/>
  <c r="Q374" i="63"/>
  <c r="V374" i="63" s="1"/>
  <c r="AN374" i="63"/>
  <c r="AS374" i="63" s="1"/>
  <c r="P374" i="63" l="1"/>
  <c r="AM374" i="63"/>
  <c r="Z374" i="63"/>
  <c r="W374" i="63" l="1"/>
  <c r="U374" i="63"/>
  <c r="AU374" i="63" l="1"/>
  <c r="AV374" i="63" s="1"/>
  <c r="N375" i="63"/>
  <c r="O375" i="63"/>
  <c r="AT374" i="63"/>
  <c r="AN375" i="63" l="1"/>
  <c r="AS375" i="63" s="1"/>
  <c r="M375" i="63"/>
  <c r="L375" i="63" s="1"/>
  <c r="Q375" i="63"/>
  <c r="V375" i="63" s="1"/>
  <c r="Z375" i="63" l="1"/>
  <c r="AM375" i="63"/>
  <c r="P375" i="63"/>
  <c r="W375" i="63" l="1"/>
  <c r="U375" i="63"/>
  <c r="N376" i="63" l="1"/>
  <c r="AU375" i="63"/>
  <c r="AV375" i="63" s="1"/>
  <c r="AT375" i="63"/>
  <c r="O376" i="63"/>
  <c r="AN376" i="63" l="1"/>
  <c r="AS376" i="63" s="1"/>
  <c r="M376" i="63"/>
  <c r="L376" i="63" s="1"/>
  <c r="Q376" i="63"/>
  <c r="V376" i="63" s="1"/>
  <c r="P376" i="63" l="1"/>
  <c r="AM376" i="63"/>
  <c r="Z376" i="63"/>
  <c r="U376" i="63" l="1"/>
  <c r="W376" i="63"/>
  <c r="N377" i="63" l="1"/>
  <c r="AU376" i="63"/>
  <c r="AV376" i="63" s="1"/>
  <c r="AT376" i="63"/>
  <c r="O377" i="63"/>
  <c r="AN377" i="63" l="1"/>
  <c r="AS377" i="63" s="1"/>
  <c r="Q377" i="63"/>
  <c r="V377" i="63" s="1"/>
  <c r="M377" i="63"/>
  <c r="L377" i="63" s="1"/>
  <c r="Z377" i="63" l="1"/>
  <c r="AM377" i="63"/>
  <c r="P377" i="63"/>
  <c r="U377" i="63" l="1"/>
  <c r="W377" i="63"/>
  <c r="AT377" i="63" l="1"/>
  <c r="AU377" i="63"/>
  <c r="AV377" i="63" s="1"/>
  <c r="N378" i="63"/>
  <c r="O378" i="63"/>
  <c r="AN378" i="63" l="1"/>
  <c r="AS378" i="63" s="1"/>
  <c r="M378" i="63"/>
  <c r="L378" i="63" s="1"/>
  <c r="Q378" i="63"/>
  <c r="V378" i="63" s="1"/>
  <c r="P378" i="63" l="1"/>
  <c r="Z378" i="63"/>
  <c r="AM378" i="63"/>
  <c r="W378" i="63" l="1"/>
  <c r="U378" i="63"/>
  <c r="N379" i="63" l="1"/>
  <c r="AT378" i="63"/>
  <c r="AU378" i="63"/>
  <c r="AV378" i="63" s="1"/>
  <c r="O379" i="63"/>
  <c r="AN379" i="63" l="1"/>
  <c r="AS379" i="63" s="1"/>
  <c r="Q379" i="63"/>
  <c r="V379" i="63" s="1"/>
  <c r="M379" i="63"/>
  <c r="L379" i="63" s="1"/>
  <c r="AM379" i="63" l="1"/>
  <c r="Z379" i="63"/>
  <c r="P379" i="63"/>
  <c r="U379" i="63" l="1"/>
  <c r="W379" i="63"/>
  <c r="AU379" i="63" l="1"/>
  <c r="AV379" i="63" s="1"/>
  <c r="AT379" i="63"/>
  <c r="N380" i="63"/>
  <c r="O380" i="63"/>
  <c r="AN380" i="63" l="1"/>
  <c r="AS380" i="63" s="1"/>
  <c r="M380" i="63"/>
  <c r="L380" i="63" s="1"/>
  <c r="Q380" i="63"/>
  <c r="V380" i="63" s="1"/>
  <c r="AM380" i="63" l="1"/>
  <c r="Z380" i="63"/>
  <c r="P380" i="63"/>
  <c r="U380" i="63" l="1"/>
  <c r="W380" i="63"/>
  <c r="AT380" i="63" l="1"/>
  <c r="N381" i="63"/>
  <c r="AU380" i="63"/>
  <c r="AV380" i="63" s="1"/>
  <c r="O381" i="63"/>
  <c r="AN381" i="63" l="1"/>
  <c r="AS381" i="63" s="1"/>
  <c r="Q381" i="63"/>
  <c r="V381" i="63" s="1"/>
  <c r="M381" i="63"/>
  <c r="L381" i="63" s="1"/>
  <c r="Z381" i="63" l="1"/>
  <c r="AM381" i="63"/>
  <c r="P381" i="63"/>
  <c r="U381" i="63" l="1"/>
  <c r="W381" i="63"/>
  <c r="O382" i="63" l="1"/>
  <c r="AU381" i="63"/>
  <c r="AV381" i="63" s="1"/>
  <c r="N382" i="63"/>
  <c r="AT381" i="63"/>
  <c r="M382" i="63" l="1"/>
  <c r="L382" i="63" s="1"/>
  <c r="Q382" i="63"/>
  <c r="V382" i="63" s="1"/>
  <c r="AN382" i="63"/>
  <c r="AS382" i="63" s="1"/>
  <c r="P382" i="63"/>
  <c r="U382" i="63" s="1"/>
  <c r="W382" i="63" l="1"/>
  <c r="AM382" i="63"/>
  <c r="Z382" i="63"/>
  <c r="N383" i="63" l="1"/>
  <c r="AT382" i="63"/>
  <c r="AU382" i="63"/>
  <c r="AV382" i="63" s="1"/>
  <c r="O383" i="63"/>
  <c r="AN383" i="63" l="1"/>
  <c r="AS383" i="63" s="1"/>
  <c r="Q383" i="63"/>
  <c r="V383" i="63" s="1"/>
  <c r="M383" i="63"/>
  <c r="L383" i="63" s="1"/>
  <c r="AM383" i="63" l="1"/>
  <c r="Z383" i="63"/>
  <c r="P383" i="63"/>
  <c r="W383" i="63" l="1"/>
  <c r="U383" i="63"/>
  <c r="N384" i="63" l="1"/>
  <c r="AT383" i="63"/>
  <c r="AU383" i="63"/>
  <c r="AV383" i="63" s="1"/>
  <c r="O384" i="63"/>
  <c r="AN384" i="63" l="1"/>
  <c r="AS384" i="63" s="1"/>
  <c r="Q384" i="63"/>
  <c r="V384" i="63" s="1"/>
  <c r="M384" i="63"/>
  <c r="L384" i="63" s="1"/>
  <c r="Z384" i="63" l="1"/>
  <c r="AM384" i="63"/>
  <c r="P384" i="63"/>
  <c r="U384" i="63" l="1"/>
  <c r="W384" i="63"/>
  <c r="O385" i="63" l="1"/>
  <c r="AT384" i="63"/>
  <c r="N385" i="63"/>
  <c r="AU384" i="63"/>
  <c r="AV384" i="63" s="1"/>
  <c r="M385" i="63" l="1"/>
  <c r="L385" i="63" s="1"/>
  <c r="Q385" i="63"/>
  <c r="V385" i="63" s="1"/>
  <c r="AN385" i="63"/>
  <c r="AS385" i="63" s="1"/>
  <c r="P385" i="63"/>
  <c r="U385" i="63" s="1"/>
  <c r="W385" i="63" l="1"/>
  <c r="AM385" i="63"/>
  <c r="Z385" i="63"/>
  <c r="AU385" i="63" l="1"/>
  <c r="AV385" i="63" s="1"/>
  <c r="O386" i="63"/>
  <c r="N386" i="63"/>
  <c r="AT385" i="63"/>
  <c r="AN386" i="63" l="1"/>
  <c r="AS386" i="63" s="1"/>
  <c r="M386" i="63"/>
  <c r="L386" i="63" s="1"/>
  <c r="Q386" i="63"/>
  <c r="V386" i="63" s="1"/>
  <c r="Z386" i="63" l="1"/>
  <c r="AM386" i="63"/>
  <c r="P386" i="63"/>
  <c r="U386" i="63" l="1"/>
  <c r="W386" i="63"/>
  <c r="O387" i="63" l="1"/>
  <c r="N387" i="63"/>
  <c r="AU386" i="63"/>
  <c r="AV386" i="63" s="1"/>
  <c r="AT386" i="63"/>
  <c r="M387" i="63" l="1"/>
  <c r="L387" i="63" s="1"/>
  <c r="Q387" i="63"/>
  <c r="V387" i="63" s="1"/>
  <c r="AN387" i="63"/>
  <c r="AS387" i="63" s="1"/>
  <c r="P387" i="63"/>
  <c r="U387" i="63" s="1"/>
  <c r="W387" i="63" l="1"/>
  <c r="Z387" i="63"/>
  <c r="AM387" i="63"/>
  <c r="O388" i="63" l="1"/>
  <c r="AU387" i="63"/>
  <c r="AV387" i="63" s="1"/>
  <c r="AT387" i="63"/>
  <c r="N388" i="63"/>
  <c r="Q388" i="63" l="1"/>
  <c r="V388" i="63" s="1"/>
  <c r="M388" i="63"/>
  <c r="L388" i="63" s="1"/>
  <c r="AN388" i="63"/>
  <c r="AS388" i="63" s="1"/>
  <c r="P388" i="63"/>
  <c r="U388" i="63" l="1"/>
  <c r="W388" i="63"/>
  <c r="Z388" i="63"/>
  <c r="AM388" i="63"/>
  <c r="AU388" i="63" l="1"/>
  <c r="AV388" i="63" s="1"/>
  <c r="N389" i="63"/>
  <c r="O389" i="63"/>
  <c r="AT388" i="63"/>
  <c r="AN389" i="63" l="1"/>
  <c r="AS389" i="63" s="1"/>
  <c r="Q389" i="63"/>
  <c r="V389" i="63" s="1"/>
  <c r="M389" i="63"/>
  <c r="L389" i="63" s="1"/>
  <c r="AM389" i="63" l="1"/>
  <c r="Z389" i="63"/>
  <c r="P389" i="63"/>
  <c r="W389" i="63" l="1"/>
  <c r="U389" i="63"/>
  <c r="AU389" i="63" l="1"/>
  <c r="AV389" i="63" s="1"/>
  <c r="N390" i="63"/>
  <c r="AT389" i="63"/>
  <c r="O390" i="63"/>
  <c r="AN390" i="63" l="1"/>
  <c r="AS390" i="63" s="1"/>
  <c r="Q390" i="63"/>
  <c r="V390" i="63" s="1"/>
  <c r="M390" i="63"/>
  <c r="L390" i="63" s="1"/>
  <c r="Z390" i="63" l="1"/>
  <c r="AM390" i="63"/>
  <c r="P390" i="63"/>
  <c r="U390" i="63" l="1"/>
  <c r="W390" i="63"/>
  <c r="AT390" i="63" l="1"/>
  <c r="N391" i="63"/>
  <c r="AU390" i="63"/>
  <c r="AV390" i="63" s="1"/>
  <c r="O391" i="63"/>
  <c r="AN391" i="63" l="1"/>
  <c r="AS391" i="63" s="1"/>
  <c r="M391" i="63"/>
  <c r="L391" i="63" s="1"/>
  <c r="Q391" i="63"/>
  <c r="V391" i="63" s="1"/>
  <c r="AM391" i="63" l="1"/>
  <c r="Z391" i="63"/>
  <c r="P391" i="63"/>
  <c r="U391" i="63" l="1"/>
  <c r="W391" i="63"/>
  <c r="AT391" i="63" l="1"/>
  <c r="O392" i="63"/>
  <c r="AU391" i="63"/>
  <c r="AV391" i="63" s="1"/>
  <c r="N392" i="63"/>
  <c r="M392" i="63" l="1"/>
  <c r="L392" i="63" s="1"/>
  <c r="Q392" i="63"/>
  <c r="V392" i="63" s="1"/>
  <c r="AN392" i="63"/>
  <c r="AS392" i="63" s="1"/>
  <c r="P392" i="63" l="1"/>
  <c r="AM392" i="63"/>
  <c r="Z392" i="63"/>
  <c r="U392" i="63" l="1"/>
  <c r="W392" i="63"/>
  <c r="AU392" i="63" l="1"/>
  <c r="AV392" i="63" s="1"/>
  <c r="AT392" i="63"/>
  <c r="N393" i="63"/>
  <c r="O393" i="63"/>
  <c r="AN393" i="63" l="1"/>
  <c r="AS393" i="63" s="1"/>
  <c r="M393" i="63"/>
  <c r="L393" i="63" s="1"/>
  <c r="Q393" i="63"/>
  <c r="V393" i="63" s="1"/>
  <c r="Z393" i="63" l="1"/>
  <c r="AM393" i="63"/>
  <c r="P393" i="63"/>
  <c r="U393" i="63" l="1"/>
  <c r="W393" i="63"/>
  <c r="AT393" i="63" l="1"/>
  <c r="O394" i="63"/>
  <c r="N394" i="63"/>
  <c r="AU393" i="63"/>
  <c r="AV393" i="63" s="1"/>
  <c r="Q394" i="63" l="1"/>
  <c r="V394" i="63" s="1"/>
  <c r="M394" i="63"/>
  <c r="L394" i="63" s="1"/>
  <c r="AN394" i="63"/>
  <c r="AS394" i="63" s="1"/>
  <c r="P394" i="63"/>
  <c r="U394" i="63" s="1"/>
  <c r="AM394" i="63" l="1"/>
  <c r="Z394" i="63"/>
  <c r="W394" i="63"/>
  <c r="O395" i="63" l="1"/>
  <c r="AT394" i="63"/>
  <c r="N395" i="63"/>
  <c r="AU394" i="63"/>
  <c r="AV394" i="63" s="1"/>
  <c r="Q395" i="63" l="1"/>
  <c r="V395" i="63" s="1"/>
  <c r="M395" i="63"/>
  <c r="L395" i="63" s="1"/>
  <c r="AN395" i="63"/>
  <c r="AS395" i="63" s="1"/>
  <c r="P395" i="63"/>
  <c r="U395" i="63" s="1"/>
  <c r="Z395" i="63" l="1"/>
  <c r="AM395" i="63"/>
  <c r="W395" i="63"/>
  <c r="N396" i="63" l="1"/>
  <c r="O396" i="63"/>
  <c r="AU395" i="63"/>
  <c r="AV395" i="63" s="1"/>
  <c r="AT395" i="63"/>
  <c r="AN396" i="63" l="1"/>
  <c r="AS396" i="63" s="1"/>
  <c r="M396" i="63"/>
  <c r="L396" i="63" s="1"/>
  <c r="Q396" i="63"/>
  <c r="V396" i="63" s="1"/>
  <c r="Z396" i="63" l="1"/>
  <c r="AM396" i="63"/>
  <c r="P396" i="63"/>
  <c r="U396" i="63" l="1"/>
  <c r="W396" i="63"/>
  <c r="AU396" i="63" l="1"/>
  <c r="AV396" i="63" s="1"/>
  <c r="O397" i="63"/>
  <c r="N397" i="63"/>
  <c r="AT396" i="63"/>
  <c r="Q397" i="63" l="1"/>
  <c r="V397" i="63" s="1"/>
  <c r="M397" i="63"/>
  <c r="L397" i="63" s="1"/>
  <c r="AN397" i="63"/>
  <c r="AS397" i="63" s="1"/>
  <c r="P397" i="63" l="1"/>
  <c r="Z397" i="63"/>
  <c r="AM397" i="63"/>
  <c r="U397" i="63" l="1"/>
  <c r="W397" i="63"/>
  <c r="N398" i="63" l="1"/>
  <c r="AU397" i="63"/>
  <c r="AV397" i="63" s="1"/>
  <c r="AT397" i="63"/>
  <c r="O398" i="63"/>
  <c r="AN398" i="63" l="1"/>
  <c r="AS398" i="63" s="1"/>
  <c r="M398" i="63"/>
  <c r="L398" i="63" s="1"/>
  <c r="Q398" i="63"/>
  <c r="V398" i="63" s="1"/>
  <c r="AM398" i="63" l="1"/>
  <c r="Z398" i="63"/>
  <c r="P398" i="63"/>
  <c r="U398" i="63" l="1"/>
  <c r="W398" i="63"/>
  <c r="AT398" i="63" l="1"/>
  <c r="O399" i="63"/>
  <c r="AU398" i="63"/>
  <c r="AV398" i="63" s="1"/>
  <c r="N399" i="63"/>
  <c r="M399" i="63" l="1"/>
  <c r="L399" i="63" s="1"/>
  <c r="Q399" i="63"/>
  <c r="V399" i="63" s="1"/>
  <c r="AN399" i="63"/>
  <c r="AS399" i="63" s="1"/>
  <c r="P399" i="63"/>
  <c r="U399" i="63" s="1"/>
  <c r="W399" i="63" l="1"/>
  <c r="AM399" i="63"/>
  <c r="Z399" i="63"/>
  <c r="AU399" i="63" l="1"/>
  <c r="AV399" i="63" s="1"/>
  <c r="AT399" i="63"/>
  <c r="N400" i="63"/>
  <c r="O400" i="63"/>
  <c r="AN400" i="63" l="1"/>
  <c r="AS400" i="63" s="1"/>
  <c r="M400" i="63"/>
  <c r="L400" i="63" s="1"/>
  <c r="Q400" i="63"/>
  <c r="V400" i="63" s="1"/>
  <c r="P400" i="63" l="1"/>
  <c r="AM400" i="63"/>
  <c r="Z400" i="63"/>
  <c r="W400" i="63" l="1"/>
  <c r="U400" i="63"/>
  <c r="AT400" i="63" l="1"/>
  <c r="AU400" i="63"/>
  <c r="AV400" i="63" s="1"/>
  <c r="N401"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AM402" i="63" l="1"/>
  <c r="Z402" i="63"/>
  <c r="P402" i="63"/>
  <c r="W402" i="63" l="1"/>
  <c r="U402" i="63"/>
  <c r="N403" i="63" l="1"/>
  <c r="AU402" i="63"/>
  <c r="AV402" i="63" s="1"/>
  <c r="AT402" i="63"/>
  <c r="O403" i="63"/>
  <c r="AN403" i="63" l="1"/>
  <c r="AS403" i="63" s="1"/>
  <c r="Q403" i="63"/>
  <c r="V403" i="63" s="1"/>
  <c r="M403" i="63"/>
  <c r="L403" i="63" s="1"/>
  <c r="AM403" i="63" l="1"/>
  <c r="Z403" i="63"/>
  <c r="P403" i="63"/>
  <c r="U403" i="63" l="1"/>
  <c r="W403" i="63"/>
  <c r="N404" i="63" l="1"/>
  <c r="AT403" i="63"/>
  <c r="AU403" i="63"/>
  <c r="AV403" i="63" s="1"/>
  <c r="O404" i="63"/>
  <c r="AN404" i="63" l="1"/>
  <c r="AS404" i="63" s="1"/>
  <c r="M404" i="63"/>
  <c r="L404" i="63" s="1"/>
  <c r="Q404" i="63"/>
  <c r="V404" i="63" s="1"/>
  <c r="AM404" i="63" l="1"/>
  <c r="Z404" i="63"/>
  <c r="P404" i="63"/>
  <c r="U404" i="63" l="1"/>
  <c r="W404" i="63"/>
  <c r="O405" i="63" l="1"/>
  <c r="AU404" i="63"/>
  <c r="AV404" i="63" s="1"/>
  <c r="N405" i="63"/>
  <c r="AT404" i="63"/>
  <c r="M405" i="63" l="1"/>
  <c r="L405" i="63" s="1"/>
  <c r="Q405" i="63"/>
  <c r="V405" i="63" s="1"/>
  <c r="AN405" i="63"/>
  <c r="AS405" i="63" s="1"/>
  <c r="P405" i="63" l="1"/>
  <c r="AM405" i="63"/>
  <c r="Z405" i="63"/>
  <c r="W405" i="63" l="1"/>
  <c r="U405" i="63"/>
  <c r="AU405" i="63" l="1"/>
  <c r="AV405" i="63" s="1"/>
  <c r="AT405" i="63"/>
  <c r="N406" i="63"/>
  <c r="O406" i="63"/>
  <c r="AN406" i="63" l="1"/>
  <c r="AS406" i="63" s="1"/>
  <c r="M406" i="63"/>
  <c r="L406" i="63" s="1"/>
  <c r="Q406" i="63"/>
  <c r="V406" i="63" s="1"/>
  <c r="AM406" i="63" l="1"/>
  <c r="Z406" i="63"/>
  <c r="P406" i="63"/>
  <c r="U406" i="63" l="1"/>
  <c r="W406" i="63"/>
  <c r="AT406" i="63" l="1"/>
  <c r="N407" i="63"/>
  <c r="AU406" i="63"/>
  <c r="AV406" i="63" s="1"/>
  <c r="O407" i="63"/>
  <c r="AN407" i="63" l="1"/>
  <c r="AS407" i="63" s="1"/>
  <c r="Q407" i="63"/>
  <c r="V407" i="63" s="1"/>
  <c r="M407" i="63"/>
  <c r="L407" i="63" s="1"/>
  <c r="Z407" i="63" l="1"/>
  <c r="AM407" i="63"/>
  <c r="P407" i="63"/>
  <c r="U407" i="63" l="1"/>
  <c r="W407" i="63"/>
  <c r="AU407" i="63" l="1"/>
  <c r="AV407" i="63" s="1"/>
  <c r="N408" i="63"/>
  <c r="AT407" i="63"/>
  <c r="O408" i="63"/>
  <c r="AN408" i="63" l="1"/>
  <c r="AS408" i="63" s="1"/>
  <c r="Q408" i="63"/>
  <c r="V408" i="63" s="1"/>
  <c r="M408" i="63"/>
  <c r="L408" i="63" s="1"/>
  <c r="Z408" i="63" l="1"/>
  <c r="AM408" i="63"/>
  <c r="P408" i="63"/>
  <c r="U408" i="63" l="1"/>
  <c r="W408" i="63"/>
  <c r="AT408" i="63" l="1"/>
  <c r="O409" i="63"/>
  <c r="N409" i="63"/>
  <c r="AU408" i="63"/>
  <c r="AV408" i="63" s="1"/>
  <c r="M409" i="63" l="1"/>
  <c r="L409" i="63" s="1"/>
  <c r="Q409" i="63"/>
  <c r="V409" i="63" s="1"/>
  <c r="AN409" i="63"/>
  <c r="AS409" i="63" s="1"/>
  <c r="P409" i="63"/>
  <c r="U409" i="63" s="1"/>
  <c r="W409" i="63" l="1"/>
  <c r="Z409" i="63"/>
  <c r="AM409" i="63"/>
  <c r="O410" i="63" l="1"/>
  <c r="AT409" i="63"/>
  <c r="N410" i="63"/>
  <c r="AU409" i="63"/>
  <c r="AV409" i="63" s="1"/>
  <c r="M410" i="63" l="1"/>
  <c r="L410" i="63" s="1"/>
  <c r="Q410" i="63"/>
  <c r="V410" i="63" s="1"/>
  <c r="AN410" i="63"/>
  <c r="AS410" i="63" s="1"/>
  <c r="P410" i="63" l="1"/>
  <c r="Z410" i="63"/>
  <c r="AM410" i="63"/>
  <c r="U410" i="63" l="1"/>
  <c r="W410" i="63"/>
  <c r="O411" i="63" l="1"/>
  <c r="AT410" i="63"/>
  <c r="AU410" i="63"/>
  <c r="AV410" i="63" s="1"/>
  <c r="N411" i="63"/>
  <c r="M411" i="63" l="1"/>
  <c r="L411" i="63" s="1"/>
  <c r="Q411" i="63"/>
  <c r="V411" i="63" s="1"/>
  <c r="AN411" i="63"/>
  <c r="AS411" i="63" s="1"/>
  <c r="P411" i="63"/>
  <c r="U411" i="63" l="1"/>
  <c r="W411" i="63"/>
  <c r="AM411" i="63"/>
  <c r="Z411" i="63"/>
  <c r="AT411" i="63" l="1"/>
  <c r="O412" i="63"/>
  <c r="AN412" i="63" s="1"/>
  <c r="AS412" i="63" s="1"/>
  <c r="N412" i="63"/>
  <c r="AU411" i="63"/>
  <c r="AV411" i="63" s="1"/>
  <c r="M412" i="63" l="1"/>
  <c r="L412" i="63" s="1"/>
  <c r="Q412" i="63"/>
  <c r="V412" i="63" l="1"/>
  <c r="P412" i="63"/>
  <c r="Z412" i="63"/>
  <c r="AM412" i="63"/>
  <c r="U412" i="63" l="1"/>
  <c r="W412" i="63"/>
  <c r="N413" i="63" l="1"/>
  <c r="AT412" i="63"/>
  <c r="AU412" i="63"/>
  <c r="AV412" i="63" s="1"/>
  <c r="O413" i="63"/>
  <c r="AN413" i="63" s="1"/>
  <c r="AS413" i="63" s="1"/>
  <c r="M413" i="63" l="1"/>
  <c r="L413" i="63" s="1"/>
  <c r="Q413" i="63"/>
  <c r="V413" i="63" l="1"/>
  <c r="P413" i="63"/>
  <c r="AM413" i="63"/>
  <c r="Z413" i="63"/>
  <c r="U413" i="63" l="1"/>
  <c r="W413" i="63"/>
  <c r="AT413" i="63" l="1"/>
  <c r="O414" i="63"/>
  <c r="AN414" i="63" s="1"/>
  <c r="AS414" i="63" s="1"/>
  <c r="AU413" i="63"/>
  <c r="AV413" i="63" s="1"/>
  <c r="N414" i="63"/>
  <c r="Q414" i="63" l="1"/>
  <c r="M414" i="63"/>
  <c r="L414" i="63" s="1"/>
  <c r="AM414" i="63" l="1"/>
  <c r="Z414" i="63"/>
  <c r="V414" i="63"/>
  <c r="P414" i="63"/>
  <c r="W414" i="63" l="1"/>
  <c r="U414" i="63"/>
  <c r="O415" i="63" l="1"/>
  <c r="AN415" i="63" s="1"/>
  <c r="AS415" i="63" s="1"/>
  <c r="N415" i="63"/>
  <c r="AT414" i="63"/>
  <c r="AU414" i="63"/>
  <c r="AV414" i="63" s="1"/>
  <c r="M415" i="63" l="1"/>
  <c r="L415" i="63" s="1"/>
  <c r="Q415" i="63"/>
  <c r="V415" i="63" l="1"/>
  <c r="P415" i="63"/>
  <c r="AM415" i="63"/>
  <c r="Z415" i="63"/>
  <c r="U415" i="63" l="1"/>
  <c r="W415" i="63"/>
  <c r="O416" i="63" l="1"/>
  <c r="AN416" i="63" s="1"/>
  <c r="AS416" i="63" s="1"/>
  <c r="AT415" i="63"/>
  <c r="N416" i="63"/>
  <c r="AU415" i="63"/>
  <c r="AV415" i="63" s="1"/>
  <c r="M416" i="63" l="1"/>
  <c r="L416" i="63" s="1"/>
  <c r="Q416" i="63"/>
  <c r="V416" i="63" s="1"/>
  <c r="Z416" i="63" l="1"/>
  <c r="AM416" i="63"/>
  <c r="P416" i="63"/>
  <c r="U416" i="63" l="1"/>
  <c r="W416" i="63"/>
  <c r="AU416" i="63" l="1"/>
  <c r="AV416" i="63" s="1"/>
  <c r="O417" i="63"/>
  <c r="N417" i="63"/>
  <c r="AT416" i="63"/>
  <c r="AN417" i="63" l="1"/>
  <c r="AS417" i="63" s="1"/>
  <c r="M417" i="63"/>
  <c r="L417" i="63" s="1"/>
  <c r="Q417" i="63"/>
  <c r="V417" i="63" s="1"/>
  <c r="Z417" i="63" l="1"/>
  <c r="AM417" i="63"/>
  <c r="P417" i="63"/>
  <c r="U417" i="63" l="1"/>
  <c r="W417" i="63"/>
  <c r="AT417" i="63" l="1"/>
  <c r="N418" i="63"/>
  <c r="AU417" i="63"/>
  <c r="AV417" i="63" s="1"/>
  <c r="O418" i="63"/>
  <c r="AN418" i="63" l="1"/>
  <c r="AS418" i="63" s="1"/>
  <c r="Q418" i="63"/>
  <c r="V418" i="63" s="1"/>
  <c r="M418" i="63"/>
  <c r="L418" i="63" s="1"/>
  <c r="Z418" i="63" l="1"/>
  <c r="AM418" i="63"/>
  <c r="P418" i="63"/>
  <c r="U418" i="63" l="1"/>
  <c r="W418" i="63"/>
  <c r="N419" i="63" l="1"/>
  <c r="AU418" i="63"/>
  <c r="AV418" i="63" s="1"/>
  <c r="AT418" i="63"/>
  <c r="O419" i="63"/>
  <c r="AN419" i="63" l="1"/>
  <c r="AS419" i="63" s="1"/>
  <c r="M419" i="63"/>
  <c r="L419" i="63" s="1"/>
  <c r="Q419" i="63"/>
  <c r="V419" i="63" s="1"/>
  <c r="Z419" i="63" l="1"/>
  <c r="AM419" i="63"/>
  <c r="P419" i="63"/>
  <c r="U419" i="63" l="1"/>
  <c r="W419" i="63"/>
  <c r="AT419" i="63" l="1"/>
  <c r="AO419" i="63"/>
  <c r="AU419" i="63"/>
  <c r="O420" i="63"/>
  <c r="N420" i="63"/>
  <c r="AV419" i="63"/>
  <c r="M420" i="63" l="1"/>
  <c r="L420" i="63" s="1"/>
  <c r="Q420" i="63"/>
  <c r="V420" i="63" s="1"/>
  <c r="AN420" i="63"/>
  <c r="AS420" i="63" s="1"/>
  <c r="AP420" i="63"/>
  <c r="P420" i="63"/>
  <c r="W420" i="63" l="1"/>
  <c r="U420" i="63"/>
  <c r="Z420" i="63"/>
  <c r="AM420" i="63"/>
  <c r="N421" i="63" l="1"/>
  <c r="O421" i="63"/>
  <c r="AU420" i="63"/>
  <c r="AO420" i="63"/>
  <c r="AV420" i="63"/>
  <c r="AT420" i="63"/>
  <c r="AP421" i="63" l="1"/>
  <c r="AN421" i="63"/>
  <c r="AS421" i="63" s="1"/>
  <c r="M421" i="63"/>
  <c r="L421" i="63" s="1"/>
  <c r="Q421" i="63"/>
  <c r="Z421" i="63" l="1"/>
  <c r="AM421" i="63"/>
  <c r="V421" i="63"/>
  <c r="P421" i="63"/>
  <c r="U421" i="63" l="1"/>
  <c r="W421" i="63"/>
  <c r="AO421" i="63" l="1"/>
  <c r="AV421" i="63"/>
  <c r="N422" i="63"/>
  <c r="AU421" i="63"/>
  <c r="AT421" i="63"/>
  <c r="O422" i="63"/>
  <c r="AP422" i="63" l="1"/>
  <c r="AN422" i="63"/>
  <c r="AS422" i="63" s="1"/>
  <c r="M422" i="63"/>
  <c r="L422" i="63" s="1"/>
  <c r="Q422" i="63"/>
  <c r="V422" i="63" s="1"/>
  <c r="AM422" i="63" l="1"/>
  <c r="Z422" i="63"/>
  <c r="P422" i="63"/>
  <c r="U422" i="63" l="1"/>
  <c r="W422" i="63"/>
  <c r="AU422" i="63" l="1"/>
  <c r="O423" i="63"/>
  <c r="AT422" i="63"/>
  <c r="AV422" i="63"/>
  <c r="AO422" i="63"/>
  <c r="N423" i="63"/>
  <c r="Q423" i="63" l="1"/>
  <c r="V423" i="63" s="1"/>
  <c r="M423" i="63"/>
  <c r="L423" i="63" s="1"/>
  <c r="AN423" i="63"/>
  <c r="AS423" i="63" s="1"/>
  <c r="AP423" i="63"/>
  <c r="P423" i="63"/>
  <c r="U423" i="63" s="1"/>
  <c r="AM423" i="63" l="1"/>
  <c r="Z423" i="63"/>
  <c r="W423" i="63"/>
  <c r="AT423" i="63" l="1"/>
  <c r="N424" i="63"/>
  <c r="AV423" i="63"/>
  <c r="O424" i="63"/>
  <c r="AU423" i="63"/>
  <c r="AO423" i="63"/>
  <c r="AN424" i="63" l="1"/>
  <c r="AS424" i="63" s="1"/>
  <c r="AP424" i="63"/>
  <c r="Q424" i="63"/>
  <c r="V424" i="63" s="1"/>
  <c r="M424" i="63"/>
  <c r="L424" i="63" s="1"/>
  <c r="AM424" i="63" l="1"/>
  <c r="Z424" i="63"/>
  <c r="P424" i="63"/>
  <c r="W424" i="63" l="1"/>
  <c r="U424" i="63"/>
  <c r="AV424" i="63" l="1"/>
  <c r="AU424" i="63"/>
  <c r="AO424" i="63"/>
  <c r="N425" i="63"/>
  <c r="AT424" i="63"/>
  <c r="O425" i="63"/>
  <c r="AP425" i="63" l="1"/>
  <c r="AN425" i="63"/>
  <c r="AS425" i="63" s="1"/>
  <c r="Q425" i="63"/>
  <c r="V425" i="63" s="1"/>
  <c r="M425" i="63"/>
  <c r="L425" i="63" s="1"/>
  <c r="Z425" i="63" l="1"/>
  <c r="AM425" i="63"/>
  <c r="P425" i="63"/>
  <c r="U425" i="63" l="1"/>
  <c r="W425" i="63"/>
  <c r="AT425" i="63" l="1"/>
  <c r="AO425" i="63"/>
  <c r="AV425" i="63"/>
  <c r="N426" i="63"/>
  <c r="O426" i="63"/>
  <c r="AU425" i="63"/>
  <c r="AN426" i="63" l="1"/>
  <c r="AS426" i="63" s="1"/>
  <c r="AP426" i="63"/>
  <c r="Q426" i="63"/>
  <c r="V426" i="63" s="1"/>
  <c r="M426" i="63"/>
  <c r="L426" i="63" s="1"/>
  <c r="AM426" i="63" l="1"/>
  <c r="Z426" i="63"/>
  <c r="P426" i="63"/>
  <c r="U426" i="63" l="1"/>
  <c r="W426" i="63"/>
  <c r="AO426" i="63" l="1"/>
  <c r="O427" i="63"/>
  <c r="N427" i="63"/>
  <c r="AU426" i="63"/>
  <c r="AV426" i="63"/>
  <c r="AT426" i="63"/>
  <c r="M427" i="63" l="1"/>
  <c r="L427" i="63" s="1"/>
  <c r="Q427" i="63"/>
  <c r="V427" i="63" s="1"/>
  <c r="AN427" i="63"/>
  <c r="AS427" i="63" s="1"/>
  <c r="AP427" i="63"/>
  <c r="P427" i="63"/>
  <c r="U427" i="63" s="1"/>
  <c r="W427" i="63" l="1"/>
  <c r="Z427" i="63"/>
  <c r="AM427" i="63"/>
  <c r="AO427" i="63" l="1"/>
  <c r="O428" i="63"/>
  <c r="AU427" i="63"/>
  <c r="AT427" i="63"/>
  <c r="N428" i="63"/>
  <c r="AV427" i="63"/>
  <c r="Q428" i="63" l="1"/>
  <c r="V428" i="63" s="1"/>
  <c r="M428" i="63"/>
  <c r="L428" i="63" s="1"/>
  <c r="AN428" i="63"/>
  <c r="AS428" i="63" s="1"/>
  <c r="AP428" i="63"/>
  <c r="P428" i="63"/>
  <c r="U428" i="63" s="1"/>
  <c r="W428" i="63" l="1"/>
  <c r="AM428" i="63"/>
  <c r="Z428" i="63"/>
  <c r="N429" i="63" l="1"/>
  <c r="AO428" i="63"/>
  <c r="AU428" i="63"/>
  <c r="AT428" i="63"/>
  <c r="O429" i="63"/>
  <c r="AV428" i="63"/>
  <c r="AN429" i="63" l="1"/>
  <c r="AS429" i="63" s="1"/>
  <c r="AP429" i="63"/>
  <c r="Q429" i="63"/>
  <c r="V429" i="63" s="1"/>
  <c r="M429" i="63"/>
  <c r="L429" i="63" s="1"/>
  <c r="AM429" i="63" l="1"/>
  <c r="Z429" i="63"/>
  <c r="P429" i="63"/>
  <c r="U429" i="63" l="1"/>
  <c r="W429" i="63"/>
  <c r="AO429" i="63" l="1"/>
  <c r="AT429" i="63"/>
  <c r="N430" i="63"/>
  <c r="O430" i="63"/>
  <c r="AU429" i="63"/>
  <c r="AV429" i="63"/>
  <c r="AP430" i="63" l="1"/>
  <c r="AN430" i="63"/>
  <c r="AS430" i="63" s="1"/>
  <c r="Q430" i="63"/>
  <c r="V430" i="63" s="1"/>
  <c r="M430" i="63"/>
  <c r="L430" i="63" s="1"/>
  <c r="Z430" i="63" l="1"/>
  <c r="AM430" i="63"/>
  <c r="P430" i="63"/>
  <c r="U430" i="63" l="1"/>
  <c r="W430" i="63"/>
  <c r="O431" i="63" l="1"/>
  <c r="AO430" i="63"/>
  <c r="AT430" i="63"/>
  <c r="AU430" i="63"/>
  <c r="N431" i="63"/>
  <c r="AV430" i="63"/>
  <c r="M431" i="63" l="1"/>
  <c r="L431" i="63" s="1"/>
  <c r="Q431" i="63"/>
  <c r="V431" i="63" s="1"/>
  <c r="AP431" i="63"/>
  <c r="AN431" i="63"/>
  <c r="AS431" i="63" s="1"/>
  <c r="P431" i="63" l="1"/>
  <c r="Z431" i="63"/>
  <c r="AM431" i="63"/>
  <c r="U431" i="63" l="1"/>
  <c r="W431" i="63"/>
  <c r="AO431" i="63" l="1"/>
  <c r="AT431" i="63"/>
  <c r="AU431" i="63"/>
  <c r="O432" i="63"/>
  <c r="N432" i="63"/>
  <c r="AV431" i="63"/>
  <c r="M432" i="63" l="1"/>
  <c r="L432" i="63" s="1"/>
  <c r="Q432" i="63"/>
  <c r="V432" i="63" s="1"/>
  <c r="AN432" i="63"/>
  <c r="AS432" i="63" s="1"/>
  <c r="AP432" i="63"/>
  <c r="P432" i="63"/>
  <c r="U432" i="63" s="1"/>
  <c r="W432" i="63" l="1"/>
  <c r="Z432" i="63"/>
  <c r="AM432" i="63"/>
  <c r="AV432" i="63" l="1"/>
  <c r="AT432" i="63"/>
  <c r="O433" i="63"/>
  <c r="AO432" i="63"/>
  <c r="N433" i="63"/>
  <c r="AU432" i="63"/>
  <c r="AP433" i="63" l="1"/>
  <c r="AN433" i="63"/>
  <c r="AS433" i="63" s="1"/>
  <c r="M433" i="63"/>
  <c r="L433" i="63" s="1"/>
  <c r="Q433" i="63"/>
  <c r="V433" i="63" s="1"/>
  <c r="Z433" i="63" l="1"/>
  <c r="AM433" i="63"/>
  <c r="P433" i="63"/>
  <c r="U433" i="63" l="1"/>
  <c r="W433" i="63"/>
  <c r="AU433" i="63" l="1"/>
  <c r="AV433" i="63"/>
  <c r="AO433" i="63"/>
  <c r="N434" i="63"/>
  <c r="O434" i="63"/>
  <c r="AT433" i="63"/>
  <c r="AP434" i="63" l="1"/>
  <c r="AN434" i="63"/>
  <c r="AS434" i="63" s="1"/>
  <c r="Q434" i="63"/>
  <c r="V434" i="63" s="1"/>
  <c r="M434" i="63"/>
  <c r="L434" i="63" s="1"/>
  <c r="Z434" i="63" l="1"/>
  <c r="AM434" i="63"/>
  <c r="P434" i="63"/>
  <c r="U434" i="63" l="1"/>
  <c r="W434" i="63"/>
  <c r="AT434" i="63" l="1"/>
  <c r="O435" i="63"/>
  <c r="AV434" i="63"/>
  <c r="N435" i="63"/>
  <c r="AU434" i="63"/>
  <c r="AO434" i="63"/>
  <c r="M435" i="63" l="1"/>
  <c r="L435" i="63" s="1"/>
  <c r="Q435" i="63"/>
  <c r="V435" i="63" s="1"/>
  <c r="AP435" i="63"/>
  <c r="AN435" i="63"/>
  <c r="AS435" i="63" s="1"/>
  <c r="P435" i="63"/>
  <c r="U435" i="63" s="1"/>
  <c r="W435" i="63" l="1"/>
  <c r="Z435" i="63"/>
  <c r="AM435" i="63"/>
  <c r="AO435" i="63" l="1"/>
  <c r="AT435" i="63"/>
  <c r="AU435" i="63"/>
  <c r="AV435" i="63"/>
  <c r="O436" i="63"/>
  <c r="N436" i="63"/>
  <c r="AP436" i="63" l="1"/>
  <c r="AN436" i="63"/>
  <c r="AS436" i="63" s="1"/>
  <c r="M436" i="63"/>
  <c r="L436" i="63" s="1"/>
  <c r="Q436" i="63"/>
  <c r="V436" i="63" s="1"/>
  <c r="AM436" i="63" l="1"/>
  <c r="Z436" i="63"/>
  <c r="P436" i="63"/>
  <c r="U436" i="63" l="1"/>
  <c r="W436" i="63"/>
  <c r="AT436" i="63" l="1"/>
  <c r="AO436" i="63"/>
  <c r="N437" i="63"/>
  <c r="AV436" i="63"/>
  <c r="AU436" i="63"/>
  <c r="O437" i="63"/>
  <c r="AN437" i="63" l="1"/>
  <c r="AS437" i="63" s="1"/>
  <c r="AP437" i="63"/>
  <c r="M437" i="63"/>
  <c r="L437" i="63" s="1"/>
  <c r="Q437" i="63"/>
  <c r="V437" i="63" s="1"/>
  <c r="Z437" i="63" l="1"/>
  <c r="AM437" i="63"/>
  <c r="P437" i="63"/>
  <c r="U437" i="63" l="1"/>
  <c r="W437" i="63"/>
  <c r="AU437" i="63" l="1"/>
  <c r="N438" i="63"/>
  <c r="AT437" i="63"/>
  <c r="AO437" i="63"/>
  <c r="O438" i="63"/>
  <c r="AV437" i="63"/>
  <c r="AP438" i="63" l="1"/>
  <c r="AN438" i="63"/>
  <c r="AS438" i="63" s="1"/>
  <c r="M438" i="63"/>
  <c r="L438" i="63" s="1"/>
  <c r="Q438" i="63"/>
  <c r="V438" i="63" s="1"/>
  <c r="AM438" i="63" l="1"/>
  <c r="Z438" i="63"/>
  <c r="P438" i="63"/>
  <c r="E55" i="1"/>
  <c r="H32" i="1"/>
  <c r="H54" i="1" s="1"/>
  <c r="K41" i="1" s="1"/>
  <c r="U438" i="63" l="1"/>
  <c r="W438" i="63"/>
  <c r="D54" i="1"/>
  <c r="G80" i="1" s="1"/>
  <c r="K49" i="1"/>
  <c r="AO438" i="63" l="1"/>
  <c r="AU438" i="63"/>
  <c r="AT438" i="63"/>
  <c r="AV438" i="63"/>
  <c r="O439" i="63"/>
  <c r="N439" i="63"/>
  <c r="G14" i="33"/>
  <c r="E17" i="33" s="1"/>
  <c r="G82" i="1"/>
  <c r="H80" i="1" s="1"/>
  <c r="E39" i="33"/>
  <c r="E15" i="33"/>
  <c r="E25" i="33"/>
  <c r="E52" i="33"/>
  <c r="AP439" i="63" l="1"/>
  <c r="AN439" i="63"/>
  <c r="AS439" i="63" s="1"/>
  <c r="Q439" i="63"/>
  <c r="V439" i="63" s="1"/>
  <c r="M439" i="63"/>
  <c r="L439" i="63" s="1"/>
  <c r="E16" i="33"/>
  <c r="H76" i="1"/>
  <c r="H77" i="1"/>
  <c r="H78" i="1"/>
  <c r="H79" i="1"/>
  <c r="Z439" i="63" l="1"/>
  <c r="AM439" i="63"/>
  <c r="P439" i="63"/>
  <c r="H81" i="1"/>
  <c r="H82" i="1"/>
  <c r="U439" i="63" l="1"/>
  <c r="W439" i="63"/>
  <c r="AV439" i="63" l="1"/>
  <c r="O440" i="63"/>
  <c r="AO439" i="63"/>
  <c r="N440" i="63"/>
  <c r="AT439" i="63"/>
  <c r="AU439" i="63"/>
  <c r="M440" i="63" l="1"/>
  <c r="L440" i="63" s="1"/>
  <c r="Q440" i="63"/>
  <c r="V440" i="63" s="1"/>
  <c r="AN440" i="63"/>
  <c r="AS440" i="63" s="1"/>
  <c r="AP440" i="63"/>
  <c r="P440" i="63"/>
  <c r="W440" i="63" l="1"/>
  <c r="U440" i="63"/>
  <c r="AM440" i="63"/>
  <c r="Z440" i="63"/>
  <c r="AT440" i="63" l="1"/>
  <c r="AU440" i="63"/>
  <c r="O441" i="63"/>
  <c r="AO440" i="63"/>
  <c r="AV440" i="63"/>
  <c r="N441" i="63"/>
  <c r="M441" i="63" l="1"/>
  <c r="L441" i="63" s="1"/>
  <c r="Q441" i="63"/>
  <c r="V441" i="63" s="1"/>
  <c r="AN441" i="63"/>
  <c r="AS441" i="63" s="1"/>
  <c r="AP441" i="63"/>
  <c r="P441" i="63"/>
  <c r="U441" i="63" s="1"/>
  <c r="W441" i="63" l="1"/>
  <c r="Z441" i="63"/>
  <c r="AM441" i="63"/>
  <c r="AU441" i="63" l="1"/>
  <c r="AV441" i="63"/>
  <c r="N442" i="63"/>
  <c r="AT441" i="63"/>
  <c r="AO441" i="63"/>
  <c r="O442" i="63"/>
  <c r="B54" i="64"/>
  <c r="B53" i="64" s="1"/>
  <c r="Y2" i="64" s="1"/>
  <c r="AP442" i="63" l="1"/>
  <c r="AN442" i="63"/>
  <c r="AS442" i="63" s="1"/>
  <c r="Q442" i="63"/>
  <c r="V442" i="63" s="1"/>
  <c r="M442" i="63"/>
  <c r="L442" i="63" s="1"/>
  <c r="AA2" i="64"/>
  <c r="AM442" i="63" l="1"/>
  <c r="Z442" i="63"/>
  <c r="P442" i="63"/>
  <c r="U442" i="63" l="1"/>
  <c r="W442" i="63"/>
  <c r="AO442" i="63" l="1"/>
  <c r="AT442" i="63"/>
  <c r="N443" i="63"/>
  <c r="AV442" i="63"/>
  <c r="AU442" i="63"/>
  <c r="O443" i="63"/>
  <c r="AP443" i="63" l="1"/>
  <c r="AN443" i="63"/>
  <c r="AS443" i="63" s="1"/>
  <c r="Q443" i="63"/>
  <c r="V443" i="63" s="1"/>
  <c r="M443" i="63"/>
  <c r="L443" i="63" s="1"/>
  <c r="AM443" i="63" l="1"/>
  <c r="Z443" i="63"/>
  <c r="P443" i="63"/>
  <c r="U443" i="63" l="1"/>
  <c r="W443" i="63"/>
  <c r="AT443" i="63" l="1"/>
  <c r="O444" i="63"/>
  <c r="N444" i="63"/>
  <c r="AV443" i="63"/>
  <c r="AU443" i="63"/>
  <c r="AO443" i="63"/>
  <c r="AN444" i="63" l="1"/>
  <c r="AS444" i="63" s="1"/>
  <c r="AP444" i="63"/>
  <c r="M444" i="63"/>
  <c r="L444" i="63" s="1"/>
  <c r="Q444" i="63"/>
  <c r="V444" i="63" s="1"/>
  <c r="Z444" i="63" l="1"/>
  <c r="AM444" i="63"/>
  <c r="P444" i="63"/>
  <c r="U444" i="63" l="1"/>
  <c r="W444" i="63"/>
  <c r="AO444" i="63" l="1"/>
  <c r="AT444" i="63"/>
  <c r="AV444" i="63"/>
  <c r="AU444" i="63"/>
  <c r="N445" i="63"/>
  <c r="O445" i="63"/>
  <c r="AN445" i="63" l="1"/>
  <c r="AS445" i="63" s="1"/>
  <c r="AP445" i="63"/>
  <c r="Q445" i="63"/>
  <c r="V445" i="63" s="1"/>
  <c r="M445" i="63"/>
  <c r="L445" i="63" s="1"/>
  <c r="Z445" i="63" l="1"/>
  <c r="AM445" i="63"/>
  <c r="P445" i="63"/>
  <c r="U445" i="63" l="1"/>
  <c r="W445" i="63"/>
  <c r="AV445" i="63" l="1"/>
  <c r="AT445" i="63"/>
  <c r="O446" i="63"/>
  <c r="N446" i="63"/>
  <c r="AU445" i="63"/>
  <c r="AO445" i="63"/>
  <c r="Q446" i="63" l="1"/>
  <c r="V446" i="63" s="1"/>
  <c r="M446" i="63"/>
  <c r="L446" i="63" s="1"/>
  <c r="AP446" i="63"/>
  <c r="AN446" i="63"/>
  <c r="AS446" i="63" s="1"/>
  <c r="P446" i="63"/>
  <c r="U446" i="63" s="1"/>
  <c r="W446" i="63" l="1"/>
  <c r="AM446" i="63"/>
  <c r="Z446" i="63"/>
  <c r="AV446" i="63" l="1"/>
  <c r="O447" i="63"/>
  <c r="N447" i="63"/>
  <c r="AT446" i="63"/>
  <c r="AU446" i="63"/>
  <c r="AO446" i="63"/>
  <c r="Q447" i="63" l="1"/>
  <c r="V447" i="63" s="1"/>
  <c r="M447" i="63"/>
  <c r="L447" i="63" s="1"/>
  <c r="AP447" i="63"/>
  <c r="AN447" i="63"/>
  <c r="AS447" i="63" s="1"/>
  <c r="P447" i="63"/>
  <c r="U447" i="63" s="1"/>
  <c r="W447" i="63" l="1"/>
  <c r="Z447" i="63"/>
  <c r="AM447" i="63"/>
  <c r="N448" i="63" l="1"/>
  <c r="AO447" i="63"/>
  <c r="AT447" i="63"/>
  <c r="O448" i="63"/>
  <c r="AV447" i="63"/>
  <c r="AU447" i="63"/>
  <c r="AN448" i="63" l="1"/>
  <c r="AS448" i="63" s="1"/>
  <c r="AP448" i="63"/>
  <c r="Q448" i="63"/>
  <c r="V448" i="63" s="1"/>
  <c r="M448" i="63"/>
  <c r="L448" i="63" s="1"/>
  <c r="Z448" i="63" l="1"/>
  <c r="AM448" i="63"/>
  <c r="P448" i="63"/>
  <c r="U448" i="63" l="1"/>
  <c r="W448" i="63"/>
  <c r="AU448" i="63" l="1"/>
  <c r="AT448" i="63"/>
  <c r="AO448" i="63"/>
  <c r="O449" i="63"/>
  <c r="N449" i="63"/>
  <c r="AV448" i="63"/>
  <c r="AN449" i="63" l="1"/>
  <c r="AS449" i="63" s="1"/>
  <c r="AP449" i="63"/>
  <c r="M449" i="63"/>
  <c r="L449" i="63" s="1"/>
  <c r="Q449" i="63"/>
  <c r="V449" i="63" s="1"/>
  <c r="AM449" i="63" l="1"/>
  <c r="Z449" i="63"/>
  <c r="P449" i="63"/>
  <c r="U449" i="63" l="1"/>
  <c r="W449" i="63"/>
  <c r="N450" i="63" l="1"/>
  <c r="AV449" i="63"/>
  <c r="O450" i="63"/>
  <c r="AT449" i="63"/>
  <c r="AU449" i="63"/>
  <c r="AO449" i="63"/>
  <c r="AP450" i="63" l="1"/>
  <c r="AN450" i="63"/>
  <c r="AS450" i="63" s="1"/>
  <c r="M450" i="63"/>
  <c r="L450" i="63" s="1"/>
  <c r="Q450" i="63"/>
  <c r="V450" i="63" s="1"/>
  <c r="Z450" i="63" l="1"/>
  <c r="AM450" i="63"/>
  <c r="P450" i="63"/>
  <c r="U450" i="63" l="1"/>
  <c r="W450" i="63"/>
  <c r="AT450" i="63" l="1"/>
  <c r="AU450" i="63"/>
  <c r="O451" i="63"/>
  <c r="N451" i="63"/>
  <c r="AV450" i="63"/>
  <c r="AO450" i="63"/>
  <c r="AP451" i="63" l="1"/>
  <c r="AN451" i="63"/>
  <c r="AS451" i="63" s="1"/>
  <c r="M451" i="63"/>
  <c r="L451" i="63" s="1"/>
  <c r="Q451" i="63"/>
  <c r="V451" i="63" s="1"/>
  <c r="P451" i="63" l="1"/>
  <c r="AM451" i="63"/>
  <c r="Z451" i="63"/>
  <c r="U451" i="63" l="1"/>
  <c r="W451" i="63"/>
  <c r="AO451" i="63" l="1"/>
  <c r="AV451" i="63"/>
  <c r="O452" i="63"/>
  <c r="N452" i="63"/>
  <c r="AU451" i="63"/>
  <c r="AT451" i="63"/>
  <c r="Q452" i="63" l="1"/>
  <c r="V452" i="63" s="1"/>
  <c r="M452" i="63"/>
  <c r="L452" i="63" s="1"/>
  <c r="AN452" i="63"/>
  <c r="AS452" i="63" s="1"/>
  <c r="AP452" i="63"/>
  <c r="P452" i="63"/>
  <c r="U452" i="63" s="1"/>
  <c r="W452" i="63" l="1"/>
  <c r="Z452" i="63"/>
  <c r="AM452" i="63"/>
  <c r="AT452" i="63" l="1"/>
  <c r="AU452" i="63"/>
  <c r="N453" i="63"/>
  <c r="O453" i="63"/>
  <c r="AV452" i="63"/>
  <c r="AO452" i="63"/>
  <c r="AP453" i="63" l="1"/>
  <c r="AN453" i="63"/>
  <c r="AS453" i="63" s="1"/>
  <c r="M453" i="63"/>
  <c r="L453" i="63" s="1"/>
  <c r="Q453" i="63"/>
  <c r="V453" i="63" s="1"/>
  <c r="Z453" i="63" l="1"/>
  <c r="AM453" i="63"/>
  <c r="P453" i="63"/>
  <c r="U453" i="63" l="1"/>
  <c r="W453" i="63"/>
  <c r="O454" i="63" l="1"/>
  <c r="AV453" i="63"/>
  <c r="N454" i="63"/>
  <c r="AO453" i="63"/>
  <c r="AT453" i="63"/>
  <c r="AU453" i="63"/>
  <c r="M454" i="63" l="1"/>
  <c r="L454" i="63" s="1"/>
  <c r="Q454" i="63"/>
  <c r="V454" i="63" s="1"/>
  <c r="AP454" i="63"/>
  <c r="AN454" i="63"/>
  <c r="AS454" i="63" s="1"/>
  <c r="P454" i="63"/>
  <c r="U454" i="63" s="1"/>
  <c r="W454" i="63" l="1"/>
  <c r="AM454" i="63"/>
  <c r="Z454" i="63"/>
  <c r="N455" i="63" l="1"/>
  <c r="AT454" i="63"/>
  <c r="AU454" i="63"/>
  <c r="O455" i="63"/>
  <c r="AO454" i="63"/>
  <c r="AV454" i="63"/>
  <c r="AN455" i="63" l="1"/>
  <c r="AS455" i="63" s="1"/>
  <c r="AP455" i="63"/>
  <c r="Q455" i="63"/>
  <c r="V455" i="63" s="1"/>
  <c r="M455" i="63"/>
  <c r="L455" i="63" s="1"/>
  <c r="Z455" i="63" l="1"/>
  <c r="AM455" i="63"/>
  <c r="P455" i="63"/>
  <c r="U455" i="63" l="1"/>
  <c r="W455" i="63"/>
  <c r="AV455" i="63" l="1"/>
  <c r="N456" i="63"/>
  <c r="AU455" i="63"/>
  <c r="AO455" i="63"/>
  <c r="AT455" i="63"/>
  <c r="O456" i="63"/>
  <c r="AN456" i="63" l="1"/>
  <c r="AS456" i="63" s="1"/>
  <c r="AP456" i="63"/>
  <c r="M456" i="63"/>
  <c r="L456" i="63" s="1"/>
  <c r="Q456" i="63"/>
  <c r="V456" i="63" s="1"/>
  <c r="AM456" i="63" l="1"/>
  <c r="Z456" i="63"/>
  <c r="P456" i="63"/>
  <c r="U456" i="63" l="1"/>
  <c r="W456" i="63"/>
  <c r="AO456" i="63" l="1"/>
  <c r="AU456" i="63"/>
  <c r="AV456" i="63"/>
  <c r="O457" i="63"/>
  <c r="AT456" i="63"/>
  <c r="N457" i="63"/>
  <c r="Q457" i="63" l="1"/>
  <c r="V457" i="63" s="1"/>
  <c r="M457" i="63"/>
  <c r="L457" i="63" s="1"/>
  <c r="AN457" i="63"/>
  <c r="AS457" i="63" s="1"/>
  <c r="AP457" i="63"/>
  <c r="P457" i="63"/>
  <c r="U457" i="63" s="1"/>
  <c r="W457" i="63" l="1"/>
  <c r="Z457" i="63"/>
  <c r="AM457" i="63"/>
  <c r="AO457" i="63" l="1"/>
  <c r="AT457" i="63"/>
  <c r="O458" i="63"/>
  <c r="AV457" i="63"/>
  <c r="AU457" i="63"/>
  <c r="N458" i="63"/>
  <c r="M458" i="63" l="1"/>
  <c r="L458" i="63" s="1"/>
  <c r="Q458" i="63"/>
  <c r="V458" i="63" s="1"/>
  <c r="AP458" i="63"/>
  <c r="AN458" i="63"/>
  <c r="AS458" i="63" s="1"/>
  <c r="P458" i="63"/>
  <c r="U458" i="63" s="1"/>
  <c r="W458" i="63" l="1"/>
  <c r="Z458" i="63"/>
  <c r="AM458" i="63"/>
  <c r="AO458" i="63" l="1"/>
  <c r="AT458" i="63"/>
  <c r="O459" i="63"/>
  <c r="N459" i="63"/>
  <c r="AV458" i="63"/>
  <c r="AU458" i="63"/>
  <c r="M459" i="63" l="1"/>
  <c r="L459" i="63" s="1"/>
  <c r="Q459" i="63"/>
  <c r="V459" i="63" s="1"/>
  <c r="AN459" i="63"/>
  <c r="AS459" i="63" s="1"/>
  <c r="AP459" i="63"/>
  <c r="P459" i="63"/>
  <c r="U459" i="63" s="1"/>
  <c r="W459" i="63" l="1"/>
  <c r="Z459" i="63"/>
  <c r="AM459" i="63"/>
  <c r="AV459" i="63" l="1"/>
  <c r="AU459" i="63"/>
  <c r="O460" i="63"/>
  <c r="AO459" i="63"/>
  <c r="N460" i="63"/>
  <c r="AT459" i="63"/>
  <c r="M460" i="63" l="1"/>
  <c r="L460" i="63" s="1"/>
  <c r="Q460" i="63"/>
  <c r="V460" i="63" s="1"/>
  <c r="AN460" i="63"/>
  <c r="AS460" i="63" s="1"/>
  <c r="P460" i="63"/>
  <c r="U460" i="63" s="1"/>
  <c r="AP460" i="63"/>
  <c r="W460" i="63" l="1"/>
  <c r="Z460" i="63"/>
  <c r="AM460" i="63"/>
  <c r="AT460" i="63" l="1"/>
  <c r="AV460" i="63"/>
  <c r="AO460" i="63"/>
  <c r="AU460" i="63"/>
  <c r="O461" i="63"/>
  <c r="N461" i="63"/>
  <c r="M461" i="63" l="1"/>
  <c r="L461" i="63" s="1"/>
  <c r="Q461" i="63"/>
  <c r="V461" i="63" s="1"/>
  <c r="AP461" i="63"/>
  <c r="AN461" i="63"/>
  <c r="AS461" i="63" s="1"/>
  <c r="P461" i="63"/>
  <c r="U461" i="63" s="1"/>
  <c r="W461" i="63" l="1"/>
  <c r="Z461" i="63"/>
  <c r="AM461" i="63"/>
  <c r="AO461" i="63" l="1"/>
  <c r="AV461" i="63"/>
  <c r="O462" i="63"/>
  <c r="AT461" i="63"/>
  <c r="AU461" i="63"/>
  <c r="N462" i="63"/>
  <c r="Q462" i="63" l="1"/>
  <c r="V462" i="63" s="1"/>
  <c r="M462" i="63"/>
  <c r="L462" i="63" s="1"/>
  <c r="AP462" i="63"/>
  <c r="AN462" i="63"/>
  <c r="AS462" i="63" s="1"/>
  <c r="P462" i="63"/>
  <c r="U462" i="63" s="1"/>
  <c r="W462" i="63" l="1"/>
  <c r="AM462" i="63"/>
  <c r="Z462" i="63"/>
  <c r="AT462" i="63" l="1"/>
  <c r="O463" i="63"/>
  <c r="AU462" i="63"/>
  <c r="N463" i="63"/>
  <c r="AO462" i="63"/>
  <c r="AV462" i="63"/>
  <c r="M463" i="63" l="1"/>
  <c r="L463" i="63" s="1"/>
  <c r="Q463" i="63"/>
  <c r="V463" i="63" s="1"/>
  <c r="AN463" i="63"/>
  <c r="AS463" i="63" s="1"/>
  <c r="AP463" i="63"/>
  <c r="P463" i="63" l="1"/>
  <c r="Z463" i="63"/>
  <c r="AM463" i="63"/>
  <c r="U463" i="63" l="1"/>
  <c r="W463" i="63"/>
  <c r="AU463" i="63" l="1"/>
  <c r="AV463" i="63"/>
  <c r="O464" i="63"/>
  <c r="AO463" i="63"/>
  <c r="N464" i="63"/>
  <c r="AT463" i="63"/>
  <c r="Q464" i="63" l="1"/>
  <c r="V464" i="63" s="1"/>
  <c r="M464" i="63"/>
  <c r="L464" i="63" s="1"/>
  <c r="AN464" i="63"/>
  <c r="AS464" i="63" s="1"/>
  <c r="AP464" i="63"/>
  <c r="P464" i="63"/>
  <c r="U464" i="63" s="1"/>
  <c r="Z464" i="63" l="1"/>
  <c r="AM464" i="63"/>
  <c r="W464" i="63"/>
  <c r="AO464" i="63" l="1"/>
  <c r="AV464" i="63"/>
  <c r="O465" i="63"/>
  <c r="N465" i="63"/>
  <c r="AT464" i="63"/>
  <c r="AU464" i="63"/>
  <c r="Q465" i="63" l="1"/>
  <c r="V465" i="63" s="1"/>
  <c r="M465" i="63"/>
  <c r="L465" i="63" s="1"/>
  <c r="AP465" i="63"/>
  <c r="AN465" i="63"/>
  <c r="AS465" i="63" s="1"/>
  <c r="P465" i="63"/>
  <c r="U465" i="63" s="1"/>
  <c r="Z465" i="63" l="1"/>
  <c r="AM465" i="63"/>
  <c r="W465" i="63"/>
  <c r="AV465" i="63" l="1"/>
  <c r="AU465" i="63"/>
  <c r="N466" i="63"/>
  <c r="AT465" i="63"/>
  <c r="AO465" i="63"/>
  <c r="O466" i="63"/>
  <c r="AP466" i="63" l="1"/>
  <c r="AN466" i="63"/>
  <c r="AS466" i="63" s="1"/>
  <c r="Q466" i="63"/>
  <c r="V466" i="63" s="1"/>
  <c r="M466" i="63"/>
  <c r="L466" i="63" s="1"/>
  <c r="Z466" i="63" l="1"/>
  <c r="AM466" i="63"/>
  <c r="P466" i="63"/>
  <c r="U466" i="63" l="1"/>
  <c r="W466" i="63"/>
  <c r="O467" i="63" l="1"/>
  <c r="AV466" i="63"/>
  <c r="N467" i="63"/>
  <c r="AO466" i="63"/>
  <c r="AT466" i="63"/>
  <c r="AU466" i="63"/>
  <c r="Q467" i="63" l="1"/>
  <c r="V467" i="63" s="1"/>
  <c r="M467" i="63"/>
  <c r="L467" i="63" s="1"/>
  <c r="AN467" i="63"/>
  <c r="AS467" i="63" s="1"/>
  <c r="AP467" i="63"/>
  <c r="P467" i="63"/>
  <c r="U467" i="63" s="1"/>
  <c r="AI7" i="63"/>
  <c r="AI8" i="63" s="1"/>
  <c r="X5" i="63" s="1"/>
  <c r="AB3" i="63" s="1"/>
  <c r="W467" i="63" l="1"/>
  <c r="Z467" i="63"/>
  <c r="AM467" i="63"/>
  <c r="AR9" i="63"/>
  <c r="AR8" i="63"/>
  <c r="AI10" i="63"/>
  <c r="AB5" i="63"/>
  <c r="AA5" i="63" s="1"/>
  <c r="B7" i="66" s="1"/>
  <c r="AC3" i="63"/>
  <c r="AA3" i="63"/>
  <c r="AR4" i="63"/>
  <c r="AT3" i="63"/>
  <c r="AU5" i="63"/>
  <c r="AU3" i="63"/>
  <c r="AS3" i="63"/>
  <c r="AT5" i="63"/>
  <c r="AU4" i="63"/>
  <c r="AT4" i="63"/>
  <c r="AS4" i="63"/>
  <c r="AR3" i="63"/>
  <c r="AR5" i="63"/>
  <c r="AS5" i="63"/>
  <c r="AI9" i="63"/>
  <c r="AV467" i="63" l="1"/>
  <c r="N468" i="63"/>
  <c r="AO467" i="63"/>
  <c r="AT467" i="63"/>
  <c r="O468" i="63"/>
  <c r="AU467" i="63"/>
  <c r="AO418" i="63"/>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2" i="66" s="1"/>
  <c r="B11" i="66"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55" i="64"/>
  <c r="AB2" i="64" s="1"/>
  <c r="AN468" i="63" l="1"/>
  <c r="AS468" i="63" s="1"/>
  <c r="AP468" i="63"/>
  <c r="Q468" i="63"/>
  <c r="V468" i="63" s="1"/>
  <c r="M468" i="63"/>
  <c r="L468" i="63" s="1"/>
  <c r="B14" i="64"/>
  <c r="Z2" i="64" s="1"/>
  <c r="Y16" i="63"/>
  <c r="AL16" i="63" s="1"/>
  <c r="AJ15" i="63"/>
  <c r="X2" i="64"/>
  <c r="B12" i="64"/>
  <c r="T2" i="64" s="1"/>
  <c r="B16" i="64"/>
  <c r="AJ2" i="64" s="1"/>
  <c r="R63" i="63"/>
  <c r="Z468" i="63" l="1"/>
  <c r="AM468" i="63"/>
  <c r="P468" i="63"/>
  <c r="B13" i="64"/>
  <c r="AI2" i="64" s="1"/>
  <c r="Y17" i="63"/>
  <c r="AL17" i="63" s="1"/>
  <c r="AJ16" i="63"/>
  <c r="AD2" i="64"/>
  <c r="R64" i="63"/>
  <c r="T63" i="63"/>
  <c r="U468" i="63" l="1"/>
  <c r="W468" i="63"/>
  <c r="Y18" i="63"/>
  <c r="AL18" i="63" s="1"/>
  <c r="AJ17" i="63"/>
  <c r="T64" i="63"/>
  <c r="R65" i="63"/>
  <c r="AV468" i="63" l="1"/>
  <c r="O469" i="63"/>
  <c r="AO468" i="63"/>
  <c r="AU468" i="63"/>
  <c r="AT468" i="63"/>
  <c r="N469" i="63"/>
  <c r="Y19" i="63"/>
  <c r="AL19" i="63" s="1"/>
  <c r="AJ18" i="63"/>
  <c r="R66" i="63"/>
  <c r="T65" i="63"/>
  <c r="AP469" i="63" l="1"/>
  <c r="AN469" i="63"/>
  <c r="AS469" i="63" s="1"/>
  <c r="Q469" i="63"/>
  <c r="V469" i="63" s="1"/>
  <c r="M469" i="63"/>
  <c r="L469" i="63" s="1"/>
  <c r="AJ19" i="63"/>
  <c r="Y20" i="63"/>
  <c r="AL20" i="63" s="1"/>
  <c r="T66" i="63"/>
  <c r="R67" i="63"/>
  <c r="Z469" i="63" l="1"/>
  <c r="AM469" i="63"/>
  <c r="P469" i="63"/>
  <c r="AJ20" i="63"/>
  <c r="Y21" i="63"/>
  <c r="AL21" i="63" s="1"/>
  <c r="T67" i="63"/>
  <c r="R68" i="63"/>
  <c r="U469" i="63" l="1"/>
  <c r="W469" i="63"/>
  <c r="Y22" i="63"/>
  <c r="AL22" i="63" s="1"/>
  <c r="AJ21" i="63"/>
  <c r="T68" i="63"/>
  <c r="R69" i="63"/>
  <c r="AV469" i="63" l="1"/>
  <c r="O470" i="63"/>
  <c r="AO469" i="63"/>
  <c r="AT469" i="63"/>
  <c r="AU469" i="63"/>
  <c r="N470" i="63"/>
  <c r="Y23" i="63"/>
  <c r="AL23" i="63" s="1"/>
  <c r="AJ22" i="63"/>
  <c r="T69" i="63"/>
  <c r="R70" i="63"/>
  <c r="M470" i="63" l="1"/>
  <c r="L470" i="63" s="1"/>
  <c r="Q470" i="63"/>
  <c r="V470" i="63" s="1"/>
  <c r="AN470" i="63"/>
  <c r="AS470" i="63" s="1"/>
  <c r="AP470" i="63"/>
  <c r="P470" i="63"/>
  <c r="U470" i="63" s="1"/>
  <c r="Y24" i="63"/>
  <c r="AL24" i="63" s="1"/>
  <c r="AJ23" i="63"/>
  <c r="R71" i="63"/>
  <c r="T70" i="63"/>
  <c r="W470" i="63" l="1"/>
  <c r="Z470" i="63"/>
  <c r="AM470" i="63"/>
  <c r="Y25" i="63"/>
  <c r="AL25" i="63" s="1"/>
  <c r="AJ24" i="63"/>
  <c r="R72" i="63"/>
  <c r="T71" i="63"/>
  <c r="O471" i="63" l="1"/>
  <c r="AV470" i="63"/>
  <c r="AO470" i="63"/>
  <c r="AU470" i="63"/>
  <c r="AT470" i="63"/>
  <c r="N471" i="63"/>
  <c r="Y26" i="63"/>
  <c r="AL26" i="63" s="1"/>
  <c r="AJ25" i="63"/>
  <c r="T72" i="63"/>
  <c r="R73" i="63"/>
  <c r="M471" i="63" l="1"/>
  <c r="L471" i="63" s="1"/>
  <c r="Q471" i="63"/>
  <c r="V471" i="63" s="1"/>
  <c r="AN471" i="63"/>
  <c r="AS471" i="63" s="1"/>
  <c r="AP471" i="63"/>
  <c r="P471" i="63"/>
  <c r="U471" i="63" s="1"/>
  <c r="Y27" i="63"/>
  <c r="AL27" i="63" s="1"/>
  <c r="AJ26" i="63"/>
  <c r="R74" i="63"/>
  <c r="T73" i="63"/>
  <c r="W471" i="63" l="1"/>
  <c r="AM471" i="63"/>
  <c r="Z471" i="63"/>
  <c r="Y28" i="63"/>
  <c r="AL28" i="63" s="1"/>
  <c r="AJ27" i="63"/>
  <c r="R75" i="63"/>
  <c r="T74" i="63"/>
  <c r="AV471" i="63" l="1"/>
  <c r="O472" i="63"/>
  <c r="AU471" i="63"/>
  <c r="N472" i="63"/>
  <c r="AT471" i="63"/>
  <c r="AO471" i="63"/>
  <c r="Y29" i="63"/>
  <c r="AL29" i="63" s="1"/>
  <c r="AJ28" i="63"/>
  <c r="R76" i="63"/>
  <c r="T75" i="63"/>
  <c r="M472" i="63" l="1"/>
  <c r="L472" i="63" s="1"/>
  <c r="Q472" i="63"/>
  <c r="V472" i="63" s="1"/>
  <c r="AN472" i="63"/>
  <c r="AS472" i="63" s="1"/>
  <c r="AP472" i="63"/>
  <c r="P472" i="63"/>
  <c r="U472" i="63" s="1"/>
  <c r="Y30" i="63"/>
  <c r="AL30" i="63" s="1"/>
  <c r="AJ29" i="63"/>
  <c r="T76" i="63"/>
  <c r="R77" i="63"/>
  <c r="W472" i="63" l="1"/>
  <c r="AM472" i="63"/>
  <c r="Z472" i="63"/>
  <c r="Y31" i="63"/>
  <c r="AL31" i="63" s="1"/>
  <c r="AJ30" i="63"/>
  <c r="R78" i="63"/>
  <c r="T77" i="63"/>
  <c r="AU472" i="63" l="1"/>
  <c r="N473" i="63"/>
  <c r="AT472" i="63"/>
  <c r="AO472" i="63"/>
  <c r="O473" i="63"/>
  <c r="AV472" i="63"/>
  <c r="Y32" i="63"/>
  <c r="AL32" i="63" s="1"/>
  <c r="AJ31" i="63"/>
  <c r="R79" i="63"/>
  <c r="T78" i="63"/>
  <c r="AP473" i="63" l="1"/>
  <c r="AN473" i="63"/>
  <c r="AS473" i="63" s="1"/>
  <c r="Q473" i="63"/>
  <c r="V473" i="63" s="1"/>
  <c r="M473" i="63"/>
  <c r="L473" i="63" s="1"/>
  <c r="Y33" i="63"/>
  <c r="AL33" i="63" s="1"/>
  <c r="AJ32" i="63"/>
  <c r="R80" i="63"/>
  <c r="T79" i="63"/>
  <c r="P473" i="63" l="1"/>
  <c r="Z473" i="63"/>
  <c r="AM473" i="63"/>
  <c r="Y34" i="63"/>
  <c r="AL34" i="63" s="1"/>
  <c r="AJ33" i="63"/>
  <c r="T80" i="63"/>
  <c r="R81" i="63"/>
  <c r="U473" i="63" l="1"/>
  <c r="W473" i="63"/>
  <c r="Y35" i="63"/>
  <c r="AL35" i="63" s="1"/>
  <c r="AJ34" i="63"/>
  <c r="R82" i="63"/>
  <c r="T81" i="63"/>
  <c r="AT473" i="63" l="1"/>
  <c r="AU473" i="63"/>
  <c r="O474" i="63"/>
  <c r="AO473" i="63"/>
  <c r="AV473" i="63"/>
  <c r="N474" i="63"/>
  <c r="Y36" i="63"/>
  <c r="AL36" i="63" s="1"/>
  <c r="AJ35" i="63"/>
  <c r="R83" i="63"/>
  <c r="T82" i="63"/>
  <c r="Q474" i="63" l="1"/>
  <c r="V474" i="63" s="1"/>
  <c r="M474" i="63"/>
  <c r="L474" i="63" s="1"/>
  <c r="AP474" i="63"/>
  <c r="AN474" i="63"/>
  <c r="AS474" i="63" s="1"/>
  <c r="P474" i="63"/>
  <c r="U474" i="63" s="1"/>
  <c r="Y37" i="63"/>
  <c r="AL37" i="63" s="1"/>
  <c r="AJ36" i="63"/>
  <c r="R84" i="63"/>
  <c r="T83" i="63"/>
  <c r="W474" i="63" l="1"/>
  <c r="AM474" i="63"/>
  <c r="Z474" i="63"/>
  <c r="Y38" i="63"/>
  <c r="AL38" i="63" s="1"/>
  <c r="AJ37" i="63"/>
  <c r="T84" i="63"/>
  <c r="R85" i="63"/>
  <c r="AT474" i="63" l="1"/>
  <c r="AU474" i="63"/>
  <c r="AV474" i="63"/>
  <c r="AO474" i="63"/>
  <c r="N475" i="63"/>
  <c r="O475" i="63"/>
  <c r="Y39" i="63"/>
  <c r="AL39" i="63" s="1"/>
  <c r="AJ38" i="63"/>
  <c r="R86" i="63"/>
  <c r="T85" i="63"/>
  <c r="AN475" i="63" l="1"/>
  <c r="AS475" i="63" s="1"/>
  <c r="AP475" i="63"/>
  <c r="M475" i="63"/>
  <c r="L475" i="63" s="1"/>
  <c r="Q475" i="63"/>
  <c r="V475" i="63" s="1"/>
  <c r="Y40" i="63"/>
  <c r="AL40" i="63" s="1"/>
  <c r="AJ39" i="63"/>
  <c r="R87" i="63"/>
  <c r="T86" i="63"/>
  <c r="P475" i="63" l="1"/>
  <c r="Z475" i="63"/>
  <c r="AM475" i="63"/>
  <c r="Y41" i="63"/>
  <c r="AL41" i="63" s="1"/>
  <c r="AJ40" i="63"/>
  <c r="R88" i="63"/>
  <c r="T87" i="63"/>
  <c r="U475" i="63" l="1"/>
  <c r="W475" i="63"/>
  <c r="AJ41" i="63"/>
  <c r="Y42" i="63"/>
  <c r="AL42" i="63" s="1"/>
  <c r="T88" i="63"/>
  <c r="R89" i="63"/>
  <c r="O476" i="63" l="1"/>
  <c r="N476" i="63"/>
  <c r="AO475" i="63"/>
  <c r="AT475" i="63"/>
  <c r="AV475" i="63"/>
  <c r="AU475" i="63"/>
  <c r="Y43" i="63"/>
  <c r="AL43" i="63" s="1"/>
  <c r="AJ42" i="63"/>
  <c r="R90" i="63"/>
  <c r="T89" i="63"/>
  <c r="M476" i="63" l="1"/>
  <c r="L476" i="63" s="1"/>
  <c r="Q476" i="63"/>
  <c r="V476" i="63" s="1"/>
  <c r="AP476" i="63"/>
  <c r="AN476" i="63"/>
  <c r="AS476" i="63" s="1"/>
  <c r="P476" i="63"/>
  <c r="U476" i="63" s="1"/>
  <c r="Y44" i="63"/>
  <c r="AL44" i="63" s="1"/>
  <c r="AJ43" i="63"/>
  <c r="R91" i="63"/>
  <c r="T90" i="63"/>
  <c r="W476" i="63" l="1"/>
  <c r="AM476" i="63"/>
  <c r="Z476" i="63"/>
  <c r="Y45" i="63"/>
  <c r="AL45" i="63" s="1"/>
  <c r="AJ44" i="63"/>
  <c r="R92" i="63"/>
  <c r="T91" i="63"/>
  <c r="AO476" i="63" l="1"/>
  <c r="AU476" i="63"/>
  <c r="AV476" i="63"/>
  <c r="O477" i="63"/>
  <c r="N477" i="63"/>
  <c r="AT476" i="63"/>
  <c r="Y46" i="63"/>
  <c r="AL46" i="63" s="1"/>
  <c r="AJ45" i="63"/>
  <c r="T92" i="63"/>
  <c r="R93" i="63"/>
  <c r="M477" i="63" l="1"/>
  <c r="L477" i="63" s="1"/>
  <c r="Q477" i="63"/>
  <c r="V477" i="63" s="1"/>
  <c r="AN477" i="63"/>
  <c r="AS477" i="63" s="1"/>
  <c r="AP477" i="63"/>
  <c r="P477" i="63"/>
  <c r="U477" i="63" s="1"/>
  <c r="Y47" i="63"/>
  <c r="AL47" i="63" s="1"/>
  <c r="AJ46" i="63"/>
  <c r="R94" i="63"/>
  <c r="T93" i="63"/>
  <c r="W477" i="63" l="1"/>
  <c r="Z477" i="63"/>
  <c r="AM477" i="63"/>
  <c r="Y48" i="63"/>
  <c r="AL48" i="63" s="1"/>
  <c r="AJ47" i="63"/>
  <c r="R95" i="63"/>
  <c r="T94" i="63"/>
  <c r="O478" i="63" l="1"/>
  <c r="AT477" i="63"/>
  <c r="AU477" i="63"/>
  <c r="N478" i="63"/>
  <c r="AV477" i="63"/>
  <c r="AO477" i="63"/>
  <c r="Y49" i="63"/>
  <c r="AL49" i="63" s="1"/>
  <c r="AJ48" i="63"/>
  <c r="R96" i="63"/>
  <c r="T95" i="63"/>
  <c r="Q478" i="63" l="1"/>
  <c r="V478" i="63" s="1"/>
  <c r="M478" i="63"/>
  <c r="L478" i="63" s="1"/>
  <c r="AN478" i="63"/>
  <c r="AS478" i="63" s="1"/>
  <c r="AP478" i="63"/>
  <c r="P478" i="63"/>
  <c r="U478" i="63" s="1"/>
  <c r="Y50" i="63"/>
  <c r="AL50" i="63" s="1"/>
  <c r="AJ49" i="63"/>
  <c r="T96" i="63"/>
  <c r="R97" i="63"/>
  <c r="W478" i="63" l="1"/>
  <c r="AM478" i="63"/>
  <c r="Z478" i="63"/>
  <c r="Y51" i="63"/>
  <c r="AL51" i="63" s="1"/>
  <c r="AJ50" i="63"/>
  <c r="R98" i="63"/>
  <c r="T97" i="63"/>
  <c r="N479" i="63" l="1"/>
  <c r="AU478" i="63"/>
  <c r="AV478" i="63"/>
  <c r="O479" i="63"/>
  <c r="AO478" i="63"/>
  <c r="AT478" i="63"/>
  <c r="AJ51" i="63"/>
  <c r="Y52" i="63"/>
  <c r="AL52" i="63" s="1"/>
  <c r="R99" i="63"/>
  <c r="T98" i="63"/>
  <c r="AP479" i="63" l="1"/>
  <c r="AN479" i="63"/>
  <c r="AS479" i="63" s="1"/>
  <c r="M479" i="63"/>
  <c r="L479" i="63" s="1"/>
  <c r="Q479" i="63"/>
  <c r="V479" i="63" s="1"/>
  <c r="Y53" i="63"/>
  <c r="AL53" i="63" s="1"/>
  <c r="AJ52" i="63"/>
  <c r="R100" i="63"/>
  <c r="T99" i="63"/>
  <c r="P479" i="63" l="1"/>
  <c r="AM479" i="63"/>
  <c r="Z479" i="63"/>
  <c r="Y54" i="63"/>
  <c r="AL54" i="63" s="1"/>
  <c r="AJ53" i="63"/>
  <c r="T100" i="63"/>
  <c r="R101" i="63"/>
  <c r="U479" i="63" l="1"/>
  <c r="W479" i="63"/>
  <c r="Y55" i="63"/>
  <c r="AL55" i="63" s="1"/>
  <c r="AJ54" i="63"/>
  <c r="R102" i="63"/>
  <c r="T101" i="63"/>
  <c r="AV479" i="63" l="1"/>
  <c r="AT479" i="63"/>
  <c r="AO479" i="63"/>
  <c r="N480" i="63"/>
  <c r="O480" i="63"/>
  <c r="AU479" i="63"/>
  <c r="Y56" i="63"/>
  <c r="AL56" i="63" s="1"/>
  <c r="AJ55" i="63"/>
  <c r="R103" i="63"/>
  <c r="T102" i="63"/>
  <c r="AN480" i="63" l="1"/>
  <c r="AS480" i="63" s="1"/>
  <c r="AP480" i="63"/>
  <c r="Q480" i="63"/>
  <c r="V480" i="63" s="1"/>
  <c r="M480" i="63"/>
  <c r="L480" i="63" s="1"/>
  <c r="Y57" i="63"/>
  <c r="AL57" i="63" s="1"/>
  <c r="AJ56" i="63"/>
  <c r="R104" i="63"/>
  <c r="T103" i="63"/>
  <c r="AM480" i="63" l="1"/>
  <c r="Z480" i="63"/>
  <c r="P480" i="63"/>
  <c r="Y58" i="63"/>
  <c r="AL58" i="63" s="1"/>
  <c r="AJ57" i="63"/>
  <c r="T104" i="63"/>
  <c r="R105" i="63"/>
  <c r="U480" i="63" l="1"/>
  <c r="W480" i="63"/>
  <c r="AJ9" i="63"/>
  <c r="AJ58" i="63"/>
  <c r="Y59" i="63"/>
  <c r="AA59" i="63"/>
  <c r="AP59" i="63" s="1"/>
  <c r="R106" i="63"/>
  <c r="T105" i="63"/>
  <c r="N481" i="63" l="1"/>
  <c r="AV480" i="63"/>
  <c r="AT480" i="63"/>
  <c r="AO480" i="63"/>
  <c r="O481" i="63"/>
  <c r="AU480"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N481" i="63" l="1"/>
  <c r="AS481" i="63" s="1"/>
  <c r="AP481" i="63"/>
  <c r="M481" i="63"/>
  <c r="L481" i="63" s="1"/>
  <c r="Q481" i="63"/>
  <c r="V481" i="63" s="1"/>
  <c r="AB59" i="63"/>
  <c r="AD492" i="63"/>
  <c r="R108" i="63"/>
  <c r="T107" i="63"/>
  <c r="Z481" i="63" l="1"/>
  <c r="AM481" i="63"/>
  <c r="P481" i="63"/>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U481" i="63" l="1"/>
  <c r="W481" i="63"/>
  <c r="AF59" i="63"/>
  <c r="Y60" i="63"/>
  <c r="AA60" i="63"/>
  <c r="AP60" i="63" s="1"/>
  <c r="AJ59" i="63"/>
  <c r="AK59" i="63" s="1"/>
  <c r="AE492" i="63"/>
  <c r="AF491" i="63"/>
  <c r="AD494" i="63"/>
  <c r="R110" i="63"/>
  <c r="T109" i="63"/>
  <c r="N482" i="63" l="1"/>
  <c r="AO481" i="63"/>
  <c r="AU481" i="63"/>
  <c r="O482" i="63"/>
  <c r="AV481" i="63"/>
  <c r="AT481" i="63"/>
  <c r="AE493" i="63"/>
  <c r="AF492" i="63"/>
  <c r="AD495" i="63"/>
  <c r="AI60" i="63"/>
  <c r="AC60" i="63"/>
  <c r="AH60" i="63" s="1"/>
  <c r="R111" i="63"/>
  <c r="T110" i="63"/>
  <c r="AP482" i="63" l="1"/>
  <c r="AN482" i="63"/>
  <c r="AS482" i="63" s="1"/>
  <c r="M482" i="63"/>
  <c r="L482" i="63" s="1"/>
  <c r="Q482" i="63"/>
  <c r="V482" i="63" s="1"/>
  <c r="AB60" i="63"/>
  <c r="AD496" i="63"/>
  <c r="AE494" i="63"/>
  <c r="AF493" i="63"/>
  <c r="R112" i="63"/>
  <c r="T111" i="63"/>
  <c r="Z482" i="63" l="1"/>
  <c r="AM482" i="63"/>
  <c r="P482" i="63"/>
  <c r="AE495" i="63"/>
  <c r="AF494" i="63"/>
  <c r="AD497" i="63"/>
  <c r="AF60" i="63"/>
  <c r="AG60" i="63"/>
  <c r="AL60" i="63"/>
  <c r="T112" i="63"/>
  <c r="R113" i="63"/>
  <c r="U482" i="63" l="1"/>
  <c r="W482" i="63"/>
  <c r="AJ60" i="63"/>
  <c r="AK60" i="63" s="1"/>
  <c r="Y61" i="63"/>
  <c r="AA61" i="63"/>
  <c r="AP61" i="63" s="1"/>
  <c r="AD498" i="63"/>
  <c r="AE496" i="63"/>
  <c r="AF495" i="63"/>
  <c r="R114" i="63"/>
  <c r="T113" i="63"/>
  <c r="AU482" i="63" l="1"/>
  <c r="N483" i="63"/>
  <c r="O483" i="63"/>
  <c r="AO482" i="63"/>
  <c r="AT482" i="63"/>
  <c r="AV482" i="63"/>
  <c r="AE497" i="63"/>
  <c r="AF496" i="63"/>
  <c r="AD499" i="63"/>
  <c r="AI61" i="63"/>
  <c r="AC61" i="63"/>
  <c r="AH61" i="63" s="1"/>
  <c r="R115" i="63"/>
  <c r="T114" i="63"/>
  <c r="AP483" i="63" l="1"/>
  <c r="AN483" i="63"/>
  <c r="AS483" i="63" s="1"/>
  <c r="M483" i="63"/>
  <c r="L483" i="63" s="1"/>
  <c r="Q483" i="63"/>
  <c r="V483" i="63" s="1"/>
  <c r="AB61" i="63"/>
  <c r="AD500" i="63"/>
  <c r="AE498" i="63"/>
  <c r="AF497" i="63"/>
  <c r="R116" i="63"/>
  <c r="T115" i="63"/>
  <c r="Z483" i="63" l="1"/>
  <c r="AM483" i="63"/>
  <c r="P483" i="63"/>
  <c r="AE499" i="63"/>
  <c r="AF498" i="63"/>
  <c r="AD501" i="63"/>
  <c r="AF61" i="63"/>
  <c r="AG61" i="63"/>
  <c r="AL61" i="63"/>
  <c r="T116" i="63"/>
  <c r="R117" i="63"/>
  <c r="U483" i="63" l="1"/>
  <c r="W483" i="63"/>
  <c r="AJ61" i="63"/>
  <c r="AK61" i="63" s="1"/>
  <c r="AA62" i="63"/>
  <c r="AP62" i="63" s="1"/>
  <c r="Y62" i="63"/>
  <c r="AD502" i="63"/>
  <c r="AE500" i="63"/>
  <c r="AF499" i="63"/>
  <c r="R118" i="63"/>
  <c r="T117" i="63"/>
  <c r="O484" i="63" l="1"/>
  <c r="AT483" i="63"/>
  <c r="AV483" i="63"/>
  <c r="N484" i="63"/>
  <c r="AO483" i="63"/>
  <c r="AU483" i="63"/>
  <c r="AE501" i="63"/>
  <c r="AF500" i="63"/>
  <c r="AD503" i="63"/>
  <c r="AC62" i="63"/>
  <c r="AH62" i="63" s="1"/>
  <c r="AI62" i="63"/>
  <c r="R119" i="63"/>
  <c r="T118" i="63"/>
  <c r="M484" i="63" l="1"/>
  <c r="L484" i="63" s="1"/>
  <c r="Q484" i="63"/>
  <c r="V484" i="63" s="1"/>
  <c r="AN484" i="63"/>
  <c r="AS484" i="63" s="1"/>
  <c r="AP484" i="63"/>
  <c r="P484" i="63"/>
  <c r="U484" i="63" s="1"/>
  <c r="AB62" i="63"/>
  <c r="AD504" i="63"/>
  <c r="AE502" i="63"/>
  <c r="AF501" i="63"/>
  <c r="R120" i="63"/>
  <c r="T119" i="63"/>
  <c r="W484" i="63" l="1"/>
  <c r="AM484" i="63"/>
  <c r="Z484" i="63"/>
  <c r="AE503" i="63"/>
  <c r="AF502" i="63"/>
  <c r="AD505" i="63"/>
  <c r="AG62" i="63"/>
  <c r="AF62" i="63"/>
  <c r="AL62" i="63"/>
  <c r="T120" i="63"/>
  <c r="R121" i="63"/>
  <c r="AV484" i="63" l="1"/>
  <c r="AT484" i="63"/>
  <c r="N485" i="63"/>
  <c r="AU484" i="63"/>
  <c r="O485" i="63"/>
  <c r="AO484" i="63"/>
  <c r="AJ62" i="63"/>
  <c r="AK62" i="63" s="1"/>
  <c r="Y63" i="63"/>
  <c r="AA63" i="63"/>
  <c r="AP63" i="63" s="1"/>
  <c r="AD506" i="63"/>
  <c r="AE504" i="63"/>
  <c r="AF503" i="63"/>
  <c r="R122" i="63"/>
  <c r="T121" i="63"/>
  <c r="M485" i="63" l="1"/>
  <c r="L485" i="63" s="1"/>
  <c r="Q485" i="63"/>
  <c r="V485" i="63" s="1"/>
  <c r="AN485" i="63"/>
  <c r="AS485" i="63" s="1"/>
  <c r="AP485" i="63"/>
  <c r="AE505" i="63"/>
  <c r="AF504" i="63"/>
  <c r="AD507" i="63"/>
  <c r="AI63" i="63"/>
  <c r="AC63" i="63"/>
  <c r="AH63" i="63" s="1"/>
  <c r="R123" i="63"/>
  <c r="T122" i="63"/>
  <c r="P485" i="63" l="1"/>
  <c r="AM485" i="63"/>
  <c r="Z485" i="63"/>
  <c r="AB63" i="63"/>
  <c r="AD508" i="63"/>
  <c r="AE506" i="63"/>
  <c r="AF505" i="63"/>
  <c r="R124" i="63"/>
  <c r="T123" i="63"/>
  <c r="U485" i="63" l="1"/>
  <c r="W485" i="63"/>
  <c r="AE507" i="63"/>
  <c r="AF506" i="63"/>
  <c r="AD509" i="63"/>
  <c r="AF63" i="63"/>
  <c r="AG63" i="63"/>
  <c r="AL63" i="63"/>
  <c r="T124" i="63"/>
  <c r="R125" i="63"/>
  <c r="AU485" i="63" l="1"/>
  <c r="N486" i="63"/>
  <c r="AT485" i="63"/>
  <c r="O486" i="63"/>
  <c r="AO485" i="63"/>
  <c r="AV485" i="63"/>
  <c r="Y64" i="63"/>
  <c r="AA64" i="63"/>
  <c r="AP64" i="63" s="1"/>
  <c r="AJ63" i="63"/>
  <c r="AK63" i="63" s="1"/>
  <c r="AD510" i="63"/>
  <c r="AE508" i="63"/>
  <c r="AF507" i="63"/>
  <c r="R126" i="63"/>
  <c r="T125" i="63"/>
  <c r="AP486" i="63" l="1"/>
  <c r="AN486" i="63"/>
  <c r="AS486" i="63" s="1"/>
  <c r="Q486" i="63"/>
  <c r="V486" i="63" s="1"/>
  <c r="M486" i="63"/>
  <c r="L486" i="63" s="1"/>
  <c r="AE509" i="63"/>
  <c r="AF508" i="63"/>
  <c r="AD511" i="63"/>
  <c r="AI64" i="63"/>
  <c r="AC64" i="63"/>
  <c r="AH64" i="63" s="1"/>
  <c r="R127" i="63"/>
  <c r="T126" i="63"/>
  <c r="AM486" i="63" l="1"/>
  <c r="Z486" i="63"/>
  <c r="P486" i="63"/>
  <c r="AB64" i="63"/>
  <c r="AD512" i="63"/>
  <c r="AE510" i="63"/>
  <c r="AF509" i="63"/>
  <c r="R128" i="63"/>
  <c r="T127" i="63"/>
  <c r="U486" i="63" l="1"/>
  <c r="W486" i="63"/>
  <c r="AE511" i="63"/>
  <c r="AF510" i="63"/>
  <c r="AD513" i="63"/>
  <c r="AG64" i="63"/>
  <c r="AF64" i="63"/>
  <c r="AL64" i="63"/>
  <c r="T128" i="63"/>
  <c r="R129" i="63"/>
  <c r="AT486" i="63" l="1"/>
  <c r="AU486" i="63"/>
  <c r="N487" i="63"/>
  <c r="AO486" i="63"/>
  <c r="AV486" i="63"/>
  <c r="O487" i="63"/>
  <c r="AJ64" i="63"/>
  <c r="AK64" i="63" s="1"/>
  <c r="Y65" i="63"/>
  <c r="AA65" i="63"/>
  <c r="AP65" i="63" s="1"/>
  <c r="AD514" i="63"/>
  <c r="AE512" i="63"/>
  <c r="AF511" i="63"/>
  <c r="R130" i="63"/>
  <c r="T129" i="63"/>
  <c r="AP487" i="63" l="1"/>
  <c r="AN487" i="63"/>
  <c r="AS487" i="63" s="1"/>
  <c r="Q487" i="63"/>
  <c r="V487" i="63" s="1"/>
  <c r="M487" i="63"/>
  <c r="L487" i="63" s="1"/>
  <c r="AD515" i="63"/>
  <c r="AI65" i="63"/>
  <c r="AC65" i="63"/>
  <c r="AH65" i="63" s="1"/>
  <c r="AE513" i="63"/>
  <c r="AF512" i="63"/>
  <c r="R131" i="63"/>
  <c r="T130" i="63"/>
  <c r="AM487" i="63" l="1"/>
  <c r="Z487" i="63"/>
  <c r="P487" i="63"/>
  <c r="AE514" i="63"/>
  <c r="AF513" i="63"/>
  <c r="AB65" i="63"/>
  <c r="AD516" i="63"/>
  <c r="R132" i="63"/>
  <c r="T131" i="63"/>
  <c r="U487" i="63" l="1"/>
  <c r="W487" i="63"/>
  <c r="AD517" i="63"/>
  <c r="AF65" i="63"/>
  <c r="AG65" i="63"/>
  <c r="AL65" i="63"/>
  <c r="AE515" i="63"/>
  <c r="AF514" i="63"/>
  <c r="T132" i="63"/>
  <c r="R133" i="63"/>
  <c r="N488" i="63" l="1"/>
  <c r="AT487" i="63"/>
  <c r="AV487" i="63"/>
  <c r="AO487" i="63"/>
  <c r="AU487" i="63"/>
  <c r="O488" i="63"/>
  <c r="AJ65" i="63"/>
  <c r="AK65" i="63" s="1"/>
  <c r="Y66" i="63"/>
  <c r="AA66" i="63"/>
  <c r="AP66" i="63" s="1"/>
  <c r="AE516" i="63"/>
  <c r="AF515" i="63"/>
  <c r="AD518" i="63"/>
  <c r="R134" i="63"/>
  <c r="T133" i="63"/>
  <c r="AN488" i="63" l="1"/>
  <c r="AS488" i="63" s="1"/>
  <c r="AP488" i="63"/>
  <c r="Q488" i="63"/>
  <c r="V488" i="63" s="1"/>
  <c r="M488" i="63"/>
  <c r="L488" i="63" s="1"/>
  <c r="AD519" i="63"/>
  <c r="AE517" i="63"/>
  <c r="AF516" i="63"/>
  <c r="AC66" i="63"/>
  <c r="AH66" i="63" s="1"/>
  <c r="AI66" i="63"/>
  <c r="R135" i="63"/>
  <c r="T134" i="63"/>
  <c r="P488" i="63" l="1"/>
  <c r="Z488" i="63"/>
  <c r="AM488" i="63"/>
  <c r="AB66" i="63"/>
  <c r="AE518" i="63"/>
  <c r="AF517" i="63"/>
  <c r="AD520" i="63"/>
  <c r="R136" i="63"/>
  <c r="T135" i="63"/>
  <c r="U488" i="63" l="1"/>
  <c r="W488" i="63"/>
  <c r="AD521" i="63"/>
  <c r="AE519" i="63"/>
  <c r="AF518" i="63"/>
  <c r="AF66" i="63"/>
  <c r="AG66" i="63"/>
  <c r="AL66" i="63"/>
  <c r="T136" i="63"/>
  <c r="R137" i="63"/>
  <c r="AT488" i="63" l="1"/>
  <c r="AO488" i="63"/>
  <c r="N489" i="63"/>
  <c r="AV488" i="63"/>
  <c r="O489" i="63"/>
  <c r="AU488" i="63"/>
  <c r="AJ66" i="63"/>
  <c r="AK66" i="63" s="1"/>
  <c r="AA67" i="63"/>
  <c r="AP67" i="63" s="1"/>
  <c r="Y67" i="63"/>
  <c r="AE520" i="63"/>
  <c r="AF519" i="63"/>
  <c r="AD522" i="63"/>
  <c r="R138" i="63"/>
  <c r="T137" i="63"/>
  <c r="Q489" i="63" l="1"/>
  <c r="V489" i="63" s="1"/>
  <c r="M489" i="63"/>
  <c r="L489" i="63" s="1"/>
  <c r="AP489" i="63"/>
  <c r="AN489" i="63"/>
  <c r="AS489" i="63" s="1"/>
  <c r="P489" i="63"/>
  <c r="U489" i="63" s="1"/>
  <c r="AI67" i="63"/>
  <c r="AD523" i="63"/>
  <c r="AE521" i="63"/>
  <c r="AF520" i="63"/>
  <c r="AC67" i="63"/>
  <c r="AH67" i="63" s="1"/>
  <c r="R139" i="63"/>
  <c r="T138" i="63"/>
  <c r="Z489" i="63" l="1"/>
  <c r="AM489" i="63"/>
  <c r="W489" i="63"/>
  <c r="AE522" i="63"/>
  <c r="AF521" i="63"/>
  <c r="AB67" i="63"/>
  <c r="AD524" i="63"/>
  <c r="R140" i="63"/>
  <c r="T139" i="63"/>
  <c r="N490" i="63" l="1"/>
  <c r="AV489" i="63"/>
  <c r="O490" i="63"/>
  <c r="AT489" i="63"/>
  <c r="AO489" i="63"/>
  <c r="AU489" i="63"/>
  <c r="AD525" i="63"/>
  <c r="AF67" i="63"/>
  <c r="AG67" i="63"/>
  <c r="AL67" i="63"/>
  <c r="AE523" i="63"/>
  <c r="AF522" i="63"/>
  <c r="T140" i="63"/>
  <c r="R141" i="63"/>
  <c r="AN490" i="63" l="1"/>
  <c r="AS490" i="63" s="1"/>
  <c r="AP490" i="63"/>
  <c r="M490" i="63"/>
  <c r="L490" i="63" s="1"/>
  <c r="Q490" i="63"/>
  <c r="V490" i="63" s="1"/>
  <c r="AE524" i="63"/>
  <c r="AF523" i="63"/>
  <c r="AJ67" i="63"/>
  <c r="AK67" i="63" s="1"/>
  <c r="Y68" i="63"/>
  <c r="AA68" i="63"/>
  <c r="AP68" i="63" s="1"/>
  <c r="AD526" i="63"/>
  <c r="R142" i="63"/>
  <c r="T141" i="63"/>
  <c r="Z490" i="63" l="1"/>
  <c r="AM490" i="63"/>
  <c r="P490" i="63"/>
  <c r="AD527" i="63"/>
  <c r="AC68" i="63"/>
  <c r="AH68" i="63" s="1"/>
  <c r="AI68" i="63"/>
  <c r="AE525" i="63"/>
  <c r="AF524" i="63"/>
  <c r="R143" i="63"/>
  <c r="T142" i="63"/>
  <c r="U490" i="63" l="1"/>
  <c r="W490" i="63"/>
  <c r="AB68" i="63"/>
  <c r="AG68" i="63" s="1"/>
  <c r="AE526" i="63"/>
  <c r="AF525" i="63"/>
  <c r="AD528" i="63"/>
  <c r="R144" i="63"/>
  <c r="T143" i="63"/>
  <c r="AT490" i="63" l="1"/>
  <c r="AO490" i="63"/>
  <c r="AV490" i="63"/>
  <c r="AU490" i="63"/>
  <c r="AF68" i="63"/>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s="1"/>
  <c r="AF135" i="63" l="1"/>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A154" i="63"/>
  <c r="AP154" i="63" s="1"/>
  <c r="AC154" i="63"/>
  <c r="AH154" i="63" s="1"/>
  <c r="AI154" i="63"/>
  <c r="AB154" i="63" l="1"/>
  <c r="AG154" i="63" s="1"/>
  <c r="AL154" i="63" l="1"/>
  <c r="AJ154" i="63" s="1"/>
  <c r="AK154" i="63" s="1"/>
  <c r="AF154" i="63"/>
  <c r="Y155" i="63" l="1"/>
  <c r="AA155" i="63"/>
  <c r="AP155" i="63" s="1"/>
  <c r="AC155" i="63"/>
  <c r="AH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c r="AJ157" i="63" l="1"/>
  <c r="AK157" i="63" s="1"/>
  <c r="AC158" i="63"/>
  <c r="AH158"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J160" i="63"/>
  <c r="AK160" i="63" s="1"/>
  <c r="AC161" i="63"/>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A164" i="63"/>
  <c r="AP164" i="63" s="1"/>
  <c r="AC164" i="63"/>
  <c r="AH164" i="63" s="1"/>
  <c r="AI164" i="63" l="1"/>
  <c r="AB164" i="63"/>
  <c r="AL164" i="63" s="1"/>
  <c r="AA165" i="63" s="1"/>
  <c r="AP165" i="63" s="1"/>
  <c r="AF164" i="63"/>
  <c r="AG164" i="63"/>
  <c r="Y165" i="63" l="1"/>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A199" i="63"/>
  <c r="AP199" i="63" s="1"/>
  <c r="AC199" i="63"/>
  <c r="AH199" i="63" s="1"/>
  <c r="AI199" i="63" l="1"/>
  <c r="AB199" i="63"/>
  <c r="AG199" i="63" s="1"/>
  <c r="AL199" i="63" l="1"/>
  <c r="AJ199" i="63" s="1"/>
  <c r="AK199" i="63" s="1"/>
  <c r="AF199" i="63"/>
  <c r="Y200" i="63"/>
  <c r="AA200" i="63" l="1"/>
  <c r="AP200" i="63" s="1"/>
  <c r="AC200" i="63"/>
  <c r="AH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A211" i="63"/>
  <c r="AP211" i="63" s="1"/>
  <c r="AC211" i="63"/>
  <c r="AH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AJ216" i="63"/>
  <c r="AK216" i="63" s="1"/>
  <c r="Y217" i="63"/>
  <c r="AC217" i="63" l="1"/>
  <c r="AH217"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A223" i="63"/>
  <c r="AP223" i="63" s="1"/>
  <c r="AC223" i="63"/>
  <c r="AH223" i="63" s="1"/>
  <c r="AI223" i="63"/>
  <c r="AB223" i="63" l="1"/>
  <c r="AF223" i="63" s="1"/>
  <c r="AL223" i="63" l="1"/>
  <c r="AJ223" i="63" s="1"/>
  <c r="AK223" i="63" s="1"/>
  <c r="AG223" i="63"/>
  <c r="Y224" i="63" l="1"/>
  <c r="AC224" i="63" s="1"/>
  <c r="AH224" i="63" s="1"/>
  <c r="AA224" i="63"/>
  <c r="AP224" i="63" s="1"/>
  <c r="AI224" i="63" l="1"/>
  <c r="AB224" i="63"/>
  <c r="AL224" i="63" s="1"/>
  <c r="AJ224" i="63" s="1"/>
  <c r="AF224" i="63"/>
  <c r="AG224" i="63"/>
  <c r="Y225" i="63" l="1"/>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A233" i="63"/>
  <c r="AP233" i="63" s="1"/>
  <c r="AC233" i="63"/>
  <c r="AH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A254" i="63"/>
  <c r="AP254" i="63" s="1"/>
  <c r="AC254" i="63"/>
  <c r="AH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F259" i="63"/>
  <c r="AA260" i="63"/>
  <c r="AP260" i="63" s="1"/>
  <c r="AJ259" i="63"/>
  <c r="AK259" i="63" s="1"/>
  <c r="Y260" i="63"/>
  <c r="AC260" i="63" l="1"/>
  <c r="AH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A269" i="63"/>
  <c r="AP269" i="63" s="1"/>
  <c r="AC269" i="63"/>
  <c r="AH269" i="63" s="1"/>
  <c r="AI269" i="63"/>
  <c r="AB269" i="63" l="1"/>
  <c r="AL269" i="63" s="1"/>
  <c r="AJ269" i="63" s="1"/>
  <c r="AK269" i="63" s="1"/>
  <c r="AF269" i="63" l="1"/>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F277" i="63"/>
  <c r="AG277" i="63"/>
  <c r="AJ277" i="63" l="1"/>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A287" i="63"/>
  <c r="AP287" i="63" s="1"/>
  <c r="AC287" i="63"/>
  <c r="AH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s="1"/>
  <c r="AF301" i="63" l="1"/>
  <c r="AG301" i="63"/>
  <c r="Y302" i="63"/>
  <c r="AA302" i="63"/>
  <c r="AP302" i="63" s="1"/>
  <c r="AC302" i="63"/>
  <c r="AH302" i="63" s="1"/>
  <c r="AI302" i="63" l="1"/>
  <c r="AB302" i="63"/>
  <c r="AF302" i="63" s="1"/>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l="1"/>
  <c r="AA305" i="63"/>
  <c r="AP305" i="63" s="1"/>
  <c r="AC305" i="63"/>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s="1"/>
  <c r="AA321" i="63" l="1"/>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F322" i="63"/>
  <c r="AG322" i="63"/>
  <c r="AA323" i="63"/>
  <c r="AP323" i="63" s="1"/>
  <c r="AC323" i="63"/>
  <c r="AH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c r="AJ328" i="63" l="1"/>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A331" i="63"/>
  <c r="AP331" i="63" s="1"/>
  <c r="AC331" i="63"/>
  <c r="AH331" i="63" s="1"/>
  <c r="AI331" i="63" l="1"/>
  <c r="AB331" i="63"/>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c r="AF346" i="63" l="1"/>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F380" i="63"/>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F397" i="63"/>
  <c r="AA398" i="63"/>
  <c r="AP398" i="63" s="1"/>
  <c r="AG397" i="63"/>
  <c r="AC398" i="63"/>
  <c r="AH398" i="63" s="1"/>
  <c r="AI398" i="63" l="1"/>
  <c r="AB398" i="63"/>
  <c r="AL398" i="63" s="1"/>
  <c r="AJ398" i="63" s="1"/>
  <c r="AK398" i="63" l="1"/>
  <c r="AG398" i="63"/>
  <c r="AF398" i="63"/>
  <c r="Y399" i="63"/>
  <c r="AA399" i="63"/>
  <c r="AP399" i="63" s="1"/>
  <c r="AC399" i="63"/>
  <c r="AH399" i="63" s="1"/>
  <c r="AI399" i="63" l="1"/>
  <c r="AB399" i="63"/>
  <c r="AG399" i="63" s="1"/>
  <c r="AL399" i="63" l="1"/>
  <c r="AA400" i="63" s="1"/>
  <c r="AP400" i="63" s="1"/>
  <c r="AF399" i="63"/>
  <c r="Y400" i="63" l="1"/>
  <c r="AJ399" i="63"/>
  <c r="AK399" i="63" s="1"/>
  <c r="AC400" i="63"/>
  <c r="AH400" i="63" s="1"/>
  <c r="AI400" i="63"/>
  <c r="AB400" i="63" l="1"/>
  <c r="AF400" i="63" s="1"/>
  <c r="AL400" i="63" l="1"/>
  <c r="AJ400" i="63" s="1"/>
  <c r="AK400" i="63" s="1"/>
  <c r="AG400" i="63"/>
  <c r="Y401" i="63"/>
  <c r="AA401" i="63" l="1"/>
  <c r="AP401" i="63" s="1"/>
  <c r="AC401" i="63"/>
  <c r="AH401" i="63" s="1"/>
  <c r="AI401" i="63" l="1"/>
  <c r="AB401" i="63"/>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J419" i="63"/>
  <c r="AK419" i="63" s="1"/>
  <c r="AC420" i="63"/>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A430" i="63"/>
  <c r="AI430" i="63" s="1"/>
  <c r="AC430" i="63"/>
  <c r="AH430" i="63" s="1"/>
  <c r="AB430" i="63" l="1"/>
  <c r="AF430" i="63" s="1"/>
  <c r="AL430" i="63" l="1"/>
  <c r="AJ430" i="63" s="1"/>
  <c r="AK430" i="63" s="1"/>
  <c r="AG430" i="63"/>
  <c r="Y431" i="63" l="1"/>
  <c r="AA431" i="63"/>
  <c r="AI431" i="63" s="1"/>
  <c r="AC431" i="63"/>
  <c r="AH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AA445" i="63"/>
  <c r="Y445" i="63"/>
  <c r="AC445" i="63" l="1"/>
  <c r="AH445" i="63" s="1"/>
  <c r="AI445" i="63"/>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c r="AJ460" i="63" l="1"/>
  <c r="AK460" i="63" s="1"/>
  <c r="AC461" i="63"/>
  <c r="AH461"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A469" i="63"/>
  <c r="AI469" i="63" s="1"/>
  <c r="AC469" i="63"/>
  <c r="AH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Y473" i="63" l="1"/>
  <c r="AA473" i="63"/>
  <c r="AC473" i="63"/>
  <c r="AH473" i="63" s="1"/>
  <c r="AI473" i="63"/>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I478" i="63" s="1"/>
  <c r="AC478" i="63"/>
  <c r="AH478" i="63" s="1"/>
  <c r="AB478" i="63" l="1"/>
  <c r="AF478" i="63" s="1"/>
  <c r="AG478" i="63" l="1"/>
  <c r="AL478" i="63"/>
  <c r="AA479" i="63" s="1"/>
  <c r="AJ478" i="63"/>
  <c r="AK478" i="63" s="1"/>
  <c r="Y479" i="63"/>
  <c r="AC479" i="63" l="1"/>
  <c r="AH479" i="63" s="1"/>
  <c r="AI479" i="63"/>
  <c r="AB479" i="63" l="1"/>
  <c r="AG479" i="63" s="1"/>
  <c r="AL479" i="63" l="1"/>
  <c r="AJ479" i="63" s="1"/>
  <c r="AK479" i="63" s="1"/>
  <c r="AF479" i="63"/>
  <c r="Y480" i="63" l="1"/>
  <c r="AC480" i="63" s="1"/>
  <c r="AH480" i="63" s="1"/>
  <c r="AA480" i="63"/>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c r="Y482" i="63" l="1"/>
  <c r="AC482" i="63" s="1"/>
  <c r="AH482" i="63" s="1"/>
  <c r="AI482" i="63"/>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<sst xmlns="http://schemas.openxmlformats.org/spreadsheetml/2006/main" count="3001" uniqueCount="1143">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</sst>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89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5" xfId="0" applyNumberFormat="1" applyFont="1" applyFill="1" applyBorder="1"/>
    <xf numFmtId="164" fontId="14" fillId="17" borderId="36" xfId="0" applyNumberFormat="1" applyFont="1" applyFill="1" applyBorder="1"/>
    <xf numFmtId="3" fontId="14" fillId="0" borderId="0" xfId="0" applyNumberFormat="1" applyFont="1"/>
    <xf numFmtId="0" fontId="14" fillId="24" borderId="37" xfId="0" applyFont="1" applyFill="1" applyBorder="1" applyAlignment="1">
      <alignment horizontal="right"/>
    </xf>
    <xf numFmtId="0" fontId="0" fillId="24" borderId="37" xfId="0" applyFill="1" applyBorder="1"/>
    <xf numFmtId="0" fontId="15" fillId="0" borderId="9" xfId="0" applyFont="1" applyBorder="1" applyAlignment="1">
      <alignment horizontal="center"/>
    </xf>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0" fontId="14" fillId="0" borderId="7"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725" t="s">
        <v>921</v>
      </c>
      <c r="G1" s="726"/>
      <c r="H1" s="726"/>
      <c r="P1" s="38" t="s">
        <v>657</v>
      </c>
      <c r="Q1" s="37" t="b">
        <v>0</v>
      </c>
    </row>
    <row r="2" spans="1:23" ht="16.5" customHeight="1" thickBot="1" x14ac:dyDescent="0.3">
      <c r="A2" s="113"/>
      <c r="B2" s="657" t="s">
        <v>805</v>
      </c>
      <c r="C2" s="658"/>
      <c r="D2" s="658"/>
      <c r="E2" s="655" t="s">
        <v>806</v>
      </c>
      <c r="F2" s="656"/>
      <c r="G2" s="482" t="s">
        <v>807</v>
      </c>
      <c r="H2" s="732" t="s">
        <v>0</v>
      </c>
      <c r="I2" s="733"/>
      <c r="J2" s="713" t="s">
        <v>1</v>
      </c>
      <c r="K2" s="642">
        <v>45715</v>
      </c>
      <c r="M2" s="465" t="s">
        <v>2</v>
      </c>
      <c r="N2" s="465"/>
      <c r="P2" s="38" t="s">
        <v>656</v>
      </c>
      <c r="Q2" s="37" t="b">
        <v>0</v>
      </c>
    </row>
    <row r="3" spans="1:23" ht="12" customHeight="1" thickBot="1" x14ac:dyDescent="0.25">
      <c r="A3" s="115" t="s">
        <v>4</v>
      </c>
      <c r="B3" s="116"/>
      <c r="D3" s="672" t="s">
        <v>5</v>
      </c>
      <c r="E3" s="672"/>
      <c r="F3" s="672" t="s">
        <v>6</v>
      </c>
      <c r="G3" s="666"/>
      <c r="H3" s="666"/>
      <c r="I3" s="734"/>
      <c r="J3" s="714"/>
      <c r="K3" s="643"/>
      <c r="P3" s="137" t="s">
        <v>38</v>
      </c>
      <c r="Q3" s="37" t="b">
        <v>0</v>
      </c>
      <c r="R3" s="37">
        <v>3</v>
      </c>
    </row>
    <row r="4" spans="1:23" ht="12" customHeight="1" thickBot="1" x14ac:dyDescent="0.25">
      <c r="A4" s="38" t="s">
        <v>7</v>
      </c>
      <c r="B4" s="735">
        <v>276800</v>
      </c>
      <c r="C4" s="736"/>
      <c r="D4" s="376"/>
      <c r="E4" s="403"/>
      <c r="F4" s="400"/>
      <c r="G4" s="400"/>
      <c r="H4" s="123"/>
      <c r="I4" s="124"/>
      <c r="P4" s="137" t="s">
        <v>39</v>
      </c>
      <c r="Q4" s="37" t="b">
        <v>0</v>
      </c>
    </row>
    <row r="5" spans="1:23" ht="12" customHeight="1" thickBot="1" x14ac:dyDescent="0.25">
      <c r="A5" s="38" t="s">
        <v>9</v>
      </c>
      <c r="B5" s="469">
        <f>+Amortization!M4</f>
        <v>0.05</v>
      </c>
      <c r="C5" s="335">
        <v>0</v>
      </c>
      <c r="D5" s="404"/>
      <c r="E5" s="405"/>
      <c r="F5" s="400"/>
      <c r="G5" s="400"/>
      <c r="H5" s="126"/>
      <c r="I5" s="127"/>
      <c r="N5" s="139" t="s">
        <v>10</v>
      </c>
      <c r="O5" s="270"/>
      <c r="P5" s="137" t="s">
        <v>40</v>
      </c>
      <c r="Q5" s="37" t="b">
        <v>1</v>
      </c>
    </row>
    <row r="6" spans="1:23" ht="12" customHeight="1" thickBot="1" x14ac:dyDescent="0.25">
      <c r="A6" s="38" t="s">
        <v>11</v>
      </c>
      <c r="B6" s="737">
        <f>IF(B1="Flip",B4,IF(C1="hold",B4*(1+C5),+Amortization!O3))</f>
        <v>290640</v>
      </c>
      <c r="C6" s="738"/>
      <c r="D6" s="404"/>
      <c r="E6" s="405"/>
      <c r="F6" s="400"/>
      <c r="G6" s="408">
        <f>IF(OR(R3=1,R3=2),$B$6,0)</f>
        <v>0</v>
      </c>
      <c r="H6" s="126"/>
      <c r="I6" s="127"/>
      <c r="O6" s="270"/>
      <c r="P6" s="464"/>
      <c r="Q6" s="37" t="b">
        <v>0</v>
      </c>
    </row>
    <row r="7" spans="1:23" ht="12" customHeight="1" thickBot="1" x14ac:dyDescent="0.25">
      <c r="A7" s="38" t="s">
        <v>13</v>
      </c>
      <c r="B7" s="469">
        <f>+Amortization!O2</f>
        <v>0.1</v>
      </c>
      <c r="C7" s="350">
        <f>+B6*B7</f>
        <v>29064</v>
      </c>
      <c r="D7" s="351"/>
      <c r="E7" s="352">
        <f>IF(R3=3,+C7,0)</f>
        <v>29064</v>
      </c>
      <c r="F7" s="401"/>
      <c r="G7" s="400"/>
      <c r="H7" s="126"/>
      <c r="I7" s="127"/>
      <c r="J7" s="713" t="s">
        <v>12</v>
      </c>
      <c r="K7" s="703">
        <v>0.03</v>
      </c>
      <c r="O7" s="270"/>
      <c r="P7" s="464"/>
    </row>
    <row r="8" spans="1:23" ht="12" customHeight="1" thickBot="1" x14ac:dyDescent="0.25">
      <c r="A8" s="38" t="s">
        <v>633</v>
      </c>
      <c r="B8" s="338"/>
      <c r="C8" s="422"/>
      <c r="D8" s="351"/>
      <c r="E8" s="405"/>
      <c r="F8" s="401"/>
      <c r="G8" s="409">
        <f>+IF($C$1="hold",$K$7,0)*$C$50/12*B4</f>
        <v>0</v>
      </c>
      <c r="H8" s="423"/>
      <c r="I8" s="127"/>
      <c r="J8" s="714"/>
      <c r="K8" s="704"/>
    </row>
    <row r="9" spans="1:23" ht="12" customHeight="1" thickBot="1" x14ac:dyDescent="0.25">
      <c r="A9" s="136" t="str">
        <f>IF(R3=3,"Delta Mortgages","Monthly Rent:")</f>
        <v>Delta Mortgages</v>
      </c>
      <c r="B9" s="685">
        <v>1800</v>
      </c>
      <c r="C9" s="729"/>
      <c r="D9" s="406"/>
      <c r="E9" s="407"/>
      <c r="F9" s="402"/>
      <c r="G9" s="410"/>
      <c r="H9" s="411"/>
      <c r="I9" s="419">
        <f>IF(OR(C1="Hold",D1="Slow Flip"),IF(C1="hold",+B9,+Amortization!AJ7),"")</f>
        <v>1083.53</v>
      </c>
      <c r="J9" s="713" t="s">
        <v>14</v>
      </c>
      <c r="K9" s="648">
        <v>1368</v>
      </c>
    </row>
    <row r="10" spans="1:23" ht="12" customHeight="1" thickBot="1" x14ac:dyDescent="0.25">
      <c r="C10" s="715" t="s">
        <v>15</v>
      </c>
      <c r="D10" s="680" t="s">
        <v>15</v>
      </c>
      <c r="E10" s="117">
        <f>SUM(D4:E9)</f>
        <v>29064</v>
      </c>
      <c r="F10" s="644">
        <f>+SUM(F4:G9)</f>
        <v>0</v>
      </c>
      <c r="G10" s="645"/>
      <c r="H10" s="644">
        <f>SUM(H4:I9)</f>
        <v>1083.53</v>
      </c>
      <c r="I10" s="645"/>
      <c r="J10" s="714"/>
      <c r="K10" s="649"/>
      <c r="M10" s="532" t="s">
        <v>648</v>
      </c>
      <c r="N10" s="533"/>
      <c r="O10" s="525"/>
      <c r="P10" s="534"/>
      <c r="S10" s="37" t="s">
        <v>808</v>
      </c>
      <c r="T10" s="37" t="s">
        <v>809</v>
      </c>
      <c r="U10" s="139"/>
    </row>
    <row r="11" spans="1:23" ht="12" customHeight="1" thickBot="1" x14ac:dyDescent="0.3">
      <c r="C11" s="118"/>
      <c r="D11" s="119"/>
      <c r="E11" s="112"/>
      <c r="F11" s="652" t="str">
        <f>IF(R3=3,"Profit calcuations based on selling in 5 years","")</f>
        <v>Profit calcuations based on selling in 5 years</v>
      </c>
      <c r="G11" s="653"/>
      <c r="H11" s="653"/>
      <c r="I11" s="654"/>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IF(R3=3,+Amortization!AJ10,0)</f>
        <v>298253.79000000015</v>
      </c>
      <c r="H13" s="429"/>
      <c r="I13" s="430"/>
      <c r="J13" s="475" t="s">
        <v>8</v>
      </c>
      <c r="K13" s="477" t="b">
        <v>0</v>
      </c>
      <c r="M13" s="535" t="s">
        <v>650</v>
      </c>
      <c r="N13" s="139">
        <v>80000</v>
      </c>
      <c r="O13" s="332" t="b">
        <f>N13&lt;K61</f>
        <v>1</v>
      </c>
      <c r="P13" s="536">
        <f>K61</f>
        <v>149081.32179919883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722" t="s">
        <v>18</v>
      </c>
      <c r="I14" s="723"/>
      <c r="J14" s="620" t="s">
        <v>19</v>
      </c>
      <c r="K14" s="708"/>
      <c r="M14" s="535" t="s">
        <v>649</v>
      </c>
      <c r="N14" s="538">
        <v>0.35</v>
      </c>
      <c r="O14" s="332" t="b">
        <f>N14&lt;K61/B4</f>
        <v>1</v>
      </c>
      <c r="P14" s="539">
        <f>+K61/B4</f>
        <v>0.53858859031502471</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IF(OR($R$3=1,$R$3=2,$R$3=3),IF(OR($R$3=1,$R$3=2),-C15,Amortization!AI9),0)</f>
        <v>-79062.029999999926</v>
      </c>
      <c r="G15" s="476"/>
      <c r="H15" s="393"/>
      <c r="I15" s="394"/>
      <c r="J15" s="709"/>
      <c r="K15" s="710"/>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709"/>
      <c r="K16" s="710"/>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711"/>
      <c r="K17" s="712"/>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727">
        <f>-SUM(D14:D20)</f>
        <v>130291.26</v>
      </c>
      <c r="C21" s="728"/>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650" t="s">
        <v>629</v>
      </c>
      <c r="K22" s="651"/>
      <c r="P22" s="464"/>
    </row>
    <row r="23" spans="1:22" ht="12" customHeight="1" thickBot="1" x14ac:dyDescent="0.25">
      <c r="A23" s="38" t="s">
        <v>618</v>
      </c>
      <c r="B23" s="358">
        <v>6.5000000000000002E-2</v>
      </c>
      <c r="C23" s="359">
        <v>30</v>
      </c>
      <c r="D23" s="351"/>
      <c r="E23" s="352"/>
      <c r="F23" s="356"/>
      <c r="G23" s="357"/>
      <c r="H23" s="396"/>
      <c r="I23" s="394"/>
      <c r="J23" s="650" t="s">
        <v>615</v>
      </c>
      <c r="K23" s="651"/>
      <c r="P23" s="464"/>
    </row>
    <row r="24" spans="1:22" ht="12" customHeight="1" thickBot="1" x14ac:dyDescent="0.25">
      <c r="A24" s="38" t="s">
        <v>619</v>
      </c>
      <c r="B24" s="724">
        <v>45566</v>
      </c>
      <c r="C24" s="639"/>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730">
        <v>5000</v>
      </c>
      <c r="C27" s="731">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705" t="s">
        <v>25</v>
      </c>
      <c r="K29" s="622"/>
      <c r="Q29" s="139"/>
    </row>
    <row r="30" spans="1:22" ht="12" customHeight="1" thickBot="1" x14ac:dyDescent="0.25">
      <c r="A30" s="136" t="s">
        <v>586</v>
      </c>
      <c r="C30" s="551">
        <f>+B45/C50</f>
        <v>777.53728894722224</v>
      </c>
      <c r="D30" s="378"/>
      <c r="E30" s="352"/>
      <c r="F30" s="356"/>
      <c r="G30" s="357"/>
      <c r="H30" s="395"/>
      <c r="I30" s="394"/>
      <c r="J30" s="706"/>
      <c r="K30" s="707"/>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716" t="s">
        <v>27</v>
      </c>
      <c r="K31" s="717"/>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718"/>
      <c r="K32" s="719"/>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718"/>
      <c r="K33" s="719"/>
    </row>
    <row r="34" spans="1:11" ht="12" customHeight="1" thickBot="1" x14ac:dyDescent="0.25">
      <c r="A34" s="136" t="s">
        <v>955</v>
      </c>
      <c r="B34" s="564">
        <f>+Carrying!K25/Profit!$B$28</f>
        <v>0</v>
      </c>
      <c r="C34" s="125"/>
      <c r="D34" s="378"/>
      <c r="E34" s="352"/>
      <c r="F34" s="356"/>
      <c r="G34" s="357"/>
      <c r="H34" s="395">
        <f t="shared" si="1"/>
        <v>0</v>
      </c>
      <c r="I34" s="394">
        <f t="shared" si="0"/>
        <v>0</v>
      </c>
      <c r="J34" s="720"/>
      <c r="K34" s="721"/>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699" t="s">
        <v>29</v>
      </c>
      <c r="K41" s="701">
        <f>IF(+R3=3,-H54,+B42/B28)</f>
        <v>1493.6555672131149</v>
      </c>
    </row>
    <row r="42" spans="1:11" ht="12" customHeight="1" thickBot="1" x14ac:dyDescent="0.3">
      <c r="A42" s="38" t="s">
        <v>29</v>
      </c>
      <c r="B42" s="697">
        <f>+B28*SUM(B31:B41)</f>
        <v>5503.2800000000007</v>
      </c>
      <c r="C42" s="698"/>
      <c r="D42" s="351">
        <f>-B42</f>
        <v>-5503.2800000000007</v>
      </c>
      <c r="E42" s="352"/>
      <c r="F42" s="356"/>
      <c r="G42" s="357"/>
      <c r="H42" s="395"/>
      <c r="I42" s="394"/>
      <c r="J42" s="700"/>
      <c r="K42" s="702"/>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699" t="s">
        <v>1108</v>
      </c>
      <c r="K44" s="701">
        <f>+SUM(C15:C19)+B44</f>
        <v>174694</v>
      </c>
    </row>
    <row r="45" spans="1:11" ht="12" customHeight="1" thickBot="1" x14ac:dyDescent="0.25">
      <c r="A45" s="136" t="s">
        <v>35</v>
      </c>
      <c r="B45" s="333">
        <f>-D67</f>
        <v>27991.342402099999</v>
      </c>
      <c r="C45" s="125"/>
      <c r="D45" s="378">
        <f>-B45</f>
        <v>-27991.342402099999</v>
      </c>
      <c r="E45" s="352"/>
      <c r="F45" s="356"/>
      <c r="G45" s="357"/>
      <c r="H45" s="396"/>
      <c r="I45" s="394"/>
      <c r="J45" s="700"/>
      <c r="K45" s="702"/>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70" t="s">
        <v>30</v>
      </c>
      <c r="K47" s="695">
        <f>+B21</f>
        <v>130291.26</v>
      </c>
    </row>
    <row r="48" spans="1:11" ht="12" customHeight="1" thickBot="1" x14ac:dyDescent="0.25">
      <c r="A48" s="137" t="s">
        <v>39</v>
      </c>
      <c r="B48" s="432"/>
      <c r="C48" s="138">
        <v>3.5999999999999997E-2</v>
      </c>
      <c r="D48" s="378"/>
      <c r="E48" s="352"/>
      <c r="F48" s="356" t="str">
        <f>IF(Q4,IF(OR(R3=1,R3=2),-C48*$F$10,0),"")</f>
        <v/>
      </c>
      <c r="G48" s="357"/>
      <c r="H48" s="396"/>
      <c r="I48" s="394"/>
      <c r="J48" s="671"/>
      <c r="K48" s="696"/>
    </row>
    <row r="49" spans="1:15" ht="12" customHeight="1" thickBot="1" x14ac:dyDescent="0.25">
      <c r="A49" s="137" t="s">
        <v>40</v>
      </c>
      <c r="B49" s="433"/>
      <c r="C49" s="191">
        <v>2.4E-2</v>
      </c>
      <c r="D49" s="378"/>
      <c r="E49" s="352"/>
      <c r="F49" s="356">
        <f>IF(Q5,IF(OR(R3=1,R3=2),-C49*$F$10,0),"")</f>
        <v>0</v>
      </c>
      <c r="G49" s="357"/>
      <c r="H49" s="396"/>
      <c r="I49" s="394"/>
      <c r="J49" s="670" t="s">
        <v>34</v>
      </c>
      <c r="K49" s="695">
        <f>-E55</f>
        <v>-30966.117597900007</v>
      </c>
    </row>
    <row r="50" spans="1:15" ht="12" customHeight="1" thickBot="1" x14ac:dyDescent="0.25">
      <c r="A50" s="192" t="s">
        <v>41</v>
      </c>
      <c r="B50" s="190"/>
      <c r="C50" s="219">
        <v>36</v>
      </c>
      <c r="D50" s="378"/>
      <c r="E50" s="352"/>
      <c r="F50" s="356"/>
      <c r="G50" s="357"/>
      <c r="H50" s="396"/>
      <c r="I50" s="394"/>
      <c r="J50" s="671"/>
      <c r="K50" s="696"/>
    </row>
    <row r="51" spans="1:15" ht="12" customHeight="1" thickBot="1" x14ac:dyDescent="0.3">
      <c r="A51" s="38" t="s">
        <v>42</v>
      </c>
      <c r="B51" s="685"/>
      <c r="C51" s="686"/>
      <c r="D51" s="379"/>
      <c r="E51" s="352"/>
      <c r="F51" s="356">
        <f>-C51</f>
        <v>0</v>
      </c>
      <c r="G51" s="357"/>
      <c r="H51" s="397"/>
      <c r="I51" s="394"/>
      <c r="J51" s="600" t="s">
        <v>37</v>
      </c>
      <c r="K51" s="667"/>
    </row>
    <row r="52" spans="1:15" ht="12" customHeight="1" thickBot="1" x14ac:dyDescent="0.25">
      <c r="A52" s="38" t="s">
        <v>43</v>
      </c>
      <c r="B52" s="683">
        <f>+D87</f>
        <v>940</v>
      </c>
      <c r="C52" s="684"/>
      <c r="D52" s="378">
        <f>-B52</f>
        <v>-940</v>
      </c>
      <c r="E52" s="352"/>
      <c r="F52" s="356"/>
      <c r="G52" s="357"/>
      <c r="H52" s="397"/>
      <c r="I52" s="394"/>
      <c r="J52" s="668"/>
      <c r="K52" s="669"/>
    </row>
    <row r="53" spans="1:15" ht="12" customHeight="1" thickBot="1" x14ac:dyDescent="0.25">
      <c r="A53" s="38" t="s">
        <v>44</v>
      </c>
      <c r="B53" s="681">
        <f>+D98</f>
        <v>290</v>
      </c>
      <c r="C53" s="682"/>
      <c r="D53" s="380"/>
      <c r="E53" s="381"/>
      <c r="F53" s="382">
        <f>-B53</f>
        <v>-290</v>
      </c>
      <c r="G53" s="383"/>
      <c r="H53" s="398"/>
      <c r="I53" s="399"/>
    </row>
    <row r="54" spans="1:15" ht="12" customHeight="1" thickBot="1" x14ac:dyDescent="0.25">
      <c r="B54" s="679" t="s">
        <v>45</v>
      </c>
      <c r="C54" s="680"/>
      <c r="D54" s="201">
        <f>+SUM(D14:D53)</f>
        <v>-170325.88240210002</v>
      </c>
      <c r="E54" s="459"/>
      <c r="F54" s="460">
        <f>+SUM(F14:F53)</f>
        <v>-156818.02999999991</v>
      </c>
      <c r="G54" s="459"/>
      <c r="H54" s="461">
        <f>SUM(H15:H53)</f>
        <v>-1493.6555672131149</v>
      </c>
      <c r="I54" s="462">
        <f>SUM(I15:I53)+H10</f>
        <v>1403.137813114754</v>
      </c>
    </row>
    <row r="55" spans="1:15" ht="12" customHeight="1" thickBot="1" x14ac:dyDescent="0.25">
      <c r="A55" s="39"/>
      <c r="B55" s="693" t="s">
        <v>46</v>
      </c>
      <c r="C55" s="694"/>
      <c r="D55" s="694"/>
      <c r="E55" s="143">
        <f>+SUM(D10:E53)</f>
        <v>30966.117597900007</v>
      </c>
      <c r="F55" s="646">
        <f>+SUM(F10:G53)</f>
        <v>149854.73800000024</v>
      </c>
      <c r="G55" s="647"/>
      <c r="H55" s="141"/>
      <c r="I55" s="145">
        <f>+SUM(H54:I54)</f>
        <v>-90.517754098360911</v>
      </c>
      <c r="O55" s="112"/>
    </row>
    <row r="56" spans="1:15" ht="12" customHeight="1" x14ac:dyDescent="0.2">
      <c r="A56" s="39"/>
      <c r="B56" s="39"/>
      <c r="D56" s="39"/>
      <c r="E56" s="628" t="s">
        <v>47</v>
      </c>
      <c r="F56" s="629"/>
      <c r="G56" s="140">
        <f>SUM(E55:G55)</f>
        <v>180820.85559790026</v>
      </c>
      <c r="H56" s="141"/>
      <c r="I56" s="142"/>
      <c r="J56" s="609" t="s">
        <v>48</v>
      </c>
      <c r="K56" s="626" t="s">
        <v>49</v>
      </c>
      <c r="O56" s="112"/>
    </row>
    <row r="57" spans="1:15" ht="12" customHeight="1" thickBot="1" x14ac:dyDescent="0.25">
      <c r="A57" s="39"/>
      <c r="B57" s="39"/>
      <c r="E57" s="628" t="s">
        <v>50</v>
      </c>
      <c r="F57" s="629"/>
      <c r="G57" s="629"/>
      <c r="H57" s="463">
        <f>IF(OR(R3=2,R3=3),IF(R3=2,C50,60),0)</f>
        <v>60</v>
      </c>
      <c r="I57" s="202">
        <f>IF(OR(R3=2,R3=3),+H57*I55,0)</f>
        <v>-5431.0652459016546</v>
      </c>
      <c r="J57" s="610"/>
      <c r="K57" s="627"/>
    </row>
    <row r="58" spans="1:15" ht="12" customHeight="1" thickBot="1" x14ac:dyDescent="0.25">
      <c r="A58" s="39"/>
      <c r="B58" s="39"/>
      <c r="E58" s="144"/>
      <c r="F58" s="611" t="s">
        <v>634</v>
      </c>
      <c r="G58" s="612"/>
      <c r="H58" s="128"/>
      <c r="I58" s="128">
        <f>+I57+G56</f>
        <v>175389.79035199861</v>
      </c>
      <c r="J58" s="129">
        <f>$B$25*$I$58</f>
        <v>0</v>
      </c>
      <c r="K58" s="130">
        <f>+$I$58-J58</f>
        <v>175389.79035199861</v>
      </c>
    </row>
    <row r="59" spans="1:15" ht="12" customHeight="1" thickTop="1" thickBot="1" x14ac:dyDescent="0.3">
      <c r="A59" s="131" t="s">
        <v>51</v>
      </c>
      <c r="B59" s="691">
        <f>IF(OR(C1="Hold",D1="slow flip"),0.15,0)</f>
        <v>0.15</v>
      </c>
      <c r="C59" s="692"/>
      <c r="D59" s="131"/>
      <c r="E59" s="131"/>
      <c r="H59" s="336"/>
      <c r="I59" s="337" t="s">
        <v>620</v>
      </c>
      <c r="J59" s="140">
        <f>-I81</f>
        <v>0</v>
      </c>
      <c r="K59" s="176">
        <f>+I81</f>
        <v>0</v>
      </c>
    </row>
    <row r="60" spans="1:15" ht="12" customHeight="1" thickTop="1" thickBot="1" x14ac:dyDescent="0.3">
      <c r="A60" s="38" t="s">
        <v>53</v>
      </c>
      <c r="B60" s="687">
        <v>0.1</v>
      </c>
      <c r="C60" s="688">
        <v>0.15</v>
      </c>
      <c r="D60" s="689">
        <f>+K62*B60</f>
        <v>14908.132179919885</v>
      </c>
      <c r="E60" s="690"/>
      <c r="H60" s="618" t="s">
        <v>52</v>
      </c>
      <c r="I60" s="619"/>
      <c r="J60" s="434" t="s">
        <v>475</v>
      </c>
      <c r="K60" s="176">
        <f>IF(B59="",0,-$B$59*SUM(K58:K59))</f>
        <v>-26308.46855279979</v>
      </c>
    </row>
    <row r="61" spans="1:15" ht="12" customHeight="1" x14ac:dyDescent="0.2">
      <c r="G61" s="39"/>
      <c r="H61" s="618" t="s">
        <v>584</v>
      </c>
      <c r="I61" s="619"/>
      <c r="J61" s="129">
        <f>SUM(J58:J60)</f>
        <v>0</v>
      </c>
      <c r="K61" s="130">
        <f>SUM(K58:K60)</f>
        <v>149081.32179919883</v>
      </c>
    </row>
    <row r="62" spans="1:15" ht="12" customHeight="1" thickBot="1" x14ac:dyDescent="0.25">
      <c r="A62" s="116"/>
      <c r="C62" s="38"/>
      <c r="D62" s="38"/>
      <c r="E62" s="38"/>
      <c r="H62" s="611" t="s">
        <v>635</v>
      </c>
      <c r="I62" s="612"/>
      <c r="J62" s="134"/>
      <c r="K62" s="329">
        <f>SUM(J61:K61)</f>
        <v>149081.32179919883</v>
      </c>
    </row>
    <row r="63" spans="1:15" ht="12" customHeight="1" thickTop="1" x14ac:dyDescent="0.2">
      <c r="A63" s="120" t="s">
        <v>54</v>
      </c>
    </row>
    <row r="64" spans="1:15" ht="12" customHeight="1" thickBot="1" x14ac:dyDescent="0.25">
      <c r="A64" s="38" t="s">
        <v>55</v>
      </c>
      <c r="B64" s="632">
        <f>+'Gnatt Chart'!J5</f>
        <v>25446.674910999998</v>
      </c>
      <c r="C64" s="632"/>
      <c r="D64" s="632">
        <f>-B64</f>
        <v>-25446.674910999998</v>
      </c>
      <c r="E64" s="632"/>
    </row>
    <row r="65" spans="1:11" ht="12" customHeight="1" thickBot="1" x14ac:dyDescent="0.25">
      <c r="A65" s="38" t="s">
        <v>56</v>
      </c>
      <c r="B65" s="132">
        <v>0.1</v>
      </c>
      <c r="D65" s="632"/>
      <c r="E65" s="632"/>
      <c r="G65" s="620" t="s">
        <v>57</v>
      </c>
      <c r="H65" s="621"/>
      <c r="I65" s="621"/>
      <c r="J65" s="622"/>
    </row>
    <row r="66" spans="1:11" ht="12" customHeight="1" thickBot="1" x14ac:dyDescent="0.25">
      <c r="A66" s="38" t="s">
        <v>58</v>
      </c>
      <c r="B66" s="662">
        <f>IF(Q12&lt;&gt;"Yes",+B65*SUM(B64:C64),0)</f>
        <v>2544.6674911</v>
      </c>
      <c r="C66" s="662"/>
      <c r="D66" s="662">
        <f>-B66</f>
        <v>-2544.6674911</v>
      </c>
      <c r="E66" s="662"/>
      <c r="G66" s="623"/>
      <c r="H66" s="624"/>
      <c r="I66" s="624"/>
      <c r="J66" s="625"/>
    </row>
    <row r="67" spans="1:11" ht="12" customHeight="1" thickBot="1" x14ac:dyDescent="0.25">
      <c r="A67" s="38" t="s">
        <v>59</v>
      </c>
      <c r="D67" s="630">
        <f>+SUM(D64:E66)</f>
        <v>-27991.342402099999</v>
      </c>
      <c r="E67" s="631"/>
      <c r="G67" s="606" t="s">
        <v>570</v>
      </c>
      <c r="H67" s="607"/>
      <c r="I67" s="607"/>
      <c r="J67" s="608"/>
    </row>
    <row r="68" spans="1:11" ht="12" customHeight="1" thickTop="1" thickBot="1" x14ac:dyDescent="0.25">
      <c r="A68" s="133" t="s">
        <v>60</v>
      </c>
      <c r="B68" s="131"/>
      <c r="C68" s="131"/>
      <c r="D68" s="38"/>
      <c r="E68" s="38"/>
      <c r="G68" s="603"/>
      <c r="H68" s="604"/>
      <c r="I68" s="604"/>
      <c r="J68" s="605"/>
    </row>
    <row r="69" spans="1:11" ht="12" customHeight="1" x14ac:dyDescent="0.2">
      <c r="A69" s="38" t="s">
        <v>61</v>
      </c>
      <c r="B69" s="660">
        <v>350</v>
      </c>
      <c r="C69" s="661"/>
      <c r="D69" s="632"/>
      <c r="E69" s="632"/>
      <c r="H69" s="37"/>
      <c r="I69" s="37"/>
    </row>
    <row r="70" spans="1:11" ht="12" customHeight="1" thickBot="1" x14ac:dyDescent="0.25">
      <c r="A70" s="38" t="s">
        <v>62</v>
      </c>
      <c r="B70" s="640">
        <v>0</v>
      </c>
      <c r="C70" s="641"/>
      <c r="D70" s="632"/>
      <c r="E70" s="632"/>
      <c r="H70" s="37"/>
      <c r="I70" s="37"/>
    </row>
    <row r="71" spans="1:11" ht="12" customHeight="1" thickBot="1" x14ac:dyDescent="0.25">
      <c r="A71" s="38" t="s">
        <v>63</v>
      </c>
      <c r="B71" s="640">
        <v>250</v>
      </c>
      <c r="C71" s="641"/>
      <c r="F71" s="659" t="s">
        <v>484</v>
      </c>
      <c r="G71" s="635"/>
      <c r="H71" s="635" t="s">
        <v>216</v>
      </c>
      <c r="I71" s="635"/>
      <c r="J71" s="312" t="s">
        <v>485</v>
      </c>
    </row>
    <row r="72" spans="1:11" ht="12" customHeight="1" thickBot="1" x14ac:dyDescent="0.3">
      <c r="A72" s="38" t="s">
        <v>63</v>
      </c>
      <c r="B72" s="640"/>
      <c r="C72" s="641"/>
      <c r="F72" s="636">
        <f>_xlfn.DAYS(J72,H72)</f>
        <v>183</v>
      </c>
      <c r="G72" s="637"/>
      <c r="H72" s="638">
        <v>45748</v>
      </c>
      <c r="I72" s="639"/>
      <c r="J72" s="524">
        <v>45931</v>
      </c>
    </row>
    <row r="73" spans="1:11" ht="12" customHeight="1" x14ac:dyDescent="0.2">
      <c r="A73" s="38" t="s">
        <v>64</v>
      </c>
      <c r="B73" s="640"/>
      <c r="C73" s="641"/>
      <c r="D73" s="122"/>
      <c r="E73" s="114"/>
      <c r="F73" s="114"/>
      <c r="G73" s="114"/>
      <c r="H73" s="313"/>
      <c r="I73" s="314"/>
      <c r="J73" s="114"/>
      <c r="K73" s="613" t="s">
        <v>568</v>
      </c>
    </row>
    <row r="74" spans="1:11" ht="12" customHeight="1" x14ac:dyDescent="0.2">
      <c r="A74" s="38" t="s">
        <v>64</v>
      </c>
      <c r="B74" s="640"/>
      <c r="C74" s="641"/>
      <c r="D74" s="315"/>
      <c r="G74" s="616" t="s">
        <v>486</v>
      </c>
      <c r="H74" s="616" t="s">
        <v>487</v>
      </c>
      <c r="I74" s="616" t="s">
        <v>488</v>
      </c>
      <c r="J74" s="616" t="s">
        <v>489</v>
      </c>
      <c r="K74" s="614"/>
    </row>
    <row r="75" spans="1:11" ht="12" customHeight="1" thickBot="1" x14ac:dyDescent="0.25">
      <c r="A75" s="38" t="s">
        <v>65</v>
      </c>
      <c r="B75" s="640"/>
      <c r="C75" s="641"/>
      <c r="D75" s="115" t="s">
        <v>257</v>
      </c>
      <c r="E75" s="672" t="s">
        <v>490</v>
      </c>
      <c r="F75" s="672"/>
      <c r="G75" s="617"/>
      <c r="H75" s="617"/>
      <c r="I75" s="617"/>
      <c r="J75" s="617"/>
      <c r="K75" s="615"/>
    </row>
    <row r="76" spans="1:11" ht="12" customHeight="1" x14ac:dyDescent="0.25">
      <c r="A76" s="38" t="s">
        <v>66</v>
      </c>
      <c r="B76" s="640"/>
      <c r="C76" s="641"/>
      <c r="D76" s="387">
        <v>45397</v>
      </c>
      <c r="E76" s="673" t="s">
        <v>623</v>
      </c>
      <c r="F76" s="674"/>
      <c r="G76" s="388"/>
      <c r="H76" s="389">
        <f>+G76/$G$82</f>
        <v>0</v>
      </c>
      <c r="I76" s="390">
        <f>+$J$58*H76</f>
        <v>0</v>
      </c>
      <c r="J76" s="391">
        <f>+G76+I76</f>
        <v>0</v>
      </c>
      <c r="K76" s="392">
        <f>IF(G76="",0,+I76/G76*365/_xlfn.DAYS($J$72,D76))</f>
        <v>0</v>
      </c>
    </row>
    <row r="77" spans="1:11" ht="12" customHeight="1" x14ac:dyDescent="0.25">
      <c r="A77" s="38" t="s">
        <v>67</v>
      </c>
      <c r="B77" s="640"/>
      <c r="C77" s="641"/>
      <c r="D77" s="387">
        <f>+D76+90</f>
        <v>45487</v>
      </c>
      <c r="E77" s="673" t="str">
        <f>+E76</f>
        <v>unknown</v>
      </c>
      <c r="F77" s="674"/>
      <c r="G77" s="388"/>
      <c r="H77" s="389">
        <f>+G77/$G$82</f>
        <v>0</v>
      </c>
      <c r="I77" s="390">
        <f>+$J$58*H77</f>
        <v>0</v>
      </c>
      <c r="J77" s="391">
        <f>+G77+I77</f>
        <v>0</v>
      </c>
      <c r="K77" s="392">
        <f>IF(G77="",0,+I77/G77*365/_xlfn.DAYS($J$72,D77))</f>
        <v>0</v>
      </c>
    </row>
    <row r="78" spans="1:11" ht="12" customHeight="1" x14ac:dyDescent="0.25">
      <c r="A78" s="38" t="s">
        <v>68</v>
      </c>
      <c r="B78" s="640"/>
      <c r="C78" s="641"/>
      <c r="D78" s="387">
        <f>+D77+270</f>
        <v>45757</v>
      </c>
      <c r="E78" s="673" t="str">
        <f>+E77</f>
        <v>unknown</v>
      </c>
      <c r="F78" s="674"/>
      <c r="G78" s="388"/>
      <c r="H78" s="389">
        <f>+G78/$G$82</f>
        <v>0</v>
      </c>
      <c r="I78" s="390">
        <f>+$J$58*H78</f>
        <v>0</v>
      </c>
      <c r="J78" s="391">
        <f>+G78+I78</f>
        <v>0</v>
      </c>
      <c r="K78" s="392">
        <f>IF(G78="",0,+I78/G78*365/_xlfn.DAYS($J$72,D78))</f>
        <v>0</v>
      </c>
    </row>
    <row r="79" spans="1:11" ht="12" customHeight="1" thickBot="1" x14ac:dyDescent="0.3">
      <c r="A79" s="38" t="s">
        <v>69</v>
      </c>
      <c r="B79" s="640"/>
      <c r="C79" s="641"/>
      <c r="D79" s="387">
        <f>+J72-120</f>
        <v>45811</v>
      </c>
      <c r="E79" s="673" t="str">
        <f>+E78</f>
        <v>unknown</v>
      </c>
      <c r="F79" s="674"/>
      <c r="G79" s="388"/>
      <c r="H79" s="389">
        <f>+G79/$G$82</f>
        <v>0</v>
      </c>
      <c r="I79" s="390">
        <f>+$J$58*H79</f>
        <v>0</v>
      </c>
      <c r="J79" s="391">
        <f>+G79+I79</f>
        <v>0</v>
      </c>
      <c r="K79" s="392">
        <f>IF(G79="",0,+I79/G79*365/_xlfn.DAYS($J$72,D79))</f>
        <v>0</v>
      </c>
    </row>
    <row r="80" spans="1:11" ht="12" customHeight="1" thickBot="1" x14ac:dyDescent="0.3">
      <c r="A80" s="38" t="s">
        <v>70</v>
      </c>
      <c r="B80" s="640">
        <v>200</v>
      </c>
      <c r="C80" s="641"/>
      <c r="D80" s="360">
        <v>45422</v>
      </c>
      <c r="E80" s="675" t="str">
        <f>+F1</f>
        <v>Heritage Management</v>
      </c>
      <c r="F80" s="676"/>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640"/>
      <c r="C81" s="641"/>
      <c r="D81" s="365" t="str">
        <f>+J71</f>
        <v>End Date</v>
      </c>
      <c r="E81" s="633" t="s">
        <v>621</v>
      </c>
      <c r="F81" s="634"/>
      <c r="G81" s="366">
        <f>+SUM(G75:G78)</f>
        <v>0</v>
      </c>
      <c r="H81" s="367">
        <f>+SUM(H75:H78)</f>
        <v>0</v>
      </c>
      <c r="I81" s="366">
        <f>+SUM(I75:I78)</f>
        <v>0</v>
      </c>
      <c r="J81" s="366">
        <f>+SUM(J75:J78)</f>
        <v>0</v>
      </c>
      <c r="K81" s="368">
        <f>AVERAGE(K75:K78)</f>
        <v>0</v>
      </c>
    </row>
    <row r="82" spans="1:11" ht="12" customHeight="1" thickBot="1" x14ac:dyDescent="0.3">
      <c r="A82" s="38" t="s">
        <v>72</v>
      </c>
      <c r="B82" s="640"/>
      <c r="C82" s="641"/>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640">
        <v>90</v>
      </c>
      <c r="C83" s="641"/>
      <c r="D83" s="632"/>
      <c r="E83" s="632"/>
    </row>
    <row r="84" spans="1:11" ht="12" customHeight="1" x14ac:dyDescent="0.2">
      <c r="A84" s="38" t="s">
        <v>569</v>
      </c>
      <c r="B84" s="640">
        <v>20</v>
      </c>
      <c r="C84" s="641"/>
      <c r="D84" s="632"/>
      <c r="E84" s="632"/>
    </row>
    <row r="85" spans="1:11" ht="12" customHeight="1" x14ac:dyDescent="0.2">
      <c r="A85" s="38" t="s">
        <v>74</v>
      </c>
      <c r="B85" s="640">
        <v>30</v>
      </c>
      <c r="C85" s="641"/>
      <c r="D85" s="632"/>
      <c r="E85" s="632"/>
    </row>
    <row r="86" spans="1:11" ht="12" customHeight="1" thickBot="1" x14ac:dyDescent="0.25">
      <c r="A86" s="38" t="s">
        <v>75</v>
      </c>
      <c r="B86" s="677"/>
      <c r="C86" s="678"/>
      <c r="D86" s="665"/>
      <c r="E86" s="666"/>
    </row>
    <row r="87" spans="1:11" ht="12" customHeight="1" thickBot="1" x14ac:dyDescent="0.25">
      <c r="D87" s="630">
        <f>+SUM(B69:C86)</f>
        <v>940</v>
      </c>
      <c r="E87" s="631"/>
      <c r="G87" s="600" t="s">
        <v>76</v>
      </c>
      <c r="H87" s="601"/>
      <c r="I87" s="601"/>
      <c r="J87" s="602"/>
    </row>
    <row r="88" spans="1:11" ht="12" customHeight="1" thickBot="1" x14ac:dyDescent="0.25">
      <c r="G88" s="603"/>
      <c r="H88" s="604"/>
      <c r="I88" s="604"/>
      <c r="J88" s="605"/>
    </row>
    <row r="89" spans="1:11" ht="12" customHeight="1" thickTop="1" thickBot="1" x14ac:dyDescent="0.25">
      <c r="A89" s="133" t="s">
        <v>77</v>
      </c>
      <c r="B89" s="131"/>
      <c r="C89" s="131"/>
      <c r="D89" s="131"/>
      <c r="E89" s="131"/>
    </row>
    <row r="90" spans="1:11" ht="12" customHeight="1" x14ac:dyDescent="0.2">
      <c r="A90" s="38" t="s">
        <v>61</v>
      </c>
      <c r="B90" s="660"/>
      <c r="C90" s="661"/>
      <c r="D90" s="632"/>
      <c r="E90" s="632"/>
    </row>
    <row r="91" spans="1:11" ht="12" customHeight="1" x14ac:dyDescent="0.2">
      <c r="A91" s="38" t="s">
        <v>63</v>
      </c>
      <c r="B91" s="640">
        <v>250</v>
      </c>
      <c r="C91" s="641"/>
      <c r="D91" s="632"/>
      <c r="E91" s="632"/>
    </row>
    <row r="92" spans="1:11" ht="12" customHeight="1" x14ac:dyDescent="0.2">
      <c r="A92" s="38" t="s">
        <v>78</v>
      </c>
      <c r="B92" s="640">
        <v>0</v>
      </c>
      <c r="C92" s="641"/>
      <c r="D92" s="632"/>
      <c r="E92" s="632"/>
    </row>
    <row r="93" spans="1:11" ht="12" customHeight="1" x14ac:dyDescent="0.2">
      <c r="A93" s="38" t="s">
        <v>79</v>
      </c>
      <c r="B93" s="640"/>
      <c r="C93" s="641"/>
      <c r="D93" s="632"/>
      <c r="E93" s="632"/>
    </row>
    <row r="94" spans="1:11" ht="12" customHeight="1" x14ac:dyDescent="0.2">
      <c r="A94" s="38" t="s">
        <v>73</v>
      </c>
      <c r="B94" s="640"/>
      <c r="C94" s="641"/>
      <c r="D94" s="632"/>
      <c r="E94" s="632"/>
    </row>
    <row r="95" spans="1:11" ht="12" customHeight="1" x14ac:dyDescent="0.2">
      <c r="A95" s="38" t="s">
        <v>80</v>
      </c>
      <c r="B95" s="640">
        <v>40</v>
      </c>
      <c r="C95" s="641"/>
      <c r="D95" s="632"/>
      <c r="E95" s="632"/>
    </row>
    <row r="96" spans="1:11" ht="12" customHeight="1" x14ac:dyDescent="0.2">
      <c r="A96" s="38" t="s">
        <v>81</v>
      </c>
      <c r="B96" s="640"/>
      <c r="C96" s="641"/>
      <c r="D96" s="632"/>
      <c r="E96" s="632"/>
    </row>
    <row r="97" spans="1:10" ht="12" customHeight="1" thickBot="1" x14ac:dyDescent="0.25">
      <c r="A97" s="38" t="s">
        <v>75</v>
      </c>
      <c r="B97" s="663"/>
      <c r="C97" s="664"/>
      <c r="D97" s="665"/>
      <c r="E97" s="666"/>
    </row>
    <row r="98" spans="1:10" ht="12" customHeight="1" thickTop="1" thickBot="1" x14ac:dyDescent="0.25">
      <c r="D98" s="630">
        <f>+SUM(B90:C97)</f>
        <v>290</v>
      </c>
      <c r="E98" s="631"/>
      <c r="G98" s="600" t="s">
        <v>82</v>
      </c>
      <c r="H98" s="601"/>
      <c r="I98" s="601"/>
      <c r="J98" s="602"/>
    </row>
    <row r="99" spans="1:10" ht="12" customHeight="1" thickBot="1" x14ac:dyDescent="0.25">
      <c r="G99" s="603"/>
      <c r="H99" s="604"/>
      <c r="I99" s="604"/>
      <c r="J99" s="605"/>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39" t="s">
        <v>606</v>
      </c>
      <c r="Z3" s="740"/>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39" t="s">
        <v>607</v>
      </c>
      <c r="Z4" s="740"/>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48" t="s">
        <v>598</v>
      </c>
      <c r="Z5" s="749"/>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742"/>
      <c r="Z11" s="743"/>
      <c r="AC11" s="507"/>
      <c r="AG11" s="30" t="s">
        <v>660</v>
      </c>
      <c r="AH11"/>
      <c r="AI11" s="468">
        <f>SUM(AI8:AI10)</f>
        <v>234364.13000000018</v>
      </c>
      <c r="AJ11" s="468">
        <f>SUM(AJ8:AJ10)</f>
        <v>284203.56000000023</v>
      </c>
      <c r="AK11" s="14"/>
      <c r="AP11" s="468"/>
      <c r="AQ11" s="468"/>
      <c r="AR11" s="285"/>
    </row>
    <row r="12" spans="1:51" ht="15.75" thickBot="1" x14ac:dyDescent="0.3">
      <c r="N12" s="754" t="str">
        <f>"Mortgage Fixed at "&amp; O6</f>
        <v>Mortgage Fixed at 0.0625</v>
      </c>
      <c r="O12" s="755"/>
      <c r="P12" s="755"/>
      <c r="Q12" s="755"/>
      <c r="R12" s="755"/>
      <c r="S12" s="755"/>
      <c r="T12" s="755"/>
      <c r="U12" s="755"/>
      <c r="V12" s="755"/>
      <c r="W12" s="756"/>
      <c r="Y12" s="754" t="str">
        <f>"Mortgage Reduced to "&amp;AA8&amp;"% for 1st 5 years then "&amp;AA9 &amp; "%"</f>
        <v>Mortgage Reduced to 0.0375% for 1st 5 years then 0.0625%</v>
      </c>
      <c r="Z12" s="755"/>
      <c r="AA12" s="755"/>
      <c r="AB12" s="755"/>
      <c r="AC12" s="755"/>
      <c r="AD12" s="755"/>
      <c r="AE12" s="755"/>
      <c r="AF12" s="755"/>
      <c r="AG12" s="755"/>
      <c r="AH12" s="755"/>
      <c r="AI12" s="757"/>
      <c r="AJ12" s="757"/>
      <c r="AK12" s="757"/>
      <c r="AL12" s="728"/>
    </row>
    <row r="13" spans="1:51" ht="15" customHeight="1" thickBot="1" x14ac:dyDescent="0.3">
      <c r="C13" s="750" t="s">
        <v>695</v>
      </c>
      <c r="D13" s="751"/>
      <c r="E13" s="752"/>
      <c r="F13" s="752"/>
      <c r="G13" s="752"/>
      <c r="H13" s="753"/>
      <c r="I13" s="741" t="s">
        <v>691</v>
      </c>
      <c r="J13" s="637"/>
      <c r="N13" s="521"/>
      <c r="U13" s="744" t="s">
        <v>691</v>
      </c>
      <c r="V13" s="746"/>
      <c r="W13" s="521"/>
      <c r="Y13" s="521"/>
      <c r="AA13" s="744" t="s">
        <v>695</v>
      </c>
      <c r="AB13" s="745"/>
      <c r="AC13" s="747"/>
      <c r="AD13" s="747"/>
      <c r="AE13" s="747"/>
      <c r="AF13" s="721"/>
      <c r="AG13" s="744" t="s">
        <v>691</v>
      </c>
      <c r="AH13" s="746"/>
      <c r="AI13" s="744" t="s">
        <v>708</v>
      </c>
      <c r="AJ13" s="745"/>
      <c r="AK13" s="746"/>
      <c r="AL13" s="521"/>
      <c r="AN13" s="741" t="s">
        <v>724</v>
      </c>
      <c r="AO13" s="637"/>
      <c r="AP13" s="741" t="s">
        <v>725</v>
      </c>
      <c r="AQ13" s="637"/>
      <c r="AT13" s="516" t="s">
        <v>691</v>
      </c>
      <c r="AU13" s="741" t="s">
        <v>706</v>
      </c>
      <c r="AV13" s="637"/>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+Amortization!AA5</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+Amortization!Z8</f>
        <v>1533.81</v>
      </c>
      <c r="C14" s="492"/>
      <c r="D14" s="492"/>
      <c r="AT14" s="22"/>
      <c r="AU14" s="15"/>
      <c r="AV14" s="15"/>
    </row>
    <row r="15" spans="1:70" ht="13.5" customHeight="1" x14ac:dyDescent="0.25">
      <c r="A15" s="496" t="s">
        <v>710</v>
      </c>
      <c r="B15" s="492">
        <f>+Amortization!Z9</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TEXT(Amortization!$C$3,"0.000%")</f>
        <v>3.750%</v>
      </c>
      <c r="C40" s="492"/>
      <c r="D40" s="492"/>
      <c r="AT40" s="22"/>
      <c r="AU40" s="15"/>
      <c r="AV40" s="15"/>
    </row>
    <row r="41" spans="1:48" x14ac:dyDescent="0.25">
      <c r="A41" s="496" t="s">
        <v>729</v>
      </c>
      <c r="B41" s="492" t="str">
        <f>TEXT(+Amortization!AA8,"0.000%")</f>
        <v>3.750%</v>
      </c>
      <c r="C41" s="492"/>
      <c r="D41" s="492"/>
      <c r="AT41" s="22"/>
      <c r="AU41" s="15"/>
      <c r="AV41" s="15"/>
    </row>
    <row r="42" spans="1:48" x14ac:dyDescent="0.25">
      <c r="A42" s="496" t="s">
        <v>728</v>
      </c>
      <c r="B42" s="492" t="str">
        <f>TEXT(Amortization!$O$6,"0.000%")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+Amortization!$T$9</f>
        <v>188.55</v>
      </c>
      <c r="C54" s="491"/>
      <c r="D54" s="491"/>
      <c r="AU54" s="22"/>
      <c r="AV54" s="22"/>
      <c r="AW54" s="15"/>
    </row>
    <row r="55" spans="1:49" x14ac:dyDescent="0.25">
      <c r="A55" s="496" t="s">
        <v>668</v>
      </c>
      <c r="B55" s="491">
        <f>+Amortization!$T$8</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topLeftCell="A3"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9.140625" customWidth="1"/>
    <col min="9" max="9" width="17"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571"/>
      <c r="C1" s="571"/>
      <c r="D1" s="527" t="s">
        <v>793</v>
      </c>
      <c r="E1" s="572"/>
      <c r="F1" s="571"/>
      <c r="G1" s="25"/>
      <c r="H1" s="527" t="s">
        <v>796</v>
      </c>
      <c r="I1" s="571"/>
      <c r="J1" s="571"/>
      <c r="K1" s="135"/>
    </row>
    <row r="2" spans="1:11" ht="15.75" customHeight="1" x14ac:dyDescent="0.25">
      <c r="A2" s="30" t="s">
        <v>1109</v>
      </c>
      <c r="B2" s="571"/>
      <c r="C2" s="571"/>
      <c r="D2" s="496" t="s">
        <v>1110</v>
      </c>
      <c r="E2" s="573"/>
      <c r="F2" s="571"/>
      <c r="G2" s="25"/>
      <c r="H2" s="30" t="s">
        <v>797</v>
      </c>
      <c r="I2" s="571">
        <v>8047.08</v>
      </c>
      <c r="J2" s="571"/>
      <c r="K2" s="135"/>
    </row>
    <row r="3" spans="1:11" ht="15.75" customHeight="1" x14ac:dyDescent="0.25">
      <c r="A3" s="30" t="s">
        <v>1111</v>
      </c>
      <c r="B3" s="571"/>
      <c r="C3" s="574"/>
      <c r="D3" s="496" t="s">
        <v>1112</v>
      </c>
      <c r="E3" s="575" t="str">
        <f>IF(E2="",+'Replacement Docs'!B33,E2)</f>
        <v>Laurence A. Tunnard and April D. Tunnard</v>
      </c>
      <c r="F3" s="571"/>
      <c r="G3" s="25"/>
      <c r="H3" s="30" t="s">
        <v>1113</v>
      </c>
      <c r="I3" s="575">
        <f>+I2/2/6</f>
        <v>670.59</v>
      </c>
      <c r="J3" s="571"/>
      <c r="K3" s="135"/>
    </row>
    <row r="4" spans="1:11" ht="15.75" customHeight="1" x14ac:dyDescent="0.25">
      <c r="A4" s="30" t="s">
        <v>1114</v>
      </c>
      <c r="B4" s="571"/>
      <c r="C4" s="571"/>
      <c r="D4" s="496" t="s">
        <v>753</v>
      </c>
      <c r="E4" s="576">
        <f ca="1">YEAR(NOW()+365*3)</f>
        <v>2029</v>
      </c>
      <c r="F4" s="571"/>
      <c r="G4" s="25"/>
      <c r="H4" s="30" t="s">
        <v>1115</v>
      </c>
      <c r="I4" s="575">
        <f>+I2/2</f>
        <v>4023.54</v>
      </c>
      <c r="J4" s="571"/>
      <c r="K4" s="135"/>
    </row>
    <row r="5" spans="1:11" ht="15.75" customHeight="1" x14ac:dyDescent="0.25">
      <c r="A5" s="30" t="s">
        <v>1114</v>
      </c>
      <c r="B5" s="571"/>
      <c r="C5" s="571"/>
      <c r="D5" s="30" t="s">
        <v>756</v>
      </c>
      <c r="E5" s="575" t="s">
        <v>795</v>
      </c>
      <c r="F5" s="571"/>
      <c r="G5" s="25"/>
      <c r="H5" s="30" t="s">
        <v>1116</v>
      </c>
      <c r="I5" s="571" t="str">
        <f>"A balloon payment of " &amp; TEXT(I4,"$#,##0.00") &amp; " will be due when the property is resold by the purchaser"</f>
        <v>A balloon payment of $4,023.54 will be due when the property is resold by the purchaser</v>
      </c>
      <c r="J5" s="571"/>
      <c r="K5" s="135"/>
    </row>
    <row r="6" spans="1:11" ht="15.75" customHeight="1" x14ac:dyDescent="0.25">
      <c r="A6" s="30" t="s">
        <v>744</v>
      </c>
      <c r="B6" s="571" t="s">
        <v>750</v>
      </c>
      <c r="C6" s="571"/>
      <c r="D6" s="30" t="s">
        <v>1117</v>
      </c>
      <c r="E6" s="573"/>
      <c r="F6" s="571"/>
      <c r="G6" s="25"/>
      <c r="H6" s="30" t="s">
        <v>1118</v>
      </c>
      <c r="I6" s="30" t="str">
        <f>IF(J6="Yes","Limited Allowance Compensating for Rent", "DON'T USE")</f>
        <v>DON'T USE</v>
      </c>
      <c r="J6" s="577" t="s">
        <v>1119</v>
      </c>
      <c r="K6" s="135"/>
    </row>
    <row r="7" spans="1:11" ht="15.75" customHeight="1" x14ac:dyDescent="0.25">
      <c r="A7" s="30" t="s">
        <v>735</v>
      </c>
      <c r="B7" s="578">
        <f>+Amortization!AA5</f>
        <v>331193.40000000002</v>
      </c>
      <c r="C7" s="579"/>
      <c r="D7" s="30" t="s">
        <v>1120</v>
      </c>
      <c r="E7" s="575" t="str">
        <f>IF(E6="X","[X] If checked, The rent shall adjust, annually, to exactly the amount of the mortgage payment, property insurance, real estate taxes, plus $10.00."," ")</f>
        <v xml:space="preserve"> </v>
      </c>
      <c r="F7" s="579"/>
      <c r="G7" s="489"/>
      <c r="H7" s="30" t="s">
        <v>1121</v>
      </c>
      <c r="I7" s="30" t="str">
        <f>IF(J7="Yes","Part of Purchase and Sale Agreement", "DON'T USE")</f>
        <v>Part of Purchase and Sale Agreement</v>
      </c>
      <c r="J7" s="577" t="s">
        <v>32</v>
      </c>
      <c r="K7" s="135"/>
    </row>
    <row r="8" spans="1:11" ht="15.75" customHeight="1" x14ac:dyDescent="0.25">
      <c r="A8" s="30" t="s">
        <v>1122</v>
      </c>
      <c r="B8" s="578">
        <f>+Amortization!K2</f>
        <v>0</v>
      </c>
      <c r="C8" s="579"/>
      <c r="D8" s="30" t="s">
        <v>1123</v>
      </c>
      <c r="E8" s="580">
        <v>0</v>
      </c>
      <c r="F8" s="579"/>
      <c r="G8" s="489"/>
      <c r="H8" s="30" t="s">
        <v>804</v>
      </c>
      <c r="I8" s="529">
        <v>10</v>
      </c>
      <c r="J8" s="529"/>
      <c r="K8" s="135"/>
    </row>
    <row r="9" spans="1:11" ht="16.5" customHeight="1" thickBot="1" x14ac:dyDescent="0.3">
      <c r="A9" s="496" t="s">
        <v>732</v>
      </c>
      <c r="B9" s="578">
        <f>+Amortization!$O$4-B48</f>
        <v>28964</v>
      </c>
      <c r="C9" s="579"/>
      <c r="D9" s="30" t="s">
        <v>752</v>
      </c>
      <c r="E9" s="581">
        <f>Carrying!E5</f>
        <v>660.59</v>
      </c>
      <c r="F9" s="579"/>
      <c r="G9" s="489"/>
      <c r="H9" s="30" t="s">
        <v>799</v>
      </c>
      <c r="I9" s="571">
        <v>12</v>
      </c>
      <c r="J9" s="571"/>
      <c r="K9" s="135"/>
    </row>
    <row r="10" spans="1:11" ht="16.5" customHeight="1" thickBot="1" x14ac:dyDescent="0.3">
      <c r="A10" s="496" t="s">
        <v>598</v>
      </c>
      <c r="B10" s="582">
        <v>323403.81</v>
      </c>
      <c r="C10" s="575"/>
      <c r="D10" s="527" t="s">
        <v>746</v>
      </c>
      <c r="E10" s="571"/>
      <c r="F10" s="575"/>
      <c r="G10" s="490"/>
      <c r="H10" s="30" t="s">
        <v>121</v>
      </c>
      <c r="I10" s="571">
        <v>0</v>
      </c>
      <c r="J10" s="571"/>
      <c r="K10" s="135"/>
    </row>
    <row r="11" spans="1:11" ht="13.5" customHeight="1" x14ac:dyDescent="0.25">
      <c r="A11" s="496" t="s">
        <v>712</v>
      </c>
      <c r="B11" s="583">
        <f>SUM(B12:B12)</f>
        <v>1533.81</v>
      </c>
      <c r="C11" s="584"/>
      <c r="D11" s="30" t="s">
        <v>670</v>
      </c>
      <c r="E11" s="585" t="str">
        <f>+Profit!$B$2</f>
        <v>4121 Tensity Dr</v>
      </c>
      <c r="F11" s="584"/>
      <c r="G11" s="493"/>
      <c r="H11" s="30" t="s">
        <v>801</v>
      </c>
      <c r="I11" s="571" t="str">
        <f>IF(I2&gt;0,"X","")</f>
        <v>X</v>
      </c>
      <c r="J11" s="571"/>
      <c r="K11" s="135"/>
    </row>
    <row r="12" spans="1:11" ht="13.5" customHeight="1" x14ac:dyDescent="0.25">
      <c r="A12" s="496" t="s">
        <v>679</v>
      </c>
      <c r="B12" s="586">
        <f>+Amortization!Z8</f>
        <v>1533.81</v>
      </c>
      <c r="C12" s="587"/>
      <c r="D12" s="30" t="s">
        <v>672</v>
      </c>
      <c r="E12" s="585" t="str">
        <f>+Profit!$E$2</f>
        <v>Raleigh, NC 27604</v>
      </c>
      <c r="F12" s="587"/>
      <c r="G12" s="492"/>
      <c r="H12" s="30" t="s">
        <v>1124</v>
      </c>
      <c r="I12" s="571" t="s">
        <v>1125</v>
      </c>
      <c r="J12" s="571"/>
      <c r="K12" s="135"/>
    </row>
    <row r="13" spans="1:11" ht="13.5" customHeight="1" thickBot="1" x14ac:dyDescent="0.3">
      <c r="A13" s="496" t="s">
        <v>710</v>
      </c>
      <c r="B13" s="586">
        <f>+Amortization!Z9</f>
        <v>1630.04</v>
      </c>
      <c r="C13" s="587"/>
      <c r="D13" s="30" t="s">
        <v>664</v>
      </c>
      <c r="E13" s="571" t="s">
        <v>803</v>
      </c>
      <c r="F13" s="587"/>
      <c r="G13" s="492"/>
      <c r="H13" s="30"/>
      <c r="I13" s="571"/>
      <c r="J13" s="571"/>
      <c r="K13" s="135"/>
    </row>
    <row r="14" spans="1:11" ht="13.5" customHeight="1" thickBot="1" x14ac:dyDescent="0.3">
      <c r="A14" s="496" t="s">
        <v>711</v>
      </c>
      <c r="B14" s="583">
        <f>SUM(B13:B13)</f>
        <v>1630.04</v>
      </c>
      <c r="C14" s="584"/>
      <c r="D14" s="496" t="s">
        <v>666</v>
      </c>
      <c r="E14" s="571">
        <f>+E15*12</f>
        <v>2262.6000000000004</v>
      </c>
      <c r="F14" s="584"/>
      <c r="G14" s="493"/>
      <c r="H14" s="527" t="s">
        <v>1126</v>
      </c>
      <c r="I14" s="571"/>
      <c r="J14" s="571"/>
      <c r="K14" s="135"/>
    </row>
    <row r="15" spans="1:11" ht="13.5" customHeight="1" x14ac:dyDescent="0.25">
      <c r="A15" s="496" t="s">
        <v>680</v>
      </c>
      <c r="B15" s="582">
        <v>30</v>
      </c>
      <c r="C15" s="584"/>
      <c r="D15" s="496" t="s">
        <v>667</v>
      </c>
      <c r="E15" s="588">
        <f>+Amortization!$T$9</f>
        <v>188.55</v>
      </c>
      <c r="F15" s="584"/>
      <c r="G15" s="493"/>
      <c r="H15" s="30" t="s">
        <v>1127</v>
      </c>
      <c r="I15" s="589"/>
      <c r="J15" s="571"/>
      <c r="K15" s="135"/>
    </row>
    <row r="16" spans="1:11" ht="13.5" customHeight="1" x14ac:dyDescent="0.25">
      <c r="A16" s="30" t="s">
        <v>716</v>
      </c>
      <c r="B16" s="585">
        <f>+B15*12</f>
        <v>360</v>
      </c>
      <c r="C16" s="584"/>
      <c r="D16" s="496" t="s">
        <v>668</v>
      </c>
      <c r="E16" s="588">
        <f>+Amortization!$T$8</f>
        <v>134.16999999999999</v>
      </c>
      <c r="F16" s="584"/>
      <c r="G16" s="493"/>
      <c r="H16" s="30" t="s">
        <v>1128</v>
      </c>
      <c r="I16" s="589"/>
      <c r="J16" s="571"/>
      <c r="K16" s="135"/>
    </row>
    <row r="17" spans="1:11" ht="13.5" customHeight="1" thickBot="1" x14ac:dyDescent="0.3">
      <c r="A17" s="30" t="s">
        <v>715</v>
      </c>
      <c r="B17" s="585">
        <f>+B16-60</f>
        <v>300</v>
      </c>
      <c r="C17" s="584"/>
      <c r="D17" s="497" t="s">
        <v>669</v>
      </c>
      <c r="E17" s="571">
        <v>0</v>
      </c>
      <c r="F17" s="584"/>
      <c r="G17" s="493"/>
      <c r="H17" s="30" t="s">
        <v>1129</v>
      </c>
      <c r="I17" s="589"/>
      <c r="J17" s="571"/>
      <c r="K17" s="135"/>
    </row>
    <row r="18" spans="1:11" ht="13.5" customHeight="1" thickBot="1" x14ac:dyDescent="0.3">
      <c r="A18" s="30" t="s">
        <v>719</v>
      </c>
      <c r="B18" s="590">
        <v>45748</v>
      </c>
      <c r="C18" s="584"/>
      <c r="D18" s="527" t="s">
        <v>747</v>
      </c>
      <c r="E18" s="571"/>
      <c r="F18" s="584"/>
      <c r="G18" s="493"/>
      <c r="H18" s="30" t="s">
        <v>1130</v>
      </c>
      <c r="I18" s="591"/>
      <c r="J18" s="571"/>
      <c r="K18" s="135"/>
    </row>
    <row r="19" spans="1:11" ht="15.75" customHeight="1" x14ac:dyDescent="0.25">
      <c r="A19" s="30" t="s">
        <v>720</v>
      </c>
      <c r="B19" s="590">
        <f>+$B$18+(5*365)-DAY(+$B$18+(5*365))+1</f>
        <v>47543</v>
      </c>
      <c r="C19" s="584"/>
      <c r="D19" s="30" t="s">
        <v>789</v>
      </c>
      <c r="E19" s="592" t="s">
        <v>790</v>
      </c>
      <c r="F19" s="584"/>
      <c r="G19" s="493"/>
      <c r="H19" s="30" t="s">
        <v>1131</v>
      </c>
      <c r="I19" s="589"/>
      <c r="J19" s="571"/>
      <c r="K19" s="135"/>
    </row>
    <row r="20" spans="1:11" ht="15.75" customHeight="1" x14ac:dyDescent="0.25">
      <c r="A20" s="30" t="s">
        <v>717</v>
      </c>
      <c r="B20" s="590">
        <f>+$B$18+(5*365)-DAY(+$B$18+(5*365))+32</f>
        <v>47574</v>
      </c>
      <c r="C20" s="584"/>
      <c r="D20" s="30" t="s">
        <v>683</v>
      </c>
      <c r="E20" t="s">
        <v>786</v>
      </c>
      <c r="F20" s="584"/>
      <c r="G20" s="493"/>
      <c r="H20" s="30" t="s">
        <v>1132</v>
      </c>
      <c r="I20" s="589"/>
      <c r="J20" s="571"/>
      <c r="K20" s="135"/>
    </row>
    <row r="21" spans="1:11" ht="15.75" customHeight="1" x14ac:dyDescent="0.25">
      <c r="A21" s="30" t="s">
        <v>718</v>
      </c>
      <c r="B21" s="590">
        <f>+$B$18+($B$15*365)-DAY(+$B$18+($B$15*365))+1</f>
        <v>56674</v>
      </c>
      <c r="C21" s="584"/>
      <c r="D21" s="30" t="s">
        <v>727</v>
      </c>
      <c r="E21" s="593"/>
      <c r="F21" s="584"/>
      <c r="G21" s="493"/>
      <c r="H21" s="493"/>
      <c r="J21" s="135"/>
      <c r="K21" s="135"/>
    </row>
    <row r="22" spans="1:11" ht="15.75" customHeight="1" x14ac:dyDescent="0.25">
      <c r="A22" s="30" t="s">
        <v>1133</v>
      </c>
      <c r="B22" s="574"/>
      <c r="C22" s="577"/>
      <c r="E22" s="577"/>
      <c r="F22" s="584"/>
      <c r="G22" s="493"/>
      <c r="H22" s="493"/>
      <c r="J22" s="135"/>
      <c r="K22" s="135"/>
    </row>
    <row r="23" spans="1:11" ht="15.75" customHeight="1" x14ac:dyDescent="0.25">
      <c r="A23" s="30" t="s">
        <v>1134</v>
      </c>
      <c r="B23" s="594"/>
      <c r="C23" s="577"/>
      <c r="E23" s="577"/>
      <c r="F23" s="584"/>
      <c r="G23" s="493"/>
      <c r="H23" s="493"/>
      <c r="J23" s="135"/>
      <c r="K23" s="135"/>
    </row>
    <row r="24" spans="1:11" ht="15.75" customHeight="1" x14ac:dyDescent="0.25">
      <c r="A24" s="30" t="s">
        <v>1135</v>
      </c>
      <c r="B24" s="595"/>
      <c r="C24" s="577"/>
      <c r="E24" s="577"/>
      <c r="F24" s="584"/>
      <c r="G24" s="493"/>
      <c r="H24" s="493"/>
      <c r="J24" s="135"/>
      <c r="K24" s="135"/>
    </row>
    <row r="25" spans="1:11" ht="15.75" customHeight="1" x14ac:dyDescent="0.25">
      <c r="A25" s="30"/>
      <c r="B25" s="584"/>
      <c r="C25" s="584"/>
      <c r="D25" s="30" t="s">
        <v>1136</v>
      </c>
      <c r="E25" s="580"/>
      <c r="F25" s="584"/>
      <c r="G25" s="493"/>
      <c r="H25" s="493"/>
      <c r="J25" s="135"/>
      <c r="K25" s="135"/>
    </row>
    <row r="26" spans="1:11" ht="16.5" customHeight="1" thickBot="1" x14ac:dyDescent="0.3">
      <c r="A26" s="30"/>
      <c r="B26" s="571"/>
      <c r="C26" s="584"/>
      <c r="D26" s="30" t="s">
        <v>767</v>
      </c>
      <c r="E26" s="589" t="s">
        <v>785</v>
      </c>
      <c r="F26" s="584"/>
      <c r="G26" s="493"/>
      <c r="H26" s="493"/>
      <c r="J26" s="135"/>
      <c r="K26" s="135"/>
    </row>
    <row r="27" spans="1:11" ht="16.5" customHeight="1" thickBot="1" x14ac:dyDescent="0.3">
      <c r="A27" s="527" t="s">
        <v>751</v>
      </c>
      <c r="B27" s="571"/>
      <c r="C27" s="584"/>
      <c r="D27" s="30" t="s">
        <v>768</v>
      </c>
      <c r="E27" s="596" t="s">
        <v>787</v>
      </c>
      <c r="F27" s="584"/>
      <c r="G27" s="493"/>
      <c r="H27" s="493"/>
      <c r="J27" s="135"/>
      <c r="K27" s="135"/>
    </row>
    <row r="28" spans="1:11" ht="15.75" customHeight="1" x14ac:dyDescent="0.25">
      <c r="A28" s="30" t="s">
        <v>742</v>
      </c>
      <c r="B28" s="589" t="s">
        <v>750</v>
      </c>
      <c r="C28" s="584"/>
      <c r="D28" s="30" t="s">
        <v>769</v>
      </c>
      <c r="E28" s="596" t="s">
        <v>788</v>
      </c>
      <c r="F28" s="584"/>
      <c r="G28" s="493"/>
      <c r="H28" s="493"/>
      <c r="J28" s="135"/>
      <c r="K28" s="135"/>
    </row>
    <row r="29" spans="1:11" ht="16.5" customHeight="1" thickBot="1" x14ac:dyDescent="0.3">
      <c r="A29" s="30" t="s">
        <v>757</v>
      </c>
      <c r="B29" s="585" t="str">
        <f>+MOG!B3&amp;" "&amp;MOG!C3</f>
        <v>Laurence A. Tunnard</v>
      </c>
      <c r="C29" s="584"/>
      <c r="D29" s="30" t="s">
        <v>770</v>
      </c>
      <c r="E29" s="589"/>
      <c r="F29" s="584"/>
      <c r="G29" s="493"/>
      <c r="H29" s="493"/>
      <c r="J29" s="135"/>
      <c r="K29" s="135"/>
    </row>
    <row r="30" spans="1:11" ht="16.5" customHeight="1" thickBot="1" x14ac:dyDescent="0.3">
      <c r="A30" s="30" t="s">
        <v>759</v>
      </c>
      <c r="B30" s="585" t="str">
        <f>+MOG!B4&amp;" "&amp;MOG!C4</f>
        <v>April D. Tunnard</v>
      </c>
      <c r="C30" s="584"/>
      <c r="D30" s="527" t="s">
        <v>794</v>
      </c>
      <c r="E30" s="571"/>
      <c r="F30" s="584"/>
      <c r="G30" s="493"/>
      <c r="H30" s="493"/>
      <c r="J30" s="135"/>
      <c r="K30" s="135"/>
    </row>
    <row r="31" spans="1:11" ht="15.75" customHeight="1" x14ac:dyDescent="0.25">
      <c r="A31" s="30" t="s">
        <v>1137</v>
      </c>
      <c r="B31" s="589"/>
      <c r="C31" s="571"/>
      <c r="D31" s="30" t="s">
        <v>754</v>
      </c>
      <c r="E31" s="589" t="s">
        <v>784</v>
      </c>
      <c r="F31" s="571"/>
      <c r="G31" s="25"/>
      <c r="H31" s="25"/>
      <c r="J31" s="135"/>
      <c r="K31" s="135"/>
    </row>
    <row r="32" spans="1:11" ht="15.75" customHeight="1" x14ac:dyDescent="0.25">
      <c r="A32" s="30" t="s">
        <v>1138</v>
      </c>
      <c r="B32" s="589"/>
      <c r="C32" s="571"/>
      <c r="D32" s="30" t="s">
        <v>771</v>
      </c>
      <c r="E32" s="580" t="s">
        <v>774</v>
      </c>
      <c r="F32" s="571"/>
      <c r="G32" s="25"/>
      <c r="H32" s="25"/>
      <c r="J32" s="135"/>
      <c r="K32" s="135"/>
    </row>
    <row r="33" spans="1:11" ht="15.75" customHeight="1" x14ac:dyDescent="0.25">
      <c r="A33" s="30" t="s">
        <v>758</v>
      </c>
      <c r="B33" s="571" t="str">
        <f>MOG!$B$3 &amp; " " &amp; MOG!$C$3 &amp; IF(+MOG!$C$4="",""," and " &amp; +MOG!$B$4 &amp; " " &amp;MOG!$C$4)</f>
        <v>Laurence A. Tunnard and April D. Tunnard</v>
      </c>
      <c r="C33" s="571"/>
      <c r="D33" s="30" t="s">
        <v>772</v>
      </c>
      <c r="E33" s="580" t="s">
        <v>773</v>
      </c>
      <c r="F33" s="571"/>
      <c r="G33" s="25"/>
      <c r="H33" s="25"/>
      <c r="J33" s="135"/>
      <c r="K33" s="135"/>
    </row>
    <row r="34" spans="1:11" ht="15.75" customHeight="1" x14ac:dyDescent="0.25">
      <c r="A34" s="30" t="s">
        <v>1139</v>
      </c>
      <c r="B34" s="571"/>
      <c r="C34" s="597"/>
      <c r="D34" s="30" t="s">
        <v>673</v>
      </c>
      <c r="E34" s="585" t="str">
        <f>+ E11 &amp; " Real Estate Trust dated " &amp; E35 &amp; E36</f>
        <v>4121 Tensity Dr Real Estate Trust dated March, 52025</v>
      </c>
      <c r="F34" s="597"/>
      <c r="G34" s="25"/>
      <c r="H34" s="25"/>
      <c r="J34" s="135"/>
      <c r="K34" s="135"/>
    </row>
    <row r="35" spans="1:11" ht="15.75" customHeight="1" x14ac:dyDescent="0.25">
      <c r="A35" s="30" t="s">
        <v>1140</v>
      </c>
      <c r="B35" s="571"/>
      <c r="C35" s="597"/>
      <c r="D35" s="30" t="s">
        <v>674</v>
      </c>
      <c r="E35" s="596" t="s">
        <v>775</v>
      </c>
      <c r="F35" s="597"/>
      <c r="G35" s="25"/>
      <c r="H35" s="25"/>
      <c r="J35" s="135"/>
      <c r="K35" s="135"/>
    </row>
    <row r="36" spans="1:11" ht="15.75" customHeight="1" x14ac:dyDescent="0.25">
      <c r="A36" s="30" t="s">
        <v>684</v>
      </c>
      <c r="B36" s="597"/>
      <c r="C36" s="597"/>
      <c r="D36" s="30" t="s">
        <v>627</v>
      </c>
      <c r="E36" s="589">
        <v>2025</v>
      </c>
      <c r="F36" s="597"/>
      <c r="G36" s="25"/>
      <c r="H36" s="25"/>
      <c r="J36" s="135"/>
      <c r="K36" s="135"/>
    </row>
    <row r="37" spans="1:11" ht="15.75" customHeight="1" x14ac:dyDescent="0.25">
      <c r="A37" s="30" t="s">
        <v>685</v>
      </c>
      <c r="B37" s="597"/>
      <c r="C37" s="597"/>
      <c r="D37" s="30" t="s">
        <v>675</v>
      </c>
      <c r="E37" s="589" t="s">
        <v>677</v>
      </c>
      <c r="F37" s="597"/>
      <c r="G37" s="25"/>
      <c r="H37" s="25"/>
      <c r="J37" s="135"/>
      <c r="K37" s="135"/>
    </row>
    <row r="38" spans="1:11" ht="15.75" customHeight="1" x14ac:dyDescent="0.25">
      <c r="A38" s="30" t="s">
        <v>1141</v>
      </c>
      <c r="B38" s="597"/>
      <c r="C38" s="571"/>
      <c r="D38" s="30" t="s">
        <v>678</v>
      </c>
      <c r="E38" s="598">
        <f ca="1">YEAR(NOW())</f>
        <v>2026</v>
      </c>
      <c r="F38" s="571"/>
      <c r="G38" s="25"/>
      <c r="H38" s="25"/>
      <c r="J38" s="135"/>
      <c r="K38" s="135"/>
    </row>
    <row r="39" spans="1:11" ht="15.75" customHeight="1" x14ac:dyDescent="0.25">
      <c r="A39" s="30" t="s">
        <v>1142</v>
      </c>
      <c r="B39" s="597"/>
      <c r="C39" s="490"/>
      <c r="D39" s="30" t="s">
        <v>791</v>
      </c>
      <c r="E39" s="598">
        <f ca="1">MONTH(NOW())</f>
        <v>6</v>
      </c>
      <c r="F39" s="589"/>
      <c r="G39" s="25"/>
      <c r="H39" s="25"/>
      <c r="J39" s="135"/>
      <c r="K39" s="135"/>
    </row>
    <row r="40" spans="1:11" ht="15.75" customHeight="1" x14ac:dyDescent="0.25">
      <c r="A40" s="30" t="s">
        <v>763</v>
      </c>
      <c r="B40" s="571"/>
      <c r="C40" s="490"/>
      <c r="D40" s="30"/>
      <c r="E40" s="571"/>
      <c r="F40" s="589"/>
      <c r="G40" s="25"/>
      <c r="H40" s="25"/>
      <c r="J40" s="135"/>
      <c r="K40" s="135"/>
    </row>
    <row r="41" spans="1:11" ht="15.75" customHeight="1" x14ac:dyDescent="0.25">
      <c r="A41" s="30" t="s">
        <v>760</v>
      </c>
      <c r="B41" s="589" t="s">
        <v>766</v>
      </c>
      <c r="C41" s="490"/>
      <c r="D41" s="30" t="s">
        <v>726</v>
      </c>
      <c r="E41" s="571"/>
      <c r="F41" s="589"/>
      <c r="G41" s="25"/>
      <c r="H41" s="25"/>
      <c r="J41" s="135"/>
      <c r="K41" s="135"/>
    </row>
    <row r="42" spans="1:11" ht="15.75" customHeight="1" x14ac:dyDescent="0.25">
      <c r="A42" s="30" t="s">
        <v>761</v>
      </c>
      <c r="B42" s="589" t="s">
        <v>766</v>
      </c>
      <c r="C42" s="571"/>
      <c r="D42" s="30"/>
      <c r="E42" s="571"/>
      <c r="F42" s="571"/>
      <c r="G42" s="25"/>
      <c r="H42" s="25"/>
      <c r="J42" s="135"/>
      <c r="K42" s="135"/>
    </row>
    <row r="43" spans="1:11" ht="15.75" customHeight="1" x14ac:dyDescent="0.25">
      <c r="A43" s="30" t="s">
        <v>764</v>
      </c>
      <c r="B43" s="589" t="s">
        <v>765</v>
      </c>
      <c r="C43" s="575"/>
      <c r="D43" s="575"/>
      <c r="E43" s="575"/>
      <c r="F43" s="575"/>
      <c r="G43" s="490"/>
      <c r="H43" s="490"/>
      <c r="J43" s="135"/>
      <c r="K43" s="135"/>
    </row>
    <row r="44" spans="1:11" ht="15.75" customHeight="1" x14ac:dyDescent="0.25">
      <c r="A44" s="30" t="s">
        <v>762</v>
      </c>
      <c r="B44" s="571">
        <v>1233445566</v>
      </c>
      <c r="C44" s="575"/>
      <c r="D44" s="575"/>
      <c r="E44" s="575"/>
      <c r="F44" s="575"/>
      <c r="G44" s="490"/>
      <c r="H44" s="490"/>
      <c r="J44" s="135"/>
      <c r="K44" s="135"/>
    </row>
    <row r="45" spans="1:11" ht="15.75" customHeight="1" x14ac:dyDescent="0.25">
      <c r="A45" s="496" t="s">
        <v>737</v>
      </c>
      <c r="B45" s="575">
        <f>Profit!C14</f>
        <v>28063.26</v>
      </c>
      <c r="C45" s="575"/>
      <c r="D45" s="575"/>
      <c r="E45" s="575"/>
      <c r="F45" s="575"/>
      <c r="G45" s="490"/>
      <c r="H45" s="490"/>
      <c r="J45" s="135"/>
      <c r="K45" s="135"/>
    </row>
    <row r="46" spans="1:11" ht="15.75" customHeight="1" x14ac:dyDescent="0.25">
      <c r="A46" s="496" t="s">
        <v>602</v>
      </c>
      <c r="B46" s="575">
        <f>Profit!C15</f>
        <v>97228</v>
      </c>
      <c r="C46" s="490"/>
      <c r="D46" s="490"/>
      <c r="E46" s="490"/>
      <c r="F46" s="490"/>
      <c r="G46" s="490"/>
      <c r="H46" s="490"/>
      <c r="J46" s="135"/>
      <c r="K46" s="135"/>
    </row>
    <row r="47" spans="1:11" ht="15.75" customHeight="1" x14ac:dyDescent="0.25">
      <c r="A47" s="496" t="s">
        <v>736</v>
      </c>
      <c r="B47" s="575">
        <f>Profit!B21</f>
        <v>130291.26</v>
      </c>
      <c r="C47" s="575"/>
      <c r="D47" s="575"/>
      <c r="E47" s="575"/>
      <c r="F47" s="575"/>
      <c r="G47" s="490"/>
      <c r="H47" s="490"/>
      <c r="J47" s="135"/>
      <c r="K47" s="135"/>
    </row>
    <row r="48" spans="1:11" ht="15.75" customHeight="1" x14ac:dyDescent="0.25">
      <c r="A48" s="496" t="s">
        <v>665</v>
      </c>
      <c r="B48" s="589">
        <v>100</v>
      </c>
      <c r="C48" s="587"/>
      <c r="D48" s="587"/>
      <c r="E48" s="587"/>
      <c r="F48" s="587"/>
      <c r="G48" s="492"/>
      <c r="H48" s="492"/>
      <c r="J48" s="135"/>
      <c r="K48" s="135"/>
    </row>
    <row r="49" spans="1:11" ht="15.75" customHeight="1" x14ac:dyDescent="0.25">
      <c r="A49" s="496" t="s">
        <v>734</v>
      </c>
      <c r="B49" s="575">
        <f>Profit!C20</f>
        <v>5000</v>
      </c>
      <c r="C49" s="587"/>
      <c r="D49" s="587"/>
      <c r="E49" s="587"/>
      <c r="F49" s="587"/>
      <c r="G49" s="492"/>
      <c r="H49" s="492"/>
      <c r="J49" s="135"/>
      <c r="K49" s="135"/>
    </row>
    <row r="50" spans="1:11" ht="15.75" customHeight="1" x14ac:dyDescent="0.25">
      <c r="A50" s="496" t="s">
        <v>676</v>
      </c>
      <c r="B50" s="587" t="str">
        <f>TEXT(Amortization!$C$3,"0.000%")</f>
        <v>3.750%</v>
      </c>
      <c r="C50" s="587"/>
      <c r="D50" s="587"/>
      <c r="E50" s="587"/>
      <c r="F50" s="587"/>
      <c r="G50" s="492"/>
      <c r="H50" s="492"/>
      <c r="J50" s="135"/>
      <c r="K50" s="135"/>
    </row>
    <row r="51" spans="1:11" ht="15.75" customHeight="1" x14ac:dyDescent="0.25">
      <c r="A51" s="496" t="s">
        <v>729</v>
      </c>
      <c r="B51" s="587" t="str">
        <f>TEXT(+Amortization!AA8,"0.000%")</f>
        <v>3.750%</v>
      </c>
      <c r="C51" s="575"/>
      <c r="D51" s="575"/>
      <c r="E51" s="575"/>
      <c r="F51" s="575"/>
      <c r="G51" s="490"/>
      <c r="H51" s="490"/>
      <c r="J51" s="135"/>
      <c r="K51" s="135"/>
    </row>
    <row r="52" spans="1:11" ht="15.75" customHeight="1" x14ac:dyDescent="0.25">
      <c r="A52" s="496" t="s">
        <v>728</v>
      </c>
      <c r="B52" s="587" t="str">
        <f>TEXT(Amortization!$O$6,"0.000%")</f>
        <v>6.250%</v>
      </c>
      <c r="C52" s="577"/>
      <c r="D52" s="577"/>
      <c r="E52" s="577"/>
      <c r="F52" s="577"/>
      <c r="G52" s="491"/>
      <c r="H52" s="491"/>
      <c r="J52" s="135"/>
      <c r="K52" s="135"/>
    </row>
    <row r="53" spans="1:11" ht="15.75" customHeight="1" x14ac:dyDescent="0.25">
      <c r="A53" s="496" t="s">
        <v>738</v>
      </c>
      <c r="B53" s="575" t="s">
        <v>739</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748</v>
      </c>
      <c r="B55" s="575" t="s">
        <v>749</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74" t="s">
        <v>83</v>
      </c>
      <c r="D1" s="775"/>
      <c r="E1" s="743"/>
      <c r="I1" s="768"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76" t="s">
        <v>84</v>
      </c>
      <c r="K1" s="768"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43"/>
      <c r="J2" s="776"/>
      <c r="K2" s="768"/>
    </row>
    <row r="3" spans="1:11" ht="16.5" customHeight="1" x14ac:dyDescent="0.25">
      <c r="A3" t="s">
        <v>85</v>
      </c>
      <c r="B3" s="238" t="s">
        <v>740</v>
      </c>
      <c r="C3" s="237" t="s">
        <v>731</v>
      </c>
      <c r="D3" s="22"/>
      <c r="I3" s="743"/>
      <c r="J3" s="231"/>
      <c r="K3" s="768"/>
    </row>
    <row r="4" spans="1:11" x14ac:dyDescent="0.25">
      <c r="A4" t="s">
        <v>86</v>
      </c>
      <c r="B4" s="236" t="s">
        <v>741</v>
      </c>
      <c r="C4" s="239" t="s">
        <v>731</v>
      </c>
      <c r="D4" s="22"/>
      <c r="I4" s="743"/>
      <c r="K4" s="768"/>
    </row>
    <row r="5" spans="1:11" ht="16.5" x14ac:dyDescent="0.3">
      <c r="A5" t="s">
        <v>87</v>
      </c>
      <c r="B5" s="226"/>
      <c r="C5" s="227"/>
      <c r="D5" s="22"/>
      <c r="I5" s="743"/>
      <c r="K5" s="768"/>
    </row>
    <row r="6" spans="1:11" ht="15" customHeight="1" thickBot="1" x14ac:dyDescent="0.3">
      <c r="A6" t="s">
        <v>88</v>
      </c>
      <c r="B6" s="228"/>
      <c r="C6" s="229"/>
      <c r="D6" s="22"/>
      <c r="I6" s="743"/>
      <c r="K6" s="768"/>
    </row>
    <row r="7" spans="1:11" x14ac:dyDescent="0.25">
      <c r="I7" s="743"/>
      <c r="K7" s="768"/>
    </row>
    <row r="8" spans="1:11" x14ac:dyDescent="0.25">
      <c r="I8" s="743"/>
      <c r="K8" s="768"/>
    </row>
    <row r="9" spans="1:11" x14ac:dyDescent="0.25">
      <c r="A9" s="15" t="s">
        <v>89</v>
      </c>
      <c r="B9" s="15" t="s">
        <v>90</v>
      </c>
      <c r="C9" s="15"/>
      <c r="I9" s="743"/>
      <c r="K9" s="768"/>
    </row>
    <row r="10" spans="1:11" x14ac:dyDescent="0.25">
      <c r="B10" s="777" t="s">
        <v>91</v>
      </c>
      <c r="C10" s="778"/>
      <c r="D10" s="778"/>
      <c r="E10" s="778"/>
      <c r="F10" s="778"/>
      <c r="G10" s="778"/>
      <c r="I10" s="743"/>
      <c r="K10" s="768"/>
    </row>
    <row r="11" spans="1:11" x14ac:dyDescent="0.25">
      <c r="B11" s="743"/>
      <c r="C11" s="743"/>
      <c r="D11" s="743"/>
      <c r="E11" s="743"/>
      <c r="F11" s="743"/>
      <c r="G11" s="743"/>
      <c r="I11" s="743"/>
      <c r="K11" s="768"/>
    </row>
    <row r="12" spans="1:11" x14ac:dyDescent="0.25">
      <c r="F12" s="767" t="s">
        <v>92</v>
      </c>
      <c r="I12" s="743"/>
      <c r="K12" s="768"/>
    </row>
    <row r="13" spans="1:11" ht="15.75" thickBot="1" x14ac:dyDescent="0.3">
      <c r="B13" s="31" t="s">
        <v>93</v>
      </c>
      <c r="C13" s="224" t="s">
        <v>94</v>
      </c>
      <c r="D13" s="31" t="s">
        <v>95</v>
      </c>
      <c r="E13" s="31"/>
      <c r="F13" s="617"/>
      <c r="G13" s="31" t="s">
        <v>96</v>
      </c>
      <c r="I13" s="743"/>
      <c r="K13" s="768"/>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43"/>
      <c r="K14" s="768"/>
    </row>
    <row r="15" spans="1:11" ht="16.5" thickTop="1" thickBot="1" x14ac:dyDescent="0.3">
      <c r="C15" s="195"/>
      <c r="D15" s="196" t="s">
        <v>97</v>
      </c>
      <c r="E15" s="197">
        <f>+Profit!$K$49</f>
        <v>-30966.117597900007</v>
      </c>
      <c r="H15" s="225"/>
      <c r="K15" s="768"/>
    </row>
    <row r="16" spans="1:11" ht="16.5" thickTop="1" thickBot="1" x14ac:dyDescent="0.3">
      <c r="C16" s="195"/>
      <c r="D16" s="198" t="s">
        <v>98</v>
      </c>
      <c r="E16" s="199">
        <f>+G14/E15</f>
        <v>0.59152208358668179</v>
      </c>
      <c r="F16" s="233">
        <v>0.1</v>
      </c>
      <c r="H16" s="225" t="s">
        <v>99</v>
      </c>
      <c r="I16" s="768"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8"/>
    </row>
    <row r="17" spans="1:13" ht="15.75" thickTop="1" x14ac:dyDescent="0.25">
      <c r="C17" s="195"/>
      <c r="D17" s="198" t="s">
        <v>100</v>
      </c>
      <c r="E17" s="199">
        <f>+G14/(F14+G14)</f>
        <v>1.3256823928597607</v>
      </c>
      <c r="F17" t="s">
        <v>101</v>
      </c>
      <c r="I17" s="768"/>
      <c r="K17" s="768"/>
    </row>
    <row r="18" spans="1:13" x14ac:dyDescent="0.25">
      <c r="I18" s="768"/>
      <c r="K18" s="768"/>
    </row>
    <row r="19" spans="1:13" ht="15.75" thickBot="1" x14ac:dyDescent="0.3">
      <c r="A19" s="15" t="s">
        <v>102</v>
      </c>
      <c r="B19" s="15" t="s">
        <v>103</v>
      </c>
      <c r="D19" s="15" t="s">
        <v>104</v>
      </c>
      <c r="H19">
        <f>IF(H20="X",1,0)</f>
        <v>0</v>
      </c>
      <c r="K19" s="768"/>
    </row>
    <row r="20" spans="1:13" ht="15" customHeight="1" thickTop="1" thickBot="1" x14ac:dyDescent="0.3">
      <c r="B20" t="s">
        <v>105</v>
      </c>
      <c r="H20" s="225"/>
      <c r="I20" s="768"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68"/>
    </row>
    <row r="21" spans="1:13" ht="15.75" thickTop="1" x14ac:dyDescent="0.25">
      <c r="B21" t="s">
        <v>106</v>
      </c>
      <c r="I21" s="768"/>
      <c r="J21" s="222"/>
      <c r="K21" s="768"/>
      <c r="L21" s="221"/>
      <c r="M21" s="221"/>
    </row>
    <row r="22" spans="1:13" ht="30" x14ac:dyDescent="0.25">
      <c r="F22" s="61" t="s">
        <v>107</v>
      </c>
      <c r="I22" s="768"/>
      <c r="J22" s="221"/>
      <c r="K22" s="768"/>
      <c r="L22" s="221"/>
      <c r="M22" s="221"/>
    </row>
    <row r="23" spans="1:13" ht="15.75" thickBot="1" x14ac:dyDescent="0.3">
      <c r="B23" s="31" t="s">
        <v>108</v>
      </c>
      <c r="C23" s="770"/>
      <c r="D23" s="771"/>
      <c r="E23" s="771"/>
      <c r="F23" s="771"/>
      <c r="G23" s="31" t="s">
        <v>96</v>
      </c>
      <c r="I23" s="769"/>
      <c r="J23" s="221"/>
      <c r="K23" s="768"/>
      <c r="L23" s="221"/>
      <c r="M23" s="221"/>
    </row>
    <row r="24" spans="1:13" ht="16.5" thickTop="1" thickBot="1" x14ac:dyDescent="0.3">
      <c r="B24" s="232">
        <f>+SUM(Profit!C19:'Profit'!C20)</f>
        <v>5000</v>
      </c>
      <c r="C24" s="772" t="s">
        <v>109</v>
      </c>
      <c r="D24" s="773"/>
      <c r="E24" s="773"/>
      <c r="F24" s="10">
        <f>+B24</f>
        <v>5000</v>
      </c>
      <c r="G24" s="200">
        <f>+Profit!K62</f>
        <v>149081.32179919883</v>
      </c>
      <c r="I24" s="743"/>
      <c r="K24" s="768"/>
    </row>
    <row r="25" spans="1:13" ht="15.4" customHeight="1" thickTop="1" thickBot="1" x14ac:dyDescent="0.3">
      <c r="C25" s="195"/>
      <c r="D25" s="196" t="s">
        <v>97</v>
      </c>
      <c r="E25" s="197">
        <f>+Profit!$K$49</f>
        <v>-30966.117597900007</v>
      </c>
      <c r="H25">
        <f>IF(H26="X",1+H19,H19)</f>
        <v>1</v>
      </c>
      <c r="K25" s="768"/>
    </row>
    <row r="26" spans="1:13" ht="15" customHeight="1" thickTop="1" thickBot="1" x14ac:dyDescent="0.3">
      <c r="C26" s="195"/>
      <c r="D26" s="198" t="s">
        <v>98</v>
      </c>
      <c r="E26" s="199">
        <f>+G24/E25</f>
        <v>-4.8143368740971555</v>
      </c>
      <c r="H26" s="225" t="s">
        <v>110</v>
      </c>
      <c r="I26" s="768"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68"/>
    </row>
    <row r="27" spans="1:13" ht="15" customHeight="1" thickTop="1" x14ac:dyDescent="0.25">
      <c r="C27" s="195"/>
      <c r="D27" s="198" t="s">
        <v>100</v>
      </c>
      <c r="E27" s="199">
        <f>+G24/(F24+G24)</f>
        <v>0.96754960340672524</v>
      </c>
      <c r="I27" s="768"/>
      <c r="K27" s="768"/>
    </row>
    <row r="28" spans="1:13" ht="15" customHeight="1" x14ac:dyDescent="0.25">
      <c r="I28" s="768"/>
      <c r="K28" s="768"/>
    </row>
    <row r="29" spans="1:13" x14ac:dyDescent="0.25">
      <c r="A29" s="15"/>
      <c r="B29" s="15"/>
      <c r="I29" s="769"/>
      <c r="K29" s="768"/>
    </row>
    <row r="30" spans="1:13" x14ac:dyDescent="0.25">
      <c r="A30" s="15" t="s">
        <v>111</v>
      </c>
      <c r="B30" s="15" t="s">
        <v>112</v>
      </c>
      <c r="D30" t="s">
        <v>113</v>
      </c>
      <c r="I30" s="743"/>
      <c r="K30" s="768"/>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8"/>
    </row>
    <row r="32" spans="1:13" ht="15.75" thickBot="1" x14ac:dyDescent="0.3">
      <c r="B32" t="s">
        <v>106</v>
      </c>
      <c r="H32">
        <f>IF(H33="X",H25+1,H25)</f>
        <v>2</v>
      </c>
      <c r="K32" s="768"/>
    </row>
    <row r="33" spans="1:13" ht="15" customHeight="1" thickTop="1" thickBot="1" x14ac:dyDescent="0.3">
      <c r="H33" s="225" t="s">
        <v>110</v>
      </c>
      <c r="I33" s="768"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68"/>
    </row>
    <row r="34" spans="1:13" ht="16.5" thickTop="1" thickBot="1" x14ac:dyDescent="0.3">
      <c r="C34" s="2" t="s">
        <v>114</v>
      </c>
      <c r="D34" s="3" t="s">
        <v>115</v>
      </c>
      <c r="F34" s="3" t="s">
        <v>116</v>
      </c>
      <c r="I34" s="768"/>
      <c r="K34" s="768"/>
    </row>
    <row r="35" spans="1:13" ht="16.5" thickTop="1" thickBot="1" x14ac:dyDescent="0.3">
      <c r="B35" s="230" t="s">
        <v>117</v>
      </c>
      <c r="C35" s="203">
        <v>10400</v>
      </c>
      <c r="D35" s="194">
        <v>60</v>
      </c>
      <c r="F35" s="767" t="s">
        <v>107</v>
      </c>
      <c r="I35" s="768"/>
      <c r="K35" s="768"/>
    </row>
    <row r="36" spans="1:13" ht="16.5" thickTop="1" thickBot="1" x14ac:dyDescent="0.3">
      <c r="B36" s="31" t="s">
        <v>118</v>
      </c>
      <c r="C36" s="31" t="s">
        <v>119</v>
      </c>
      <c r="D36" s="31" t="s">
        <v>120</v>
      </c>
      <c r="E36" s="31" t="s">
        <v>121</v>
      </c>
      <c r="F36" s="617"/>
      <c r="G36" s="31" t="s">
        <v>96</v>
      </c>
      <c r="I36" s="768"/>
      <c r="K36" s="768"/>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135941.32179919883</v>
      </c>
      <c r="I37" s="768"/>
      <c r="K37" s="768"/>
    </row>
    <row r="38" spans="1:13" ht="16.5" thickTop="1" thickBot="1" x14ac:dyDescent="0.3">
      <c r="B38" s="205">
        <v>0.34</v>
      </c>
      <c r="C38" s="220">
        <f>1-B38</f>
        <v>0.65999999999999992</v>
      </c>
      <c r="D38" s="10"/>
      <c r="E38" s="36"/>
      <c r="F38" s="10"/>
      <c r="G38" s="10"/>
      <c r="I38" s="768"/>
      <c r="K38" s="768"/>
    </row>
    <row r="39" spans="1:13" ht="15.4" customHeight="1" thickTop="1" x14ac:dyDescent="0.25">
      <c r="B39" s="10"/>
      <c r="C39" s="200"/>
      <c r="D39" s="196" t="s">
        <v>97</v>
      </c>
      <c r="E39" s="197">
        <f>+Profit!$K$49-C37+C35</f>
        <v>-34266.117597900011</v>
      </c>
      <c r="F39" s="10"/>
      <c r="G39" s="10"/>
      <c r="I39" s="768"/>
      <c r="K39" s="768"/>
    </row>
    <row r="40" spans="1:13" x14ac:dyDescent="0.25">
      <c r="C40" s="195"/>
      <c r="D40" s="198" t="s">
        <v>98</v>
      </c>
      <c r="E40" s="199">
        <f>+G37/E39</f>
        <v>-3.9672227649020257</v>
      </c>
      <c r="I40" s="768"/>
      <c r="K40" s="768"/>
    </row>
    <row r="41" spans="1:13" ht="15" customHeight="1" thickBot="1" x14ac:dyDescent="0.3">
      <c r="C41" s="195"/>
      <c r="D41" s="198" t="s">
        <v>100</v>
      </c>
      <c r="E41" s="199">
        <f>+G37/(F37+G37)</f>
        <v>0.88226996115959899</v>
      </c>
      <c r="H41">
        <f>IF(H42="X",H32+1,H32)</f>
        <v>2</v>
      </c>
      <c r="K41" s="768"/>
    </row>
    <row r="42" spans="1:13" ht="16.5" thickTop="1" thickBot="1" x14ac:dyDescent="0.3">
      <c r="A42" s="15" t="s">
        <v>122</v>
      </c>
      <c r="B42" s="15" t="s">
        <v>123</v>
      </c>
      <c r="H42" s="225"/>
      <c r="I42" s="768"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$118,295.33   *    Expected 3% appreciation per year
                          Expected Value:                    $128,295.33    ** After 60 months.</v>
      </c>
      <c r="K42" s="768"/>
    </row>
    <row r="43" spans="1:13" ht="15.75" thickTop="1" x14ac:dyDescent="0.25">
      <c r="B43" t="s">
        <v>105</v>
      </c>
      <c r="I43" s="768"/>
      <c r="K43" s="743"/>
      <c r="M43" s="207"/>
    </row>
    <row r="44" spans="1:13" x14ac:dyDescent="0.25">
      <c r="B44" t="s">
        <v>106</v>
      </c>
      <c r="I44" s="768"/>
      <c r="K44" s="743"/>
    </row>
    <row r="45" spans="1:13" ht="15" customHeight="1" x14ac:dyDescent="0.25">
      <c r="B45" t="s">
        <v>124</v>
      </c>
      <c r="I45" s="768"/>
      <c r="K45" s="743"/>
    </row>
    <row r="46" spans="1:13" x14ac:dyDescent="0.25">
      <c r="B46" t="s">
        <v>125</v>
      </c>
      <c r="I46" s="768"/>
      <c r="K46" s="743"/>
    </row>
    <row r="47" spans="1:13" x14ac:dyDescent="0.25">
      <c r="F47" s="3" t="s">
        <v>126</v>
      </c>
      <c r="I47" s="768"/>
      <c r="K47" s="743"/>
    </row>
    <row r="48" spans="1:13" x14ac:dyDescent="0.25">
      <c r="C48" s="767" t="s">
        <v>127</v>
      </c>
      <c r="D48" s="767" t="s">
        <v>128</v>
      </c>
      <c r="E48" s="767" t="s">
        <v>129</v>
      </c>
      <c r="F48" s="767" t="s">
        <v>107</v>
      </c>
      <c r="I48" s="768"/>
      <c r="K48" s="743"/>
    </row>
    <row r="49" spans="1:11" ht="15.75" thickBot="1" x14ac:dyDescent="0.3">
      <c r="B49" s="3" t="s">
        <v>118</v>
      </c>
      <c r="C49" s="617" t="s">
        <v>127</v>
      </c>
      <c r="D49" s="617" t="s">
        <v>128</v>
      </c>
      <c r="E49" s="617" t="s">
        <v>130</v>
      </c>
      <c r="F49" s="617"/>
      <c r="G49" s="31" t="s">
        <v>96</v>
      </c>
      <c r="I49" s="768"/>
      <c r="K49" s="743"/>
    </row>
    <row r="50" spans="1:11" ht="16.5" thickTop="1" thickBot="1" x14ac:dyDescent="0.3">
      <c r="B50" s="203">
        <v>10000</v>
      </c>
      <c r="C50" s="8">
        <f>+Profit!$K$62+Profit!C20-B50+(Profit!K7*Profit!C50/12*Profit!B4)</f>
        <v>168993.32179919883</v>
      </c>
      <c r="D50" s="193">
        <v>0.7</v>
      </c>
      <c r="E50" s="10">
        <f>+D50*C50</f>
        <v>118295.32525943918</v>
      </c>
      <c r="F50" s="10">
        <f>+B50+E50</f>
        <v>128295.32525943918</v>
      </c>
      <c r="G50" s="200">
        <f>(1-D50)*C50</f>
        <v>50697.996539759661</v>
      </c>
      <c r="I50" s="768"/>
      <c r="K50" s="743"/>
    </row>
    <row r="51" spans="1:11" ht="15.75" thickTop="1" x14ac:dyDescent="0.25">
      <c r="D51" s="15" t="s">
        <v>131</v>
      </c>
      <c r="I51" s="223"/>
      <c r="K51" s="743"/>
    </row>
    <row r="52" spans="1:11" x14ac:dyDescent="0.25">
      <c r="C52" s="195"/>
      <c r="D52" s="196" t="s">
        <v>97</v>
      </c>
      <c r="E52" s="197">
        <f>+Profit!$K$49-B24+B50</f>
        <v>-25966.117597900011</v>
      </c>
      <c r="H52" t="s">
        <v>99</v>
      </c>
      <c r="I52" s="768"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3"/>
    </row>
    <row r="53" spans="1:11" ht="15" customHeight="1" x14ac:dyDescent="0.25">
      <c r="C53" s="195"/>
      <c r="D53" s="198" t="s">
        <v>98</v>
      </c>
      <c r="E53" s="199">
        <f>+G50/E52</f>
        <v>-1.9524673393553382</v>
      </c>
      <c r="I53" s="743"/>
      <c r="K53" s="743"/>
    </row>
    <row r="54" spans="1:11" x14ac:dyDescent="0.25">
      <c r="C54" s="195"/>
      <c r="D54" s="198" t="s">
        <v>100</v>
      </c>
      <c r="E54" s="199">
        <f>+G50/(F50+G50)</f>
        <v>0.28323959816017324</v>
      </c>
      <c r="I54" s="743"/>
      <c r="K54" s="743"/>
    </row>
    <row r="55" spans="1:11" ht="15" customHeight="1" x14ac:dyDescent="0.25">
      <c r="I55" s="743"/>
      <c r="K55" s="743"/>
    </row>
    <row r="56" spans="1:11" ht="15.75" thickBot="1" x14ac:dyDescent="0.3">
      <c r="B56" s="15" t="s">
        <v>132</v>
      </c>
      <c r="D56" t="s">
        <v>133</v>
      </c>
      <c r="I56" s="743"/>
      <c r="K56" s="743"/>
    </row>
    <row r="57" spans="1:11" x14ac:dyDescent="0.25">
      <c r="A57" s="75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9"/>
      <c r="C57" s="759"/>
      <c r="D57" s="759"/>
      <c r="E57" s="759"/>
      <c r="F57" s="759"/>
      <c r="G57" s="760"/>
      <c r="I57" s="743"/>
      <c r="K57" s="743"/>
    </row>
    <row r="58" spans="1:11" x14ac:dyDescent="0.25">
      <c r="A58" s="761"/>
      <c r="B58" s="762"/>
      <c r="C58" s="762"/>
      <c r="D58" s="762"/>
      <c r="E58" s="762"/>
      <c r="F58" s="762"/>
      <c r="G58" s="763"/>
      <c r="I58" s="743"/>
      <c r="K58" s="743"/>
    </row>
    <row r="59" spans="1:11" x14ac:dyDescent="0.25">
      <c r="A59" s="761"/>
      <c r="B59" s="762"/>
      <c r="C59" s="762"/>
      <c r="D59" s="762"/>
      <c r="E59" s="762"/>
      <c r="F59" s="762"/>
      <c r="G59" s="763"/>
      <c r="K59" s="743"/>
    </row>
    <row r="60" spans="1:11" x14ac:dyDescent="0.25">
      <c r="A60" s="761"/>
      <c r="B60" s="762"/>
      <c r="C60" s="762"/>
      <c r="D60" s="762"/>
      <c r="E60" s="762"/>
      <c r="F60" s="762"/>
      <c r="G60" s="763"/>
      <c r="K60" s="743"/>
    </row>
    <row r="61" spans="1:11" x14ac:dyDescent="0.25">
      <c r="A61" s="761"/>
      <c r="B61" s="762"/>
      <c r="C61" s="762"/>
      <c r="D61" s="762"/>
      <c r="E61" s="762"/>
      <c r="F61" s="762"/>
      <c r="G61" s="763"/>
      <c r="H61" t="s">
        <v>99</v>
      </c>
      <c r="I61" s="768"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3"/>
    </row>
    <row r="62" spans="1:11" x14ac:dyDescent="0.25">
      <c r="A62" s="761"/>
      <c r="B62" s="762"/>
      <c r="C62" s="762"/>
      <c r="D62" s="762"/>
      <c r="E62" s="762"/>
      <c r="F62" s="762"/>
      <c r="G62" s="763"/>
      <c r="I62" s="743"/>
      <c r="K62" s="743"/>
    </row>
    <row r="63" spans="1:11" x14ac:dyDescent="0.25">
      <c r="A63" s="761"/>
      <c r="B63" s="762"/>
      <c r="C63" s="762"/>
      <c r="D63" s="762"/>
      <c r="E63" s="762"/>
      <c r="F63" s="762"/>
      <c r="G63" s="763"/>
      <c r="I63" s="743"/>
      <c r="K63" s="743"/>
    </row>
    <row r="64" spans="1:11" x14ac:dyDescent="0.25">
      <c r="A64" s="761"/>
      <c r="B64" s="762"/>
      <c r="C64" s="762"/>
      <c r="D64" s="762"/>
      <c r="E64" s="762"/>
      <c r="F64" s="762"/>
      <c r="G64" s="763"/>
      <c r="I64" s="743"/>
      <c r="K64" s="743"/>
    </row>
    <row r="65" spans="1:11" x14ac:dyDescent="0.25">
      <c r="A65" s="761"/>
      <c r="B65" s="762"/>
      <c r="C65" s="762"/>
      <c r="D65" s="762"/>
      <c r="E65" s="762"/>
      <c r="F65" s="762"/>
      <c r="G65" s="763"/>
      <c r="I65" s="743"/>
      <c r="K65" s="743"/>
    </row>
    <row r="66" spans="1:11" x14ac:dyDescent="0.25">
      <c r="A66" s="761"/>
      <c r="B66" s="762"/>
      <c r="C66" s="762"/>
      <c r="D66" s="762"/>
      <c r="E66" s="762"/>
      <c r="F66" s="762"/>
      <c r="G66" s="763"/>
      <c r="I66" s="743"/>
      <c r="K66" s="743"/>
    </row>
    <row r="67" spans="1:11" x14ac:dyDescent="0.25">
      <c r="A67" s="761"/>
      <c r="B67" s="762"/>
      <c r="C67" s="762"/>
      <c r="D67" s="762"/>
      <c r="E67" s="762"/>
      <c r="F67" s="762"/>
      <c r="G67" s="763"/>
      <c r="I67" s="743"/>
      <c r="K67" s="743"/>
    </row>
    <row r="68" spans="1:11" x14ac:dyDescent="0.25">
      <c r="A68" s="761"/>
      <c r="B68" s="762"/>
      <c r="C68" s="762"/>
      <c r="D68" s="762"/>
      <c r="E68" s="762"/>
      <c r="F68" s="762"/>
      <c r="G68" s="763"/>
      <c r="I68" s="743"/>
    </row>
    <row r="69" spans="1:11" x14ac:dyDescent="0.25">
      <c r="A69" s="761"/>
      <c r="B69" s="762"/>
      <c r="C69" s="762"/>
      <c r="D69" s="762"/>
      <c r="E69" s="762"/>
      <c r="F69" s="762"/>
      <c r="G69" s="763"/>
      <c r="I69" s="743"/>
    </row>
    <row r="70" spans="1:11" x14ac:dyDescent="0.25">
      <c r="A70" s="761"/>
      <c r="B70" s="762"/>
      <c r="C70" s="762"/>
      <c r="D70" s="762"/>
      <c r="E70" s="762"/>
      <c r="F70" s="762"/>
      <c r="G70" s="763"/>
      <c r="I70" s="743"/>
    </row>
    <row r="71" spans="1:11" x14ac:dyDescent="0.25">
      <c r="A71" s="761"/>
      <c r="B71" s="762"/>
      <c r="C71" s="762"/>
      <c r="D71" s="762"/>
      <c r="E71" s="762"/>
      <c r="F71" s="762"/>
      <c r="G71" s="763"/>
      <c r="I71" s="743"/>
    </row>
    <row r="72" spans="1:11" x14ac:dyDescent="0.25">
      <c r="A72" s="761"/>
      <c r="B72" s="762"/>
      <c r="C72" s="762"/>
      <c r="D72" s="762"/>
      <c r="E72" s="762"/>
      <c r="F72" s="762"/>
      <c r="G72" s="763"/>
      <c r="I72" s="743"/>
    </row>
    <row r="73" spans="1:11" x14ac:dyDescent="0.25">
      <c r="A73" s="761"/>
      <c r="B73" s="762"/>
      <c r="C73" s="762"/>
      <c r="D73" s="762"/>
      <c r="E73" s="762"/>
      <c r="F73" s="762"/>
      <c r="G73" s="763"/>
    </row>
    <row r="74" spans="1:11" x14ac:dyDescent="0.25">
      <c r="A74" s="761"/>
      <c r="B74" s="762"/>
      <c r="C74" s="762"/>
      <c r="D74" s="762"/>
      <c r="E74" s="762"/>
      <c r="F74" s="762"/>
      <c r="G74" s="763"/>
      <c r="H74" t="s">
        <v>99</v>
      </c>
      <c r="I74" s="206" t="str">
        <f>"Sincerely,
Wes Browning"</f>
        <v>Sincerely,
Wes Browning</v>
      </c>
    </row>
    <row r="75" spans="1:11" ht="15" customHeight="1" x14ac:dyDescent="0.25">
      <c r="A75" s="761"/>
      <c r="B75" s="762"/>
      <c r="C75" s="762"/>
      <c r="D75" s="762"/>
      <c r="E75" s="762"/>
      <c r="F75" s="762"/>
      <c r="G75" s="763"/>
      <c r="I75" s="206"/>
    </row>
    <row r="76" spans="1:11" x14ac:dyDescent="0.25">
      <c r="A76" s="761"/>
      <c r="B76" s="762"/>
      <c r="C76" s="762"/>
      <c r="D76" s="762"/>
      <c r="E76" s="762"/>
      <c r="F76" s="762"/>
      <c r="G76" s="763"/>
      <c r="I76" s="206"/>
    </row>
    <row r="77" spans="1:11" x14ac:dyDescent="0.25">
      <c r="A77" s="761"/>
      <c r="B77" s="762"/>
      <c r="C77" s="762"/>
      <c r="D77" s="762"/>
      <c r="E77" s="762"/>
      <c r="F77" s="762"/>
      <c r="G77" s="763"/>
    </row>
    <row r="78" spans="1:11" x14ac:dyDescent="0.25">
      <c r="A78" s="761"/>
      <c r="B78" s="762"/>
      <c r="C78" s="762"/>
      <c r="D78" s="762"/>
      <c r="E78" s="762"/>
      <c r="F78" s="762"/>
      <c r="G78" s="763"/>
    </row>
    <row r="79" spans="1:11" ht="15.75" thickBot="1" x14ac:dyDescent="0.3">
      <c r="A79" s="764"/>
      <c r="B79" s="765"/>
      <c r="C79" s="765"/>
      <c r="D79" s="765"/>
      <c r="E79" s="765"/>
      <c r="F79" s="765"/>
      <c r="G79" s="766"/>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84" t="s">
        <v>909</v>
      </c>
      <c r="B1" s="785"/>
      <c r="C1" s="786"/>
      <c r="D1" s="784" t="s">
        <v>478</v>
      </c>
      <c r="E1" s="785"/>
      <c r="F1" s="786"/>
      <c r="G1" s="784" t="s">
        <v>592</v>
      </c>
      <c r="H1" s="785"/>
      <c r="I1" s="786"/>
      <c r="J1" s="784" t="s">
        <v>955</v>
      </c>
      <c r="K1" s="785"/>
      <c r="L1" s="786"/>
      <c r="M1" s="784" t="s">
        <v>479</v>
      </c>
      <c r="N1" s="785"/>
      <c r="O1" s="786"/>
      <c r="P1" s="784" t="s">
        <v>956</v>
      </c>
      <c r="Q1" s="785"/>
      <c r="R1" s="786"/>
      <c r="S1" s="784" t="s">
        <v>957</v>
      </c>
      <c r="T1" s="785"/>
      <c r="U1" s="786"/>
      <c r="V1" s="784" t="s">
        <v>591</v>
      </c>
      <c r="W1" s="785"/>
      <c r="X1" s="786"/>
      <c r="Y1" s="784" t="s">
        <v>658</v>
      </c>
      <c r="Z1" s="785"/>
      <c r="AA1" s="786"/>
      <c r="AB1" s="784" t="s">
        <v>958</v>
      </c>
      <c r="AC1" s="785"/>
      <c r="AD1" s="786"/>
      <c r="AE1" s="784" t="s">
        <v>959</v>
      </c>
      <c r="AF1" s="785"/>
      <c r="AG1" s="786"/>
      <c r="AH1" s="61"/>
      <c r="AI1" s="787"/>
      <c r="AJ1" s="775"/>
      <c r="AK1" s="775"/>
      <c r="AL1" s="775"/>
      <c r="AM1" s="775"/>
      <c r="AN1" s="775"/>
      <c r="AO1" s="775"/>
      <c r="AP1" s="775"/>
      <c r="AQ1" s="775"/>
      <c r="AR1" s="775"/>
      <c r="AS1" s="775"/>
    </row>
    <row r="2" spans="1:45" ht="15" customHeight="1" x14ac:dyDescent="0.25">
      <c r="C2" s="321"/>
      <c r="F2" s="321"/>
      <c r="I2" s="321"/>
      <c r="L2" s="321"/>
      <c r="O2" s="321"/>
      <c r="R2" s="321"/>
      <c r="U2" s="321"/>
      <c r="X2" s="321"/>
      <c r="AA2" s="781"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782"/>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779">
        <f>SUMIFS(tblCarryingExpenses[Amount],tblCarryingExpenses[Category],IF(A1="Mortgage Payment paid after Reinstatement","Mortgage Payment",A1),tblCarryingExpenses[Include],"Yes")</f>
        <v>89.949999999999989</v>
      </c>
      <c r="C25" s="780"/>
      <c r="D25" s="23"/>
      <c r="E25" s="779">
        <f>SUMIFS(tblCarryingExpenses[Amount],tblCarryingExpenses[Category],IF(D1="Mortgage Payment paid after Reinstatement","Mortgage Payment",D1),tblCarryingExpenses[Include],"Yes")</f>
        <v>3302.9500000000003</v>
      </c>
      <c r="F25" s="783"/>
      <c r="G25" s="563"/>
      <c r="H25" s="779">
        <f>SUMIFS(tblCarryingExpenses[Amount],tblCarryingExpenses[Category],IF(G1="Mortgage Payment paid after Reinstatement","Mortgage Payment",G1),tblCarryingExpenses[Include],"Yes")</f>
        <v>1832.74</v>
      </c>
      <c r="I25" s="780"/>
      <c r="J25" s="563"/>
      <c r="K25" s="779">
        <f>SUMIFS(tblCarryingExpenses[Amount],tblCarryingExpenses[Category],IF(J1="Mortgage Payment paid after Reinstatement","Mortgage Payment",J1),tblCarryingExpenses[Include],"Yes")</f>
        <v>0</v>
      </c>
      <c r="L25" s="780"/>
      <c r="M25" s="563"/>
      <c r="N25" s="779">
        <f>SUMIFS(tblCarryingExpenses[Amount],tblCarryingExpenses[Category],IF(M1="Mortgage Payment paid after Reinstatement","Mortgage Payment",M1),tblCarryingExpenses[Include],"Yes")</f>
        <v>0</v>
      </c>
      <c r="O25" s="780"/>
      <c r="P25" s="563"/>
      <c r="Q25" s="779">
        <f>SUMIFS(tblCarryingExpenses[Amount],tblCarryingExpenses[Category],IF(P1="Mortgage Payment paid after Reinstatement","Mortgage Payment",P1),tblCarryingExpenses[Include],"Yes")</f>
        <v>277.64</v>
      </c>
      <c r="R25" s="780"/>
      <c r="S25" s="563"/>
      <c r="T25" s="779">
        <f>SUMIFS(tblCarryingExpenses[Amount],tblCarryingExpenses[Category],IF(S1="Mortgage Payment paid after Reinstatement","Mortgage Payment",S1),tblCarryingExpenses[Include],"Yes")</f>
        <v>0</v>
      </c>
      <c r="U25" s="780"/>
      <c r="V25" s="563"/>
      <c r="W25" s="779">
        <f>SUMIFS(tblCarryingExpenses[Amount],tblCarryingExpenses[Category],IF(V1="Mortgage Payment paid after Reinstatement","Mortgage Payment",V1),tblCarryingExpenses[Include],"Yes")</f>
        <v>0</v>
      </c>
      <c r="X25" s="780"/>
      <c r="Y25" s="563"/>
      <c r="Z25" s="779">
        <f>SUM(Z4:AA23)</f>
        <v>0</v>
      </c>
      <c r="AA25" s="780"/>
      <c r="AB25" s="563"/>
      <c r="AC25" s="779">
        <f>SUMIFS(tblCarryingExpenses[Amount],tblCarryingExpenses[Category],IF(AB1="Mortgage Payment paid after Reinstatement","Mortgage Payment",AB1),tblCarryingExpenses[Include],"Yes")</f>
        <v>0</v>
      </c>
      <c r="AD25" s="780"/>
      <c r="AE25" s="563"/>
      <c r="AF25" s="779">
        <f>SUMIFS(tblCarryingExpenses[Amount],tblCarryingExpenses[Category],IF(AE1="Mortgage Payment paid after Reinstatement","Mortgage Payment",AE1),tblCarryingExpenses[Include],"Yes")</f>
        <v>0</v>
      </c>
      <c r="AG25" s="780"/>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88" t="str">
        <f>"Preassigned Rows Indicating Payment or Scheduling by " &amp;Profit!E1&amp;" Your Home"</f>
        <v>Preassigned Rows Indicating Payment or Scheduling by  Your Home</v>
      </c>
      <c r="C2" s="789"/>
      <c r="E2" s="54"/>
    </row>
    <row r="3" spans="1:13" ht="15.75" hidden="1" thickBot="1" x14ac:dyDescent="0.3">
      <c r="B3" s="790"/>
      <c r="C3" s="791"/>
      <c r="E3" s="54"/>
    </row>
    <row r="4" spans="1:13" hidden="1" x14ac:dyDescent="0.25">
      <c r="B4" s="796" t="s">
        <v>177</v>
      </c>
      <c r="C4" s="797"/>
      <c r="E4" s="54"/>
    </row>
    <row r="5" spans="1:13" ht="15.75" hidden="1" thickBot="1" x14ac:dyDescent="0.3">
      <c r="B5" s="798"/>
      <c r="C5" s="799"/>
      <c r="E5" s="54"/>
    </row>
    <row r="6" spans="1:13" hidden="1" x14ac:dyDescent="0.25">
      <c r="B6" s="792" t="s">
        <v>178</v>
      </c>
      <c r="C6" s="793"/>
      <c r="E6" s="54"/>
    </row>
    <row r="7" spans="1:13" ht="15.75" hidden="1" thickBot="1" x14ac:dyDescent="0.3">
      <c r="B7" s="794"/>
      <c r="C7" s="795"/>
    </row>
    <row r="8" spans="1:13" hidden="1" x14ac:dyDescent="0.25">
      <c r="B8" s="800" t="s">
        <v>179</v>
      </c>
      <c r="C8" s="801"/>
    </row>
    <row r="9" spans="1:13" ht="15.75" hidden="1" thickBot="1" x14ac:dyDescent="0.3">
      <c r="B9" s="802"/>
      <c r="C9" s="803"/>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3" t="s">
        <v>201</v>
      </c>
      <c r="B1" s="814"/>
      <c r="C1" s="814"/>
      <c r="D1" s="814"/>
      <c r="E1" s="814"/>
      <c r="F1" s="814"/>
      <c r="G1" s="814"/>
      <c r="H1" s="815"/>
      <c r="I1" s="804" t="s">
        <v>202</v>
      </c>
      <c r="J1" s="805"/>
      <c r="K1" s="805"/>
      <c r="L1" s="805"/>
      <c r="M1" s="805"/>
      <c r="N1" s="806"/>
      <c r="P1" s="30" t="s">
        <v>203</v>
      </c>
      <c r="Q1" s="15">
        <v>1</v>
      </c>
      <c r="R1" s="59" t="s">
        <v>204</v>
      </c>
      <c r="S1" s="15">
        <v>4</v>
      </c>
    </row>
    <row r="2" spans="1:19" x14ac:dyDescent="0.25">
      <c r="A2" s="816"/>
      <c r="B2" s="743"/>
      <c r="C2" s="743"/>
      <c r="D2" s="743"/>
      <c r="E2" s="743"/>
      <c r="F2" s="743"/>
      <c r="G2" s="743"/>
      <c r="H2" s="817"/>
      <c r="I2" s="807"/>
      <c r="J2" s="808"/>
      <c r="K2" s="808"/>
      <c r="L2" s="808"/>
      <c r="M2" s="808"/>
      <c r="N2" s="809"/>
      <c r="P2" s="30" t="s">
        <v>205</v>
      </c>
      <c r="Q2" s="15">
        <v>2</v>
      </c>
      <c r="R2" s="30" t="s">
        <v>206</v>
      </c>
      <c r="S2" s="15">
        <v>0</v>
      </c>
    </row>
    <row r="3" spans="1:19" ht="15.75" thickBot="1" x14ac:dyDescent="0.3">
      <c r="A3" s="818"/>
      <c r="B3" s="819"/>
      <c r="C3" s="819"/>
      <c r="D3" s="819"/>
      <c r="E3" s="819"/>
      <c r="F3" s="819"/>
      <c r="G3" s="819"/>
      <c r="H3" s="820"/>
      <c r="I3" s="810"/>
      <c r="J3" s="811"/>
      <c r="K3" s="811"/>
      <c r="L3" s="811"/>
      <c r="M3" s="811"/>
      <c r="N3" s="812"/>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25" t="s">
        <v>219</v>
      </c>
      <c r="K1" s="825"/>
      <c r="L1" s="162"/>
      <c r="M1" s="821" t="s">
        <v>220</v>
      </c>
      <c r="N1" s="822"/>
      <c r="O1" s="272" t="s">
        <v>221</v>
      </c>
    </row>
    <row r="2" spans="1:125" ht="30" customHeight="1" thickBot="1" x14ac:dyDescent="0.35">
      <c r="A2" s="854" t="s">
        <v>492</v>
      </c>
      <c r="B2" s="740"/>
      <c r="C2" s="852" t="str">
        <f>Profit!E1&amp; " Your Home"</f>
        <v xml:space="preserve"> Your Home</v>
      </c>
      <c r="D2" s="853"/>
      <c r="E2" s="171" t="s">
        <v>222</v>
      </c>
      <c r="F2" s="850">
        <f>+MIN(ProposalToGnatt[Start Date])</f>
        <v>45363</v>
      </c>
      <c r="G2" s="851"/>
      <c r="H2" s="828" t="s">
        <v>223</v>
      </c>
      <c r="I2" s="829"/>
      <c r="J2" s="839">
        <f>+SUM(H8:H20)</f>
        <v>20549.104910999999</v>
      </c>
      <c r="K2" s="843"/>
      <c r="L2" s="163"/>
      <c r="M2" s="839">
        <f>+SUM(N8:N20)-SUM(M8:M20)</f>
        <v>0</v>
      </c>
      <c r="N2" s="835"/>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40"/>
      <c r="B3" s="841"/>
      <c r="C3" s="841"/>
      <c r="D3" s="841"/>
      <c r="E3" s="172"/>
      <c r="G3" s="34"/>
      <c r="H3" s="830" t="s">
        <v>224</v>
      </c>
      <c r="I3" s="831"/>
      <c r="J3" s="838">
        <f>SUM(H22:H25)</f>
        <v>0</v>
      </c>
      <c r="K3" s="846"/>
      <c r="L3" s="164"/>
      <c r="M3" s="838">
        <f>+J3-SUM(M22:M25)</f>
        <v>0</v>
      </c>
      <c r="N3" s="835"/>
      <c r="O3" s="274">
        <f>+SUM(H22:H25)-SUM(M22:M25)</f>
        <v>0</v>
      </c>
      <c r="AP3" s="15"/>
      <c r="AQ3" s="15"/>
      <c r="AR3" s="15"/>
    </row>
    <row r="4" spans="1:125" ht="30" customHeight="1" x14ac:dyDescent="0.3">
      <c r="A4" s="840" t="str">
        <f>+Profit!B2</f>
        <v>4121 Tensity Dr</v>
      </c>
      <c r="B4" s="841" t="str">
        <f>+Profit!B2</f>
        <v>4121 Tensity Dr</v>
      </c>
      <c r="C4" s="841"/>
      <c r="D4" s="841"/>
      <c r="E4" s="826" t="s">
        <v>225</v>
      </c>
      <c r="F4" s="827"/>
      <c r="G4" s="76">
        <v>1</v>
      </c>
      <c r="H4" s="832" t="str">
        <f>+A2 &amp; "Total:"</f>
        <v>Tim Flemming Total:</v>
      </c>
      <c r="I4" s="833"/>
      <c r="J4" s="834">
        <f>SUM(ProposalToGnatt[Price])</f>
        <v>4897.5700000000006</v>
      </c>
      <c r="K4" s="847"/>
      <c r="L4" s="165"/>
      <c r="M4" s="834" cm="1">
        <f t="array" ref="M4">+SUM(ProposalToGnatt[Due]-ProposalToGnatt[Paid])</f>
        <v>1.9895196601282805E-13</v>
      </c>
      <c r="N4" s="835"/>
      <c r="O4" s="275">
        <f>+SUM(ProposalToGnatt[Price])-SUM(ProposalToGnatt[Paid])</f>
        <v>0</v>
      </c>
      <c r="AP4" s="15"/>
      <c r="AQ4" s="15"/>
      <c r="AR4" s="15"/>
    </row>
    <row r="5" spans="1:125" ht="18" customHeight="1" thickBot="1" x14ac:dyDescent="0.3">
      <c r="A5" s="166"/>
      <c r="B5" s="167" t="s">
        <v>226</v>
      </c>
      <c r="C5" s="168"/>
      <c r="D5" s="169"/>
      <c r="E5" s="844" t="s">
        <v>227</v>
      </c>
      <c r="F5" s="845"/>
      <c r="G5" s="170">
        <v>2</v>
      </c>
      <c r="H5" s="842" t="s">
        <v>228</v>
      </c>
      <c r="I5" s="842"/>
      <c r="J5" s="848">
        <f>+SUM(J2:K4)</f>
        <v>25446.674910999998</v>
      </c>
      <c r="K5" s="849"/>
      <c r="L5" s="24"/>
      <c r="M5" s="836">
        <f>+SUM(M2:M4)</f>
        <v>1.9895196601282805E-13</v>
      </c>
      <c r="N5" s="837"/>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23" t="s">
        <v>245</v>
      </c>
      <c r="AB22" s="824"/>
      <c r="AC22" s="824"/>
      <c r="AD22" s="824"/>
      <c r="AE22" s="824"/>
      <c r="AF22" s="824"/>
      <c r="AG22" s="824"/>
      <c r="AH22" s="824"/>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24"/>
      <c r="AB23" s="824"/>
      <c r="AC23" s="824"/>
      <c r="AD23" s="824"/>
      <c r="AE23" s="824"/>
      <c r="AF23" s="824"/>
      <c r="AG23" s="824"/>
      <c r="AH23" s="824"/>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69" t="s">
        <v>250</v>
      </c>
      <c r="B1" s="870"/>
      <c r="C1" s="843"/>
      <c r="D1" s="843"/>
      <c r="E1" s="843"/>
      <c r="F1" s="843"/>
      <c r="G1" s="743"/>
      <c r="I1" s="865" t="s">
        <v>251</v>
      </c>
      <c r="J1" s="866"/>
      <c r="K1" s="867"/>
      <c r="L1" s="868"/>
      <c r="M1"/>
      <c r="N1" s="855" t="s">
        <v>252</v>
      </c>
      <c r="O1" s="856"/>
      <c r="P1" s="856"/>
      <c r="Q1" s="856"/>
      <c r="R1" s="856"/>
      <c r="S1" s="857"/>
      <c r="W1"/>
    </row>
    <row r="2" spans="1:23" ht="15.75" thickBot="1" x14ac:dyDescent="0.3">
      <c r="A2" s="869" t="s">
        <v>253</v>
      </c>
      <c r="B2" s="870"/>
      <c r="C2" s="843"/>
      <c r="D2" s="843"/>
      <c r="E2" s="843"/>
      <c r="F2" s="843"/>
      <c r="G2" s="743"/>
      <c r="I2" s="861" t="s">
        <v>254</v>
      </c>
      <c r="J2" s="862"/>
      <c r="K2" s="863"/>
      <c r="L2" s="864"/>
      <c r="M2"/>
      <c r="N2" s="858" t="str">
        <f>"Recap Summary Table - " &amp; +Profit!B2</f>
        <v>Recap Summary Table - 4121 Tensity Dr</v>
      </c>
      <c r="O2" s="859"/>
      <c r="P2" s="859"/>
      <c r="Q2" s="859"/>
      <c r="R2" s="859"/>
      <c r="S2" s="860"/>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873" t="s">
        <v>2</v>
      </c>
      <c r="J2" s="873" t="str">
        <f>IF(Profit!$Q$6,IF(K2="No","No","Yes"),"No")</f>
        <v>No</v>
      </c>
      <c r="K2" s="875"/>
    </row>
    <row r="3" spans="1:11" s="3" customFormat="1" ht="15.75" thickBot="1" x14ac:dyDescent="0.3">
      <c r="A3" s="3" t="s">
        <v>309</v>
      </c>
      <c r="B3" s="3" t="s">
        <v>257</v>
      </c>
      <c r="C3" s="13" t="s">
        <v>310</v>
      </c>
      <c r="D3" s="3" t="s">
        <v>311</v>
      </c>
      <c r="E3" s="13" t="s">
        <v>312</v>
      </c>
      <c r="F3" s="3" t="s">
        <v>313</v>
      </c>
      <c r="I3" s="874"/>
      <c r="J3" s="874"/>
      <c r="K3" s="876"/>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1"/>
      <c r="D28" s="872"/>
      <c r="E28" s="87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873" t="s">
        <v>2</v>
      </c>
      <c r="I3" s="873" t="str">
        <f>IF(Profit!$Q$6,IF(J3,"Yes","N0"),"no")</f>
        <v>no</v>
      </c>
      <c r="J3" s="877" t="b">
        <v>1</v>
      </c>
    </row>
    <row r="4" spans="1:10" ht="15.75" thickBot="1" x14ac:dyDescent="0.3">
      <c r="A4" s="435" t="s">
        <v>314</v>
      </c>
      <c r="B4" s="439"/>
      <c r="C4" s="437" t="s">
        <v>315</v>
      </c>
      <c r="D4" s="436">
        <v>0</v>
      </c>
      <c r="E4" s="437">
        <v>325</v>
      </c>
      <c r="F4" s="437">
        <f t="shared" ref="F4:F5" si="0">IF($I$3="Yes",+D4*E4,0)</f>
        <v>0</v>
      </c>
      <c r="H4" s="874"/>
      <c r="I4" s="874"/>
      <c r="J4" s="878"/>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873" t="s">
        <v>2</v>
      </c>
      <c r="J4" s="873" t="str">
        <f>IF(Profit!$Q$6,IF(K4,"Yes","N0"),"no")</f>
        <v>no</v>
      </c>
      <c r="K4" s="877" t="b">
        <v>0</v>
      </c>
    </row>
    <row r="5" spans="1:11" ht="15.75" thickBot="1" x14ac:dyDescent="0.3">
      <c r="A5" s="435" t="s">
        <v>642</v>
      </c>
      <c r="B5" s="435">
        <v>977057</v>
      </c>
      <c r="C5" s="436">
        <v>0</v>
      </c>
      <c r="D5" s="443">
        <v>149</v>
      </c>
      <c r="E5" s="437">
        <f>+C5*D5</f>
        <v>0</v>
      </c>
      <c r="F5" s="444">
        <f>+E5*0.0725</f>
        <v>0</v>
      </c>
      <c r="G5" s="442"/>
      <c r="I5" s="874"/>
      <c r="J5" s="874"/>
      <c r="K5" s="878"/>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872" t="s">
        <v>336</v>
      </c>
      <c r="D30" s="872"/>
      <c r="E30" s="872"/>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873" t="s">
        <v>2</v>
      </c>
      <c r="K5" s="873" t="str">
        <f>IF(Profit!Q6,IF(L5,"Yes","No"),"No")</f>
        <v>No</v>
      </c>
      <c r="L5" s="877" t="b">
        <v>0</v>
      </c>
    </row>
    <row r="6" spans="1:12" ht="15.75" thickBot="1" x14ac:dyDescent="0.3">
      <c r="B6" s="446" t="s">
        <v>643</v>
      </c>
      <c r="C6" s="446"/>
      <c r="D6" s="436">
        <v>1</v>
      </c>
      <c r="E6" s="443">
        <v>53.98</v>
      </c>
      <c r="F6" s="437">
        <f>+D6*E6</f>
        <v>53.98</v>
      </c>
      <c r="G6" s="444">
        <f t="shared" si="0"/>
        <v>3.9135499999999994</v>
      </c>
      <c r="H6" s="442"/>
      <c r="J6" s="874"/>
      <c r="K6" s="874"/>
      <c r="L6" s="878"/>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873" t="s">
        <v>2</v>
      </c>
      <c r="L2" s="873" t="str">
        <f>IF(Profit!Q6,IF(M2,"Yes","No"),"No")</f>
        <v>No</v>
      </c>
      <c r="M2" s="877" t="b">
        <v>1</v>
      </c>
    </row>
    <row r="3" spans="1:13" s="22" customFormat="1" ht="14.25" customHeight="1" thickBot="1" x14ac:dyDescent="0.3">
      <c r="A3" s="3" t="s">
        <v>212</v>
      </c>
      <c r="B3" s="3" t="s">
        <v>257</v>
      </c>
      <c r="C3" s="3" t="s">
        <v>325</v>
      </c>
      <c r="D3" s="3" t="s">
        <v>269</v>
      </c>
      <c r="E3" s="8" t="s">
        <v>270</v>
      </c>
      <c r="F3" s="13" t="s">
        <v>271</v>
      </c>
      <c r="G3" s="13"/>
      <c r="H3" s="13" t="s">
        <v>272</v>
      </c>
      <c r="K3" s="874"/>
      <c r="L3" s="874"/>
      <c r="M3" s="878"/>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873" t="s">
        <v>2</v>
      </c>
      <c r="K2" s="873" t="str">
        <f>IF(Profit!Q6,IF(L2,"Yes","No"),"No")</f>
        <v>No</v>
      </c>
      <c r="L2" s="877" t="b">
        <v>1</v>
      </c>
    </row>
    <row r="3" spans="1:12" ht="15.75" thickBot="1" x14ac:dyDescent="0.3">
      <c r="A3" s="31" t="s">
        <v>212</v>
      </c>
      <c r="B3" s="31" t="s">
        <v>325</v>
      </c>
      <c r="C3" s="31" t="s">
        <v>269</v>
      </c>
      <c r="D3" s="268" t="s">
        <v>270</v>
      </c>
      <c r="E3" s="269" t="s">
        <v>271</v>
      </c>
      <c r="F3" s="269" t="s">
        <v>258</v>
      </c>
      <c r="G3" s="269" t="s">
        <v>272</v>
      </c>
      <c r="J3" s="874"/>
      <c r="K3" s="874"/>
      <c r="L3" s="878"/>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873" t="s">
        <v>2</v>
      </c>
      <c r="O1" s="873" t="str">
        <f>IF(Profit!Q6,IF(P1,"Yes","No"),"No")</f>
        <v>No</v>
      </c>
      <c r="P1" s="877"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874"/>
      <c r="O2" s="874"/>
      <c r="P2" s="878"/>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871" t="s">
        <v>645</v>
      </c>
      <c r="I9" s="872"/>
      <c r="J9" s="872"/>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71" t="s">
        <v>418</v>
      </c>
      <c r="I43" s="872"/>
      <c r="J43" s="872"/>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873" t="s">
        <v>2</v>
      </c>
      <c r="K1" s="873" t="str">
        <f>IF(Profit!Q6,IF(L1,"Yes","No"),"No")</f>
        <v>No</v>
      </c>
      <c r="L1" s="877" t="b">
        <v>1</v>
      </c>
    </row>
    <row r="2" spans="1:12" s="3" customFormat="1" ht="15.75" thickBot="1" x14ac:dyDescent="0.3">
      <c r="A2" s="269" t="s">
        <v>212</v>
      </c>
      <c r="B2" s="269" t="s">
        <v>397</v>
      </c>
      <c r="C2" s="269" t="s">
        <v>230</v>
      </c>
      <c r="D2" s="269" t="s">
        <v>183</v>
      </c>
      <c r="E2" s="269" t="s">
        <v>270</v>
      </c>
      <c r="F2" s="269" t="s">
        <v>271</v>
      </c>
      <c r="G2" s="269" t="s">
        <v>258</v>
      </c>
      <c r="H2" s="269" t="s">
        <v>272</v>
      </c>
      <c r="J2" s="874"/>
      <c r="K2" s="874"/>
      <c r="L2" s="878"/>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3" t="s">
        <v>2</v>
      </c>
      <c r="K1" s="873" t="str">
        <f>IF(Profit!Q6,IF(L1,"Yes","No"),"No")</f>
        <v>No</v>
      </c>
      <c r="L1" s="877" t="b">
        <v>0</v>
      </c>
    </row>
    <row r="2" spans="1:16" ht="15.75" thickBot="1" x14ac:dyDescent="0.3">
      <c r="A2" s="32" t="s">
        <v>193</v>
      </c>
      <c r="B2" s="32"/>
      <c r="C2" s="32"/>
      <c r="J2" s="874"/>
      <c r="K2" s="874"/>
      <c r="L2" s="878"/>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871"/>
      <c r="F17" s="872"/>
      <c r="G17" s="87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1"/>
      <c r="N24" s="872"/>
      <c r="O24" s="87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873" t="s">
        <v>2</v>
      </c>
      <c r="J1" s="873" t="str">
        <f>IF(Profit!Q6,IF(K1,"Yes","No"),"No")</f>
        <v>No</v>
      </c>
      <c r="K1" s="877" t="b">
        <v>0</v>
      </c>
    </row>
    <row r="2" spans="1:11" ht="15.75" thickBot="1" x14ac:dyDescent="0.3">
      <c r="C2" s="3"/>
      <c r="D2" s="8"/>
      <c r="E2" s="13"/>
      <c r="F2" s="13"/>
      <c r="G2" s="13"/>
      <c r="I2" s="874"/>
      <c r="J2" s="874"/>
      <c r="K2" s="878"/>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873" t="s">
        <v>2</v>
      </c>
      <c r="I1" s="873" t="str">
        <f>IF(Profit!$Q$6,IF(J1="No","No","Yes"),"no")</f>
        <v>no</v>
      </c>
      <c r="J1" s="875"/>
    </row>
    <row r="2" spans="1:10" s="15" customFormat="1" ht="15.75" thickBot="1" x14ac:dyDescent="0.3">
      <c r="A2" s="3" t="s">
        <v>209</v>
      </c>
      <c r="B2" s="17" t="s">
        <v>455</v>
      </c>
      <c r="C2" s="30" t="s">
        <v>456</v>
      </c>
      <c r="D2" s="3" t="s">
        <v>269</v>
      </c>
      <c r="E2" s="8" t="s">
        <v>457</v>
      </c>
      <c r="F2" s="6" t="s">
        <v>458</v>
      </c>
      <c r="G2" s="15" t="s">
        <v>272</v>
      </c>
      <c r="H2" s="874"/>
      <c r="I2" s="874"/>
      <c r="J2" s="876"/>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873" t="s">
        <v>2</v>
      </c>
      <c r="J1" s="873" t="str">
        <f>IF(Profit!$Q$6,IF(K1="No","No","Yes"),"no")</f>
        <v>no</v>
      </c>
      <c r="K1" s="875"/>
    </row>
    <row r="2" spans="1:14" s="61" customFormat="1" ht="30.75" thickBot="1" x14ac:dyDescent="0.3">
      <c r="A2" s="61" t="s">
        <v>209</v>
      </c>
      <c r="B2" s="61" t="s">
        <v>209</v>
      </c>
      <c r="C2" s="61" t="s">
        <v>183</v>
      </c>
      <c r="D2" s="325" t="s">
        <v>465</v>
      </c>
      <c r="E2" s="61" t="s">
        <v>272</v>
      </c>
      <c r="F2" s="61" t="s">
        <v>466</v>
      </c>
      <c r="G2" s="257"/>
      <c r="H2" s="325">
        <v>20</v>
      </c>
      <c r="I2" s="874"/>
      <c r="J2" s="874"/>
      <c r="K2" s="876"/>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74" t="s">
        <v>571</v>
      </c>
      <c r="C1" s="775"/>
      <c r="E1" s="774" t="s">
        <v>575</v>
      </c>
      <c r="F1" s="775"/>
      <c r="H1" s="774" t="s">
        <v>574</v>
      </c>
      <c r="I1" s="775"/>
      <c r="L1" s="774" t="s">
        <v>590</v>
      </c>
      <c r="M1" s="775"/>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774" t="s">
        <v>571</v>
      </c>
      <c r="C12" s="775"/>
      <c r="D12" s="3"/>
      <c r="E12" s="774" t="s">
        <v>575</v>
      </c>
      <c r="F12" s="775"/>
      <c r="G12" s="3"/>
      <c r="H12" s="774" t="s">
        <v>574</v>
      </c>
      <c r="I12" s="775"/>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83" t="s">
        <v>594</v>
      </c>
      <c r="C2" s="884"/>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879">
        <f>+AVERAGE(E3:F3)</f>
        <v>167500</v>
      </c>
      <c r="D8" s="698"/>
      <c r="E8" s="885"/>
      <c r="F8" s="743"/>
      <c r="G8" s="719"/>
      <c r="I8" s="61"/>
      <c r="J8" s="61"/>
      <c r="K8" s="61"/>
    </row>
    <row r="9" spans="1:11" ht="15.75" thickBot="1" x14ac:dyDescent="0.3">
      <c r="B9" s="153" t="s">
        <v>159</v>
      </c>
      <c r="C9" s="879">
        <f>+AVERAGE(E4:F4)</f>
        <v>44549.638750000006</v>
      </c>
      <c r="D9" s="698"/>
      <c r="E9" s="720"/>
      <c r="F9" s="747"/>
      <c r="G9" s="721"/>
      <c r="I9" s="61"/>
      <c r="J9" s="61"/>
      <c r="K9" s="61"/>
    </row>
    <row r="10" spans="1:11" ht="15.75" thickBot="1" x14ac:dyDescent="0.3">
      <c r="B10" s="153" t="s">
        <v>160</v>
      </c>
      <c r="C10" s="879">
        <f>+AVERAGE(E5:F5)</f>
        <v>42487.25</v>
      </c>
      <c r="D10" s="698"/>
      <c r="E10" s="886" t="s">
        <v>161</v>
      </c>
      <c r="F10" s="658"/>
      <c r="G10" s="656"/>
      <c r="I10" s="61"/>
      <c r="J10" s="61"/>
      <c r="K10" s="61"/>
    </row>
    <row r="11" spans="1:11" ht="15.75" thickBot="1" x14ac:dyDescent="0.3">
      <c r="B11" s="153" t="s">
        <v>162</v>
      </c>
      <c r="C11" s="879">
        <f>+AVERAGE(E6:F6)</f>
        <v>45703.346999999994</v>
      </c>
      <c r="D11" s="698"/>
      <c r="E11" s="880" t="s">
        <v>163</v>
      </c>
      <c r="F11" s="881"/>
      <c r="G11" s="88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83" t="s">
        <v>593</v>
      </c>
      <c r="C2" s="884"/>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879">
        <f>+AVERAGE(E3:F3)</f>
        <v>375000</v>
      </c>
      <c r="D8" s="698"/>
      <c r="E8" s="885"/>
      <c r="F8" s="743"/>
      <c r="G8" s="719"/>
    </row>
    <row r="9" spans="1:8" ht="15.75" thickBot="1" x14ac:dyDescent="0.3">
      <c r="B9" s="153" t="s">
        <v>159</v>
      </c>
      <c r="C9" s="879">
        <f>+AVERAGE(E4:F4)</f>
        <v>176184.5</v>
      </c>
      <c r="D9" s="698"/>
      <c r="E9" s="720"/>
      <c r="F9" s="747"/>
      <c r="G9" s="721"/>
    </row>
    <row r="10" spans="1:8" ht="15.75" thickBot="1" x14ac:dyDescent="0.3">
      <c r="B10" s="153" t="s">
        <v>160</v>
      </c>
      <c r="C10" s="879">
        <f>+AVERAGE(E5:F5)</f>
        <v>121133.5</v>
      </c>
      <c r="D10" s="698"/>
      <c r="E10" s="886" t="s">
        <v>161</v>
      </c>
      <c r="F10" s="658"/>
      <c r="G10" s="656"/>
    </row>
    <row r="11" spans="1:8" ht="15.75" thickBot="1" x14ac:dyDescent="0.3">
      <c r="B11" s="153" t="s">
        <v>162</v>
      </c>
      <c r="C11" s="879">
        <f>+AVERAGE(E6:F6)</f>
        <v>77681.948333333334</v>
      </c>
      <c r="D11" s="698"/>
      <c r="E11" s="880" t="s">
        <v>163</v>
      </c>
      <c r="F11" s="881"/>
      <c r="G11" s="88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83" t="s">
        <v>477</v>
      </c>
      <c r="C2" s="890"/>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879">
        <f>+AVERAGE(E3:H3)</f>
        <v>315632.25</v>
      </c>
      <c r="D8" s="887"/>
      <c r="E8" s="885"/>
      <c r="F8" s="743"/>
      <c r="G8" s="743"/>
      <c r="H8" s="743"/>
      <c r="I8" s="719"/>
    </row>
    <row r="9" spans="1:10" ht="15.75" thickBot="1" x14ac:dyDescent="0.3">
      <c r="A9" s="156"/>
      <c r="B9" s="153" t="s">
        <v>159</v>
      </c>
      <c r="C9" s="879">
        <f>+AVERAGE(E4:H4)</f>
        <v>138648.73000000001</v>
      </c>
      <c r="D9" s="887"/>
      <c r="E9" s="720"/>
      <c r="F9" s="747"/>
      <c r="G9" s="747"/>
      <c r="H9" s="747"/>
      <c r="I9" s="721"/>
    </row>
    <row r="10" spans="1:10" ht="15.75" thickBot="1" x14ac:dyDescent="0.3">
      <c r="A10" s="156"/>
      <c r="B10" s="153" t="s">
        <v>160</v>
      </c>
      <c r="C10" s="879">
        <f>+AVERAGE(E5:H5)</f>
        <v>37177.026874999996</v>
      </c>
      <c r="D10" s="887"/>
      <c r="E10" s="886" t="s">
        <v>161</v>
      </c>
      <c r="F10" s="891"/>
      <c r="G10" s="891"/>
      <c r="H10" s="891"/>
      <c r="I10" s="892"/>
    </row>
    <row r="11" spans="1:10" ht="15.75" thickBot="1" x14ac:dyDescent="0.3">
      <c r="B11" s="153" t="s">
        <v>162</v>
      </c>
      <c r="C11" s="879">
        <f>+AVERAGE(E6:H6)</f>
        <v>117803.01925000001</v>
      </c>
      <c r="D11" s="887"/>
      <c r="E11" s="880" t="s">
        <v>163</v>
      </c>
      <c r="F11" s="888"/>
      <c r="G11" s="888"/>
      <c r="H11" s="888"/>
      <c r="I11" s="88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879">
        <f>+AVERAGE(E3:G3)</f>
        <v>270600</v>
      </c>
      <c r="D8" s="698"/>
      <c r="E8" s="885"/>
      <c r="F8" s="893"/>
      <c r="G8" s="743"/>
      <c r="H8" s="719"/>
    </row>
    <row r="9" spans="1:9" ht="15.75" thickBot="1" x14ac:dyDescent="0.3">
      <c r="B9" s="153" t="s">
        <v>159</v>
      </c>
      <c r="C9" s="879">
        <f>+AVERAGE(E4:G4)</f>
        <v>133923.63333333333</v>
      </c>
      <c r="D9" s="698"/>
      <c r="E9" s="720"/>
      <c r="F9" s="747"/>
      <c r="G9" s="747"/>
      <c r="H9" s="721"/>
    </row>
    <row r="10" spans="1:9" ht="15.75" thickBot="1" x14ac:dyDescent="0.3">
      <c r="B10" s="153" t="s">
        <v>160</v>
      </c>
      <c r="C10" s="879">
        <f>+AVERAGE(E5:G5)</f>
        <v>48783.358384708328</v>
      </c>
      <c r="D10" s="698"/>
      <c r="E10" s="886" t="s">
        <v>161</v>
      </c>
      <c r="F10" s="891"/>
      <c r="G10" s="658"/>
      <c r="H10" s="656"/>
    </row>
    <row r="11" spans="1:9" ht="15.75" thickBot="1" x14ac:dyDescent="0.3">
      <c r="B11" s="153" t="s">
        <v>162</v>
      </c>
      <c r="C11" s="879">
        <f>+AVERAGE(E6:G6)</f>
        <v>85689.034948625005</v>
      </c>
      <c r="D11" s="698"/>
      <c r="E11" s="880" t="s">
        <v>163</v>
      </c>
      <c r="F11" s="888"/>
      <c r="G11" s="881"/>
      <c r="H11" s="88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879">
        <f>+AVERAGE(E3:G3)</f>
        <v>180000</v>
      </c>
      <c r="D8" s="698"/>
      <c r="E8" s="885"/>
      <c r="F8" s="893"/>
      <c r="G8" s="743"/>
      <c r="H8" s="719"/>
    </row>
    <row r="9" spans="1:9" ht="15.75" thickBot="1" x14ac:dyDescent="0.3">
      <c r="B9" s="153" t="s">
        <v>159</v>
      </c>
      <c r="C9" s="879">
        <f>+AVERAGE(E4:G4)</f>
        <v>103547.57</v>
      </c>
      <c r="D9" s="698"/>
      <c r="E9" s="720"/>
      <c r="F9" s="747"/>
      <c r="G9" s="747"/>
      <c r="H9" s="721"/>
    </row>
    <row r="10" spans="1:9" ht="15.75" thickBot="1" x14ac:dyDescent="0.3">
      <c r="B10" s="153" t="s">
        <v>160</v>
      </c>
      <c r="C10" s="879">
        <f>+AVERAGE(E5:G5)</f>
        <v>16660.233833333332</v>
      </c>
      <c r="D10" s="698"/>
      <c r="E10" s="886" t="s">
        <v>161</v>
      </c>
      <c r="F10" s="891"/>
      <c r="G10" s="658"/>
      <c r="H10" s="656"/>
    </row>
    <row r="11" spans="1:9" ht="15.75" thickBot="1" x14ac:dyDescent="0.3">
      <c r="B11" s="153" t="s">
        <v>162</v>
      </c>
      <c r="C11" s="879">
        <f>+AVERAGE(E6:G6)</f>
        <v>38679.975259259263</v>
      </c>
      <c r="D11" s="698"/>
      <c r="E11" s="880" t="s">
        <v>163</v>
      </c>
      <c r="F11" s="888"/>
      <c r="G11" s="881"/>
      <c r="H11" s="88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3.xml>��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7.xml><?xml version="1.0" encoding="utf-8"?>
<ds:datastoreItem xmlns:ds="http://schemas.openxmlformats.org/officeDocument/2006/customXml" ds:itemID="{5C886D52-C60B-4622-9743-EA10E7087D96}">
  <ds:schemaRefs>
    <ds:schemaRef ds:uri="http://gemini/pivotcustomization/FormulaBarStat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Replacement Docs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2026-06-19T18:09:37Z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