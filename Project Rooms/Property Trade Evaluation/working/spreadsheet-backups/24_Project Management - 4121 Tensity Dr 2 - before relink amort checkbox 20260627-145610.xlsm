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22.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556" documentId="13_ncr:1_{EA464569-25D9-47E1-8EC9-01098F0F1ECC}" xr6:coauthVersionLast="47" xr6:coauthVersionMax="47" xr10:uidLastSave="{B9601FDE-8F33-4ED0-B979-87A8B41F8E1F}"/>
  <bookViews>
    <workbookView xWindow="-120" yWindow="-120" windowWidth="38640" windowHeight="15720" tabRatio="889" activeTab="2"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NetSpread">'Trade Properties'!$S$8</definedName>
    <definedName name="tradeNetCreditIncluded">'Trade Properties'!$S$5</definedName>
    <definedName name="tradePropertyConditionsForDocs">'Trade Properties'!$S$16</definedName>
    <definedName name="tradePropertyListForDocs">'Trade Properties'!$S$15</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2" i="66" l="1"/>
  <c r="H41" i="66"/>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E5" i="71"/>
  <c r="D5" i="71" s="1"/>
  <c r="D4" i="71"/>
  <c r="Q8" i="71" s="1"/>
  <c r="D3" i="71"/>
  <c r="B20" i="71" s="1"/>
  <c r="V3" i="71"/>
  <c r="E6" i="66" s="1"/>
  <c r="V2" i="71"/>
  <c r="E7" i="66" s="1"/>
  <c r="R4" i="71"/>
  <c r="Q4" i="71"/>
  <c r="P4" i="71"/>
  <c r="H33" i="66"/>
  <c r="H34" i="66"/>
  <c r="F5" i="67"/>
  <c r="C16" i="67" s="1"/>
  <c r="F4" i="67"/>
  <c r="J4" i="67" s="1"/>
  <c r="F3" i="67"/>
  <c r="C14" i="67" s="1"/>
  <c r="B16" i="67"/>
  <c r="B15" i="67"/>
  <c r="B14" i="67"/>
  <c r="A16" i="67"/>
  <c r="A15" i="67"/>
  <c r="A14" i="67"/>
  <c r="G6" i="67"/>
  <c r="D16" i="67"/>
  <c r="D15" i="67"/>
  <c r="D14" i="67"/>
  <c r="H14" i="67"/>
  <c r="P61" i="1"/>
  <c r="A9" i="1"/>
  <c r="E9" i="1"/>
  <c r="B59" i="1"/>
  <c r="C22" i="1"/>
  <c r="F19" i="1"/>
  <c r="G8" i="1"/>
  <c r="N53" i="1"/>
  <c r="H56" i="66"/>
  <c r="B38" i="66"/>
  <c r="B7" i="1"/>
  <c r="A20" i="71"/>
  <c r="N20" i="71" s="1"/>
  <c r="P14" i="71"/>
  <c r="H9" i="66" s="1"/>
  <c r="P13" i="71"/>
  <c r="H37" i="66" s="1"/>
  <c r="L20" i="71"/>
  <c r="R3" i="71"/>
  <c r="Q3" i="71"/>
  <c r="P3" i="71"/>
  <c r="O2" i="71"/>
  <c r="B5" i="1" s="1"/>
  <c r="B68" i="1"/>
  <c r="D11" i="1"/>
  <c r="B23" i="66"/>
  <c r="P8" i="71" l="1"/>
  <c r="D6" i="71"/>
  <c r="D17" i="67"/>
  <c r="S6" i="67" s="1"/>
  <c r="H5" i="67"/>
  <c r="I5" i="67" s="1"/>
  <c r="L5" i="67" s="1"/>
  <c r="C15" i="67"/>
  <c r="C17" i="67" s="1"/>
  <c r="J3" i="67"/>
  <c r="H4" i="67"/>
  <c r="I4" i="67" s="1"/>
  <c r="L4" i="67" s="1"/>
  <c r="H3" i="67"/>
  <c r="I3" i="67" s="1"/>
  <c r="L3" i="67" s="1"/>
  <c r="F6" i="67"/>
  <c r="J5" i="67"/>
  <c r="E16" i="67"/>
  <c r="F16" i="67" s="1"/>
  <c r="E14" i="67"/>
  <c r="H57" i="1"/>
  <c r="B24" i="66"/>
  <c r="A21" i="71"/>
  <c r="N21" i="71" s="1"/>
  <c r="AD10" i="71"/>
  <c r="E20" i="71"/>
  <c r="J20" i="71" s="1"/>
  <c r="O3" i="71"/>
  <c r="R11" i="71"/>
  <c r="Q11" i="71"/>
  <c r="P11" i="71"/>
  <c r="S14" i="71"/>
  <c r="H42" i="66" s="1"/>
  <c r="S13" i="71"/>
  <c r="R8" i="71"/>
  <c r="S7" i="67" l="1"/>
  <c r="B6" i="1"/>
  <c r="E15" i="67"/>
  <c r="F15" i="67" s="1"/>
  <c r="K4" i="67"/>
  <c r="K5" i="67"/>
  <c r="I6" i="67"/>
  <c r="K3" i="67"/>
  <c r="H6" i="67"/>
  <c r="F14" i="67"/>
  <c r="K55" i="1"/>
  <c r="O56" i="1"/>
  <c r="O4" i="71"/>
  <c r="B39" i="66" s="1"/>
  <c r="B37" i="66"/>
  <c r="A22" i="71"/>
  <c r="N22" i="71" s="1"/>
  <c r="C20" i="71"/>
  <c r="S21" i="71"/>
  <c r="Y21" i="71"/>
  <c r="Q21" i="71" s="1"/>
  <c r="Y20" i="71"/>
  <c r="S20" i="71"/>
  <c r="O11" i="71"/>
  <c r="B26" i="66" s="1"/>
  <c r="O8" i="71"/>
  <c r="H38" i="66" s="1"/>
  <c r="B25" i="66" s="1"/>
  <c r="F17" i="67" l="1"/>
  <c r="S9" i="67" s="1"/>
  <c r="E17" i="67"/>
  <c r="S8" i="67" s="1"/>
  <c r="O9" i="1" s="1"/>
  <c r="H10" i="66"/>
  <c r="C7" i="1"/>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U742" i="71"/>
  <c r="V742" i="71" s="1"/>
  <c r="A746" i="71"/>
  <c r="C745" i="71"/>
  <c r="D745" i="71" s="1"/>
  <c r="K745" i="71"/>
  <c r="B745" i="71"/>
  <c r="E745" i="71" s="1"/>
  <c r="N745" i="71"/>
  <c r="V743" i="71" l="1"/>
  <c r="Z744" i="7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s="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AB815" i="71"/>
  <c r="T815" i="71"/>
  <c r="Y816" i="71"/>
  <c r="Q816" i="71" s="1"/>
  <c r="S816" i="71"/>
  <c r="P816" i="71"/>
  <c r="V815" i="71" l="1"/>
  <c r="Y817" i="7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S15" i="67"/>
  <c r="H55" i="66" s="1"/>
  <c r="H16" i="67"/>
  <c r="H15" i="67"/>
  <c r="E6" i="67"/>
  <c r="K6" i="67" s="1"/>
  <c r="D6" i="67"/>
  <c r="C6" i="67"/>
  <c r="L6" i="67" s="1"/>
  <c r="S4" i="67"/>
  <c r="J17" i="67"/>
  <c r="E28" i="66"/>
  <c r="E27" i="66"/>
  <c r="E5" i="66"/>
  <c r="E3" i="66"/>
  <c r="E2" i="66"/>
  <c r="E23" i="66" s="1"/>
  <c r="B20" i="66"/>
  <c r="B19" i="66"/>
  <c r="B7" i="66"/>
  <c r="B4" i="66"/>
  <c r="B3" i="66"/>
  <c r="H7" i="66"/>
  <c r="E37" i="66"/>
  <c r="H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3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17" i="67" l="1"/>
  <c r="J6" i="67"/>
  <c r="L630" i="71"/>
  <c r="M631" i="71"/>
  <c r="O5" i="67"/>
  <c r="G16" i="67" s="1"/>
  <c r="I16" i="67" s="1"/>
  <c r="K16" i="67" s="1"/>
  <c r="N5" i="67"/>
  <c r="M5" i="67"/>
  <c r="O3" i="67"/>
  <c r="G14" i="67" s="1"/>
  <c r="N3" i="67"/>
  <c r="M3" i="67"/>
  <c r="O4" i="67"/>
  <c r="G15" i="67" s="1"/>
  <c r="I15" i="67" s="1"/>
  <c r="K15" i="67" s="1"/>
  <c r="N4" i="67"/>
  <c r="M4" i="67"/>
  <c r="S12" i="67"/>
  <c r="Z25" i="57"/>
  <c r="AF25" i="57"/>
  <c r="AC25" i="57"/>
  <c r="W25" i="57"/>
  <c r="T25" i="57"/>
  <c r="Q25" i="57"/>
  <c r="N25" i="57"/>
  <c r="K25" i="57"/>
  <c r="H25" i="57"/>
  <c r="E25" i="57"/>
  <c r="B25" i="57"/>
  <c r="G17" i="67" l="1"/>
  <c r="L631" i="71"/>
  <c r="M632" i="71"/>
  <c r="I14" i="67"/>
  <c r="I17" i="67" s="1"/>
  <c r="O6" i="67"/>
  <c r="N6" i="67"/>
  <c r="M6" i="67"/>
  <c r="S13" i="67"/>
  <c r="S11" i="67"/>
  <c r="J15" i="4"/>
  <c r="K15" i="4" s="1"/>
  <c r="T15" i="1"/>
  <c r="S3" i="67" l="1"/>
  <c r="K14" i="67"/>
  <c r="K17" i="67" s="1"/>
  <c r="S5" i="67" s="1"/>
  <c r="L632" i="71"/>
  <c r="M633" i="71"/>
  <c r="H41" i="65"/>
  <c r="E26" i="37"/>
  <c r="F4" i="13"/>
  <c r="F29" i="20"/>
  <c r="G29" i="20" s="1"/>
  <c r="M16" i="16"/>
  <c r="N16" i="16" s="1"/>
  <c r="E12" i="16"/>
  <c r="E11" i="16"/>
  <c r="E10" i="16"/>
  <c r="E8" i="16"/>
  <c r="G7" i="18"/>
  <c r="G6" i="18"/>
  <c r="T11" i="1"/>
  <c r="T12" i="1"/>
  <c r="L633" i="71" l="1"/>
  <c r="M634" i="71"/>
  <c r="F17" i="1"/>
  <c r="E17" i="1"/>
  <c r="D17" i="1"/>
  <c r="O5" i="71" l="1"/>
  <c r="Q6" i="71" s="1"/>
  <c r="Q9" i="71" s="1"/>
  <c r="H49" i="66"/>
  <c r="L634" i="71"/>
  <c r="M635" i="71"/>
  <c r="G14" i="1"/>
  <c r="F8" i="3"/>
  <c r="G8" i="3" s="1"/>
  <c r="F19" i="3"/>
  <c r="F18" i="3"/>
  <c r="F17" i="3"/>
  <c r="F16" i="3"/>
  <c r="F15" i="3"/>
  <c r="F14" i="3"/>
  <c r="F13" i="3"/>
  <c r="F12" i="3"/>
  <c r="F11" i="3"/>
  <c r="F10" i="3"/>
  <c r="F9" i="3"/>
  <c r="J1" i="35"/>
  <c r="K1" i="18"/>
  <c r="K1" i="3"/>
  <c r="O1" i="4"/>
  <c r="K2" i="6"/>
  <c r="L2" i="20"/>
  <c r="K5" i="22"/>
  <c r="J4" i="15"/>
  <c r="I3" i="21"/>
  <c r="O61" i="1" l="1"/>
  <c r="R6" i="71"/>
  <c r="R9" i="71" s="1"/>
  <c r="P6" i="71"/>
  <c r="P9" i="71" s="1"/>
  <c r="P5" i="71"/>
  <c r="Q5" i="71"/>
  <c r="R5" i="71"/>
  <c r="L635" i="71"/>
  <c r="M636" i="71"/>
  <c r="O6" i="71" l="1"/>
  <c r="L636" i="71"/>
  <c r="M637" i="71"/>
  <c r="D14" i="1"/>
  <c r="I52" i="33"/>
  <c r="B37" i="33"/>
  <c r="C37" i="33" s="1"/>
  <c r="B24" i="33"/>
  <c r="S15" i="1"/>
  <c r="S12" i="1"/>
  <c r="S11" i="1"/>
  <c r="F5" i="58"/>
  <c r="F12" i="58"/>
  <c r="F11" i="58"/>
  <c r="F10" i="58"/>
  <c r="F9" i="58"/>
  <c r="J2" i="58"/>
  <c r="G8" i="58" s="1"/>
  <c r="O20" i="71" l="1"/>
  <c r="X20" i="71" s="1"/>
  <c r="O21" i="71" s="1"/>
  <c r="X21" i="71" s="1"/>
  <c r="O22" i="71" s="1"/>
  <c r="X22" i="71" s="1"/>
  <c r="H2" i="66"/>
  <c r="V8" i="71"/>
  <c r="O9" i="7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D3" i="71" l="1"/>
  <c r="AD20" i="71"/>
  <c r="AE20" i="71" s="1"/>
  <c r="AD21" i="71" s="1"/>
  <c r="AE21" i="71" s="1"/>
  <c r="AD22" i="71" s="1"/>
  <c r="AE22" i="71" s="1"/>
  <c r="H11" i="66"/>
  <c r="O23" i="71"/>
  <c r="X23" i="71" s="1"/>
  <c r="L638" i="71"/>
  <c r="M639" i="71"/>
  <c r="S16" i="1"/>
  <c r="T16" i="1"/>
  <c r="H3" i="66" l="1"/>
  <c r="H36" i="66"/>
  <c r="AD23" i="7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H50" i="66"/>
  <c r="H51" i="66"/>
  <c r="H54" i="66" s="1"/>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21"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AC34" i="71" l="1"/>
  <c r="U34" i="7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C35" i="71" l="1"/>
  <c r="U35" i="7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C36" i="71" l="1"/>
  <c r="U36" i="7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C37" i="71" l="1"/>
  <c r="U37" i="7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8" i="71" l="1"/>
  <c r="U38" i="7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H53" i="66"/>
  <c r="H35" i="66" l="1"/>
  <c r="O57" i="7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F54" i="1" l="1"/>
  <c r="G55" i="1" s="1"/>
  <c r="H55" i="1" l="1"/>
  <c r="H56" i="1" s="1"/>
  <c r="H53" i="1"/>
  <c r="L58" i="1" l="1"/>
  <c r="J78" i="1" l="1"/>
  <c r="K78" i="1" s="1"/>
  <c r="J79" i="1"/>
  <c r="K79" i="1" s="1"/>
  <c r="J81" i="1"/>
  <c r="K81" i="1" s="1"/>
  <c r="J80" i="1"/>
  <c r="K80" i="1" s="1"/>
  <c r="J82" i="1"/>
  <c r="K82" i="1" s="1"/>
  <c r="L82" i="1" l="1"/>
  <c r="L84" i="1" s="1"/>
  <c r="J83" i="1"/>
  <c r="L59" i="1" s="1"/>
  <c r="L61" i="1" s="1"/>
  <c r="K84" i="1"/>
  <c r="K83" i="1"/>
  <c r="M59" i="1" l="1"/>
  <c r="J84" i="1"/>
  <c r="V4" i="71" l="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D5" i="71" l="1"/>
  <c r="V11" i="71"/>
  <c r="Q152" i="71" s="1"/>
  <c r="T152" i="71" l="1"/>
  <c r="Z152" i="71"/>
  <c r="R152" i="71"/>
  <c r="AB152" i="71"/>
  <c r="AC152" i="71" s="1"/>
  <c r="AD7" i="71" s="1"/>
  <c r="AD8" i="71"/>
  <c r="AD4" i="71"/>
  <c r="U152" i="71" l="1"/>
  <c r="V152" i="71" s="1"/>
  <c r="W152" i="71"/>
  <c r="X152" i="71"/>
  <c r="AD152" i="71" l="1"/>
  <c r="AE152" i="71" s="1"/>
  <c r="AD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T212" i="71"/>
  <c r="Z212" i="71"/>
  <c r="AC212" i="71" l="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AD6" i="71" a="1"/>
  <c r="AD6" i="71" s="1"/>
  <c r="K9" i="1" s="1"/>
  <c r="J10" i="1" s="1"/>
  <c r="U212" i="7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K56" i="1" l="1"/>
  <c r="J57" i="1" s="1"/>
  <c r="J54" i="1"/>
  <c r="O213" i="71"/>
  <c r="X213" i="71" s="1"/>
  <c r="AD212" i="71"/>
  <c r="AE212" i="71"/>
  <c r="M58" i="1" l="1"/>
  <c r="O59" i="1"/>
  <c r="O60" i="1" s="1"/>
  <c r="O62" i="1" s="1"/>
  <c r="AD213" i="71"/>
  <c r="AE213" i="71" s="1"/>
  <c r="O214" i="71"/>
  <c r="X214" i="71" s="1"/>
  <c r="M60" i="1" l="1"/>
  <c r="M61" i="1" s="1"/>
  <c r="AE214" i="71"/>
  <c r="AD214" i="71"/>
  <c r="O215" i="71"/>
  <c r="X215" i="71" s="1"/>
  <c r="M62" i="1" l="1"/>
  <c r="S14" i="1"/>
  <c r="S13" i="1"/>
  <c r="T14" i="1"/>
  <c r="T13" i="1"/>
  <c r="AD215" i="71"/>
  <c r="O216" i="71"/>
  <c r="X216" i="71" s="1"/>
  <c r="AE215" i="71"/>
  <c r="D60" i="1" l="1"/>
  <c r="C50" i="33"/>
  <c r="G37" i="33"/>
  <c r="G24" i="33"/>
  <c r="K5" i="71"/>
  <c r="O217" i="71"/>
  <c r="X217" i="71" s="1"/>
  <c r="AD216" i="71"/>
  <c r="AE216" i="71" s="1"/>
  <c r="E27" i="33" l="1"/>
  <c r="E26" i="33"/>
  <c r="E40" i="33"/>
  <c r="E41" i="33"/>
  <c r="E50" i="33"/>
  <c r="G50" i="33"/>
  <c r="AE217" i="71"/>
  <c r="AD217" i="71"/>
  <c r="O218" i="71"/>
  <c r="X218" i="71" s="1"/>
  <c r="E53" i="33" l="1"/>
  <c r="F50" i="33"/>
  <c r="E54" i="33" s="1"/>
  <c r="O219" i="71"/>
  <c r="X219" i="71" s="1"/>
  <c r="AD218" i="71"/>
  <c r="AE218" i="71" s="1"/>
  <c r="I42" i="33" l="1"/>
  <c r="O220" i="71"/>
  <c r="X220" i="71" s="1"/>
  <c r="AD219" i="71"/>
  <c r="AE219" i="71" s="1"/>
  <c r="AD220" i="71" l="1"/>
  <c r="AE220" i="71"/>
  <c r="O221" i="71"/>
  <c r="X221" i="71" s="1"/>
  <c r="O222" i="71" l="1"/>
  <c r="X222" i="71" s="1"/>
  <c r="AD221" i="71"/>
  <c r="AE221" i="71" s="1"/>
  <c r="O223" i="71" l="1"/>
  <c r="X223" i="71" s="1"/>
  <c r="AD222" i="71"/>
  <c r="AE222" i="71"/>
  <c r="AD223" i="71" l="1"/>
  <c r="AE223" i="71" s="1"/>
  <c r="O224" i="71"/>
  <c r="X224" i="71" s="1"/>
  <c r="O225" i="71" l="1"/>
  <c r="X225" i="71" s="1"/>
  <c r="AD224" i="71"/>
  <c r="AE224" i="71" s="1"/>
  <c r="O226" i="71" l="1"/>
  <c r="X226" i="71" s="1"/>
  <c r="AD225" i="71"/>
  <c r="AE225" i="71" s="1"/>
  <c r="O227" i="71" l="1"/>
  <c r="X227" i="71" s="1"/>
  <c r="AD226" i="71"/>
  <c r="AE226" i="71" s="1"/>
  <c r="O228" i="71" l="1"/>
  <c r="X228" i="71" s="1"/>
  <c r="AD227" i="71"/>
  <c r="AE227" i="71" s="1"/>
  <c r="AD228" i="71" l="1"/>
  <c r="AE228" i="71" s="1"/>
  <c r="O229" i="71"/>
  <c r="X229" i="71" s="1"/>
  <c r="O230" i="71" l="1"/>
  <c r="X230" i="71" s="1"/>
  <c r="AD229" i="71"/>
  <c r="AE229" i="71" s="1"/>
  <c r="O231" i="71" l="1"/>
  <c r="X231" i="71" s="1"/>
  <c r="AD230" i="71"/>
  <c r="AE230" i="71" s="1"/>
  <c r="O232" i="71" l="1"/>
  <c r="X232" i="71" s="1"/>
  <c r="AD231" i="71"/>
  <c r="AE231" i="71" s="1"/>
  <c r="AD232" i="71" l="1"/>
  <c r="AE232" i="71"/>
  <c r="O233" i="71"/>
  <c r="X233" i="71" s="1"/>
  <c r="AD233" i="71" l="1"/>
  <c r="AE233" i="71" s="1"/>
  <c r="O234" i="71"/>
  <c r="X234" i="71" s="1"/>
  <c r="AD234" i="71" l="1"/>
  <c r="O235" i="71"/>
  <c r="X235" i="71" s="1"/>
  <c r="AE234" i="71"/>
  <c r="AD235" i="71" l="1"/>
  <c r="AE235" i="71" s="1"/>
  <c r="O236" i="71"/>
  <c r="X236" i="71" s="1"/>
  <c r="O237" i="71" l="1"/>
  <c r="X237" i="71" s="1"/>
  <c r="AD236" i="71"/>
  <c r="AE236" i="71" s="1"/>
  <c r="O238" i="71" l="1"/>
  <c r="X238" i="71" s="1"/>
  <c r="AD237" i="71"/>
  <c r="AE237" i="71" s="1"/>
  <c r="O239" i="71" l="1"/>
  <c r="X239" i="71" s="1"/>
  <c r="AD238" i="71"/>
  <c r="AE238" i="71" s="1"/>
  <c r="AD239" i="71" l="1"/>
  <c r="AE239" i="71"/>
  <c r="O240" i="71"/>
  <c r="X240" i="71" s="1"/>
  <c r="AD240" i="71" l="1"/>
  <c r="O241" i="71"/>
  <c r="X241" i="71" s="1"/>
  <c r="AE240" i="71"/>
  <c r="O242" i="71" l="1"/>
  <c r="X242" i="71" s="1"/>
  <c r="AE241" i="71"/>
  <c r="AD241" i="71"/>
  <c r="AD242" i="71" l="1"/>
  <c r="AE242" i="71"/>
  <c r="O243" i="71"/>
  <c r="X243" i="71" s="1"/>
  <c r="AD243" i="71" l="1"/>
  <c r="AE243" i="71" s="1"/>
  <c r="O244" i="71"/>
  <c r="X244" i="71" s="1"/>
  <c r="AD244" i="71" l="1"/>
  <c r="O245" i="71"/>
  <c r="X245" i="71" s="1"/>
  <c r="AE244" i="71"/>
  <c r="AD245" i="71" l="1"/>
  <c r="AE245" i="71" s="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s="1"/>
  <c r="O253" i="71" l="1"/>
  <c r="X253" i="71" s="1"/>
  <c r="AD252" i="71"/>
  <c r="AE252" i="71" s="1"/>
  <c r="O254" i="71" l="1"/>
  <c r="X254" i="71" s="1"/>
  <c r="AD253" i="71"/>
  <c r="AE253" i="71" s="1"/>
  <c r="O255" i="71" l="1"/>
  <c r="X255" i="71" s="1"/>
  <c r="AD254" i="71"/>
  <c r="AE254" i="71" s="1"/>
  <c r="AD255" i="71" l="1"/>
  <c r="AE255" i="71" s="1"/>
  <c r="O256" i="71"/>
  <c r="X256" i="71" s="1"/>
  <c r="O257" i="71" l="1"/>
  <c r="X257" i="71" s="1"/>
  <c r="AD256" i="71"/>
  <c r="AE256" i="71" s="1"/>
  <c r="AD257" i="71" l="1"/>
  <c r="O258" i="71"/>
  <c r="X258" i="71" s="1"/>
  <c r="AE257" i="71"/>
  <c r="O259" i="71" l="1"/>
  <c r="X259" i="71" s="1"/>
  <c r="AD258" i="71"/>
  <c r="AE258" i="71"/>
  <c r="O260" i="71" l="1"/>
  <c r="X260" i="71" s="1"/>
  <c r="AD259" i="71"/>
  <c r="AE259" i="71" s="1"/>
  <c r="O261" i="71" l="1"/>
  <c r="X261" i="71" s="1"/>
  <c r="AD260" i="71"/>
  <c r="AE260" i="71"/>
  <c r="O262" i="71" l="1"/>
  <c r="X262" i="71" s="1"/>
  <c r="AD261" i="71"/>
  <c r="AE261" i="71"/>
  <c r="O263" i="71" l="1"/>
  <c r="X263" i="71" s="1"/>
  <c r="AD262" i="71"/>
  <c r="AE262" i="71" s="1"/>
  <c r="AD263" i="71" l="1"/>
  <c r="AE263" i="71"/>
  <c r="O264" i="71"/>
  <c r="X264" i="71" s="1"/>
  <c r="AD264" i="71" l="1"/>
  <c r="AE264" i="71"/>
  <c r="O265" i="71"/>
  <c r="X265" i="71" s="1"/>
  <c r="O266" i="71" l="1"/>
  <c r="X266" i="71" s="1"/>
  <c r="AD265" i="71"/>
  <c r="AE265" i="71" s="1"/>
  <c r="AD266" i="71" l="1"/>
  <c r="O267" i="71"/>
  <c r="X267" i="71" s="1"/>
  <c r="AE266" i="71"/>
  <c r="O268" i="71" l="1"/>
  <c r="X268" i="71" s="1"/>
  <c r="AD267" i="71"/>
  <c r="AE267" i="71"/>
  <c r="O269" i="71" l="1"/>
  <c r="X269" i="71" s="1"/>
  <c r="AD268" i="71"/>
  <c r="AE268" i="71"/>
  <c r="AD269" i="71" l="1"/>
  <c r="AE269" i="71"/>
  <c r="O270" i="71"/>
  <c r="X270" i="71" s="1"/>
  <c r="O271" i="71" l="1"/>
  <c r="X271" i="71" s="1"/>
  <c r="AD270" i="71"/>
  <c r="AE270" i="71" s="1"/>
  <c r="AD271" i="71" l="1"/>
  <c r="AE271" i="71" s="1"/>
  <c r="O272" i="71"/>
  <c r="X272" i="71" s="1"/>
  <c r="O273" i="71" l="1"/>
  <c r="X273" i="71" s="1"/>
  <c r="AD272" i="71"/>
  <c r="AE272" i="71"/>
  <c r="AD273" i="71" l="1"/>
  <c r="AE273" i="71" s="1"/>
  <c r="O274" i="71"/>
  <c r="X274" i="71" s="1"/>
  <c r="O275" i="71" l="1"/>
  <c r="X275" i="71" s="1"/>
  <c r="AE274" i="71"/>
  <c r="AD274" i="71"/>
  <c r="AD275" i="71" l="1"/>
  <c r="AE275" i="71" s="1"/>
  <c r="O276" i="71"/>
  <c r="X276" i="71" s="1"/>
  <c r="O277" i="71" l="1"/>
  <c r="X277" i="71" s="1"/>
  <c r="AE276" i="71"/>
  <c r="AD276" i="71"/>
  <c r="O278" i="71" l="1"/>
  <c r="X278" i="71" s="1"/>
  <c r="AD277" i="71"/>
  <c r="AE277" i="71" s="1"/>
  <c r="O279" i="71" l="1"/>
  <c r="X279" i="71" s="1"/>
  <c r="AD278" i="71"/>
  <c r="AE278" i="71" s="1"/>
  <c r="AD279" i="71" l="1"/>
  <c r="O280" i="71"/>
  <c r="X280" i="71" s="1"/>
  <c r="AE279" i="71"/>
  <c r="O281" i="71" l="1"/>
  <c r="X281" i="71" s="1"/>
  <c r="AD280" i="71"/>
  <c r="AE280" i="71" s="1"/>
  <c r="O282" i="71" l="1"/>
  <c r="X282" i="71" s="1"/>
  <c r="AD281" i="71"/>
  <c r="AE281" i="71"/>
  <c r="AD282" i="71" l="1"/>
  <c r="O283" i="71"/>
  <c r="X283" i="71" s="1"/>
  <c r="AE282" i="71"/>
  <c r="AD283" i="71" l="1"/>
  <c r="O284" i="71"/>
  <c r="X284" i="71" s="1"/>
  <c r="AE283" i="71"/>
  <c r="AD284" i="71" l="1"/>
  <c r="AE284" i="71" s="1"/>
  <c r="O285" i="71"/>
  <c r="X285" i="71" s="1"/>
  <c r="O286" i="71" l="1"/>
  <c r="X286" i="71" s="1"/>
  <c r="AD285" i="71"/>
  <c r="AE285" i="71" s="1"/>
  <c r="AD286" i="71" l="1"/>
  <c r="AE286" i="71"/>
  <c r="O287" i="71"/>
  <c r="X287" i="71" s="1"/>
  <c r="AD287" i="71" l="1"/>
  <c r="AE287" i="71"/>
  <c r="O288" i="71"/>
  <c r="X288" i="71" s="1"/>
  <c r="AD288" i="71" l="1"/>
  <c r="AE288" i="71" s="1"/>
  <c r="O289" i="71"/>
  <c r="X289" i="71" s="1"/>
  <c r="O290" i="71" l="1"/>
  <c r="X290" i="71" s="1"/>
  <c r="AD289" i="71"/>
  <c r="AE289" i="71" s="1"/>
  <c r="O291" i="71" l="1"/>
  <c r="X291" i="71" s="1"/>
  <c r="AD290" i="71"/>
  <c r="AE290" i="71" s="1"/>
  <c r="AD291" i="71" l="1"/>
  <c r="AE291" i="71" s="1"/>
  <c r="O292" i="71"/>
  <c r="X292" i="71" s="1"/>
  <c r="AD292" i="71" l="1"/>
  <c r="AE292" i="71" s="1"/>
  <c r="O293" i="71"/>
  <c r="X293" i="71" s="1"/>
  <c r="AD293" i="71" l="1"/>
  <c r="O294" i="71"/>
  <c r="X294" i="71" s="1"/>
  <c r="AE293" i="71"/>
  <c r="O295" i="71" l="1"/>
  <c r="X295" i="71" s="1"/>
  <c r="AD294" i="71"/>
  <c r="AE294" i="71" s="1"/>
  <c r="O296" i="71" l="1"/>
  <c r="X296" i="71" s="1"/>
  <c r="AD295" i="71"/>
  <c r="AE295" i="71"/>
  <c r="O297" i="71" l="1"/>
  <c r="X297" i="71" s="1"/>
  <c r="AD296" i="71"/>
  <c r="AE296" i="71" s="1"/>
  <c r="O298" i="71" l="1"/>
  <c r="X298" i="71" s="1"/>
  <c r="AD297" i="71"/>
  <c r="AE297" i="71" s="1"/>
  <c r="AD298" i="71" l="1"/>
  <c r="AE298" i="71" s="1"/>
  <c r="O299" i="71"/>
  <c r="X299" i="71" s="1"/>
  <c r="AD299" i="71" l="1"/>
  <c r="O300" i="71"/>
  <c r="X300" i="71" s="1"/>
  <c r="AE299" i="71"/>
  <c r="AD300" i="71" l="1"/>
  <c r="AE300" i="71"/>
  <c r="O301" i="71"/>
  <c r="X301" i="71" s="1"/>
  <c r="O302" i="71" l="1"/>
  <c r="X302" i="71" s="1"/>
  <c r="AD301" i="71"/>
  <c r="AE301" i="71" s="1"/>
  <c r="O303" i="71" l="1"/>
  <c r="X303" i="71" s="1"/>
  <c r="AD302" i="71"/>
  <c r="AE302" i="71" s="1"/>
  <c r="O304" i="71" l="1"/>
  <c r="X304" i="71" s="1"/>
  <c r="AD303" i="71"/>
  <c r="AE303" i="71"/>
  <c r="AD304" i="71" l="1"/>
  <c r="O305" i="71"/>
  <c r="X305" i="71" s="1"/>
  <c r="AE304" i="71"/>
  <c r="O306" i="71" l="1"/>
  <c r="X306" i="71" s="1"/>
  <c r="AD305" i="71"/>
  <c r="AE305" i="71" s="1"/>
  <c r="O307" i="71" l="1"/>
  <c r="X307" i="71" s="1"/>
  <c r="AD306" i="71"/>
  <c r="AE306" i="71" s="1"/>
  <c r="AD307" i="71" l="1"/>
  <c r="AE307" i="71" s="1"/>
  <c r="O308" i="71"/>
  <c r="X308" i="71" s="1"/>
  <c r="AD308" i="71" l="1"/>
  <c r="O309" i="71"/>
  <c r="X309" i="71" s="1"/>
  <c r="AE308" i="71"/>
  <c r="AD309" i="71" l="1"/>
  <c r="O310" i="71"/>
  <c r="X310" i="71" s="1"/>
  <c r="AE309" i="71"/>
  <c r="AD310" i="71" l="1"/>
  <c r="AE310" i="71" s="1"/>
  <c r="O311" i="71"/>
  <c r="X311" i="71" s="1"/>
  <c r="O312" i="71" l="1"/>
  <c r="X312" i="71" s="1"/>
  <c r="AD311" i="71"/>
  <c r="AE311" i="71"/>
  <c r="AD312" i="71" l="1"/>
  <c r="AE312" i="71" s="1"/>
  <c r="O313" i="71"/>
  <c r="X313" i="71" s="1"/>
  <c r="O314" i="71" l="1"/>
  <c r="X314" i="71" s="1"/>
  <c r="AD313" i="71"/>
  <c r="AE313" i="71" s="1"/>
  <c r="O315" i="71" l="1"/>
  <c r="X315" i="71" s="1"/>
  <c r="AD314" i="71"/>
  <c r="AE314" i="71" s="1"/>
  <c r="AD315" i="71" l="1"/>
  <c r="O316" i="71"/>
  <c r="X316" i="71" s="1"/>
  <c r="AE315" i="71"/>
  <c r="AD316" i="71" l="1"/>
  <c r="AE316" i="71" s="1"/>
  <c r="O317" i="71"/>
  <c r="X317" i="71" s="1"/>
  <c r="O318" i="71" l="1"/>
  <c r="X318" i="71" s="1"/>
  <c r="AD317" i="71"/>
  <c r="AE317" i="71"/>
  <c r="O319" i="71" l="1"/>
  <c r="X319" i="71" s="1"/>
  <c r="AD318" i="71"/>
  <c r="AE318" i="71"/>
  <c r="O320" i="71" l="1"/>
  <c r="X320" i="71" s="1"/>
  <c r="AD319" i="71"/>
  <c r="AE319" i="71" s="1"/>
  <c r="O321" i="71" l="1"/>
  <c r="X321" i="71" s="1"/>
  <c r="AD320" i="71"/>
  <c r="AE320" i="71"/>
  <c r="O322" i="71" l="1"/>
  <c r="X322" i="71" s="1"/>
  <c r="AD321" i="71"/>
  <c r="AE321" i="71"/>
  <c r="O323" i="71" l="1"/>
  <c r="X323" i="71" s="1"/>
  <c r="AD322" i="71"/>
  <c r="AE322" i="71" s="1"/>
  <c r="O324" i="71" l="1"/>
  <c r="X324" i="71" s="1"/>
  <c r="AD323" i="71"/>
  <c r="AE323" i="71" s="1"/>
  <c r="AD324" i="71" l="1"/>
  <c r="O325" i="71"/>
  <c r="X325" i="71" s="1"/>
  <c r="AE324" i="71"/>
  <c r="O326" i="71" l="1"/>
  <c r="X326" i="71" s="1"/>
  <c r="AD325" i="71"/>
  <c r="AE325" i="71"/>
  <c r="AD326" i="71" l="1"/>
  <c r="AE326" i="71" s="1"/>
  <c r="O327" i="71"/>
  <c r="X327" i="71" s="1"/>
  <c r="O328" i="71" l="1"/>
  <c r="X328" i="71" s="1"/>
  <c r="AD327" i="71"/>
  <c r="AE327" i="71"/>
  <c r="AD328" i="71" l="1"/>
  <c r="AE328" i="71" s="1"/>
  <c r="O329" i="71"/>
  <c r="X329" i="71" s="1"/>
  <c r="AD329" i="71" l="1"/>
  <c r="AE329" i="71" s="1"/>
  <c r="O330" i="71"/>
  <c r="X330" i="71" s="1"/>
  <c r="O331" i="71" l="1"/>
  <c r="X331" i="71" s="1"/>
  <c r="AD330" i="71"/>
  <c r="AE330" i="71" s="1"/>
  <c r="O332" i="71" l="1"/>
  <c r="X332" i="71" s="1"/>
  <c r="AD331" i="71"/>
  <c r="AE331" i="71" s="1"/>
  <c r="AD332" i="71" l="1"/>
  <c r="AE332" i="71" s="1"/>
  <c r="O333" i="71"/>
  <c r="X333" i="71" s="1"/>
  <c r="AD333" i="71" l="1"/>
  <c r="AE333" i="71" s="1"/>
  <c r="O334" i="71"/>
  <c r="X334" i="71" s="1"/>
  <c r="AD334" i="71" l="1"/>
  <c r="AE334" i="71" s="1"/>
  <c r="O335" i="71"/>
  <c r="X335" i="71" s="1"/>
  <c r="AD335" i="71" l="1"/>
  <c r="AE335" i="71"/>
  <c r="O336" i="71"/>
  <c r="X336" i="71" s="1"/>
  <c r="O337" i="71" l="1"/>
  <c r="X337" i="71" s="1"/>
  <c r="AD336" i="71"/>
  <c r="AE336" i="71" s="1"/>
  <c r="O338" i="71" l="1"/>
  <c r="X338" i="71" s="1"/>
  <c r="AD337" i="71"/>
  <c r="AE337" i="71" s="1"/>
  <c r="AD338" i="71" l="1"/>
  <c r="AE338" i="71" s="1"/>
  <c r="O339" i="71"/>
  <c r="X339" i="71" s="1"/>
  <c r="O340" i="71" l="1"/>
  <c r="X340" i="71" s="1"/>
  <c r="AD339" i="71"/>
  <c r="AE339" i="71" s="1"/>
  <c r="O341" i="71" l="1"/>
  <c r="X341" i="71" s="1"/>
  <c r="AD340" i="71"/>
  <c r="AE340" i="71"/>
  <c r="AD341" i="71" l="1"/>
  <c r="O342" i="71"/>
  <c r="X342" i="71" s="1"/>
  <c r="AE341" i="71"/>
  <c r="O343" i="71" l="1"/>
  <c r="X343" i="71" s="1"/>
  <c r="AD342" i="71"/>
  <c r="AE342" i="71" s="1"/>
  <c r="O344" i="71" l="1"/>
  <c r="X344" i="71" s="1"/>
  <c r="AE343" i="71"/>
  <c r="AD343" i="71"/>
  <c r="AD344" i="71" l="1"/>
  <c r="O345" i="71"/>
  <c r="X345" i="71" s="1"/>
  <c r="AE344" i="71"/>
  <c r="AE345" i="71" l="1"/>
  <c r="AD345" i="71"/>
  <c r="O346" i="71"/>
  <c r="X346" i="71" s="1"/>
  <c r="O347" i="71" l="1"/>
  <c r="X347" i="71" s="1"/>
  <c r="AD346" i="71"/>
  <c r="AE346" i="71" s="1"/>
  <c r="AD347" i="71" l="1"/>
  <c r="AE347" i="71" s="1"/>
  <c r="O348" i="71"/>
  <c r="X348" i="71" s="1"/>
  <c r="AD348" i="71" l="1"/>
  <c r="AE348" i="71"/>
  <c r="O349" i="71"/>
  <c r="X349" i="71" s="1"/>
  <c r="O350" i="71" l="1"/>
  <c r="X350" i="71" s="1"/>
  <c r="AD349" i="71"/>
  <c r="AE349" i="71"/>
  <c r="O351" i="71" l="1"/>
  <c r="X351" i="71" s="1"/>
  <c r="AD350" i="71"/>
  <c r="AE350" i="71" s="1"/>
  <c r="AD351" i="71" l="1"/>
  <c r="O352" i="71"/>
  <c r="X352" i="71" s="1"/>
  <c r="AE351" i="71"/>
  <c r="O353" i="71" l="1"/>
  <c r="X353" i="71" s="1"/>
  <c r="AD352" i="71"/>
  <c r="AE352" i="71" s="1"/>
  <c r="AD353" i="71" l="1"/>
  <c r="AE353" i="71"/>
  <c r="O354" i="71"/>
  <c r="X354" i="71" s="1"/>
  <c r="AD354" i="71" l="1"/>
  <c r="AE354" i="71" s="1"/>
  <c r="O355" i="71"/>
  <c r="X355" i="71" s="1"/>
  <c r="AD355" i="71" l="1"/>
  <c r="AE355" i="71" s="1"/>
  <c r="O356" i="71"/>
  <c r="X356" i="71" s="1"/>
  <c r="O357" i="71" l="1"/>
  <c r="X357" i="71" s="1"/>
  <c r="AD356" i="71"/>
  <c r="AE356" i="71"/>
  <c r="AD357" i="71" l="1"/>
  <c r="O358" i="71"/>
  <c r="X358" i="71" s="1"/>
  <c r="AE357" i="71"/>
  <c r="O359" i="71" l="1"/>
  <c r="X359" i="71" s="1"/>
  <c r="AD358" i="71"/>
  <c r="AE358" i="71"/>
  <c r="O360" i="71" l="1"/>
  <c r="X360" i="71" s="1"/>
  <c r="AD359" i="71"/>
  <c r="AE359" i="71" s="1"/>
  <c r="O361" i="71" l="1"/>
  <c r="X361" i="71" s="1"/>
  <c r="AD360" i="71"/>
  <c r="AE360" i="71" s="1"/>
  <c r="O362" i="71" l="1"/>
  <c r="X362" i="71" s="1"/>
  <c r="AD361" i="71"/>
  <c r="AE361" i="71" s="1"/>
  <c r="O363" i="71" l="1"/>
  <c r="X363" i="71" s="1"/>
  <c r="AD362" i="71"/>
  <c r="AE362" i="71" s="1"/>
  <c r="O364" i="71" l="1"/>
  <c r="X364" i="71" s="1"/>
  <c r="AD363" i="71"/>
  <c r="AE363" i="71"/>
  <c r="O365" i="71" l="1"/>
  <c r="X365" i="71" s="1"/>
  <c r="AD364" i="71"/>
  <c r="AE364" i="71" s="1"/>
  <c r="AD365" i="71" l="1"/>
  <c r="O366" i="71"/>
  <c r="X366" i="71" s="1"/>
  <c r="AE365" i="71"/>
  <c r="O367" i="71" l="1"/>
  <c r="X367" i="71" s="1"/>
  <c r="AE366" i="71"/>
  <c r="AD366" i="71"/>
  <c r="O368" i="71" l="1"/>
  <c r="X368" i="71" s="1"/>
  <c r="AD367" i="71"/>
  <c r="AE367" i="71" s="1"/>
  <c r="O369" i="71" l="1"/>
  <c r="X369" i="71" s="1"/>
  <c r="AD368" i="71"/>
  <c r="AE368" i="71" s="1"/>
  <c r="AD369" i="71" l="1"/>
  <c r="AE369" i="71"/>
  <c r="O370" i="71"/>
  <c r="X370" i="71" s="1"/>
  <c r="O371" i="71" l="1"/>
  <c r="X371" i="71" s="1"/>
  <c r="AD370" i="71"/>
  <c r="AE370" i="71" s="1"/>
  <c r="AD371" i="71" l="1"/>
  <c r="O372" i="71"/>
  <c r="X372" i="71" s="1"/>
  <c r="AE371" i="71"/>
  <c r="AD372" i="71" l="1"/>
  <c r="AE372" i="71" s="1"/>
  <c r="O373" i="71"/>
  <c r="X373" i="71" s="1"/>
  <c r="AD373" i="71" l="1"/>
  <c r="O374" i="71"/>
  <c r="X374" i="71" s="1"/>
  <c r="AE373" i="71"/>
  <c r="AD374" i="71" l="1"/>
  <c r="AE374" i="71" s="1"/>
  <c r="O375" i="71"/>
  <c r="X375" i="71" s="1"/>
  <c r="O376" i="71" l="1"/>
  <c r="X376" i="71" s="1"/>
  <c r="AD375" i="71"/>
  <c r="AE375" i="71"/>
  <c r="O377" i="71" l="1"/>
  <c r="X377" i="71" s="1"/>
  <c r="AD376" i="71"/>
  <c r="AE376" i="71"/>
  <c r="AD377" i="71" l="1"/>
  <c r="AE377" i="71" s="1"/>
  <c r="O378" i="71"/>
  <c r="X378" i="71" s="1"/>
  <c r="O379" i="71" l="1"/>
  <c r="X379" i="71" s="1"/>
  <c r="AD378" i="71"/>
  <c r="AE378" i="71" s="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O385" i="71" l="1"/>
  <c r="X385" i="71" s="1"/>
  <c r="AD384" i="71"/>
  <c r="AE384" i="71" s="1"/>
  <c r="AD385" i="71" l="1"/>
  <c r="AE385" i="71" s="1"/>
  <c r="O386" i="71"/>
  <c r="X386" i="71" s="1"/>
  <c r="AD386" i="71" l="1"/>
  <c r="AE386" i="71" s="1"/>
  <c r="O387" i="71"/>
  <c r="X387" i="71" s="1"/>
  <c r="O388" i="71" l="1"/>
  <c r="X388" i="71" s="1"/>
  <c r="AD387" i="71"/>
  <c r="AE387" i="71" s="1"/>
  <c r="O389" i="71" l="1"/>
  <c r="X389" i="71" s="1"/>
  <c r="AD388" i="71"/>
  <c r="AE388" i="71" s="1"/>
  <c r="AD389" i="71" l="1"/>
  <c r="AE389" i="71"/>
  <c r="O390" i="71"/>
  <c r="X390" i="71" s="1"/>
  <c r="O391" i="71" l="1"/>
  <c r="X391" i="71" s="1"/>
  <c r="AD390" i="71"/>
  <c r="AE390" i="71" s="1"/>
  <c r="AD391" i="71" l="1"/>
  <c r="AE391" i="71"/>
  <c r="O392" i="71"/>
  <c r="X392" i="71" s="1"/>
  <c r="AD392" i="71" l="1"/>
  <c r="O393" i="71"/>
  <c r="X393" i="71" s="1"/>
  <c r="AE392" i="71"/>
  <c r="AD393" i="71" l="1"/>
  <c r="O394" i="71"/>
  <c r="X394" i="71" s="1"/>
  <c r="AE393" i="71"/>
  <c r="O395" i="71" l="1"/>
  <c r="X395" i="71" s="1"/>
  <c r="AD394" i="71"/>
  <c r="AE394" i="71" s="1"/>
  <c r="O396" i="71" l="1"/>
  <c r="X396" i="71" s="1"/>
  <c r="AD395" i="71"/>
  <c r="AE395" i="71" s="1"/>
  <c r="O397" i="71" l="1"/>
  <c r="X397" i="71" s="1"/>
  <c r="AE396" i="71"/>
  <c r="AD396" i="71"/>
  <c r="AD397" i="71" l="1"/>
  <c r="O398" i="71"/>
  <c r="X398" i="71" s="1"/>
  <c r="AE397" i="71"/>
  <c r="O399" i="71" l="1"/>
  <c r="X399" i="71" s="1"/>
  <c r="AD398" i="71"/>
  <c r="AE398" i="71" s="1"/>
  <c r="O400" i="71" l="1"/>
  <c r="X400" i="71" s="1"/>
  <c r="AD399" i="71"/>
  <c r="AE399" i="71" s="1"/>
  <c r="AD400" i="71" l="1"/>
  <c r="AE400" i="71" s="1"/>
  <c r="O401" i="71"/>
  <c r="X401" i="71" s="1"/>
  <c r="O402" i="71" l="1"/>
  <c r="X402" i="71" s="1"/>
  <c r="AD401" i="71"/>
  <c r="AE401" i="71" s="1"/>
  <c r="AD402" i="71" l="1"/>
  <c r="AE402" i="71" s="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D410" i="71"/>
  <c r="AE410" i="71" s="1"/>
  <c r="O412" i="71" l="1"/>
  <c r="X412" i="71" s="1"/>
  <c r="AD411" i="71"/>
  <c r="AE411" i="71"/>
  <c r="O413" i="71" l="1"/>
  <c r="X413" i="71" s="1"/>
  <c r="AD412" i="71"/>
  <c r="AE412" i="71"/>
  <c r="O414" i="71" l="1"/>
  <c r="X414" i="71" s="1"/>
  <c r="AD413" i="71"/>
  <c r="AE413" i="71" s="1"/>
  <c r="O415" i="71" l="1"/>
  <c r="X415" i="71" s="1"/>
  <c r="AD414" i="71"/>
  <c r="AE414" i="71" s="1"/>
  <c r="AD415" i="71" l="1"/>
  <c r="AE415" i="71" s="1"/>
  <c r="O416" i="71"/>
  <c r="X416" i="71" s="1"/>
  <c r="AD416" i="71" l="1"/>
  <c r="AE416" i="71" s="1"/>
  <c r="O417" i="71"/>
  <c r="X417" i="71" s="1"/>
  <c r="O418" i="71" l="1"/>
  <c r="X418" i="71" s="1"/>
  <c r="AD417" i="71"/>
  <c r="AE417" i="71" s="1"/>
  <c r="O419" i="71" l="1"/>
  <c r="X419" i="71" s="1"/>
  <c r="AD418" i="71"/>
  <c r="AE418" i="71"/>
  <c r="O420" i="71" l="1"/>
  <c r="X420" i="71" s="1"/>
  <c r="AD419" i="71"/>
  <c r="AE419" i="71" s="1"/>
  <c r="O421" i="71" l="1"/>
  <c r="X421" i="71" s="1"/>
  <c r="AD420" i="71"/>
  <c r="AE420" i="71" s="1"/>
  <c r="AD421" i="71" l="1"/>
  <c r="O422" i="71"/>
  <c r="X422" i="71" s="1"/>
  <c r="AE421" i="71"/>
  <c r="AD422" i="71" l="1"/>
  <c r="AE422" i="71"/>
  <c r="O423" i="71"/>
  <c r="X423" i="71" s="1"/>
  <c r="O424" i="71" l="1"/>
  <c r="X424" i="71" s="1"/>
  <c r="AD423" i="71"/>
  <c r="AE423" i="71" s="1"/>
  <c r="AD424" i="71" l="1"/>
  <c r="AE424" i="71" s="1"/>
  <c r="O425" i="71"/>
  <c r="X425" i="71" s="1"/>
  <c r="AD425" i="71" l="1"/>
  <c r="O426" i="71"/>
  <c r="X426" i="71" s="1"/>
  <c r="AE425" i="71"/>
  <c r="O427" i="71" l="1"/>
  <c r="X427" i="71" s="1"/>
  <c r="AD426" i="71"/>
  <c r="AE426" i="71" s="1"/>
  <c r="AD427" i="71" l="1"/>
  <c r="AE427" i="71" s="1"/>
  <c r="O428" i="71"/>
  <c r="X428" i="71" s="1"/>
  <c r="O429" i="71" l="1"/>
  <c r="X429" i="71" s="1"/>
  <c r="AD428" i="71"/>
  <c r="AE428" i="71" s="1"/>
  <c r="AD429" i="71" l="1"/>
  <c r="AE429" i="71"/>
  <c r="O430" i="71"/>
  <c r="X430" i="71" s="1"/>
  <c r="O431" i="71" l="1"/>
  <c r="X431" i="71" s="1"/>
  <c r="AD430" i="71"/>
  <c r="AE430" i="71" s="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D437" i="71"/>
  <c r="AE437" i="71" s="1"/>
  <c r="AD438" i="71" l="1"/>
  <c r="AE438" i="71" s="1"/>
  <c r="O439" i="71"/>
  <c r="X439" i="71" s="1"/>
  <c r="AD439" i="71" l="1"/>
  <c r="O440" i="71"/>
  <c r="X440" i="71" s="1"/>
  <c r="AE439" i="71"/>
  <c r="AD440" i="71" l="1"/>
  <c r="AE440" i="71"/>
  <c r="O441" i="71"/>
  <c r="X441" i="71" s="1"/>
  <c r="O442" i="71" l="1"/>
  <c r="X442" i="71" s="1"/>
  <c r="AD441" i="71"/>
  <c r="AE441" i="71" s="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D447" i="71"/>
  <c r="AE447" i="71" s="1"/>
  <c r="AE448" i="71" l="1"/>
  <c r="AD448" i="71"/>
  <c r="O449" i="71"/>
  <c r="X449" i="71" s="1"/>
  <c r="O450" i="71" l="1"/>
  <c r="X450" i="71" s="1"/>
  <c r="AE449" i="71"/>
  <c r="AD449" i="71"/>
  <c r="O451" i="71" l="1"/>
  <c r="X451" i="71" s="1"/>
  <c r="AD450" i="71"/>
  <c r="AE450" i="71"/>
  <c r="AD451" i="71" l="1"/>
  <c r="AE451" i="71" s="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D457" i="71"/>
  <c r="AE457" i="71" s="1"/>
  <c r="O459" i="71" l="1"/>
  <c r="X459" i="71" s="1"/>
  <c r="AD458" i="71"/>
  <c r="AE458" i="71" s="1"/>
  <c r="O460" i="71" l="1"/>
  <c r="X460" i="71" s="1"/>
  <c r="AD459" i="71"/>
  <c r="AE459" i="71" s="1"/>
  <c r="O461" i="71" l="1"/>
  <c r="X461" i="71" s="1"/>
  <c r="AD460" i="71"/>
  <c r="AE460" i="71"/>
  <c r="AD461" i="71" l="1"/>
  <c r="AE461" i="71" s="1"/>
  <c r="O462" i="71"/>
  <c r="X462" i="71" s="1"/>
  <c r="O463" i="71" l="1"/>
  <c r="X463" i="71" s="1"/>
  <c r="AD462" i="71"/>
  <c r="AE462" i="71" s="1"/>
  <c r="AD463" i="71" l="1"/>
  <c r="AE463" i="71" s="1"/>
  <c r="O464" i="71"/>
  <c r="X464" i="71" s="1"/>
  <c r="AD464" i="71" l="1"/>
  <c r="AE464" i="71" s="1"/>
  <c r="O465" i="71"/>
  <c r="X465" i="71" s="1"/>
  <c r="AE465" i="71" l="1"/>
  <c r="AD465" i="71"/>
  <c r="O466" i="71"/>
  <c r="X466" i="71" s="1"/>
  <c r="O467" i="71" l="1"/>
  <c r="X467" i="71" s="1"/>
  <c r="AD466" i="71"/>
  <c r="AE466" i="71"/>
  <c r="O468" i="71" l="1"/>
  <c r="X468" i="71" s="1"/>
  <c r="AD467" i="71"/>
  <c r="AE467" i="71"/>
  <c r="AD468" i="71" l="1"/>
  <c r="AE468" i="71" s="1"/>
  <c r="O469" i="71"/>
  <c r="X469" i="71" s="1"/>
  <c r="AD469" i="71" l="1"/>
  <c r="O470" i="71"/>
  <c r="X470" i="71" s="1"/>
  <c r="AE469" i="71"/>
  <c r="O471" i="71" l="1"/>
  <c r="X471" i="71" s="1"/>
  <c r="AD470" i="71"/>
  <c r="AE470" i="71" s="1"/>
  <c r="O472" i="71" l="1"/>
  <c r="X472" i="71" s="1"/>
  <c r="AD471" i="71"/>
  <c r="AE471" i="71"/>
  <c r="AD472" i="71" l="1"/>
  <c r="AE472" i="71"/>
  <c r="O473" i="71"/>
  <c r="X473" i="71" s="1"/>
  <c r="O474" i="71" l="1"/>
  <c r="X474" i="71" s="1"/>
  <c r="AD473" i="71"/>
  <c r="AE473" i="71" s="1"/>
  <c r="O475" i="71" l="1"/>
  <c r="X475" i="71" s="1"/>
  <c r="AD474" i="71"/>
  <c r="AE474" i="71" s="1"/>
  <c r="O476" i="71" l="1"/>
  <c r="X476" i="71" s="1"/>
  <c r="AD475" i="71"/>
  <c r="AE475" i="71" s="1"/>
  <c r="O477" i="71" l="1"/>
  <c r="X477" i="71" s="1"/>
  <c r="AD476" i="71"/>
  <c r="AE476" i="71" s="1"/>
  <c r="AD477" i="71" l="1"/>
  <c r="AE477" i="71"/>
  <c r="O478" i="71"/>
  <c r="X478" i="71" s="1"/>
  <c r="O479" i="71" l="1"/>
  <c r="X479" i="71" s="1"/>
  <c r="AD478" i="71"/>
  <c r="AE478" i="71" s="1"/>
  <c r="O480" i="71" l="1"/>
  <c r="X480" i="71" s="1"/>
  <c r="AD479" i="71"/>
  <c r="AE479" i="71" s="1"/>
  <c r="O481" i="71" l="1"/>
  <c r="X481" i="71" s="1"/>
  <c r="AD480" i="71"/>
  <c r="AE480" i="71" s="1"/>
  <c r="O482" i="71" l="1"/>
  <c r="X482" i="71" s="1"/>
  <c r="AD481" i="71"/>
  <c r="AE481" i="71"/>
  <c r="O483" i="71" l="1"/>
  <c r="X483" i="71" s="1"/>
  <c r="AE482" i="71"/>
  <c r="AD482" i="71"/>
  <c r="O484" i="71" l="1"/>
  <c r="X484" i="71" s="1"/>
  <c r="AD483" i="71"/>
  <c r="AE483" i="71" s="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D491" i="71" l="1"/>
  <c r="AE491" i="71" s="1"/>
  <c r="O492" i="71"/>
  <c r="X492" i="71" s="1"/>
  <c r="O493" i="71" l="1"/>
  <c r="X493" i="71" s="1"/>
  <c r="AD492" i="71"/>
  <c r="AE492" i="71" s="1"/>
  <c r="O494" i="71" l="1"/>
  <c r="X494" i="71" s="1"/>
  <c r="AD493" i="71"/>
  <c r="AE493" i="71" s="1"/>
  <c r="O495" i="71" l="1"/>
  <c r="X495" i="71" s="1"/>
  <c r="AD494" i="71"/>
  <c r="AE494" i="71"/>
  <c r="O496" i="71" l="1"/>
  <c r="X496" i="71" s="1"/>
  <c r="AD495" i="71"/>
  <c r="AE495" i="71" s="1"/>
  <c r="AD496" i="71" l="1"/>
  <c r="AE496" i="71" s="1"/>
  <c r="O497" i="71"/>
  <c r="X497" i="71" s="1"/>
  <c r="O498" i="71" l="1"/>
  <c r="X498" i="71" s="1"/>
  <c r="AD497" i="71"/>
  <c r="AE497" i="71"/>
  <c r="AD498" i="71" l="1"/>
  <c r="O499" i="71"/>
  <c r="X499" i="71" s="1"/>
  <c r="AE498" i="71"/>
  <c r="O500" i="71" l="1"/>
  <c r="X500" i="71" s="1"/>
  <c r="AD499" i="71"/>
  <c r="AE499" i="71" s="1"/>
  <c r="O501" i="71" l="1"/>
  <c r="X501" i="71" s="1"/>
  <c r="AD500" i="71"/>
  <c r="AE500" i="71" s="1"/>
  <c r="AD501" i="71" l="1"/>
  <c r="O502" i="71"/>
  <c r="X502" i="71" s="1"/>
  <c r="AE501" i="71"/>
  <c r="AD502" i="71" l="1"/>
  <c r="AE502" i="71" s="1"/>
  <c r="O503" i="71"/>
  <c r="X503" i="71" s="1"/>
  <c r="O504" i="71" l="1"/>
  <c r="X504" i="71" s="1"/>
  <c r="AD503" i="71"/>
  <c r="AE503" i="71"/>
  <c r="O505" i="71" l="1"/>
  <c r="X505" i="71" s="1"/>
  <c r="AD504" i="71"/>
  <c r="AE504" i="71" s="1"/>
  <c r="AD505" i="71" l="1"/>
  <c r="AE505" i="71" s="1"/>
  <c r="O506" i="71"/>
  <c r="X506" i="71" s="1"/>
  <c r="O507" i="71" l="1"/>
  <c r="X507" i="71" s="1"/>
  <c r="AD506" i="71"/>
  <c r="AE506" i="71"/>
  <c r="O508" i="71" l="1"/>
  <c r="X508" i="71" s="1"/>
  <c r="AD507" i="71"/>
  <c r="AE507" i="71" s="1"/>
  <c r="O509" i="71" l="1"/>
  <c r="X509" i="71" s="1"/>
  <c r="AD508" i="71"/>
  <c r="AE508" i="71" s="1"/>
  <c r="AD509" i="71" l="1"/>
  <c r="AE509" i="71"/>
  <c r="O510" i="71"/>
  <c r="X510" i="71" s="1"/>
  <c r="AD510" i="71" l="1"/>
  <c r="O511" i="71"/>
  <c r="X511" i="71" s="1"/>
  <c r="AE510" i="71"/>
  <c r="O512" i="71" l="1"/>
  <c r="X512" i="71" s="1"/>
  <c r="AD511" i="71"/>
  <c r="AE511" i="71" s="1"/>
  <c r="AD512" i="71" l="1"/>
  <c r="O513" i="71"/>
  <c r="X513" i="71" s="1"/>
  <c r="AE512" i="71"/>
  <c r="O514" i="71" l="1"/>
  <c r="X514" i="71" s="1"/>
  <c r="AD513" i="71"/>
  <c r="AE513" i="71"/>
  <c r="AD514" i="71" l="1"/>
  <c r="AE514" i="71"/>
  <c r="O515" i="71"/>
  <c r="X515" i="71" s="1"/>
  <c r="AD515" i="71" l="1"/>
  <c r="AE515" i="71" s="1"/>
  <c r="O516" i="71"/>
  <c r="X516" i="71" s="1"/>
  <c r="AD516" i="71" l="1"/>
  <c r="AE516" i="71"/>
  <c r="O517" i="71"/>
  <c r="X517" i="71" s="1"/>
  <c r="AD517" i="71" l="1"/>
  <c r="AE517" i="71" s="1"/>
  <c r="O518" i="71"/>
  <c r="X518" i="71" s="1"/>
  <c r="O519" i="71" l="1"/>
  <c r="X519" i="71" s="1"/>
  <c r="AD518" i="71"/>
  <c r="AE518" i="71"/>
  <c r="O520" i="71" l="1"/>
  <c r="X520" i="71" s="1"/>
  <c r="AD519" i="71"/>
  <c r="AE519" i="71" s="1"/>
  <c r="AD520" i="71" l="1"/>
  <c r="O521" i="71"/>
  <c r="X521" i="71" s="1"/>
  <c r="AE520" i="71"/>
  <c r="AD521" i="71" l="1"/>
  <c r="AE521" i="71" s="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O528" i="71" l="1"/>
  <c r="X528" i="71" s="1"/>
  <c r="AD527" i="71"/>
  <c r="AE527" i="71" s="1"/>
  <c r="AD528" i="71" l="1"/>
  <c r="O529" i="71"/>
  <c r="X529" i="71" s="1"/>
  <c r="AE528" i="71"/>
  <c r="O530" i="71" l="1"/>
  <c r="X530" i="71" s="1"/>
  <c r="AD529" i="71"/>
  <c r="AE529" i="71" s="1"/>
  <c r="AD530" i="71" l="1"/>
  <c r="AE530" i="71"/>
  <c r="O531" i="71"/>
  <c r="X531" i="71" s="1"/>
  <c r="AD531" i="71" l="1"/>
  <c r="AE531" i="71"/>
  <c r="O532" i="71"/>
  <c r="X532" i="71" s="1"/>
  <c r="AD532" i="71" l="1"/>
  <c r="O533" i="71"/>
  <c r="X533" i="71" s="1"/>
  <c r="AE532" i="71"/>
  <c r="O534" i="71" l="1"/>
  <c r="X534" i="71" s="1"/>
  <c r="AD533" i="71"/>
  <c r="AE533" i="71" s="1"/>
  <c r="AD534" i="71" l="1"/>
  <c r="AE534" i="71" s="1"/>
  <c r="O535" i="71"/>
  <c r="X535" i="71" s="1"/>
  <c r="O536" i="71" l="1"/>
  <c r="X536" i="71" s="1"/>
  <c r="AD535" i="71"/>
  <c r="AE535" i="71" s="1"/>
  <c r="AD536" i="71" l="1"/>
  <c r="AE536" i="71" s="1"/>
  <c r="O537" i="71"/>
  <c r="X537" i="71" s="1"/>
  <c r="AD537" i="71" l="1"/>
  <c r="O538" i="71"/>
  <c r="X538" i="71" s="1"/>
  <c r="AE537" i="71"/>
  <c r="AD538" i="71" l="1"/>
  <c r="O539" i="71"/>
  <c r="X539" i="71" s="1"/>
  <c r="AE538" i="71"/>
  <c r="O540" i="71" l="1"/>
  <c r="X540" i="71" s="1"/>
  <c r="AD539" i="71"/>
  <c r="AE539" i="71" s="1"/>
  <c r="O541" i="71" l="1"/>
  <c r="X541" i="71" s="1"/>
  <c r="AD540" i="71"/>
  <c r="AE540" i="71" s="1"/>
  <c r="AD541" i="71" l="1"/>
  <c r="O542" i="71"/>
  <c r="X542" i="71" s="1"/>
  <c r="AE541" i="71"/>
  <c r="AD542" i="71" l="1"/>
  <c r="O543" i="71"/>
  <c r="X543" i="71" s="1"/>
  <c r="AE542" i="71"/>
  <c r="O544" i="71" l="1"/>
  <c r="X544" i="71" s="1"/>
  <c r="AD543" i="71"/>
  <c r="AE543" i="71"/>
  <c r="AD544" i="71" l="1"/>
  <c r="AE544" i="71" s="1"/>
  <c r="O545" i="71"/>
  <c r="X545" i="71" s="1"/>
  <c r="O546" i="71" l="1"/>
  <c r="X546" i="71" s="1"/>
  <c r="AD545" i="71"/>
  <c r="AE545" i="71" s="1"/>
  <c r="O547" i="71" l="1"/>
  <c r="X547" i="71" s="1"/>
  <c r="AD546" i="71"/>
  <c r="AE546" i="71"/>
  <c r="O548" i="71" l="1"/>
  <c r="X548" i="71" s="1"/>
  <c r="AD547" i="71"/>
  <c r="AE547" i="71" s="1"/>
  <c r="AD548" i="71" l="1"/>
  <c r="O549" i="71"/>
  <c r="X549" i="71" s="1"/>
  <c r="AE548" i="71"/>
  <c r="O550" i="71" l="1"/>
  <c r="X550" i="71" s="1"/>
  <c r="AD549" i="71"/>
  <c r="AE549" i="71" s="1"/>
  <c r="AD550" i="71" l="1"/>
  <c r="AE550" i="71" s="1"/>
  <c r="O551" i="71"/>
  <c r="X551" i="71" s="1"/>
  <c r="O552" i="71" l="1"/>
  <c r="X552" i="71" s="1"/>
  <c r="AE551" i="71"/>
  <c r="AD551" i="71"/>
  <c r="O553" i="71" l="1"/>
  <c r="X553" i="71" s="1"/>
  <c r="AD552" i="71"/>
  <c r="AE552" i="71" s="1"/>
  <c r="O554" i="71" l="1"/>
  <c r="X554" i="71" s="1"/>
  <c r="AD553" i="71"/>
  <c r="AE553" i="71" s="1"/>
  <c r="O555" i="71" l="1"/>
  <c r="X555" i="71" s="1"/>
  <c r="AD554" i="71"/>
  <c r="AE554" i="71" s="1"/>
  <c r="AD555" i="71" l="1"/>
  <c r="AE555" i="71"/>
  <c r="O556" i="71"/>
  <c r="X556" i="71" s="1"/>
  <c r="O557" i="71" l="1"/>
  <c r="X557" i="71" s="1"/>
  <c r="AD556" i="71"/>
  <c r="AE556" i="71" s="1"/>
  <c r="O558" i="71" l="1"/>
  <c r="X558" i="71" s="1"/>
  <c r="AD557" i="71"/>
  <c r="AE557" i="71" s="1"/>
  <c r="AD558" i="71" l="1"/>
  <c r="AE558" i="71" s="1"/>
  <c r="O559" i="71"/>
  <c r="X559" i="71" s="1"/>
  <c r="AD559" i="71" l="1"/>
  <c r="AE559" i="71" s="1"/>
  <c r="O560" i="71"/>
  <c r="X560" i="71" s="1"/>
  <c r="AD560" i="71" l="1"/>
  <c r="AE560" i="71"/>
  <c r="O561" i="71"/>
  <c r="X561" i="71" s="1"/>
  <c r="O562" i="71" l="1"/>
  <c r="X562" i="71" s="1"/>
  <c r="AD561" i="71"/>
  <c r="AE561" i="71" s="1"/>
  <c r="AD562" i="71" l="1"/>
  <c r="O563" i="71"/>
  <c r="X563" i="71" s="1"/>
  <c r="AE562" i="71"/>
  <c r="O564" i="71" l="1"/>
  <c r="X564" i="71" s="1"/>
  <c r="AD563" i="71"/>
  <c r="AE563" i="71" s="1"/>
  <c r="AD564" i="71" l="1"/>
  <c r="AE564" i="71"/>
  <c r="O565" i="71"/>
  <c r="X565" i="71" s="1"/>
  <c r="AD565" i="71" l="1"/>
  <c r="AE565" i="71"/>
  <c r="O566" i="71"/>
  <c r="X566" i="71" s="1"/>
  <c r="AD566" i="71" l="1"/>
  <c r="AE566" i="71"/>
  <c r="O567" i="71"/>
  <c r="X567" i="71" s="1"/>
  <c r="AD567" i="71" l="1"/>
  <c r="AE567" i="71" s="1"/>
  <c r="O568" i="71"/>
  <c r="X568" i="71" s="1"/>
  <c r="AD568" i="71" l="1"/>
  <c r="AE568" i="71"/>
  <c r="O569" i="71"/>
  <c r="X569" i="71" s="1"/>
  <c r="O570" i="71" l="1"/>
  <c r="X570" i="71" s="1"/>
  <c r="AD569" i="71"/>
  <c r="AE569" i="71" s="1"/>
  <c r="O571" i="71" l="1"/>
  <c r="X571" i="71" s="1"/>
  <c r="AD570" i="71"/>
  <c r="AE570" i="71" s="1"/>
  <c r="AD571" i="71" l="1"/>
  <c r="AE571" i="71" s="1"/>
  <c r="O572" i="71"/>
  <c r="X572" i="71" s="1"/>
  <c r="AD572" i="71" l="1"/>
  <c r="AE572" i="71"/>
  <c r="O573" i="71"/>
  <c r="X573" i="71" s="1"/>
  <c r="O574" i="71" l="1"/>
  <c r="X574" i="71" s="1"/>
  <c r="AD573" i="71"/>
  <c r="AE573" i="71" s="1"/>
  <c r="O575" i="71" l="1"/>
  <c r="X575" i="71" s="1"/>
  <c r="AD574" i="71"/>
  <c r="AE574" i="71" s="1"/>
  <c r="O576" i="71" l="1"/>
  <c r="X576" i="71" s="1"/>
  <c r="AD575" i="71"/>
  <c r="AE575" i="71" s="1"/>
  <c r="O577" i="71" l="1"/>
  <c r="X577" i="71" s="1"/>
  <c r="AE576" i="71"/>
  <c r="AD576" i="71"/>
  <c r="AD577" i="71" l="1"/>
  <c r="AE577" i="71"/>
  <c r="O578" i="71"/>
  <c r="X578" i="71" s="1"/>
  <c r="AD578" i="71" l="1"/>
  <c r="AE578" i="71" s="1"/>
  <c r="O579" i="71"/>
  <c r="X579" i="71" s="1"/>
  <c r="AD579" i="71" l="1"/>
  <c r="AE579" i="71"/>
  <c r="O580" i="71"/>
  <c r="X580" i="71" s="1"/>
  <c r="AD580" i="71" l="1"/>
  <c r="AE580" i="71" s="1"/>
  <c r="O581" i="71"/>
  <c r="X581" i="71" s="1"/>
  <c r="AD581" i="71" l="1"/>
  <c r="O582" i="71"/>
  <c r="X582" i="71" s="1"/>
  <c r="AE581" i="71"/>
  <c r="AD582" i="71" l="1"/>
  <c r="AE582" i="71" s="1"/>
  <c r="O583" i="71"/>
  <c r="X583" i="71" s="1"/>
  <c r="AD583" i="71" l="1"/>
  <c r="AE583" i="71" s="1"/>
  <c r="O584" i="71"/>
  <c r="X584" i="71" s="1"/>
  <c r="O585" i="71" l="1"/>
  <c r="X585" i="71" s="1"/>
  <c r="AD584" i="71"/>
  <c r="AE584" i="71" s="1"/>
  <c r="AD585" i="71" l="1"/>
  <c r="AE585" i="71"/>
  <c r="O586" i="71"/>
  <c r="X586" i="71" s="1"/>
  <c r="AD586" i="71" l="1"/>
  <c r="O587" i="71"/>
  <c r="X587" i="71" s="1"/>
  <c r="AE586" i="71"/>
  <c r="O588" i="71" l="1"/>
  <c r="X588" i="71" s="1"/>
  <c r="AD587" i="71"/>
  <c r="AE587" i="71"/>
  <c r="O589" i="71" l="1"/>
  <c r="X589" i="71" s="1"/>
  <c r="AD588" i="71"/>
  <c r="AE588" i="71"/>
  <c r="AD589" i="71" l="1"/>
  <c r="AE589" i="71" s="1"/>
  <c r="O590" i="71"/>
  <c r="X590" i="71" s="1"/>
  <c r="O591" i="71" l="1"/>
  <c r="X591" i="71" s="1"/>
  <c r="AD590" i="71"/>
  <c r="AE590" i="71"/>
  <c r="AD591" i="71" l="1"/>
  <c r="O592" i="71"/>
  <c r="X592" i="71" s="1"/>
  <c r="AE591" i="71"/>
  <c r="O593" i="71" l="1"/>
  <c r="X593" i="71" s="1"/>
  <c r="AD592" i="71"/>
  <c r="AE592" i="71" s="1"/>
  <c r="AD593" i="71" l="1"/>
  <c r="AE593" i="71" s="1"/>
  <c r="O594" i="71"/>
  <c r="X594" i="71" s="1"/>
  <c r="AD594" i="71" l="1"/>
  <c r="O595" i="71"/>
  <c r="X595" i="71" s="1"/>
  <c r="AE594" i="71"/>
  <c r="O596" i="71" l="1"/>
  <c r="X596" i="71" s="1"/>
  <c r="AD595" i="71"/>
  <c r="AE595" i="71"/>
  <c r="AD596" i="71" l="1"/>
  <c r="AE596" i="71" s="1"/>
  <c r="O597" i="71"/>
  <c r="X597" i="71" s="1"/>
  <c r="O598" i="71" l="1"/>
  <c r="X598" i="71" s="1"/>
  <c r="AD597" i="71"/>
  <c r="AE597" i="71" s="1"/>
  <c r="AD598" i="71" l="1"/>
  <c r="AE598" i="71"/>
  <c r="O599" i="71"/>
  <c r="X599" i="71" s="1"/>
  <c r="AD599" i="71" l="1"/>
  <c r="AE599" i="71" s="1"/>
  <c r="O600" i="71"/>
  <c r="X600" i="71" s="1"/>
  <c r="AD600" i="71" l="1"/>
  <c r="O601" i="71"/>
  <c r="X601" i="71" s="1"/>
  <c r="AE600" i="71"/>
  <c r="O602" i="71" l="1"/>
  <c r="X602" i="71" s="1"/>
  <c r="AD601" i="71"/>
  <c r="AE601" i="71" s="1"/>
  <c r="AD602" i="71" l="1"/>
  <c r="AE602" i="71"/>
  <c r="O603" i="71"/>
  <c r="X603" i="71" s="1"/>
  <c r="AD603" i="71" l="1"/>
  <c r="O604" i="71"/>
  <c r="X604" i="71" s="1"/>
  <c r="AE603" i="71"/>
  <c r="O605" i="71" l="1"/>
  <c r="X605" i="71" s="1"/>
  <c r="AD604" i="71"/>
  <c r="AE604" i="71"/>
  <c r="O606" i="71" l="1"/>
  <c r="X606" i="71" s="1"/>
  <c r="AD605" i="71"/>
  <c r="AE605" i="71" s="1"/>
  <c r="AD606" i="71" l="1"/>
  <c r="O607" i="71"/>
  <c r="X607" i="71" s="1"/>
  <c r="AE606" i="71"/>
  <c r="O608" i="71" l="1"/>
  <c r="X608" i="71" s="1"/>
  <c r="AD607" i="71"/>
  <c r="AE607" i="71" s="1"/>
  <c r="O609" i="71" l="1"/>
  <c r="X609" i="71" s="1"/>
  <c r="AD608" i="71"/>
  <c r="AE608" i="71"/>
  <c r="O610" i="71" l="1"/>
  <c r="X610" i="71" s="1"/>
  <c r="AD609" i="71"/>
  <c r="AE609" i="71" s="1"/>
  <c r="O611" i="71" l="1"/>
  <c r="X611" i="71" s="1"/>
  <c r="AD610" i="71"/>
  <c r="AE610" i="71" s="1"/>
  <c r="AD611" i="71" l="1"/>
  <c r="O612" i="71"/>
  <c r="X612" i="71" s="1"/>
  <c r="AE611" i="71"/>
  <c r="O613" i="71" l="1"/>
  <c r="X613" i="71" s="1"/>
  <c r="AD612" i="71"/>
  <c r="AE612" i="71"/>
  <c r="AD613" i="71" l="1"/>
  <c r="AE613" i="71" s="1"/>
  <c r="O614" i="71"/>
  <c r="X614" i="71" s="1"/>
  <c r="AD614" i="71" l="1"/>
  <c r="AE614" i="71"/>
  <c r="O615" i="71"/>
  <c r="X615" i="71" s="1"/>
  <c r="O616" i="71" l="1"/>
  <c r="X616" i="71" s="1"/>
  <c r="AD615" i="71"/>
  <c r="AE615" i="71" s="1"/>
  <c r="AD616" i="71" l="1"/>
  <c r="O617" i="71"/>
  <c r="X617" i="71" s="1"/>
  <c r="AE616" i="71"/>
  <c r="O618" i="71" l="1"/>
  <c r="X618" i="71" s="1"/>
  <c r="AD617" i="71"/>
  <c r="AE617" i="71"/>
  <c r="AD618" i="71" l="1"/>
  <c r="AE618" i="71" s="1"/>
  <c r="O619" i="71"/>
  <c r="X619" i="71" s="1"/>
  <c r="AD619" i="71" l="1"/>
  <c r="AE619" i="71"/>
  <c r="O620" i="71"/>
  <c r="X620" i="71" s="1"/>
  <c r="O621" i="71" l="1"/>
  <c r="X621" i="71" s="1"/>
  <c r="AD620" i="71"/>
  <c r="AE620" i="71" s="1"/>
  <c r="O622" i="71" l="1"/>
  <c r="X622" i="71" s="1"/>
  <c r="AD621" i="71"/>
  <c r="AE621" i="71" s="1"/>
  <c r="O623" i="71" l="1"/>
  <c r="X623" i="71" s="1"/>
  <c r="AD622" i="71"/>
  <c r="AE622" i="71" s="1"/>
  <c r="AD623" i="71" l="1"/>
  <c r="AE623" i="71" s="1"/>
  <c r="O624" i="71"/>
  <c r="X624" i="71" s="1"/>
  <c r="O625" i="71" l="1"/>
  <c r="X625" i="71" s="1"/>
  <c r="AD624" i="71"/>
  <c r="AE624" i="71" s="1"/>
  <c r="AE625" i="71" l="1"/>
  <c r="O626" i="71"/>
  <c r="X626" i="71" s="1"/>
  <c r="AD625" i="71"/>
  <c r="O627" i="71" l="1"/>
  <c r="X627" i="71" s="1"/>
  <c r="AE626" i="71"/>
  <c r="AD626" i="71"/>
  <c r="O628" i="71" l="1"/>
  <c r="X628" i="71" s="1"/>
  <c r="AD627" i="71"/>
  <c r="AE627" i="71" s="1"/>
  <c r="O629" i="71" l="1"/>
  <c r="X629" i="71" s="1"/>
  <c r="AD628" i="71"/>
  <c r="AE628" i="71" s="1"/>
  <c r="AD629" i="71" l="1"/>
  <c r="O630" i="71"/>
  <c r="X630" i="71" s="1"/>
  <c r="AE629" i="71"/>
  <c r="AD630" i="71" l="1"/>
  <c r="AE630" i="71"/>
  <c r="O631" i="71"/>
  <c r="X631" i="71" s="1"/>
  <c r="AD631" i="71" l="1"/>
  <c r="AE631" i="71"/>
  <c r="O632" i="71"/>
  <c r="X632" i="71" s="1"/>
  <c r="AD632" i="71" l="1"/>
  <c r="AE632" i="71"/>
  <c r="O633" i="71"/>
  <c r="X633" i="71" s="1"/>
  <c r="O634" i="71" l="1"/>
  <c r="X634" i="71" s="1"/>
  <c r="AD633" i="71"/>
  <c r="AE633" i="71" s="1"/>
  <c r="O635" i="71" l="1"/>
  <c r="X635" i="71" s="1"/>
  <c r="AD634" i="71"/>
  <c r="AE634" i="71"/>
  <c r="O636" i="71" l="1"/>
  <c r="X636" i="71" s="1"/>
  <c r="AD635" i="71"/>
  <c r="AE635" i="71" s="1"/>
  <c r="O637" i="71" l="1"/>
  <c r="X637" i="71" s="1"/>
  <c r="AD636" i="71"/>
  <c r="AE636" i="71" s="1"/>
  <c r="AD637" i="71" l="1"/>
  <c r="O638" i="71"/>
  <c r="X638" i="71" s="1"/>
  <c r="AE637" i="71"/>
  <c r="AD638" i="71" l="1"/>
  <c r="O639" i="71"/>
  <c r="X639" i="71" s="1"/>
  <c r="AE638" i="71"/>
  <c r="O640" i="71" l="1"/>
  <c r="X640" i="71" s="1"/>
  <c r="AD639" i="71"/>
  <c r="AE639" i="71"/>
  <c r="O641" i="71" l="1"/>
  <c r="X641" i="71" s="1"/>
  <c r="AD640" i="71"/>
  <c r="AE640" i="71" s="1"/>
  <c r="AD641" i="71" l="1"/>
  <c r="O642" i="71"/>
  <c r="X642" i="71" s="1"/>
  <c r="AE641" i="71"/>
  <c r="O643" i="71" l="1"/>
  <c r="X643" i="71" s="1"/>
  <c r="AD642" i="71"/>
  <c r="AE642" i="71" s="1"/>
  <c r="AD643" i="71" l="1"/>
  <c r="O644" i="71"/>
  <c r="X644" i="71" s="1"/>
  <c r="AE643" i="71"/>
  <c r="O645" i="71" l="1"/>
  <c r="X645" i="71" s="1"/>
  <c r="AD644" i="71"/>
  <c r="AE644" i="71" s="1"/>
  <c r="AD645" i="71" l="1"/>
  <c r="O646" i="71"/>
  <c r="X646" i="71" s="1"/>
  <c r="AE645" i="71"/>
  <c r="AD646" i="71" l="1"/>
  <c r="AE646" i="71" s="1"/>
  <c r="O647" i="71"/>
  <c r="X647" i="71" s="1"/>
  <c r="O648" i="71" l="1"/>
  <c r="X648" i="71" s="1"/>
  <c r="AD647" i="71"/>
  <c r="AE647" i="71" s="1"/>
  <c r="AD648" i="71" l="1"/>
  <c r="O649" i="71"/>
  <c r="X649" i="71" s="1"/>
  <c r="AE648" i="71"/>
  <c r="O650" i="71" l="1"/>
  <c r="X650" i="71" s="1"/>
  <c r="AD649" i="71"/>
  <c r="AE649" i="71" s="1"/>
  <c r="O651" i="71" l="1"/>
  <c r="X651" i="71" s="1"/>
  <c r="AD650" i="71"/>
  <c r="AE650" i="71" s="1"/>
  <c r="O652" i="71" l="1"/>
  <c r="X652" i="71" s="1"/>
  <c r="AE651" i="71"/>
  <c r="AD651" i="71"/>
  <c r="O653" i="71" l="1"/>
  <c r="X653" i="71" s="1"/>
  <c r="AD652" i="71"/>
  <c r="AE652" i="71" s="1"/>
  <c r="AE653" i="71" l="1"/>
  <c r="AD653" i="71"/>
  <c r="O654" i="71"/>
  <c r="X654" i="71" s="1"/>
  <c r="AD654" i="71" l="1"/>
  <c r="AE654" i="71"/>
  <c r="O655" i="71"/>
  <c r="X655" i="71" s="1"/>
  <c r="O656" i="71" l="1"/>
  <c r="X656" i="71" s="1"/>
  <c r="AD655" i="71"/>
  <c r="AE655" i="71" s="1"/>
  <c r="O657" i="71" l="1"/>
  <c r="X657" i="71" s="1"/>
  <c r="AD656" i="71"/>
  <c r="AE656" i="71"/>
  <c r="AD657" i="71" l="1"/>
  <c r="AE657" i="71"/>
  <c r="O658" i="71"/>
  <c r="X658" i="71" s="1"/>
  <c r="AE658" i="71" l="1"/>
  <c r="AD658" i="71"/>
  <c r="O659" i="71"/>
  <c r="X659" i="71" s="1"/>
  <c r="O660" i="71" l="1"/>
  <c r="X660" i="71" s="1"/>
  <c r="AD659" i="71"/>
  <c r="AE659" i="71" s="1"/>
  <c r="O661" i="71" l="1"/>
  <c r="X661" i="71" s="1"/>
  <c r="AD660" i="71"/>
  <c r="AE660" i="71" s="1"/>
  <c r="AD661" i="71" l="1"/>
  <c r="AE661" i="71"/>
  <c r="O662" i="71"/>
  <c r="X662" i="71" s="1"/>
  <c r="O663" i="71" l="1"/>
  <c r="X663" i="71" s="1"/>
  <c r="AD662" i="71"/>
  <c r="AE662" i="71" s="1"/>
  <c r="O664" i="71" l="1"/>
  <c r="X664" i="71" s="1"/>
  <c r="AD663" i="71"/>
  <c r="AE663" i="71" s="1"/>
  <c r="AD664" i="71" l="1"/>
  <c r="O665" i="71"/>
  <c r="X665" i="71" s="1"/>
  <c r="AE664" i="71"/>
  <c r="AD665" i="71" l="1"/>
  <c r="AE665" i="71"/>
  <c r="O666" i="71"/>
  <c r="X666" i="71" s="1"/>
  <c r="AD666" i="71" l="1"/>
  <c r="O667" i="71"/>
  <c r="X667" i="71" s="1"/>
  <c r="AE666" i="71"/>
  <c r="O668" i="71" l="1"/>
  <c r="X668" i="71" s="1"/>
  <c r="AD667" i="71"/>
  <c r="AE667" i="71" s="1"/>
  <c r="O669" i="71" l="1"/>
  <c r="X669" i="71" s="1"/>
  <c r="AD668" i="71"/>
  <c r="AE668" i="71" s="1"/>
  <c r="AD669" i="71" l="1"/>
  <c r="AE669" i="71" s="1"/>
  <c r="O670" i="71"/>
  <c r="X670" i="71" s="1"/>
  <c r="AD670" i="71" l="1"/>
  <c r="O671" i="71"/>
  <c r="X671" i="71" s="1"/>
  <c r="AE670" i="71"/>
  <c r="O672" i="71" l="1"/>
  <c r="X672" i="71" s="1"/>
  <c r="AD671" i="71"/>
  <c r="AE671" i="71"/>
  <c r="AD672" i="71" l="1"/>
  <c r="O673" i="71"/>
  <c r="X673" i="71" s="1"/>
  <c r="AE672" i="71"/>
  <c r="AD673" i="71" l="1"/>
  <c r="O674" i="71"/>
  <c r="X674" i="71" s="1"/>
  <c r="AE673" i="71"/>
  <c r="O675" i="71" l="1"/>
  <c r="X675" i="71" s="1"/>
  <c r="AD674" i="71"/>
  <c r="AE674" i="71" s="1"/>
  <c r="AD675" i="71" l="1"/>
  <c r="AE675" i="71" s="1"/>
  <c r="O676" i="71"/>
  <c r="X676" i="71" s="1"/>
  <c r="AD676" i="71" l="1"/>
  <c r="AE676" i="71" s="1"/>
  <c r="O677" i="71"/>
  <c r="X677" i="71" s="1"/>
  <c r="O678" i="71" l="1"/>
  <c r="X678" i="71" s="1"/>
  <c r="AD677" i="71"/>
  <c r="AE677" i="71"/>
  <c r="AD678" i="71" l="1"/>
  <c r="O679" i="71"/>
  <c r="X679" i="71" s="1"/>
  <c r="AE678" i="71"/>
  <c r="AD679" i="71" l="1"/>
  <c r="AE679" i="71" s="1"/>
  <c r="O680" i="71"/>
  <c r="X680" i="71" s="1"/>
  <c r="AD680" i="71" l="1"/>
  <c r="AE680" i="71" s="1"/>
  <c r="O681" i="71"/>
  <c r="X681" i="71" s="1"/>
  <c r="O682" i="71" l="1"/>
  <c r="X682" i="71" s="1"/>
  <c r="AD681" i="71"/>
  <c r="AE681" i="71"/>
  <c r="O683" i="71" l="1"/>
  <c r="X683" i="71" s="1"/>
  <c r="AD682" i="71"/>
  <c r="AE682" i="71" s="1"/>
  <c r="AE683" i="71" l="1"/>
  <c r="AD683" i="71"/>
  <c r="O684" i="71"/>
  <c r="X684" i="71" s="1"/>
  <c r="O685" i="71" l="1"/>
  <c r="X685" i="71" s="1"/>
  <c r="AD684" i="71"/>
  <c r="AE684" i="71" s="1"/>
  <c r="O686" i="71" l="1"/>
  <c r="X686" i="71" s="1"/>
  <c r="AD685" i="71"/>
  <c r="AE685" i="71" s="1"/>
  <c r="O687" i="71" l="1"/>
  <c r="X687" i="71" s="1"/>
  <c r="AD686" i="71"/>
  <c r="AE686" i="71" s="1"/>
  <c r="AD687" i="71" l="1"/>
  <c r="AE687" i="71"/>
  <c r="O688" i="71"/>
  <c r="X688" i="71" s="1"/>
  <c r="O689" i="71" l="1"/>
  <c r="X689" i="71" s="1"/>
  <c r="AD688" i="71"/>
  <c r="AE688" i="71" s="1"/>
  <c r="O690" i="71" l="1"/>
  <c r="X690" i="71" s="1"/>
  <c r="AD689" i="71"/>
  <c r="AE689" i="71" s="1"/>
  <c r="AD690" i="71" l="1"/>
  <c r="AE690" i="71" s="1"/>
  <c r="O691" i="71"/>
  <c r="X691" i="71" s="1"/>
  <c r="O692" i="71" l="1"/>
  <c r="X692" i="71" s="1"/>
  <c r="AD691" i="71"/>
  <c r="AE691" i="71" s="1"/>
  <c r="O693" i="71" l="1"/>
  <c r="X693" i="71" s="1"/>
  <c r="AD692" i="71"/>
  <c r="AE692" i="71" s="1"/>
  <c r="AD693" i="71" l="1"/>
  <c r="AE693" i="71" s="1"/>
  <c r="O694" i="71"/>
  <c r="X694" i="71" s="1"/>
  <c r="AD694" i="71" l="1"/>
  <c r="AE694" i="71" s="1"/>
  <c r="O695" i="71"/>
  <c r="X695" i="71" s="1"/>
  <c r="O696" i="71" l="1"/>
  <c r="X696" i="71" s="1"/>
  <c r="AD695" i="71"/>
  <c r="AE695" i="71" s="1"/>
  <c r="O697" i="71" l="1"/>
  <c r="X697" i="71" s="1"/>
  <c r="AD696" i="71"/>
  <c r="AE696" i="71"/>
  <c r="O698" i="71" l="1"/>
  <c r="X698" i="71" s="1"/>
  <c r="AD697" i="71"/>
  <c r="AE697" i="71" s="1"/>
  <c r="AD698" i="71" l="1"/>
  <c r="AE698" i="71"/>
  <c r="O699" i="71"/>
  <c r="X699" i="71" s="1"/>
  <c r="O700" i="71" l="1"/>
  <c r="X700" i="71" s="1"/>
  <c r="AD699" i="71"/>
  <c r="AE699" i="71" s="1"/>
  <c r="AD700" i="71" l="1"/>
  <c r="AE700" i="71" s="1"/>
  <c r="O701" i="71"/>
  <c r="X701" i="71" s="1"/>
  <c r="AD701" i="71" l="1"/>
  <c r="O702" i="71"/>
  <c r="X702" i="71" s="1"/>
  <c r="AE701" i="71"/>
  <c r="AD702" i="71" l="1"/>
  <c r="AE702" i="71"/>
  <c r="O703" i="71"/>
  <c r="X703" i="71" s="1"/>
  <c r="O704" i="71" l="1"/>
  <c r="X704" i="71" s="1"/>
  <c r="AD703" i="71"/>
  <c r="AE703" i="71" s="1"/>
  <c r="AD704" i="71" l="1"/>
  <c r="AE704" i="71" s="1"/>
  <c r="O705" i="71"/>
  <c r="X705" i="71" s="1"/>
  <c r="AD705" i="71" l="1"/>
  <c r="AE705" i="71" s="1"/>
  <c r="O706" i="71"/>
  <c r="X706" i="71" s="1"/>
  <c r="AD706" i="71" l="1"/>
  <c r="AE706" i="71" s="1"/>
  <c r="O707" i="71"/>
  <c r="X707" i="71" s="1"/>
  <c r="AD707" i="71" l="1"/>
  <c r="AE707" i="71" s="1"/>
  <c r="O708" i="71"/>
  <c r="X708" i="71" s="1"/>
  <c r="AD708" i="71" l="1"/>
  <c r="O709" i="71"/>
  <c r="X709" i="71" s="1"/>
  <c r="AE708" i="71"/>
  <c r="AD709" i="71" l="1"/>
  <c r="O710" i="71"/>
  <c r="X710" i="71" s="1"/>
  <c r="AE709" i="71"/>
  <c r="O711" i="71" l="1"/>
  <c r="X711" i="71" s="1"/>
  <c r="AD710" i="71"/>
  <c r="AE710" i="71" s="1"/>
  <c r="O712" i="71" l="1"/>
  <c r="X712" i="71" s="1"/>
  <c r="AD711" i="71"/>
  <c r="AE711" i="71"/>
  <c r="O713" i="71" l="1"/>
  <c r="X713" i="71" s="1"/>
  <c r="AD712" i="71"/>
  <c r="AE712" i="71" s="1"/>
  <c r="O714" i="71" l="1"/>
  <c r="X714" i="71" s="1"/>
  <c r="AE713" i="71"/>
  <c r="AD713" i="71"/>
  <c r="AD714" i="71" l="1"/>
  <c r="O715" i="71"/>
  <c r="X715" i="71" s="1"/>
  <c r="AE714" i="71"/>
  <c r="O716" i="71" l="1"/>
  <c r="X716" i="71" s="1"/>
  <c r="AD715" i="71"/>
  <c r="AE715" i="71" s="1"/>
  <c r="O717" i="71" l="1"/>
  <c r="X717" i="71" s="1"/>
  <c r="AD716" i="71"/>
  <c r="AE716" i="71" s="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D722" i="71"/>
  <c r="AE722" i="71" s="1"/>
  <c r="O724" i="71" l="1"/>
  <c r="X724" i="71" s="1"/>
  <c r="AD723" i="71"/>
  <c r="AE723" i="71"/>
  <c r="O725" i="71" l="1"/>
  <c r="X725" i="71" s="1"/>
  <c r="AD724" i="71"/>
  <c r="AE724" i="71" s="1"/>
  <c r="AD725" i="71" l="1"/>
  <c r="O726" i="71"/>
  <c r="X726" i="71" s="1"/>
  <c r="AE725" i="71"/>
  <c r="AD726" i="71" l="1"/>
  <c r="AE726" i="71" s="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D731" i="71"/>
  <c r="AE731" i="71" s="1"/>
  <c r="O733" i="71" l="1"/>
  <c r="X733" i="71" s="1"/>
  <c r="AD732" i="71"/>
  <c r="AE732" i="71" s="1"/>
  <c r="AD733" i="71" l="1"/>
  <c r="O734" i="71"/>
  <c r="X734" i="71" s="1"/>
  <c r="AE733" i="71"/>
  <c r="AD734" i="71" l="1"/>
  <c r="AE734" i="71"/>
  <c r="O735" i="71"/>
  <c r="X735" i="71" s="1"/>
  <c r="AD735" i="71" l="1"/>
  <c r="AE735" i="71" s="1"/>
  <c r="O736" i="71"/>
  <c r="X736" i="71" s="1"/>
  <c r="AD736" i="71" l="1"/>
  <c r="AE736" i="71"/>
  <c r="O737" i="71"/>
  <c r="X737" i="71" s="1"/>
  <c r="O738" i="71" l="1"/>
  <c r="X738" i="71" s="1"/>
  <c r="AE737" i="71"/>
  <c r="AD737" i="71"/>
  <c r="O739" i="71" l="1"/>
  <c r="X739" i="71" s="1"/>
  <c r="AD738" i="71"/>
  <c r="AE738" i="71" s="1"/>
  <c r="O740" i="71" l="1"/>
  <c r="X740" i="71" s="1"/>
  <c r="AE739" i="71"/>
  <c r="AD739" i="71"/>
  <c r="AE740" i="71" l="1"/>
  <c r="O741" i="71"/>
  <c r="X741" i="71" s="1"/>
  <c r="AD740" i="71"/>
  <c r="O742" i="71" l="1"/>
  <c r="X742" i="71" s="1"/>
  <c r="AD741" i="71"/>
  <c r="AE741" i="71" s="1"/>
  <c r="AD742" i="71" l="1"/>
  <c r="AE742" i="71"/>
  <c r="O743" i="71"/>
  <c r="X743" i="71" s="1"/>
  <c r="O744" i="71" l="1"/>
  <c r="X744" i="71" s="1"/>
  <c r="AD743" i="71"/>
  <c r="AE743" i="71" s="1"/>
  <c r="O745" i="71" l="1"/>
  <c r="X745" i="71" s="1"/>
  <c r="AD744" i="71"/>
  <c r="AE744" i="71" s="1"/>
  <c r="O746" i="71" l="1"/>
  <c r="X746" i="71" s="1"/>
  <c r="AD745" i="71"/>
  <c r="AE745" i="71" s="1"/>
  <c r="AD746" i="71" l="1"/>
  <c r="AE746" i="71" s="1"/>
  <c r="O747" i="71"/>
  <c r="X747" i="71" s="1"/>
  <c r="O748" i="71" l="1"/>
  <c r="X748" i="71" s="1"/>
  <c r="AD747" i="71"/>
  <c r="AE747" i="71" s="1"/>
  <c r="AD748" i="71" l="1"/>
  <c r="O749" i="71"/>
  <c r="X749" i="71" s="1"/>
  <c r="AE748" i="71"/>
  <c r="AD749" i="71" l="1"/>
  <c r="O750" i="71"/>
  <c r="X750" i="71" s="1"/>
  <c r="AE749" i="71"/>
  <c r="AE750" i="71" l="1"/>
  <c r="AD750" i="71"/>
  <c r="O751" i="71"/>
  <c r="X751" i="71" s="1"/>
  <c r="O752" i="71" l="1"/>
  <c r="X752" i="71" s="1"/>
  <c r="AD751" i="71"/>
  <c r="AE751" i="71" s="1"/>
  <c r="O753" i="71" l="1"/>
  <c r="X753" i="71" s="1"/>
  <c r="AD752" i="71"/>
  <c r="AE752" i="71" s="1"/>
  <c r="AD753" i="71" l="1"/>
  <c r="O754" i="71"/>
  <c r="X754" i="71" s="1"/>
  <c r="AE753" i="71"/>
  <c r="O755" i="71" l="1"/>
  <c r="X755" i="71" s="1"/>
  <c r="AD754" i="71"/>
  <c r="AE754" i="71" s="1"/>
  <c r="AD755" i="71" l="1"/>
  <c r="AE755" i="71"/>
  <c r="O756" i="71"/>
  <c r="X756" i="71" s="1"/>
  <c r="AD756" i="71" l="1"/>
  <c r="O757" i="71"/>
  <c r="X757" i="71" s="1"/>
  <c r="AE756" i="71"/>
  <c r="AD757" i="71" l="1"/>
  <c r="AE757" i="71" s="1"/>
  <c r="O758" i="71"/>
  <c r="X758" i="71" s="1"/>
  <c r="O759" i="71" l="1"/>
  <c r="X759" i="71" s="1"/>
  <c r="AD758" i="71"/>
  <c r="AE758" i="71" s="1"/>
  <c r="AD759" i="71" l="1"/>
  <c r="AE759" i="71" s="1"/>
  <c r="O760" i="71"/>
  <c r="X760" i="71" s="1"/>
  <c r="AD760" i="71" l="1"/>
  <c r="AE760" i="71" s="1"/>
  <c r="O761" i="71"/>
  <c r="X761" i="71" s="1"/>
  <c r="O762" i="71" l="1"/>
  <c r="X762" i="71" s="1"/>
  <c r="AD761" i="71"/>
  <c r="AE761" i="71"/>
  <c r="O763" i="71" l="1"/>
  <c r="X763" i="71" s="1"/>
  <c r="AD762" i="71"/>
  <c r="AE762" i="71" s="1"/>
  <c r="AD763" i="71" l="1"/>
  <c r="O764" i="71"/>
  <c r="X764" i="71" s="1"/>
  <c r="AE763" i="71"/>
  <c r="O765" i="71" l="1"/>
  <c r="X765" i="71" s="1"/>
  <c r="AD764" i="71"/>
  <c r="AE764" i="71" s="1"/>
  <c r="AD765" i="71" l="1"/>
  <c r="AE765" i="71" s="1"/>
  <c r="O766" i="71"/>
  <c r="X766" i="71" s="1"/>
  <c r="O767" i="71" l="1"/>
  <c r="X767" i="71" s="1"/>
  <c r="AD766" i="71"/>
  <c r="AE766" i="71"/>
  <c r="AD767" i="71" l="1"/>
  <c r="O768" i="71"/>
  <c r="X768" i="71" s="1"/>
  <c r="AE767" i="71"/>
  <c r="O769" i="71" l="1"/>
  <c r="X769" i="71" s="1"/>
  <c r="AD768" i="71"/>
  <c r="AE768" i="71" s="1"/>
  <c r="AD769" i="71" l="1"/>
  <c r="O770" i="71"/>
  <c r="X770" i="71" s="1"/>
  <c r="AE769" i="71"/>
  <c r="O771" i="71" l="1"/>
  <c r="X771" i="71" s="1"/>
  <c r="AD770" i="71"/>
  <c r="AE770" i="71"/>
  <c r="O772" i="71" l="1"/>
  <c r="X772" i="71" s="1"/>
  <c r="AD771" i="71"/>
  <c r="AE771" i="71" s="1"/>
  <c r="AD772" i="71" l="1"/>
  <c r="AE772" i="71" s="1"/>
  <c r="O773" i="71"/>
  <c r="X773" i="71" s="1"/>
  <c r="O774" i="71" l="1"/>
  <c r="X774" i="71" s="1"/>
  <c r="AD773" i="71"/>
  <c r="AE773" i="71" s="1"/>
  <c r="AD774" i="71" l="1"/>
  <c r="AE774" i="71" s="1"/>
  <c r="O775" i="71"/>
  <c r="X775" i="71" s="1"/>
  <c r="AD775" i="71" l="1"/>
  <c r="AE775" i="71" s="1"/>
  <c r="O776" i="71"/>
  <c r="X776" i="71" s="1"/>
  <c r="AD776" i="71" l="1"/>
  <c r="O777" i="71"/>
  <c r="X777" i="71" s="1"/>
  <c r="AE776" i="71"/>
  <c r="AD777" i="71" l="1"/>
  <c r="AE777" i="71" s="1"/>
  <c r="O778" i="71"/>
  <c r="X778" i="71" s="1"/>
  <c r="O779" i="71" l="1"/>
  <c r="X779" i="71" s="1"/>
  <c r="AD778" i="71"/>
  <c r="AE778" i="71"/>
  <c r="O780" i="71" l="1"/>
  <c r="X780" i="71" s="1"/>
  <c r="AD779" i="71"/>
  <c r="AE779" i="71" s="1"/>
  <c r="AD780" i="71" l="1"/>
  <c r="AE780" i="71" s="1"/>
  <c r="O781" i="71"/>
  <c r="X781" i="71" s="1"/>
  <c r="O782" i="71" l="1"/>
  <c r="X782" i="71" s="1"/>
  <c r="AD781" i="71"/>
  <c r="AE781" i="71"/>
  <c r="O783" i="71" l="1"/>
  <c r="X783" i="71" s="1"/>
  <c r="AD782" i="71"/>
  <c r="AE782" i="71" s="1"/>
  <c r="AD783" i="71" l="1"/>
  <c r="O784" i="71"/>
  <c r="X784" i="71" s="1"/>
  <c r="AE783" i="71"/>
  <c r="AD784" i="71" l="1"/>
  <c r="AE784" i="71"/>
  <c r="O785" i="71"/>
  <c r="X785" i="71" s="1"/>
  <c r="AD785" i="71" l="1"/>
  <c r="O786" i="71"/>
  <c r="X786" i="71" s="1"/>
  <c r="AE785" i="71"/>
  <c r="O787" i="71" l="1"/>
  <c r="X787" i="71" s="1"/>
  <c r="AD786" i="71"/>
  <c r="AE786" i="71"/>
  <c r="O788" i="71" l="1"/>
  <c r="X788" i="71" s="1"/>
  <c r="AD787" i="71"/>
  <c r="AE787" i="71" s="1"/>
  <c r="AD788" i="71" l="1"/>
  <c r="AE788" i="71" s="1"/>
  <c r="O789" i="71"/>
  <c r="X789" i="71" s="1"/>
  <c r="AD789" i="71" l="1"/>
  <c r="O790" i="71"/>
  <c r="X790" i="71" s="1"/>
  <c r="AE789" i="71"/>
  <c r="O791" i="71" l="1"/>
  <c r="X791" i="71" s="1"/>
  <c r="AD790" i="71"/>
  <c r="AE790" i="71" s="1"/>
  <c r="O792" i="71" l="1"/>
  <c r="X792" i="71" s="1"/>
  <c r="AD791" i="71"/>
  <c r="AE791" i="71"/>
  <c r="AD792" i="71" l="1"/>
  <c r="AE792" i="71"/>
  <c r="O793" i="71"/>
  <c r="X793" i="71" s="1"/>
  <c r="O794" i="71" l="1"/>
  <c r="X794" i="71" s="1"/>
  <c r="AD793" i="71"/>
  <c r="AE793" i="71"/>
  <c r="O795" i="71" l="1"/>
  <c r="X795" i="71" s="1"/>
  <c r="AD794" i="71"/>
  <c r="AE794" i="71"/>
  <c r="O796" i="71" l="1"/>
  <c r="X796" i="71" s="1"/>
  <c r="AD795" i="71"/>
  <c r="AE795" i="71" s="1"/>
  <c r="AD796" i="71" l="1"/>
  <c r="AE796" i="71" s="1"/>
  <c r="O797" i="71"/>
  <c r="X797" i="71" s="1"/>
  <c r="AD797" i="71" l="1"/>
  <c r="O798" i="71"/>
  <c r="X798" i="71" s="1"/>
  <c r="AE797" i="71"/>
  <c r="O799" i="71" l="1"/>
  <c r="X799" i="71" s="1"/>
  <c r="AD798" i="71"/>
  <c r="AE798" i="71" s="1"/>
  <c r="O800" i="71" l="1"/>
  <c r="X800" i="71" s="1"/>
  <c r="AD799" i="71"/>
  <c r="AE799" i="71" s="1"/>
  <c r="O801" i="71" l="1"/>
  <c r="X801" i="71" s="1"/>
  <c r="AD800" i="71"/>
  <c r="AE800" i="71" s="1"/>
  <c r="AD801" i="71" l="1"/>
  <c r="AE801" i="71"/>
  <c r="O802" i="71"/>
  <c r="X802" i="71" s="1"/>
  <c r="O803" i="71" l="1"/>
  <c r="X803" i="71" s="1"/>
  <c r="AD802" i="71"/>
  <c r="AE802" i="71"/>
  <c r="O804" i="71" l="1"/>
  <c r="X804" i="71" s="1"/>
  <c r="AD803" i="71"/>
  <c r="AE803" i="71" s="1"/>
  <c r="AD804" i="71" l="1"/>
  <c r="AE804" i="71"/>
  <c r="O805" i="71"/>
  <c r="X805" i="71" s="1"/>
  <c r="O806" i="71" l="1"/>
  <c r="X806" i="71" s="1"/>
  <c r="AE805" i="71"/>
  <c r="AD805" i="71"/>
  <c r="O807" i="71" l="1"/>
  <c r="X807" i="71" s="1"/>
  <c r="AD806" i="71"/>
  <c r="AE806" i="71"/>
  <c r="O808" i="71" l="1"/>
  <c r="X808" i="71" s="1"/>
  <c r="AD807" i="71"/>
  <c r="AE807" i="71" s="1"/>
  <c r="AD808" i="71" l="1"/>
  <c r="AE808" i="71" s="1"/>
  <c r="O809" i="71"/>
  <c r="X809" i="71" s="1"/>
  <c r="O810" i="71" l="1"/>
  <c r="X810" i="71" s="1"/>
  <c r="AD809" i="71"/>
  <c r="AE809" i="71" s="1"/>
  <c r="AD810" i="71" l="1"/>
  <c r="AE810" i="71"/>
  <c r="O811" i="71"/>
  <c r="X811" i="71" s="1"/>
  <c r="O812" i="71" l="1"/>
  <c r="X812" i="71" s="1"/>
  <c r="AD811" i="71"/>
  <c r="AE811" i="71"/>
  <c r="AD812" i="71" l="1"/>
  <c r="O813" i="71"/>
  <c r="X813" i="71" s="1"/>
  <c r="AE812" i="71"/>
  <c r="AD813" i="71" l="1"/>
  <c r="AE813" i="71"/>
  <c r="O814" i="71"/>
  <c r="X814" i="71" s="1"/>
  <c r="O815" i="71" l="1"/>
  <c r="X815" i="71" s="1"/>
  <c r="AD814" i="71"/>
  <c r="AE814" i="71" s="1"/>
  <c r="AD815" i="71" l="1"/>
  <c r="AE815" i="71" s="1"/>
  <c r="O816" i="71"/>
  <c r="X816" i="71" s="1"/>
  <c r="AD816" i="71" l="1"/>
  <c r="O817" i="71"/>
  <c r="X817" i="71" s="1"/>
  <c r="AE816" i="71"/>
  <c r="AD817" i="71" l="1"/>
  <c r="AE817" i="71" s="1"/>
  <c r="O818" i="71"/>
  <c r="X818" i="71" s="1"/>
  <c r="O819" i="71" l="1"/>
  <c r="X819" i="71" s="1"/>
  <c r="AD818" i="71"/>
  <c r="AE818" i="71"/>
  <c r="AD819" i="71" l="1"/>
  <c r="AE819" i="71" s="1"/>
  <c r="O820" i="71"/>
  <c r="X820" i="71" s="1"/>
  <c r="AD820" i="71" l="1"/>
  <c r="AE820" i="71"/>
  <c r="O821" i="71"/>
  <c r="X821" i="71" s="1"/>
  <c r="O822" i="71" l="1"/>
  <c r="X822" i="71" s="1"/>
  <c r="AD821" i="71"/>
  <c r="AE821" i="71"/>
  <c r="O823" i="71" l="1"/>
  <c r="X823" i="71" s="1"/>
  <c r="AD822" i="71"/>
  <c r="AE822" i="71"/>
  <c r="O824" i="71" l="1"/>
  <c r="X824" i="71" s="1"/>
  <c r="AD823" i="71"/>
  <c r="AE823" i="71" s="1"/>
  <c r="AD824" i="71" l="1"/>
  <c r="AE824" i="71" s="1"/>
  <c r="O825" i="71"/>
  <c r="X825" i="71" s="1"/>
  <c r="AD825" i="71" l="1"/>
  <c r="AE825" i="71"/>
  <c r="O826" i="71"/>
  <c r="X826" i="71" s="1"/>
  <c r="O827" i="71" l="1"/>
  <c r="X827" i="71" s="1"/>
  <c r="AD826" i="71"/>
  <c r="AE826" i="71" s="1"/>
  <c r="O828" i="71" l="1"/>
  <c r="X828" i="71" s="1"/>
  <c r="AE827" i="71"/>
  <c r="AD827" i="71"/>
  <c r="O829" i="71" l="1"/>
  <c r="X829" i="71" s="1"/>
  <c r="AD828" i="71"/>
  <c r="AE828" i="71" s="1"/>
  <c r="O830" i="71" l="1"/>
  <c r="X830" i="71" s="1"/>
  <c r="AD829" i="71"/>
  <c r="AE829" i="71" s="1"/>
  <c r="AD830" i="71" l="1"/>
  <c r="AE830" i="71" s="1"/>
  <c r="O831" i="71"/>
  <c r="X831" i="71" s="1"/>
  <c r="AD831" i="71" l="1"/>
  <c r="O832" i="71"/>
  <c r="X832" i="71" s="1"/>
  <c r="AE831" i="71"/>
  <c r="AD832" i="71" l="1"/>
  <c r="AE832" i="71"/>
  <c r="O833" i="71"/>
  <c r="X833" i="71" s="1"/>
  <c r="AD833" i="71" l="1"/>
  <c r="AE833" i="7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<sst xmlns="http://schemas.openxmlformats.org/spreadsheetml/2006/main" count="2929" uniqueCount="1219">
  <si>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</si>
  <si>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</si>
  <si>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</si>
  <si>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</si>
  <si>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</si>
  <si>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</si>
  <si>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</si>
  <si>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</si>
  <si>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</si>
  <si>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</si>
  <si>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</si>
  <si>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</si>
  <si>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</si>
  <si>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</si>
  <si>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</si>
  <si>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</si>
  <si>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</si>
  <si>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</si>
  <si>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</si>
  <si>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</si>
  <si>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</si>
  <si>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</si>
  <si>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</si>
  <si>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</si>
  <si>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</si>
  <si>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</si>
  <si>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</si>
  <si>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</si>
  <si>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</si>
  <si>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</si>
  <si>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</si>
  <si>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</si>
  <si>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</si>
  <si>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</si>
  <si>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</si>
  <si>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</si>
  <si>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</si>
  <si>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</si>
  <si>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</si>
  <si>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</si>
  <si>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</si>
  <si>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</si>
  <si>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</si>
  <si>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</si>
  <si>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</si>
  <si>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</si>
  <si>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</si>
  <si>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</si>
  <si>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</si>
  <si>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</si>
  <si>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</si>
  <si>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</si>
  <si>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</si>
  <si>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</si>
  <si>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</si>
  <si>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</si>
  <si>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</si>
  <si>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</si>
  <si>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</si>
  <si>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</si>
  <si>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</si>
  <si>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</si>
  <si>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</si>
  <si>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</si>
  <si>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</si>
  <si>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</si>
  <si>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</si>
  <si>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</si>
  <si>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</si>
  <si>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</si>
  <si>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</si>
  <si>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</si>
  <si>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</si>
  <si>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</si>
  <si>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</si>
  <si>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</si>
  <si>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</si>
  <si>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</si>
  <si>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</si>
  <si>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</si>
  <si>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</si>
  <si>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</si>
  <si>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</si>
  <si>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</si>
  <si>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</si>
  <si>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</si>
  <si>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</si>
  <si>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</si>
  <si>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</si>
  <si>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</si>
  <si>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</si>
  <si>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</si>
  <si>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</si>
  <si>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</si>
  <si>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</si>
  <si>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</si>
  <si>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</si>
  <si>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</si>
  <si>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</si>
  <si>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</si>
  <si>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</si>
  <si>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</si>
  <si>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</si>
  <si>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</si>
  <si>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</si>
  <si>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</si>
  <si>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</si>
  <si>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</si>
  <si>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</si>
  <si>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</si>
  <si>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</si>
  <si>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</si>
  <si>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</si>
  <si>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</si>
  <si>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</si>
  <si>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</si>
  <si>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</si>
  <si>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</si>
  <si>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</si>
  <si>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</si>
  <si>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</si>
  <si>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</si>
  <si>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</si>
  <si>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</si>
  <si>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</si>
  <si>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</si>
  <si>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</si>
  <si>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</si>
  <si>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</si>
  <si>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</si>
  <si>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</si>
  <si>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</si>
  <si>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</si>
  <si>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</si>
  <si>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</si>
  <si>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</si>
  <si>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</si>
  <si>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</si>
  <si>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</si>
  <si>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</si>
  <si>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</si>
  <si>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</si>
  <si>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</si>
  <si>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</si>
  <si>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</si>
  <si>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</si>
  <si>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</si>
  <si>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</si>
  <si>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</si>
  <si>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</si>
  <si>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</si>
  <si>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</si>
  <si>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</si>
  <si>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</si>
  <si>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</si>
  <si>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</si>
  <si>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</si>
  <si>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</si>
  <si>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</si>
  <si>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</si>
  <si>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</si>
  <si>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</si>
  <si>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</si>
  <si>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</si>
  <si>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</si>
  <si>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</si>
  <si>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</si>
  <si>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</si>
  <si>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</si>
  <si>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</si>
  <si>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</si>
  <si>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</si>
  <si>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</si>
  <si>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</si>
  <si>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</si>
  <si>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</si>
  <si>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</si>
  <si>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</si>
  <si>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</si>
  <si>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</si>
  <si>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</si>
  <si>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</si>
  <si>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</si>
  <si>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</si>
  <si>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</si>
  <si>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</si>
  <si>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</si>
  <si>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</si>
  <si>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</si>
  <si>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</si>
  <si>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</si>
  <si>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</si>
  <si>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</si>
  <si>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</si>
  <si>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</si>
  <si>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</si>
  <si>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</si>
  <si>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</si>
  <si>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</si>
  <si>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</si>
  <si>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</si>
  <si>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</si>
  <si>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</si>
  <si>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</si>
  <si>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</si>
  <si>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</si>
  <si>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</si>
  <si>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</si>
  <si>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</si>
  <si>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</si>
  <si>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</si>
  <si>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</si>
  <si>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</si>
  <si>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</si>
  <si>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</si>
  <si>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</si>
  <si>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</si>
  <si>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</si>
  <si>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</si>
  <si>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</si>
  <si>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</si>
  <si>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</si>
  <si>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</si>
  <si>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</si>
  <si>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</si>
  <si>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</si>
  <si>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</si>
  <si>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</si>
  <si>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</si>
  <si>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</si>
  <si>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</si>
  <si>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</si>
  <si>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</si>
  <si>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</si>
  <si>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</si>
  <si>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</si>
  <si>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</si>
  <si>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</si>
  <si>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</si>
  <si>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</si>
  <si>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</si>
  <si>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</si>
  <si>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</si>
  <si>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</si>
  <si>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</si>
  <si>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</si>
  <si>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</si>
  <si>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</si>
  <si>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</si>
  <si>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</si>
  <si>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</si>
  <si>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</si>
  <si>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</si>
  <si>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</si>
  <si>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</si>
  <si>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</si>
  <si>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</si>
  <si>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</si>
  <si>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</si>
  <si>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</si>
  <si>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</si>
  <si>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</si>
  <si>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</si>
  <si>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</si>
  <si>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</si>
  <si>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</si>
  <si>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</si>
  <si>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</si>
  <si>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</si>
  <si>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</si>
  <si>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</si>
  <si>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</si>
  <si>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</si>
  <si>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</si>
  <si>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</si>
  <si>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</si>
  <si>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</si>
  <si>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</si>
  <si>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</si>
  <si>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</si>
  <si>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</si>
  <si>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</si>
  <si>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</si>
  <si>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</si>
  <si>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</si>
  <si>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</si>
  <si>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</si>
  <si>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</si>
  <si>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</si>
  <si>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</si>
  <si>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</si>
  <si>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</si>
  <si>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</si>
  <si>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</si>
  <si>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</si>
  <si>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</si>
  <si>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</si>
  <si>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</si>
  <si>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</si>
  <si>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</si>
  <si>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</si>
  <si>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</si>
  <si>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</si>
  <si>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</si>
  <si>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</si>
  <si>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</si>
  <si>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</si>
  <si>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</si>
  <si>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</si>
  <si>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</si>
  <si>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</si>
  <si>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</si>
  <si>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</si>
  <si>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</si>
  <si>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</si>
  <si>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</si>
  <si>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</si>
  <si>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</si>
  <si>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</si>
  <si>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</si>
  <si>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</si>
  <si>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</si>
  <si>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</si>
  <si>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</si>
  <si>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</si>
  <si>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</si>
  <si>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</si>
  <si>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</si>
  <si>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</si>
  <si>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</si>
  <si>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</si>
  <si>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</si>
  <si>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</si>
  <si>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</si>
  <si>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</si>
  <si>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</si>
  <si>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</si>
  <si>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</si>
  <si>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</si>
  <si>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</si>
  <si>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</si>
  <si>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</si>
  <si>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</si>
  <si>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</si>
  <si>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</si>
  <si>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</si>
  <si>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</si>
  <si>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</si>
  <si>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</si>
  <si>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</si>
  <si>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</si>
  <si>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</si>
  <si>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</si>
  <si>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</si>
  <si>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</si>
  <si>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</si>
  <si>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</si>
  <si>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</si>
  <si>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</si>
  <si>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</si>
  <si>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</si>
  <si>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</si>
  <si>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</si>
  <si>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</si>
  <si>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</si>
  <si>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</si>
  <si>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</si>
  <si>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</si>
  <si>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</si>
  <si>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</si>
  <si>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</si>
  <si>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</si>
  <si>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</si>
  <si>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</si>
  <si>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</si>
  <si>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</si>
  <si>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</si>
  <si>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</si>
  <si>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</si>
  <si>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</si>
  <si>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</si>
  <si>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</si>
  <si>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</si>
  <si>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</si>
  <si>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</si>
  <si>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</si>
  <si>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</si>
  <si>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</si>
  <si>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</si>
  <si>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</si>
  <si>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</si>
  <si>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</si>
  <si>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</si>
  <si>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</si>
  <si>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</si>
  <si>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</si>
  <si>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</si>
  <si>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</si>
  <si>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</si>
  <si>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</si>
  <si>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</si>
  <si>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</si>
  <si>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</si>
  <si>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</si>
  <si>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</si>
  <si>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</si>
  <si>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</si>
  <si>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</si>
  <si>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</si>
  <si>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</si>
  <si>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</si>
  <si>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</si>
  <si>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</si>
  <si>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</si>
  <si>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</si>
  <si>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</si>
  <si>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</si>
  <si>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</si>
  <si>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</si>
  <si>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</si>
  <si>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</si>
  <si>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</si>
  <si>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</si>
  <si>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</si>
  <si>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</si>
  <si>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</si>
  <si>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</si>
  <si>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</si>
  <si>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</si>
  <si>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</si>
  <si>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</si>
  <si>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</si>
  <si>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</si>
  <si>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</si>
  <si>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</si>
  <si>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</si>
  <si>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</si>
  <si>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</si>
  <si>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</si>
  <si>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</si>
  <si>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</si>
  <si>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</si>
  <si>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</si>
  <si>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</si>
  <si>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</si>
  <si>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</si>
  <si>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</si>
  <si>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</si>
  <si>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</si>
  <si>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</si>
  <si>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</si>
  <si>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</si>
  <si>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</si>
  <si>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</si>
  <si>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</si>
  <si>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</si>
  <si>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</si>
  <si>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</si>
  <si>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</si>
  <si>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</si>
  <si>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</si>
  <si>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</si>
  <si>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</si>
  <si>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</si>
  <si>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</si>
  <si>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</si>
  <si>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</si>
  <si>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</si>
  <si>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</si>
  <si>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</si>
  <si>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</si>
  <si>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</si>
  <si>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</si>
  <si>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</si>
  <si>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</si>
  <si>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</si>
  <si>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</si>
  <si>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</si>
  <si>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</si>
  <si>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</si>
  <si>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</si>
  <si>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</si>
  <si>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</si>
  <si>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</si>
  <si>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</si>
  <si>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</si>
  <si>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</si>
  <si>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</si>
  <si>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</si>
  <si>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</si>
  <si>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</si>
  <si>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</si>
  <si>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</si>
  <si>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</si>
  <si>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</si>
  <si>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</si>
  <si>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</si>
  <si>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</si>
  <si>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</si>
  <si>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</si>
  <si>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</si>
  <si>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</si>
  <si>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</si>
  <si>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</si>
  <si>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</si>
  <si>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</si>
  <si>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</si>
  <si>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</si>
  <si>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</si>
  <si>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</si>
  <si>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</si>
  <si>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</si>
  <si>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</si>
  <si>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</si>
  <si>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</si>
  <si>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</si>
  <si>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</si>
  <si>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</si>
  <si>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</si>
  <si>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</si>
  <si>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</si>
  <si>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</si>
  <si>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</si>
  <si>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</si>
  <si>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</si>
  <si>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</si>
  <si>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</si>
  <si>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</si>
  <si>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</si>
  <si>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</si>
  <si>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</si>
  <si>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</si>
  <si>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</si>
  <si>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</si>
  <si>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</si>
  <si>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</si>
  <si>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</si>
  <si>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</si>
  <si>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</si>
  <si>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</si>
  <si>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</si>
  <si>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</si>
  <si>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</si>
  <si>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</si>
  <si>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</si>
  <si>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</si>
  <si>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</si>
  <si>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</si>
  <si>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</si>
  <si>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</si>
  <si>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</si>
  <si>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</si>
  <si>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</si>
  <si>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</si>
  <si>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</si>
  <si>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</si>
  <si>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</si>
  <si>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</si>
  <si>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</si>
  <si>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</si>
  <si>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</si>
  <si>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</si>
  <si>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</si>
  <si>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</si>
  <si>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</si>
  <si>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</si>
  <si>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</si>
  <si>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</si>
  <si>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</si>
  <si>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</si>
  <si>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</si>
  <si>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</si>
  <si>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</si>
  <si>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</si>
  <si>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</si>
  <si>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</si>
  <si>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</si>
  <si>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</si>
  <si>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</si>
  <si>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</si>
  <si>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</si>
  <si>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</si>
  <si>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</si>
  <si>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</si>
  <si>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</si>
  <si>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</si>
  <si>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</si>
  <si>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</si>
  <si>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</si>
  <si>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</si>
  <si>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</si>
  <si>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</si>
  <si>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</si>
  <si>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</si>
  <si>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</si>
  <si>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</si>
  <si>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</si>
  <si>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</si>
  <si>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</si>
  <si>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</si>
  <si>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</si>
  <si>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</si>
  <si>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</si>
  <si>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</si>
  <si>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</si>
  <si>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</si>
  <si>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</si>
  <si>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</si>
  <si>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</si>
  <si>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</si>
  <si>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</si>
  <si>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</si>
  <si>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</si>
  <si>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</si>
  <si>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</si>
  <si>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</si>
  <si>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</si>
  <si>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</si>
  <si>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</si>
  <si>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</si>
  <si>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</si>
  <si>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</si>
  <si>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</si>
  <si>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</si>
  <si>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</si>
  <si>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</si>
  <si>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</si>
  <si>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</si>
  <si>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</si>
  <si>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</si>
  <si>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</si>
  <si>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</si>
  <si>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</si>
  <si>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</si>
  <si>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</si>
  <si>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</si>
  <si>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</si>
  <si>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</si>
  <si>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</si>
  <si>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</si>
  <si>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</si>
  <si>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</si>
  <si>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</si>
  <si>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Legal Description</t>
  </si>
  <si>
    <t>Sellers Residence1</t>
  </si>
  <si>
    <t>Sellers Residence2</t>
  </si>
  <si>
    <t>Cumulative</t>
  </si>
  <si>
    <t>Int</t>
  </si>
  <si>
    <t>Int Rate</t>
  </si>
  <si>
    <t>Monthly</t>
  </si>
  <si>
    <t>Princ</t>
  </si>
  <si>
    <t xml:space="preserve">Total </t>
  </si>
  <si>
    <t>Taxes</t>
  </si>
  <si>
    <t>Beg</t>
  </si>
  <si>
    <t>Ins</t>
  </si>
  <si>
    <t>Trust Address:</t>
  </si>
  <si>
    <t>Property Parcel ID</t>
  </si>
  <si>
    <t>Interest rate2</t>
  </si>
  <si>
    <t>Interest rate1</t>
  </si>
  <si>
    <t>Selling Down Payment:</t>
  </si>
  <si>
    <t>Buying Down Payment:</t>
  </si>
  <si>
    <t>Selling Purchase Price:</t>
  </si>
  <si>
    <t>Buying Purchase Price:</t>
  </si>
  <si>
    <t>Subject To Reinstatement</t>
  </si>
  <si>
    <t>Buying Lender:</t>
  </si>
  <si>
    <t>Coastal Federal Credit Union</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</si>
  <si>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</si>
  <si>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</si>
  <si>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</si>
  <si>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</si>
  <si>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</si>
  <si>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</si>
  <si>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</si>
  <si>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</si>
  <si>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</si>
  <si>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</si>
  <si>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</si>
  <si>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</si>
  <si>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</si>
  <si>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</si>
  <si>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</si>
  <si>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</si>
  <si>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</si>
  <si>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</si>
  <si>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</si>
  <si>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</si>
  <si>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</si>
  <si>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</si>
  <si>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</si>
  <si>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</si>
  <si>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</si>
  <si>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</si>
  <si>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</si>
  <si>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</si>
  <si>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</si>
  <si>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</si>
  <si>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</si>
  <si>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</si>
  <si>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</si>
  <si>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</si>
  <si>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00992</t>
  </si>
  <si>
    <t>0383</t>
  </si>
  <si>
    <t>Brief Legal Description</t>
  </si>
  <si>
    <t>Doc Month:</t>
  </si>
  <si>
    <t>Lease Fields:</t>
  </si>
  <si>
    <t>Trust Info</t>
  </si>
  <si>
    <t>Principal Sum:</t>
  </si>
  <si>
    <t>Installment Months</t>
  </si>
  <si>
    <t>Note Indicator , paragraph 2b</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</si>
  <si>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</si>
  <si>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</si>
  <si>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</si>
  <si>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</si>
  <si>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</si>
  <si>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</si>
  <si>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</si>
  <si>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</si>
  <si>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</si>
  <si>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</si>
  <si>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</si>
  <si>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</si>
  <si>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</si>
  <si>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</si>
  <si>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</si>
  <si>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</si>
  <si>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</si>
  <si>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</si>
  <si>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</si>
  <si>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</si>
  <si>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</si>
  <si>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</si>
  <si>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</si>
  <si>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</si>
  <si>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</si>
  <si>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</si>
  <si>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</si>
  <si>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</si>
  <si>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</si>
  <si>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</si>
  <si>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</si>
  <si>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</si>
  <si>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</si>
  <si>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</si>
  <si>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</si>
  <si>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</si>
  <si>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</si>
  <si>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</si>
  <si>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</si>
  <si>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</si>
  <si>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</si>
  <si>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</si>
  <si>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</si>
  <si>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</si>
  <si>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</si>
  <si>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</si>
  <si>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</si>
  <si>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</si>
  <si>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</si>
  <si>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</si>
  <si>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</si>
  <si>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</si>
  <si>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</si>
  <si>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</si>
  <si>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</si>
  <si>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</si>
  <si>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</si>
  <si>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</si>
  <si>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</si>
  <si>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</si>
  <si>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</si>
  <si>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</si>
  <si>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</si>
  <si>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</si>
  <si>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</si>
  <si>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</si>
  <si>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</si>
  <si>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</si>
  <si>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</si>
  <si>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</si>
  <si>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</si>
  <si>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</si>
  <si>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</si>
  <si>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</si>
  <si>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</si>
  <si>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</si>
  <si>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</si>
  <si>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</si>
  <si>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</si>
  <si>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</si>
  <si>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</si>
  <si>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</si>
  <si>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</si>
  <si>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</si>
  <si>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</si>
  <si>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</si>
  <si>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</si>
  <si>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</si>
  <si>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</si>
  <si>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</si>
  <si>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</si>
  <si>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</si>
  <si>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</si>
  <si>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</si>
  <si>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</si>
  <si>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</si>
  <si>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</si>
  <si>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</si>
  <si>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</si>
  <si>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</si>
  <si>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</si>
  <si>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</si>
  <si>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</si>
  <si>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</si>
  <si>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</si>
  <si>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</si>
  <si>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</si>
  <si>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</si>
  <si>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</si>
  <si>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</si>
  <si>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</si>
  <si>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</si>
  <si>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</si>
  <si>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</si>
  <si>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</si>
  <si>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</si>
  <si>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</si>
  <si>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</si>
  <si>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</si>
  <si>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</si>
  <si>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</si>
  <si>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</si>
  <si>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</si>
  <si>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</si>
  <si>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</si>
  <si>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</si>
  <si>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</si>
  <si>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</si>
  <si>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</si>
  <si>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</si>
  <si>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</si>
  <si>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</si>
  <si>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</si>
  <si>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</si>
  <si>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</si>
  <si>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</si>
  <si>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</si>
  <si>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</si>
  <si>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</si>
  <si>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</si>
  <si>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</si>
  <si>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</si>
  <si>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</si>
  <si>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</si>
  <si>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</si>
  <si>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</si>
  <si>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</si>
  <si>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</si>
  <si>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</si>
  <si>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</si>
  <si>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</si>
  <si>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</si>
  <si>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</si>
  <si>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</si>
  <si>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</si>
  <si>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</si>
  <si>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</si>
  <si>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</si>
  <si>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</si>
  <si>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</si>
  <si>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</si>
  <si>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</si>
  <si>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</si>
  <si>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</si>
  <si>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</si>
  <si>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</si>
  <si>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</si>
  <si>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</si>
  <si>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</si>
  <si>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</si>
  <si>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</si>
  <si>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</si>
  <si>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</si>
  <si>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</si>
  <si>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</si>
  <si>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</si>
  <si>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</si>
  <si>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</si>
  <si>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</si>
  <si>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</si>
  <si>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</si>
  <si>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</si>
  <si>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</si>
  <si>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</si>
  <si>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</si>
  <si>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</si>
  <si>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</si>
  <si>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</si>
  <si>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</si>
  <si>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</si>
  <si>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</si>
  <si>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</si>
  <si>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</si>
  <si>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</si>
  <si>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</si>
  <si>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</si>
  <si>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</si>
  <si>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</si>
  <si>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</si>
  <si>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</si>
  <si>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</si>
  <si>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</si>
  <si>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</si>
  <si>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</si>
  <si>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</si>
  <si>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</si>
  <si>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</si>
  <si>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</si>
  <si>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</si>
  <si>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</si>
  <si>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</si>
  <si>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</si>
  <si>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</si>
  <si>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</si>
  <si>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</si>
  <si>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</si>
  <si>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</si>
  <si>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</si>
  <si>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</si>
  <si>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</si>
  <si>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</si>
  <si>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</si>
  <si>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</si>
  <si>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</si>
  <si>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</si>
  <si>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</si>
  <si>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</si>
  <si>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</si>
  <si>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</si>
  <si>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</si>
  <si>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</si>
  <si>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</si>
  <si>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</si>
  <si>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</si>
  <si>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</si>
  <si>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</si>
  <si>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</si>
  <si>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</si>
  <si>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</si>
  <si>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</si>
  <si>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</si>
  <si>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</si>
  <si>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</si>
  <si>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</si>
  <si>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</si>
  <si>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</si>
  <si>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</si>
  <si>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</si>
  <si>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</si>
  <si>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</si>
  <si>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</si>
  <si>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</si>
  <si>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</si>
  <si>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</si>
  <si>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</si>
  <si>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</si>
  <si>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</si>
  <si>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</si>
  <si>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</si>
  <si>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</si>
  <si>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</si>
  <si>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</si>
  <si>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</si>
  <si>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</si>
  <si>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</si>
  <si>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</si>
  <si>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</si>
  <si>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</si>
  <si>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</si>
  <si>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</si>
  <si>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</si>
  <si>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</si>
  <si>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</si>
  <si>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</si>
  <si>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</si>
  <si>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</si>
  <si>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</si>
  <si>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</si>
  <si>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</si>
  <si>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</si>
  <si>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</si>
  <si>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</si>
  <si>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</si>
  <si>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</si>
  <si>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</si>
  <si>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</si>
  <si>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</si>
  <si>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</si>
  <si>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</si>
  <si>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</si>
  <si>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</si>
  <si>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</si>
  <si>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</si>
  <si>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</si>
  <si>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</si>
  <si>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</si>
  <si>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</si>
  <si>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</si>
  <si>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</si>
  <si>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</si>
  <si>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</si>
  <si>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</si>
  <si>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</si>
  <si>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</si>
  <si>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</si>
  <si>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</si>
  <si>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</si>
  <si>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</si>
  <si>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</si>
  <si>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</si>
  <si>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</si>
  <si>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</si>
  <si>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</si>
  <si>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</si>
  <si>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</si>
  <si>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</si>
  <si>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</si>
  <si>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</si>
  <si>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</si>
  <si>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</si>
  <si>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</si>
  <si>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</si>
  <si>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</si>
  <si>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</si>
  <si>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</si>
  <si>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</si>
  <si>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</si>
  <si>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</si>
  <si>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</si>
  <si>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</si>
  <si>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</si>
  <si>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</si>
  <si>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</si>
  <si>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</si>
  <si>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</si>
  <si>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</si>
  <si>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</si>
  <si>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</si>
  <si>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</si>
  <si>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</si>
  <si>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</si>
  <si>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</si>
  <si>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</si>
  <si>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</si>
  <si>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</si>
  <si>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</si>
  <si>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</si>
  <si>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</si>
  <si>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</si>
  <si>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</si>
  <si>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</si>
  <si>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</si>
  <si>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</si>
  <si>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</si>
  <si>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</si>
  <si>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</si>
  <si>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</si>
  <si>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</si>
  <si>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</si>
  <si>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</si>
  <si>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</si>
  <si>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</si>
  <si>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</si>
  <si>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</si>
  <si>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</si>
  <si>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</si>
  <si>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</si>
  <si>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</si>
  <si>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</si>
  <si>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</si>
  <si>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</si>
  <si>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</si>
  <si>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</si>
  <si>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</si>
  <si>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</si>
  <si>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</si>
  <si>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</si>
  <si>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</si>
  <si>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</si>
  <si>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</si>
  <si>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</si>
  <si>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</si>
  <si>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</si>
  <si>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</si>
  <si>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</si>
  <si>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</si>
  <si>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</si>
  <si>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</si>
  <si>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</si>
  <si>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</si>
  <si>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</si>
  <si>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</si>
  <si>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</si>
  <si>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</si>
  <si>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</si>
  <si>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</si>
  <si>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</si>
  <si>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</si>
  <si>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</si>
  <si>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</si>
  <si>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</si>
  <si>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</si>
  <si>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</si>
  <si>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</si>
  <si>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</si>
  <si>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</si>
  <si>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</si>
  <si>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</si>
  <si>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</si>
  <si>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</si>
  <si>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</si>
  <si>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</si>
  <si>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</si>
  <si>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</si>
  <si>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</si>
  <si>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</si>
  <si>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</si>
  <si>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</si>
  <si>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</si>
  <si>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</si>
  <si>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</si>
  <si>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</si>
  <si>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</si>
  <si>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</si>
  <si>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</si>
  <si>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</si>
  <si>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</si>
  <si>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</si>
  <si>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</si>
  <si>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</si>
  <si>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</si>
  <si>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</si>
  <si>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</si>
  <si>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</si>
  <si>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</si>
  <si>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</si>
  <si>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</si>
  <si>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</si>
  <si>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</si>
  <si>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</si>
  <si>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</si>
  <si>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</si>
  <si>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</si>
  <si>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</si>
  <si>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</si>
  <si>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</si>
  <si>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</si>
  <si>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</si>
  <si>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</si>
  <si>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</si>
  <si>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</si>
  <si>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</si>
  <si>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</si>
  <si>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</si>
  <si>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</si>
  <si>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</si>
  <si>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</si>
  <si>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</si>
  <si>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</si>
  <si>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</si>
  <si>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</si>
  <si>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</si>
  <si>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</si>
  <si>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</si>
  <si>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</si>
  <si>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</si>
  <si>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</si>
  <si>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</si>
  <si>
    <t>Selvin Santos</t>
  </si>
  <si>
    <t>Buying Note Fields (BYH to Seller):</t>
  </si>
  <si>
    <t>Selling Note Fields (Buyer to Seller):</t>
  </si>
  <si>
    <t>Source / purpose</t>
  </si>
  <si>
    <t>Selling Note Maker (Buyer):</t>
  </si>
  <si>
    <t>Selling Note Payee (Seller):</t>
  </si>
  <si>
    <t>Selling seller field</t>
  </si>
  <si>
    <t>Selling Note Principal Sum:</t>
  </si>
  <si>
    <t>Selling Note Normal Payment:</t>
  </si>
  <si>
    <t>Contract-for-deed payment formula</t>
  </si>
  <si>
    <t>Selling Note Installment Months:</t>
  </si>
  <si>
    <t>Contract term months</t>
  </si>
  <si>
    <t>Selling Note Interest Rate:</t>
  </si>
  <si>
    <t>Contract-for-deed rate</t>
  </si>
  <si>
    <t>Selling Note Balloon Payment:</t>
  </si>
  <si>
    <t>User-entered if applicable</t>
  </si>
  <si>
    <t>Selling Note Balloon Term:</t>
  </si>
  <si>
    <t>Optional wording</t>
  </si>
  <si>
    <t>Selling Note First Payment Date:</t>
  </si>
  <si>
    <t>Contract start date</t>
  </si>
  <si>
    <t>Selling Note Final Scheduled Payment Date:</t>
  </si>
  <si>
    <t>Calculated from start date and months</t>
  </si>
  <si>
    <t>Selling Note Security Interest:</t>
  </si>
  <si>
    <t>Contract for Deed / Memorandum of Contract for Deed</t>
  </si>
  <si>
    <t>Security/reference document</t>
  </si>
  <si>
    <t>Selling Note Purpose/Direction:</t>
  </si>
  <si>
    <t>Buyer note to Seller for seller-financed principal</t>
  </si>
  <si>
    <t>Use for CFD selling package</t>
  </si>
  <si>
    <t>Selling Note Field Rule:</t>
  </si>
  <si>
    <t>Use this block for CFD selling packages only.</t>
  </si>
  <si>
    <t>Old Note Fields = purchase-side notes.</t>
  </si>
  <si>
    <t>5021 Sunnyfield Dr, Unit 164</t>
  </si>
  <si>
    <t>Addendum controls title, possession, park approval, liens, tenant rents, verification, condition, and remedies.</t>
  </si>
  <si>
    <t>Formula-linked to buyer name field; address fields should not be used as maker name.</t>
  </si>
  <si>
    <t>Formula-linked to Selling Seller-Financed Principal.</t>
  </si>
  <si>
    <t>Down Payment: $</t>
  </si>
  <si>
    <t>Use?</t>
  </si>
  <si>
    <t>Base Amount</t>
  </si>
  <si>
    <t>Use Subject-To Loan</t>
  </si>
  <si>
    <t>Selling Buyer Outside Financing Amount:</t>
  </si>
  <si>
    <t>Down payment is refinanced 1st mortgage:</t>
  </si>
  <si>
    <t>Selling Refinance 1st Mortgage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</si>
</sst>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quot;$&quot;#,##0.00;[Red]\-&quot;$&quot;#,##0.00;\-"/>
    <numFmt numFmtId="176" formatCode="&quot;$&quot;#,##0;[Red]\(&quot;$&quot;#,##0\);\-"/>
    <numFmt numFmtId="177" formatCode="\$#,##0"/>
    <numFmt numFmtId="178" formatCode=";;;"/>
    <numFmt numFmtId="179" formatCode="&quot;$&quot;#,##0.00;[Red]\(&quot;$&quot;#,##0.00\);\-"/>
  </numFmts>
  <fonts count="68"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
      <sz val="12"/>
      <color rgb="FF1F1F1F"/>
      <name val="Arial"/>
      <family val="2"/>
    </font>
    <font>
      <i/>
      <sz val="11"/>
      <color theme="1"/>
      <name val="Calibri"/>
      <family val="2"/>
      <scheme val="minor"/>
    </font>
    <font>
      <i/>
      <sz val="12"/>
      <color theme="1"/>
      <name val="Calibri"/>
      <family val="2"/>
      <scheme val="minor"/>
    </font>
    <font>
      <sz val="11"/>
      <color rgb="FFFFFF99"/>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102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5" fontId="0" fillId="0" borderId="5" xfId="0" applyNumberFormat="1" applyBorder="1"/>
    <xf numFmtId="175" fontId="0" fillId="0" borderId="0" xfId="0" applyNumberFormat="1"/>
    <xf numFmtId="175" fontId="0" fillId="0" borderId="7" xfId="0" applyNumberFormat="1" applyBorder="1"/>
    <xf numFmtId="175"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6" fontId="0" fillId="32" borderId="60" xfId="0" applyNumberFormat="1" applyFill="1" applyBorder="1" applyAlignment="1">
      <alignment horizontal="right" vertical="top" wrapText="1"/>
    </xf>
    <xf numFmtId="176" fontId="0" fillId="33" borderId="60" xfId="0" applyNumberFormat="1" applyFill="1" applyBorder="1" applyAlignment="1">
      <alignment horizontal="right" vertical="top" wrapText="1"/>
    </xf>
    <xf numFmtId="176"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6"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6" fontId="34" fillId="33" borderId="60" xfId="0" applyNumberFormat="1"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7"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7"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8"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64" fillId="0" borderId="0" xfId="0" applyFont="1"/>
    <xf numFmtId="0" fontId="1" fillId="0" borderId="28" xfId="0" applyFont="1" applyBorder="1" applyAlignment="1">
      <alignment horizontal="left" wrapText="1"/>
    </xf>
    <xf numFmtId="0" fontId="49" fillId="0" borderId="0" xfId="0" applyFont="1" applyAlignment="1">
      <alignment horizontal="left" wrapText="1"/>
    </xf>
    <xf numFmtId="0" fontId="50" fillId="0" borderId="0" xfId="0" applyFont="1" applyAlignment="1">
      <alignment horizontal="left" wrapText="1"/>
    </xf>
    <xf numFmtId="4" fontId="50" fillId="33" borderId="0" xfId="0" applyNumberFormat="1" applyFont="1" applyFill="1" applyAlignment="1">
      <alignment horizontal="left" wrapText="1"/>
    </xf>
    <xf numFmtId="0" fontId="50" fillId="0" borderId="0" xfId="0" applyFont="1" applyAlignment="1">
      <alignment wrapText="1"/>
    </xf>
    <xf numFmtId="0" fontId="46" fillId="2" borderId="0" xfId="0" applyFont="1" applyFill="1" applyAlignment="1">
      <alignment wrapText="1"/>
    </xf>
    <xf numFmtId="0" fontId="50" fillId="18" borderId="0" xfId="0" applyFont="1" applyFill="1" applyAlignment="1">
      <alignment horizontal="left" wrapText="1"/>
    </xf>
    <xf numFmtId="0" fontId="0" fillId="0" borderId="0" xfId="0" applyAlignment="1">
      <alignment horizontal="right" wrapText="1"/>
    </xf>
    <xf numFmtId="179" fontId="46" fillId="18" borderId="0" xfId="0" applyNumberFormat="1" applyFont="1" applyFill="1" applyAlignment="1">
      <alignment wrapText="1"/>
    </xf>
    <xf numFmtId="171" fontId="1" fillId="33" borderId="0" xfId="0" applyNumberFormat="1" applyFont="1" applyFill="1" applyAlignment="1">
      <alignment horizontal="right" wrapText="1"/>
    </xf>
    <xf numFmtId="14" fontId="50" fillId="33" borderId="0" xfId="0" applyNumberFormat="1" applyFont="1" applyFill="1" applyAlignment="1">
      <alignment horizontal="left" wrapText="1"/>
    </xf>
    <xf numFmtId="1" fontId="1" fillId="33" borderId="0" xfId="0" applyNumberFormat="1" applyFont="1" applyFill="1" applyAlignment="1">
      <alignment horizontal="right" wrapText="1"/>
    </xf>
    <xf numFmtId="0" fontId="65" fillId="0" borderId="28" xfId="0" applyFont="1" applyBorder="1" applyAlignment="1">
      <alignment horizontal="left" wrapText="1"/>
    </xf>
    <xf numFmtId="0" fontId="66" fillId="18" borderId="0" xfId="0" applyFont="1" applyFill="1" applyAlignment="1">
      <alignment horizontal="left" wrapText="1"/>
    </xf>
    <xf numFmtId="0" fontId="66" fillId="0" borderId="0" xfId="0" applyFont="1" applyAlignment="1">
      <alignment horizontal="left" wrapText="1"/>
    </xf>
    <xf numFmtId="38" fontId="50" fillId="18" borderId="0" xfId="0" applyNumberFormat="1" applyFont="1" applyFill="1" applyAlignment="1">
      <alignment horizontal="left" wrapText="1"/>
    </xf>
    <xf numFmtId="166" fontId="50" fillId="33" borderId="0" xfId="0" applyNumberFormat="1" applyFont="1" applyFill="1" applyAlignment="1">
      <alignment horizontal="left" wrapText="1"/>
    </xf>
    <xf numFmtId="166" fontId="50" fillId="18" borderId="0" xfId="0" applyNumberFormat="1" applyFont="1" applyFill="1" applyAlignment="1">
      <alignment horizontal="left" wrapText="1"/>
    </xf>
    <xf numFmtId="171" fontId="50" fillId="18" borderId="0" xfId="0" applyNumberFormat="1" applyFont="1" applyFill="1" applyAlignment="1">
      <alignment horizontal="left"/>
    </xf>
    <xf numFmtId="4" fontId="0" fillId="18" borderId="34" xfId="0" applyNumberFormat="1" applyFill="1" applyBorder="1"/>
    <xf numFmtId="173" fontId="1" fillId="32" borderId="2" xfId="0" applyNumberFormat="1" applyFont="1" applyFill="1" applyBorder="1" applyAlignment="1">
      <alignment horizontal="center"/>
    </xf>
    <xf numFmtId="173" fontId="67" fillId="32" borderId="4" xfId="0" applyNumberFormat="1" applyFont="1" applyFill="1" applyBorder="1" applyAlignment="1">
      <alignment horizontal="center"/>
    </xf>
    <xf numFmtId="173" fontId="67" fillId="32" borderId="6" xfId="0" applyNumberFormat="1" applyFont="1" applyFill="1" applyBorder="1" applyAlignment="1">
      <alignment horizontal="center"/>
    </xf>
    <xf numFmtId="164" fontId="34" fillId="33" borderId="60" xfId="0" applyNumberFormat="1" applyFont="1" applyFill="1" applyBorder="1" applyAlignment="1">
      <alignment vertical="top" wrapText="1"/>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0" fontId="0" fillId="18" borderId="35" xfId="0" applyFill="1" applyBorder="1"/>
    <xf numFmtId="3" fontId="1" fillId="32" borderId="34" xfId="0" applyNumberFormat="1"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1"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3" fontId="1" fillId="0" borderId="9" xfId="0" applyNumberFormat="1" applyFont="1" applyBorder="1" applyAlignment="1">
      <alignment horizontal="right"/>
    </xf>
    <xf numFmtId="0" fontId="0" fillId="0" borderId="3" xfId="0" applyBorder="1"/>
    <xf numFmtId="0" fontId="1" fillId="0" borderId="34" xfId="0" applyFont="1" applyBorder="1" applyAlignment="1">
      <alignment horizontal="right"/>
    </xf>
    <xf numFmtId="0" fontId="0" fillId="0" borderId="35" xfId="0" applyBorder="1"/>
    <xf numFmtId="0" fontId="0" fillId="0" borderId="36" xfId="0" applyBorder="1"/>
    <xf numFmtId="3" fontId="0" fillId="2" borderId="34" xfId="0" applyNumberFormat="1" applyFill="1" applyBorder="1"/>
    <xf numFmtId="3" fontId="0" fillId="0" borderId="35" xfId="0" applyNumberFormat="1" applyBorder="1"/>
    <xf numFmtId="10" fontId="0" fillId="2" borderId="34" xfId="0" applyNumberFormat="1" applyFill="1" applyBorder="1"/>
    <xf numFmtId="10" fontId="0" fillId="0" borderId="35" xfId="0" applyNumberFormat="1" applyBorder="1"/>
    <xf numFmtId="3" fontId="0" fillId="18" borderId="34" xfId="0" applyNumberFormat="1" applyFill="1" applyBorder="1"/>
    <xf numFmtId="3" fontId="0" fillId="18" borderId="35" xfId="0" applyNumberFormat="1" applyFill="1" applyBorder="1"/>
    <xf numFmtId="4" fontId="0" fillId="2" borderId="34" xfId="0" applyNumberFormat="1" applyFill="1" applyBorder="1"/>
    <xf numFmtId="4" fontId="0" fillId="0" borderId="35" xfId="0" applyNumberFormat="1" applyBorder="1"/>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4" fontId="1" fillId="0" borderId="2" xfId="0" applyNumberFormat="1" applyFont="1" applyBorder="1" applyAlignment="1">
      <alignment horizontal="right"/>
    </xf>
    <xf numFmtId="0" fontId="0" fillId="0" borderId="9" xfId="0" applyBorder="1"/>
    <xf numFmtId="4" fontId="1" fillId="0" borderId="4" xfId="0" applyNumberFormat="1" applyFont="1" applyBorder="1" applyAlignment="1">
      <alignment horizontal="right"/>
    </xf>
    <xf numFmtId="0" fontId="0" fillId="0" borderId="0" xfId="0"/>
    <xf numFmtId="0" fontId="0" fillId="0" borderId="5" xfId="0" applyBorder="1"/>
    <xf numFmtId="4" fontId="1" fillId="0" borderId="6" xfId="0" applyNumberFormat="1" applyFont="1" applyBorder="1" applyAlignment="1">
      <alignment horizontal="right"/>
    </xf>
    <xf numFmtId="0" fontId="0" fillId="0" borderId="1" xfId="0" applyBorder="1"/>
    <xf numFmtId="0" fontId="0" fillId="0" borderId="7" xfId="0" applyBorder="1"/>
    <xf numFmtId="173" fontId="1" fillId="32" borderId="9" xfId="0" applyNumberFormat="1" applyFont="1" applyFill="1" applyBorder="1" applyAlignment="1">
      <alignment horizontal="center"/>
    </xf>
    <xf numFmtId="0" fontId="0" fillId="0" borderId="3" xfId="0" applyBorder="1" applyAlignment="1">
      <alignment horizontal="center"/>
    </xf>
    <xf numFmtId="4" fontId="0" fillId="2" borderId="0" xfId="0" applyNumberFormat="1" applyFill="1"/>
    <xf numFmtId="173" fontId="1" fillId="32" borderId="1" xfId="0" applyNumberFormat="1" applyFont="1" applyFill="1" applyBorder="1" applyAlignment="1">
      <alignment horizontal="center"/>
    </xf>
    <xf numFmtId="0" fontId="0" fillId="0" borderId="7" xfId="0" applyBorder="1" applyAlignment="1">
      <alignment horizontal="center"/>
    </xf>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3" fontId="15" fillId="3" borderId="0" xfId="0" applyNumberFormat="1" applyFont="1" applyFill="1"/>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5" fillId="3" borderId="6" xfId="0" applyFont="1" applyFill="1" applyBorder="1" applyAlignment="1">
      <alignment horizontal="right"/>
    </xf>
    <xf numFmtId="0" fontId="15" fillId="3" borderId="1" xfId="0" applyFont="1" applyFill="1" applyBorder="1" applyAlignment="1">
      <alignment horizontal="right"/>
    </xf>
    <xf numFmtId="164" fontId="15" fillId="3" borderId="47" xfId="0" applyNumberFormat="1" applyFont="1" applyFill="1" applyBorder="1"/>
    <xf numFmtId="164" fontId="15" fillId="3" borderId="46" xfId="0" applyNumberFormat="1" applyFont="1" applyFill="1" applyBorder="1"/>
    <xf numFmtId="0" fontId="15" fillId="3" borderId="2" xfId="0" applyFont="1" applyFill="1" applyBorder="1" applyAlignment="1">
      <alignment horizontal="right"/>
    </xf>
    <xf numFmtId="0" fontId="14" fillId="3" borderId="9" xfId="0" applyFont="1" applyFill="1" applyBorder="1"/>
    <xf numFmtId="3" fontId="15" fillId="3" borderId="36" xfId="0" applyNumberFormat="1" applyFont="1" applyFill="1" applyBorder="1"/>
    <xf numFmtId="3" fontId="15" fillId="3" borderId="1" xfId="0" applyNumberFormat="1" applyFont="1" applyFill="1" applyBorder="1"/>
    <xf numFmtId="164" fontId="15" fillId="3" borderId="6" xfId="0" applyNumberFormat="1" applyFont="1" applyFill="1" applyBorder="1"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5" fillId="0" borderId="34" xfId="0" applyFont="1" applyBorder="1" applyAlignment="1">
      <alignment horizontal="center"/>
    </xf>
    <xf numFmtId="0" fontId="1" fillId="0" borderId="35" xfId="0" applyFont="1" applyBorder="1" applyAlignment="1">
      <alignment horizont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164" fontId="14" fillId="0" borderId="1" xfId="0" applyNumberFormat="1" applyFont="1" applyBorder="1"/>
    <xf numFmtId="0" fontId="14" fillId="0" borderId="1" xfId="0" applyFont="1" applyBorder="1"/>
    <xf numFmtId="0" fontId="14" fillId="3" borderId="0" xfId="0" applyFont="1" applyFill="1" applyAlignment="1">
      <alignment horizontal="right"/>
    </xf>
    <xf numFmtId="0" fontId="0" fillId="3" borderId="0" xfId="0" applyFill="1"/>
    <xf numFmtId="0" fontId="14" fillId="23" borderId="0" xfId="0" applyFont="1" applyFill="1" applyAlignment="1">
      <alignment horizontal="right"/>
    </xf>
    <xf numFmtId="0" fontId="0" fillId="23" borderId="0" xfId="0" applyFill="1"/>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0" borderId="0" xfId="0" applyFont="1" applyAlignment="1">
      <alignment horizontal="center"/>
    </xf>
    <xf numFmtId="0" fontId="15" fillId="0" borderId="9" xfId="0" applyFont="1" applyBorder="1" applyAlignment="1">
      <alignment horizontal="center"/>
    </xf>
    <xf numFmtId="0" fontId="61" fillId="0" borderId="34" xfId="0" applyFont="1" applyBorder="1" applyAlignment="1">
      <alignment horizontal="center" wrapText="1"/>
    </xf>
    <xf numFmtId="0" fontId="62" fillId="0" borderId="35" xfId="0" applyFont="1" applyBorder="1" applyAlignment="1">
      <alignment horizontal="center"/>
    </xf>
    <xf numFmtId="3" fontId="14" fillId="0" borderId="1" xfId="0" applyNumberFormat="1" applyFont="1" applyBorder="1"/>
    <xf numFmtId="0" fontId="1" fillId="2" borderId="36" xfId="0" applyFont="1" applyFill="1" applyBorder="1" applyAlignment="1">
      <alignment horizontal="center"/>
    </xf>
    <xf numFmtId="0" fontId="15" fillId="0" borderId="0" xfId="0" applyFont="1" applyAlignment="1">
      <alignment horizontal="right"/>
    </xf>
    <xf numFmtId="0" fontId="14" fillId="0" borderId="0" xfId="0" applyFont="1"/>
    <xf numFmtId="3" fontId="14" fillId="18" borderId="34" xfId="0" applyNumberFormat="1" applyFont="1" applyFill="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5" fillId="3" borderId="4" xfId="0" applyNumberFormat="1" applyFont="1" applyFill="1" applyBorder="1" applyAlignment="1">
      <alignment horizontal="right"/>
    </xf>
    <xf numFmtId="164" fontId="14" fillId="2" borderId="4" xfId="0" applyNumberFormat="1" applyFont="1" applyFill="1" applyBorder="1"/>
    <xf numFmtId="0" fontId="14" fillId="2" borderId="7" xfId="0"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3" fontId="14" fillId="2" borderId="4" xfId="0" applyNumberFormat="1" applyFont="1" applyFill="1" applyBorder="1"/>
    <xf numFmtId="3" fontId="14" fillId="2" borderId="5" xfId="0" applyNumberFormat="1" applyFont="1" applyFill="1" applyBorder="1"/>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2" borderId="6" xfId="0" applyNumberFormat="1" applyFont="1" applyFill="1" applyBorder="1"/>
    <xf numFmtId="3" fontId="14" fillId="2" borderId="7"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0" borderId="1" xfId="0" applyFont="1" applyBorder="1" applyAlignment="1">
      <alignment horizontal="center"/>
    </xf>
    <xf numFmtId="0" fontId="14" fillId="0" borderId="0" xfId="0" applyFont="1" applyAlignment="1">
      <alignment horizontal="right"/>
    </xf>
    <xf numFmtId="164" fontId="14" fillId="0" borderId="11" xfId="0" applyNumberFormat="1" applyFont="1" applyBorder="1"/>
    <xf numFmtId="0" fontId="14" fillId="0" borderId="12" xfId="0" applyFont="1" applyBorder="1"/>
    <xf numFmtId="0" fontId="15" fillId="9" borderId="4"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58" xfId="0" applyFont="1" applyFill="1" applyBorder="1" applyAlignment="1">
      <alignment horizontal="center" vertical="center" wrapText="1"/>
    </xf>
    <xf numFmtId="0" fontId="0" fillId="0" borderId="59" xfId="0" applyBorder="1"/>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15" fillId="3" borderId="2" xfId="0" applyFont="1" applyFill="1" applyBorder="1" applyAlignment="1">
      <alignment horizontal="center" vertical="center" wrapText="1"/>
    </xf>
    <xf numFmtId="0" fontId="0" fillId="0" borderId="4" xfId="0" applyBorder="1"/>
    <xf numFmtId="0" fontId="0" fillId="0" borderId="6" xfId="0" applyBorder="1"/>
    <xf numFmtId="0" fontId="29" fillId="2" borderId="34" xfId="0" applyFont="1" applyFill="1" applyBorder="1" applyAlignment="1">
      <alignment horizontal="center" vertical="center"/>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0" fontId="15" fillId="9" borderId="2" xfId="0" applyFont="1" applyFill="1" applyBorder="1" applyAlignment="1">
      <alignment horizontal="right" vertical="center" wrapText="1"/>
    </xf>
    <xf numFmtId="0" fontId="14" fillId="9" borderId="4" xfId="0" applyFont="1" applyFill="1" applyBorder="1" applyAlignment="1">
      <alignment horizontal="right" vertical="center" wrapText="1"/>
    </xf>
    <xf numFmtId="14" fontId="14" fillId="2" borderId="34" xfId="0" applyNumberFormat="1" applyFont="1" applyFill="1" applyBorder="1" applyAlignment="1">
      <alignment horizontal="center" vertical="center"/>
    </xf>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1" fillId="18" borderId="4" xfId="0" applyFont="1" applyFill="1" applyBorder="1" applyAlignment="1">
      <alignment horizontal="center"/>
    </xf>
    <xf numFmtId="0" fontId="1" fillId="18" borderId="0" xfId="0" applyFont="1" applyFill="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5"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4" fontId="0" fillId="0" borderId="2" xfId="0" applyNumberFormat="1" applyBorder="1" applyAlignment="1">
      <alignment horizontal="right" vertical="center" wrapText="1"/>
    </xf>
    <xf numFmtId="0" fontId="0" fillId="0" borderId="9" xfId="0" applyBorder="1" applyAlignment="1">
      <alignment vertical="center"/>
    </xf>
    <xf numFmtId="0" fontId="0" fillId="0" borderId="3" xfId="0" applyBorder="1" applyAlignment="1"/>
    <xf numFmtId="0" fontId="0" fillId="0" borderId="6" xfId="0" applyBorder="1" applyAlignment="1"/>
    <xf numFmtId="0" fontId="0" fillId="0" borderId="1" xfId="0" applyBorder="1" applyAlignment="1"/>
    <xf numFmtId="0" fontId="0" fillId="0" borderId="7" xfId="0" applyBorder="1" applyAlignment="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CheckBox" checked="Checked" fmlaLink="$W$2" lockText="1"/>
</file>

<file path=xl/ctrlProps/ctrlProp14.xml><?xml version="1.0" encoding="utf-8"?>
<formControlPr xmlns="http://schemas.microsoft.com/office/spreadsheetml/2009/9/main" objectType="CheckBox" fmlaLink="$W$3" lockText="1"/>
</file>

<file path=xl/ctrlProps/ctrlProp15.xml><?xml version="1.0" encoding="utf-8"?>
<formControlPr xmlns="http://schemas.microsoft.com/office/spreadsheetml/2009/9/main" objectType="CheckBox" fmlaLink="$W$4" lockText="1"/>
</file>

<file path=xl/ctrlProps/ctrlProp16.xml><?xml version="1.0" encoding="utf-8"?>
<formControlPr xmlns="http://schemas.microsoft.com/office/spreadsheetml/2009/9/main" objectType="CheckBox" checked="Checked" fmlaLink="Amortization!$G$4" lockText="1" noThreeD="1"/>
</file>

<file path=xl/ctrlProps/ctrlProp17.xml><?xml version="1.0" encoding="utf-8"?>
<formControlPr xmlns="http://schemas.microsoft.com/office/spreadsheetml/2009/9/main" objectType="Radio" firstButton="1" fmlaLink="$J$1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fmlaLink="$L$14" lockText="1" noThreeD="1"/>
</file>

<file path=xl/ctrlProps/ctrlProp20.xml><?xml version="1.0" encoding="utf-8"?>
<formControlPr xmlns="http://schemas.microsoft.com/office/spreadsheetml/2009/9/main" objectType="CheckBox" fmlaLink="$L$15" lockText="1" noThreeD="1"/>
</file>

<file path=xl/ctrlProps/ctrlProp21.xml><?xml version="1.0" encoding="utf-8"?>
<formControlPr xmlns="http://schemas.microsoft.com/office/spreadsheetml/2009/9/main" objectType="CheckBox" fmlaLink="$L$16" lockText="1" noThreeD="1"/>
</file>

<file path=xl/ctrlProps/ctrlProp22.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xdr:row>
          <xdr:rowOff>19050</xdr:rowOff>
        </xdr:from>
        <xdr:to>
          <xdr:col>22</xdr:col>
          <xdr:colOff>342900</xdr:colOff>
          <xdr:row>2</xdr:row>
          <xdr:rowOff>28575</xdr:rowOff>
        </xdr:to>
        <xdr:sp macro="" textlink="">
          <xdr:nvSpPr>
            <xdr:cNvPr id="100356" name="chkUseInsuranceEscrow" hidden="1">
              <a:extLst>
                <a:ext uri="{63B3BB69-23CF-44E3-9099-C40C66FF867C}">
                  <a14:compatExt spid="_x0000_s100356"/>
                </a:ext>
                <a:ext uri="{FF2B5EF4-FFF2-40B4-BE49-F238E27FC236}">
                  <a16:creationId xmlns:a16="http://schemas.microsoft.com/office/drawing/2014/main" id="{00000000-0008-0000-0100-000004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2</xdr:row>
          <xdr:rowOff>19050</xdr:rowOff>
        </xdr:from>
        <xdr:to>
          <xdr:col>22</xdr:col>
          <xdr:colOff>342900</xdr:colOff>
          <xdr:row>3</xdr:row>
          <xdr:rowOff>28575</xdr:rowOff>
        </xdr:to>
        <xdr:sp macro="" textlink="">
          <xdr:nvSpPr>
            <xdr:cNvPr id="100357" name="chkUsePropertyTaxEscrow" hidden="1">
              <a:extLst>
                <a:ext uri="{63B3BB69-23CF-44E3-9099-C40C66FF867C}">
                  <a14:compatExt spid="_x0000_s100357"/>
                </a:ext>
                <a:ext uri="{FF2B5EF4-FFF2-40B4-BE49-F238E27FC236}">
                  <a16:creationId xmlns:a16="http://schemas.microsoft.com/office/drawing/2014/main" id="{00000000-0008-0000-0100-000005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3</xdr:row>
          <xdr:rowOff>19050</xdr:rowOff>
        </xdr:from>
        <xdr:to>
          <xdr:col>22</xdr:col>
          <xdr:colOff>342900</xdr:colOff>
          <xdr:row>4</xdr:row>
          <xdr:rowOff>28575</xdr:rowOff>
        </xdr:to>
        <xdr:sp macro="" textlink="">
          <xdr:nvSpPr>
            <xdr:cNvPr id="100358" name="chkUseSubjectToLoan" hidden="1">
              <a:extLst>
                <a:ext uri="{63B3BB69-23CF-44E3-9099-C40C66FF867C}">
                  <a14:compatExt spid="_x0000_s100358"/>
                </a:ext>
                <a:ext uri="{FF2B5EF4-FFF2-40B4-BE49-F238E27FC236}">
                  <a16:creationId xmlns:a16="http://schemas.microsoft.com/office/drawing/2014/main" id="{00000000-0008-0000-0100-000006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3</xdr:row>
          <xdr:rowOff>9525</xdr:rowOff>
        </xdr:from>
        <xdr:to>
          <xdr:col>8</xdr:col>
          <xdr:colOff>381000</xdr:colOff>
          <xdr:row>4</xdr:row>
          <xdr:rowOff>19050</xdr:rowOff>
        </xdr:to>
        <xdr:sp macro="" textlink="">
          <xdr:nvSpPr>
            <xdr:cNvPr id="100360" name="chkRefi1st" hidden="1">
              <a:extLst>
                <a:ext uri="{63B3BB69-23CF-44E3-9099-C40C66FF867C}">
                  <a14:compatExt spid="_x0000_s100360"/>
                </a:ext>
                <a:ext uri="{FF2B5EF4-FFF2-40B4-BE49-F238E27FC236}">
                  <a16:creationId xmlns:a16="http://schemas.microsoft.com/office/drawing/2014/main" id="{00000000-0008-0000-0100-000008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14</xdr:row>
          <xdr:rowOff>28575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28575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32" headerRowBorderDxfId="131">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30"/>
    <tableColumn id="2" xr3:uid="{97169920-9E20-46B0-9275-CDB69F2B7E20}" name="Beg" dataDxfId="129"/>
    <tableColumn id="3" xr3:uid="{29B13418-7AB5-4BED-8938-1AFD73584620}" name="Payment" dataDxfId="128"/>
    <tableColumn id="4" xr3:uid="{59D98215-D250-4E98-B28F-28E8FEF5B704}" name="Princ" dataDxfId="127"/>
    <tableColumn id="5" xr3:uid="{CA09D9DD-EDE2-4CFD-9E21-030519667110}" name="Int" dataDxfId="126"/>
    <tableColumn id="6" xr3:uid="{EDF5A829-F409-40AE-89E2-E8CB9B5D0FF4}" name="Ins" dataDxfId="125"/>
    <tableColumn id="7" xr3:uid="{589E968B-91B9-4913-8C3D-42359D5891E7}" name="Taxes" dataDxfId="124"/>
    <tableColumn id="8" xr3:uid="{08030123-3EE6-4201-B7FB-4B90DBAD70D8}" name="Total " dataDxfId="123"/>
    <tableColumn id="9" xr3:uid="{B55DFD4A-3AC5-40B7-8DCD-59805B6DBFDB}" name="Principal" dataDxfId="122"/>
    <tableColumn id="10" xr3:uid="{6B0DA8E4-1B75-412D-9DAC-6338B0794CBF}" name="Interest" dataDxfId="121"/>
    <tableColumn id="11" xr3:uid="{F8CE94A6-5C5E-4EDE-B208-4DCC524F986E}" name="Balance" dataDxfId="120"/>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9" dataDxfId="117" headerRowBorderDxfId="118" tableBorderDxfId="116">
  <autoFilter ref="L19:M833" xr:uid="{73D951D4-A168-44D6-974D-EBA44A3BA7B6}">
    <filterColumn colId="0" hiddenButton="1"/>
    <filterColumn colId="1" hiddenButton="1"/>
  </autoFilter>
  <tableColumns count="2">
    <tableColumn id="1" xr3:uid="{CCF10384-7D00-426D-996F-822402246933}" name="Year" dataDxfId="115"/>
    <tableColumn id="2" xr3:uid="{147517BE-5732-44A7-974A-14DAE4109340}" name="Period" dataDxfId="114">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13" headerRowBorderDxfId="112">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11">
      <calculatedColumnFormula>INDEX(tblSubjectToLoan[Date],ROW()-ROW(tblContractForDeed[#Headers]))</calculatedColumnFormula>
    </tableColumn>
    <tableColumn id="2" xr3:uid="{ECB873B5-C083-4C40-8069-B9E5F8698705}" name="Beg" dataDxfId="110">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9">
      <calculatedColumnFormula>IF(tblContractForDeed[[#This Row],[Date]]="","",IF(tblContractForDeed[[#This Row],[Date]]&lt;cfdRateChangeDate,cfdRate1,cfdRate2))</calculatedColumnFormula>
    </tableColumn>
    <tableColumn id="4" xr3:uid="{1636A52E-B78B-4971-A350-27AAF73BE8AB}" name="Payment" dataDxfId="108">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7">
      <calculatedColumnFormula>IF(tblContractForDeed[[#This Row],[Payment]]=0,0,MAX(0,MIN(tblContractForDeed[[#This Row],[Beg]],tblContractForDeed[[#This Row],[Payment]]-tblContractForDeed[[#This Row],[Int]])))</calculatedColumnFormula>
    </tableColumn>
    <tableColumn id="6" xr3:uid="{333AB5D2-CFCA-47CE-BEB7-DEC4603F289D}" name="Int" dataDxfId="106">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5">
      <calculatedColumnFormula>IF(tblContractForDeed[[#This Row],[Payment]]=0,0,$V$2)</calculatedColumnFormula>
    </tableColumn>
    <tableColumn id="8" xr3:uid="{953DECD1-A993-404F-BB01-67C5B5235815}" name="Taxes" dataDxfId="104">
      <calculatedColumnFormula>IF(tblContractForDeed[[#This Row],[Princ]]=0,0,$V$3)</calculatedColumnFormula>
    </tableColumn>
    <tableColumn id="9" xr3:uid="{61523046-F564-451D-8252-202BB1589694}" name="Total" dataDxfId="103">
      <calculatedColumnFormula>SUM(tblContractForDeed[[#This Row],[Princ]],tblContractForDeed[[#This Row],[Int]],tblContractForDeed[[#This Row],[Ins]],tblContractForDeed[[#This Row],[Taxes]])</calculatedColumnFormula>
    </tableColumn>
    <tableColumn id="10" xr3:uid="{0044FA08-9081-4FAC-B454-F81C52BDD807}" name="Cumul Princ" dataDxfId="102">
      <calculatedColumnFormula>SUM(INDEX(tblContractForDeed[Princ],1):INDEX(tblContractForDeed[Princ],ROW()-ROW(tblContractForDeed[#Headers])))</calculatedColumnFormula>
    </tableColumn>
    <tableColumn id="11" xr3:uid="{E4D2C53C-A408-49FE-BA58-469487DDF7C4}" name="End Bal" dataDxfId="101">
      <calculatedColumnFormula>IF(tblContractForDeed[[#This Row],[Beg]]&lt;=0,0,tblContractForDeed[[#This Row],[Beg]]-tblContractForDeed[[#This Row],[Princ]])</calculatedColumnFormula>
    </tableColumn>
    <tableColumn id="12" xr3:uid="{4416FB9A-4A9F-4AF7-9D43-BF28E4CF4E75}" name="Period" dataDxfId="100">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9" headerRowBorderDxfId="98" tableBorderDxfId="97">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6">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5"/>
    <tableColumn id="4" xr3:uid="{226D6180-901A-48F0-9597-8830FAEE2FB1}" name="Monthly Cash Flow" dataDxfId="94">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93">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92">
      <calculatedColumnFormula>IF(INDEX(tblContractForDeed[End Bal],ROW()-ROW(tblBuyerOutputs[#Headers]))&lt;=0,0,($O$6+IF(ROW()=ROW(tblBuyerOutputs[#Headers])+1,0,INDEX(tblBuyerOutputs[Cumul Appr],ROW()-ROW(tblBuyerOutputs[#Headers])-1)))*#REF!/12)</calculatedColumnFormula>
    </tableColumn>
    <tableColumn id="7" xr3:uid="{2E8EC801-E3A2-48C6-8CC4-5406785A0C91}" name="Cumul Appr" dataDxfId="91">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90"/>
    <tableColumn id="4" xr3:uid="{190BD60E-30EC-4E24-9935-E2190E0233E5}" name="Vendor"/>
    <tableColumn id="5" xr3:uid="{0EEF483C-D90C-4BD2-8F3B-5458E833A4F6}" name="Description"/>
    <tableColumn id="6" xr3:uid="{B6FEFB87-38EC-4F40-A491-700E378F77FA}" name="Amount" dataDxfId="89"/>
    <tableColumn id="7" xr3:uid="{3C0463BE-769E-4291-834E-CBEDED63E449}" name="Source"/>
    <tableColumn id="8" xr3:uid="{DC4DDB7E-B6A8-4ACA-BF15-72944CBFA858}" name="Invoice #" dataDxfId="88"/>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87" headerRowBorderDxfId="86">
  <autoFilter ref="A11:E55" xr:uid="{E8A9C9B7-BAF7-4CAB-9067-DC10D354858C}"/>
  <tableColumns count="5">
    <tableColumn id="1" xr3:uid="{9A4F1599-587C-4C12-AC23-D5B3879D1321}" name="Cost Code" dataDxfId="85"/>
    <tableColumn id="2" xr3:uid="{3ACCA719-70D2-4F0D-A8A3-69AE3272D3C1}" name="Title" dataDxfId="84"/>
    <tableColumn id="3" xr3:uid="{661FF8D2-2D43-4F8B-B73F-EC14A34B7050}" name="Description" dataDxfId="83"/>
    <tableColumn id="5" xr3:uid="{96319F4C-C120-4B14-BEB7-1D271C147258}" name="Qty" dataDxfId="82"/>
    <tableColumn id="6" xr3:uid="{CAFF8447-B9F2-4425-B2CD-C62CE1EB051F}" name="Unit Price" dataDxfId="81"/>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80" dataDxfId="79">
  <autoFilter ref="A4:N48" xr:uid="{4A34AA4E-C13A-41A2-95E8-83E7E9409806}"/>
  <tableColumns count="14">
    <tableColumn id="8" xr3:uid="{96E49A5C-5367-4ACB-B14D-E01CC163A0F1}" uniqueName="8" name="Party" queryTableFieldId="8" dataDxfId="78">
      <calculatedColumnFormula>+IF(FromProposal[[#This Row],[Cost Code]]&lt;&gt;0,+'Gnatt Chart'!$A$2,"")</calculatedColumnFormula>
    </tableColumn>
    <tableColumn id="1" xr3:uid="{6ADBCE42-4844-4052-8DB6-AB34AD671DD5}" uniqueName="1" name="Item" queryTableFieldId="15" dataDxfId="77"/>
    <tableColumn id="2" xr3:uid="{33F8A9BB-342C-4F7D-B125-F381BCB77C64}" uniqueName="2" name="Cost Code" queryTableFieldId="2" dataDxfId="76"/>
    <tableColumn id="3" xr3:uid="{EAE8FFCB-2C04-49B6-85CD-78C67097E902}" uniqueName="3" name="Title" queryTableFieldId="3" dataDxfId="75"/>
    <tableColumn id="4" xr3:uid="{439B82DD-03F8-428D-9245-8543A46F29DC}" uniqueName="4" name="Description" queryTableFieldId="4" dataDxfId="74"/>
    <tableColumn id="5" xr3:uid="{1E080297-D531-4180-92D4-1B19AACF49C1}" uniqueName="5" name="Qty" queryTableFieldId="5" dataDxfId="73"/>
    <tableColumn id="6" xr3:uid="{575B5FBE-3F82-40CD-8A54-810E146EF82F}" uniqueName="6" name="Unit Price" queryTableFieldId="6" dataDxfId="72"/>
    <tableColumn id="7" xr3:uid="{766B7F26-7C49-427A-A617-067C40444D87}" uniqueName="7" name="Price" queryTableFieldId="7" dataDxfId="71"/>
    <tableColumn id="9" xr3:uid="{A5701DF5-B99B-45EC-8FC5-7061E5C93440}" uniqueName="9" name="Done" queryTableFieldId="17" dataDxfId="70"/>
    <tableColumn id="14" xr3:uid="{1C4B67EF-B985-4B9A-9327-556AFBB5C4A1}" uniqueName="14" name="Group Order" queryTableFieldId="20" dataDxfId="69"/>
    <tableColumn id="12" xr3:uid="{A3E3248C-A9FB-45EA-9F9E-83897992215A}" uniqueName="12" name="Start Date" queryTableFieldId="12" dataDxfId="68"/>
    <tableColumn id="15" xr3:uid="{E31CECDC-7A24-4472-8474-4283CEDBD8FC}" uniqueName="15" name="Days" queryTableFieldId="14" dataDxfId="67"/>
    <tableColumn id="10" xr3:uid="{3EA3D46A-2606-48C3-B90D-0603A94FFB2E}" uniqueName="10" name="Paid" queryTableFieldId="18" dataDxfId="66"/>
    <tableColumn id="13" xr3:uid="{7268DDA6-B96D-499B-92E4-F124E0D116A3}" uniqueName="13" name="Notes" queryTableFieldId="19" dataDxfId="65"/>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64" dataDxfId="63">
  <sortState xmlns:xlrd2="http://schemas.microsoft.com/office/spreadsheetml/2017/richdata2" ref="A28:O71">
    <sortCondition ref="J28:J81"/>
    <sortCondition ref="K28:K81"/>
  </sortState>
  <tableColumns count="15">
    <tableColumn id="106" xr3:uid="{88C796C4-2105-4C93-8E7A-CCEA28B0DF71}" uniqueName="106" name="Party" queryTableFieldId="1" dataDxfId="62"/>
    <tableColumn id="107" xr3:uid="{541F33A4-C6A3-44C5-81DB-FAA61B7F72AB}" uniqueName="107" name="Item" queryTableFieldId="2" dataDxfId="61"/>
    <tableColumn id="108" xr3:uid="{3AE45ADE-D247-428D-BB07-058C3457BF76}" uniqueName="108" name="Cost Code" queryTableFieldId="3" dataDxfId="60"/>
    <tableColumn id="109" xr3:uid="{B0D5185D-6AD1-4E8D-B845-F1898A9538BA}" uniqueName="109" name="Title" queryTableFieldId="4" dataDxfId="59"/>
    <tableColumn id="110" xr3:uid="{BF5C7BBF-561F-458E-BF23-5B7C697DF8C9}" uniqueName="110" name="Description" queryTableFieldId="5" dataDxfId="58"/>
    <tableColumn id="111" xr3:uid="{F21AE756-8924-4878-8615-262AB0D00519}" uniqueName="111" name="Qty" queryTableFieldId="6" dataDxfId="57"/>
    <tableColumn id="112" xr3:uid="{0CD8A8A4-BACC-44F4-93A1-F713A821F322}" uniqueName="112" name="Unit Price" queryTableFieldId="7" dataDxfId="56"/>
    <tableColumn id="113" xr3:uid="{26C57DEB-9347-43DE-B22B-A524ED52F9F1}" uniqueName="113" name="Price" queryTableFieldId="8" dataDxfId="55"/>
    <tableColumn id="114" xr3:uid="{EBDB1F65-628C-4940-9612-1C3FD8569DC1}" uniqueName="114" name="Done" queryTableFieldId="9" dataDxfId="54"/>
    <tableColumn id="115" xr3:uid="{12EEE598-AD5C-449D-9592-F3BFFA8A06FB}" uniqueName="115" name="Group Order" queryTableFieldId="10" dataDxfId="53"/>
    <tableColumn id="116" xr3:uid="{C6321B43-2488-4F52-A140-04EF16631EAF}" uniqueName="116" name="Start Date" queryTableFieldId="11" dataDxfId="52"/>
    <tableColumn id="117" xr3:uid="{E22A3266-2A40-492B-9764-940B22EBAEF6}" uniqueName="117" name="Days" queryTableFieldId="12" dataDxfId="51"/>
    <tableColumn id="118" xr3:uid="{DA6448B5-75FA-40C7-BF8D-CB99AC089926}" uniqueName="118" name="Paid" queryTableFieldId="13" dataDxfId="50"/>
    <tableColumn id="3" xr3:uid="{0EAEDA6D-3B4A-4D63-BCE1-6489307C3CA2}" uniqueName="3" name="Due" queryTableFieldId="23" dataDxfId="49"/>
    <tableColumn id="1" xr3:uid="{67811F05-1AA8-4D00-9800-87B33F8463CE}" uniqueName="1" name="Notes" queryTableFieldId="24" dataDxfId="48"/>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47">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46"/>
    <tableColumn id="16" xr3:uid="{2E21600F-1D2E-4263-85CB-0D780BA42B26}" uniqueName="16" name="Description" queryTableFieldId="16" dataDxfId="45"/>
    <tableColumn id="4" xr3:uid="{089042D1-0A79-42D2-9FB4-550A2F42688C}" uniqueName="4" name="Order" queryTableFieldId="24"/>
    <tableColumn id="11" xr3:uid="{6FD6A57A-45C8-406C-9809-1268DBB2B9B0}" uniqueName="11" name="Start Date" queryTableFieldId="11" dataDxfId="39"/>
    <tableColumn id="3" xr3:uid="{5EC4595E-174D-4F70-976B-3F65280A553E}" uniqueName="3" name="Price" queryTableFieldId="22" dataDxfId="38"/>
    <tableColumn id="9" xr3:uid="{AF672E56-69B2-45E3-9B51-49B71E4850F5}" uniqueName="9" name="Done" queryTableFieldId="9" dataDxfId="4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4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4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4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13.xml"/><Relationship Id="rId12"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11" Type="http://schemas.openxmlformats.org/officeDocument/2006/relationships/table" Target="../tables/table1.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3.vml"/><Relationship Id="rId7" Type="http://schemas.openxmlformats.org/officeDocument/2006/relationships/ctrlProp" Target="../ctrlProps/ctrlProp2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 activePane="bottomRight" state="frozen"/>
      <selection pane="topRight" activeCell="C1" sqref="C1:E1"/>
      <selection pane="bottomLeft" activeCell="C1" sqref="C1:E1"/>
      <selection pane="bottomRight" activeCell="R51" sqref="R51"/>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625</v>
      </c>
      <c r="B1" s="545" t="str">
        <f>IF(E1=1,"Flip","")</f>
        <v/>
      </c>
      <c r="C1" s="545" t="str">
        <f>IF(E1=2,"Hold","")</f>
        <v/>
      </c>
      <c r="D1" s="545" t="str">
        <f>IF(E1=3,"Slow Flip","")</f>
        <v>Slow Flip</v>
      </c>
      <c r="E1" s="580">
        <v>3</v>
      </c>
      <c r="F1" s="858" t="s">
        <v>826</v>
      </c>
      <c r="G1" s="672"/>
      <c r="H1" s="672"/>
      <c r="I1" s="672"/>
      <c r="J1" s="672"/>
      <c r="K1" s="672"/>
      <c r="L1" s="672"/>
      <c r="M1" s="673"/>
      <c r="N1" s="850" t="s">
        <v>1158</v>
      </c>
      <c r="O1" s="851"/>
      <c r="S1" s="835" t="s">
        <v>627</v>
      </c>
      <c r="T1" s="717"/>
      <c r="U1" s="717"/>
      <c r="V1" s="717"/>
      <c r="W1" s="37" t="b">
        <v>0</v>
      </c>
    </row>
    <row r="2" spans="1:27" ht="16.5" customHeight="1" thickBot="1" x14ac:dyDescent="0.3">
      <c r="A2" s="113"/>
      <c r="B2" s="798" t="s">
        <v>710</v>
      </c>
      <c r="C2" s="799"/>
      <c r="D2" s="799"/>
      <c r="E2" s="789" t="s">
        <v>711</v>
      </c>
      <c r="F2" s="726"/>
      <c r="G2" s="592" t="s">
        <v>712</v>
      </c>
      <c r="H2" s="593"/>
      <c r="I2" s="593"/>
      <c r="J2" s="593"/>
      <c r="K2" s="593"/>
      <c r="L2" s="838" t="s">
        <v>1</v>
      </c>
      <c r="M2" s="846">
        <v>45715</v>
      </c>
      <c r="N2" s="852"/>
      <c r="O2" s="853"/>
      <c r="Q2" s="407" t="s">
        <v>2</v>
      </c>
      <c r="R2" s="407"/>
      <c r="S2" s="835" t="s">
        <v>626</v>
      </c>
      <c r="T2" s="717"/>
      <c r="U2" s="717"/>
      <c r="V2" s="717"/>
      <c r="W2" s="37" t="b">
        <v>0</v>
      </c>
    </row>
    <row r="3" spans="1:27" ht="12" customHeight="1" thickBot="1" x14ac:dyDescent="0.3">
      <c r="A3" s="115" t="s">
        <v>4</v>
      </c>
      <c r="B3" s="116"/>
      <c r="D3" s="786" t="s">
        <v>1117</v>
      </c>
      <c r="E3" s="787"/>
      <c r="F3" s="786" t="s">
        <v>1122</v>
      </c>
      <c r="G3" s="787"/>
      <c r="H3" s="786" t="s">
        <v>1123</v>
      </c>
      <c r="I3" s="787"/>
      <c r="J3" s="786" t="s">
        <v>0</v>
      </c>
      <c r="K3" s="787"/>
      <c r="L3" s="839"/>
      <c r="M3" s="847"/>
      <c r="N3" s="854"/>
      <c r="O3" s="709"/>
      <c r="S3" s="835" t="s">
        <v>34</v>
      </c>
      <c r="T3" s="717"/>
      <c r="U3" s="717"/>
      <c r="V3" s="717"/>
      <c r="W3" s="37" t="b">
        <v>0</v>
      </c>
    </row>
    <row r="4" spans="1:27" ht="12" customHeight="1" thickBot="1" x14ac:dyDescent="0.3">
      <c r="A4" s="38" t="s">
        <v>5</v>
      </c>
      <c r="B4" s="820">
        <v>330000</v>
      </c>
      <c r="C4" s="821"/>
      <c r="D4" s="343"/>
      <c r="E4" s="344"/>
      <c r="F4" s="363"/>
      <c r="G4" s="325"/>
      <c r="H4" s="551"/>
      <c r="I4" s="555"/>
      <c r="J4" s="356"/>
      <c r="K4" s="357"/>
      <c r="N4" s="596"/>
      <c r="O4" s="597"/>
      <c r="S4" s="835" t="s">
        <v>35</v>
      </c>
      <c r="T4" s="717"/>
      <c r="U4" s="717"/>
      <c r="V4" s="717"/>
      <c r="W4" s="37" t="b">
        <v>1</v>
      </c>
    </row>
    <row r="5" spans="1:27" ht="12" customHeight="1" thickBot="1" x14ac:dyDescent="0.3">
      <c r="A5" s="38" t="s">
        <v>7</v>
      </c>
      <c r="B5" s="411">
        <f>+Amortization!O2</f>
        <v>0.05</v>
      </c>
      <c r="C5" s="313">
        <v>0</v>
      </c>
      <c r="D5" s="365"/>
      <c r="E5" s="370"/>
      <c r="F5" s="324"/>
      <c r="G5" s="418"/>
      <c r="H5" s="552"/>
      <c r="I5" s="556"/>
      <c r="J5" s="356"/>
      <c r="K5" s="357"/>
      <c r="N5" s="596"/>
      <c r="O5" s="597"/>
      <c r="R5" s="130" t="s">
        <v>8</v>
      </c>
      <c r="S5" s="835" t="s">
        <v>36</v>
      </c>
      <c r="T5" s="717"/>
      <c r="U5" s="717"/>
      <c r="V5" s="717"/>
      <c r="W5" s="37" t="b">
        <v>1</v>
      </c>
    </row>
    <row r="6" spans="1:27" ht="12" customHeight="1" thickBot="1" x14ac:dyDescent="0.3">
      <c r="A6" s="38" t="s">
        <v>9</v>
      </c>
      <c r="B6" s="822">
        <f>IF($E$1=1,B4,IF($E$1=2,B4*(1+C5),+Amortization!O3))</f>
        <v>346500</v>
      </c>
      <c r="C6" s="823"/>
      <c r="D6" s="345"/>
      <c r="E6" s="320"/>
      <c r="F6" s="324"/>
      <c r="G6" s="325">
        <f>IF(OR(E1=1,E1=2),$B$6,0)</f>
        <v>0</v>
      </c>
      <c r="H6" s="553"/>
      <c r="I6" s="557"/>
      <c r="J6" s="356"/>
      <c r="K6" s="357"/>
      <c r="N6" s="596"/>
      <c r="O6" s="597"/>
      <c r="S6" s="835"/>
      <c r="T6" s="717"/>
      <c r="U6" s="717"/>
      <c r="V6" s="717"/>
      <c r="W6" s="37" t="b">
        <v>0</v>
      </c>
    </row>
    <row r="7" spans="1:27" ht="12" customHeight="1" thickBot="1" x14ac:dyDescent="0.25">
      <c r="A7" s="38" t="s">
        <v>11</v>
      </c>
      <c r="B7" s="411">
        <f>+Amortization!$K$3</f>
        <v>0.57720000000000005</v>
      </c>
      <c r="C7" s="318">
        <f>+Amortization!O4</f>
        <v>200000</v>
      </c>
      <c r="D7" s="345"/>
      <c r="E7" s="320"/>
      <c r="F7" s="324"/>
      <c r="G7" s="544">
        <f>IF(E1=3,+C7,0)</f>
        <v>200000</v>
      </c>
      <c r="H7" s="553"/>
      <c r="I7" s="557"/>
      <c r="J7" s="356"/>
      <c r="K7" s="357"/>
      <c r="L7" s="866" t="s">
        <v>10</v>
      </c>
      <c r="M7" s="871">
        <v>0.03</v>
      </c>
      <c r="N7" s="596"/>
      <c r="O7" s="597"/>
      <c r="S7" s="250"/>
      <c r="T7" s="406"/>
    </row>
    <row r="8" spans="1:27" ht="12" customHeight="1" thickBot="1" x14ac:dyDescent="0.25">
      <c r="A8" s="38" t="s">
        <v>1118</v>
      </c>
      <c r="B8" s="314"/>
      <c r="C8" s="371"/>
      <c r="D8" s="345"/>
      <c r="E8" s="320"/>
      <c r="F8" s="324"/>
      <c r="G8" s="325">
        <f>+IF($E$1=2,$M$7,0)*$B$9/12*B4</f>
        <v>0</v>
      </c>
      <c r="H8" s="553"/>
      <c r="I8" s="557"/>
      <c r="J8" s="356"/>
      <c r="K8" s="357"/>
      <c r="L8" s="839"/>
      <c r="M8" s="872"/>
      <c r="N8" s="596"/>
      <c r="O8" s="597"/>
    </row>
    <row r="9" spans="1:27" ht="12" customHeight="1" thickBot="1" x14ac:dyDescent="0.25">
      <c r="A9" s="128" t="str">
        <f>IF(E1=3,"Delta Mortgages/Total Rent:","Monthly Rent:")</f>
        <v>Delta Mortgages/Total Rent:</v>
      </c>
      <c r="B9" s="637">
        <v>12</v>
      </c>
      <c r="C9" s="605">
        <v>1850</v>
      </c>
      <c r="D9" s="347"/>
      <c r="E9" s="348">
        <f>IF($E$1=3,$B$9*$C$9,"")</f>
        <v>22200</v>
      </c>
      <c r="F9" s="364"/>
      <c r="G9" s="418"/>
      <c r="H9" s="554"/>
      <c r="I9" s="558"/>
      <c r="J9" s="361"/>
      <c r="K9" s="369">
        <f>IF(OR($E$1=2,$E$1=3),IF($E$1=2,$C$9,Amortization!$AD$6),"")</f>
        <v>1777.45</v>
      </c>
      <c r="L9" s="866" t="s">
        <v>12</v>
      </c>
      <c r="M9" s="869">
        <v>1368</v>
      </c>
      <c r="N9" s="598"/>
      <c r="O9" s="599">
        <f>+tradeMonthlyNetSpread</f>
        <v>0</v>
      </c>
    </row>
    <row r="10" spans="1:27" ht="12" customHeight="1" thickBot="1" x14ac:dyDescent="0.25">
      <c r="C10" s="824" t="s">
        <v>13</v>
      </c>
      <c r="D10" s="790" t="s">
        <v>13</v>
      </c>
      <c r="E10" s="117">
        <f>SUM(D4:E9)</f>
        <v>22200</v>
      </c>
      <c r="F10" s="836">
        <f>+SUM(F4:G9)</f>
        <v>200000</v>
      </c>
      <c r="G10" s="837"/>
      <c r="H10" s="114"/>
      <c r="I10" s="114"/>
      <c r="J10" s="836">
        <f>SUM(J4:K9)</f>
        <v>1777.45</v>
      </c>
      <c r="K10" s="837"/>
      <c r="L10" s="867"/>
      <c r="M10" s="870"/>
      <c r="N10" s="836">
        <f>SUM(N4:O9)</f>
        <v>0</v>
      </c>
      <c r="O10" s="837"/>
      <c r="Q10" s="447" t="s">
        <v>618</v>
      </c>
      <c r="R10" s="448"/>
      <c r="S10" s="441"/>
      <c r="T10" s="449"/>
      <c r="W10" s="37" t="s">
        <v>713</v>
      </c>
      <c r="X10" s="37" t="s">
        <v>714</v>
      </c>
      <c r="Y10" s="130"/>
    </row>
    <row r="11" spans="1:27" ht="12" customHeight="1" thickBot="1" x14ac:dyDescent="0.3">
      <c r="C11" s="118"/>
      <c r="D11" s="819" t="str">
        <f>IF(E1=3,"Profit calculations based on selling in 5 years","")</f>
        <v>Profit calculations based on selling in 5 years</v>
      </c>
      <c r="E11" s="678"/>
      <c r="F11" s="678"/>
      <c r="G11" s="678"/>
      <c r="H11" s="678"/>
      <c r="I11" s="678"/>
      <c r="J11" s="678"/>
      <c r="K11" s="678"/>
      <c r="L11" s="685"/>
      <c r="M11" s="685"/>
      <c r="N11" s="685"/>
      <c r="O11" s="684"/>
      <c r="Q11" s="450" t="s">
        <v>621</v>
      </c>
      <c r="R11" s="130">
        <v>250000</v>
      </c>
      <c r="S11" s="310" t="b">
        <f>+$B$4&gt;R11</f>
        <v>1</v>
      </c>
      <c r="T11" s="451">
        <f>B4</f>
        <v>330000</v>
      </c>
      <c r="W11" s="37">
        <v>2</v>
      </c>
      <c r="X11" s="403">
        <v>44672</v>
      </c>
      <c r="Y11" s="130">
        <v>6264</v>
      </c>
    </row>
    <row r="12" spans="1:27" ht="12" customHeight="1" thickTop="1" thickBot="1" x14ac:dyDescent="0.25">
      <c r="A12" s="119" t="s">
        <v>14</v>
      </c>
      <c r="B12" s="119"/>
      <c r="C12" s="120"/>
      <c r="D12" s="365"/>
      <c r="E12" s="370"/>
      <c r="F12" s="324"/>
      <c r="G12" s="325"/>
      <c r="H12" s="353"/>
      <c r="I12" s="556"/>
      <c r="J12" s="375"/>
      <c r="K12" s="376"/>
      <c r="N12" s="596"/>
      <c r="O12" s="600"/>
      <c r="Q12" s="450" t="s">
        <v>622</v>
      </c>
      <c r="R12" s="130">
        <v>700000</v>
      </c>
      <c r="S12" s="310" t="b">
        <f>+$B$4&lt;R12</f>
        <v>1</v>
      </c>
      <c r="T12" s="452">
        <f>B4</f>
        <v>330000</v>
      </c>
      <c r="W12" s="37" t="s">
        <v>715</v>
      </c>
      <c r="X12" s="403">
        <v>41353</v>
      </c>
      <c r="Y12" s="130">
        <v>86284</v>
      </c>
      <c r="Z12" s="37" t="s">
        <v>716</v>
      </c>
    </row>
    <row r="13" spans="1:27" ht="12" customHeight="1" thickBot="1" x14ac:dyDescent="0.25">
      <c r="A13" s="38" t="s">
        <v>603</v>
      </c>
      <c r="B13" s="116"/>
      <c r="D13" s="365"/>
      <c r="E13" s="370"/>
      <c r="F13" s="324"/>
      <c r="G13" s="418"/>
      <c r="H13" s="353"/>
      <c r="I13" s="556"/>
      <c r="J13" s="375"/>
      <c r="K13" s="376"/>
      <c r="L13" s="417" t="s">
        <v>6</v>
      </c>
      <c r="M13" s="419" t="b">
        <v>1</v>
      </c>
      <c r="N13" s="601"/>
      <c r="O13" s="602"/>
      <c r="Q13" s="450" t="s">
        <v>620</v>
      </c>
      <c r="R13" s="130">
        <v>80000</v>
      </c>
      <c r="S13" s="310" t="b">
        <f>R13&lt;M61</f>
        <v>1</v>
      </c>
      <c r="T13" s="451">
        <f>M61</f>
        <v>213930.11717587989</v>
      </c>
      <c r="X13" s="37">
        <v>2019</v>
      </c>
      <c r="Y13" s="130" t="s">
        <v>717</v>
      </c>
      <c r="Z13" s="37" t="s">
        <v>718</v>
      </c>
      <c r="AA13" s="37" t="s">
        <v>719</v>
      </c>
    </row>
    <row r="14" spans="1:27" ht="11.25" customHeight="1" thickBot="1" x14ac:dyDescent="0.3">
      <c r="A14" s="38" t="s">
        <v>15</v>
      </c>
      <c r="B14" s="308"/>
      <c r="C14" s="402">
        <v>28063.26</v>
      </c>
      <c r="D14" s="345">
        <f>-C14</f>
        <v>-28063.26</v>
      </c>
      <c r="E14" s="320"/>
      <c r="F14" s="324"/>
      <c r="G14" s="132">
        <f>IF(M13,0,0.3*C14)</f>
        <v>0</v>
      </c>
      <c r="H14" s="840" t="s">
        <v>16</v>
      </c>
      <c r="I14" s="841"/>
      <c r="J14" s="685"/>
      <c r="K14" s="684"/>
      <c r="L14" s="800" t="s">
        <v>17</v>
      </c>
      <c r="M14" s="859"/>
      <c r="N14" s="594"/>
      <c r="O14" s="595"/>
      <c r="Q14" s="450" t="s">
        <v>619</v>
      </c>
      <c r="R14" s="453">
        <v>0.35</v>
      </c>
      <c r="S14" s="310" t="b">
        <f>R14&lt;M61/B4</f>
        <v>1</v>
      </c>
      <c r="T14" s="454">
        <f>+M61/B4</f>
        <v>0.64827308235115122</v>
      </c>
      <c r="X14" s="37">
        <v>2020</v>
      </c>
      <c r="Y14" s="130" t="s">
        <v>717</v>
      </c>
      <c r="Z14" s="37" t="s">
        <v>720</v>
      </c>
      <c r="AA14" s="37" t="s">
        <v>721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0</v>
      </c>
      <c r="I15" s="557"/>
      <c r="J15" s="356"/>
      <c r="K15" s="357"/>
      <c r="L15" s="860"/>
      <c r="M15" s="861"/>
      <c r="N15" s="596"/>
      <c r="O15" s="597"/>
      <c r="Q15" s="450" t="s">
        <v>624</v>
      </c>
      <c r="R15" s="130">
        <v>30000</v>
      </c>
      <c r="S15" s="310" t="b">
        <f>+R15&gt;($C$14+$C$20)</f>
        <v>0</v>
      </c>
      <c r="T15" s="455">
        <f>$C$14+$C$20</f>
        <v>33063.259999999995</v>
      </c>
      <c r="Y15" s="130"/>
      <c r="Z15" s="37" t="s">
        <v>722</v>
      </c>
    </row>
    <row r="16" spans="1:27" ht="12" customHeight="1" x14ac:dyDescent="0.2">
      <c r="A16" s="38" t="s">
        <v>600</v>
      </c>
      <c r="B16" s="189"/>
      <c r="C16" s="190"/>
      <c r="D16" s="345"/>
      <c r="E16" s="320"/>
      <c r="F16" s="324">
        <f>-(120-C49)*(C16/120)</f>
        <v>0</v>
      </c>
      <c r="G16" s="325"/>
      <c r="H16" s="550"/>
      <c r="I16" s="557"/>
      <c r="J16" s="356">
        <f>-(C16*B16/12)</f>
        <v>0</v>
      </c>
      <c r="K16" s="357"/>
      <c r="L16" s="860"/>
      <c r="M16" s="861"/>
      <c r="N16" s="596"/>
      <c r="O16" s="597"/>
      <c r="Q16" s="450" t="s">
        <v>623</v>
      </c>
      <c r="R16" s="130">
        <v>140000</v>
      </c>
      <c r="S16" s="310" t="b">
        <f>+R16&gt;($C$14+$C$20+E19)</f>
        <v>1</v>
      </c>
      <c r="T16" s="455">
        <f>($C$14+$C$20+E19)</f>
        <v>33063.259999999995</v>
      </c>
      <c r="X16" s="403">
        <v>41353</v>
      </c>
      <c r="Y16" s="130">
        <v>5000</v>
      </c>
      <c r="Z16" s="37" t="s">
        <v>723</v>
      </c>
    </row>
    <row r="17" spans="1:26" ht="12" customHeight="1" thickBot="1" x14ac:dyDescent="0.25">
      <c r="A17" s="38" t="s">
        <v>19</v>
      </c>
      <c r="B17" s="189">
        <v>0</v>
      </c>
      <c r="C17" s="190"/>
      <c r="D17" s="345">
        <f>-C17</f>
        <v>0</v>
      </c>
      <c r="E17" s="320">
        <f>+C17</f>
        <v>0</v>
      </c>
      <c r="F17" s="324">
        <f>IF(OR($E$1=1,$E$1=2,$E$1=3),IF(OR($E$1=1,$E$1=2),-C17,),0)</f>
        <v>0</v>
      </c>
      <c r="G17" s="325"/>
      <c r="H17" s="550"/>
      <c r="I17" s="557"/>
      <c r="J17" s="356"/>
      <c r="K17" s="357"/>
      <c r="L17" s="862"/>
      <c r="M17" s="863"/>
      <c r="N17" s="596"/>
      <c r="O17" s="597"/>
      <c r="Q17" s="450"/>
      <c r="S17" s="310"/>
      <c r="T17" s="456"/>
      <c r="X17" s="403">
        <v>44672</v>
      </c>
      <c r="Y17" s="130">
        <v>6264</v>
      </c>
      <c r="Z17" s="37" t="s">
        <v>724</v>
      </c>
    </row>
    <row r="18" spans="1:26" ht="12" customHeight="1" thickBot="1" x14ac:dyDescent="0.25">
      <c r="A18" s="38" t="s">
        <v>20</v>
      </c>
      <c r="B18" s="172"/>
      <c r="C18" s="173">
        <v>2466</v>
      </c>
      <c r="D18" s="345"/>
      <c r="E18" s="320"/>
      <c r="F18" s="324"/>
      <c r="G18" s="325"/>
      <c r="H18" s="353">
        <f>-C18</f>
        <v>-2466</v>
      </c>
      <c r="I18" s="557"/>
      <c r="J18" s="356"/>
      <c r="K18" s="357"/>
      <c r="L18" s="40"/>
      <c r="M18" s="40"/>
      <c r="N18" s="596"/>
      <c r="O18" s="597"/>
      <c r="Q18" s="450"/>
      <c r="S18" s="310"/>
      <c r="T18" s="456"/>
    </row>
    <row r="19" spans="1:26" ht="12" customHeight="1" thickBot="1" x14ac:dyDescent="0.25">
      <c r="A19" s="38" t="s">
        <v>591</v>
      </c>
      <c r="B19" s="317">
        <f>+B17</f>
        <v>0</v>
      </c>
      <c r="C19" s="318">
        <v>0</v>
      </c>
      <c r="D19" s="319">
        <f>-C19</f>
        <v>0</v>
      </c>
      <c r="E19" s="320">
        <f>+C19</f>
        <v>0</v>
      </c>
      <c r="F19" s="321">
        <f>IF($E$1=1,-C19,0)</f>
        <v>0</v>
      </c>
      <c r="G19" s="322"/>
      <c r="H19" s="353"/>
      <c r="I19" s="557"/>
      <c r="J19" s="356"/>
      <c r="K19" s="357"/>
      <c r="L19" s="40"/>
      <c r="M19" s="40"/>
      <c r="N19" s="596"/>
      <c r="O19" s="597"/>
      <c r="Q19" s="450"/>
      <c r="S19" s="310"/>
      <c r="T19" s="457"/>
    </row>
    <row r="20" spans="1:26" ht="12" customHeight="1" thickBot="1" x14ac:dyDescent="0.25">
      <c r="A20" s="128" t="s">
        <v>22</v>
      </c>
      <c r="B20" s="401"/>
      <c r="C20" s="314">
        <v>5000</v>
      </c>
      <c r="D20" s="345">
        <f>-C20</f>
        <v>-5000</v>
      </c>
      <c r="E20" s="320"/>
      <c r="F20" s="324"/>
      <c r="G20" s="325"/>
      <c r="H20" s="550"/>
      <c r="I20" s="557"/>
      <c r="J20" s="359"/>
      <c r="K20" s="357"/>
      <c r="L20" s="40"/>
      <c r="M20" s="40"/>
      <c r="N20" s="596"/>
      <c r="O20" s="597"/>
      <c r="Q20" s="458"/>
      <c r="R20" s="446"/>
      <c r="S20" s="442"/>
      <c r="T20" s="459"/>
    </row>
    <row r="21" spans="1:26" ht="12" customHeight="1" thickBot="1" x14ac:dyDescent="0.3">
      <c r="A21" s="38" t="s">
        <v>599</v>
      </c>
      <c r="B21" s="792">
        <f>-SUM(D14:D20)</f>
        <v>102614.14</v>
      </c>
      <c r="C21" s="670"/>
      <c r="D21" s="345"/>
      <c r="E21" s="320"/>
      <c r="F21" s="324"/>
      <c r="G21" s="325"/>
      <c r="H21" s="550"/>
      <c r="I21" s="557"/>
      <c r="J21" s="359"/>
      <c r="K21" s="357"/>
      <c r="N21" s="596"/>
      <c r="O21" s="597"/>
      <c r="T21" s="406"/>
    </row>
    <row r="22" spans="1:26" ht="12" customHeight="1" thickBot="1" x14ac:dyDescent="0.25">
      <c r="A22" s="38" t="s">
        <v>592</v>
      </c>
      <c r="B22" s="323">
        <v>0.75</v>
      </c>
      <c r="C22" s="318">
        <f>IF($E$1=2,+B4*B22,0)</f>
        <v>0</v>
      </c>
      <c r="D22" s="319"/>
      <c r="E22" s="320">
        <f>IF(AND(W1,E1=2),C22+B21,0)</f>
        <v>0</v>
      </c>
      <c r="F22" s="324" t="str">
        <f>IF(AND(W1,E1=2),-C22,"")</f>
        <v/>
      </c>
      <c r="G22" s="325"/>
      <c r="H22" s="550"/>
      <c r="I22" s="557"/>
      <c r="J22" s="358">
        <f>IF(AND(W1,E1=2),IF(W2,IPMT(B23/12,1,C23*12,C22),PMT(B23/12,12*C23,C22)),0)</f>
        <v>0</v>
      </c>
      <c r="K22" s="357"/>
      <c r="L22" s="864" t="s">
        <v>602</v>
      </c>
      <c r="M22" s="865"/>
      <c r="N22" s="596"/>
      <c r="O22" s="597"/>
      <c r="T22" s="406"/>
    </row>
    <row r="23" spans="1:26" ht="12" customHeight="1" thickBot="1" x14ac:dyDescent="0.25">
      <c r="A23" s="38" t="s">
        <v>593</v>
      </c>
      <c r="B23" s="326">
        <v>6.5000000000000002E-2</v>
      </c>
      <c r="C23" s="327">
        <v>30</v>
      </c>
      <c r="D23" s="319"/>
      <c r="E23" s="320"/>
      <c r="F23" s="324"/>
      <c r="G23" s="325"/>
      <c r="H23" s="550"/>
      <c r="I23" s="557"/>
      <c r="J23" s="359"/>
      <c r="K23" s="357"/>
      <c r="L23" s="864" t="s">
        <v>590</v>
      </c>
      <c r="M23" s="865"/>
      <c r="N23" s="596"/>
      <c r="O23" s="597"/>
      <c r="T23" s="406"/>
    </row>
    <row r="24" spans="1:26" ht="12" customHeight="1" thickBot="1" x14ac:dyDescent="0.25">
      <c r="A24" s="38" t="s">
        <v>594</v>
      </c>
      <c r="B24" s="868">
        <v>45566</v>
      </c>
      <c r="C24" s="783"/>
      <c r="D24" s="319"/>
      <c r="E24" s="320"/>
      <c r="F24" s="324"/>
      <c r="G24" s="325"/>
      <c r="H24" s="550"/>
      <c r="I24" s="557"/>
      <c r="J24" s="359"/>
      <c r="K24" s="357"/>
      <c r="M24" s="40"/>
      <c r="N24" s="596"/>
      <c r="O24" s="597"/>
      <c r="T24" s="406"/>
    </row>
    <row r="25" spans="1:26" ht="12" customHeight="1" thickBot="1" x14ac:dyDescent="0.25">
      <c r="A25" s="128" t="s">
        <v>21</v>
      </c>
      <c r="B25" s="159">
        <v>0</v>
      </c>
      <c r="C25" s="160"/>
      <c r="D25" s="345"/>
      <c r="E25" s="320"/>
      <c r="F25" s="324"/>
      <c r="G25" s="325"/>
      <c r="H25" s="550"/>
      <c r="I25" s="557"/>
      <c r="J25" s="358"/>
      <c r="K25" s="357"/>
      <c r="N25" s="596"/>
      <c r="O25" s="597"/>
      <c r="U25" s="130"/>
    </row>
    <row r="26" spans="1:26" ht="12" customHeight="1" thickBot="1" x14ac:dyDescent="0.25">
      <c r="A26" s="128" t="s">
        <v>24</v>
      </c>
      <c r="B26" s="136"/>
      <c r="C26" s="160">
        <v>2466</v>
      </c>
      <c r="D26" s="345">
        <f>-B26</f>
        <v>0</v>
      </c>
      <c r="E26" s="320"/>
      <c r="F26" s="324"/>
      <c r="G26" s="325"/>
      <c r="H26" s="550"/>
      <c r="I26" s="557"/>
      <c r="J26" s="359"/>
      <c r="K26" s="357"/>
      <c r="N26" s="596"/>
      <c r="O26" s="597"/>
      <c r="Q26" s="403">
        <v>45894</v>
      </c>
      <c r="R26" s="130">
        <v>276800</v>
      </c>
      <c r="U26" s="130"/>
    </row>
    <row r="27" spans="1:26" ht="12" customHeight="1" thickBot="1" x14ac:dyDescent="0.25">
      <c r="A27" s="128" t="s">
        <v>482</v>
      </c>
      <c r="B27" s="796">
        <v>5000</v>
      </c>
      <c r="C27" s="797">
        <v>5000</v>
      </c>
      <c r="D27" s="345">
        <f>-B27</f>
        <v>-5000</v>
      </c>
      <c r="E27" s="320"/>
      <c r="F27" s="324"/>
      <c r="G27" s="325"/>
      <c r="H27" s="550"/>
      <c r="I27" s="557"/>
      <c r="J27" s="359"/>
      <c r="K27" s="357"/>
      <c r="N27" s="596"/>
      <c r="O27" s="597"/>
    </row>
    <row r="28" spans="1:26" ht="12" customHeight="1" thickBot="1" x14ac:dyDescent="0.25">
      <c r="A28" s="128" t="s">
        <v>576</v>
      </c>
      <c r="B28" s="311">
        <f>+F74/30.42</f>
        <v>6.0157790927021697</v>
      </c>
      <c r="C28" s="122"/>
      <c r="D28" s="345"/>
      <c r="E28" s="320"/>
      <c r="F28" s="324"/>
      <c r="G28" s="325"/>
      <c r="H28" s="550"/>
      <c r="I28" s="557"/>
      <c r="J28" s="358"/>
      <c r="K28" s="357"/>
      <c r="N28" s="596"/>
      <c r="O28" s="597"/>
      <c r="U28" s="130"/>
    </row>
    <row r="29" spans="1:26" ht="12" customHeight="1" x14ac:dyDescent="0.2">
      <c r="A29" s="128" t="s">
        <v>572</v>
      </c>
      <c r="B29" s="309">
        <f>+STR!K17/12</f>
        <v>0</v>
      </c>
      <c r="C29" s="122"/>
      <c r="D29" s="345"/>
      <c r="E29" s="320"/>
      <c r="F29" s="324"/>
      <c r="G29" s="325"/>
      <c r="H29" s="550"/>
      <c r="I29" s="557"/>
      <c r="J29" s="358">
        <f>-B29</f>
        <v>0</v>
      </c>
      <c r="K29" s="357"/>
      <c r="L29" s="873" t="s">
        <v>23</v>
      </c>
      <c r="M29" s="803"/>
      <c r="N29" s="596"/>
      <c r="O29" s="597"/>
      <c r="U29" s="130"/>
    </row>
    <row r="30" spans="1:26" ht="12" customHeight="1" thickBot="1" x14ac:dyDescent="0.25">
      <c r="A30" s="128" t="s">
        <v>575</v>
      </c>
      <c r="C30" s="466">
        <f>+B45/B9</f>
        <v>2120.5562425833332</v>
      </c>
      <c r="D30" s="345"/>
      <c r="E30" s="320"/>
      <c r="F30" s="324"/>
      <c r="G30" s="325"/>
      <c r="H30" s="550"/>
      <c r="I30" s="557"/>
      <c r="J30" s="358"/>
      <c r="K30" s="357"/>
      <c r="L30" s="874"/>
      <c r="M30" s="875"/>
      <c r="N30" s="596"/>
      <c r="O30" s="597"/>
      <c r="S30" s="250"/>
      <c r="T30" s="406"/>
    </row>
    <row r="31" spans="1:26" ht="12" customHeight="1" x14ac:dyDescent="0.2">
      <c r="A31" s="128" t="s">
        <v>814</v>
      </c>
      <c r="B31" s="479">
        <f>+Carrying!B25/Profit!$B$28</f>
        <v>14.95234426229508</v>
      </c>
      <c r="C31" s="122"/>
      <c r="D31" s="345"/>
      <c r="E31" s="320"/>
      <c r="F31" s="324"/>
      <c r="G31" s="325"/>
      <c r="H31" s="550"/>
      <c r="I31" s="557"/>
      <c r="J31" s="358">
        <f>IF(OR($E$1=2,$E$1=3),-B31,0)*$B$28/($B$28+$B$9)</f>
        <v>-4.9928454127435948</v>
      </c>
      <c r="K31" s="357"/>
      <c r="L31" s="855" t="s">
        <v>25</v>
      </c>
      <c r="M31" s="682"/>
      <c r="N31" s="596"/>
      <c r="O31" s="597"/>
      <c r="T31" s="406"/>
    </row>
    <row r="32" spans="1:26" ht="12" customHeight="1" x14ac:dyDescent="0.2">
      <c r="A32" s="128" t="s">
        <v>874</v>
      </c>
      <c r="B32" s="479">
        <f>+Carrying!E25/Profit!$B$28</f>
        <v>549.04775409836066</v>
      </c>
      <c r="C32" s="122"/>
      <c r="D32" s="345"/>
      <c r="E32" s="320"/>
      <c r="F32" s="324"/>
      <c r="G32" s="325"/>
      <c r="H32" s="550"/>
      <c r="I32" s="557"/>
      <c r="J32" s="358">
        <f>IF(OR($E$1=2,$E$1=3),-B32,0)*$B$28/($B$28+$B$9)</f>
        <v>-183.33650645938255</v>
      </c>
      <c r="K32" s="357"/>
      <c r="L32" s="856"/>
      <c r="M32" s="718"/>
      <c r="N32" s="596"/>
      <c r="O32" s="597"/>
      <c r="T32" s="406"/>
    </row>
    <row r="33" spans="1:15" ht="12" customHeight="1" x14ac:dyDescent="0.2">
      <c r="A33" s="128" t="s">
        <v>581</v>
      </c>
      <c r="B33" s="479">
        <f>+Carrying!H25/Profit!$B$28</f>
        <v>2284.9160163934434</v>
      </c>
      <c r="C33" s="122"/>
      <c r="D33" s="345"/>
      <c r="E33" s="320"/>
      <c r="F33" s="324"/>
      <c r="G33" s="325"/>
      <c r="H33" s="550"/>
      <c r="I33" s="557"/>
      <c r="J33" s="358">
        <f>IF(OR($E$1=2,$E$1=3),-B33,0)*$B$28/($B$28+$B$9)</f>
        <v>-762.9728322750168</v>
      </c>
      <c r="K33" s="357"/>
      <c r="L33" s="856"/>
      <c r="M33" s="718"/>
      <c r="N33" s="596"/>
      <c r="O33" s="597"/>
    </row>
    <row r="34" spans="1:15" ht="12" customHeight="1" thickBot="1" x14ac:dyDescent="0.25">
      <c r="A34" s="128" t="s">
        <v>860</v>
      </c>
      <c r="B34" s="479">
        <f>+Carrying!K25/Profit!$B$28</f>
        <v>0</v>
      </c>
      <c r="C34" s="122"/>
      <c r="D34" s="345"/>
      <c r="E34" s="320"/>
      <c r="F34" s="324"/>
      <c r="G34" s="325"/>
      <c r="H34" s="550"/>
      <c r="I34" s="557"/>
      <c r="J34" s="358">
        <f t="shared" ref="J34:J41" si="0">IF(OR($E$1=2,$E$1=3),-B34,0)*$B$28/($B$28+$B$9)</f>
        <v>0</v>
      </c>
      <c r="K34" s="357"/>
      <c r="L34" s="857"/>
      <c r="M34" s="721"/>
      <c r="N34" s="596"/>
      <c r="O34" s="597"/>
    </row>
    <row r="35" spans="1:15" ht="12" customHeight="1" x14ac:dyDescent="0.2">
      <c r="A35" s="128" t="s">
        <v>470</v>
      </c>
      <c r="B35" s="479">
        <f>+Carrying!N25/Profit!$B$28</f>
        <v>0</v>
      </c>
      <c r="C35" s="122"/>
      <c r="D35" s="345"/>
      <c r="E35" s="320"/>
      <c r="F35" s="324"/>
      <c r="G35" s="325"/>
      <c r="H35" s="550"/>
      <c r="I35" s="557"/>
      <c r="J35" s="358">
        <f t="shared" si="0"/>
        <v>0</v>
      </c>
      <c r="K35" s="357"/>
      <c r="N35" s="596"/>
      <c r="O35" s="597"/>
    </row>
    <row r="36" spans="1:15" ht="12" customHeight="1" x14ac:dyDescent="0.2">
      <c r="A36" s="128" t="s">
        <v>861</v>
      </c>
      <c r="B36" s="479">
        <f>+Carrying!Q25/Profit!$B$28</f>
        <v>46.151960655737703</v>
      </c>
      <c r="C36" s="122"/>
      <c r="D36" s="345"/>
      <c r="E36" s="320"/>
      <c r="F36" s="324"/>
      <c r="G36" s="325"/>
      <c r="H36" s="550"/>
      <c r="I36" s="557"/>
      <c r="J36" s="358">
        <f t="shared" si="0"/>
        <v>-15.410934968250494</v>
      </c>
      <c r="K36" s="357"/>
      <c r="N36" s="596"/>
      <c r="O36" s="597"/>
    </row>
    <row r="37" spans="1:15" ht="12" customHeight="1" x14ac:dyDescent="0.2">
      <c r="A37" s="128" t="s">
        <v>862</v>
      </c>
      <c r="B37" s="479">
        <f>+Carrying!T25/Profit!$B$28</f>
        <v>0</v>
      </c>
      <c r="C37" s="122"/>
      <c r="D37" s="345"/>
      <c r="E37" s="320"/>
      <c r="F37" s="324"/>
      <c r="G37" s="325"/>
      <c r="H37" s="550"/>
      <c r="I37" s="557"/>
      <c r="J37" s="358">
        <f t="shared" si="0"/>
        <v>0</v>
      </c>
      <c r="K37" s="357"/>
      <c r="N37" s="596"/>
      <c r="O37" s="597"/>
    </row>
    <row r="38" spans="1:15" ht="12" customHeight="1" x14ac:dyDescent="0.2">
      <c r="A38" s="128" t="s">
        <v>580</v>
      </c>
      <c r="B38" s="479">
        <f>+Carrying!W25/Profit!$B$28</f>
        <v>0</v>
      </c>
      <c r="C38" s="122"/>
      <c r="D38" s="345"/>
      <c r="E38" s="320"/>
      <c r="F38" s="324"/>
      <c r="G38" s="325"/>
      <c r="H38" s="550"/>
      <c r="I38" s="557"/>
      <c r="J38" s="358">
        <f t="shared" si="0"/>
        <v>0</v>
      </c>
      <c r="K38" s="357"/>
      <c r="N38" s="596"/>
      <c r="O38" s="597"/>
    </row>
    <row r="39" spans="1:15" ht="12" customHeight="1" x14ac:dyDescent="0.2">
      <c r="A39" s="128" t="s">
        <v>628</v>
      </c>
      <c r="B39" s="479">
        <f>+Carrying!Z25/Profit!$B$28</f>
        <v>0</v>
      </c>
      <c r="C39" s="122"/>
      <c r="D39" s="345"/>
      <c r="E39" s="320"/>
      <c r="F39" s="324"/>
      <c r="G39" s="325"/>
      <c r="H39" s="550"/>
      <c r="I39" s="557"/>
      <c r="J39" s="358">
        <f t="shared" si="0"/>
        <v>0</v>
      </c>
      <c r="K39" s="357"/>
      <c r="N39" s="596"/>
      <c r="O39" s="597"/>
    </row>
    <row r="40" spans="1:15" ht="12" customHeight="1" thickBot="1" x14ac:dyDescent="0.25">
      <c r="A40" s="128" t="s">
        <v>863</v>
      </c>
      <c r="B40" s="479">
        <f>+Carrying!AC25/Profit!$B$28</f>
        <v>0</v>
      </c>
      <c r="C40" s="122"/>
      <c r="D40" s="345"/>
      <c r="E40" s="320"/>
      <c r="F40" s="324"/>
      <c r="G40" s="325"/>
      <c r="H40" s="550"/>
      <c r="I40" s="557"/>
      <c r="J40" s="358">
        <f t="shared" si="0"/>
        <v>0</v>
      </c>
      <c r="K40" s="357"/>
      <c r="N40" s="596"/>
      <c r="O40" s="597"/>
    </row>
    <row r="41" spans="1:15" ht="12" customHeight="1" thickBot="1" x14ac:dyDescent="0.25">
      <c r="A41" s="128" t="s">
        <v>864</v>
      </c>
      <c r="B41" s="479">
        <f>+Carrying!AF25/Profit!$B$28</f>
        <v>0</v>
      </c>
      <c r="C41" s="122"/>
      <c r="D41" s="345"/>
      <c r="E41" s="320"/>
      <c r="F41" s="324"/>
      <c r="G41" s="325"/>
      <c r="H41" s="550"/>
      <c r="I41" s="557"/>
      <c r="J41" s="358">
        <f t="shared" si="0"/>
        <v>0</v>
      </c>
      <c r="K41" s="357"/>
      <c r="L41" s="844" t="s">
        <v>26</v>
      </c>
      <c r="M41" s="842">
        <f>IF(+E1=3,-J53,+B42/B28)</f>
        <v>966.7131191153934</v>
      </c>
      <c r="N41" s="596"/>
      <c r="O41" s="597"/>
    </row>
    <row r="42" spans="1:15" ht="12" customHeight="1" thickBot="1" x14ac:dyDescent="0.3">
      <c r="A42" s="38" t="s">
        <v>26</v>
      </c>
      <c r="B42" s="792">
        <f>+B28*SUM(B31:B41)</f>
        <v>17416.090000000004</v>
      </c>
      <c r="C42" s="687"/>
      <c r="D42" s="319">
        <f>IF(E1=1,-B42,0)</f>
        <v>0</v>
      </c>
      <c r="E42" s="320"/>
      <c r="F42" s="324"/>
      <c r="G42" s="325"/>
      <c r="H42" s="550"/>
      <c r="I42" s="557"/>
      <c r="J42" s="358"/>
      <c r="K42" s="357"/>
      <c r="L42" s="845"/>
      <c r="M42" s="843"/>
      <c r="N42" s="596"/>
      <c r="O42" s="597"/>
    </row>
    <row r="43" spans="1:15" ht="12" customHeight="1" thickBot="1" x14ac:dyDescent="0.25">
      <c r="A43" s="481" t="s">
        <v>28</v>
      </c>
      <c r="B43" s="482">
        <v>0.1</v>
      </c>
      <c r="C43" s="483" t="b">
        <v>1</v>
      </c>
      <c r="D43" s="345"/>
      <c r="E43" s="320"/>
      <c r="F43" s="324"/>
      <c r="G43" s="325"/>
      <c r="H43" s="550"/>
      <c r="I43" s="557"/>
      <c r="J43" s="358"/>
      <c r="K43" s="357"/>
      <c r="N43" s="596"/>
      <c r="O43" s="597"/>
    </row>
    <row r="44" spans="1:15" ht="12" customHeight="1" thickBot="1" x14ac:dyDescent="0.25">
      <c r="A44" s="128" t="s">
        <v>30</v>
      </c>
      <c r="B44" s="484">
        <v>100000</v>
      </c>
      <c r="C44" s="485">
        <f>+(B6*0.75)-SUM(C15:C19)-B44</f>
        <v>87858.12</v>
      </c>
      <c r="D44" s="345"/>
      <c r="E44" s="320">
        <f>IF(C43,B44,0)</f>
        <v>100000</v>
      </c>
      <c r="F44" s="324"/>
      <c r="G44" s="325"/>
      <c r="H44" s="353">
        <f>IF(C43,-E44,0)</f>
        <v>-100000</v>
      </c>
      <c r="I44" s="557"/>
      <c r="J44" s="358"/>
      <c r="K44" s="357"/>
      <c r="L44" s="844" t="s">
        <v>1013</v>
      </c>
      <c r="M44" s="842">
        <f>+SUM(C15:C19)+B44</f>
        <v>172016.88</v>
      </c>
      <c r="N44" s="596"/>
      <c r="O44" s="597"/>
    </row>
    <row r="45" spans="1:15" ht="12" customHeight="1" thickBot="1" x14ac:dyDescent="0.25">
      <c r="A45" s="128" t="s">
        <v>32</v>
      </c>
      <c r="B45" s="311">
        <f>-D69</f>
        <v>25446.674910999998</v>
      </c>
      <c r="C45" s="122"/>
      <c r="D45" s="345">
        <f>-B45</f>
        <v>-25446.674910999998</v>
      </c>
      <c r="E45" s="320"/>
      <c r="F45" s="324"/>
      <c r="G45" s="325"/>
      <c r="H45" s="550"/>
      <c r="I45" s="557"/>
      <c r="J45" s="359"/>
      <c r="K45" s="357"/>
      <c r="L45" s="845"/>
      <c r="M45" s="843"/>
      <c r="N45" s="596"/>
      <c r="O45" s="597"/>
    </row>
    <row r="46" spans="1:15" ht="12" customHeight="1" thickBot="1" x14ac:dyDescent="0.25">
      <c r="A46" s="128" t="s">
        <v>33</v>
      </c>
      <c r="B46" s="311">
        <v>600</v>
      </c>
      <c r="C46" s="122"/>
      <c r="D46" s="345">
        <f>-B46</f>
        <v>-600</v>
      </c>
      <c r="E46" s="320"/>
      <c r="F46" s="324"/>
      <c r="G46" s="325"/>
      <c r="H46" s="550"/>
      <c r="I46" s="557"/>
      <c r="J46" s="359"/>
      <c r="K46" s="357"/>
      <c r="N46" s="596"/>
      <c r="O46" s="597"/>
    </row>
    <row r="47" spans="1:15" ht="12" customHeight="1" thickBot="1" x14ac:dyDescent="0.3">
      <c r="A47" s="38" t="s">
        <v>34</v>
      </c>
      <c r="B47" s="473"/>
      <c r="C47" s="474">
        <v>500</v>
      </c>
      <c r="D47" s="345"/>
      <c r="E47" s="320"/>
      <c r="F47" s="324" t="str">
        <f>IF(W3,-C47,"")</f>
        <v/>
      </c>
      <c r="G47" s="325"/>
      <c r="H47" s="550"/>
      <c r="I47" s="557"/>
      <c r="J47" s="359"/>
      <c r="K47" s="357"/>
      <c r="L47" s="848" t="s">
        <v>27</v>
      </c>
      <c r="M47" s="842">
        <f>+B21</f>
        <v>102614.14</v>
      </c>
      <c r="N47" s="596"/>
      <c r="O47" s="597"/>
    </row>
    <row r="48" spans="1:15" ht="12" customHeight="1" thickBot="1" x14ac:dyDescent="0.25">
      <c r="A48" s="129" t="s">
        <v>35</v>
      </c>
      <c r="B48" s="377"/>
      <c r="C48" s="603">
        <v>3.5999999999999997E-2</v>
      </c>
      <c r="D48" s="345"/>
      <c r="E48" s="320"/>
      <c r="F48" s="324">
        <f>IF(W4,IF(OR(E1=1,E1=2),-C48*$F$10,0),"")</f>
        <v>0</v>
      </c>
      <c r="G48" s="325"/>
      <c r="H48" s="550"/>
      <c r="I48" s="557"/>
      <c r="J48" s="359"/>
      <c r="K48" s="357"/>
      <c r="L48" s="849"/>
      <c r="M48" s="843"/>
      <c r="N48" s="596"/>
      <c r="O48" s="597"/>
    </row>
    <row r="49" spans="1:19" ht="12" customHeight="1" thickBot="1" x14ac:dyDescent="0.25">
      <c r="A49" s="129" t="s">
        <v>36</v>
      </c>
      <c r="B49" s="378"/>
      <c r="C49" s="604">
        <v>2.4E-2</v>
      </c>
      <c r="D49" s="345"/>
      <c r="E49" s="320"/>
      <c r="F49" s="324">
        <f>IF(W5,IF(OR(E1=1,E1=2),-C49*$F$10,0),"")</f>
        <v>0</v>
      </c>
      <c r="G49" s="325"/>
      <c r="H49" s="550"/>
      <c r="I49" s="557"/>
      <c r="J49" s="359"/>
      <c r="K49" s="357"/>
      <c r="N49" s="596"/>
      <c r="O49" s="597"/>
    </row>
    <row r="50" spans="1:19" ht="12" customHeight="1" thickBot="1" x14ac:dyDescent="0.3">
      <c r="A50" s="38" t="s">
        <v>37</v>
      </c>
      <c r="B50" s="811"/>
      <c r="C50" s="812"/>
      <c r="D50" s="346"/>
      <c r="E50" s="320"/>
      <c r="F50" s="324">
        <f>-C50</f>
        <v>0</v>
      </c>
      <c r="G50" s="325"/>
      <c r="H50" s="550"/>
      <c r="I50" s="557"/>
      <c r="J50" s="360"/>
      <c r="K50" s="357"/>
      <c r="L50" s="848" t="s">
        <v>31</v>
      </c>
      <c r="M50" s="842">
        <f>-E54</f>
        <v>-57150.065089000011</v>
      </c>
      <c r="N50" s="596"/>
      <c r="O50" s="597"/>
    </row>
    <row r="51" spans="1:19" ht="12" customHeight="1" thickBot="1" x14ac:dyDescent="0.25">
      <c r="A51" s="38" t="s">
        <v>38</v>
      </c>
      <c r="B51" s="809">
        <f>+D89</f>
        <v>940</v>
      </c>
      <c r="C51" s="810"/>
      <c r="D51" s="345">
        <f>-B51</f>
        <v>-940</v>
      </c>
      <c r="E51" s="320"/>
      <c r="F51" s="324"/>
      <c r="G51" s="325"/>
      <c r="H51" s="550"/>
      <c r="I51" s="557"/>
      <c r="J51" s="360"/>
      <c r="K51" s="357"/>
      <c r="L51" s="849"/>
      <c r="M51" s="843"/>
      <c r="N51" s="596"/>
      <c r="O51" s="597"/>
    </row>
    <row r="52" spans="1:19" ht="12" customHeight="1" thickBot="1" x14ac:dyDescent="0.25">
      <c r="A52" s="38" t="s">
        <v>39</v>
      </c>
      <c r="B52" s="807">
        <f>+D100</f>
        <v>290</v>
      </c>
      <c r="C52" s="808"/>
      <c r="D52" s="347"/>
      <c r="E52" s="348"/>
      <c r="F52" s="349">
        <f>-B52</f>
        <v>-290</v>
      </c>
      <c r="G52" s="350"/>
      <c r="H52" s="549"/>
      <c r="I52" s="558"/>
      <c r="J52" s="361"/>
      <c r="K52" s="362"/>
      <c r="L52" s="630"/>
      <c r="M52" s="607"/>
      <c r="N52" s="598"/>
      <c r="O52" s="599"/>
    </row>
    <row r="53" spans="1:19" ht="12" customHeight="1" thickBot="1" x14ac:dyDescent="0.25">
      <c r="B53" s="793" t="s">
        <v>40</v>
      </c>
      <c r="C53" s="794"/>
      <c r="D53" s="183">
        <f>+SUM(D14:D52)</f>
        <v>-134600.81491099999</v>
      </c>
      <c r="E53" s="404"/>
      <c r="F53" s="405">
        <f>+SUM(F14:F52)</f>
        <v>-290</v>
      </c>
      <c r="G53" s="404"/>
      <c r="H53" s="405">
        <f>+SUM(H14:H52)</f>
        <v>-102466</v>
      </c>
      <c r="I53" s="404"/>
      <c r="J53" s="405">
        <f>SUM(J15:J52)</f>
        <v>-966.7131191153934</v>
      </c>
      <c r="K53" s="634"/>
      <c r="L53" s="739" t="s">
        <v>42</v>
      </c>
      <c r="M53" s="742" t="s">
        <v>43</v>
      </c>
      <c r="N53" s="633">
        <f>SUM(N15:N52)</f>
        <v>0</v>
      </c>
      <c r="O53" s="633"/>
    </row>
    <row r="54" spans="1:19" ht="12" customHeight="1" thickBot="1" x14ac:dyDescent="0.25">
      <c r="A54" s="39"/>
      <c r="B54" s="790" t="s">
        <v>41</v>
      </c>
      <c r="C54" s="791"/>
      <c r="D54" s="791"/>
      <c r="E54" s="559">
        <f>+SUM(D10:E52)</f>
        <v>57150.065089000011</v>
      </c>
      <c r="F54" s="752">
        <f>+SUM(F10:G52)</f>
        <v>199710</v>
      </c>
      <c r="G54" s="753"/>
      <c r="H54" s="736"/>
      <c r="I54" s="736"/>
      <c r="J54" s="736">
        <f>+SUM(J10:K52)</f>
        <v>810.73688088460665</v>
      </c>
      <c r="K54" s="736"/>
      <c r="L54" s="740"/>
      <c r="M54" s="743"/>
      <c r="N54" s="614"/>
      <c r="O54" s="616">
        <f>+SUM(N10:O52)</f>
        <v>0</v>
      </c>
    </row>
    <row r="55" spans="1:19" ht="12" customHeight="1" thickBot="1" x14ac:dyDescent="0.25">
      <c r="A55" s="39"/>
      <c r="B55" s="39"/>
      <c r="D55" s="39"/>
      <c r="E55" s="795" t="s">
        <v>1163</v>
      </c>
      <c r="F55" s="778"/>
      <c r="G55" s="548">
        <f>SUM(E54:G54)</f>
        <v>256860.06508900001</v>
      </c>
      <c r="H55" s="736">
        <f>+SUM(H10:I52)</f>
        <v>-102466</v>
      </c>
      <c r="I55" s="736"/>
      <c r="J55" s="626" t="s">
        <v>90</v>
      </c>
      <c r="K55" s="631">
        <f>+$H$57</f>
        <v>120</v>
      </c>
      <c r="L55" s="740"/>
      <c r="M55" s="743"/>
      <c r="N55" s="614"/>
      <c r="O55" s="616"/>
    </row>
    <row r="56" spans="1:19" ht="12" customHeight="1" thickBot="1" x14ac:dyDescent="0.3">
      <c r="A56" s="39"/>
      <c r="B56" s="39"/>
      <c r="D56" s="39"/>
      <c r="E56" s="795" t="s">
        <v>1164</v>
      </c>
      <c r="F56" s="778"/>
      <c r="G56" s="131"/>
      <c r="H56" s="748">
        <f>SUM(G55:I55)</f>
        <v>154394.06508900001</v>
      </c>
      <c r="I56" s="749"/>
      <c r="J56" s="609"/>
      <c r="K56" s="610">
        <f>IF(OR($E$1=2,$E$1=3),+K55*SUM(J10:K52),0)</f>
        <v>97288.425706152804</v>
      </c>
      <c r="L56" s="741"/>
      <c r="M56" s="721"/>
      <c r="N56" s="632" t="s">
        <v>90</v>
      </c>
      <c r="O56" s="636">
        <f>+$H$57</f>
        <v>120</v>
      </c>
      <c r="P56" s="733" t="s">
        <v>1160</v>
      </c>
      <c r="Q56" s="734"/>
      <c r="R56" s="734"/>
      <c r="S56" s="735"/>
    </row>
    <row r="57" spans="1:19" ht="12" customHeight="1" thickBot="1" x14ac:dyDescent="0.3">
      <c r="A57" s="39"/>
      <c r="B57" s="39"/>
      <c r="E57" s="754" t="s">
        <v>1161</v>
      </c>
      <c r="F57" s="665"/>
      <c r="G57" s="717"/>
      <c r="H57" s="624">
        <f>IF(OR(E1=2,E1=3),IF(E1=2,B9,cfdFirstRateMonths),0)</f>
        <v>120</v>
      </c>
      <c r="I57" s="606"/>
      <c r="J57" s="737">
        <f>SUM(H56:K56)</f>
        <v>251682.49079515281</v>
      </c>
      <c r="K57" s="738"/>
      <c r="L57" s="625"/>
      <c r="M57" s="625"/>
      <c r="N57" s="617"/>
      <c r="O57" s="615">
        <f>IF($E$1=3,+$H$57*O54,0)</f>
        <v>0</v>
      </c>
      <c r="P57" s="730"/>
      <c r="Q57" s="731"/>
      <c r="R57" s="731"/>
      <c r="S57" s="732"/>
    </row>
    <row r="58" spans="1:19" ht="12" customHeight="1" thickBot="1" x14ac:dyDescent="0.3">
      <c r="A58" s="39"/>
      <c r="B58" s="39"/>
      <c r="E58" s="589"/>
      <c r="F58" s="750" t="s">
        <v>604</v>
      </c>
      <c r="G58" s="751"/>
      <c r="H58" s="590"/>
      <c r="I58" s="590"/>
      <c r="J58" s="591"/>
      <c r="K58" s="591"/>
      <c r="L58" s="608">
        <f>$B$25*$K$58</f>
        <v>0</v>
      </c>
      <c r="M58" s="613">
        <f>+J57</f>
        <v>251682.49079515281</v>
      </c>
      <c r="N58" s="618"/>
      <c r="O58" s="619"/>
      <c r="P58" s="730"/>
      <c r="Q58" s="731"/>
      <c r="R58" s="731"/>
      <c r="S58" s="732"/>
    </row>
    <row r="59" spans="1:19" ht="12" customHeight="1" thickTop="1" thickBot="1" x14ac:dyDescent="0.3">
      <c r="A59" s="124" t="s">
        <v>44</v>
      </c>
      <c r="B59" s="817">
        <f>IF(OR($E$1=2,$E$1=3),0.15,0)</f>
        <v>0.15</v>
      </c>
      <c r="C59" s="818"/>
      <c r="D59" s="124"/>
      <c r="E59" s="124"/>
      <c r="F59" s="744" t="s">
        <v>595</v>
      </c>
      <c r="G59" s="745"/>
      <c r="H59" s="745"/>
      <c r="I59" s="717"/>
      <c r="J59" s="717"/>
      <c r="K59" s="717"/>
      <c r="L59" s="131">
        <f>-J83</f>
        <v>0</v>
      </c>
      <c r="M59" s="612">
        <f>+J83</f>
        <v>0</v>
      </c>
      <c r="N59" s="620"/>
      <c r="O59" s="621">
        <f>SUM(J57:O57)</f>
        <v>251682.49079515281</v>
      </c>
      <c r="P59" s="730" t="s">
        <v>1162</v>
      </c>
      <c r="Q59" s="731"/>
      <c r="R59" s="731"/>
      <c r="S59" s="732"/>
    </row>
    <row r="60" spans="1:19" ht="12" customHeight="1" thickTop="1" thickBot="1" x14ac:dyDescent="0.3">
      <c r="A60" s="38" t="s">
        <v>45</v>
      </c>
      <c r="B60" s="813">
        <v>0.1</v>
      </c>
      <c r="C60" s="814">
        <v>0.15</v>
      </c>
      <c r="D60" s="815">
        <f>+M62*B60</f>
        <v>21393.01171758799</v>
      </c>
      <c r="E60" s="816"/>
      <c r="F60" s="744" t="s">
        <v>1119</v>
      </c>
      <c r="G60" s="745"/>
      <c r="H60" s="745"/>
      <c r="I60" s="717"/>
      <c r="J60" s="717"/>
      <c r="K60" s="717"/>
      <c r="L60" s="379" t="s">
        <v>466</v>
      </c>
      <c r="M60" s="627">
        <f>IF(OR($B$59="",M58&lt;0),0,-$B$59*SUM(M58:M59))</f>
        <v>-37752.373619272919</v>
      </c>
      <c r="N60" s="622"/>
      <c r="O60" s="635">
        <f>IF(OR($B$59="",O58&lt;0),0,-$B$59*O59)</f>
        <v>-37752.373619272919</v>
      </c>
      <c r="P60" s="730"/>
      <c r="Q60" s="731"/>
      <c r="R60" s="731"/>
      <c r="S60" s="732"/>
    </row>
    <row r="61" spans="1:19" ht="12" customHeight="1" thickBot="1" x14ac:dyDescent="0.3">
      <c r="F61" s="744" t="s">
        <v>1120</v>
      </c>
      <c r="G61" s="745"/>
      <c r="H61" s="745"/>
      <c r="I61" s="717"/>
      <c r="J61" s="717"/>
      <c r="K61" s="717"/>
      <c r="L61" s="123">
        <f>SUM(L58:L60)</f>
        <v>0</v>
      </c>
      <c r="M61" s="611">
        <f>SUM(M58:M60)</f>
        <v>213930.11717587989</v>
      </c>
      <c r="N61" s="622"/>
      <c r="O61" s="616">
        <f>IF($E$1=3,Docs!H49,0)</f>
        <v>0</v>
      </c>
      <c r="P61" s="730" t="str">
        <f>IF('Trade Properties'!$J$11=2, ":CMA Based", ":Cap Based") &amp; " - Trade Asset Value Received:"</f>
        <v>:CMA Based - Trade Asset Value Received:</v>
      </c>
      <c r="Q61" s="731"/>
      <c r="R61" s="731"/>
      <c r="S61" s="732"/>
    </row>
    <row r="62" spans="1:19" ht="12" customHeight="1" thickBot="1" x14ac:dyDescent="0.3">
      <c r="A62" s="116"/>
      <c r="C62" s="38"/>
      <c r="D62" s="38"/>
      <c r="E62" s="38"/>
      <c r="F62" s="746" t="s">
        <v>605</v>
      </c>
      <c r="G62" s="747"/>
      <c r="H62" s="747"/>
      <c r="I62" s="720"/>
      <c r="J62" s="720"/>
      <c r="K62" s="720"/>
      <c r="L62" s="628"/>
      <c r="M62" s="629">
        <f>SUM(L61:M61)</f>
        <v>213930.11717587989</v>
      </c>
      <c r="N62" s="618"/>
      <c r="O62" s="623">
        <f>SUM(O59:O61)</f>
        <v>213930.11717587989</v>
      </c>
      <c r="P62" s="727" t="s">
        <v>1159</v>
      </c>
      <c r="Q62" s="728"/>
      <c r="R62" s="728"/>
      <c r="S62" s="729"/>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757">
        <f>+'Gnatt Chart'!J5</f>
        <v>25446.674910999998</v>
      </c>
      <c r="C66" s="757"/>
      <c r="D66" s="757">
        <f>-B66</f>
        <v>-25446.674910999998</v>
      </c>
      <c r="E66" s="757"/>
    </row>
    <row r="67" spans="1:12" ht="12" customHeight="1" thickBot="1" x14ac:dyDescent="0.25">
      <c r="A67" s="38" t="s">
        <v>48</v>
      </c>
      <c r="B67" s="125">
        <v>0.1</v>
      </c>
      <c r="D67" s="757"/>
      <c r="E67" s="757"/>
    </row>
    <row r="68" spans="1:12" ht="12" customHeight="1" thickBot="1" x14ac:dyDescent="0.25">
      <c r="A68" s="38" t="s">
        <v>49</v>
      </c>
      <c r="B68" s="788">
        <f>IF(M13,0,+B67*SUM(B66:C66))</f>
        <v>0</v>
      </c>
      <c r="C68" s="788"/>
      <c r="D68" s="788">
        <f>-B68</f>
        <v>0</v>
      </c>
      <c r="E68" s="788"/>
      <c r="G68" s="800" t="s">
        <v>1156</v>
      </c>
      <c r="H68" s="801"/>
      <c r="I68" s="801"/>
      <c r="J68" s="802"/>
      <c r="K68" s="802"/>
      <c r="L68" s="803"/>
    </row>
    <row r="69" spans="1:12" ht="12" customHeight="1" thickBot="1" x14ac:dyDescent="0.25">
      <c r="A69" s="38" t="s">
        <v>50</v>
      </c>
      <c r="D69" s="755">
        <f>+SUM(D66:E68)</f>
        <v>-25446.674910999998</v>
      </c>
      <c r="E69" s="756"/>
      <c r="G69" s="804"/>
      <c r="H69" s="805"/>
      <c r="I69" s="805"/>
      <c r="J69" s="805"/>
      <c r="K69" s="805"/>
      <c r="L69" s="806"/>
    </row>
    <row r="70" spans="1:12" ht="12" customHeight="1" thickTop="1" thickBot="1" x14ac:dyDescent="0.25">
      <c r="A70" s="126" t="s">
        <v>51</v>
      </c>
      <c r="B70" s="124"/>
      <c r="C70" s="124"/>
      <c r="D70" s="38"/>
      <c r="E70" s="38"/>
      <c r="G70" s="767" t="s">
        <v>1157</v>
      </c>
      <c r="H70" s="768"/>
      <c r="I70" s="768"/>
      <c r="J70" s="769"/>
      <c r="K70" s="769"/>
      <c r="L70" s="770"/>
    </row>
    <row r="71" spans="1:12" ht="12" customHeight="1" thickBot="1" x14ac:dyDescent="0.25">
      <c r="A71" s="38" t="s">
        <v>52</v>
      </c>
      <c r="B71" s="828">
        <v>350</v>
      </c>
      <c r="C71" s="829"/>
      <c r="D71" s="757"/>
      <c r="E71" s="757"/>
      <c r="G71" s="764"/>
      <c r="H71" s="765"/>
      <c r="I71" s="765"/>
      <c r="J71" s="765"/>
      <c r="K71" s="765"/>
      <c r="L71" s="766"/>
    </row>
    <row r="72" spans="1:12" ht="12" customHeight="1" thickBot="1" x14ac:dyDescent="0.25">
      <c r="A72" s="38" t="s">
        <v>53</v>
      </c>
      <c r="B72" s="825">
        <v>0</v>
      </c>
      <c r="C72" s="826"/>
      <c r="D72" s="757"/>
      <c r="E72" s="757"/>
      <c r="J72" s="37"/>
      <c r="K72" s="37"/>
    </row>
    <row r="73" spans="1:12" ht="12" customHeight="1" thickBot="1" x14ac:dyDescent="0.3">
      <c r="A73" s="38" t="s">
        <v>54</v>
      </c>
      <c r="B73" s="825">
        <v>250</v>
      </c>
      <c r="C73" s="826"/>
      <c r="F73" s="827" t="s">
        <v>475</v>
      </c>
      <c r="G73" s="785"/>
      <c r="H73" s="785" t="s">
        <v>207</v>
      </c>
      <c r="I73" s="785"/>
      <c r="J73" s="784" t="s">
        <v>476</v>
      </c>
      <c r="K73" s="717"/>
    </row>
    <row r="74" spans="1:12" ht="12" customHeight="1" thickBot="1" x14ac:dyDescent="0.3">
      <c r="A74" s="38" t="s">
        <v>54</v>
      </c>
      <c r="B74" s="825"/>
      <c r="C74" s="826"/>
      <c r="F74" s="758">
        <f>_xlfn.DAYS(J74,H74)</f>
        <v>183</v>
      </c>
      <c r="G74" s="759"/>
      <c r="H74" s="782">
        <v>45748</v>
      </c>
      <c r="I74" s="783"/>
      <c r="J74" s="782">
        <v>45931</v>
      </c>
      <c r="K74" s="783"/>
    </row>
    <row r="75" spans="1:12" ht="12" customHeight="1" x14ac:dyDescent="0.2">
      <c r="A75" s="38" t="s">
        <v>55</v>
      </c>
      <c r="B75" s="825"/>
      <c r="C75" s="826"/>
      <c r="D75" s="121"/>
      <c r="E75" s="114"/>
      <c r="F75" s="114"/>
      <c r="H75" s="114"/>
      <c r="I75" s="292"/>
      <c r="J75" s="293"/>
      <c r="K75" s="114"/>
      <c r="L75" s="771" t="s">
        <v>559</v>
      </c>
    </row>
    <row r="76" spans="1:12" ht="12" customHeight="1" x14ac:dyDescent="0.2">
      <c r="A76" s="38" t="s">
        <v>55</v>
      </c>
      <c r="B76" s="825"/>
      <c r="C76" s="826"/>
      <c r="D76" s="294"/>
      <c r="G76" s="774"/>
      <c r="H76" s="774" t="s">
        <v>477</v>
      </c>
      <c r="I76" s="774" t="s">
        <v>478</v>
      </c>
      <c r="J76" s="774" t="s">
        <v>479</v>
      </c>
      <c r="K76" s="774" t="s">
        <v>480</v>
      </c>
      <c r="L76" s="772"/>
    </row>
    <row r="77" spans="1:12" ht="12" customHeight="1" thickBot="1" x14ac:dyDescent="0.25">
      <c r="A77" s="38" t="s">
        <v>56</v>
      </c>
      <c r="B77" s="825"/>
      <c r="C77" s="826"/>
      <c r="D77" s="115" t="s">
        <v>248</v>
      </c>
      <c r="E77" s="834" t="s">
        <v>481</v>
      </c>
      <c r="F77" s="834"/>
      <c r="G77" s="775"/>
      <c r="H77" s="775"/>
      <c r="I77" s="775"/>
      <c r="J77" s="775"/>
      <c r="K77" s="775"/>
      <c r="L77" s="773"/>
    </row>
    <row r="78" spans="1:12" ht="12" customHeight="1" x14ac:dyDescent="0.25">
      <c r="A78" s="38" t="s">
        <v>57</v>
      </c>
      <c r="B78" s="825"/>
      <c r="C78" s="826"/>
      <c r="D78" s="542">
        <v>45397</v>
      </c>
      <c r="E78" s="780" t="s">
        <v>598</v>
      </c>
      <c r="F78" s="781"/>
      <c r="G78" s="717"/>
      <c r="H78" s="351"/>
      <c r="I78" s="352">
        <f>+H78/$H$84</f>
        <v>0</v>
      </c>
      <c r="J78" s="353">
        <f>+$L$58*I78</f>
        <v>0</v>
      </c>
      <c r="K78" s="354">
        <f>+H78+J78</f>
        <v>0</v>
      </c>
      <c r="L78" s="355">
        <f>IF(H78="",0,+J78/H78*365/_xlfn.DAYS($J$74,D78))</f>
        <v>0</v>
      </c>
    </row>
    <row r="79" spans="1:12" ht="12" customHeight="1" x14ac:dyDescent="0.25">
      <c r="A79" s="38" t="s">
        <v>58</v>
      </c>
      <c r="B79" s="825"/>
      <c r="C79" s="826"/>
      <c r="D79" s="542">
        <f>+D78+90</f>
        <v>45487</v>
      </c>
      <c r="E79" s="780" t="str">
        <f>+E78</f>
        <v>unknown</v>
      </c>
      <c r="F79" s="781"/>
      <c r="G79" s="717"/>
      <c r="H79" s="351"/>
      <c r="I79" s="352">
        <f>+H79/$H$84</f>
        <v>0</v>
      </c>
      <c r="J79" s="353">
        <f>+$L$58*I79</f>
        <v>0</v>
      </c>
      <c r="K79" s="354">
        <f>+H79+J79</f>
        <v>0</v>
      </c>
      <c r="L79" s="355">
        <f>IF(H79="",0,+J79/H79*365/_xlfn.DAYS($J$74,D79))</f>
        <v>0</v>
      </c>
    </row>
    <row r="80" spans="1:12" ht="12" customHeight="1" x14ac:dyDescent="0.25">
      <c r="A80" s="38" t="s">
        <v>59</v>
      </c>
      <c r="B80" s="825"/>
      <c r="C80" s="826"/>
      <c r="D80" s="542">
        <f>+D79+270</f>
        <v>45757</v>
      </c>
      <c r="E80" s="780" t="str">
        <f>+E79</f>
        <v>unknown</v>
      </c>
      <c r="F80" s="781"/>
      <c r="G80" s="717"/>
      <c r="H80" s="351"/>
      <c r="I80" s="352">
        <f>+H80/$H$84</f>
        <v>0</v>
      </c>
      <c r="J80" s="353">
        <f>+$L$58*I80</f>
        <v>0</v>
      </c>
      <c r="K80" s="354">
        <f>+H80+J80</f>
        <v>0</v>
      </c>
      <c r="L80" s="355">
        <f>IF(H80="",0,+J80/H80*365/_xlfn.DAYS($J$74,D80))</f>
        <v>0</v>
      </c>
    </row>
    <row r="81" spans="1:12" ht="12" customHeight="1" thickBot="1" x14ac:dyDescent="0.3">
      <c r="A81" s="38" t="s">
        <v>60</v>
      </c>
      <c r="B81" s="825"/>
      <c r="C81" s="826"/>
      <c r="D81" s="542">
        <f>+J74-120</f>
        <v>45811</v>
      </c>
      <c r="E81" s="780" t="str">
        <f>+E80</f>
        <v>unknown</v>
      </c>
      <c r="F81" s="781"/>
      <c r="G81" s="717"/>
      <c r="H81" s="351"/>
      <c r="I81" s="352">
        <f>+H81/$H$84</f>
        <v>0</v>
      </c>
      <c r="J81" s="353">
        <f>+$L$58*I81</f>
        <v>0</v>
      </c>
      <c r="K81" s="354">
        <f>+H81+J81</f>
        <v>0</v>
      </c>
      <c r="L81" s="355">
        <f>IF(H81="",0,+J81/H81*365/_xlfn.DAYS($J$74,D81))</f>
        <v>0</v>
      </c>
    </row>
    <row r="82" spans="1:12" ht="12" customHeight="1" thickBot="1" x14ac:dyDescent="0.3">
      <c r="A82" s="38" t="s">
        <v>61</v>
      </c>
      <c r="B82" s="825">
        <v>200</v>
      </c>
      <c r="C82" s="826"/>
      <c r="D82" s="543">
        <v>45422</v>
      </c>
      <c r="E82" s="778" t="str">
        <f>+F1</f>
        <v>Heritage Management</v>
      </c>
      <c r="F82" s="779"/>
      <c r="G82" s="717"/>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825"/>
      <c r="C83" s="826"/>
      <c r="D83" s="332" t="str">
        <f>+J73</f>
        <v>End Date</v>
      </c>
      <c r="E83" s="780" t="s">
        <v>596</v>
      </c>
      <c r="F83" s="781"/>
      <c r="G83" s="717"/>
      <c r="H83" s="333">
        <f>+SUM(H77:H80)</f>
        <v>0</v>
      </c>
      <c r="I83" s="334">
        <f>+SUM(I77:I80)</f>
        <v>0</v>
      </c>
      <c r="J83" s="333">
        <f>+SUM(J77:J80)</f>
        <v>0</v>
      </c>
      <c r="K83" s="333">
        <f>+SUM(K77:K80)</f>
        <v>0</v>
      </c>
      <c r="L83" s="335">
        <f>AVERAGE(L77:L80)</f>
        <v>0</v>
      </c>
    </row>
    <row r="84" spans="1:12" ht="12" customHeight="1" thickBot="1" x14ac:dyDescent="0.3">
      <c r="A84" s="38" t="s">
        <v>63</v>
      </c>
      <c r="B84" s="825"/>
      <c r="C84" s="826"/>
      <c r="D84" s="336"/>
      <c r="E84" s="337" t="s">
        <v>597</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825">
        <v>90</v>
      </c>
      <c r="C85" s="826"/>
      <c r="D85" s="757"/>
      <c r="E85" s="757"/>
    </row>
    <row r="86" spans="1:12" ht="12" customHeight="1" x14ac:dyDescent="0.2">
      <c r="A86" s="38" t="s">
        <v>560</v>
      </c>
      <c r="B86" s="825">
        <v>20</v>
      </c>
      <c r="C86" s="826"/>
      <c r="D86" s="757"/>
      <c r="E86" s="757"/>
    </row>
    <row r="87" spans="1:12" ht="12" customHeight="1" x14ac:dyDescent="0.2">
      <c r="A87" s="38" t="s">
        <v>65</v>
      </c>
      <c r="B87" s="825">
        <v>30</v>
      </c>
      <c r="C87" s="826"/>
      <c r="D87" s="757"/>
      <c r="E87" s="757"/>
    </row>
    <row r="88" spans="1:12" ht="12" customHeight="1" thickBot="1" x14ac:dyDescent="0.25">
      <c r="A88" s="38" t="s">
        <v>66</v>
      </c>
      <c r="B88" s="830"/>
      <c r="C88" s="831"/>
      <c r="D88" s="776"/>
      <c r="E88" s="777"/>
    </row>
    <row r="89" spans="1:12" ht="12" customHeight="1" thickBot="1" x14ac:dyDescent="0.25">
      <c r="D89" s="755">
        <f>+SUM(B71:C88)</f>
        <v>940</v>
      </c>
      <c r="E89" s="756"/>
      <c r="G89" s="760" t="s">
        <v>67</v>
      </c>
      <c r="H89" s="761"/>
      <c r="I89" s="761"/>
      <c r="J89" s="762"/>
      <c r="K89" s="762"/>
      <c r="L89" s="763"/>
    </row>
    <row r="90" spans="1:12" ht="12" customHeight="1" thickBot="1" x14ac:dyDescent="0.25">
      <c r="G90" s="764"/>
      <c r="H90" s="765"/>
      <c r="I90" s="765"/>
      <c r="J90" s="765"/>
      <c r="K90" s="765"/>
      <c r="L90" s="766"/>
    </row>
    <row r="91" spans="1:12" ht="12" customHeight="1" thickTop="1" thickBot="1" x14ac:dyDescent="0.25">
      <c r="A91" s="126" t="s">
        <v>68</v>
      </c>
      <c r="B91" s="124"/>
      <c r="C91" s="124"/>
      <c r="D91" s="124"/>
      <c r="E91" s="124"/>
    </row>
    <row r="92" spans="1:12" ht="12" customHeight="1" x14ac:dyDescent="0.2">
      <c r="A92" s="38" t="s">
        <v>52</v>
      </c>
      <c r="B92" s="828"/>
      <c r="C92" s="829"/>
      <c r="D92" s="757"/>
      <c r="E92" s="757"/>
    </row>
    <row r="93" spans="1:12" ht="12" customHeight="1" x14ac:dyDescent="0.2">
      <c r="A93" s="38" t="s">
        <v>54</v>
      </c>
      <c r="B93" s="825">
        <v>250</v>
      </c>
      <c r="C93" s="826"/>
      <c r="D93" s="757"/>
      <c r="E93" s="757"/>
    </row>
    <row r="94" spans="1:12" ht="12" customHeight="1" x14ac:dyDescent="0.2">
      <c r="A94" s="38" t="s">
        <v>69</v>
      </c>
      <c r="B94" s="825">
        <v>0</v>
      </c>
      <c r="C94" s="826"/>
      <c r="D94" s="757"/>
      <c r="E94" s="757"/>
    </row>
    <row r="95" spans="1:12" ht="12" customHeight="1" x14ac:dyDescent="0.2">
      <c r="A95" s="38" t="s">
        <v>70</v>
      </c>
      <c r="B95" s="825"/>
      <c r="C95" s="826"/>
      <c r="D95" s="757"/>
      <c r="E95" s="757"/>
    </row>
    <row r="96" spans="1:12" ht="12" customHeight="1" x14ac:dyDescent="0.2">
      <c r="A96" s="38" t="s">
        <v>64</v>
      </c>
      <c r="B96" s="825"/>
      <c r="C96" s="826"/>
      <c r="D96" s="757"/>
      <c r="E96" s="757"/>
    </row>
    <row r="97" spans="1:12" ht="12" customHeight="1" x14ac:dyDescent="0.2">
      <c r="A97" s="38" t="s">
        <v>71</v>
      </c>
      <c r="B97" s="825">
        <v>40</v>
      </c>
      <c r="C97" s="826"/>
      <c r="D97" s="757"/>
      <c r="E97" s="757"/>
    </row>
    <row r="98" spans="1:12" ht="12" customHeight="1" x14ac:dyDescent="0.2">
      <c r="A98" s="38" t="s">
        <v>72</v>
      </c>
      <c r="B98" s="825"/>
      <c r="C98" s="826"/>
      <c r="D98" s="757"/>
      <c r="E98" s="757"/>
    </row>
    <row r="99" spans="1:12" ht="12" customHeight="1" thickBot="1" x14ac:dyDescent="0.25">
      <c r="A99" s="38" t="s">
        <v>66</v>
      </c>
      <c r="B99" s="832"/>
      <c r="C99" s="833"/>
      <c r="D99" s="776"/>
      <c r="E99" s="777"/>
    </row>
    <row r="100" spans="1:12" ht="12" customHeight="1" thickTop="1" thickBot="1" x14ac:dyDescent="0.25">
      <c r="D100" s="755">
        <f>+SUM(B92:C99)</f>
        <v>290</v>
      </c>
      <c r="E100" s="756"/>
      <c r="G100" s="760" t="s">
        <v>73</v>
      </c>
      <c r="H100" s="761"/>
      <c r="I100" s="761"/>
      <c r="J100" s="762"/>
      <c r="K100" s="762"/>
      <c r="L100" s="763"/>
    </row>
    <row r="101" spans="1:12" ht="12" customHeight="1" thickBot="1" x14ac:dyDescent="0.25">
      <c r="G101" s="764"/>
      <c r="H101" s="765"/>
      <c r="I101" s="765"/>
      <c r="J101" s="765"/>
      <c r="K101" s="765"/>
      <c r="L101" s="766"/>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L7:L8"/>
    <mergeCell ref="L9:L10"/>
    <mergeCell ref="J10:K10"/>
    <mergeCell ref="B24:C24"/>
    <mergeCell ref="B21:C21"/>
    <mergeCell ref="F10:G10"/>
    <mergeCell ref="M9:M10"/>
    <mergeCell ref="E56:F56"/>
    <mergeCell ref="H55:I55"/>
    <mergeCell ref="M7:M8"/>
    <mergeCell ref="L29:M30"/>
    <mergeCell ref="L23:M23"/>
    <mergeCell ref="L50:L51"/>
    <mergeCell ref="S4:V4"/>
    <mergeCell ref="S5:V5"/>
    <mergeCell ref="S6:V6"/>
    <mergeCell ref="N10:O10"/>
    <mergeCell ref="L2:L3"/>
    <mergeCell ref="H14:K14"/>
    <mergeCell ref="M50:M51"/>
    <mergeCell ref="L41:L42"/>
    <mergeCell ref="M41:M42"/>
    <mergeCell ref="L44:L45"/>
    <mergeCell ref="M44:M45"/>
    <mergeCell ref="J3:K3"/>
    <mergeCell ref="H3:I3"/>
    <mergeCell ref="M2:M3"/>
    <mergeCell ref="M47:M48"/>
    <mergeCell ref="L47:L48"/>
    <mergeCell ref="N1:O3"/>
    <mergeCell ref="L31:M34"/>
    <mergeCell ref="S1:V1"/>
    <mergeCell ref="S2:V2"/>
    <mergeCell ref="S3:V3"/>
    <mergeCell ref="F1:M1"/>
    <mergeCell ref="L14:M17"/>
    <mergeCell ref="L22:M22"/>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E78:G78"/>
    <mergeCell ref="E79:G79"/>
    <mergeCell ref="G76:G77"/>
    <mergeCell ref="B71:C71"/>
    <mergeCell ref="B95:C95"/>
    <mergeCell ref="B94:C94"/>
    <mergeCell ref="B75:C75"/>
    <mergeCell ref="F73:G73"/>
    <mergeCell ref="B92:C92"/>
    <mergeCell ref="D92:E92"/>
    <mergeCell ref="B73:C73"/>
    <mergeCell ref="E80:G80"/>
    <mergeCell ref="E81:G81"/>
    <mergeCell ref="B93:C93"/>
    <mergeCell ref="D93:E93"/>
    <mergeCell ref="B88:C88"/>
    <mergeCell ref="B84:C84"/>
    <mergeCell ref="B85:C85"/>
    <mergeCell ref="B87:C87"/>
    <mergeCell ref="D89:E89"/>
    <mergeCell ref="D87:E87"/>
    <mergeCell ref="B86:C86"/>
    <mergeCell ref="D86:E86"/>
    <mergeCell ref="B77:C77"/>
    <mergeCell ref="B83:C83"/>
    <mergeCell ref="F3:G3"/>
    <mergeCell ref="B66:C66"/>
    <mergeCell ref="B68:C68"/>
    <mergeCell ref="E2:F2"/>
    <mergeCell ref="B54:D54"/>
    <mergeCell ref="B42:C42"/>
    <mergeCell ref="B53:C53"/>
    <mergeCell ref="E55:F55"/>
    <mergeCell ref="B27:C27"/>
    <mergeCell ref="D67:E67"/>
    <mergeCell ref="D66:E66"/>
    <mergeCell ref="B2:D2"/>
    <mergeCell ref="D3:E3"/>
    <mergeCell ref="G68:L69"/>
    <mergeCell ref="B52:C52"/>
    <mergeCell ref="B51:C51"/>
    <mergeCell ref="B50:C50"/>
    <mergeCell ref="B60:C60"/>
    <mergeCell ref="D60:E60"/>
    <mergeCell ref="B59:C59"/>
    <mergeCell ref="D11:O11"/>
    <mergeCell ref="B4:C4"/>
    <mergeCell ref="B6:C6"/>
    <mergeCell ref="C10:D10"/>
    <mergeCell ref="D100:E100"/>
    <mergeCell ref="D85:E85"/>
    <mergeCell ref="D94:E94"/>
    <mergeCell ref="F74:G74"/>
    <mergeCell ref="G100:L101"/>
    <mergeCell ref="G70:L71"/>
    <mergeCell ref="L75:L77"/>
    <mergeCell ref="H76:H77"/>
    <mergeCell ref="I76:I77"/>
    <mergeCell ref="J76:J77"/>
    <mergeCell ref="K76:K77"/>
    <mergeCell ref="G89:L90"/>
    <mergeCell ref="D95:E95"/>
    <mergeCell ref="D88:E88"/>
    <mergeCell ref="E82:G82"/>
    <mergeCell ref="E83:G83"/>
    <mergeCell ref="D98:E98"/>
    <mergeCell ref="J74:K74"/>
    <mergeCell ref="J73:K73"/>
    <mergeCell ref="H73:I73"/>
    <mergeCell ref="H74:I74"/>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 ref="F60:K60"/>
    <mergeCell ref="F54:G54"/>
    <mergeCell ref="H54:I54"/>
    <mergeCell ref="E57:G57"/>
    <mergeCell ref="F59:K59"/>
  </mergeCells>
  <conditionalFormatting sqref="F19">
    <cfRule type="expression" dxfId="37" priority="40">
      <formula>IF(B1="flip",-C19,0)</formula>
    </cfRule>
  </conditionalFormatting>
  <conditionalFormatting sqref="B59">
    <cfRule type="expression" dxfId="36" priority="35">
      <formula>IF(OR(C1="Hold",D1="slow flip"),0.15,0)</formula>
    </cfRule>
  </conditionalFormatting>
  <conditionalFormatting sqref="C22">
    <cfRule type="expression" dxfId="35" priority="107">
      <formula>IF(C1="Hold",+B4*B22,0)</formula>
    </cfRule>
  </conditionalFormatting>
  <conditionalFormatting sqref="F22">
    <cfRule type="expression" dxfId="34" priority="108">
      <formula>IF(OR(C1="hold",D1="slow flip"),-C22,"")</formula>
    </cfRule>
  </conditionalFormatting>
  <conditionalFormatting sqref="J22">
    <cfRule type="expression" dxfId="33" priority="109">
      <formula>IF(OR(C1="hold",C4="slow flip"),IPMT(B23/12,1,C23*12,C22),PMT(B23/12,12*C23,C22))</formula>
    </cfRule>
  </conditionalFormatting>
  <conditionalFormatting sqref="E22">
    <cfRule type="expression" dxfId="32" priority="111">
      <formula>IF(C1="hold",C22-C15-C19-C28-B45,0)</formula>
    </cfRule>
  </conditionalFormatting>
  <conditionalFormatting sqref="A9">
    <cfRule type="expression" dxfId="31" priority="17">
      <formula>"(R3=3)"</formula>
    </cfRule>
  </conditionalFormatting>
  <conditionalFormatting sqref="I15:I49">
    <cfRule type="expression" dxfId="30" priority="8">
      <formula>IF(OR(W12=1,W12=2),$B$6,0)</formula>
    </cfRule>
  </conditionalFormatting>
  <conditionalFormatting sqref="I6:I7">
    <cfRule type="expression" dxfId="29" priority="163">
      <formula>IF(OR(AA3=1,AA3=2),$B$6,0)</formula>
    </cfRule>
  </conditionalFormatting>
  <conditionalFormatting sqref="I8">
    <cfRule type="expression" dxfId="28" priority="164">
      <formula>AA3=2</formula>
    </cfRule>
  </conditionalFormatting>
  <conditionalFormatting sqref="H6:H7">
    <cfRule type="expression" dxfId="27" priority="165">
      <formula>IF(OR(AA3=1,AA3=2),$B$6,0)</formula>
    </cfRule>
  </conditionalFormatting>
  <conditionalFormatting sqref="H8">
    <cfRule type="expression" dxfId="26" priority="166">
      <formula>AA3=2</formula>
    </cfRule>
  </conditionalFormatting>
  <conditionalFormatting sqref="H12:H13">
    <cfRule type="expression" dxfId="25" priority="168">
      <formula>IF(AA2=3,+#REF!,0)</formula>
    </cfRule>
  </conditionalFormatting>
  <conditionalFormatting sqref="F49">
    <cfRule type="expression" dxfId="24" priority="187">
      <formula>OR(E1=1,E1=2)</formula>
    </cfRule>
  </conditionalFormatting>
  <conditionalFormatting sqref="F48">
    <cfRule type="expression" dxfId="23" priority="188">
      <formula>OR(E1=1,E1=2)</formula>
    </cfRule>
  </conditionalFormatting>
  <conditionalFormatting sqref="G7">
    <cfRule type="expression" dxfId="22" priority="189">
      <formula>$E$1=3</formula>
    </cfRule>
  </conditionalFormatting>
  <conditionalFormatting sqref="D37">
    <cfRule type="expression" dxfId="21" priority="190">
      <formula>IF(OR(E1=1,E1=2),-B37,0)</formula>
    </cfRule>
  </conditionalFormatting>
  <conditionalFormatting sqref="D11">
    <cfRule type="expression" dxfId="20" priority="191">
      <formula>IF(E1=3,+#REF!,0)</formula>
    </cfRule>
  </conditionalFormatting>
  <conditionalFormatting sqref="O9">
    <cfRule type="expression" dxfId="19" priority="194">
      <formula>IF(OR(E1="Hold",F1="Slow Flip"),+D9,"")</formula>
    </cfRule>
  </conditionalFormatting>
  <conditionalFormatting sqref="D45:D47">
    <cfRule type="expression" dxfId="18" priority="203">
      <formula>IF(OR(V7=1,V7=2),-B45,0)</formula>
    </cfRule>
  </conditionalFormatting>
  <conditionalFormatting sqref="D40:D42">
    <cfRule type="expression" dxfId="17" priority="204">
      <formula>IF(OR(V7=1,V7=2),-B40,0)</formula>
    </cfRule>
  </conditionalFormatting>
  <conditionalFormatting sqref="F17">
    <cfRule type="expression" dxfId="16" priority="205">
      <formula>IF(X5=3,-C17,0)</formula>
    </cfRule>
  </conditionalFormatting>
  <conditionalFormatting sqref="D43:D44">
    <cfRule type="expression" dxfId="15" priority="206">
      <formula>IF(OR(X5=1,X5=2),-B43,0)</formula>
    </cfRule>
  </conditionalFormatting>
  <conditionalFormatting sqref="D38:D39">
    <cfRule type="expression" dxfId="14" priority="207">
      <formula>IF(OR(X5=1,X5=2),-B38,0)</formula>
    </cfRule>
  </conditionalFormatting>
  <conditionalFormatting sqref="K9">
    <cfRule type="expression" dxfId="13" priority="212">
      <formula>IF(OR(C1="Hold",D1="Slow Flip"),+C9,"")</formula>
    </cfRule>
  </conditionalFormatting>
  <conditionalFormatting sqref="H57">
    <cfRule type="expression" dxfId="12" priority="223">
      <formula>IF(OR(C1="Hold",D1="slow Flip"),B9,0)</formula>
    </cfRule>
  </conditionalFormatting>
  <conditionalFormatting sqref="I50:I51">
    <cfRule type="expression" dxfId="11" priority="225">
      <formula>IF(OR(W48=1,W48=2),$B$6,0)</formula>
    </cfRule>
  </conditionalFormatting>
  <conditionalFormatting sqref="M60:N60">
    <cfRule type="expression" dxfId="10" priority="226">
      <formula>IF(C1="Hold",-$B$59*M58,0)</formula>
    </cfRule>
  </conditionalFormatting>
  <conditionalFormatting sqref="C7">
    <cfRule type="expression" dxfId="9" priority="227">
      <formula>IF(C1048569="Hold",+B1048572*B7,0)</formula>
    </cfRule>
  </conditionalFormatting>
  <conditionalFormatting sqref="N53:O54 N57:O62">
    <cfRule type="expression" dxfId="8" priority="5">
      <formula>$E$1=3</formula>
    </cfRule>
  </conditionalFormatting>
  <conditionalFormatting sqref="N56:O56">
    <cfRule type="expression" dxfId="7" priority="2">
      <formula>$E$1=3</formula>
    </cfRule>
  </conditionalFormatting>
  <conditionalFormatting sqref="N55:O55">
    <cfRule type="expression" dxfId="6"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workbookViewId="0">
      <pane ySplit="19" topLeftCell="A20" activePane="bottomLeft" state="frozen"/>
      <selection pane="bottomLeft" activeCell="I5" sqref="I5"/>
    </sheetView>
  </sheetViews>
  <sheetFormatPr defaultRowHeight="15" x14ac:dyDescent="0.25"/>
  <cols>
    <col min="1" max="1" width="8.7109375" style="434"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8.140625" style="265" bestFit="1" customWidth="1"/>
    <col min="23" max="23" width="7.28515625" style="265" customWidth="1"/>
    <col min="24" max="24" width="7.7109375" style="434" customWidth="1"/>
    <col min="25" max="25" width="9.85546875" style="434" customWidth="1"/>
    <col min="26" max="26" width="9" style="265" customWidth="1"/>
    <col min="27" max="27" width="9.85546875" style="14" bestFit="1" customWidth="1"/>
    <col min="28" max="28" width="8.42578125" style="265" customWidth="1"/>
    <col min="29" max="29" width="8.85546875" style="265" customWidth="1"/>
    <col min="30" max="30" width="9"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1:43" ht="15.75" thickBot="1" x14ac:dyDescent="0.3">
      <c r="N1" s="315"/>
      <c r="O1" s="575"/>
      <c r="P1" s="575"/>
      <c r="Q1" s="575"/>
      <c r="R1" s="575"/>
      <c r="S1" s="565">
        <v>1</v>
      </c>
      <c r="T1" s="13"/>
      <c r="W1" s="659" t="s">
        <v>1213</v>
      </c>
      <c r="X1" s="722" t="s">
        <v>1214</v>
      </c>
      <c r="Y1" s="723"/>
      <c r="Z1" s="315"/>
      <c r="AA1" s="432"/>
      <c r="AD1" s="14"/>
      <c r="AK1" s="265"/>
      <c r="AL1" s="265"/>
      <c r="AM1" s="265"/>
      <c r="AN1" s="265"/>
      <c r="AQ1"/>
    </row>
    <row r="2" spans="1:43" ht="15.75" thickBot="1" x14ac:dyDescent="0.3">
      <c r="A2" s="677" t="s">
        <v>588</v>
      </c>
      <c r="B2" s="674"/>
      <c r="C2" s="678"/>
      <c r="D2" s="678"/>
      <c r="E2" s="679"/>
      <c r="J2" s="2" t="s">
        <v>1102</v>
      </c>
      <c r="K2" s="686">
        <v>6000</v>
      </c>
      <c r="L2" s="687"/>
      <c r="N2" s="30" t="s">
        <v>1103</v>
      </c>
      <c r="O2" s="534">
        <f>IF($S$1=1,P2,IF($S$1=2,Q2,IF($S$1=3,R2)))</f>
        <v>0.05</v>
      </c>
      <c r="P2" s="535">
        <v>0.05</v>
      </c>
      <c r="Q2" s="535">
        <v>0.05</v>
      </c>
      <c r="R2" s="535">
        <v>0.05</v>
      </c>
      <c r="S2" s="714" t="s">
        <v>1112</v>
      </c>
      <c r="T2" s="715"/>
      <c r="U2" s="682"/>
      <c r="V2" s="658">
        <f>IF($W$2,$X$2,0)</f>
        <v>134.16999999999999</v>
      </c>
      <c r="W2" s="660" t="b">
        <v>1</v>
      </c>
      <c r="X2" s="724">
        <v>134.16999999999999</v>
      </c>
      <c r="Y2" s="718"/>
      <c r="AA2" s="674" t="s">
        <v>1134</v>
      </c>
      <c r="AB2" s="674"/>
      <c r="AC2" s="675"/>
      <c r="AD2" s="676"/>
      <c r="AQ2"/>
    </row>
    <row r="3" spans="1:43" ht="15.75" thickBot="1" x14ac:dyDescent="0.3">
      <c r="A3" s="680" t="s">
        <v>1151</v>
      </c>
      <c r="B3" s="681"/>
      <c r="C3" s="682"/>
      <c r="D3" s="437">
        <f>IF($W$4,+Profit!C15,0)</f>
        <v>0</v>
      </c>
      <c r="E3" s="579"/>
      <c r="J3" s="30" t="s">
        <v>1104</v>
      </c>
      <c r="K3" s="688">
        <v>0.57720000000000005</v>
      </c>
      <c r="L3" s="689"/>
      <c r="N3" s="30" t="s">
        <v>1105</v>
      </c>
      <c r="O3" s="366">
        <f>IF($S$1=1,P3,IF($S$1=2,Q3,IF($S$1=3,R3)))</f>
        <v>346500</v>
      </c>
      <c r="P3" s="536">
        <f>+Profit!$B$4*(1++P2)</f>
        <v>346500</v>
      </c>
      <c r="Q3" s="367">
        <f>+Profit!$B$4*(1++Q2)</f>
        <v>346500</v>
      </c>
      <c r="R3" s="368">
        <f>+Profit!$B$4*(1++R2)</f>
        <v>346500</v>
      </c>
      <c r="S3" s="716" t="s">
        <v>1113</v>
      </c>
      <c r="T3" s="717"/>
      <c r="U3" s="718"/>
      <c r="V3" s="658">
        <f>IF($W$3,$X$3,0)</f>
        <v>0</v>
      </c>
      <c r="W3" s="660" t="b">
        <v>0</v>
      </c>
      <c r="X3" s="724">
        <v>188.55</v>
      </c>
      <c r="Y3" s="718"/>
      <c r="AA3" s="664" t="s">
        <v>1135</v>
      </c>
      <c r="AB3" s="664"/>
      <c r="AC3" s="665"/>
      <c r="AD3" s="576">
        <f>cfdRate1Payment</f>
        <v>1777.45</v>
      </c>
      <c r="AQ3"/>
    </row>
    <row r="4" spans="1:43" ht="15.75" customHeight="1" thickBot="1" x14ac:dyDescent="0.3">
      <c r="A4" s="680" t="s">
        <v>586</v>
      </c>
      <c r="B4" s="681"/>
      <c r="C4" s="682"/>
      <c r="D4" s="420">
        <f>IF($W$4,+Profit!B15,0)</f>
        <v>0</v>
      </c>
      <c r="E4" s="303"/>
      <c r="F4" s="1014" t="s">
        <v>1217</v>
      </c>
      <c r="G4" s="1015" t="b">
        <v>1</v>
      </c>
      <c r="H4" s="1016"/>
      <c r="J4" s="30" t="s">
        <v>1212</v>
      </c>
      <c r="K4" s="692">
        <v>200000</v>
      </c>
      <c r="L4" s="693"/>
      <c r="N4" s="30" t="s">
        <v>1107</v>
      </c>
      <c r="O4" s="366">
        <f>IF($S$1=1,P4,IF($S$1=2,Q4,IF($S$1=3,R4)))</f>
        <v>200000</v>
      </c>
      <c r="P4" s="536">
        <f>IF($K$4=0,+$O$3*$K$3,$K$4)</f>
        <v>200000</v>
      </c>
      <c r="Q4" s="367">
        <f>IF($K$4=0,+$O$3*$K$3,$K$4)</f>
        <v>200000</v>
      </c>
      <c r="R4" s="368">
        <f>IF($K$4=0,+$O$3*$K$3,$K$4)</f>
        <v>200000</v>
      </c>
      <c r="S4" s="719" t="s">
        <v>1116</v>
      </c>
      <c r="T4" s="720"/>
      <c r="U4" s="721"/>
      <c r="V4" s="658">
        <f>+O9+V2+V3</f>
        <v>1911.6200000000001</v>
      </c>
      <c r="W4" s="661" t="b">
        <v>0</v>
      </c>
      <c r="X4" s="725" t="s">
        <v>1215</v>
      </c>
      <c r="Y4" s="726"/>
      <c r="AA4" s="664" t="s">
        <v>1136</v>
      </c>
      <c r="AB4" s="664"/>
      <c r="AC4" s="665"/>
      <c r="AD4" s="577">
        <f>cfdRate2Payment</f>
        <v>0</v>
      </c>
      <c r="AP4" s="434"/>
      <c r="AQ4" s="14"/>
    </row>
    <row r="5" spans="1:43" ht="15.75" thickBot="1" x14ac:dyDescent="0.3">
      <c r="A5" s="680" t="s">
        <v>1152</v>
      </c>
      <c r="B5" s="681"/>
      <c r="C5" s="682"/>
      <c r="D5" s="437">
        <f>IF($W$4,subjectRemainingMonths/12,0)</f>
        <v>0</v>
      </c>
      <c r="E5" s="437">
        <f>IF($W$4,DATEDIF(subjectKnownBalanceDate,subjectMortgageEndDate,"m")+1,0)</f>
        <v>0</v>
      </c>
      <c r="F5" s="1017"/>
      <c r="G5" s="1018"/>
      <c r="H5" s="1019"/>
      <c r="J5" s="30" t="s">
        <v>1106</v>
      </c>
      <c r="K5" s="690">
        <f>+Profit!M62</f>
        <v>213930.11717587989</v>
      </c>
      <c r="L5" s="691"/>
      <c r="N5" s="30" t="s">
        <v>1121</v>
      </c>
      <c r="O5" s="366">
        <f>+tradeNetCreditIncluded</f>
        <v>0</v>
      </c>
      <c r="P5" s="536">
        <f>+O5</f>
        <v>0</v>
      </c>
      <c r="Q5" s="367">
        <f>+O5</f>
        <v>0</v>
      </c>
      <c r="R5" s="368">
        <f>+O5</f>
        <v>0</v>
      </c>
      <c r="U5" s="434"/>
      <c r="V5" s="434"/>
      <c r="W5" s="434"/>
      <c r="AA5" s="663" t="s">
        <v>1137</v>
      </c>
      <c r="AB5" s="664"/>
      <c r="AC5" s="665"/>
      <c r="AD5" s="577">
        <f>IFERROR(_xlfn.XLOOKUP(cfdFirstRateMonths-1,tblContractForDeed[Period],tblContractForDeed[End Bal]),"")</f>
        <v>0</v>
      </c>
    </row>
    <row r="6" spans="1:43" ht="15.75" thickBot="1" x14ac:dyDescent="0.3">
      <c r="A6" s="680" t="s">
        <v>585</v>
      </c>
      <c r="B6" s="681"/>
      <c r="C6" s="682"/>
      <c r="D6" s="433">
        <f>IF($W$4,ROUND(PMT(subjectInterestRate/12,subjectRemainingMonths,-subjectKnownBalance,0),2),0)</f>
        <v>0</v>
      </c>
      <c r="E6" s="303"/>
      <c r="N6" s="30" t="s">
        <v>1108</v>
      </c>
      <c r="O6" s="366">
        <f>IF($S$1=1,P6,IF($S$1=2,Q6,IF($S$1=3,R6)))</f>
        <v>146500</v>
      </c>
      <c r="P6" s="536">
        <f>+P3-P4-$O$5</f>
        <v>146500</v>
      </c>
      <c r="Q6" s="367">
        <f t="shared" ref="Q6:R6" si="0">+Q3-Q4-$O$5</f>
        <v>146500</v>
      </c>
      <c r="R6" s="368">
        <f t="shared" si="0"/>
        <v>146500</v>
      </c>
      <c r="U6" s="434"/>
      <c r="V6" s="434"/>
      <c r="W6" s="434"/>
      <c r="AA6" s="663" t="s">
        <v>1155</v>
      </c>
      <c r="AB6" s="664"/>
      <c r="AC6" s="665"/>
      <c r="AD6" s="577" cm="1">
        <f t="array" ref="AD6">IFERROR(_xlfn.XLOOKUP(TRUE,tblBuyerOutputs[Monthly Cash Flow]&lt;&gt;0,tblBuyerOutputs[Monthly Cash Flow]),"")</f>
        <v>1777.45</v>
      </c>
    </row>
    <row r="7" spans="1:43" ht="15.75" thickBot="1" x14ac:dyDescent="0.3">
      <c r="A7" s="680" t="s">
        <v>1153</v>
      </c>
      <c r="B7" s="681"/>
      <c r="C7" s="682"/>
      <c r="D7" s="538">
        <v>45839</v>
      </c>
      <c r="E7" s="303"/>
      <c r="N7" s="30" t="s">
        <v>1109</v>
      </c>
      <c r="P7" s="537">
        <v>0.08</v>
      </c>
      <c r="Q7" s="537">
        <v>3.5000000000000003E-2</v>
      </c>
      <c r="R7" s="537">
        <v>3.2500000000000001E-2</v>
      </c>
      <c r="U7" s="434"/>
      <c r="V7" s="434"/>
      <c r="W7" s="434"/>
      <c r="AA7" s="663" t="s">
        <v>1154</v>
      </c>
      <c r="AB7" s="664"/>
      <c r="AC7" s="665"/>
      <c r="AD7" s="577">
        <f>IFERROR(_xlfn.XLOOKUP(cfdFirstRateMonths-1,tblContractForDeed[Period],tblBuyerOutputs[Cumul Cash Flow]),"")</f>
        <v>212813.27000000043</v>
      </c>
    </row>
    <row r="8" spans="1:43" ht="15.75" thickBot="1" x14ac:dyDescent="0.3">
      <c r="A8" s="698" t="s">
        <v>1110</v>
      </c>
      <c r="B8" s="699"/>
      <c r="C8" s="684"/>
      <c r="D8" s="538">
        <v>52322</v>
      </c>
      <c r="E8" s="480"/>
      <c r="N8" s="30" t="s">
        <v>1130</v>
      </c>
      <c r="O8" s="420">
        <f>IF($S$1=1,P8,IF($S$1=2,Q8,IF($S$1=3,R8)))</f>
        <v>0.08</v>
      </c>
      <c r="P8" s="539">
        <f>+$D$4+P7</f>
        <v>0.08</v>
      </c>
      <c r="Q8" s="540">
        <f>+$D$4+Q7</f>
        <v>3.5000000000000003E-2</v>
      </c>
      <c r="R8" s="541">
        <f>+$D$4+R7</f>
        <v>3.2500000000000001E-2</v>
      </c>
      <c r="U8" s="422" t="str">
        <f>"Rate 1 Payment at "&amp;TEXT($O$8,"0.00%")</f>
        <v>Rate 1 Payment at 8.00%</v>
      </c>
      <c r="V8" s="366">
        <f>IF(cfdContractMonths&lt;=0,0,ROUND(PMT(cfdRate1/12,cfdContractMonths,-$O$6,0),2))</f>
        <v>1777.45</v>
      </c>
      <c r="AA8" s="663" t="s">
        <v>1138</v>
      </c>
      <c r="AB8" s="664"/>
      <c r="AC8" s="665"/>
      <c r="AD8" s="577">
        <f>IFERROR(_xlfn.XLOOKUP(cfdFirstRateMonths-1,tblContractForDeed[Period],tblBuyerOutputs[Monthly Appr]),"")</f>
        <v>0</v>
      </c>
    </row>
    <row r="9" spans="1:43" ht="15.75" thickBot="1" x14ac:dyDescent="0.3">
      <c r="N9" s="30" t="s">
        <v>1111</v>
      </c>
      <c r="O9" s="366">
        <f>IF($P$14&lt;=0,0,ROUND(PMT($O$8/12,$P$14,-$O$6,0),2))</f>
        <v>1777.45</v>
      </c>
      <c r="P9" s="536">
        <f>IF($P$14&lt;=0,0,ROUND(PMT(P8/12,$P$14,-P6,0),2))</f>
        <v>1777.45</v>
      </c>
      <c r="Q9" s="367">
        <f>IF($P$14&lt;=0,0,ROUND(PMT(Q8/12,$P$14,-Q6,0),2))</f>
        <v>1448.68</v>
      </c>
      <c r="R9" s="368">
        <f>IF($P$14&lt;=0,0,ROUND(PMT(R8/12,$P$14,-R6,0),2))</f>
        <v>1431.58</v>
      </c>
      <c r="AA9" s="663" t="s">
        <v>1139</v>
      </c>
      <c r="AB9" s="664"/>
      <c r="AC9" s="665"/>
      <c r="AD9" s="577">
        <f>IFERROR(_xlfn.XLOOKUP(cfdFirstRateMonths-1,tblContractForDeed[Period],tblBuyerOutputs[Cumul Appr]),"")</f>
        <v>0</v>
      </c>
      <c r="AH9" s="22"/>
      <c r="AI9" s="22"/>
      <c r="AJ9" s="22"/>
    </row>
    <row r="10" spans="1:43" ht="15.75" thickBot="1" x14ac:dyDescent="0.3">
      <c r="N10" s="30" t="s">
        <v>1144</v>
      </c>
      <c r="P10" s="537">
        <v>0.03</v>
      </c>
      <c r="Q10" s="537">
        <v>3.5000000000000003E-2</v>
      </c>
      <c r="R10" s="537">
        <v>0.04</v>
      </c>
      <c r="AA10" s="666" t="s">
        <v>1140</v>
      </c>
      <c r="AB10" s="667"/>
      <c r="AC10" s="668"/>
      <c r="AD10" s="578">
        <f>cfdFirstRateMonths</f>
        <v>120</v>
      </c>
      <c r="AH10" s="22"/>
      <c r="AI10" s="22"/>
      <c r="AJ10" s="22"/>
    </row>
    <row r="11" spans="1:43" ht="15.75" thickBot="1" x14ac:dyDescent="0.3">
      <c r="N11" s="30" t="s">
        <v>1131</v>
      </c>
      <c r="O11" s="420">
        <f>IF($S$1=1,P11,IF($S$1=2,Q11,IF($S$1=3,R11)))</f>
        <v>0.03</v>
      </c>
      <c r="P11" s="539">
        <f>+$D$4+P10</f>
        <v>0.03</v>
      </c>
      <c r="Q11" s="408">
        <f>+$D$4+Q10</f>
        <v>3.5000000000000003E-2</v>
      </c>
      <c r="R11" s="409">
        <f>+$D$4+R10</f>
        <v>0.04</v>
      </c>
      <c r="T11" s="13"/>
      <c r="U11" s="422" t="str">
        <f>"Rate 2 Payment at "&amp;TEXT($O$11,"0.00%")</f>
        <v>Rate 2 Payment at 3.00%</v>
      </c>
      <c r="V11" s="366">
        <f>IF(MAX(0,cfdContractMonths-cfdFirstRateMonths)&lt;=0,0,ROUND(PMT(cfdRate2/12,MAX(0,cfdContractMonths-cfdFirstRateMonths),-IFERROR(_xlfn.XLOOKUP(cfdFirstRateMonths-1,tblContractForDeed[Period],tblContractForDeed[End Bal]),$O$6),0),2))</f>
        <v>0</v>
      </c>
      <c r="AH11" s="22"/>
      <c r="AI11" s="22"/>
      <c r="AJ11" s="22"/>
      <c r="AK11" s="22"/>
      <c r="AL11"/>
    </row>
    <row r="12" spans="1:43" ht="15.75" thickBot="1" x14ac:dyDescent="0.3">
      <c r="N12" s="30"/>
      <c r="T12" s="13"/>
      <c r="AC12"/>
      <c r="AH12" s="22"/>
      <c r="AI12" s="22"/>
      <c r="AJ12" s="22"/>
      <c r="AK12" s="22"/>
      <c r="AL12"/>
    </row>
    <row r="13" spans="1:43" ht="15.75" thickBot="1" x14ac:dyDescent="0.3">
      <c r="H13" s="683" t="s">
        <v>1114</v>
      </c>
      <c r="I13" s="684"/>
      <c r="J13" s="564">
        <v>46204</v>
      </c>
      <c r="K13" s="683" t="s">
        <v>1142</v>
      </c>
      <c r="L13" s="685"/>
      <c r="M13" s="685"/>
      <c r="N13" s="684"/>
      <c r="O13" s="436">
        <v>10</v>
      </c>
      <c r="P13" s="437">
        <f>+O13*12</f>
        <v>120</v>
      </c>
      <c r="Q13" s="683" t="s">
        <v>1141</v>
      </c>
      <c r="R13" s="684"/>
      <c r="S13" s="669">
        <f>EDATE(J13,P13)</f>
        <v>49857</v>
      </c>
      <c r="T13" s="670"/>
      <c r="AC13"/>
      <c r="AH13" s="22"/>
      <c r="AI13" s="22"/>
      <c r="AJ13" s="22"/>
      <c r="AK13" s="22"/>
      <c r="AL13"/>
    </row>
    <row r="14" spans="1:43" ht="15.75" thickBot="1" x14ac:dyDescent="0.3">
      <c r="K14" s="683" t="s">
        <v>1143</v>
      </c>
      <c r="L14" s="685"/>
      <c r="M14" s="685"/>
      <c r="N14" s="684"/>
      <c r="O14" s="436">
        <v>10</v>
      </c>
      <c r="P14" s="437">
        <f>+O14*12</f>
        <v>120</v>
      </c>
      <c r="Q14" s="683" t="s">
        <v>1115</v>
      </c>
      <c r="R14" s="684"/>
      <c r="S14" s="669">
        <f>EDATE(J13,P14-1)</f>
        <v>49827</v>
      </c>
      <c r="T14" s="670"/>
      <c r="AC14"/>
      <c r="AH14" s="22"/>
      <c r="AI14" s="22"/>
      <c r="AJ14" s="22"/>
      <c r="AK14" s="22"/>
      <c r="AL14"/>
    </row>
    <row r="15" spans="1:43" ht="15" customHeight="1" x14ac:dyDescent="0.25">
      <c r="Z15" s="434"/>
      <c r="AA15" s="434"/>
      <c r="AE15" s="14"/>
    </row>
    <row r="16" spans="1:43" ht="15.75" thickBot="1" x14ac:dyDescent="0.3">
      <c r="O16" s="265"/>
      <c r="P16" s="265"/>
      <c r="Q16" s="265"/>
      <c r="R16" s="265"/>
      <c r="S16" s="265"/>
      <c r="T16" s="265"/>
      <c r="Z16" s="560"/>
      <c r="AA16" s="432"/>
      <c r="AE16" s="14"/>
      <c r="AK16" s="410"/>
      <c r="AL16" s="410"/>
      <c r="AM16" s="410"/>
      <c r="AN16" s="265"/>
    </row>
    <row r="17" spans="1:45" ht="15.75" thickBot="1" x14ac:dyDescent="0.3">
      <c r="A17" s="671" t="s">
        <v>1149</v>
      </c>
      <c r="B17" s="672"/>
      <c r="C17" s="672"/>
      <c r="D17" s="672"/>
      <c r="E17" s="672"/>
      <c r="F17" s="672"/>
      <c r="G17" s="672"/>
      <c r="H17" s="672"/>
      <c r="I17" s="672"/>
      <c r="J17" s="672"/>
      <c r="K17" s="673"/>
      <c r="N17" s="434"/>
      <c r="O17" s="671" t="str">
        <f>"Official Contract for Deed Schedule: "&amp;TEXT($O$8,"0.00%")&amp;" for first "&amp;$O$13&amp;" years, then "&amp;TEXT($O$11,"0.00%")</f>
        <v>Official Contract for Deed Schedule: 8.00% for first 10 years, then 3.00%</v>
      </c>
      <c r="P17" s="672"/>
      <c r="Q17" s="672"/>
      <c r="R17" s="672"/>
      <c r="S17" s="672"/>
      <c r="T17" s="672"/>
      <c r="U17" s="672"/>
      <c r="V17" s="672"/>
      <c r="W17" s="672"/>
      <c r="X17" s="672"/>
      <c r="Y17" s="673"/>
      <c r="Z17" s="671" t="s">
        <v>1148</v>
      </c>
      <c r="AA17" s="672"/>
      <c r="AB17" s="672"/>
      <c r="AC17" s="672"/>
      <c r="AD17" s="672"/>
      <c r="AE17" s="673"/>
    </row>
    <row r="18" spans="1:45" ht="15" customHeight="1" thickBot="1" x14ac:dyDescent="0.3">
      <c r="A18" s="697"/>
      <c r="B18" s="670"/>
      <c r="C18" s="700" t="s">
        <v>649</v>
      </c>
      <c r="D18" s="701"/>
      <c r="E18" s="702"/>
      <c r="F18" s="702"/>
      <c r="G18" s="702"/>
      <c r="H18" s="703"/>
      <c r="I18" s="704" t="s">
        <v>646</v>
      </c>
      <c r="J18" s="705"/>
      <c r="K18" s="385"/>
      <c r="L18" s="704" t="s">
        <v>1145</v>
      </c>
      <c r="M18" s="713"/>
      <c r="N18" s="696"/>
      <c r="O18" s="438"/>
      <c r="P18" s="566"/>
      <c r="Q18" s="706" t="s">
        <v>649</v>
      </c>
      <c r="R18" s="707"/>
      <c r="S18" s="708"/>
      <c r="T18" s="708"/>
      <c r="U18" s="708"/>
      <c r="V18" s="709"/>
      <c r="W18" s="706" t="s">
        <v>646</v>
      </c>
      <c r="X18" s="710"/>
      <c r="Y18" s="385"/>
      <c r="Z18" s="711" t="s">
        <v>1132</v>
      </c>
      <c r="AA18" s="712"/>
      <c r="AB18" s="694" t="s">
        <v>1126</v>
      </c>
      <c r="AC18" s="695"/>
      <c r="AD18" s="695"/>
      <c r="AE18" s="696"/>
    </row>
    <row r="19" spans="1:45" ht="45.75" thickBot="1" x14ac:dyDescent="0.3">
      <c r="A19" s="435" t="s">
        <v>248</v>
      </c>
      <c r="B19" s="567" t="s">
        <v>653</v>
      </c>
      <c r="C19" s="568" t="s">
        <v>195</v>
      </c>
      <c r="D19" s="569" t="s">
        <v>650</v>
      </c>
      <c r="E19" s="568" t="s">
        <v>647</v>
      </c>
      <c r="F19" s="568" t="s">
        <v>654</v>
      </c>
      <c r="G19" s="568" t="s">
        <v>652</v>
      </c>
      <c r="H19" s="568" t="s">
        <v>651</v>
      </c>
      <c r="I19" s="570" t="s">
        <v>1146</v>
      </c>
      <c r="J19" s="570" t="s">
        <v>1147</v>
      </c>
      <c r="K19" s="571" t="s">
        <v>1150</v>
      </c>
      <c r="L19" s="572" t="s">
        <v>601</v>
      </c>
      <c r="M19" s="572" t="s">
        <v>587</v>
      </c>
      <c r="N19" s="573" t="s">
        <v>248</v>
      </c>
      <c r="O19" s="567" t="s">
        <v>653</v>
      </c>
      <c r="P19" s="568" t="s">
        <v>648</v>
      </c>
      <c r="Q19" s="568" t="s">
        <v>195</v>
      </c>
      <c r="R19" s="568" t="s">
        <v>650</v>
      </c>
      <c r="S19" s="568" t="s">
        <v>647</v>
      </c>
      <c r="T19" s="568" t="s">
        <v>654</v>
      </c>
      <c r="U19" s="568" t="s">
        <v>652</v>
      </c>
      <c r="V19" s="568" t="s">
        <v>263</v>
      </c>
      <c r="W19" s="570" t="s">
        <v>1124</v>
      </c>
      <c r="X19" s="570" t="s">
        <v>1125</v>
      </c>
      <c r="Y19" s="569" t="s">
        <v>587</v>
      </c>
      <c r="Z19" s="570" t="s">
        <v>1133</v>
      </c>
      <c r="AA19" s="574" t="s">
        <v>589</v>
      </c>
      <c r="AB19" s="568" t="s">
        <v>0</v>
      </c>
      <c r="AC19" s="568" t="s">
        <v>1127</v>
      </c>
      <c r="AD19" s="567" t="s">
        <v>1128</v>
      </c>
      <c r="AE19" s="567" t="s">
        <v>1129</v>
      </c>
      <c r="AF19" s="22"/>
      <c r="AG19" s="14"/>
      <c r="AM19"/>
      <c r="AN19" s="14"/>
      <c r="AP19" s="265"/>
      <c r="AR19" s="14"/>
      <c r="AS19"/>
    </row>
    <row r="20" spans="1:45" x14ac:dyDescent="0.25">
      <c r="A20" s="561">
        <f>subjectKnownBalanceDate</f>
        <v>45839</v>
      </c>
      <c r="B20" s="265">
        <f>subjectKnownBalance</f>
        <v>0</v>
      </c>
      <c r="C20" s="14">
        <f t="shared" ref="C20:C83" si="1">IF(A20="",0,IF(B20&lt;=0,0,IF(A20=subjectMortgageEndDate,B20+E20,MIN(subjectPayment,B20+E20))))</f>
        <v>0</v>
      </c>
      <c r="D20" s="14">
        <f>IF(C20=0,0,MAX(0,MIN(B20,C20-E20)))</f>
        <v>0</v>
      </c>
      <c r="E20" s="14">
        <f t="shared" ref="E20:E83" si="2">IF(OR(A20="",B20&lt;=0),0,ROUND(B20*(subjectInterestRate/12),2))</f>
        <v>0</v>
      </c>
      <c r="I20" s="265">
        <f>+C20</f>
        <v>0</v>
      </c>
      <c r="J20" s="265">
        <f>+E20</f>
        <v>0</v>
      </c>
      <c r="K20" s="265">
        <f>IF(A20="",0,IF(B20&lt;=0,0,MAX(0,B20-D20)))</f>
        <v>0</v>
      </c>
      <c r="L20" s="373">
        <f t="shared" ref="L20:L83" si="3">IF(MOD(M20,12)=0,M20/12,L19)</f>
        <v>0</v>
      </c>
      <c r="M20" s="373">
        <v>0</v>
      </c>
      <c r="N20" s="561">
        <f>INDEX(tblSubjectToLoan[Date],ROW()-ROW(tblContractForDeed[#Headers]))</f>
        <v>45839</v>
      </c>
      <c r="O20" s="265">
        <f>IF(ROW()=ROW(tblContractForDeed[#Headers])+1,$O$6,IF(INDEX(tblContractForDeed[End Bal],ROW()-ROW(tblContractForDeed[#Headers])-1)&lt;0,0,INDEX(tblContractForDeed[End Bal],ROW()-ROW(tblContractForDeed[#Headers])-1)))</f>
        <v>146500</v>
      </c>
      <c r="P20" s="431">
        <f>IF(tblContractForDeed[[#This Row],[Date]]="","",IF(tblContractForDeed[[#This Row],[Date]]&lt;cfdRateChangeDate,cfdRate1,cfdRate2))</f>
        <v>0.08</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Row],[Payment]]=0,0,$V$2)</f>
        <v>0</v>
      </c>
      <c r="U20" s="265">
        <f>IF(tblContractForDeed[[#This Row],[Princ]]=0,0,$V$3)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146500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39">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610.41666666666663</v>
      </c>
      <c r="AE20" s="586">
        <f>IF(INDEX(tblContractForDeed[End Bal],ROW()-ROW(tblBuyerOutputs[#Headers]))&lt;=0,0,IF(ROW()=ROW(tblBuyerOutputs[#Headers])+1,0,INDEX(tblBuyerOutputs[Cumul Appr],ROW()-ROW(tblBuyerOutputs[#Headers])-1))+tblBuyerOutputs[[#This Row],[Monthly Appr]])</f>
        <v>610.41666666666663</v>
      </c>
      <c r="AF20" s="22"/>
      <c r="AG20" s="14"/>
      <c r="AM20"/>
      <c r="AN20" s="14"/>
      <c r="AP20" s="265"/>
      <c r="AR20" s="14"/>
      <c r="AS20"/>
    </row>
    <row r="21" spans="1:45" x14ac:dyDescent="0.25">
      <c r="A21" s="561">
        <f t="shared" ref="A21:A84" si="4">IF(OR(A20="",A20&gt;=subjectMortgageEndDate),"",EDATE(A20,1))</f>
        <v>45870</v>
      </c>
      <c r="B21" s="265">
        <f t="shared" ref="B21:B84" si="5">IF(A21="",0,MAX(0,K20))</f>
        <v>0</v>
      </c>
      <c r="C21" s="14">
        <f t="shared" si="1"/>
        <v>0</v>
      </c>
      <c r="D21" s="14">
        <f t="shared" ref="D21:D84" si="6">IF(C21=0,0,MAX(0,MIN(B21,C21-E21)))</f>
        <v>0</v>
      </c>
      <c r="E21" s="14">
        <f t="shared" si="2"/>
        <v>0</v>
      </c>
      <c r="I21" s="265">
        <f>$D21+$I20</f>
        <v>0</v>
      </c>
      <c r="J21" s="265">
        <f>$E21+$J20</f>
        <v>0</v>
      </c>
      <c r="K21" s="265">
        <f t="shared" ref="K21:K84" si="7">IF(A21="",0,IF(B21&lt;=0,0,MAX(0,B21-D21)))</f>
        <v>0</v>
      </c>
      <c r="L21" s="373">
        <f t="shared" si="3"/>
        <v>0</v>
      </c>
      <c r="M21" s="373">
        <f t="shared" ref="M21:M84" si="8">IF($A21&lt;&gt;"",M20+1,0)</f>
        <v>1</v>
      </c>
      <c r="N21" s="561">
        <f>INDEX(tblSubjectToLoan[Date],ROW()-ROW(tblContractForDeed[#Headers]))</f>
        <v>45870</v>
      </c>
      <c r="O21" s="265">
        <f>IF(ROW()=ROW(tblContractForDeed[#Headers])+1,$O$6,IF(INDEX(tblContractForDeed[End Bal],ROW()-ROW(tblContractForDeed[#Headers])-1)&lt;0,0,INDEX(tblContractForDeed[End Bal],ROW()-ROW(tblContractForDeed[#Headers])-1)))</f>
        <v>146500</v>
      </c>
      <c r="P21" s="431">
        <f>IF(tblContractForDeed[[#This Row],[Date]]="","",IF(tblContractForDeed[[#This Row],[Date]]&lt;cfdRateChangeDate,cfdRate1,cfdRate2))</f>
        <v>0.08</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Row],[Payment]]=0,0,$V$2)</f>
        <v>0</v>
      </c>
      <c r="U21" s="265">
        <f>IF(tblContractForDeed[[#This Row],[Princ]]=0,0,$V$3)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146500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39">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612.96006944444446</v>
      </c>
      <c r="AE21" s="587">
        <f>IF(INDEX(tblContractForDeed[End Bal],ROW()-ROW(tblBuyerOutputs[#Headers]))&lt;=0,0,IF(ROW()=ROW(tblBuyerOutputs[#Headers])+1,0,INDEX(tblBuyerOutputs[Cumul Appr],ROW()-ROW(tblBuyerOutputs[#Headers])-1))+tblBuyerOutputs[[#This Row],[Monthly Appr]])</f>
        <v>1223.3767361111111</v>
      </c>
      <c r="AF21" s="22"/>
      <c r="AG21" s="14"/>
      <c r="AM21"/>
      <c r="AN21" s="14"/>
      <c r="AP21" s="265"/>
      <c r="AR21" s="14"/>
      <c r="AS21"/>
    </row>
    <row r="22" spans="1:45" x14ac:dyDescent="0.25">
      <c r="A22" s="561">
        <f t="shared" si="4"/>
        <v>45901</v>
      </c>
      <c r="B22" s="265">
        <f t="shared" si="5"/>
        <v>0</v>
      </c>
      <c r="C22" s="14">
        <f t="shared" si="1"/>
        <v>0</v>
      </c>
      <c r="D22" s="14">
        <f t="shared" si="6"/>
        <v>0</v>
      </c>
      <c r="E22" s="14">
        <f t="shared" si="2"/>
        <v>0</v>
      </c>
      <c r="I22" s="265">
        <f t="shared" ref="I22:I85" si="9">$D22+$I21</f>
        <v>0</v>
      </c>
      <c r="J22" s="265">
        <f t="shared" ref="J22:J85" si="10">$E22+$J21</f>
        <v>0</v>
      </c>
      <c r="K22" s="265">
        <f t="shared" si="7"/>
        <v>0</v>
      </c>
      <c r="L22" s="373">
        <f t="shared" si="3"/>
        <v>0</v>
      </c>
      <c r="M22" s="373">
        <f t="shared" si="8"/>
        <v>2</v>
      </c>
      <c r="N22" s="561">
        <f>INDEX(tblSubjectToLoan[Date],ROW()-ROW(tblContractForDeed[#Headers]))</f>
        <v>45901</v>
      </c>
      <c r="O22" s="265">
        <f>IF(ROW()=ROW(tblContractForDeed[#Headers])+1,$O$6,IF(INDEX(tblContractForDeed[End Bal],ROW()-ROW(tblContractForDeed[#Headers])-1)&lt;0,0,INDEX(tblContractForDeed[End Bal],ROW()-ROW(tblContractForDeed[#Headers])-1)))</f>
        <v>146500</v>
      </c>
      <c r="P22" s="431">
        <f>IF(tblContractForDeed[[#This Row],[Date]]="","",IF(tblContractForDeed[[#This Row],[Date]]&lt;cfdRateChangeDate,cfdRate1,cfdRate2))</f>
        <v>0.08</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Row],[Payment]]=0,0,$V$2)</f>
        <v>0</v>
      </c>
      <c r="U22" s="265">
        <f>IF(tblContractForDeed[[#This Row],[Princ]]=0,0,$V$3)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146500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39">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615.51406973379642</v>
      </c>
      <c r="AE22" s="587">
        <f>IF(INDEX(tblContractForDeed[End Bal],ROW()-ROW(tblBuyerOutputs[#Headers]))&lt;=0,0,IF(ROW()=ROW(tblBuyerOutputs[#Headers])+1,0,INDEX(tblBuyerOutputs[Cumul Appr],ROW()-ROW(tblBuyerOutputs[#Headers])-1))+tblBuyerOutputs[[#This Row],[Monthly Appr]])</f>
        <v>1838.8908058449074</v>
      </c>
      <c r="AF22" s="22"/>
      <c r="AG22" s="14"/>
      <c r="AM22"/>
      <c r="AN22" s="14"/>
      <c r="AP22" s="265"/>
      <c r="AR22" s="14"/>
      <c r="AS22"/>
    </row>
    <row r="23" spans="1:45" x14ac:dyDescent="0.25">
      <c r="A23" s="561">
        <f t="shared" si="4"/>
        <v>45931</v>
      </c>
      <c r="B23" s="265">
        <f t="shared" si="5"/>
        <v>0</v>
      </c>
      <c r="C23" s="14">
        <f t="shared" si="1"/>
        <v>0</v>
      </c>
      <c r="D23" s="14">
        <f t="shared" si="6"/>
        <v>0</v>
      </c>
      <c r="E23" s="14">
        <f t="shared" si="2"/>
        <v>0</v>
      </c>
      <c r="I23" s="265">
        <f t="shared" si="9"/>
        <v>0</v>
      </c>
      <c r="J23" s="265">
        <f t="shared" si="10"/>
        <v>0</v>
      </c>
      <c r="K23" s="265">
        <f t="shared" si="7"/>
        <v>0</v>
      </c>
      <c r="L23" s="373">
        <f t="shared" si="3"/>
        <v>0</v>
      </c>
      <c r="M23" s="373">
        <f t="shared" si="8"/>
        <v>3</v>
      </c>
      <c r="N23" s="561">
        <f>INDEX(tblSubjectToLoan[Date],ROW()-ROW(tblContractForDeed[#Headers]))</f>
        <v>45931</v>
      </c>
      <c r="O23" s="265">
        <f>IF(ROW()=ROW(tblContractForDeed[#Headers])+1,$O$6,IF(INDEX(tblContractForDeed[End Bal],ROW()-ROW(tblContractForDeed[#Headers])-1)&lt;0,0,INDEX(tblContractForDeed[End Bal],ROW()-ROW(tblContractForDeed[#Headers])-1)))</f>
        <v>146500</v>
      </c>
      <c r="P23" s="431">
        <f>IF(tblContractForDeed[[#This Row],[Date]]="","",IF(tblContractForDeed[[#This Row],[Date]]&lt;cfdRateChangeDate,cfdRate1,cfdRate2))</f>
        <v>0.08</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Row],[Payment]]=0,0,$V$2)</f>
        <v>0</v>
      </c>
      <c r="U23" s="265">
        <f>IF(tblContractForDeed[[#This Row],[Princ]]=0,0,$V$3)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146500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39">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618.07871169102054</v>
      </c>
      <c r="AE23" s="587">
        <f>IF(INDEX(tblContractForDeed[End Bal],ROW()-ROW(tblBuyerOutputs[#Headers]))&lt;=0,0,IF(ROW()=ROW(tblBuyerOutputs[#Headers])+1,0,INDEX(tblBuyerOutputs[Cumul Appr],ROW()-ROW(tblBuyerOutputs[#Headers])-1))+tblBuyerOutputs[[#This Row],[Monthly Appr]])</f>
        <v>2456.9695175359279</v>
      </c>
      <c r="AF23" s="22"/>
      <c r="AG23" s="14"/>
      <c r="AM23"/>
      <c r="AN23" s="14"/>
      <c r="AP23" s="265"/>
      <c r="AR23" s="14"/>
      <c r="AS23"/>
    </row>
    <row r="24" spans="1:45" x14ac:dyDescent="0.25">
      <c r="A24" s="561">
        <f t="shared" si="4"/>
        <v>45962</v>
      </c>
      <c r="B24" s="265">
        <f t="shared" si="5"/>
        <v>0</v>
      </c>
      <c r="C24" s="14">
        <f t="shared" si="1"/>
        <v>0</v>
      </c>
      <c r="D24" s="14">
        <f t="shared" si="6"/>
        <v>0</v>
      </c>
      <c r="E24" s="14">
        <f t="shared" si="2"/>
        <v>0</v>
      </c>
      <c r="I24" s="265">
        <f t="shared" si="9"/>
        <v>0</v>
      </c>
      <c r="J24" s="265">
        <f t="shared" si="10"/>
        <v>0</v>
      </c>
      <c r="K24" s="265">
        <f t="shared" si="7"/>
        <v>0</v>
      </c>
      <c r="L24" s="373">
        <f t="shared" si="3"/>
        <v>0</v>
      </c>
      <c r="M24" s="373">
        <f t="shared" si="8"/>
        <v>4</v>
      </c>
      <c r="N24" s="561">
        <f>INDEX(tblSubjectToLoan[Date],ROW()-ROW(tblContractForDeed[#Headers]))</f>
        <v>45962</v>
      </c>
      <c r="O24" s="265">
        <f>IF(ROW()=ROW(tblContractForDeed[#Headers])+1,$O$6,IF(INDEX(tblContractForDeed[End Bal],ROW()-ROW(tblContractForDeed[#Headers])-1)&lt;0,0,INDEX(tblContractForDeed[End Bal],ROW()-ROW(tblContractForDeed[#Headers])-1)))</f>
        <v>146500</v>
      </c>
      <c r="P24" s="431">
        <f>IF(tblContractForDeed[[#This Row],[Date]]="","",IF(tblContractForDeed[[#This Row],[Date]]&lt;cfdRateChangeDate,cfdRate1,cfdRate2))</f>
        <v>0.08</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Row],[Payment]]=0,0,$V$2)</f>
        <v>0</v>
      </c>
      <c r="U24" s="265">
        <f>IF(tblContractForDeed[[#This Row],[Princ]]=0,0,$V$3)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146500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39">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620.65403965639973</v>
      </c>
      <c r="AE24" s="587">
        <f>IF(INDEX(tblContractForDeed[End Bal],ROW()-ROW(tblBuyerOutputs[#Headers]))&lt;=0,0,IF(ROW()=ROW(tblBuyerOutputs[#Headers])+1,0,INDEX(tblBuyerOutputs[Cumul Appr],ROW()-ROW(tblBuyerOutputs[#Headers])-1))+tblBuyerOutputs[[#This Row],[Monthly Appr]])</f>
        <v>3077.6235571923276</v>
      </c>
      <c r="AF24" s="22"/>
      <c r="AG24" s="14"/>
      <c r="AM24"/>
      <c r="AN24" s="14"/>
      <c r="AP24" s="265"/>
      <c r="AR24" s="14"/>
      <c r="AS24"/>
    </row>
    <row r="25" spans="1:45" x14ac:dyDescent="0.25">
      <c r="A25" s="561">
        <f t="shared" si="4"/>
        <v>45992</v>
      </c>
      <c r="B25" s="265">
        <f t="shared" si="5"/>
        <v>0</v>
      </c>
      <c r="C25" s="14">
        <f t="shared" si="1"/>
        <v>0</v>
      </c>
      <c r="D25" s="14">
        <f t="shared" si="6"/>
        <v>0</v>
      </c>
      <c r="E25" s="14">
        <f t="shared" si="2"/>
        <v>0</v>
      </c>
      <c r="I25" s="265">
        <f t="shared" si="9"/>
        <v>0</v>
      </c>
      <c r="J25" s="265">
        <f t="shared" si="10"/>
        <v>0</v>
      </c>
      <c r="K25" s="265">
        <f t="shared" si="7"/>
        <v>0</v>
      </c>
      <c r="L25" s="373">
        <f t="shared" si="3"/>
        <v>0</v>
      </c>
      <c r="M25" s="373">
        <f t="shared" si="8"/>
        <v>5</v>
      </c>
      <c r="N25" s="561">
        <f>INDEX(tblSubjectToLoan[Date],ROW()-ROW(tblContractForDeed[#Headers]))</f>
        <v>45992</v>
      </c>
      <c r="O25" s="265">
        <f>IF(ROW()=ROW(tblContractForDeed[#Headers])+1,$O$6,IF(INDEX(tblContractForDeed[End Bal],ROW()-ROW(tblContractForDeed[#Headers])-1)&lt;0,0,INDEX(tblContractForDeed[End Bal],ROW()-ROW(tblContractForDeed[#Headers])-1)))</f>
        <v>146500</v>
      </c>
      <c r="P25" s="431">
        <f>IF(tblContractForDeed[[#This Row],[Date]]="","",IF(tblContractForDeed[[#This Row],[Date]]&lt;cfdRateChangeDate,cfdRate1,cfdRate2))</f>
        <v>0.08</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Row],[Payment]]=0,0,$V$2)</f>
        <v>0</v>
      </c>
      <c r="U25" s="265">
        <f>IF(tblContractForDeed[[#This Row],[Princ]]=0,0,$V$3)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146500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39">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623.24009815496811</v>
      </c>
      <c r="AE25" s="587">
        <f>IF(INDEX(tblContractForDeed[End Bal],ROW()-ROW(tblBuyerOutputs[#Headers]))&lt;=0,0,IF(ROW()=ROW(tblBuyerOutputs[#Headers])+1,0,INDEX(tblBuyerOutputs[Cumul Appr],ROW()-ROW(tblBuyerOutputs[#Headers])-1))+tblBuyerOutputs[[#This Row],[Monthly Appr]])</f>
        <v>3700.8636553472957</v>
      </c>
      <c r="AF25" s="22"/>
      <c r="AG25" s="14"/>
      <c r="AM25"/>
      <c r="AN25" s="14"/>
      <c r="AP25" s="265"/>
      <c r="AR25" s="14"/>
      <c r="AS25"/>
    </row>
    <row r="26" spans="1:45" x14ac:dyDescent="0.25">
      <c r="A26" s="561">
        <f t="shared" si="4"/>
        <v>46023</v>
      </c>
      <c r="B26" s="265">
        <f t="shared" si="5"/>
        <v>0</v>
      </c>
      <c r="C26" s="14">
        <f t="shared" si="1"/>
        <v>0</v>
      </c>
      <c r="D26" s="14">
        <f t="shared" si="6"/>
        <v>0</v>
      </c>
      <c r="E26" s="14">
        <f t="shared" si="2"/>
        <v>0</v>
      </c>
      <c r="I26" s="265">
        <f t="shared" si="9"/>
        <v>0</v>
      </c>
      <c r="J26" s="265">
        <f t="shared" si="10"/>
        <v>0</v>
      </c>
      <c r="K26" s="265">
        <f t="shared" si="7"/>
        <v>0</v>
      </c>
      <c r="L26" s="373">
        <f t="shared" si="3"/>
        <v>0</v>
      </c>
      <c r="M26" s="373">
        <f t="shared" si="8"/>
        <v>6</v>
      </c>
      <c r="N26" s="561">
        <f>INDEX(tblSubjectToLoan[Date],ROW()-ROW(tblContractForDeed[#Headers]))</f>
        <v>46023</v>
      </c>
      <c r="O26" s="265">
        <f>IF(ROW()=ROW(tblContractForDeed[#Headers])+1,$O$6,IF(INDEX(tblContractForDeed[End Bal],ROW()-ROW(tblContractForDeed[#Headers])-1)&lt;0,0,INDEX(tblContractForDeed[End Bal],ROW()-ROW(tblContractForDeed[#Headers])-1)))</f>
        <v>146500</v>
      </c>
      <c r="P26" s="431">
        <f>IF(tblContractForDeed[[#This Row],[Date]]="","",IF(tblContractForDeed[[#This Row],[Date]]&lt;cfdRateChangeDate,cfdRate1,cfdRate2))</f>
        <v>0.08</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Row],[Payment]]=0,0,$V$2)</f>
        <v>0</v>
      </c>
      <c r="U26" s="265">
        <f>IF(tblContractForDeed[[#This Row],[Princ]]=0,0,$V$3)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146500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39">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625.83693189728035</v>
      </c>
      <c r="AE26" s="587">
        <f>IF(INDEX(tblContractForDeed[End Bal],ROW()-ROW(tblBuyerOutputs[#Headers]))&lt;=0,0,IF(ROW()=ROW(tblBuyerOutputs[#Headers])+1,0,INDEX(tblBuyerOutputs[Cumul Appr],ROW()-ROW(tblBuyerOutputs[#Headers])-1))+tblBuyerOutputs[[#This Row],[Monthly Appr]])</f>
        <v>4326.7005872445761</v>
      </c>
      <c r="AF26" s="22"/>
      <c r="AG26" s="14"/>
      <c r="AM26"/>
      <c r="AN26" s="14"/>
      <c r="AP26" s="265"/>
      <c r="AR26" s="14"/>
      <c r="AS26"/>
    </row>
    <row r="27" spans="1:45" x14ac:dyDescent="0.25">
      <c r="A27" s="561">
        <f t="shared" si="4"/>
        <v>46054</v>
      </c>
      <c r="B27" s="265">
        <f t="shared" si="5"/>
        <v>0</v>
      </c>
      <c r="C27" s="14">
        <f t="shared" si="1"/>
        <v>0</v>
      </c>
      <c r="D27" s="14">
        <f t="shared" si="6"/>
        <v>0</v>
      </c>
      <c r="E27" s="14">
        <f t="shared" si="2"/>
        <v>0</v>
      </c>
      <c r="I27" s="265">
        <f t="shared" si="9"/>
        <v>0</v>
      </c>
      <c r="J27" s="265">
        <f t="shared" si="10"/>
        <v>0</v>
      </c>
      <c r="K27" s="265">
        <f t="shared" si="7"/>
        <v>0</v>
      </c>
      <c r="L27" s="373">
        <f t="shared" si="3"/>
        <v>0</v>
      </c>
      <c r="M27" s="373">
        <f t="shared" si="8"/>
        <v>7</v>
      </c>
      <c r="N27" s="561">
        <f>INDEX(tblSubjectToLoan[Date],ROW()-ROW(tblContractForDeed[#Headers]))</f>
        <v>46054</v>
      </c>
      <c r="O27" s="265">
        <f>IF(ROW()=ROW(tblContractForDeed[#Headers])+1,$O$6,IF(INDEX(tblContractForDeed[End Bal],ROW()-ROW(tblContractForDeed[#Headers])-1)&lt;0,0,INDEX(tblContractForDeed[End Bal],ROW()-ROW(tblContractForDeed[#Headers])-1)))</f>
        <v>146500</v>
      </c>
      <c r="P27" s="431">
        <f>IF(tblContractForDeed[[#This Row],[Date]]="","",IF(tblContractForDeed[[#This Row],[Date]]&lt;cfdRateChangeDate,cfdRate1,cfdRate2))</f>
        <v>0.08</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Row],[Payment]]=0,0,$V$2)</f>
        <v>0</v>
      </c>
      <c r="U27" s="265">
        <f>IF(tblContractForDeed[[#This Row],[Princ]]=0,0,$V$3)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146500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39">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628.44458578018578</v>
      </c>
      <c r="AE27" s="587">
        <f>IF(INDEX(tblContractForDeed[End Bal],ROW()-ROW(tblBuyerOutputs[#Headers]))&lt;=0,0,IF(ROW()=ROW(tblBuyerOutputs[#Headers])+1,0,INDEX(tblBuyerOutputs[Cumul Appr],ROW()-ROW(tblBuyerOutputs[#Headers])-1))+tblBuyerOutputs[[#This Row],[Monthly Appr]])</f>
        <v>4955.1451730247618</v>
      </c>
      <c r="AF27" s="22"/>
      <c r="AG27" s="14"/>
      <c r="AM27"/>
      <c r="AN27" s="14"/>
      <c r="AP27" s="265"/>
      <c r="AR27" s="14"/>
      <c r="AS27"/>
    </row>
    <row r="28" spans="1:45" x14ac:dyDescent="0.25">
      <c r="A28" s="561">
        <f t="shared" si="4"/>
        <v>46082</v>
      </c>
      <c r="B28" s="265">
        <f t="shared" si="5"/>
        <v>0</v>
      </c>
      <c r="C28" s="14">
        <f t="shared" si="1"/>
        <v>0</v>
      </c>
      <c r="D28" s="14">
        <f t="shared" si="6"/>
        <v>0</v>
      </c>
      <c r="E28" s="14">
        <f t="shared" si="2"/>
        <v>0</v>
      </c>
      <c r="I28" s="265">
        <f t="shared" si="9"/>
        <v>0</v>
      </c>
      <c r="J28" s="265">
        <f t="shared" si="10"/>
        <v>0</v>
      </c>
      <c r="K28" s="265">
        <f t="shared" si="7"/>
        <v>0</v>
      </c>
      <c r="L28" s="373">
        <f t="shared" si="3"/>
        <v>0</v>
      </c>
      <c r="M28" s="373">
        <f t="shared" si="8"/>
        <v>8</v>
      </c>
      <c r="N28" s="561">
        <f>INDEX(tblSubjectToLoan[Date],ROW()-ROW(tblContractForDeed[#Headers]))</f>
        <v>46082</v>
      </c>
      <c r="O28" s="265">
        <f>IF(ROW()=ROW(tblContractForDeed[#Headers])+1,$O$6,IF(INDEX(tblContractForDeed[End Bal],ROW()-ROW(tblContractForDeed[#Headers])-1)&lt;0,0,INDEX(tblContractForDeed[End Bal],ROW()-ROW(tblContractForDeed[#Headers])-1)))</f>
        <v>146500</v>
      </c>
      <c r="P28" s="431">
        <f>IF(tblContractForDeed[[#This Row],[Date]]="","",IF(tblContractForDeed[[#This Row],[Date]]&lt;cfdRateChangeDate,cfdRate1,cfdRate2))</f>
        <v>0.08</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Row],[Payment]]=0,0,$V$2)</f>
        <v>0</v>
      </c>
      <c r="U28" s="265">
        <f>IF(tblContractForDeed[[#This Row],[Princ]]=0,0,$V$3)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146500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39">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631.06310488760323</v>
      </c>
      <c r="AE28" s="587">
        <f>IF(INDEX(tblContractForDeed[End Bal],ROW()-ROW(tblBuyerOutputs[#Headers]))&lt;=0,0,IF(ROW()=ROW(tblBuyerOutputs[#Headers])+1,0,INDEX(tblBuyerOutputs[Cumul Appr],ROW()-ROW(tblBuyerOutputs[#Headers])-1))+tblBuyerOutputs[[#This Row],[Monthly Appr]])</f>
        <v>5586.2082779123648</v>
      </c>
      <c r="AF28" s="22"/>
      <c r="AG28" s="14"/>
      <c r="AM28"/>
      <c r="AN28" s="14"/>
      <c r="AP28" s="265"/>
      <c r="AR28" s="14"/>
      <c r="AS28"/>
    </row>
    <row r="29" spans="1:45" x14ac:dyDescent="0.25">
      <c r="A29" s="561">
        <f t="shared" si="4"/>
        <v>46113</v>
      </c>
      <c r="B29" s="265">
        <f t="shared" si="5"/>
        <v>0</v>
      </c>
      <c r="C29" s="14">
        <f t="shared" si="1"/>
        <v>0</v>
      </c>
      <c r="D29" s="14">
        <f t="shared" si="6"/>
        <v>0</v>
      </c>
      <c r="E29" s="14">
        <f t="shared" si="2"/>
        <v>0</v>
      </c>
      <c r="I29" s="265">
        <f t="shared" si="9"/>
        <v>0</v>
      </c>
      <c r="J29" s="265">
        <f t="shared" si="10"/>
        <v>0</v>
      </c>
      <c r="K29" s="265">
        <f t="shared" si="7"/>
        <v>0</v>
      </c>
      <c r="L29" s="373">
        <f t="shared" si="3"/>
        <v>0</v>
      </c>
      <c r="M29" s="373">
        <f t="shared" si="8"/>
        <v>9</v>
      </c>
      <c r="N29" s="561">
        <f>INDEX(tblSubjectToLoan[Date],ROW()-ROW(tblContractForDeed[#Headers]))</f>
        <v>46113</v>
      </c>
      <c r="O29" s="265">
        <f>IF(ROW()=ROW(tblContractForDeed[#Headers])+1,$O$6,IF(INDEX(tblContractForDeed[End Bal],ROW()-ROW(tblContractForDeed[#Headers])-1)&lt;0,0,INDEX(tblContractForDeed[End Bal],ROW()-ROW(tblContractForDeed[#Headers])-1)))</f>
        <v>146500</v>
      </c>
      <c r="P29" s="431">
        <f>IF(tblContractForDeed[[#This Row],[Date]]="","",IF(tblContractForDeed[[#This Row],[Date]]&lt;cfdRateChangeDate,cfdRate1,cfdRate2))</f>
        <v>0.08</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Row],[Payment]]=0,0,$V$2)</f>
        <v>0</v>
      </c>
      <c r="U29" s="265">
        <f>IF(tblContractForDeed[[#This Row],[Princ]]=0,0,$V$3)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146500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39">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633.69253449130156</v>
      </c>
      <c r="AE29" s="587">
        <f>IF(INDEX(tblContractForDeed[End Bal],ROW()-ROW(tblBuyerOutputs[#Headers]))&lt;=0,0,IF(ROW()=ROW(tblBuyerOutputs[#Headers])+1,0,INDEX(tblBuyerOutputs[Cumul Appr],ROW()-ROW(tblBuyerOutputs[#Headers])-1))+tblBuyerOutputs[[#This Row],[Monthly Appr]])</f>
        <v>6219.9008124036664</v>
      </c>
      <c r="AF29" s="22"/>
      <c r="AG29" s="14"/>
      <c r="AM29"/>
      <c r="AN29" s="14"/>
      <c r="AP29" s="265"/>
      <c r="AR29" s="14"/>
      <c r="AS29"/>
    </row>
    <row r="30" spans="1:45" x14ac:dyDescent="0.25">
      <c r="A30" s="561">
        <f t="shared" si="4"/>
        <v>46143</v>
      </c>
      <c r="B30" s="265">
        <f t="shared" si="5"/>
        <v>0</v>
      </c>
      <c r="C30" s="14">
        <f t="shared" si="1"/>
        <v>0</v>
      </c>
      <c r="D30" s="14">
        <f t="shared" si="6"/>
        <v>0</v>
      </c>
      <c r="E30" s="14">
        <f t="shared" si="2"/>
        <v>0</v>
      </c>
      <c r="I30" s="265">
        <f t="shared" si="9"/>
        <v>0</v>
      </c>
      <c r="J30" s="265">
        <f t="shared" si="10"/>
        <v>0</v>
      </c>
      <c r="K30" s="265">
        <f t="shared" si="7"/>
        <v>0</v>
      </c>
      <c r="L30" s="373">
        <f t="shared" si="3"/>
        <v>0</v>
      </c>
      <c r="M30" s="373">
        <f t="shared" si="8"/>
        <v>10</v>
      </c>
      <c r="N30" s="561">
        <f>INDEX(tblSubjectToLoan[Date],ROW()-ROW(tblContractForDeed[#Headers]))</f>
        <v>46143</v>
      </c>
      <c r="O30" s="265">
        <f>IF(ROW()=ROW(tblContractForDeed[#Headers])+1,$O$6,IF(INDEX(tblContractForDeed[End Bal],ROW()-ROW(tblContractForDeed[#Headers])-1)&lt;0,0,INDEX(tblContractForDeed[End Bal],ROW()-ROW(tblContractForDeed[#Headers])-1)))</f>
        <v>146500</v>
      </c>
      <c r="P30" s="431">
        <f>IF(tblContractForDeed[[#This Row],[Date]]="","",IF(tblContractForDeed[[#This Row],[Date]]&lt;cfdRateChangeDate,cfdRate1,cfdRate2))</f>
        <v>0.08</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Row],[Payment]]=0,0,$V$2)</f>
        <v>0</v>
      </c>
      <c r="U30" s="265">
        <f>IF(tblContractForDeed[[#This Row],[Princ]]=0,0,$V$3)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146500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39">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636.33292005168198</v>
      </c>
      <c r="AE30" s="587">
        <f>IF(INDEX(tblContractForDeed[End Bal],ROW()-ROW(tblBuyerOutputs[#Headers]))&lt;=0,0,IF(ROW()=ROW(tblBuyerOutputs[#Headers])+1,0,INDEX(tblBuyerOutputs[Cumul Appr],ROW()-ROW(tblBuyerOutputs[#Headers])-1))+tblBuyerOutputs[[#This Row],[Monthly Appr]])</f>
        <v>6856.2337324553482</v>
      </c>
      <c r="AF30" s="22"/>
      <c r="AG30" s="14"/>
      <c r="AM30"/>
      <c r="AN30" s="14"/>
      <c r="AP30" s="265"/>
      <c r="AR30" s="14"/>
      <c r="AS30"/>
    </row>
    <row r="31" spans="1:45" ht="15.75" thickBot="1" x14ac:dyDescent="0.3">
      <c r="A31" s="562">
        <f t="shared" si="4"/>
        <v>46174</v>
      </c>
      <c r="B31" s="316">
        <f t="shared" si="5"/>
        <v>0</v>
      </c>
      <c r="C31" s="21">
        <f t="shared" si="1"/>
        <v>0</v>
      </c>
      <c r="D31" s="21">
        <f t="shared" si="6"/>
        <v>0</v>
      </c>
      <c r="E31" s="21">
        <f t="shared" si="2"/>
        <v>0</v>
      </c>
      <c r="F31" s="21"/>
      <c r="G31" s="21"/>
      <c r="H31" s="21"/>
      <c r="I31" s="316">
        <f t="shared" si="9"/>
        <v>0</v>
      </c>
      <c r="J31" s="316">
        <f t="shared" si="10"/>
        <v>0</v>
      </c>
      <c r="K31" s="316">
        <f t="shared" si="7"/>
        <v>0</v>
      </c>
      <c r="L31" s="374">
        <f t="shared" si="3"/>
        <v>0</v>
      </c>
      <c r="M31" s="374">
        <f t="shared" si="8"/>
        <v>11</v>
      </c>
      <c r="N31" s="562">
        <f>INDEX(tblSubjectToLoan[Date],ROW()-ROW(tblContractForDeed[#Headers]))</f>
        <v>46174</v>
      </c>
      <c r="O31" s="316">
        <f>IF(ROW()=ROW(tblContractForDeed[#Headers])+1,$O$6,IF(INDEX(tblContractForDeed[End Bal],ROW()-ROW(tblContractForDeed[#Headers])-1)&lt;0,0,INDEX(tblContractForDeed[End Bal],ROW()-ROW(tblContractForDeed[#Headers])-1)))</f>
        <v>146500</v>
      </c>
      <c r="P31" s="585">
        <f>IF(tblContractForDeed[[#This Row],[Date]]="","",IF(tblContractForDeed[[#This Row],[Date]]&lt;cfdRateChangeDate,cfdRate1,cfdRate2))</f>
        <v>0.08</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Row],[Payment]]=0,0,$V$2)</f>
        <v>0</v>
      </c>
      <c r="U31" s="316">
        <f>IF(tblContractForDeed[[#This Row],[Princ]]=0,0,$V$3)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146500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0">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638.98430721856403</v>
      </c>
      <c r="AE31" s="588">
        <f>IF(INDEX(tblContractForDeed[End Bal],ROW()-ROW(tblBuyerOutputs[#Headers]))&lt;=0,0,IF(ROW()=ROW(tblBuyerOutputs[#Headers])+1,0,INDEX(tblBuyerOutputs[Cumul Appr],ROW()-ROW(tblBuyerOutputs[#Headers])-1))+tblBuyerOutputs[[#This Row],[Monthly Appr]])</f>
        <v>7495.2180396739122</v>
      </c>
      <c r="AF31" s="22"/>
      <c r="AG31" s="14"/>
      <c r="AM31"/>
      <c r="AN31" s="14"/>
      <c r="AP31" s="265"/>
      <c r="AR31" s="14"/>
      <c r="AS31"/>
    </row>
    <row r="32" spans="1:45" x14ac:dyDescent="0.25">
      <c r="A32" s="561">
        <f t="shared" si="4"/>
        <v>46204</v>
      </c>
      <c r="B32" s="265">
        <f t="shared" si="5"/>
        <v>0</v>
      </c>
      <c r="C32" s="14">
        <f t="shared" si="1"/>
        <v>0</v>
      </c>
      <c r="D32" s="14">
        <f t="shared" si="6"/>
        <v>0</v>
      </c>
      <c r="E32" s="14">
        <f t="shared" si="2"/>
        <v>0</v>
      </c>
      <c r="I32" s="265">
        <f t="shared" si="9"/>
        <v>0</v>
      </c>
      <c r="J32" s="265">
        <f t="shared" si="10"/>
        <v>0</v>
      </c>
      <c r="K32" s="265">
        <f t="shared" si="7"/>
        <v>0</v>
      </c>
      <c r="L32" s="373">
        <f t="shared" si="3"/>
        <v>1</v>
      </c>
      <c r="M32" s="373">
        <f t="shared" si="8"/>
        <v>12</v>
      </c>
      <c r="N32" s="561">
        <f>INDEX(tblSubjectToLoan[Date],ROW()-ROW(tblContractForDeed[#Headers]))</f>
        <v>46204</v>
      </c>
      <c r="O32" s="265">
        <f>IF(ROW()=ROW(tblContractForDeed[#Headers])+1,$O$6,IF(INDEX(tblContractForDeed[End Bal],ROW()-ROW(tblContractForDeed[#Headers])-1)&lt;0,0,INDEX(tblContractForDeed[End Bal],ROW()-ROW(tblContractForDeed[#Headers])-1)))</f>
        <v>146500</v>
      </c>
      <c r="P32" s="431">
        <f>IF(tblContractForDeed[[#This Row],[Date]]="","",IF(tblContractForDeed[[#This Row],[Date]]&lt;cfdRateChangeDate,cfdRate1,cfdRate2))</f>
        <v>0.08</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2" s="265">
        <f>IF(tblContractForDeed[[#This Row],[Payment]]=0,0,MAX(0,MIN(tblContractForDeed[[#This Row],[Beg]],tblContractForDeed[[#This Row],[Payment]]-tblContractForDeed[[#This Row],[Int]])))</f>
        <v>800.78000000000009</v>
      </c>
      <c r="S32" s="265">
        <f>IF(OR(tblContractForDeed[[#This Row],[Date]]&lt;cfdContractDate,tblContractForDeed[[#This Row],[Date]]&gt;cfdEndDate),0,ROUND(tblContractForDeed[[#This Row],[Beg]]*(tblContractForDeed[[#This Row],[Int Rate]]/12),2))</f>
        <v>976.67</v>
      </c>
      <c r="T32" s="265">
        <f>IF(tblContractForDeed[[#This Row],[Payment]]=0,0,$V$2)</f>
        <v>134.16999999999999</v>
      </c>
      <c r="U32" s="265">
        <f>IF(tblContractForDeed[[#This Row],[Princ]]=0,0,$V$3)</f>
        <v>0</v>
      </c>
      <c r="V32" s="265">
        <f>SUM(tblContractForDeed[[#This Row],[Princ]],tblContractForDeed[[#This Row],[Int]],tblContractForDeed[[#This Row],[Ins]],tblContractForDeed[[#This Row],[Taxes]])</f>
        <v>1911.6200000000001</v>
      </c>
      <c r="W32" s="265">
        <f>SUM(INDEX(tblContractForDeed[Princ],1):INDEX(tblContractForDeed[Princ],ROW()-ROW(tblContractForDeed[#Headers])))</f>
        <v>800.78000000000009</v>
      </c>
      <c r="X32" s="265">
        <f>IF(tblContractForDeed[[#This Row],[Beg]]&lt;=0,0,tblContractForDeed[[#This Row],[Beg]]-tblContractForDeed[[#This Row],[Princ]])</f>
        <v>145699.22</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39">
        <f>IF(INDEX(tblContractForDeed[Payment],ROW()-ROW(tblBuyerOutputs[#Headers]))=0,0,INDEX(tblContractForDeed[Payment],ROW()-ROW(tblBuyerOutputs[#Headers]))-INDEX(tblSubjectToLoan[Payment],ROW()-ROW(tblBuyerOutputs[#Headers])))</f>
        <v>1777.45</v>
      </c>
      <c r="AA32"/>
      <c r="AB32" s="14">
        <f>IF(INDEX(tblContractForDeed[Payment],ROW()-ROW(tblBuyerOutputs[#Headers]))=0,0,INDEX(tblContractForDeed[Payment],ROW()-ROW(tblBuyerOutputs[#Headers]))-INDEX(tblSubjectToLoan[Payment],ROW()-ROW(tblBuyerOutputs[#Headers])))-IFERROR(tblBuyerOutputs[[#This Row],[PMI]],0)</f>
        <v>1777.45</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1777.45</v>
      </c>
      <c r="AD32" s="265">
        <f>IF(INDEX(tblContractForDeed[End Bal],ROW()-ROW(tblBuyerOutputs[#Headers]))&lt;=0,0,($O$6+IF(ROW()=ROW(tblBuyerOutputs[#Headers])+1,0,INDEX(tblBuyerOutputs[Cumul Appr],ROW()-ROW(tblBuyerOutputs[#Headers])-1)))*$O$2/12)</f>
        <v>641.64674183197462</v>
      </c>
      <c r="AE32" s="587">
        <f>IF(INDEX(tblContractForDeed[End Bal],ROW()-ROW(tblBuyerOutputs[#Headers]))&lt;=0,0,IF(ROW()=ROW(tblBuyerOutputs[#Headers])+1,0,INDEX(tblBuyerOutputs[Cumul Appr],ROW()-ROW(tblBuyerOutputs[#Headers])-1))+tblBuyerOutputs[[#This Row],[Monthly Appr]])</f>
        <v>8136.8647815058866</v>
      </c>
      <c r="AF32" s="22"/>
      <c r="AG32" s="14"/>
      <c r="AM32"/>
      <c r="AN32" s="14"/>
      <c r="AP32" s="265"/>
      <c r="AR32" s="14"/>
      <c r="AS32"/>
    </row>
    <row r="33" spans="1:45" x14ac:dyDescent="0.25">
      <c r="A33" s="561">
        <f t="shared" si="4"/>
        <v>46235</v>
      </c>
      <c r="B33" s="265">
        <f t="shared" si="5"/>
        <v>0</v>
      </c>
      <c r="C33" s="14">
        <f t="shared" si="1"/>
        <v>0</v>
      </c>
      <c r="D33" s="14">
        <f t="shared" si="6"/>
        <v>0</v>
      </c>
      <c r="E33" s="14">
        <f t="shared" si="2"/>
        <v>0</v>
      </c>
      <c r="I33" s="265">
        <f t="shared" si="9"/>
        <v>0</v>
      </c>
      <c r="J33" s="265">
        <f t="shared" si="10"/>
        <v>0</v>
      </c>
      <c r="K33" s="265">
        <f t="shared" si="7"/>
        <v>0</v>
      </c>
      <c r="L33" s="373">
        <f t="shared" si="3"/>
        <v>1</v>
      </c>
      <c r="M33" s="373">
        <f t="shared" si="8"/>
        <v>13</v>
      </c>
      <c r="N33" s="561">
        <f>INDEX(tblSubjectToLoan[Date],ROW()-ROW(tblContractForDeed[#Headers]))</f>
        <v>46235</v>
      </c>
      <c r="O33" s="265">
        <f>IF(ROW()=ROW(tblContractForDeed[#Headers])+1,$O$6,IF(INDEX(tblContractForDeed[End Bal],ROW()-ROW(tblContractForDeed[#Headers])-1)&lt;0,0,INDEX(tblContractForDeed[End Bal],ROW()-ROW(tblContractForDeed[#Headers])-1)))</f>
        <v>145699.22</v>
      </c>
      <c r="P33" s="431">
        <f>IF(tblContractForDeed[[#This Row],[Date]]="","",IF(tblContractForDeed[[#This Row],[Date]]&lt;cfdRateChangeDate,cfdRate1,cfdRate2))</f>
        <v>0.08</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3" s="265">
        <f>IF(tblContractForDeed[[#This Row],[Payment]]=0,0,MAX(0,MIN(tblContractForDeed[[#This Row],[Beg]],tblContractForDeed[[#This Row],[Payment]]-tblContractForDeed[[#This Row],[Int]])))</f>
        <v>806.12</v>
      </c>
      <c r="S33" s="265">
        <f>IF(OR(tblContractForDeed[[#This Row],[Date]]&lt;cfdContractDate,tblContractForDeed[[#This Row],[Date]]&gt;cfdEndDate),0,ROUND(tblContractForDeed[[#This Row],[Beg]]*(tblContractForDeed[[#This Row],[Int Rate]]/12),2))</f>
        <v>971.33</v>
      </c>
      <c r="T33" s="265">
        <f>IF(tblContractForDeed[[#This Row],[Payment]]=0,0,$V$2)</f>
        <v>134.16999999999999</v>
      </c>
      <c r="U33" s="265">
        <f>IF(tblContractForDeed[[#This Row],[Princ]]=0,0,$V$3)</f>
        <v>0</v>
      </c>
      <c r="V33" s="265">
        <f>SUM(tblContractForDeed[[#This Row],[Princ]],tblContractForDeed[[#This Row],[Int]],tblContractForDeed[[#This Row],[Ins]],tblContractForDeed[[#This Row],[Taxes]])</f>
        <v>1911.6200000000001</v>
      </c>
      <c r="W33" s="265">
        <f>SUM(INDEX(tblContractForDeed[Princ],1):INDEX(tblContractForDeed[Princ],ROW()-ROW(tblContractForDeed[#Headers])))</f>
        <v>1606.9</v>
      </c>
      <c r="X33" s="265">
        <f>IF(tblContractForDeed[[#This Row],[Beg]]&lt;=0,0,tblContractForDeed[[#This Row],[Beg]]-tblContractForDeed[[#This Row],[Princ]])</f>
        <v>144893.1</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39">
        <f>IF(INDEX(tblContractForDeed[Payment],ROW()-ROW(tblBuyerOutputs[#Headers]))=0,0,INDEX(tblContractForDeed[Payment],ROW()-ROW(tblBuyerOutputs[#Headers]))-INDEX(tblSubjectToLoan[Payment],ROW()-ROW(tblBuyerOutputs[#Headers])))</f>
        <v>1777.45</v>
      </c>
      <c r="AA33"/>
      <c r="AB33" s="14">
        <f>IF(INDEX(tblContractForDeed[Payment],ROW()-ROW(tblBuyerOutputs[#Headers]))=0,0,INDEX(tblContractForDeed[Payment],ROW()-ROW(tblBuyerOutputs[#Headers]))-INDEX(tblSubjectToLoan[Payment],ROW()-ROW(tblBuyerOutputs[#Headers])))-IFERROR(tblBuyerOutputs[[#This Row],[PMI]],0)</f>
        <v>1777.45</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3554.9</v>
      </c>
      <c r="AD33" s="265">
        <f>IF(INDEX(tblContractForDeed[End Bal],ROW()-ROW(tblBuyerOutputs[#Headers]))&lt;=0,0,($O$6+IF(ROW()=ROW(tblBuyerOutputs[#Headers])+1,0,INDEX(tblBuyerOutputs[Cumul Appr],ROW()-ROW(tblBuyerOutputs[#Headers])-1)))*$O$2/12)</f>
        <v>644.32026992294129</v>
      </c>
      <c r="AE33" s="587">
        <f>IF(INDEX(tblContractForDeed[End Bal],ROW()-ROW(tblBuyerOutputs[#Headers]))&lt;=0,0,IF(ROW()=ROW(tblBuyerOutputs[#Headers])+1,0,INDEX(tblBuyerOutputs[Cumul Appr],ROW()-ROW(tblBuyerOutputs[#Headers])-1))+tblBuyerOutputs[[#This Row],[Monthly Appr]])</f>
        <v>8781.1850514288271</v>
      </c>
      <c r="AF33" s="22"/>
      <c r="AG33" s="14"/>
      <c r="AM33"/>
      <c r="AN33" s="14"/>
      <c r="AP33" s="265"/>
      <c r="AR33" s="14"/>
      <c r="AS33"/>
    </row>
    <row r="34" spans="1:45" x14ac:dyDescent="0.25">
      <c r="A34" s="561">
        <f t="shared" si="4"/>
        <v>46266</v>
      </c>
      <c r="B34" s="265">
        <f t="shared" si="5"/>
        <v>0</v>
      </c>
      <c r="C34" s="14">
        <f t="shared" si="1"/>
        <v>0</v>
      </c>
      <c r="D34" s="14">
        <f t="shared" si="6"/>
        <v>0</v>
      </c>
      <c r="E34" s="14">
        <f t="shared" si="2"/>
        <v>0</v>
      </c>
      <c r="I34" s="265">
        <f t="shared" si="9"/>
        <v>0</v>
      </c>
      <c r="J34" s="265">
        <f t="shared" si="10"/>
        <v>0</v>
      </c>
      <c r="K34" s="265">
        <f t="shared" si="7"/>
        <v>0</v>
      </c>
      <c r="L34" s="373">
        <f t="shared" si="3"/>
        <v>1</v>
      </c>
      <c r="M34" s="373">
        <f t="shared" si="8"/>
        <v>14</v>
      </c>
      <c r="N34" s="561">
        <f>INDEX(tblSubjectToLoan[Date],ROW()-ROW(tblContractForDeed[#Headers]))</f>
        <v>46266</v>
      </c>
      <c r="O34" s="265">
        <f>IF(ROW()=ROW(tblContractForDeed[#Headers])+1,$O$6,IF(INDEX(tblContractForDeed[End Bal],ROW()-ROW(tblContractForDeed[#Headers])-1)&lt;0,0,INDEX(tblContractForDeed[End Bal],ROW()-ROW(tblContractForDeed[#Headers])-1)))</f>
        <v>144893.1</v>
      </c>
      <c r="P34" s="431">
        <f>IF(tblContractForDeed[[#This Row],[Date]]="","",IF(tblContractForDeed[[#This Row],[Date]]&lt;cfdRateChangeDate,cfdRate1,cfdRate2))</f>
        <v>0.08</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4" s="265">
        <f>IF(tblContractForDeed[[#This Row],[Payment]]=0,0,MAX(0,MIN(tblContractForDeed[[#This Row],[Beg]],tblContractForDeed[[#This Row],[Payment]]-tblContractForDeed[[#This Row],[Int]])))</f>
        <v>811.5</v>
      </c>
      <c r="S34" s="265">
        <f>IF(OR(tblContractForDeed[[#This Row],[Date]]&lt;cfdContractDate,tblContractForDeed[[#This Row],[Date]]&gt;cfdEndDate),0,ROUND(tblContractForDeed[[#This Row],[Beg]]*(tblContractForDeed[[#This Row],[Int Rate]]/12),2))</f>
        <v>965.95</v>
      </c>
      <c r="T34" s="265">
        <f>IF(tblContractForDeed[[#This Row],[Payment]]=0,0,$V$2)</f>
        <v>134.16999999999999</v>
      </c>
      <c r="U34" s="265">
        <f>IF(tblContractForDeed[[#This Row],[Princ]]=0,0,$V$3)</f>
        <v>0</v>
      </c>
      <c r="V34" s="265">
        <f>SUM(tblContractForDeed[[#This Row],[Princ]],tblContractForDeed[[#This Row],[Int]],tblContractForDeed[[#This Row],[Ins]],tblContractForDeed[[#This Row],[Taxes]])</f>
        <v>1911.6200000000001</v>
      </c>
      <c r="W34" s="265">
        <f>SUM(INDEX(tblContractForDeed[Princ],1):INDEX(tblContractForDeed[Princ],ROW()-ROW(tblContractForDeed[#Headers])))</f>
        <v>2418.4</v>
      </c>
      <c r="X34" s="265">
        <f>IF(tblContractForDeed[[#This Row],[Beg]]&lt;=0,0,tblContractForDeed[[#This Row],[Beg]]-tblContractForDeed[[#This Row],[Princ]])</f>
        <v>144081.60000000001</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39">
        <f>IF(INDEX(tblContractForDeed[Payment],ROW()-ROW(tblBuyerOutputs[#Headers]))=0,0,INDEX(tblContractForDeed[Payment],ROW()-ROW(tblBuyerOutputs[#Headers]))-INDEX(tblSubjectToLoan[Payment],ROW()-ROW(tblBuyerOutputs[#Headers])))</f>
        <v>1777.45</v>
      </c>
      <c r="AA34"/>
      <c r="AB34" s="14">
        <f>IF(INDEX(tblContractForDeed[Payment],ROW()-ROW(tblBuyerOutputs[#Headers]))=0,0,INDEX(tblContractForDeed[Payment],ROW()-ROW(tblBuyerOutputs[#Headers]))-INDEX(tblSubjectToLoan[Payment],ROW()-ROW(tblBuyerOutputs[#Headers])))-IFERROR(tblBuyerOutputs[[#This Row],[PMI]],0)</f>
        <v>1777.45</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5332.35</v>
      </c>
      <c r="AD34" s="265">
        <f>IF(INDEX(tblContractForDeed[End Bal],ROW()-ROW(tblBuyerOutputs[#Headers]))&lt;=0,0,($O$6+IF(ROW()=ROW(tblBuyerOutputs[#Headers])+1,0,INDEX(tblBuyerOutputs[Cumul Appr],ROW()-ROW(tblBuyerOutputs[#Headers])-1)))*$O$2/12)</f>
        <v>647.00493771428683</v>
      </c>
      <c r="AE34" s="587">
        <f>IF(INDEX(tblContractForDeed[End Bal],ROW()-ROW(tblBuyerOutputs[#Headers]))&lt;=0,0,IF(ROW()=ROW(tblBuyerOutputs[#Headers])+1,0,INDEX(tblBuyerOutputs[Cumul Appr],ROW()-ROW(tblBuyerOutputs[#Headers])-1))+tblBuyerOutputs[[#This Row],[Monthly Appr]])</f>
        <v>9428.1899891431131</v>
      </c>
      <c r="AF34" s="22"/>
      <c r="AG34" s="14"/>
      <c r="AM34"/>
      <c r="AN34" s="14"/>
      <c r="AP34" s="265"/>
      <c r="AR34" s="14"/>
      <c r="AS34"/>
    </row>
    <row r="35" spans="1:45" x14ac:dyDescent="0.25">
      <c r="A35" s="561">
        <f t="shared" si="4"/>
        <v>46296</v>
      </c>
      <c r="B35" s="265">
        <f t="shared" si="5"/>
        <v>0</v>
      </c>
      <c r="C35" s="14">
        <f t="shared" si="1"/>
        <v>0</v>
      </c>
      <c r="D35" s="14">
        <f t="shared" si="6"/>
        <v>0</v>
      </c>
      <c r="E35" s="14">
        <f t="shared" si="2"/>
        <v>0</v>
      </c>
      <c r="I35" s="265">
        <f t="shared" si="9"/>
        <v>0</v>
      </c>
      <c r="J35" s="265">
        <f t="shared" si="10"/>
        <v>0</v>
      </c>
      <c r="K35" s="265">
        <f t="shared" si="7"/>
        <v>0</v>
      </c>
      <c r="L35" s="373">
        <f t="shared" si="3"/>
        <v>1</v>
      </c>
      <c r="M35" s="373">
        <f t="shared" si="8"/>
        <v>15</v>
      </c>
      <c r="N35" s="561">
        <f>INDEX(tblSubjectToLoan[Date],ROW()-ROW(tblContractForDeed[#Headers]))</f>
        <v>46296</v>
      </c>
      <c r="O35" s="265">
        <f>IF(ROW()=ROW(tblContractForDeed[#Headers])+1,$O$6,IF(INDEX(tblContractForDeed[End Bal],ROW()-ROW(tblContractForDeed[#Headers])-1)&lt;0,0,INDEX(tblContractForDeed[End Bal],ROW()-ROW(tblContractForDeed[#Headers])-1)))</f>
        <v>144081.60000000001</v>
      </c>
      <c r="P35" s="431">
        <f>IF(tblContractForDeed[[#This Row],[Date]]="","",IF(tblContractForDeed[[#This Row],[Date]]&lt;cfdRateChangeDate,cfdRate1,cfdRate2))</f>
        <v>0.08</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5" s="265">
        <f>IF(tblContractForDeed[[#This Row],[Payment]]=0,0,MAX(0,MIN(tblContractForDeed[[#This Row],[Beg]],tblContractForDeed[[#This Row],[Payment]]-tblContractForDeed[[#This Row],[Int]])))</f>
        <v>816.91000000000008</v>
      </c>
      <c r="S35" s="265">
        <f>IF(OR(tblContractForDeed[[#This Row],[Date]]&lt;cfdContractDate,tblContractForDeed[[#This Row],[Date]]&gt;cfdEndDate),0,ROUND(tblContractForDeed[[#This Row],[Beg]]*(tblContractForDeed[[#This Row],[Int Rate]]/12),2))</f>
        <v>960.54</v>
      </c>
      <c r="T35" s="265">
        <f>IF(tblContractForDeed[[#This Row],[Payment]]=0,0,$V$2)</f>
        <v>134.16999999999999</v>
      </c>
      <c r="U35" s="265">
        <f>IF(tblContractForDeed[[#This Row],[Princ]]=0,0,$V$3)</f>
        <v>0</v>
      </c>
      <c r="V35" s="265">
        <f>SUM(tblContractForDeed[[#This Row],[Princ]],tblContractForDeed[[#This Row],[Int]],tblContractForDeed[[#This Row],[Ins]],tblContractForDeed[[#This Row],[Taxes]])</f>
        <v>1911.6200000000001</v>
      </c>
      <c r="W35" s="265">
        <f>SUM(INDEX(tblContractForDeed[Princ],1):INDEX(tblContractForDeed[Princ],ROW()-ROW(tblContractForDeed[#Headers])))</f>
        <v>3235.3100000000004</v>
      </c>
      <c r="X35" s="265">
        <f>IF(tblContractForDeed[[#This Row],[Beg]]&lt;=0,0,tblContractForDeed[[#This Row],[Beg]]-tblContractForDeed[[#This Row],[Princ]])</f>
        <v>143264.69</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39">
        <f>IF(INDEX(tblContractForDeed[Payment],ROW()-ROW(tblBuyerOutputs[#Headers]))=0,0,INDEX(tblContractForDeed[Payment],ROW()-ROW(tblBuyerOutputs[#Headers]))-INDEX(tblSubjectToLoan[Payment],ROW()-ROW(tblBuyerOutputs[#Headers])))</f>
        <v>1777.45</v>
      </c>
      <c r="AA35"/>
      <c r="AB35" s="14">
        <f>IF(INDEX(tblContractForDeed[Payment],ROW()-ROW(tblBuyerOutputs[#Headers]))=0,0,INDEX(tblContractForDeed[Payment],ROW()-ROW(tblBuyerOutputs[#Headers]))-INDEX(tblSubjectToLoan[Payment],ROW()-ROW(tblBuyerOutputs[#Headers])))-IFERROR(tblBuyerOutputs[[#This Row],[PMI]],0)</f>
        <v>1777.45</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7109.8</v>
      </c>
      <c r="AD35" s="265">
        <f>IF(INDEX(tblContractForDeed[End Bal],ROW()-ROW(tblBuyerOutputs[#Headers]))&lt;=0,0,($O$6+IF(ROW()=ROW(tblBuyerOutputs[#Headers])+1,0,INDEX(tblBuyerOutputs[Cumul Appr],ROW()-ROW(tblBuyerOutputs[#Headers])-1)))*$O$2/12)</f>
        <v>649.70079162142963</v>
      </c>
      <c r="AE35" s="587">
        <f>IF(INDEX(tblContractForDeed[End Bal],ROW()-ROW(tblBuyerOutputs[#Headers]))&lt;=0,0,IF(ROW()=ROW(tblBuyerOutputs[#Headers])+1,0,INDEX(tblBuyerOutputs[Cumul Appr],ROW()-ROW(tblBuyerOutputs[#Headers])-1))+tblBuyerOutputs[[#This Row],[Monthly Appr]])</f>
        <v>10077.890780764543</v>
      </c>
      <c r="AF35" s="22"/>
      <c r="AG35" s="14"/>
      <c r="AM35"/>
      <c r="AN35" s="14"/>
      <c r="AP35" s="265"/>
      <c r="AR35" s="14"/>
      <c r="AS35"/>
    </row>
    <row r="36" spans="1:45" x14ac:dyDescent="0.25">
      <c r="A36" s="561">
        <f t="shared" si="4"/>
        <v>46327</v>
      </c>
      <c r="B36" s="265">
        <f t="shared" si="5"/>
        <v>0</v>
      </c>
      <c r="C36" s="14">
        <f t="shared" si="1"/>
        <v>0</v>
      </c>
      <c r="D36" s="14">
        <f t="shared" si="6"/>
        <v>0</v>
      </c>
      <c r="E36" s="14">
        <f t="shared" si="2"/>
        <v>0</v>
      </c>
      <c r="I36" s="265">
        <f t="shared" si="9"/>
        <v>0</v>
      </c>
      <c r="J36" s="265">
        <f t="shared" si="10"/>
        <v>0</v>
      </c>
      <c r="K36" s="265">
        <f t="shared" si="7"/>
        <v>0</v>
      </c>
      <c r="L36" s="373">
        <f t="shared" si="3"/>
        <v>1</v>
      </c>
      <c r="M36" s="373">
        <f t="shared" si="8"/>
        <v>16</v>
      </c>
      <c r="N36" s="561">
        <f>INDEX(tblSubjectToLoan[Date],ROW()-ROW(tblContractForDeed[#Headers]))</f>
        <v>46327</v>
      </c>
      <c r="O36" s="265">
        <f>IF(ROW()=ROW(tblContractForDeed[#Headers])+1,$O$6,IF(INDEX(tblContractForDeed[End Bal],ROW()-ROW(tblContractForDeed[#Headers])-1)&lt;0,0,INDEX(tblContractForDeed[End Bal],ROW()-ROW(tblContractForDeed[#Headers])-1)))</f>
        <v>143264.69</v>
      </c>
      <c r="P36" s="431">
        <f>IF(tblContractForDeed[[#This Row],[Date]]="","",IF(tblContractForDeed[[#This Row],[Date]]&lt;cfdRateChangeDate,cfdRate1,cfdRate2))</f>
        <v>0.08</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6" s="265">
        <f>IF(tblContractForDeed[[#This Row],[Payment]]=0,0,MAX(0,MIN(tblContractForDeed[[#This Row],[Beg]],tblContractForDeed[[#This Row],[Payment]]-tblContractForDeed[[#This Row],[Int]])))</f>
        <v>822.35</v>
      </c>
      <c r="S36" s="265">
        <f>IF(OR(tblContractForDeed[[#This Row],[Date]]&lt;cfdContractDate,tblContractForDeed[[#This Row],[Date]]&gt;cfdEndDate),0,ROUND(tblContractForDeed[[#This Row],[Beg]]*(tblContractForDeed[[#This Row],[Int Rate]]/12),2))</f>
        <v>955.1</v>
      </c>
      <c r="T36" s="265">
        <f>IF(tblContractForDeed[[#This Row],[Payment]]=0,0,$V$2)</f>
        <v>134.16999999999999</v>
      </c>
      <c r="U36" s="265">
        <f>IF(tblContractForDeed[[#This Row],[Princ]]=0,0,$V$3)</f>
        <v>0</v>
      </c>
      <c r="V36" s="265">
        <f>SUM(tblContractForDeed[[#This Row],[Princ]],tblContractForDeed[[#This Row],[Int]],tblContractForDeed[[#This Row],[Ins]],tblContractForDeed[[#This Row],[Taxes]])</f>
        <v>1911.6200000000001</v>
      </c>
      <c r="W36" s="265">
        <f>SUM(INDEX(tblContractForDeed[Princ],1):INDEX(tblContractForDeed[Princ],ROW()-ROW(tblContractForDeed[#Headers])))</f>
        <v>4057.6600000000003</v>
      </c>
      <c r="X36" s="265">
        <f>IF(tblContractForDeed[[#This Row],[Beg]]&lt;=0,0,tblContractForDeed[[#This Row],[Beg]]-tblContractForDeed[[#This Row],[Princ]])</f>
        <v>142442.34</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39">
        <f>IF(INDEX(tblContractForDeed[Payment],ROW()-ROW(tblBuyerOutputs[#Headers]))=0,0,INDEX(tblContractForDeed[Payment],ROW()-ROW(tblBuyerOutputs[#Headers]))-INDEX(tblSubjectToLoan[Payment],ROW()-ROW(tblBuyerOutputs[#Headers])))</f>
        <v>1777.45</v>
      </c>
      <c r="AA36"/>
      <c r="AB36" s="14">
        <f>IF(INDEX(tblContractForDeed[Payment],ROW()-ROW(tblBuyerOutputs[#Headers]))=0,0,INDEX(tblContractForDeed[Payment],ROW()-ROW(tblBuyerOutputs[#Headers]))-INDEX(tblSubjectToLoan[Payment],ROW()-ROW(tblBuyerOutputs[#Headers])))-IFERROR(tblBuyerOutputs[[#This Row],[PMI]],0)</f>
        <v>1777.45</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8887.25</v>
      </c>
      <c r="AD36" s="265">
        <f>IF(INDEX(tblContractForDeed[End Bal],ROW()-ROW(tblBuyerOutputs[#Headers]))&lt;=0,0,($O$6+IF(ROW()=ROW(tblBuyerOutputs[#Headers])+1,0,INDEX(tblBuyerOutputs[Cumul Appr],ROW()-ROW(tblBuyerOutputs[#Headers])-1)))*$O$2/12)</f>
        <v>652.40787825318569</v>
      </c>
      <c r="AE36" s="587">
        <f>IF(INDEX(tblContractForDeed[End Bal],ROW()-ROW(tblBuyerOutputs[#Headers]))&lt;=0,0,IF(ROW()=ROW(tblBuyerOutputs[#Headers])+1,0,INDEX(tblBuyerOutputs[Cumul Appr],ROW()-ROW(tblBuyerOutputs[#Headers])-1))+tblBuyerOutputs[[#This Row],[Monthly Appr]])</f>
        <v>10730.298659017728</v>
      </c>
      <c r="AF36" s="22"/>
      <c r="AG36" s="14"/>
      <c r="AM36"/>
      <c r="AN36" s="14"/>
      <c r="AP36" s="265"/>
      <c r="AR36" s="14"/>
      <c r="AS36"/>
    </row>
    <row r="37" spans="1:45" x14ac:dyDescent="0.25">
      <c r="A37" s="561">
        <f t="shared" si="4"/>
        <v>46357</v>
      </c>
      <c r="B37" s="265">
        <f t="shared" si="5"/>
        <v>0</v>
      </c>
      <c r="C37" s="14">
        <f t="shared" si="1"/>
        <v>0</v>
      </c>
      <c r="D37" s="14">
        <f t="shared" si="6"/>
        <v>0</v>
      </c>
      <c r="E37" s="14">
        <f t="shared" si="2"/>
        <v>0</v>
      </c>
      <c r="I37" s="265">
        <f t="shared" si="9"/>
        <v>0</v>
      </c>
      <c r="J37" s="265">
        <f t="shared" si="10"/>
        <v>0</v>
      </c>
      <c r="K37" s="265">
        <f t="shared" si="7"/>
        <v>0</v>
      </c>
      <c r="L37" s="373">
        <f t="shared" si="3"/>
        <v>1</v>
      </c>
      <c r="M37" s="373">
        <f t="shared" si="8"/>
        <v>17</v>
      </c>
      <c r="N37" s="561">
        <f>INDEX(tblSubjectToLoan[Date],ROW()-ROW(tblContractForDeed[#Headers]))</f>
        <v>46357</v>
      </c>
      <c r="O37" s="265">
        <f>IF(ROW()=ROW(tblContractForDeed[#Headers])+1,$O$6,IF(INDEX(tblContractForDeed[End Bal],ROW()-ROW(tblContractForDeed[#Headers])-1)&lt;0,0,INDEX(tblContractForDeed[End Bal],ROW()-ROW(tblContractForDeed[#Headers])-1)))</f>
        <v>142442.34</v>
      </c>
      <c r="P37" s="431">
        <f>IF(tblContractForDeed[[#This Row],[Date]]="","",IF(tblContractForDeed[[#This Row],[Date]]&lt;cfdRateChangeDate,cfdRate1,cfdRate2))</f>
        <v>0.08</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7" s="265">
        <f>IF(tblContractForDeed[[#This Row],[Payment]]=0,0,MAX(0,MIN(tblContractForDeed[[#This Row],[Beg]],tblContractForDeed[[#This Row],[Payment]]-tblContractForDeed[[#This Row],[Int]])))</f>
        <v>827.83</v>
      </c>
      <c r="S37" s="265">
        <f>IF(OR(tblContractForDeed[[#This Row],[Date]]&lt;cfdContractDate,tblContractForDeed[[#This Row],[Date]]&gt;cfdEndDate),0,ROUND(tblContractForDeed[[#This Row],[Beg]]*(tblContractForDeed[[#This Row],[Int Rate]]/12),2))</f>
        <v>949.62</v>
      </c>
      <c r="T37" s="265">
        <f>IF(tblContractForDeed[[#This Row],[Payment]]=0,0,$V$2)</f>
        <v>134.16999999999999</v>
      </c>
      <c r="U37" s="265">
        <f>IF(tblContractForDeed[[#This Row],[Princ]]=0,0,$V$3)</f>
        <v>0</v>
      </c>
      <c r="V37" s="265">
        <f>SUM(tblContractForDeed[[#This Row],[Princ]],tblContractForDeed[[#This Row],[Int]],tblContractForDeed[[#This Row],[Ins]],tblContractForDeed[[#This Row],[Taxes]])</f>
        <v>1911.6200000000001</v>
      </c>
      <c r="W37" s="265">
        <f>SUM(INDEX(tblContractForDeed[Princ],1):INDEX(tblContractForDeed[Princ],ROW()-ROW(tblContractForDeed[#Headers])))</f>
        <v>4885.4900000000007</v>
      </c>
      <c r="X37" s="265">
        <f>IF(tblContractForDeed[[#This Row],[Beg]]&lt;=0,0,tblContractForDeed[[#This Row],[Beg]]-tblContractForDeed[[#This Row],[Princ]])</f>
        <v>141614.51</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39">
        <f>IF(INDEX(tblContractForDeed[Payment],ROW()-ROW(tblBuyerOutputs[#Headers]))=0,0,INDEX(tblContractForDeed[Payment],ROW()-ROW(tblBuyerOutputs[#Headers]))-INDEX(tblSubjectToLoan[Payment],ROW()-ROW(tblBuyerOutputs[#Headers])))</f>
        <v>1777.45</v>
      </c>
      <c r="AA37"/>
      <c r="AB37" s="14">
        <f>IF(INDEX(tblContractForDeed[Payment],ROW()-ROW(tblBuyerOutputs[#Headers]))=0,0,INDEX(tblContractForDeed[Payment],ROW()-ROW(tblBuyerOutputs[#Headers]))-INDEX(tblSubjectToLoan[Payment],ROW()-ROW(tblBuyerOutputs[#Headers])))-IFERROR(tblBuyerOutputs[[#This Row],[PMI]],0)</f>
        <v>1777.45</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10664.7</v>
      </c>
      <c r="AD37" s="265">
        <f>IF(INDEX(tblContractForDeed[End Bal],ROW()-ROW(tblBuyerOutputs[#Headers]))&lt;=0,0,($O$6+IF(ROW()=ROW(tblBuyerOutputs[#Headers])+1,0,INDEX(tblBuyerOutputs[Cumul Appr],ROW()-ROW(tblBuyerOutputs[#Headers])-1)))*$O$2/12)</f>
        <v>655.12624441257378</v>
      </c>
      <c r="AE37" s="587">
        <f>IF(INDEX(tblContractForDeed[End Bal],ROW()-ROW(tblBuyerOutputs[#Headers]))&lt;=0,0,IF(ROW()=ROW(tblBuyerOutputs[#Headers])+1,0,INDEX(tblBuyerOutputs[Cumul Appr],ROW()-ROW(tblBuyerOutputs[#Headers])-1))+tblBuyerOutputs[[#This Row],[Monthly Appr]])</f>
        <v>11385.424903430301</v>
      </c>
      <c r="AF37" s="22"/>
      <c r="AG37" s="14"/>
      <c r="AM37"/>
      <c r="AN37" s="14"/>
      <c r="AP37" s="265"/>
      <c r="AR37" s="14"/>
      <c r="AS37"/>
    </row>
    <row r="38" spans="1:45" x14ac:dyDescent="0.25">
      <c r="A38" s="561">
        <f t="shared" si="4"/>
        <v>46388</v>
      </c>
      <c r="B38" s="265">
        <f t="shared" si="5"/>
        <v>0</v>
      </c>
      <c r="C38" s="14">
        <f t="shared" si="1"/>
        <v>0</v>
      </c>
      <c r="D38" s="14">
        <f t="shared" si="6"/>
        <v>0</v>
      </c>
      <c r="E38" s="14">
        <f t="shared" si="2"/>
        <v>0</v>
      </c>
      <c r="I38" s="265">
        <f t="shared" si="9"/>
        <v>0</v>
      </c>
      <c r="J38" s="265">
        <f t="shared" si="10"/>
        <v>0</v>
      </c>
      <c r="K38" s="265">
        <f t="shared" si="7"/>
        <v>0</v>
      </c>
      <c r="L38" s="373">
        <f t="shared" si="3"/>
        <v>1</v>
      </c>
      <c r="M38" s="373">
        <f t="shared" si="8"/>
        <v>18</v>
      </c>
      <c r="N38" s="561">
        <f>INDEX(tblSubjectToLoan[Date],ROW()-ROW(tblContractForDeed[#Headers]))</f>
        <v>46388</v>
      </c>
      <c r="O38" s="265">
        <f>IF(ROW()=ROW(tblContractForDeed[#Headers])+1,$O$6,IF(INDEX(tblContractForDeed[End Bal],ROW()-ROW(tblContractForDeed[#Headers])-1)&lt;0,0,INDEX(tblContractForDeed[End Bal],ROW()-ROW(tblContractForDeed[#Headers])-1)))</f>
        <v>141614.51</v>
      </c>
      <c r="P38" s="431">
        <f>IF(tblContractForDeed[[#This Row],[Date]]="","",IF(tblContractForDeed[[#This Row],[Date]]&lt;cfdRateChangeDate,cfdRate1,cfdRate2))</f>
        <v>0.08</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8" s="265">
        <f>IF(tblContractForDeed[[#This Row],[Payment]]=0,0,MAX(0,MIN(tblContractForDeed[[#This Row],[Beg]],tblContractForDeed[[#This Row],[Payment]]-tblContractForDeed[[#This Row],[Int]])))</f>
        <v>833.35</v>
      </c>
      <c r="S38" s="265">
        <f>IF(OR(tblContractForDeed[[#This Row],[Date]]&lt;cfdContractDate,tblContractForDeed[[#This Row],[Date]]&gt;cfdEndDate),0,ROUND(tblContractForDeed[[#This Row],[Beg]]*(tblContractForDeed[[#This Row],[Int Rate]]/12),2))</f>
        <v>944.1</v>
      </c>
      <c r="T38" s="265">
        <f>IF(tblContractForDeed[[#This Row],[Payment]]=0,0,$V$2)</f>
        <v>134.16999999999999</v>
      </c>
      <c r="U38" s="265">
        <f>IF(tblContractForDeed[[#This Row],[Princ]]=0,0,$V$3)</f>
        <v>0</v>
      </c>
      <c r="V38" s="265">
        <f>SUM(tblContractForDeed[[#This Row],[Princ]],tblContractForDeed[[#This Row],[Int]],tblContractForDeed[[#This Row],[Ins]],tblContractForDeed[[#This Row],[Taxes]])</f>
        <v>1911.6200000000001</v>
      </c>
      <c r="W38" s="265">
        <f>SUM(INDEX(tblContractForDeed[Princ],1):INDEX(tblContractForDeed[Princ],ROW()-ROW(tblContractForDeed[#Headers])))</f>
        <v>5718.8400000000011</v>
      </c>
      <c r="X38" s="265">
        <f>IF(tblContractForDeed[[#This Row],[Beg]]&lt;=0,0,tblContractForDeed[[#This Row],[Beg]]-tblContractForDeed[[#This Row],[Princ]])</f>
        <v>140781.16</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39">
        <f>IF(INDEX(tblContractForDeed[Payment],ROW()-ROW(tblBuyerOutputs[#Headers]))=0,0,INDEX(tblContractForDeed[Payment],ROW()-ROW(tblBuyerOutputs[#Headers]))-INDEX(tblSubjectToLoan[Payment],ROW()-ROW(tblBuyerOutputs[#Headers])))</f>
        <v>1777.45</v>
      </c>
      <c r="AA38"/>
      <c r="AB38" s="14">
        <f>IF(INDEX(tblContractForDeed[Payment],ROW()-ROW(tblBuyerOutputs[#Headers]))=0,0,INDEX(tblContractForDeed[Payment],ROW()-ROW(tblBuyerOutputs[#Headers]))-INDEX(tblSubjectToLoan[Payment],ROW()-ROW(tblBuyerOutputs[#Headers])))-IFERROR(tblBuyerOutputs[[#This Row],[PMI]],0)</f>
        <v>1777.45</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12442.150000000001</v>
      </c>
      <c r="AD38" s="265">
        <f>IF(INDEX(tblContractForDeed[End Bal],ROW()-ROW(tblBuyerOutputs[#Headers]))&lt;=0,0,($O$6+IF(ROW()=ROW(tblBuyerOutputs[#Headers])+1,0,INDEX(tblBuyerOutputs[Cumul Appr],ROW()-ROW(tblBuyerOutputs[#Headers])-1)))*$O$2/12)</f>
        <v>657.85593709762634</v>
      </c>
      <c r="AE38" s="587">
        <f>IF(INDEX(tblContractForDeed[End Bal],ROW()-ROW(tblBuyerOutputs[#Headers]))&lt;=0,0,IF(ROW()=ROW(tblBuyerOutputs[#Headers])+1,0,INDEX(tblBuyerOutputs[Cumul Appr],ROW()-ROW(tblBuyerOutputs[#Headers])-1))+tblBuyerOutputs[[#This Row],[Monthly Appr]])</f>
        <v>12043.280840527928</v>
      </c>
      <c r="AF38" s="22"/>
      <c r="AG38" s="14"/>
      <c r="AM38"/>
      <c r="AN38" s="14"/>
      <c r="AP38" s="265"/>
      <c r="AR38" s="14"/>
      <c r="AS38"/>
    </row>
    <row r="39" spans="1:45" x14ac:dyDescent="0.25">
      <c r="A39" s="561">
        <f t="shared" si="4"/>
        <v>46419</v>
      </c>
      <c r="B39" s="265">
        <f t="shared" si="5"/>
        <v>0</v>
      </c>
      <c r="C39" s="14">
        <f t="shared" si="1"/>
        <v>0</v>
      </c>
      <c r="D39" s="14">
        <f t="shared" si="6"/>
        <v>0</v>
      </c>
      <c r="E39" s="14">
        <f t="shared" si="2"/>
        <v>0</v>
      </c>
      <c r="I39" s="265">
        <f t="shared" si="9"/>
        <v>0</v>
      </c>
      <c r="J39" s="265">
        <f t="shared" si="10"/>
        <v>0</v>
      </c>
      <c r="K39" s="265">
        <f t="shared" si="7"/>
        <v>0</v>
      </c>
      <c r="L39" s="373">
        <f t="shared" si="3"/>
        <v>1</v>
      </c>
      <c r="M39" s="373">
        <f t="shared" si="8"/>
        <v>19</v>
      </c>
      <c r="N39" s="561">
        <f>INDEX(tblSubjectToLoan[Date],ROW()-ROW(tblContractForDeed[#Headers]))</f>
        <v>46419</v>
      </c>
      <c r="O39" s="265">
        <f>IF(ROW()=ROW(tblContractForDeed[#Headers])+1,$O$6,IF(INDEX(tblContractForDeed[End Bal],ROW()-ROW(tblContractForDeed[#Headers])-1)&lt;0,0,INDEX(tblContractForDeed[End Bal],ROW()-ROW(tblContractForDeed[#Headers])-1)))</f>
        <v>140781.16</v>
      </c>
      <c r="P39" s="431">
        <f>IF(tblContractForDeed[[#This Row],[Date]]="","",IF(tblContractForDeed[[#This Row],[Date]]&lt;cfdRateChangeDate,cfdRate1,cfdRate2))</f>
        <v>0.08</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9" s="265">
        <f>IF(tblContractForDeed[[#This Row],[Payment]]=0,0,MAX(0,MIN(tblContractForDeed[[#This Row],[Beg]],tblContractForDeed[[#This Row],[Payment]]-tblContractForDeed[[#This Row],[Int]])))</f>
        <v>838.91000000000008</v>
      </c>
      <c r="S39" s="265">
        <f>IF(OR(tblContractForDeed[[#This Row],[Date]]&lt;cfdContractDate,tblContractForDeed[[#This Row],[Date]]&gt;cfdEndDate),0,ROUND(tblContractForDeed[[#This Row],[Beg]]*(tblContractForDeed[[#This Row],[Int Rate]]/12),2))</f>
        <v>938.54</v>
      </c>
      <c r="T39" s="265">
        <f>IF(tblContractForDeed[[#This Row],[Payment]]=0,0,$V$2)</f>
        <v>134.16999999999999</v>
      </c>
      <c r="U39" s="265">
        <f>IF(tblContractForDeed[[#This Row],[Princ]]=0,0,$V$3)</f>
        <v>0</v>
      </c>
      <c r="V39" s="265">
        <f>SUM(tblContractForDeed[[#This Row],[Princ]],tblContractForDeed[[#This Row],[Int]],tblContractForDeed[[#This Row],[Ins]],tblContractForDeed[[#This Row],[Taxes]])</f>
        <v>1911.6200000000001</v>
      </c>
      <c r="W39" s="265">
        <f>SUM(INDEX(tblContractForDeed[Princ],1):INDEX(tblContractForDeed[Princ],ROW()-ROW(tblContractForDeed[#Headers])))</f>
        <v>6557.7500000000009</v>
      </c>
      <c r="X39" s="265">
        <f>IF(tblContractForDeed[[#This Row],[Beg]]&lt;=0,0,tblContractForDeed[[#This Row],[Beg]]-tblContractForDeed[[#This Row],[Princ]])</f>
        <v>139942.25</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39">
        <f>IF(INDEX(tblContractForDeed[Payment],ROW()-ROW(tblBuyerOutputs[#Headers]))=0,0,INDEX(tblContractForDeed[Payment],ROW()-ROW(tblBuyerOutputs[#Headers]))-INDEX(tblSubjectToLoan[Payment],ROW()-ROW(tblBuyerOutputs[#Headers])))</f>
        <v>1777.45</v>
      </c>
      <c r="AA39"/>
      <c r="AB39" s="14">
        <f>IF(INDEX(tblContractForDeed[Payment],ROW()-ROW(tblBuyerOutputs[#Headers]))=0,0,INDEX(tblContractForDeed[Payment],ROW()-ROW(tblBuyerOutputs[#Headers]))-INDEX(tblSubjectToLoan[Payment],ROW()-ROW(tblBuyerOutputs[#Headers])))-IFERROR(tblBuyerOutputs[[#This Row],[PMI]],0)</f>
        <v>1777.45</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14219.600000000002</v>
      </c>
      <c r="AD39" s="265">
        <f>IF(INDEX(tblContractForDeed[End Bal],ROW()-ROW(tblBuyerOutputs[#Headers]))&lt;=0,0,($O$6+IF(ROW()=ROW(tblBuyerOutputs[#Headers])+1,0,INDEX(tblBuyerOutputs[Cumul Appr],ROW()-ROW(tblBuyerOutputs[#Headers])-1)))*$O$2/12)</f>
        <v>660.59700350219975</v>
      </c>
      <c r="AE39" s="587">
        <f>IF(INDEX(tblContractForDeed[End Bal],ROW()-ROW(tblBuyerOutputs[#Headers]))&lt;=0,0,IF(ROW()=ROW(tblBuyerOutputs[#Headers])+1,0,INDEX(tblBuyerOutputs[Cumul Appr],ROW()-ROW(tblBuyerOutputs[#Headers])-1))+tblBuyerOutputs[[#This Row],[Monthly Appr]])</f>
        <v>12703.877844030128</v>
      </c>
      <c r="AF39" s="22"/>
      <c r="AG39" s="14"/>
      <c r="AM39"/>
      <c r="AN39" s="14"/>
      <c r="AP39" s="265"/>
      <c r="AR39" s="14"/>
      <c r="AS39"/>
    </row>
    <row r="40" spans="1:45" x14ac:dyDescent="0.25">
      <c r="A40" s="561">
        <f t="shared" si="4"/>
        <v>46447</v>
      </c>
      <c r="B40" s="265">
        <f t="shared" si="5"/>
        <v>0</v>
      </c>
      <c r="C40" s="14">
        <f t="shared" si="1"/>
        <v>0</v>
      </c>
      <c r="D40" s="14">
        <f t="shared" si="6"/>
        <v>0</v>
      </c>
      <c r="E40" s="14">
        <f t="shared" si="2"/>
        <v>0</v>
      </c>
      <c r="I40" s="265">
        <f t="shared" si="9"/>
        <v>0</v>
      </c>
      <c r="J40" s="265">
        <f t="shared" si="10"/>
        <v>0</v>
      </c>
      <c r="K40" s="265">
        <f t="shared" si="7"/>
        <v>0</v>
      </c>
      <c r="L40" s="373">
        <f t="shared" si="3"/>
        <v>1</v>
      </c>
      <c r="M40" s="373">
        <f t="shared" si="8"/>
        <v>20</v>
      </c>
      <c r="N40" s="561">
        <f>INDEX(tblSubjectToLoan[Date],ROW()-ROW(tblContractForDeed[#Headers]))</f>
        <v>46447</v>
      </c>
      <c r="O40" s="265">
        <f>IF(ROW()=ROW(tblContractForDeed[#Headers])+1,$O$6,IF(INDEX(tblContractForDeed[End Bal],ROW()-ROW(tblContractForDeed[#Headers])-1)&lt;0,0,INDEX(tblContractForDeed[End Bal],ROW()-ROW(tblContractForDeed[#Headers])-1)))</f>
        <v>139942.25</v>
      </c>
      <c r="P40" s="431">
        <f>IF(tblContractForDeed[[#This Row],[Date]]="","",IF(tblContractForDeed[[#This Row],[Date]]&lt;cfdRateChangeDate,cfdRate1,cfdRate2))</f>
        <v>0.08</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0" s="265">
        <f>IF(tblContractForDeed[[#This Row],[Payment]]=0,0,MAX(0,MIN(tblContractForDeed[[#This Row],[Beg]],tblContractForDeed[[#This Row],[Payment]]-tblContractForDeed[[#This Row],[Int]])))</f>
        <v>844.5</v>
      </c>
      <c r="S40" s="265">
        <f>IF(OR(tblContractForDeed[[#This Row],[Date]]&lt;cfdContractDate,tblContractForDeed[[#This Row],[Date]]&gt;cfdEndDate),0,ROUND(tblContractForDeed[[#This Row],[Beg]]*(tblContractForDeed[[#This Row],[Int Rate]]/12),2))</f>
        <v>932.95</v>
      </c>
      <c r="T40" s="265">
        <f>IF(tblContractForDeed[[#This Row],[Payment]]=0,0,$V$2)</f>
        <v>134.16999999999999</v>
      </c>
      <c r="U40" s="265">
        <f>IF(tblContractForDeed[[#This Row],[Princ]]=0,0,$V$3)</f>
        <v>0</v>
      </c>
      <c r="V40" s="265">
        <f>SUM(tblContractForDeed[[#This Row],[Princ]],tblContractForDeed[[#This Row],[Int]],tblContractForDeed[[#This Row],[Ins]],tblContractForDeed[[#This Row],[Taxes]])</f>
        <v>1911.6200000000001</v>
      </c>
      <c r="W40" s="265">
        <f>SUM(INDEX(tblContractForDeed[Princ],1):INDEX(tblContractForDeed[Princ],ROW()-ROW(tblContractForDeed[#Headers])))</f>
        <v>7402.2500000000009</v>
      </c>
      <c r="X40" s="265">
        <f>IF(tblContractForDeed[[#This Row],[Beg]]&lt;=0,0,tblContractForDeed[[#This Row],[Beg]]-tblContractForDeed[[#This Row],[Princ]])</f>
        <v>139097.75</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39">
        <f>IF(INDEX(tblContractForDeed[Payment],ROW()-ROW(tblBuyerOutputs[#Headers]))=0,0,INDEX(tblContractForDeed[Payment],ROW()-ROW(tblBuyerOutputs[#Headers]))-INDEX(tblSubjectToLoan[Payment],ROW()-ROW(tblBuyerOutputs[#Headers])))</f>
        <v>1777.45</v>
      </c>
      <c r="AA40"/>
      <c r="AB40" s="14">
        <f>IF(INDEX(tblContractForDeed[Payment],ROW()-ROW(tblBuyerOutputs[#Headers]))=0,0,INDEX(tblContractForDeed[Payment],ROW()-ROW(tblBuyerOutputs[#Headers]))-INDEX(tblSubjectToLoan[Payment],ROW()-ROW(tblBuyerOutputs[#Headers])))-IFERROR(tblBuyerOutputs[[#This Row],[PMI]],0)</f>
        <v>1777.45</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15997.050000000003</v>
      </c>
      <c r="AD40" s="265">
        <f>IF(INDEX(tblContractForDeed[End Bal],ROW()-ROW(tblBuyerOutputs[#Headers]))&lt;=0,0,($O$6+IF(ROW()=ROW(tblBuyerOutputs[#Headers])+1,0,INDEX(tblBuyerOutputs[Cumul Appr],ROW()-ROW(tblBuyerOutputs[#Headers])-1)))*$O$2/12)</f>
        <v>663.34949101679229</v>
      </c>
      <c r="AE40" s="587">
        <f>IF(INDEX(tblContractForDeed[End Bal],ROW()-ROW(tblBuyerOutputs[#Headers]))&lt;=0,0,IF(ROW()=ROW(tblBuyerOutputs[#Headers])+1,0,INDEX(tblBuyerOutputs[Cumul Appr],ROW()-ROW(tblBuyerOutputs[#Headers])-1))+tblBuyerOutputs[[#This Row],[Monthly Appr]])</f>
        <v>13367.22733504692</v>
      </c>
      <c r="AF40" s="22"/>
      <c r="AG40" s="14"/>
      <c r="AM40"/>
      <c r="AN40" s="14"/>
      <c r="AP40" s="265"/>
      <c r="AR40" s="14"/>
      <c r="AS40"/>
    </row>
    <row r="41" spans="1:45" x14ac:dyDescent="0.25">
      <c r="A41" s="561">
        <f t="shared" si="4"/>
        <v>46478</v>
      </c>
      <c r="B41" s="265">
        <f t="shared" si="5"/>
        <v>0</v>
      </c>
      <c r="C41" s="14">
        <f t="shared" si="1"/>
        <v>0</v>
      </c>
      <c r="D41" s="14">
        <f t="shared" si="6"/>
        <v>0</v>
      </c>
      <c r="E41" s="14">
        <f t="shared" si="2"/>
        <v>0</v>
      </c>
      <c r="I41" s="265">
        <f t="shared" si="9"/>
        <v>0</v>
      </c>
      <c r="J41" s="265">
        <f t="shared" si="10"/>
        <v>0</v>
      </c>
      <c r="K41" s="265">
        <f t="shared" si="7"/>
        <v>0</v>
      </c>
      <c r="L41" s="373">
        <f t="shared" si="3"/>
        <v>1</v>
      </c>
      <c r="M41" s="373">
        <f t="shared" si="8"/>
        <v>21</v>
      </c>
      <c r="N41" s="561">
        <f>INDEX(tblSubjectToLoan[Date],ROW()-ROW(tblContractForDeed[#Headers]))</f>
        <v>46478</v>
      </c>
      <c r="O41" s="265">
        <f>IF(ROW()=ROW(tblContractForDeed[#Headers])+1,$O$6,IF(INDEX(tblContractForDeed[End Bal],ROW()-ROW(tblContractForDeed[#Headers])-1)&lt;0,0,INDEX(tblContractForDeed[End Bal],ROW()-ROW(tblContractForDeed[#Headers])-1)))</f>
        <v>139097.75</v>
      </c>
      <c r="P41" s="431">
        <f>IF(tblContractForDeed[[#This Row],[Date]]="","",IF(tblContractForDeed[[#This Row],[Date]]&lt;cfdRateChangeDate,cfdRate1,cfdRate2))</f>
        <v>0.08</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1" s="265">
        <f>IF(tblContractForDeed[[#This Row],[Payment]]=0,0,MAX(0,MIN(tblContractForDeed[[#This Row],[Beg]],tblContractForDeed[[#This Row],[Payment]]-tblContractForDeed[[#This Row],[Int]])))</f>
        <v>850.13</v>
      </c>
      <c r="S41" s="265">
        <f>IF(OR(tblContractForDeed[[#This Row],[Date]]&lt;cfdContractDate,tblContractForDeed[[#This Row],[Date]]&gt;cfdEndDate),0,ROUND(tblContractForDeed[[#This Row],[Beg]]*(tblContractForDeed[[#This Row],[Int Rate]]/12),2))</f>
        <v>927.32</v>
      </c>
      <c r="T41" s="265">
        <f>IF(tblContractForDeed[[#This Row],[Payment]]=0,0,$V$2)</f>
        <v>134.16999999999999</v>
      </c>
      <c r="U41" s="265">
        <f>IF(tblContractForDeed[[#This Row],[Princ]]=0,0,$V$3)</f>
        <v>0</v>
      </c>
      <c r="V41" s="265">
        <f>SUM(tblContractForDeed[[#This Row],[Princ]],tblContractForDeed[[#This Row],[Int]],tblContractForDeed[[#This Row],[Ins]],tblContractForDeed[[#This Row],[Taxes]])</f>
        <v>1911.6200000000001</v>
      </c>
      <c r="W41" s="265">
        <f>SUM(INDEX(tblContractForDeed[Princ],1):INDEX(tblContractForDeed[Princ],ROW()-ROW(tblContractForDeed[#Headers])))</f>
        <v>8252.380000000001</v>
      </c>
      <c r="X41" s="265">
        <f>IF(tblContractForDeed[[#This Row],[Beg]]&lt;=0,0,tblContractForDeed[[#This Row],[Beg]]-tblContractForDeed[[#This Row],[Princ]])</f>
        <v>138247.62</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39">
        <f>IF(INDEX(tblContractForDeed[Payment],ROW()-ROW(tblBuyerOutputs[#Headers]))=0,0,INDEX(tblContractForDeed[Payment],ROW()-ROW(tblBuyerOutputs[#Headers]))-INDEX(tblSubjectToLoan[Payment],ROW()-ROW(tblBuyerOutputs[#Headers])))</f>
        <v>1777.45</v>
      </c>
      <c r="AA41"/>
      <c r="AB41" s="14">
        <f>IF(INDEX(tblContractForDeed[Payment],ROW()-ROW(tblBuyerOutputs[#Headers]))=0,0,INDEX(tblContractForDeed[Payment],ROW()-ROW(tblBuyerOutputs[#Headers]))-INDEX(tblSubjectToLoan[Payment],ROW()-ROW(tblBuyerOutputs[#Headers])))-IFERROR(tblBuyerOutputs[[#This Row],[PMI]],0)</f>
        <v>1777.45</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17774.500000000004</v>
      </c>
      <c r="AD41" s="265">
        <f>IF(INDEX(tblContractForDeed[End Bal],ROW()-ROW(tblBuyerOutputs[#Headers]))&lt;=0,0,($O$6+IF(ROW()=ROW(tblBuyerOutputs[#Headers])+1,0,INDEX(tblBuyerOutputs[Cumul Appr],ROW()-ROW(tblBuyerOutputs[#Headers])-1)))*$O$2/12)</f>
        <v>666.11344722936212</v>
      </c>
      <c r="AE41" s="587">
        <f>IF(INDEX(tblContractForDeed[End Bal],ROW()-ROW(tblBuyerOutputs[#Headers]))&lt;=0,0,IF(ROW()=ROW(tblBuyerOutputs[#Headers])+1,0,INDEX(tblBuyerOutputs[Cumul Appr],ROW()-ROW(tblBuyerOutputs[#Headers])-1))+tblBuyerOutputs[[#This Row],[Monthly Appr]])</f>
        <v>14033.340782276282</v>
      </c>
      <c r="AF41" s="22"/>
      <c r="AG41" s="14"/>
      <c r="AM41"/>
      <c r="AN41" s="14"/>
      <c r="AP41" s="265"/>
      <c r="AR41" s="14"/>
      <c r="AS41"/>
    </row>
    <row r="42" spans="1:45" x14ac:dyDescent="0.25">
      <c r="A42" s="561">
        <f t="shared" si="4"/>
        <v>46508</v>
      </c>
      <c r="B42" s="265">
        <f t="shared" si="5"/>
        <v>0</v>
      </c>
      <c r="C42" s="14">
        <f t="shared" si="1"/>
        <v>0</v>
      </c>
      <c r="D42" s="14">
        <f t="shared" si="6"/>
        <v>0</v>
      </c>
      <c r="E42" s="14">
        <f t="shared" si="2"/>
        <v>0</v>
      </c>
      <c r="I42" s="265">
        <f t="shared" si="9"/>
        <v>0</v>
      </c>
      <c r="J42" s="265">
        <f t="shared" si="10"/>
        <v>0</v>
      </c>
      <c r="K42" s="265">
        <f t="shared" si="7"/>
        <v>0</v>
      </c>
      <c r="L42" s="373">
        <f t="shared" si="3"/>
        <v>1</v>
      </c>
      <c r="M42" s="373">
        <f t="shared" si="8"/>
        <v>22</v>
      </c>
      <c r="N42" s="561">
        <f>INDEX(tblSubjectToLoan[Date],ROW()-ROW(tblContractForDeed[#Headers]))</f>
        <v>46508</v>
      </c>
      <c r="O42" s="265">
        <f>IF(ROW()=ROW(tblContractForDeed[#Headers])+1,$O$6,IF(INDEX(tblContractForDeed[End Bal],ROW()-ROW(tblContractForDeed[#Headers])-1)&lt;0,0,INDEX(tblContractForDeed[End Bal],ROW()-ROW(tblContractForDeed[#Headers])-1)))</f>
        <v>138247.62</v>
      </c>
      <c r="P42" s="431">
        <f>IF(tblContractForDeed[[#This Row],[Date]]="","",IF(tblContractForDeed[[#This Row],[Date]]&lt;cfdRateChangeDate,cfdRate1,cfdRate2))</f>
        <v>0.08</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2" s="265">
        <f>IF(tblContractForDeed[[#This Row],[Payment]]=0,0,MAX(0,MIN(tblContractForDeed[[#This Row],[Beg]],tblContractForDeed[[#This Row],[Payment]]-tblContractForDeed[[#This Row],[Int]])))</f>
        <v>855.80000000000007</v>
      </c>
      <c r="S42" s="265">
        <f>IF(OR(tblContractForDeed[[#This Row],[Date]]&lt;cfdContractDate,tblContractForDeed[[#This Row],[Date]]&gt;cfdEndDate),0,ROUND(tblContractForDeed[[#This Row],[Beg]]*(tblContractForDeed[[#This Row],[Int Rate]]/12),2))</f>
        <v>921.65</v>
      </c>
      <c r="T42" s="265">
        <f>IF(tblContractForDeed[[#This Row],[Payment]]=0,0,$V$2)</f>
        <v>134.16999999999999</v>
      </c>
      <c r="U42" s="265">
        <f>IF(tblContractForDeed[[#This Row],[Princ]]=0,0,$V$3)</f>
        <v>0</v>
      </c>
      <c r="V42" s="265">
        <f>SUM(tblContractForDeed[[#This Row],[Princ]],tblContractForDeed[[#This Row],[Int]],tblContractForDeed[[#This Row],[Ins]],tblContractForDeed[[#This Row],[Taxes]])</f>
        <v>1911.6200000000001</v>
      </c>
      <c r="W42" s="265">
        <f>SUM(INDEX(tblContractForDeed[Princ],1):INDEX(tblContractForDeed[Princ],ROW()-ROW(tblContractForDeed[#Headers])))</f>
        <v>9108.18</v>
      </c>
      <c r="X42" s="265">
        <f>IF(tblContractForDeed[[#This Row],[Beg]]&lt;=0,0,tblContractForDeed[[#This Row],[Beg]]-tblContractForDeed[[#This Row],[Princ]])</f>
        <v>137391.82</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39">
        <f>IF(INDEX(tblContractForDeed[Payment],ROW()-ROW(tblBuyerOutputs[#Headers]))=0,0,INDEX(tblContractForDeed[Payment],ROW()-ROW(tblBuyerOutputs[#Headers]))-INDEX(tblSubjectToLoan[Payment],ROW()-ROW(tblBuyerOutputs[#Headers])))</f>
        <v>1777.45</v>
      </c>
      <c r="AA42"/>
      <c r="AB42" s="14">
        <f>IF(INDEX(tblContractForDeed[Payment],ROW()-ROW(tblBuyerOutputs[#Headers]))=0,0,INDEX(tblContractForDeed[Payment],ROW()-ROW(tblBuyerOutputs[#Headers]))-INDEX(tblSubjectToLoan[Payment],ROW()-ROW(tblBuyerOutputs[#Headers])))-IFERROR(tblBuyerOutputs[[#This Row],[PMI]],0)</f>
        <v>1777.45</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19551.950000000004</v>
      </c>
      <c r="AD42" s="265">
        <f>IF(INDEX(tblContractForDeed[End Bal],ROW()-ROW(tblBuyerOutputs[#Headers]))&lt;=0,0,($O$6+IF(ROW()=ROW(tblBuyerOutputs[#Headers])+1,0,INDEX(tblBuyerOutputs[Cumul Appr],ROW()-ROW(tblBuyerOutputs[#Headers])-1)))*$O$2/12)</f>
        <v>668.88891992615129</v>
      </c>
      <c r="AE42" s="587">
        <f>IF(INDEX(tblContractForDeed[End Bal],ROW()-ROW(tblBuyerOutputs[#Headers]))&lt;=0,0,IF(ROW()=ROW(tblBuyerOutputs[#Headers])+1,0,INDEX(tblBuyerOutputs[Cumul Appr],ROW()-ROW(tblBuyerOutputs[#Headers])-1))+tblBuyerOutputs[[#This Row],[Monthly Appr]])</f>
        <v>14702.229702202434</v>
      </c>
      <c r="AF42" s="22"/>
      <c r="AG42" s="14"/>
      <c r="AM42"/>
      <c r="AN42" s="14"/>
      <c r="AP42" s="265"/>
      <c r="AR42" s="14"/>
      <c r="AS42"/>
    </row>
    <row r="43" spans="1:45" ht="15.75" thickBot="1" x14ac:dyDescent="0.3">
      <c r="A43" s="562">
        <f t="shared" si="4"/>
        <v>46539</v>
      </c>
      <c r="B43" s="316">
        <f t="shared" si="5"/>
        <v>0</v>
      </c>
      <c r="C43" s="21">
        <f t="shared" si="1"/>
        <v>0</v>
      </c>
      <c r="D43" s="21">
        <f t="shared" si="6"/>
        <v>0</v>
      </c>
      <c r="E43" s="21">
        <f t="shared" si="2"/>
        <v>0</v>
      </c>
      <c r="F43" s="21"/>
      <c r="G43" s="21"/>
      <c r="H43" s="21"/>
      <c r="I43" s="316">
        <f t="shared" si="9"/>
        <v>0</v>
      </c>
      <c r="J43" s="316">
        <f t="shared" si="10"/>
        <v>0</v>
      </c>
      <c r="K43" s="316">
        <f t="shared" si="7"/>
        <v>0</v>
      </c>
      <c r="L43" s="374">
        <f t="shared" si="3"/>
        <v>1</v>
      </c>
      <c r="M43" s="374">
        <f t="shared" si="8"/>
        <v>23</v>
      </c>
      <c r="N43" s="562">
        <f>INDEX(tblSubjectToLoan[Date],ROW()-ROW(tblContractForDeed[#Headers]))</f>
        <v>46539</v>
      </c>
      <c r="O43" s="316">
        <f>IF(ROW()=ROW(tblContractForDeed[#Headers])+1,$O$6,IF(INDEX(tblContractForDeed[End Bal],ROW()-ROW(tblContractForDeed[#Headers])-1)&lt;0,0,INDEX(tblContractForDeed[End Bal],ROW()-ROW(tblContractForDeed[#Headers])-1)))</f>
        <v>137391.82</v>
      </c>
      <c r="P43" s="585">
        <f>IF(tblContractForDeed[[#This Row],[Date]]="","",IF(tblContractForDeed[[#This Row],[Date]]&lt;cfdRateChangeDate,cfdRate1,cfdRate2))</f>
        <v>0.08</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3" s="316">
        <f>IF(tblContractForDeed[[#This Row],[Payment]]=0,0,MAX(0,MIN(tblContractForDeed[[#This Row],[Beg]],tblContractForDeed[[#This Row],[Payment]]-tblContractForDeed[[#This Row],[Int]])))</f>
        <v>861.5</v>
      </c>
      <c r="S43" s="316">
        <f>IF(OR(tblContractForDeed[[#This Row],[Date]]&lt;cfdContractDate,tblContractForDeed[[#This Row],[Date]]&gt;cfdEndDate),0,ROUND(tblContractForDeed[[#This Row],[Beg]]*(tblContractForDeed[[#This Row],[Int Rate]]/12),2))</f>
        <v>915.95</v>
      </c>
      <c r="T43" s="316">
        <f>IF(tblContractForDeed[[#This Row],[Payment]]=0,0,$V$2)</f>
        <v>134.16999999999999</v>
      </c>
      <c r="U43" s="316">
        <f>IF(tblContractForDeed[[#This Row],[Princ]]=0,0,$V$3)</f>
        <v>0</v>
      </c>
      <c r="V43" s="316">
        <f>SUM(tblContractForDeed[[#This Row],[Princ]],tblContractForDeed[[#This Row],[Int]],tblContractForDeed[[#This Row],[Ins]],tblContractForDeed[[#This Row],[Taxes]])</f>
        <v>1911.6200000000001</v>
      </c>
      <c r="W43" s="316">
        <f>SUM(INDEX(tblContractForDeed[Princ],1):INDEX(tblContractForDeed[Princ],ROW()-ROW(tblContractForDeed[#Headers])))</f>
        <v>9969.68</v>
      </c>
      <c r="X43" s="316">
        <f>IF(tblContractForDeed[[#This Row],[Beg]]&lt;=0,0,tblContractForDeed[[#This Row],[Beg]]-tblContractForDeed[[#This Row],[Princ]])</f>
        <v>136530.32</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0">
        <f>IF(INDEX(tblContractForDeed[Payment],ROW()-ROW(tblBuyerOutputs[#Headers]))=0,0,INDEX(tblContractForDeed[Payment],ROW()-ROW(tblBuyerOutputs[#Headers]))-INDEX(tblSubjectToLoan[Payment],ROW()-ROW(tblBuyerOutputs[#Headers])))</f>
        <v>1777.45</v>
      </c>
      <c r="AA43" s="23"/>
      <c r="AB43" s="21">
        <f>IF(INDEX(tblContractForDeed[Payment],ROW()-ROW(tblBuyerOutputs[#Headers]))=0,0,INDEX(tblContractForDeed[Payment],ROW()-ROW(tblBuyerOutputs[#Headers]))-INDEX(tblSubjectToLoan[Payment],ROW()-ROW(tblBuyerOutputs[#Headers])))-IFERROR(tblBuyerOutputs[[#This Row],[PMI]],0)</f>
        <v>1777.45</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21329.400000000005</v>
      </c>
      <c r="AD43" s="316">
        <f>IF(INDEX(tblContractForDeed[End Bal],ROW()-ROW(tblBuyerOutputs[#Headers]))&lt;=0,0,($O$6+IF(ROW()=ROW(tblBuyerOutputs[#Headers])+1,0,INDEX(tblBuyerOutputs[Cumul Appr],ROW()-ROW(tblBuyerOutputs[#Headers])-1)))*$O$2/12)</f>
        <v>671.6759570925102</v>
      </c>
      <c r="AE43" s="588">
        <f>IF(INDEX(tblContractForDeed[End Bal],ROW()-ROW(tblBuyerOutputs[#Headers]))&lt;=0,0,IF(ROW()=ROW(tblBuyerOutputs[#Headers])+1,0,INDEX(tblBuyerOutputs[Cumul Appr],ROW()-ROW(tblBuyerOutputs[#Headers])-1))+tblBuyerOutputs[[#This Row],[Monthly Appr]])</f>
        <v>15373.905659294944</v>
      </c>
      <c r="AF43" s="22"/>
      <c r="AG43" s="14"/>
      <c r="AM43"/>
      <c r="AN43" s="14"/>
      <c r="AP43" s="265"/>
      <c r="AR43" s="14"/>
      <c r="AS43"/>
    </row>
    <row r="44" spans="1:45" x14ac:dyDescent="0.25">
      <c r="A44" s="561">
        <f t="shared" si="4"/>
        <v>46569</v>
      </c>
      <c r="B44" s="265">
        <f t="shared" si="5"/>
        <v>0</v>
      </c>
      <c r="C44" s="14">
        <f t="shared" si="1"/>
        <v>0</v>
      </c>
      <c r="D44" s="14">
        <f t="shared" si="6"/>
        <v>0</v>
      </c>
      <c r="E44" s="14">
        <f t="shared" si="2"/>
        <v>0</v>
      </c>
      <c r="I44" s="265">
        <f t="shared" si="9"/>
        <v>0</v>
      </c>
      <c r="J44" s="265">
        <f t="shared" si="10"/>
        <v>0</v>
      </c>
      <c r="K44" s="265">
        <f t="shared" si="7"/>
        <v>0</v>
      </c>
      <c r="L44" s="373">
        <f t="shared" si="3"/>
        <v>2</v>
      </c>
      <c r="M44" s="373">
        <f t="shared" si="8"/>
        <v>24</v>
      </c>
      <c r="N44" s="561">
        <f>INDEX(tblSubjectToLoan[Date],ROW()-ROW(tblContractForDeed[#Headers]))</f>
        <v>46569</v>
      </c>
      <c r="O44" s="265">
        <f>IF(ROW()=ROW(tblContractForDeed[#Headers])+1,$O$6,IF(INDEX(tblContractForDeed[End Bal],ROW()-ROW(tblContractForDeed[#Headers])-1)&lt;0,0,INDEX(tblContractForDeed[End Bal],ROW()-ROW(tblContractForDeed[#Headers])-1)))</f>
        <v>136530.32</v>
      </c>
      <c r="P44" s="431">
        <f>IF(tblContractForDeed[[#This Row],[Date]]="","",IF(tblContractForDeed[[#This Row],[Date]]&lt;cfdRateChangeDate,cfdRate1,cfdRate2))</f>
        <v>0.08</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4" s="265">
        <f>IF(tblContractForDeed[[#This Row],[Payment]]=0,0,MAX(0,MIN(tblContractForDeed[[#This Row],[Beg]],tblContractForDeed[[#This Row],[Payment]]-tblContractForDeed[[#This Row],[Int]])))</f>
        <v>867.25</v>
      </c>
      <c r="S44" s="265">
        <f>IF(OR(tblContractForDeed[[#This Row],[Date]]&lt;cfdContractDate,tblContractForDeed[[#This Row],[Date]]&gt;cfdEndDate),0,ROUND(tblContractForDeed[[#This Row],[Beg]]*(tblContractForDeed[[#This Row],[Int Rate]]/12),2))</f>
        <v>910.2</v>
      </c>
      <c r="T44" s="265">
        <f>IF(tblContractForDeed[[#This Row],[Payment]]=0,0,$V$2)</f>
        <v>134.16999999999999</v>
      </c>
      <c r="U44" s="265">
        <f>IF(tblContractForDeed[[#This Row],[Princ]]=0,0,$V$3)</f>
        <v>0</v>
      </c>
      <c r="V44" s="265">
        <f>SUM(tblContractForDeed[[#This Row],[Princ]],tblContractForDeed[[#This Row],[Int]],tblContractForDeed[[#This Row],[Ins]],tblContractForDeed[[#This Row],[Taxes]])</f>
        <v>1911.6200000000001</v>
      </c>
      <c r="W44" s="265">
        <f>SUM(INDEX(tblContractForDeed[Princ],1):INDEX(tblContractForDeed[Princ],ROW()-ROW(tblContractForDeed[#Headers])))</f>
        <v>10836.93</v>
      </c>
      <c r="X44" s="265">
        <f>IF(tblContractForDeed[[#This Row],[Beg]]&lt;=0,0,tblContractForDeed[[#This Row],[Beg]]-tblContractForDeed[[#This Row],[Princ]])</f>
        <v>135663.07</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39">
        <f>IF(INDEX(tblContractForDeed[Payment],ROW()-ROW(tblBuyerOutputs[#Headers]))=0,0,INDEX(tblContractForDeed[Payment],ROW()-ROW(tblBuyerOutputs[#Headers]))-INDEX(tblSubjectToLoan[Payment],ROW()-ROW(tblBuyerOutputs[#Headers])))</f>
        <v>1777.45</v>
      </c>
      <c r="AA44"/>
      <c r="AB44" s="14">
        <f>IF(INDEX(tblContractForDeed[Payment],ROW()-ROW(tblBuyerOutputs[#Headers]))=0,0,INDEX(tblContractForDeed[Payment],ROW()-ROW(tblBuyerOutputs[#Headers]))-INDEX(tblSubjectToLoan[Payment],ROW()-ROW(tblBuyerOutputs[#Headers])))-IFERROR(tblBuyerOutputs[[#This Row],[PMI]],0)</f>
        <v>1777.45</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23106.850000000006</v>
      </c>
      <c r="AD44" s="265">
        <f>IF(INDEX(tblContractForDeed[End Bal],ROW()-ROW(tblBuyerOutputs[#Headers]))&lt;=0,0,($O$6+IF(ROW()=ROW(tblBuyerOutputs[#Headers])+1,0,INDEX(tblBuyerOutputs[Cumul Appr],ROW()-ROW(tblBuyerOutputs[#Headers])-1)))*$O$2/12)</f>
        <v>674.47460691372896</v>
      </c>
      <c r="AE44" s="587">
        <f>IF(INDEX(tblContractForDeed[End Bal],ROW()-ROW(tblBuyerOutputs[#Headers]))&lt;=0,0,IF(ROW()=ROW(tblBuyerOutputs[#Headers])+1,0,INDEX(tblBuyerOutputs[Cumul Appr],ROW()-ROW(tblBuyerOutputs[#Headers])-1))+tblBuyerOutputs[[#This Row],[Monthly Appr]])</f>
        <v>16048.380266208673</v>
      </c>
      <c r="AF44" s="22"/>
      <c r="AG44" s="14"/>
      <c r="AM44"/>
      <c r="AN44" s="14"/>
      <c r="AP44" s="265"/>
      <c r="AR44" s="14"/>
      <c r="AS44"/>
    </row>
    <row r="45" spans="1:45" x14ac:dyDescent="0.25">
      <c r="A45" s="561">
        <f t="shared" si="4"/>
        <v>46600</v>
      </c>
      <c r="B45" s="265">
        <f t="shared" si="5"/>
        <v>0</v>
      </c>
      <c r="C45" s="14">
        <f t="shared" si="1"/>
        <v>0</v>
      </c>
      <c r="D45" s="14">
        <f t="shared" si="6"/>
        <v>0</v>
      </c>
      <c r="E45" s="14">
        <f t="shared" si="2"/>
        <v>0</v>
      </c>
      <c r="I45" s="265">
        <f t="shared" si="9"/>
        <v>0</v>
      </c>
      <c r="J45" s="265">
        <f t="shared" si="10"/>
        <v>0</v>
      </c>
      <c r="K45" s="265">
        <f t="shared" si="7"/>
        <v>0</v>
      </c>
      <c r="L45" s="373">
        <f t="shared" si="3"/>
        <v>2</v>
      </c>
      <c r="M45" s="373">
        <f t="shared" si="8"/>
        <v>25</v>
      </c>
      <c r="N45" s="561">
        <f>INDEX(tblSubjectToLoan[Date],ROW()-ROW(tblContractForDeed[#Headers]))</f>
        <v>46600</v>
      </c>
      <c r="O45" s="265">
        <f>IF(ROW()=ROW(tblContractForDeed[#Headers])+1,$O$6,IF(INDEX(tblContractForDeed[End Bal],ROW()-ROW(tblContractForDeed[#Headers])-1)&lt;0,0,INDEX(tblContractForDeed[End Bal],ROW()-ROW(tblContractForDeed[#Headers])-1)))</f>
        <v>135663.07</v>
      </c>
      <c r="P45" s="431">
        <f>IF(tblContractForDeed[[#This Row],[Date]]="","",IF(tblContractForDeed[[#This Row],[Date]]&lt;cfdRateChangeDate,cfdRate1,cfdRate2))</f>
        <v>0.08</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5" s="265">
        <f>IF(tblContractForDeed[[#This Row],[Payment]]=0,0,MAX(0,MIN(tblContractForDeed[[#This Row],[Beg]],tblContractForDeed[[#This Row],[Payment]]-tblContractForDeed[[#This Row],[Int]])))</f>
        <v>873.03000000000009</v>
      </c>
      <c r="S45" s="265">
        <f>IF(OR(tblContractForDeed[[#This Row],[Date]]&lt;cfdContractDate,tblContractForDeed[[#This Row],[Date]]&gt;cfdEndDate),0,ROUND(tblContractForDeed[[#This Row],[Beg]]*(tblContractForDeed[[#This Row],[Int Rate]]/12),2))</f>
        <v>904.42</v>
      </c>
      <c r="T45" s="265">
        <f>IF(tblContractForDeed[[#This Row],[Payment]]=0,0,$V$2)</f>
        <v>134.16999999999999</v>
      </c>
      <c r="U45" s="265">
        <f>IF(tblContractForDeed[[#This Row],[Princ]]=0,0,$V$3)</f>
        <v>0</v>
      </c>
      <c r="V45" s="265">
        <f>SUM(tblContractForDeed[[#This Row],[Princ]],tblContractForDeed[[#This Row],[Int]],tblContractForDeed[[#This Row],[Ins]],tblContractForDeed[[#This Row],[Taxes]])</f>
        <v>1911.6200000000001</v>
      </c>
      <c r="W45" s="265">
        <f>SUM(INDEX(tblContractForDeed[Princ],1):INDEX(tblContractForDeed[Princ],ROW()-ROW(tblContractForDeed[#Headers])))</f>
        <v>11709.960000000001</v>
      </c>
      <c r="X45" s="265">
        <f>IF(tblContractForDeed[[#This Row],[Beg]]&lt;=0,0,tblContractForDeed[[#This Row],[Beg]]-tblContractForDeed[[#This Row],[Princ]])</f>
        <v>134790.04</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39">
        <f>IF(INDEX(tblContractForDeed[Payment],ROW()-ROW(tblBuyerOutputs[#Headers]))=0,0,INDEX(tblContractForDeed[Payment],ROW()-ROW(tblBuyerOutputs[#Headers]))-INDEX(tblSubjectToLoan[Payment],ROW()-ROW(tblBuyerOutputs[#Headers])))</f>
        <v>1777.45</v>
      </c>
      <c r="AA45"/>
      <c r="AB45" s="14">
        <f>IF(INDEX(tblContractForDeed[Payment],ROW()-ROW(tblBuyerOutputs[#Headers]))=0,0,INDEX(tblContractForDeed[Payment],ROW()-ROW(tblBuyerOutputs[#Headers]))-INDEX(tblSubjectToLoan[Payment],ROW()-ROW(tblBuyerOutputs[#Headers])))-IFERROR(tblBuyerOutputs[[#This Row],[PMI]],0)</f>
        <v>1777.45</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24884.300000000007</v>
      </c>
      <c r="AD45" s="265">
        <f>IF(INDEX(tblContractForDeed[End Bal],ROW()-ROW(tblBuyerOutputs[#Headers]))&lt;=0,0,($O$6+IF(ROW()=ROW(tblBuyerOutputs[#Headers])+1,0,INDEX(tblBuyerOutputs[Cumul Appr],ROW()-ROW(tblBuyerOutputs[#Headers])-1)))*$O$2/12)</f>
        <v>677.28491777586953</v>
      </c>
      <c r="AE45" s="587">
        <f>IF(INDEX(tblContractForDeed[End Bal],ROW()-ROW(tblBuyerOutputs[#Headers]))&lt;=0,0,IF(ROW()=ROW(tblBuyerOutputs[#Headers])+1,0,INDEX(tblBuyerOutputs[Cumul Appr],ROW()-ROW(tblBuyerOutputs[#Headers])-1))+tblBuyerOutputs[[#This Row],[Monthly Appr]])</f>
        <v>16725.665183984544</v>
      </c>
      <c r="AF45" s="22"/>
      <c r="AG45" s="14"/>
      <c r="AM45"/>
      <c r="AN45" s="14"/>
      <c r="AP45" s="265"/>
      <c r="AR45" s="14"/>
      <c r="AS45"/>
    </row>
    <row r="46" spans="1:45" x14ac:dyDescent="0.25">
      <c r="A46" s="561">
        <f t="shared" si="4"/>
        <v>46631</v>
      </c>
      <c r="B46" s="265">
        <f t="shared" si="5"/>
        <v>0</v>
      </c>
      <c r="C46" s="14">
        <f t="shared" si="1"/>
        <v>0</v>
      </c>
      <c r="D46" s="14">
        <f t="shared" si="6"/>
        <v>0</v>
      </c>
      <c r="E46" s="14">
        <f t="shared" si="2"/>
        <v>0</v>
      </c>
      <c r="I46" s="265">
        <f t="shared" si="9"/>
        <v>0</v>
      </c>
      <c r="J46" s="265">
        <f t="shared" si="10"/>
        <v>0</v>
      </c>
      <c r="K46" s="265">
        <f t="shared" si="7"/>
        <v>0</v>
      </c>
      <c r="L46" s="373">
        <f t="shared" si="3"/>
        <v>2</v>
      </c>
      <c r="M46" s="373">
        <f t="shared" si="8"/>
        <v>26</v>
      </c>
      <c r="N46" s="561">
        <f>INDEX(tblSubjectToLoan[Date],ROW()-ROW(tblContractForDeed[#Headers]))</f>
        <v>46631</v>
      </c>
      <c r="O46" s="265">
        <f>IF(ROW()=ROW(tblContractForDeed[#Headers])+1,$O$6,IF(INDEX(tblContractForDeed[End Bal],ROW()-ROW(tblContractForDeed[#Headers])-1)&lt;0,0,INDEX(tblContractForDeed[End Bal],ROW()-ROW(tblContractForDeed[#Headers])-1)))</f>
        <v>134790.04</v>
      </c>
      <c r="P46" s="431">
        <f>IF(tblContractForDeed[[#This Row],[Date]]="","",IF(tblContractForDeed[[#This Row],[Date]]&lt;cfdRateChangeDate,cfdRate1,cfdRate2))</f>
        <v>0.08</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6" s="265">
        <f>IF(tblContractForDeed[[#This Row],[Payment]]=0,0,MAX(0,MIN(tblContractForDeed[[#This Row],[Beg]],tblContractForDeed[[#This Row],[Payment]]-tblContractForDeed[[#This Row],[Int]])))</f>
        <v>878.85</v>
      </c>
      <c r="S46" s="265">
        <f>IF(OR(tblContractForDeed[[#This Row],[Date]]&lt;cfdContractDate,tblContractForDeed[[#This Row],[Date]]&gt;cfdEndDate),0,ROUND(tblContractForDeed[[#This Row],[Beg]]*(tblContractForDeed[[#This Row],[Int Rate]]/12),2))</f>
        <v>898.6</v>
      </c>
      <c r="T46" s="265">
        <f>IF(tblContractForDeed[[#This Row],[Payment]]=0,0,$V$2)</f>
        <v>134.16999999999999</v>
      </c>
      <c r="U46" s="265">
        <f>IF(tblContractForDeed[[#This Row],[Princ]]=0,0,$V$3)</f>
        <v>0</v>
      </c>
      <c r="V46" s="265">
        <f>SUM(tblContractForDeed[[#This Row],[Princ]],tblContractForDeed[[#This Row],[Int]],tblContractForDeed[[#This Row],[Ins]],tblContractForDeed[[#This Row],[Taxes]])</f>
        <v>1911.6200000000001</v>
      </c>
      <c r="W46" s="265">
        <f>SUM(INDEX(tblContractForDeed[Princ],1):INDEX(tblContractForDeed[Princ],ROW()-ROW(tblContractForDeed[#Headers])))</f>
        <v>12588.810000000001</v>
      </c>
      <c r="X46" s="265">
        <f>IF(tblContractForDeed[[#This Row],[Beg]]&lt;=0,0,tblContractForDeed[[#This Row],[Beg]]-tblContractForDeed[[#This Row],[Princ]])</f>
        <v>133911.19</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39">
        <f>IF(INDEX(tblContractForDeed[Payment],ROW()-ROW(tblBuyerOutputs[#Headers]))=0,0,INDEX(tblContractForDeed[Payment],ROW()-ROW(tblBuyerOutputs[#Headers]))-INDEX(tblSubjectToLoan[Payment],ROW()-ROW(tblBuyerOutputs[#Headers])))</f>
        <v>1777.45</v>
      </c>
      <c r="AA46"/>
      <c r="AB46" s="14">
        <f>IF(INDEX(tblContractForDeed[Payment],ROW()-ROW(tblBuyerOutputs[#Headers]))=0,0,INDEX(tblContractForDeed[Payment],ROW()-ROW(tblBuyerOutputs[#Headers]))-INDEX(tblSubjectToLoan[Payment],ROW()-ROW(tblBuyerOutputs[#Headers])))-IFERROR(tblBuyerOutputs[[#This Row],[PMI]],0)</f>
        <v>1777.45</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26661.750000000007</v>
      </c>
      <c r="AD46" s="265">
        <f>IF(INDEX(tblContractForDeed[End Bal],ROW()-ROW(tblBuyerOutputs[#Headers]))&lt;=0,0,($O$6+IF(ROW()=ROW(tblBuyerOutputs[#Headers])+1,0,INDEX(tblBuyerOutputs[Cumul Appr],ROW()-ROW(tblBuyerOutputs[#Headers])-1)))*$O$2/12)</f>
        <v>680.10693826660236</v>
      </c>
      <c r="AE46" s="587">
        <f>IF(INDEX(tblContractForDeed[End Bal],ROW()-ROW(tblBuyerOutputs[#Headers]))&lt;=0,0,IF(ROW()=ROW(tblBuyerOutputs[#Headers])+1,0,INDEX(tblBuyerOutputs[Cumul Appr],ROW()-ROW(tblBuyerOutputs[#Headers])-1))+tblBuyerOutputs[[#This Row],[Monthly Appr]])</f>
        <v>17405.772122251146</v>
      </c>
      <c r="AF46" s="22"/>
      <c r="AG46" s="14"/>
      <c r="AM46"/>
      <c r="AN46" s="14"/>
      <c r="AP46" s="265"/>
      <c r="AR46" s="14"/>
      <c r="AS46"/>
    </row>
    <row r="47" spans="1:45" x14ac:dyDescent="0.25">
      <c r="A47" s="561">
        <f t="shared" si="4"/>
        <v>46661</v>
      </c>
      <c r="B47" s="265">
        <f t="shared" si="5"/>
        <v>0</v>
      </c>
      <c r="C47" s="14">
        <f t="shared" si="1"/>
        <v>0</v>
      </c>
      <c r="D47" s="14">
        <f t="shared" si="6"/>
        <v>0</v>
      </c>
      <c r="E47" s="14">
        <f t="shared" si="2"/>
        <v>0</v>
      </c>
      <c r="I47" s="265">
        <f t="shared" si="9"/>
        <v>0</v>
      </c>
      <c r="J47" s="265">
        <f t="shared" si="10"/>
        <v>0</v>
      </c>
      <c r="K47" s="265">
        <f t="shared" si="7"/>
        <v>0</v>
      </c>
      <c r="L47" s="373">
        <f t="shared" si="3"/>
        <v>2</v>
      </c>
      <c r="M47" s="373">
        <f t="shared" si="8"/>
        <v>27</v>
      </c>
      <c r="N47" s="561">
        <f>INDEX(tblSubjectToLoan[Date],ROW()-ROW(tblContractForDeed[#Headers]))</f>
        <v>46661</v>
      </c>
      <c r="O47" s="265">
        <f>IF(ROW()=ROW(tblContractForDeed[#Headers])+1,$O$6,IF(INDEX(tblContractForDeed[End Bal],ROW()-ROW(tblContractForDeed[#Headers])-1)&lt;0,0,INDEX(tblContractForDeed[End Bal],ROW()-ROW(tblContractForDeed[#Headers])-1)))</f>
        <v>133911.19</v>
      </c>
      <c r="P47" s="431">
        <f>IF(tblContractForDeed[[#This Row],[Date]]="","",IF(tblContractForDeed[[#This Row],[Date]]&lt;cfdRateChangeDate,cfdRate1,cfdRate2))</f>
        <v>0.08</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7" s="265">
        <f>IF(tblContractForDeed[[#This Row],[Payment]]=0,0,MAX(0,MIN(tblContractForDeed[[#This Row],[Beg]],tblContractForDeed[[#This Row],[Payment]]-tblContractForDeed[[#This Row],[Int]])))</f>
        <v>884.71</v>
      </c>
      <c r="S47" s="265">
        <f>IF(OR(tblContractForDeed[[#This Row],[Date]]&lt;cfdContractDate,tblContractForDeed[[#This Row],[Date]]&gt;cfdEndDate),0,ROUND(tblContractForDeed[[#This Row],[Beg]]*(tblContractForDeed[[#This Row],[Int Rate]]/12),2))</f>
        <v>892.74</v>
      </c>
      <c r="T47" s="265">
        <f>IF(tblContractForDeed[[#This Row],[Payment]]=0,0,$V$2)</f>
        <v>134.16999999999999</v>
      </c>
      <c r="U47" s="265">
        <f>IF(tblContractForDeed[[#This Row],[Princ]]=0,0,$V$3)</f>
        <v>0</v>
      </c>
      <c r="V47" s="265">
        <f>SUM(tblContractForDeed[[#This Row],[Princ]],tblContractForDeed[[#This Row],[Int]],tblContractForDeed[[#This Row],[Ins]],tblContractForDeed[[#This Row],[Taxes]])</f>
        <v>1911.6200000000001</v>
      </c>
      <c r="W47" s="265">
        <f>SUM(INDEX(tblContractForDeed[Princ],1):INDEX(tblContractForDeed[Princ],ROW()-ROW(tblContractForDeed[#Headers])))</f>
        <v>13473.52</v>
      </c>
      <c r="X47" s="265">
        <f>IF(tblContractForDeed[[#This Row],[Beg]]&lt;=0,0,tblContractForDeed[[#This Row],[Beg]]-tblContractForDeed[[#This Row],[Princ]])</f>
        <v>133026.48000000001</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39">
        <f>IF(INDEX(tblContractForDeed[Payment],ROW()-ROW(tblBuyerOutputs[#Headers]))=0,0,INDEX(tblContractForDeed[Payment],ROW()-ROW(tblBuyerOutputs[#Headers]))-INDEX(tblSubjectToLoan[Payment],ROW()-ROW(tblBuyerOutputs[#Headers])))</f>
        <v>1777.45</v>
      </c>
      <c r="AA47"/>
      <c r="AB47" s="14">
        <f>IF(INDEX(tblContractForDeed[Payment],ROW()-ROW(tblBuyerOutputs[#Headers]))=0,0,INDEX(tblContractForDeed[Payment],ROW()-ROW(tblBuyerOutputs[#Headers]))-INDEX(tblSubjectToLoan[Payment],ROW()-ROW(tblBuyerOutputs[#Headers])))-IFERROR(tblBuyerOutputs[[#This Row],[PMI]],0)</f>
        <v>1777.45</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28439.200000000008</v>
      </c>
      <c r="AD47" s="265">
        <f>IF(INDEX(tblContractForDeed[End Bal],ROW()-ROW(tblBuyerOutputs[#Headers]))&lt;=0,0,($O$6+IF(ROW()=ROW(tblBuyerOutputs[#Headers])+1,0,INDEX(tblBuyerOutputs[Cumul Appr],ROW()-ROW(tblBuyerOutputs[#Headers])-1)))*$O$2/12)</f>
        <v>682.94071717604663</v>
      </c>
      <c r="AE47" s="587">
        <f>IF(INDEX(tblContractForDeed[End Bal],ROW()-ROW(tblBuyerOutputs[#Headers]))&lt;=0,0,IF(ROW()=ROW(tblBuyerOutputs[#Headers])+1,0,INDEX(tblBuyerOutputs[Cumul Appr],ROW()-ROW(tblBuyerOutputs[#Headers])-1))+tblBuyerOutputs[[#This Row],[Monthly Appr]])</f>
        <v>18088.712839427193</v>
      </c>
      <c r="AF47" s="22"/>
      <c r="AG47" s="14"/>
      <c r="AM47"/>
      <c r="AN47" s="14"/>
      <c r="AP47" s="265"/>
      <c r="AR47" s="14"/>
      <c r="AS47"/>
    </row>
    <row r="48" spans="1:45" x14ac:dyDescent="0.25">
      <c r="A48" s="561">
        <f t="shared" si="4"/>
        <v>46692</v>
      </c>
      <c r="B48" s="265">
        <f t="shared" si="5"/>
        <v>0</v>
      </c>
      <c r="C48" s="14">
        <f t="shared" si="1"/>
        <v>0</v>
      </c>
      <c r="D48" s="14">
        <f t="shared" si="6"/>
        <v>0</v>
      </c>
      <c r="E48" s="14">
        <f t="shared" si="2"/>
        <v>0</v>
      </c>
      <c r="I48" s="265">
        <f t="shared" si="9"/>
        <v>0</v>
      </c>
      <c r="J48" s="265">
        <f t="shared" si="10"/>
        <v>0</v>
      </c>
      <c r="K48" s="265">
        <f t="shared" si="7"/>
        <v>0</v>
      </c>
      <c r="L48" s="373">
        <f t="shared" si="3"/>
        <v>2</v>
      </c>
      <c r="M48" s="373">
        <f t="shared" si="8"/>
        <v>28</v>
      </c>
      <c r="N48" s="561">
        <f>INDEX(tblSubjectToLoan[Date],ROW()-ROW(tblContractForDeed[#Headers]))</f>
        <v>46692</v>
      </c>
      <c r="O48" s="265">
        <f>IF(ROW()=ROW(tblContractForDeed[#Headers])+1,$O$6,IF(INDEX(tblContractForDeed[End Bal],ROW()-ROW(tblContractForDeed[#Headers])-1)&lt;0,0,INDEX(tblContractForDeed[End Bal],ROW()-ROW(tblContractForDeed[#Headers])-1)))</f>
        <v>133026.48000000001</v>
      </c>
      <c r="P48" s="431">
        <f>IF(tblContractForDeed[[#This Row],[Date]]="","",IF(tblContractForDeed[[#This Row],[Date]]&lt;cfdRateChangeDate,cfdRate1,cfdRate2))</f>
        <v>0.08</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8" s="265">
        <f>IF(tblContractForDeed[[#This Row],[Payment]]=0,0,MAX(0,MIN(tblContractForDeed[[#This Row],[Beg]],tblContractForDeed[[#This Row],[Payment]]-tblContractForDeed[[#This Row],[Int]])))</f>
        <v>890.61</v>
      </c>
      <c r="S48" s="265">
        <f>IF(OR(tblContractForDeed[[#This Row],[Date]]&lt;cfdContractDate,tblContractForDeed[[#This Row],[Date]]&gt;cfdEndDate),0,ROUND(tblContractForDeed[[#This Row],[Beg]]*(tblContractForDeed[[#This Row],[Int Rate]]/12),2))</f>
        <v>886.84</v>
      </c>
      <c r="T48" s="265">
        <f>IF(tblContractForDeed[[#This Row],[Payment]]=0,0,$V$2)</f>
        <v>134.16999999999999</v>
      </c>
      <c r="U48" s="265">
        <f>IF(tblContractForDeed[[#This Row],[Princ]]=0,0,$V$3)</f>
        <v>0</v>
      </c>
      <c r="V48" s="265">
        <f>SUM(tblContractForDeed[[#This Row],[Princ]],tblContractForDeed[[#This Row],[Int]],tblContractForDeed[[#This Row],[Ins]],tblContractForDeed[[#This Row],[Taxes]])</f>
        <v>1911.6200000000001</v>
      </c>
      <c r="W48" s="265">
        <f>SUM(INDEX(tblContractForDeed[Princ],1):INDEX(tblContractForDeed[Princ],ROW()-ROW(tblContractForDeed[#Headers])))</f>
        <v>14364.130000000001</v>
      </c>
      <c r="X48" s="265">
        <f>IF(tblContractForDeed[[#This Row],[Beg]]&lt;=0,0,tblContractForDeed[[#This Row],[Beg]]-tblContractForDeed[[#This Row],[Princ]])</f>
        <v>132135.87000000002</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39">
        <f>IF(INDEX(tblContractForDeed[Payment],ROW()-ROW(tblBuyerOutputs[#Headers]))=0,0,INDEX(tblContractForDeed[Payment],ROW()-ROW(tblBuyerOutputs[#Headers]))-INDEX(tblSubjectToLoan[Payment],ROW()-ROW(tblBuyerOutputs[#Headers])))</f>
        <v>1777.45</v>
      </c>
      <c r="AA48"/>
      <c r="AB48" s="14">
        <f>IF(INDEX(tblContractForDeed[Payment],ROW()-ROW(tblBuyerOutputs[#Headers]))=0,0,INDEX(tblContractForDeed[Payment],ROW()-ROW(tblBuyerOutputs[#Headers]))-INDEX(tblSubjectToLoan[Payment],ROW()-ROW(tblBuyerOutputs[#Headers])))-IFERROR(tblBuyerOutputs[[#This Row],[PMI]],0)</f>
        <v>1777.45</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30216.650000000009</v>
      </c>
      <c r="AD48" s="265">
        <f>IF(INDEX(tblContractForDeed[End Bal],ROW()-ROW(tblBuyerOutputs[#Headers]))&lt;=0,0,($O$6+IF(ROW()=ROW(tblBuyerOutputs[#Headers])+1,0,INDEX(tblBuyerOutputs[Cumul Appr],ROW()-ROW(tblBuyerOutputs[#Headers])-1)))*$O$2/12)</f>
        <v>685.7863034976134</v>
      </c>
      <c r="AE48" s="587">
        <f>IF(INDEX(tblContractForDeed[End Bal],ROW()-ROW(tblBuyerOutputs[#Headers]))&lt;=0,0,IF(ROW()=ROW(tblBuyerOutputs[#Headers])+1,0,INDEX(tblBuyerOutputs[Cumul Appr],ROW()-ROW(tblBuyerOutputs[#Headers])-1))+tblBuyerOutputs[[#This Row],[Monthly Appr]])</f>
        <v>18774.499142924808</v>
      </c>
      <c r="AF48" s="22"/>
      <c r="AG48" s="14"/>
      <c r="AM48"/>
      <c r="AN48" s="14"/>
      <c r="AP48" s="265"/>
      <c r="AR48" s="14"/>
      <c r="AS48"/>
    </row>
    <row r="49" spans="1:45" x14ac:dyDescent="0.25">
      <c r="A49" s="561">
        <f t="shared" si="4"/>
        <v>46722</v>
      </c>
      <c r="B49" s="265">
        <f t="shared" si="5"/>
        <v>0</v>
      </c>
      <c r="C49" s="14">
        <f t="shared" si="1"/>
        <v>0</v>
      </c>
      <c r="D49" s="14">
        <f t="shared" si="6"/>
        <v>0</v>
      </c>
      <c r="E49" s="14">
        <f t="shared" si="2"/>
        <v>0</v>
      </c>
      <c r="I49" s="265">
        <f t="shared" si="9"/>
        <v>0</v>
      </c>
      <c r="J49" s="265">
        <f t="shared" si="10"/>
        <v>0</v>
      </c>
      <c r="K49" s="265">
        <f t="shared" si="7"/>
        <v>0</v>
      </c>
      <c r="L49" s="373">
        <f t="shared" si="3"/>
        <v>2</v>
      </c>
      <c r="M49" s="373">
        <f t="shared" si="8"/>
        <v>29</v>
      </c>
      <c r="N49" s="561">
        <f>INDEX(tblSubjectToLoan[Date],ROW()-ROW(tblContractForDeed[#Headers]))</f>
        <v>46722</v>
      </c>
      <c r="O49" s="265">
        <f>IF(ROW()=ROW(tblContractForDeed[#Headers])+1,$O$6,IF(INDEX(tblContractForDeed[End Bal],ROW()-ROW(tblContractForDeed[#Headers])-1)&lt;0,0,INDEX(tblContractForDeed[End Bal],ROW()-ROW(tblContractForDeed[#Headers])-1)))</f>
        <v>132135.87000000002</v>
      </c>
      <c r="P49" s="431">
        <f>IF(tblContractForDeed[[#This Row],[Date]]="","",IF(tblContractForDeed[[#This Row],[Date]]&lt;cfdRateChangeDate,cfdRate1,cfdRate2))</f>
        <v>0.08</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9" s="265">
        <f>IF(tblContractForDeed[[#This Row],[Payment]]=0,0,MAX(0,MIN(tblContractForDeed[[#This Row],[Beg]],tblContractForDeed[[#This Row],[Payment]]-tblContractForDeed[[#This Row],[Int]])))</f>
        <v>896.54000000000008</v>
      </c>
      <c r="S49" s="265">
        <f>IF(OR(tblContractForDeed[[#This Row],[Date]]&lt;cfdContractDate,tblContractForDeed[[#This Row],[Date]]&gt;cfdEndDate),0,ROUND(tblContractForDeed[[#This Row],[Beg]]*(tblContractForDeed[[#This Row],[Int Rate]]/12),2))</f>
        <v>880.91</v>
      </c>
      <c r="T49" s="265">
        <f>IF(tblContractForDeed[[#This Row],[Payment]]=0,0,$V$2)</f>
        <v>134.16999999999999</v>
      </c>
      <c r="U49" s="265">
        <f>IF(tblContractForDeed[[#This Row],[Princ]]=0,0,$V$3)</f>
        <v>0</v>
      </c>
      <c r="V49" s="265">
        <f>SUM(tblContractForDeed[[#This Row],[Princ]],tblContractForDeed[[#This Row],[Int]],tblContractForDeed[[#This Row],[Ins]],tblContractForDeed[[#This Row],[Taxes]])</f>
        <v>1911.6200000000001</v>
      </c>
      <c r="W49" s="265">
        <f>SUM(INDEX(tblContractForDeed[Princ],1):INDEX(tblContractForDeed[Princ],ROW()-ROW(tblContractForDeed[#Headers])))</f>
        <v>15260.670000000002</v>
      </c>
      <c r="X49" s="265">
        <f>IF(tblContractForDeed[[#This Row],[Beg]]&lt;=0,0,tblContractForDeed[[#This Row],[Beg]]-tblContractForDeed[[#This Row],[Princ]])</f>
        <v>131239.33000000002</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39">
        <f>IF(INDEX(tblContractForDeed[Payment],ROW()-ROW(tblBuyerOutputs[#Headers]))=0,0,INDEX(tblContractForDeed[Payment],ROW()-ROW(tblBuyerOutputs[#Headers]))-INDEX(tblSubjectToLoan[Payment],ROW()-ROW(tblBuyerOutputs[#Headers])))</f>
        <v>1777.45</v>
      </c>
      <c r="AA49"/>
      <c r="AB49" s="14">
        <f>IF(INDEX(tblContractForDeed[Payment],ROW()-ROW(tblBuyerOutputs[#Headers]))=0,0,INDEX(tblContractForDeed[Payment],ROW()-ROW(tblBuyerOutputs[#Headers]))-INDEX(tblSubjectToLoan[Payment],ROW()-ROW(tblBuyerOutputs[#Headers])))-IFERROR(tblBuyerOutputs[[#This Row],[PMI]],0)</f>
        <v>1777.45</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31994.100000000009</v>
      </c>
      <c r="AD49" s="265">
        <f>IF(INDEX(tblContractForDeed[End Bal],ROW()-ROW(tblBuyerOutputs[#Headers]))&lt;=0,0,($O$6+IF(ROW()=ROW(tblBuyerOutputs[#Headers])+1,0,INDEX(tblBuyerOutputs[Cumul Appr],ROW()-ROW(tblBuyerOutputs[#Headers])-1)))*$O$2/12)</f>
        <v>688.64374642885343</v>
      </c>
      <c r="AE49" s="587">
        <f>IF(INDEX(tblContractForDeed[End Bal],ROW()-ROW(tblBuyerOutputs[#Headers]))&lt;=0,0,IF(ROW()=ROW(tblBuyerOutputs[#Headers])+1,0,INDEX(tblBuyerOutputs[Cumul Appr],ROW()-ROW(tblBuyerOutputs[#Headers])-1))+tblBuyerOutputs[[#This Row],[Monthly Appr]])</f>
        <v>19463.142889353661</v>
      </c>
      <c r="AF49" s="22"/>
      <c r="AG49" s="14"/>
      <c r="AM49"/>
      <c r="AN49" s="14"/>
      <c r="AP49" s="265"/>
      <c r="AR49" s="14"/>
      <c r="AS49"/>
    </row>
    <row r="50" spans="1:45" x14ac:dyDescent="0.25">
      <c r="A50" s="561">
        <f t="shared" si="4"/>
        <v>46753</v>
      </c>
      <c r="B50" s="265">
        <f t="shared" si="5"/>
        <v>0</v>
      </c>
      <c r="C50" s="14">
        <f t="shared" si="1"/>
        <v>0</v>
      </c>
      <c r="D50" s="14">
        <f t="shared" si="6"/>
        <v>0</v>
      </c>
      <c r="E50" s="14">
        <f t="shared" si="2"/>
        <v>0</v>
      </c>
      <c r="I50" s="265">
        <f t="shared" si="9"/>
        <v>0</v>
      </c>
      <c r="J50" s="265">
        <f t="shared" si="10"/>
        <v>0</v>
      </c>
      <c r="K50" s="265">
        <f t="shared" si="7"/>
        <v>0</v>
      </c>
      <c r="L50" s="373">
        <f t="shared" si="3"/>
        <v>2</v>
      </c>
      <c r="M50" s="373">
        <f t="shared" si="8"/>
        <v>30</v>
      </c>
      <c r="N50" s="561">
        <f>INDEX(tblSubjectToLoan[Date],ROW()-ROW(tblContractForDeed[#Headers]))</f>
        <v>46753</v>
      </c>
      <c r="O50" s="265">
        <f>IF(ROW()=ROW(tblContractForDeed[#Headers])+1,$O$6,IF(INDEX(tblContractForDeed[End Bal],ROW()-ROW(tblContractForDeed[#Headers])-1)&lt;0,0,INDEX(tblContractForDeed[End Bal],ROW()-ROW(tblContractForDeed[#Headers])-1)))</f>
        <v>131239.33000000002</v>
      </c>
      <c r="P50" s="431">
        <f>IF(tblContractForDeed[[#This Row],[Date]]="","",IF(tblContractForDeed[[#This Row],[Date]]&lt;cfdRateChangeDate,cfdRate1,cfdRate2))</f>
        <v>0.08</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0" s="265">
        <f>IF(tblContractForDeed[[#This Row],[Payment]]=0,0,MAX(0,MIN(tblContractForDeed[[#This Row],[Beg]],tblContractForDeed[[#This Row],[Payment]]-tblContractForDeed[[#This Row],[Int]])))</f>
        <v>902.5200000000001</v>
      </c>
      <c r="S50" s="265">
        <f>IF(OR(tblContractForDeed[[#This Row],[Date]]&lt;cfdContractDate,tblContractForDeed[[#This Row],[Date]]&gt;cfdEndDate),0,ROUND(tblContractForDeed[[#This Row],[Beg]]*(tblContractForDeed[[#This Row],[Int Rate]]/12),2))</f>
        <v>874.93</v>
      </c>
      <c r="T50" s="265">
        <f>IF(tblContractForDeed[[#This Row],[Payment]]=0,0,$V$2)</f>
        <v>134.16999999999999</v>
      </c>
      <c r="U50" s="265">
        <f>IF(tblContractForDeed[[#This Row],[Princ]]=0,0,$V$3)</f>
        <v>0</v>
      </c>
      <c r="V50" s="265">
        <f>SUM(tblContractForDeed[[#This Row],[Princ]],tblContractForDeed[[#This Row],[Int]],tblContractForDeed[[#This Row],[Ins]],tblContractForDeed[[#This Row],[Taxes]])</f>
        <v>1911.6200000000001</v>
      </c>
      <c r="W50" s="265">
        <f>SUM(INDEX(tblContractForDeed[Princ],1):INDEX(tblContractForDeed[Princ],ROW()-ROW(tblContractForDeed[#Headers])))</f>
        <v>16163.190000000002</v>
      </c>
      <c r="X50" s="265">
        <f>IF(tblContractForDeed[[#This Row],[Beg]]&lt;=0,0,tblContractForDeed[[#This Row],[Beg]]-tblContractForDeed[[#This Row],[Princ]])</f>
        <v>130336.81000000001</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39">
        <f>IF(INDEX(tblContractForDeed[Payment],ROW()-ROW(tblBuyerOutputs[#Headers]))=0,0,INDEX(tblContractForDeed[Payment],ROW()-ROW(tblBuyerOutputs[#Headers]))-INDEX(tblSubjectToLoan[Payment],ROW()-ROW(tblBuyerOutputs[#Headers])))</f>
        <v>1777.45</v>
      </c>
      <c r="AA50"/>
      <c r="AB50" s="14">
        <f>IF(INDEX(tblContractForDeed[Payment],ROW()-ROW(tblBuyerOutputs[#Headers]))=0,0,INDEX(tblContractForDeed[Payment],ROW()-ROW(tblBuyerOutputs[#Headers]))-INDEX(tblSubjectToLoan[Payment],ROW()-ROW(tblBuyerOutputs[#Headers])))-IFERROR(tblBuyerOutputs[[#This Row],[PMI]],0)</f>
        <v>1777.45</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33771.55000000001</v>
      </c>
      <c r="AD50" s="265">
        <f>IF(INDEX(tblContractForDeed[End Bal],ROW()-ROW(tblBuyerOutputs[#Headers]))&lt;=0,0,($O$6+IF(ROW()=ROW(tblBuyerOutputs[#Headers])+1,0,INDEX(tblBuyerOutputs[Cumul Appr],ROW()-ROW(tblBuyerOutputs[#Headers])-1)))*$O$2/12)</f>
        <v>691.51309537230691</v>
      </c>
      <c r="AE50" s="587">
        <f>IF(INDEX(tblContractForDeed[End Bal],ROW()-ROW(tblBuyerOutputs[#Headers]))&lt;=0,0,IF(ROW()=ROW(tblBuyerOutputs[#Headers])+1,0,INDEX(tblBuyerOutputs[Cumul Appr],ROW()-ROW(tblBuyerOutputs[#Headers])-1))+tblBuyerOutputs[[#This Row],[Monthly Appr]])</f>
        <v>20154.655984725967</v>
      </c>
      <c r="AF50" s="22"/>
      <c r="AG50" s="14"/>
      <c r="AM50"/>
      <c r="AN50" s="14"/>
      <c r="AP50" s="265"/>
      <c r="AR50" s="14"/>
      <c r="AS50"/>
    </row>
    <row r="51" spans="1:45" x14ac:dyDescent="0.25">
      <c r="A51" s="561">
        <f t="shared" si="4"/>
        <v>46784</v>
      </c>
      <c r="B51" s="265">
        <f t="shared" si="5"/>
        <v>0</v>
      </c>
      <c r="C51" s="14">
        <f t="shared" si="1"/>
        <v>0</v>
      </c>
      <c r="D51" s="14">
        <f t="shared" si="6"/>
        <v>0</v>
      </c>
      <c r="E51" s="14">
        <f t="shared" si="2"/>
        <v>0</v>
      </c>
      <c r="I51" s="265">
        <f t="shared" si="9"/>
        <v>0</v>
      </c>
      <c r="J51" s="265">
        <f t="shared" si="10"/>
        <v>0</v>
      </c>
      <c r="K51" s="265">
        <f t="shared" si="7"/>
        <v>0</v>
      </c>
      <c r="L51" s="373">
        <f t="shared" si="3"/>
        <v>2</v>
      </c>
      <c r="M51" s="373">
        <f t="shared" si="8"/>
        <v>31</v>
      </c>
      <c r="N51" s="561">
        <f>INDEX(tblSubjectToLoan[Date],ROW()-ROW(tblContractForDeed[#Headers]))</f>
        <v>46784</v>
      </c>
      <c r="O51" s="265">
        <f>IF(ROW()=ROW(tblContractForDeed[#Headers])+1,$O$6,IF(INDEX(tblContractForDeed[End Bal],ROW()-ROW(tblContractForDeed[#Headers])-1)&lt;0,0,INDEX(tblContractForDeed[End Bal],ROW()-ROW(tblContractForDeed[#Headers])-1)))</f>
        <v>130336.81000000001</v>
      </c>
      <c r="P51" s="431">
        <f>IF(tblContractForDeed[[#This Row],[Date]]="","",IF(tblContractForDeed[[#This Row],[Date]]&lt;cfdRateChangeDate,cfdRate1,cfdRate2))</f>
        <v>0.08</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1" s="265">
        <f>IF(tblContractForDeed[[#This Row],[Payment]]=0,0,MAX(0,MIN(tblContractForDeed[[#This Row],[Beg]],tblContractForDeed[[#This Row],[Payment]]-tblContractForDeed[[#This Row],[Int]])))</f>
        <v>908.54000000000008</v>
      </c>
      <c r="S51" s="265">
        <f>IF(OR(tblContractForDeed[[#This Row],[Date]]&lt;cfdContractDate,tblContractForDeed[[#This Row],[Date]]&gt;cfdEndDate),0,ROUND(tblContractForDeed[[#This Row],[Beg]]*(tblContractForDeed[[#This Row],[Int Rate]]/12),2))</f>
        <v>868.91</v>
      </c>
      <c r="T51" s="265">
        <f>IF(tblContractForDeed[[#This Row],[Payment]]=0,0,$V$2)</f>
        <v>134.16999999999999</v>
      </c>
      <c r="U51" s="265">
        <f>IF(tblContractForDeed[[#This Row],[Princ]]=0,0,$V$3)</f>
        <v>0</v>
      </c>
      <c r="V51" s="265">
        <f>SUM(tblContractForDeed[[#This Row],[Princ]],tblContractForDeed[[#This Row],[Int]],tblContractForDeed[[#This Row],[Ins]],tblContractForDeed[[#This Row],[Taxes]])</f>
        <v>1911.6200000000001</v>
      </c>
      <c r="W51" s="265">
        <f>SUM(INDEX(tblContractForDeed[Princ],1):INDEX(tblContractForDeed[Princ],ROW()-ROW(tblContractForDeed[#Headers])))</f>
        <v>17071.730000000003</v>
      </c>
      <c r="X51" s="265">
        <f>IF(tblContractForDeed[[#This Row],[Beg]]&lt;=0,0,tblContractForDeed[[#This Row],[Beg]]-tblContractForDeed[[#This Row],[Princ]])</f>
        <v>129428.27000000002</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39">
        <f>IF(INDEX(tblContractForDeed[Payment],ROW()-ROW(tblBuyerOutputs[#Headers]))=0,0,INDEX(tblContractForDeed[Payment],ROW()-ROW(tblBuyerOutputs[#Headers]))-INDEX(tblSubjectToLoan[Payment],ROW()-ROW(tblBuyerOutputs[#Headers])))</f>
        <v>1777.45</v>
      </c>
      <c r="AA51"/>
      <c r="AB51" s="14">
        <f>IF(INDEX(tblContractForDeed[Payment],ROW()-ROW(tblBuyerOutputs[#Headers]))=0,0,INDEX(tblContractForDeed[Payment],ROW()-ROW(tblBuyerOutputs[#Headers]))-INDEX(tblSubjectToLoan[Payment],ROW()-ROW(tblBuyerOutputs[#Headers])))-IFERROR(tblBuyerOutputs[[#This Row],[PMI]],0)</f>
        <v>1777.45</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35549.000000000007</v>
      </c>
      <c r="AD51" s="265">
        <f>IF(INDEX(tblContractForDeed[End Bal],ROW()-ROW(tblBuyerOutputs[#Headers]))&lt;=0,0,($O$6+IF(ROW()=ROW(tblBuyerOutputs[#Headers])+1,0,INDEX(tblBuyerOutputs[Cumul Appr],ROW()-ROW(tblBuyerOutputs[#Headers])-1)))*$O$2/12)</f>
        <v>694.39439993635824</v>
      </c>
      <c r="AE51" s="587">
        <f>IF(INDEX(tblContractForDeed[End Bal],ROW()-ROW(tblBuyerOutputs[#Headers]))&lt;=0,0,IF(ROW()=ROW(tblBuyerOutputs[#Headers])+1,0,INDEX(tblBuyerOutputs[Cumul Appr],ROW()-ROW(tblBuyerOutputs[#Headers])-1))+tblBuyerOutputs[[#This Row],[Monthly Appr]])</f>
        <v>20849.050384662325</v>
      </c>
      <c r="AF51" s="22"/>
      <c r="AG51" s="14"/>
      <c r="AM51"/>
      <c r="AN51" s="14"/>
      <c r="AP51" s="265"/>
      <c r="AR51" s="14"/>
      <c r="AS51"/>
    </row>
    <row r="52" spans="1:45" x14ac:dyDescent="0.25">
      <c r="A52" s="561">
        <f t="shared" si="4"/>
        <v>46813</v>
      </c>
      <c r="B52" s="265">
        <f t="shared" si="5"/>
        <v>0</v>
      </c>
      <c r="C52" s="14">
        <f t="shared" si="1"/>
        <v>0</v>
      </c>
      <c r="D52" s="14">
        <f t="shared" si="6"/>
        <v>0</v>
      </c>
      <c r="E52" s="14">
        <f t="shared" si="2"/>
        <v>0</v>
      </c>
      <c r="I52" s="265">
        <f t="shared" si="9"/>
        <v>0</v>
      </c>
      <c r="J52" s="265">
        <f t="shared" si="10"/>
        <v>0</v>
      </c>
      <c r="K52" s="265">
        <f t="shared" si="7"/>
        <v>0</v>
      </c>
      <c r="L52" s="373">
        <f t="shared" si="3"/>
        <v>2</v>
      </c>
      <c r="M52" s="373">
        <f t="shared" si="8"/>
        <v>32</v>
      </c>
      <c r="N52" s="561">
        <f>INDEX(tblSubjectToLoan[Date],ROW()-ROW(tblContractForDeed[#Headers]))</f>
        <v>46813</v>
      </c>
      <c r="O52" s="265">
        <f>IF(ROW()=ROW(tblContractForDeed[#Headers])+1,$O$6,IF(INDEX(tblContractForDeed[End Bal],ROW()-ROW(tblContractForDeed[#Headers])-1)&lt;0,0,INDEX(tblContractForDeed[End Bal],ROW()-ROW(tblContractForDeed[#Headers])-1)))</f>
        <v>129428.27000000002</v>
      </c>
      <c r="P52" s="431">
        <f>IF(tblContractForDeed[[#This Row],[Date]]="","",IF(tblContractForDeed[[#This Row],[Date]]&lt;cfdRateChangeDate,cfdRate1,cfdRate2))</f>
        <v>0.08</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2" s="265">
        <f>IF(tblContractForDeed[[#This Row],[Payment]]=0,0,MAX(0,MIN(tblContractForDeed[[#This Row],[Beg]],tblContractForDeed[[#This Row],[Payment]]-tblContractForDeed[[#This Row],[Int]])))</f>
        <v>914.59</v>
      </c>
      <c r="S52" s="265">
        <f>IF(OR(tblContractForDeed[[#This Row],[Date]]&lt;cfdContractDate,tblContractForDeed[[#This Row],[Date]]&gt;cfdEndDate),0,ROUND(tblContractForDeed[[#This Row],[Beg]]*(tblContractForDeed[[#This Row],[Int Rate]]/12),2))</f>
        <v>862.86</v>
      </c>
      <c r="T52" s="265">
        <f>IF(tblContractForDeed[[#This Row],[Payment]]=0,0,$V$2)</f>
        <v>134.16999999999999</v>
      </c>
      <c r="U52" s="265">
        <f>IF(tblContractForDeed[[#This Row],[Princ]]=0,0,$V$3)</f>
        <v>0</v>
      </c>
      <c r="V52" s="265">
        <f>SUM(tblContractForDeed[[#This Row],[Princ]],tblContractForDeed[[#This Row],[Int]],tblContractForDeed[[#This Row],[Ins]],tblContractForDeed[[#This Row],[Taxes]])</f>
        <v>1911.6200000000001</v>
      </c>
      <c r="W52" s="265">
        <f>SUM(INDEX(tblContractForDeed[Princ],1):INDEX(tblContractForDeed[Princ],ROW()-ROW(tblContractForDeed[#Headers])))</f>
        <v>17986.320000000003</v>
      </c>
      <c r="X52" s="265">
        <f>IF(tblContractForDeed[[#This Row],[Beg]]&lt;=0,0,tblContractForDeed[[#This Row],[Beg]]-tblContractForDeed[[#This Row],[Princ]])</f>
        <v>128513.68000000002</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39">
        <f>IF(INDEX(tblContractForDeed[Payment],ROW()-ROW(tblBuyerOutputs[#Headers]))=0,0,INDEX(tblContractForDeed[Payment],ROW()-ROW(tblBuyerOutputs[#Headers]))-INDEX(tblSubjectToLoan[Payment],ROW()-ROW(tblBuyerOutputs[#Headers])))</f>
        <v>1777.45</v>
      </c>
      <c r="AA52"/>
      <c r="AB52" s="14">
        <f>IF(INDEX(tblContractForDeed[Payment],ROW()-ROW(tblBuyerOutputs[#Headers]))=0,0,INDEX(tblContractForDeed[Payment],ROW()-ROW(tblBuyerOutputs[#Headers]))-INDEX(tblSubjectToLoan[Payment],ROW()-ROW(tblBuyerOutputs[#Headers])))-IFERROR(tblBuyerOutputs[[#This Row],[PMI]],0)</f>
        <v>1777.45</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37326.450000000004</v>
      </c>
      <c r="AD52" s="265">
        <f>IF(INDEX(tblContractForDeed[End Bal],ROW()-ROW(tblBuyerOutputs[#Headers]))&lt;=0,0,($O$6+IF(ROW()=ROW(tblBuyerOutputs[#Headers])+1,0,INDEX(tblBuyerOutputs[Cumul Appr],ROW()-ROW(tblBuyerOutputs[#Headers])-1)))*$O$2/12)</f>
        <v>697.28770993609305</v>
      </c>
      <c r="AE52" s="587">
        <f>IF(INDEX(tblContractForDeed[End Bal],ROW()-ROW(tblBuyerOutputs[#Headers]))&lt;=0,0,IF(ROW()=ROW(tblBuyerOutputs[#Headers])+1,0,INDEX(tblBuyerOutputs[Cumul Appr],ROW()-ROW(tblBuyerOutputs[#Headers])-1))+tblBuyerOutputs[[#This Row],[Monthly Appr]])</f>
        <v>21546.338094598417</v>
      </c>
      <c r="AF52" s="22"/>
      <c r="AG52" s="14"/>
      <c r="AM52"/>
      <c r="AN52" s="14"/>
      <c r="AP52" s="265"/>
      <c r="AR52" s="14"/>
      <c r="AS52"/>
    </row>
    <row r="53" spans="1:45" x14ac:dyDescent="0.25">
      <c r="A53" s="561">
        <f t="shared" si="4"/>
        <v>46844</v>
      </c>
      <c r="B53" s="265">
        <f t="shared" si="5"/>
        <v>0</v>
      </c>
      <c r="C53" s="14">
        <f t="shared" si="1"/>
        <v>0</v>
      </c>
      <c r="D53" s="14">
        <f t="shared" si="6"/>
        <v>0</v>
      </c>
      <c r="E53" s="14">
        <f t="shared" si="2"/>
        <v>0</v>
      </c>
      <c r="I53" s="265">
        <f t="shared" si="9"/>
        <v>0</v>
      </c>
      <c r="J53" s="265">
        <f t="shared" si="10"/>
        <v>0</v>
      </c>
      <c r="K53" s="265">
        <f t="shared" si="7"/>
        <v>0</v>
      </c>
      <c r="L53" s="373">
        <f t="shared" si="3"/>
        <v>2</v>
      </c>
      <c r="M53" s="373">
        <f t="shared" si="8"/>
        <v>33</v>
      </c>
      <c r="N53" s="561">
        <f>INDEX(tblSubjectToLoan[Date],ROW()-ROW(tblContractForDeed[#Headers]))</f>
        <v>46844</v>
      </c>
      <c r="O53" s="265">
        <f>IF(ROW()=ROW(tblContractForDeed[#Headers])+1,$O$6,IF(INDEX(tblContractForDeed[End Bal],ROW()-ROW(tblContractForDeed[#Headers])-1)&lt;0,0,INDEX(tblContractForDeed[End Bal],ROW()-ROW(tblContractForDeed[#Headers])-1)))</f>
        <v>128513.68000000002</v>
      </c>
      <c r="P53" s="431">
        <f>IF(tblContractForDeed[[#This Row],[Date]]="","",IF(tblContractForDeed[[#This Row],[Date]]&lt;cfdRateChangeDate,cfdRate1,cfdRate2))</f>
        <v>0.08</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3" s="265">
        <f>IF(tblContractForDeed[[#This Row],[Payment]]=0,0,MAX(0,MIN(tblContractForDeed[[#This Row],[Beg]],tblContractForDeed[[#This Row],[Payment]]-tblContractForDeed[[#This Row],[Int]])))</f>
        <v>920.69</v>
      </c>
      <c r="S53" s="265">
        <f>IF(OR(tblContractForDeed[[#This Row],[Date]]&lt;cfdContractDate,tblContractForDeed[[#This Row],[Date]]&gt;cfdEndDate),0,ROUND(tblContractForDeed[[#This Row],[Beg]]*(tblContractForDeed[[#This Row],[Int Rate]]/12),2))</f>
        <v>856.76</v>
      </c>
      <c r="T53" s="265">
        <f>IF(tblContractForDeed[[#This Row],[Payment]]=0,0,$V$2)</f>
        <v>134.16999999999999</v>
      </c>
      <c r="U53" s="265">
        <f>IF(tblContractForDeed[[#This Row],[Princ]]=0,0,$V$3)</f>
        <v>0</v>
      </c>
      <c r="V53" s="265">
        <f>SUM(tblContractForDeed[[#This Row],[Princ]],tblContractForDeed[[#This Row],[Int]],tblContractForDeed[[#This Row],[Ins]],tblContractForDeed[[#This Row],[Taxes]])</f>
        <v>1911.6200000000001</v>
      </c>
      <c r="W53" s="265">
        <f>SUM(INDEX(tblContractForDeed[Princ],1):INDEX(tblContractForDeed[Princ],ROW()-ROW(tblContractForDeed[#Headers])))</f>
        <v>18907.010000000002</v>
      </c>
      <c r="X53" s="265">
        <f>IF(tblContractForDeed[[#This Row],[Beg]]&lt;=0,0,tblContractForDeed[[#This Row],[Beg]]-tblContractForDeed[[#This Row],[Princ]])</f>
        <v>127592.99000000002</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39">
        <f>IF(INDEX(tblContractForDeed[Payment],ROW()-ROW(tblBuyerOutputs[#Headers]))=0,0,INDEX(tblContractForDeed[Payment],ROW()-ROW(tblBuyerOutputs[#Headers]))-INDEX(tblSubjectToLoan[Payment],ROW()-ROW(tblBuyerOutputs[#Headers])))</f>
        <v>1777.45</v>
      </c>
      <c r="AA53"/>
      <c r="AB53" s="14">
        <f>IF(INDEX(tblContractForDeed[Payment],ROW()-ROW(tblBuyerOutputs[#Headers]))=0,0,INDEX(tblContractForDeed[Payment],ROW()-ROW(tblBuyerOutputs[#Headers]))-INDEX(tblSubjectToLoan[Payment],ROW()-ROW(tblBuyerOutputs[#Headers])))-IFERROR(tblBuyerOutputs[[#This Row],[PMI]],0)</f>
        <v>1777.45</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39103.9</v>
      </c>
      <c r="AD53" s="265">
        <f>IF(INDEX(tblContractForDeed[End Bal],ROW()-ROW(tblBuyerOutputs[#Headers]))&lt;=0,0,($O$6+IF(ROW()=ROW(tblBuyerOutputs[#Headers])+1,0,INDEX(tblBuyerOutputs[Cumul Appr],ROW()-ROW(tblBuyerOutputs[#Headers])-1)))*$O$2/12)</f>
        <v>700.19307539416013</v>
      </c>
      <c r="AE53" s="587">
        <f>IF(INDEX(tblContractForDeed[End Bal],ROW()-ROW(tblBuyerOutputs[#Headers]))&lt;=0,0,IF(ROW()=ROW(tblBuyerOutputs[#Headers])+1,0,INDEX(tblBuyerOutputs[Cumul Appr],ROW()-ROW(tblBuyerOutputs[#Headers])-1))+tblBuyerOutputs[[#This Row],[Monthly Appr]])</f>
        <v>22246.531169992577</v>
      </c>
      <c r="AF53" s="22"/>
      <c r="AG53" s="14"/>
      <c r="AM53"/>
      <c r="AN53" s="14"/>
      <c r="AP53" s="265"/>
      <c r="AR53" s="14"/>
      <c r="AS53"/>
    </row>
    <row r="54" spans="1:45" x14ac:dyDescent="0.25">
      <c r="A54" s="561">
        <f t="shared" si="4"/>
        <v>46874</v>
      </c>
      <c r="B54" s="265">
        <f t="shared" si="5"/>
        <v>0</v>
      </c>
      <c r="C54" s="14">
        <f t="shared" si="1"/>
        <v>0</v>
      </c>
      <c r="D54" s="14">
        <f t="shared" si="6"/>
        <v>0</v>
      </c>
      <c r="E54" s="14">
        <f t="shared" si="2"/>
        <v>0</v>
      </c>
      <c r="I54" s="265">
        <f t="shared" si="9"/>
        <v>0</v>
      </c>
      <c r="J54" s="265">
        <f t="shared" si="10"/>
        <v>0</v>
      </c>
      <c r="K54" s="265">
        <f t="shared" si="7"/>
        <v>0</v>
      </c>
      <c r="L54" s="373">
        <f t="shared" si="3"/>
        <v>2</v>
      </c>
      <c r="M54" s="373">
        <f t="shared" si="8"/>
        <v>34</v>
      </c>
      <c r="N54" s="561">
        <f>INDEX(tblSubjectToLoan[Date],ROW()-ROW(tblContractForDeed[#Headers]))</f>
        <v>46874</v>
      </c>
      <c r="O54" s="265">
        <f>IF(ROW()=ROW(tblContractForDeed[#Headers])+1,$O$6,IF(INDEX(tblContractForDeed[End Bal],ROW()-ROW(tblContractForDeed[#Headers])-1)&lt;0,0,INDEX(tblContractForDeed[End Bal],ROW()-ROW(tblContractForDeed[#Headers])-1)))</f>
        <v>127592.99000000002</v>
      </c>
      <c r="P54" s="431">
        <f>IF(tblContractForDeed[[#This Row],[Date]]="","",IF(tblContractForDeed[[#This Row],[Date]]&lt;cfdRateChangeDate,cfdRate1,cfdRate2))</f>
        <v>0.08</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4" s="265">
        <f>IF(tblContractForDeed[[#This Row],[Payment]]=0,0,MAX(0,MIN(tblContractForDeed[[#This Row],[Beg]],tblContractForDeed[[#This Row],[Payment]]-tblContractForDeed[[#This Row],[Int]])))</f>
        <v>926.83</v>
      </c>
      <c r="S54" s="265">
        <f>IF(OR(tblContractForDeed[[#This Row],[Date]]&lt;cfdContractDate,tblContractForDeed[[#This Row],[Date]]&gt;cfdEndDate),0,ROUND(tblContractForDeed[[#This Row],[Beg]]*(tblContractForDeed[[#This Row],[Int Rate]]/12),2))</f>
        <v>850.62</v>
      </c>
      <c r="T54" s="265">
        <f>IF(tblContractForDeed[[#This Row],[Payment]]=0,0,$V$2)</f>
        <v>134.16999999999999</v>
      </c>
      <c r="U54" s="265">
        <f>IF(tblContractForDeed[[#This Row],[Princ]]=0,0,$V$3)</f>
        <v>0</v>
      </c>
      <c r="V54" s="265">
        <f>SUM(tblContractForDeed[[#This Row],[Princ]],tblContractForDeed[[#This Row],[Int]],tblContractForDeed[[#This Row],[Ins]],tblContractForDeed[[#This Row],[Taxes]])</f>
        <v>1911.6200000000001</v>
      </c>
      <c r="W54" s="265">
        <f>SUM(INDEX(tblContractForDeed[Princ],1):INDEX(tblContractForDeed[Princ],ROW()-ROW(tblContractForDeed[#Headers])))</f>
        <v>19833.840000000004</v>
      </c>
      <c r="X54" s="265">
        <f>IF(tblContractForDeed[[#This Row],[Beg]]&lt;=0,0,tblContractForDeed[[#This Row],[Beg]]-tblContractForDeed[[#This Row],[Princ]])</f>
        <v>126666.16000000002</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39">
        <f>IF(INDEX(tblContractForDeed[Payment],ROW()-ROW(tblBuyerOutputs[#Headers]))=0,0,INDEX(tblContractForDeed[Payment],ROW()-ROW(tblBuyerOutputs[#Headers]))-INDEX(tblSubjectToLoan[Payment],ROW()-ROW(tblBuyerOutputs[#Headers])))</f>
        <v>1777.45</v>
      </c>
      <c r="AA54"/>
      <c r="AB54" s="14">
        <f>IF(INDEX(tblContractForDeed[Payment],ROW()-ROW(tblBuyerOutputs[#Headers]))=0,0,INDEX(tblContractForDeed[Payment],ROW()-ROW(tblBuyerOutputs[#Headers]))-INDEX(tblSubjectToLoan[Payment],ROW()-ROW(tblBuyerOutputs[#Headers])))-IFERROR(tblBuyerOutputs[[#This Row],[PMI]],0)</f>
        <v>1777.45</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40881.35</v>
      </c>
      <c r="AD54" s="265">
        <f>IF(INDEX(tblContractForDeed[End Bal],ROW()-ROW(tblBuyerOutputs[#Headers]))&lt;=0,0,($O$6+IF(ROW()=ROW(tblBuyerOutputs[#Headers])+1,0,INDEX(tblBuyerOutputs[Cumul Appr],ROW()-ROW(tblBuyerOutputs[#Headers])-1)))*$O$2/12)</f>
        <v>703.11054654163581</v>
      </c>
      <c r="AE54" s="587">
        <f>IF(INDEX(tblContractForDeed[End Bal],ROW()-ROW(tblBuyerOutputs[#Headers]))&lt;=0,0,IF(ROW()=ROW(tblBuyerOutputs[#Headers])+1,0,INDEX(tblBuyerOutputs[Cumul Appr],ROW()-ROW(tblBuyerOutputs[#Headers])-1))+tblBuyerOutputs[[#This Row],[Monthly Appr]])</f>
        <v>22949.641716534214</v>
      </c>
      <c r="AF54" s="22"/>
      <c r="AG54" s="14"/>
      <c r="AM54"/>
      <c r="AN54" s="14"/>
      <c r="AP54" s="265"/>
      <c r="AR54" s="14"/>
      <c r="AS54"/>
    </row>
    <row r="55" spans="1:45" ht="15.75" thickBot="1" x14ac:dyDescent="0.3">
      <c r="A55" s="562">
        <f t="shared" si="4"/>
        <v>46905</v>
      </c>
      <c r="B55" s="316">
        <f t="shared" si="5"/>
        <v>0</v>
      </c>
      <c r="C55" s="21">
        <f t="shared" si="1"/>
        <v>0</v>
      </c>
      <c r="D55" s="21">
        <f t="shared" si="6"/>
        <v>0</v>
      </c>
      <c r="E55" s="21">
        <f t="shared" si="2"/>
        <v>0</v>
      </c>
      <c r="F55" s="21"/>
      <c r="G55" s="21"/>
      <c r="H55" s="21"/>
      <c r="I55" s="316">
        <f t="shared" si="9"/>
        <v>0</v>
      </c>
      <c r="J55" s="316">
        <f t="shared" si="10"/>
        <v>0</v>
      </c>
      <c r="K55" s="316">
        <f t="shared" si="7"/>
        <v>0</v>
      </c>
      <c r="L55" s="374">
        <f t="shared" si="3"/>
        <v>2</v>
      </c>
      <c r="M55" s="374">
        <f t="shared" si="8"/>
        <v>35</v>
      </c>
      <c r="N55" s="562">
        <f>INDEX(tblSubjectToLoan[Date],ROW()-ROW(tblContractForDeed[#Headers]))</f>
        <v>46905</v>
      </c>
      <c r="O55" s="316">
        <f>IF(ROW()=ROW(tblContractForDeed[#Headers])+1,$O$6,IF(INDEX(tblContractForDeed[End Bal],ROW()-ROW(tblContractForDeed[#Headers])-1)&lt;0,0,INDEX(tblContractForDeed[End Bal],ROW()-ROW(tblContractForDeed[#Headers])-1)))</f>
        <v>126666.16000000002</v>
      </c>
      <c r="P55" s="585">
        <f>IF(tblContractForDeed[[#This Row],[Date]]="","",IF(tblContractForDeed[[#This Row],[Date]]&lt;cfdRateChangeDate,cfdRate1,cfdRate2))</f>
        <v>0.08</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5" s="316">
        <f>IF(tblContractForDeed[[#This Row],[Payment]]=0,0,MAX(0,MIN(tblContractForDeed[[#This Row],[Beg]],tblContractForDeed[[#This Row],[Payment]]-tblContractForDeed[[#This Row],[Int]])))</f>
        <v>933.01</v>
      </c>
      <c r="S55" s="316">
        <f>IF(OR(tblContractForDeed[[#This Row],[Date]]&lt;cfdContractDate,tblContractForDeed[[#This Row],[Date]]&gt;cfdEndDate),0,ROUND(tblContractForDeed[[#This Row],[Beg]]*(tblContractForDeed[[#This Row],[Int Rate]]/12),2))</f>
        <v>844.44</v>
      </c>
      <c r="T55" s="316">
        <f>IF(tblContractForDeed[[#This Row],[Payment]]=0,0,$V$2)</f>
        <v>134.16999999999999</v>
      </c>
      <c r="U55" s="316">
        <f>IF(tblContractForDeed[[#This Row],[Princ]]=0,0,$V$3)</f>
        <v>0</v>
      </c>
      <c r="V55" s="316">
        <f>SUM(tblContractForDeed[[#This Row],[Princ]],tblContractForDeed[[#This Row],[Int]],tblContractForDeed[[#This Row],[Ins]],tblContractForDeed[[#This Row],[Taxes]])</f>
        <v>1911.6200000000001</v>
      </c>
      <c r="W55" s="316">
        <f>SUM(INDEX(tblContractForDeed[Princ],1):INDEX(tblContractForDeed[Princ],ROW()-ROW(tblContractForDeed[#Headers])))</f>
        <v>20766.850000000002</v>
      </c>
      <c r="X55" s="316">
        <f>IF(tblContractForDeed[[#This Row],[Beg]]&lt;=0,0,tblContractForDeed[[#This Row],[Beg]]-tblContractForDeed[[#This Row],[Princ]])</f>
        <v>125733.15000000002</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0">
        <f>IF(INDEX(tblContractForDeed[Payment],ROW()-ROW(tblBuyerOutputs[#Headers]))=0,0,INDEX(tblContractForDeed[Payment],ROW()-ROW(tblBuyerOutputs[#Headers]))-INDEX(tblSubjectToLoan[Payment],ROW()-ROW(tblBuyerOutputs[#Headers])))</f>
        <v>1777.45</v>
      </c>
      <c r="AA55" s="23"/>
      <c r="AB55" s="21">
        <f>IF(INDEX(tblContractForDeed[Payment],ROW()-ROW(tblBuyerOutputs[#Headers]))=0,0,INDEX(tblContractForDeed[Payment],ROW()-ROW(tblBuyerOutputs[#Headers]))-INDEX(tblSubjectToLoan[Payment],ROW()-ROW(tblBuyerOutputs[#Headers])))-IFERROR(tblBuyerOutputs[[#This Row],[PMI]],0)</f>
        <v>1777.45</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42658.799999999996</v>
      </c>
      <c r="AD55" s="316">
        <f>IF(INDEX(tblContractForDeed[End Bal],ROW()-ROW(tblBuyerOutputs[#Headers]))&lt;=0,0,($O$6+IF(ROW()=ROW(tblBuyerOutputs[#Headers])+1,0,INDEX(tblBuyerOutputs[Cumul Appr],ROW()-ROW(tblBuyerOutputs[#Headers])-1)))*$O$2/12)</f>
        <v>706.04017381889253</v>
      </c>
      <c r="AE55" s="588">
        <f>IF(INDEX(tblContractForDeed[End Bal],ROW()-ROW(tblBuyerOutputs[#Headers]))&lt;=0,0,IF(ROW()=ROW(tblBuyerOutputs[#Headers])+1,0,INDEX(tblBuyerOutputs[Cumul Appr],ROW()-ROW(tblBuyerOutputs[#Headers])-1))+tblBuyerOutputs[[#This Row],[Monthly Appr]])</f>
        <v>23655.681890353106</v>
      </c>
      <c r="AF55" s="22"/>
      <c r="AG55" s="14"/>
      <c r="AM55"/>
      <c r="AN55" s="14"/>
      <c r="AP55" s="265"/>
      <c r="AR55" s="14"/>
      <c r="AS55"/>
    </row>
    <row r="56" spans="1:45" x14ac:dyDescent="0.25">
      <c r="A56" s="561">
        <f t="shared" si="4"/>
        <v>46935</v>
      </c>
      <c r="B56" s="265">
        <f t="shared" si="5"/>
        <v>0</v>
      </c>
      <c r="C56" s="14">
        <f t="shared" si="1"/>
        <v>0</v>
      </c>
      <c r="D56" s="14">
        <f t="shared" si="6"/>
        <v>0</v>
      </c>
      <c r="E56" s="14">
        <f t="shared" si="2"/>
        <v>0</v>
      </c>
      <c r="I56" s="265">
        <f t="shared" si="9"/>
        <v>0</v>
      </c>
      <c r="J56" s="265">
        <f t="shared" si="10"/>
        <v>0</v>
      </c>
      <c r="K56" s="265">
        <f t="shared" si="7"/>
        <v>0</v>
      </c>
      <c r="L56" s="373">
        <f t="shared" si="3"/>
        <v>3</v>
      </c>
      <c r="M56" s="373">
        <f t="shared" si="8"/>
        <v>36</v>
      </c>
      <c r="N56" s="561">
        <f>INDEX(tblSubjectToLoan[Date],ROW()-ROW(tblContractForDeed[#Headers]))</f>
        <v>46935</v>
      </c>
      <c r="O56" s="265">
        <f>IF(ROW()=ROW(tblContractForDeed[#Headers])+1,$O$6,IF(INDEX(tblContractForDeed[End Bal],ROW()-ROW(tblContractForDeed[#Headers])-1)&lt;0,0,INDEX(tblContractForDeed[End Bal],ROW()-ROW(tblContractForDeed[#Headers])-1)))</f>
        <v>125733.15000000002</v>
      </c>
      <c r="P56" s="431">
        <f>IF(tblContractForDeed[[#This Row],[Date]]="","",IF(tblContractForDeed[[#This Row],[Date]]&lt;cfdRateChangeDate,cfdRate1,cfdRate2))</f>
        <v>0.08</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6" s="265">
        <f>IF(tblContractForDeed[[#This Row],[Payment]]=0,0,MAX(0,MIN(tblContractForDeed[[#This Row],[Beg]],tblContractForDeed[[#This Row],[Payment]]-tblContractForDeed[[#This Row],[Int]])))</f>
        <v>939.23</v>
      </c>
      <c r="S56" s="265">
        <f>IF(OR(tblContractForDeed[[#This Row],[Date]]&lt;cfdContractDate,tblContractForDeed[[#This Row],[Date]]&gt;cfdEndDate),0,ROUND(tblContractForDeed[[#This Row],[Beg]]*(tblContractForDeed[[#This Row],[Int Rate]]/12),2))</f>
        <v>838.22</v>
      </c>
      <c r="T56" s="265">
        <f>IF(tblContractForDeed[[#This Row],[Payment]]=0,0,$V$2)</f>
        <v>134.16999999999999</v>
      </c>
      <c r="U56" s="265">
        <f>IF(tblContractForDeed[[#This Row],[Princ]]=0,0,$V$3)</f>
        <v>0</v>
      </c>
      <c r="V56" s="265">
        <f>SUM(tblContractForDeed[[#This Row],[Princ]],tblContractForDeed[[#This Row],[Int]],tblContractForDeed[[#This Row],[Ins]],tblContractForDeed[[#This Row],[Taxes]])</f>
        <v>1911.6200000000001</v>
      </c>
      <c r="W56" s="265">
        <f>SUM(INDEX(tblContractForDeed[Princ],1):INDEX(tblContractForDeed[Princ],ROW()-ROW(tblContractForDeed[#Headers])))</f>
        <v>21706.080000000002</v>
      </c>
      <c r="X56" s="265">
        <f>IF(tblContractForDeed[[#This Row],[Beg]]&lt;=0,0,tblContractForDeed[[#This Row],[Beg]]-tblContractForDeed[[#This Row],[Princ]])</f>
        <v>124793.92000000003</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39">
        <f>IF(INDEX(tblContractForDeed[Payment],ROW()-ROW(tblBuyerOutputs[#Headers]))=0,0,INDEX(tblContractForDeed[Payment],ROW()-ROW(tblBuyerOutputs[#Headers]))-INDEX(tblSubjectToLoan[Payment],ROW()-ROW(tblBuyerOutputs[#Headers])))</f>
        <v>1777.45</v>
      </c>
      <c r="AA56"/>
      <c r="AB56" s="14">
        <f>IF(INDEX(tblContractForDeed[Payment],ROW()-ROW(tblBuyerOutputs[#Headers]))=0,0,INDEX(tblContractForDeed[Payment],ROW()-ROW(tblBuyerOutputs[#Headers]))-INDEX(tblSubjectToLoan[Payment],ROW()-ROW(tblBuyerOutputs[#Headers])))-IFERROR(tblBuyerOutputs[[#This Row],[PMI]],0)</f>
        <v>1777.45</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44436.249999999993</v>
      </c>
      <c r="AD56" s="265">
        <f>IF(INDEX(tblContractForDeed[End Bal],ROW()-ROW(tblBuyerOutputs[#Headers]))&lt;=0,0,($O$6+IF(ROW()=ROW(tblBuyerOutputs[#Headers])+1,0,INDEX(tblBuyerOutputs[Cumul Appr],ROW()-ROW(tblBuyerOutputs[#Headers])-1)))*$O$2/12)</f>
        <v>708.98200787647136</v>
      </c>
      <c r="AE56" s="587">
        <f>IF(INDEX(tblContractForDeed[End Bal],ROW()-ROW(tblBuyerOutputs[#Headers]))&lt;=0,0,IF(ROW()=ROW(tblBuyerOutputs[#Headers])+1,0,INDEX(tblBuyerOutputs[Cumul Appr],ROW()-ROW(tblBuyerOutputs[#Headers])-1))+tblBuyerOutputs[[#This Row],[Monthly Appr]])</f>
        <v>24364.663898229577</v>
      </c>
      <c r="AF56" s="22"/>
      <c r="AG56" s="14"/>
      <c r="AM56"/>
      <c r="AN56" s="14"/>
      <c r="AP56" s="265"/>
      <c r="AR56" s="14"/>
      <c r="AS56"/>
    </row>
    <row r="57" spans="1:45" x14ac:dyDescent="0.25">
      <c r="A57" s="561">
        <f t="shared" si="4"/>
        <v>46966</v>
      </c>
      <c r="B57" s="265">
        <f t="shared" si="5"/>
        <v>0</v>
      </c>
      <c r="C57" s="14">
        <f t="shared" si="1"/>
        <v>0</v>
      </c>
      <c r="D57" s="14">
        <f t="shared" si="6"/>
        <v>0</v>
      </c>
      <c r="E57" s="14">
        <f t="shared" si="2"/>
        <v>0</v>
      </c>
      <c r="I57" s="265">
        <f t="shared" si="9"/>
        <v>0</v>
      </c>
      <c r="J57" s="265">
        <f t="shared" si="10"/>
        <v>0</v>
      </c>
      <c r="K57" s="265">
        <f t="shared" si="7"/>
        <v>0</v>
      </c>
      <c r="L57" s="373">
        <f t="shared" si="3"/>
        <v>3</v>
      </c>
      <c r="M57" s="373">
        <f t="shared" si="8"/>
        <v>37</v>
      </c>
      <c r="N57" s="561">
        <f>INDEX(tblSubjectToLoan[Date],ROW()-ROW(tblContractForDeed[#Headers]))</f>
        <v>46966</v>
      </c>
      <c r="O57" s="265">
        <f>IF(ROW()=ROW(tblContractForDeed[#Headers])+1,$O$6,IF(INDEX(tblContractForDeed[End Bal],ROW()-ROW(tblContractForDeed[#Headers])-1)&lt;0,0,INDEX(tblContractForDeed[End Bal],ROW()-ROW(tblContractForDeed[#Headers])-1)))</f>
        <v>124793.92000000003</v>
      </c>
      <c r="P57" s="431">
        <f>IF(tblContractForDeed[[#This Row],[Date]]="","",IF(tblContractForDeed[[#This Row],[Date]]&lt;cfdRateChangeDate,cfdRate1,cfdRate2))</f>
        <v>0.08</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7" s="265">
        <f>IF(tblContractForDeed[[#This Row],[Payment]]=0,0,MAX(0,MIN(tblContractForDeed[[#This Row],[Beg]],tblContractForDeed[[#This Row],[Payment]]-tblContractForDeed[[#This Row],[Int]])))</f>
        <v>945.49</v>
      </c>
      <c r="S57" s="265">
        <f>IF(OR(tblContractForDeed[[#This Row],[Date]]&lt;cfdContractDate,tblContractForDeed[[#This Row],[Date]]&gt;cfdEndDate),0,ROUND(tblContractForDeed[[#This Row],[Beg]]*(tblContractForDeed[[#This Row],[Int Rate]]/12),2))</f>
        <v>831.96</v>
      </c>
      <c r="T57" s="265">
        <f>IF(tblContractForDeed[[#This Row],[Payment]]=0,0,$V$2)</f>
        <v>134.16999999999999</v>
      </c>
      <c r="U57" s="265">
        <f>IF(tblContractForDeed[[#This Row],[Princ]]=0,0,$V$3)</f>
        <v>0</v>
      </c>
      <c r="V57" s="265">
        <f>SUM(tblContractForDeed[[#This Row],[Princ]],tblContractForDeed[[#This Row],[Int]],tblContractForDeed[[#This Row],[Ins]],tblContractForDeed[[#This Row],[Taxes]])</f>
        <v>1911.6200000000001</v>
      </c>
      <c r="W57" s="265">
        <f>SUM(INDEX(tblContractForDeed[Princ],1):INDEX(tblContractForDeed[Princ],ROW()-ROW(tblContractForDeed[#Headers])))</f>
        <v>22651.570000000003</v>
      </c>
      <c r="X57" s="265">
        <f>IF(tblContractForDeed[[#This Row],[Beg]]&lt;=0,0,tblContractForDeed[[#This Row],[Beg]]-tblContractForDeed[[#This Row],[Princ]])</f>
        <v>123848.43000000002</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39">
        <f>IF(INDEX(tblContractForDeed[Payment],ROW()-ROW(tblBuyerOutputs[#Headers]))=0,0,INDEX(tblContractForDeed[Payment],ROW()-ROW(tblBuyerOutputs[#Headers]))-INDEX(tblSubjectToLoan[Payment],ROW()-ROW(tblBuyerOutputs[#Headers])))</f>
        <v>1777.45</v>
      </c>
      <c r="AA57"/>
      <c r="AB57" s="14">
        <f>IF(INDEX(tblContractForDeed[Payment],ROW()-ROW(tblBuyerOutputs[#Headers]))=0,0,INDEX(tblContractForDeed[Payment],ROW()-ROW(tblBuyerOutputs[#Headers]))-INDEX(tblSubjectToLoan[Payment],ROW()-ROW(tblBuyerOutputs[#Headers])))-IFERROR(tblBuyerOutputs[[#This Row],[PMI]],0)</f>
        <v>1777.45</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46213.69999999999</v>
      </c>
      <c r="AD57" s="265">
        <f>IF(INDEX(tblContractForDeed[End Bal],ROW()-ROW(tblBuyerOutputs[#Headers]))&lt;=0,0,($O$6+IF(ROW()=ROW(tblBuyerOutputs[#Headers])+1,0,INDEX(tblBuyerOutputs[Cumul Appr],ROW()-ROW(tblBuyerOutputs[#Headers])-1)))*$O$2/12)</f>
        <v>711.93609957595663</v>
      </c>
      <c r="AE57" s="587">
        <f>IF(INDEX(tblContractForDeed[End Bal],ROW()-ROW(tblBuyerOutputs[#Headers]))&lt;=0,0,IF(ROW()=ROW(tblBuyerOutputs[#Headers])+1,0,INDEX(tblBuyerOutputs[Cumul Appr],ROW()-ROW(tblBuyerOutputs[#Headers])-1))+tblBuyerOutputs[[#This Row],[Monthly Appr]])</f>
        <v>25076.599997805533</v>
      </c>
      <c r="AF57" s="22"/>
      <c r="AG57" s="14"/>
      <c r="AM57"/>
      <c r="AN57" s="14"/>
      <c r="AP57" s="265"/>
      <c r="AR57" s="14"/>
      <c r="AS57"/>
    </row>
    <row r="58" spans="1:45" x14ac:dyDescent="0.25">
      <c r="A58" s="561">
        <f t="shared" si="4"/>
        <v>46997</v>
      </c>
      <c r="B58" s="265">
        <f t="shared" si="5"/>
        <v>0</v>
      </c>
      <c r="C58" s="14">
        <f t="shared" si="1"/>
        <v>0</v>
      </c>
      <c r="D58" s="14">
        <f t="shared" si="6"/>
        <v>0</v>
      </c>
      <c r="E58" s="14">
        <f t="shared" si="2"/>
        <v>0</v>
      </c>
      <c r="I58" s="265">
        <f t="shared" si="9"/>
        <v>0</v>
      </c>
      <c r="J58" s="265">
        <f t="shared" si="10"/>
        <v>0</v>
      </c>
      <c r="K58" s="265">
        <f t="shared" si="7"/>
        <v>0</v>
      </c>
      <c r="L58" s="373">
        <f t="shared" si="3"/>
        <v>3</v>
      </c>
      <c r="M58" s="373">
        <f t="shared" si="8"/>
        <v>38</v>
      </c>
      <c r="N58" s="561">
        <f>INDEX(tblSubjectToLoan[Date],ROW()-ROW(tblContractForDeed[#Headers]))</f>
        <v>46997</v>
      </c>
      <c r="O58" s="265">
        <f>IF(ROW()=ROW(tblContractForDeed[#Headers])+1,$O$6,IF(INDEX(tblContractForDeed[End Bal],ROW()-ROW(tblContractForDeed[#Headers])-1)&lt;0,0,INDEX(tblContractForDeed[End Bal],ROW()-ROW(tblContractForDeed[#Headers])-1)))</f>
        <v>123848.43000000002</v>
      </c>
      <c r="P58" s="431">
        <f>IF(tblContractForDeed[[#This Row],[Date]]="","",IF(tblContractForDeed[[#This Row],[Date]]&lt;cfdRateChangeDate,cfdRate1,cfdRate2))</f>
        <v>0.08</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8" s="265">
        <f>IF(tblContractForDeed[[#This Row],[Payment]]=0,0,MAX(0,MIN(tblContractForDeed[[#This Row],[Beg]],tblContractForDeed[[#This Row],[Payment]]-tblContractForDeed[[#This Row],[Int]])))</f>
        <v>951.79000000000008</v>
      </c>
      <c r="S58" s="265">
        <f>IF(OR(tblContractForDeed[[#This Row],[Date]]&lt;cfdContractDate,tblContractForDeed[[#This Row],[Date]]&gt;cfdEndDate),0,ROUND(tblContractForDeed[[#This Row],[Beg]]*(tblContractForDeed[[#This Row],[Int Rate]]/12),2))</f>
        <v>825.66</v>
      </c>
      <c r="T58" s="265">
        <f>IF(tblContractForDeed[[#This Row],[Payment]]=0,0,$V$2)</f>
        <v>134.16999999999999</v>
      </c>
      <c r="U58" s="265">
        <f>IF(tblContractForDeed[[#This Row],[Princ]]=0,0,$V$3)</f>
        <v>0</v>
      </c>
      <c r="V58" s="265">
        <f>SUM(tblContractForDeed[[#This Row],[Princ]],tblContractForDeed[[#This Row],[Int]],tblContractForDeed[[#This Row],[Ins]],tblContractForDeed[[#This Row],[Taxes]])</f>
        <v>1911.6200000000001</v>
      </c>
      <c r="W58" s="265">
        <f>SUM(INDEX(tblContractForDeed[Princ],1):INDEX(tblContractForDeed[Princ],ROW()-ROW(tblContractForDeed[#Headers])))</f>
        <v>23603.360000000004</v>
      </c>
      <c r="X58" s="265">
        <f>IF(tblContractForDeed[[#This Row],[Beg]]&lt;=0,0,tblContractForDeed[[#This Row],[Beg]]-tblContractForDeed[[#This Row],[Princ]])</f>
        <v>122896.64000000003</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39">
        <f>IF(INDEX(tblContractForDeed[Payment],ROW()-ROW(tblBuyerOutputs[#Headers]))=0,0,INDEX(tblContractForDeed[Payment],ROW()-ROW(tblBuyerOutputs[#Headers]))-INDEX(tblSubjectToLoan[Payment],ROW()-ROW(tblBuyerOutputs[#Headers])))</f>
        <v>1777.45</v>
      </c>
      <c r="AA58"/>
      <c r="AB58" s="14">
        <f>IF(INDEX(tblContractForDeed[Payment],ROW()-ROW(tblBuyerOutputs[#Headers]))=0,0,INDEX(tblContractForDeed[Payment],ROW()-ROW(tblBuyerOutputs[#Headers]))-INDEX(tblSubjectToLoan[Payment],ROW()-ROW(tblBuyerOutputs[#Headers])))-IFERROR(tblBuyerOutputs[[#This Row],[PMI]],0)</f>
        <v>1777.45</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47991.149999999987</v>
      </c>
      <c r="AD58" s="265">
        <f>IF(INDEX(tblContractForDeed[End Bal],ROW()-ROW(tblBuyerOutputs[#Headers]))&lt;=0,0,($O$6+IF(ROW()=ROW(tblBuyerOutputs[#Headers])+1,0,INDEX(tblBuyerOutputs[Cumul Appr],ROW()-ROW(tblBuyerOutputs[#Headers])-1)))*$O$2/12)</f>
        <v>714.90249999085654</v>
      </c>
      <c r="AE58" s="587">
        <f>IF(INDEX(tblContractForDeed[End Bal],ROW()-ROW(tblBuyerOutputs[#Headers]))&lt;=0,0,IF(ROW()=ROW(tblBuyerOutputs[#Headers])+1,0,INDEX(tblBuyerOutputs[Cumul Appr],ROW()-ROW(tblBuyerOutputs[#Headers])-1))+tblBuyerOutputs[[#This Row],[Monthly Appr]])</f>
        <v>25791.502497796391</v>
      </c>
      <c r="AF58" s="22"/>
      <c r="AG58" s="14"/>
      <c r="AM58"/>
      <c r="AN58" s="14"/>
      <c r="AP58" s="265"/>
      <c r="AR58" s="14"/>
      <c r="AS58"/>
    </row>
    <row r="59" spans="1:45" x14ac:dyDescent="0.25">
      <c r="A59" s="561">
        <f t="shared" si="4"/>
        <v>47027</v>
      </c>
      <c r="B59" s="265">
        <f t="shared" si="5"/>
        <v>0</v>
      </c>
      <c r="C59" s="14">
        <f t="shared" si="1"/>
        <v>0</v>
      </c>
      <c r="D59" s="14">
        <f t="shared" si="6"/>
        <v>0</v>
      </c>
      <c r="E59" s="14">
        <f t="shared" si="2"/>
        <v>0</v>
      </c>
      <c r="I59" s="265">
        <f t="shared" si="9"/>
        <v>0</v>
      </c>
      <c r="J59" s="265">
        <f t="shared" si="10"/>
        <v>0</v>
      </c>
      <c r="K59" s="265">
        <f t="shared" si="7"/>
        <v>0</v>
      </c>
      <c r="L59" s="373">
        <f t="shared" si="3"/>
        <v>3</v>
      </c>
      <c r="M59" s="373">
        <f t="shared" si="8"/>
        <v>39</v>
      </c>
      <c r="N59" s="561">
        <f>INDEX(tblSubjectToLoan[Date],ROW()-ROW(tblContractForDeed[#Headers]))</f>
        <v>47027</v>
      </c>
      <c r="O59" s="265">
        <f>IF(ROW()=ROW(tblContractForDeed[#Headers])+1,$O$6,IF(INDEX(tblContractForDeed[End Bal],ROW()-ROW(tblContractForDeed[#Headers])-1)&lt;0,0,INDEX(tblContractForDeed[End Bal],ROW()-ROW(tblContractForDeed[#Headers])-1)))</f>
        <v>122896.64000000003</v>
      </c>
      <c r="P59" s="431">
        <f>IF(tblContractForDeed[[#This Row],[Date]]="","",IF(tblContractForDeed[[#This Row],[Date]]&lt;cfdRateChangeDate,cfdRate1,cfdRate2))</f>
        <v>0.08</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9" s="265">
        <f>IF(tblContractForDeed[[#This Row],[Payment]]=0,0,MAX(0,MIN(tblContractForDeed[[#This Row],[Beg]],tblContractForDeed[[#This Row],[Payment]]-tblContractForDeed[[#This Row],[Int]])))</f>
        <v>958.1400000000001</v>
      </c>
      <c r="S59" s="265">
        <f>IF(OR(tblContractForDeed[[#This Row],[Date]]&lt;cfdContractDate,tblContractForDeed[[#This Row],[Date]]&gt;cfdEndDate),0,ROUND(tblContractForDeed[[#This Row],[Beg]]*(tblContractForDeed[[#This Row],[Int Rate]]/12),2))</f>
        <v>819.31</v>
      </c>
      <c r="T59" s="265">
        <f>IF(tblContractForDeed[[#This Row],[Payment]]=0,0,$V$2)</f>
        <v>134.16999999999999</v>
      </c>
      <c r="U59" s="265">
        <f>IF(tblContractForDeed[[#This Row],[Princ]]=0,0,$V$3)</f>
        <v>0</v>
      </c>
      <c r="V59" s="265">
        <f>SUM(tblContractForDeed[[#This Row],[Princ]],tblContractForDeed[[#This Row],[Int]],tblContractForDeed[[#This Row],[Ins]],tblContractForDeed[[#This Row],[Taxes]])</f>
        <v>1911.6200000000001</v>
      </c>
      <c r="W59" s="265">
        <f>SUM(INDEX(tblContractForDeed[Princ],1):INDEX(tblContractForDeed[Princ],ROW()-ROW(tblContractForDeed[#Headers])))</f>
        <v>24561.500000000004</v>
      </c>
      <c r="X59" s="265">
        <f>IF(tblContractForDeed[[#This Row],[Beg]]&lt;=0,0,tblContractForDeed[[#This Row],[Beg]]-tblContractForDeed[[#This Row],[Princ]])</f>
        <v>121938.50000000003</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39">
        <f>IF(INDEX(tblContractForDeed[Payment],ROW()-ROW(tblBuyerOutputs[#Headers]))=0,0,INDEX(tblContractForDeed[Payment],ROW()-ROW(tblBuyerOutputs[#Headers]))-INDEX(tblSubjectToLoan[Payment],ROW()-ROW(tblBuyerOutputs[#Headers])))</f>
        <v>1777.45</v>
      </c>
      <c r="AA59"/>
      <c r="AB59" s="14">
        <f>IF(INDEX(tblContractForDeed[Payment],ROW()-ROW(tblBuyerOutputs[#Headers]))=0,0,INDEX(tblContractForDeed[Payment],ROW()-ROW(tblBuyerOutputs[#Headers]))-INDEX(tblSubjectToLoan[Payment],ROW()-ROW(tblBuyerOutputs[#Headers])))-IFERROR(tblBuyerOutputs[[#This Row],[PMI]],0)</f>
        <v>1777.45</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49768.599999999984</v>
      </c>
      <c r="AD59" s="265">
        <f>IF(INDEX(tblContractForDeed[End Bal],ROW()-ROW(tblBuyerOutputs[#Headers]))&lt;=0,0,($O$6+IF(ROW()=ROW(tblBuyerOutputs[#Headers])+1,0,INDEX(tblBuyerOutputs[Cumul Appr],ROW()-ROW(tblBuyerOutputs[#Headers])-1)))*$O$2/12)</f>
        <v>717.881260407485</v>
      </c>
      <c r="AE59" s="587">
        <f>IF(INDEX(tblContractForDeed[End Bal],ROW()-ROW(tblBuyerOutputs[#Headers]))&lt;=0,0,IF(ROW()=ROW(tblBuyerOutputs[#Headers])+1,0,INDEX(tblBuyerOutputs[Cumul Appr],ROW()-ROW(tblBuyerOutputs[#Headers])-1))+tblBuyerOutputs[[#This Row],[Monthly Appr]])</f>
        <v>26509.383758203876</v>
      </c>
      <c r="AF59" s="22"/>
      <c r="AG59" s="14"/>
      <c r="AM59"/>
      <c r="AN59" s="14"/>
      <c r="AP59" s="265"/>
      <c r="AR59" s="14"/>
      <c r="AS59"/>
    </row>
    <row r="60" spans="1:45" x14ac:dyDescent="0.25">
      <c r="A60" s="561">
        <f t="shared" si="4"/>
        <v>47058</v>
      </c>
      <c r="B60" s="265">
        <f t="shared" si="5"/>
        <v>0</v>
      </c>
      <c r="C60" s="14">
        <f t="shared" si="1"/>
        <v>0</v>
      </c>
      <c r="D60" s="14">
        <f t="shared" si="6"/>
        <v>0</v>
      </c>
      <c r="E60" s="14">
        <f t="shared" si="2"/>
        <v>0</v>
      </c>
      <c r="I60" s="265">
        <f t="shared" si="9"/>
        <v>0</v>
      </c>
      <c r="J60" s="265">
        <f t="shared" si="10"/>
        <v>0</v>
      </c>
      <c r="K60" s="265">
        <f t="shared" si="7"/>
        <v>0</v>
      </c>
      <c r="L60" s="373">
        <f t="shared" si="3"/>
        <v>3</v>
      </c>
      <c r="M60" s="373">
        <f t="shared" si="8"/>
        <v>40</v>
      </c>
      <c r="N60" s="561">
        <f>INDEX(tblSubjectToLoan[Date],ROW()-ROW(tblContractForDeed[#Headers]))</f>
        <v>47058</v>
      </c>
      <c r="O60" s="265">
        <f>IF(ROW()=ROW(tblContractForDeed[#Headers])+1,$O$6,IF(INDEX(tblContractForDeed[End Bal],ROW()-ROW(tblContractForDeed[#Headers])-1)&lt;0,0,INDEX(tblContractForDeed[End Bal],ROW()-ROW(tblContractForDeed[#Headers])-1)))</f>
        <v>121938.50000000003</v>
      </c>
      <c r="P60" s="431">
        <f>IF(tblContractForDeed[[#This Row],[Date]]="","",IF(tblContractForDeed[[#This Row],[Date]]&lt;cfdRateChangeDate,cfdRate1,cfdRate2))</f>
        <v>0.08</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0" s="265">
        <f>IF(tblContractForDeed[[#This Row],[Payment]]=0,0,MAX(0,MIN(tblContractForDeed[[#This Row],[Beg]],tblContractForDeed[[#This Row],[Payment]]-tblContractForDeed[[#This Row],[Int]])))</f>
        <v>964.53000000000009</v>
      </c>
      <c r="S60" s="265">
        <f>IF(OR(tblContractForDeed[[#This Row],[Date]]&lt;cfdContractDate,tblContractForDeed[[#This Row],[Date]]&gt;cfdEndDate),0,ROUND(tblContractForDeed[[#This Row],[Beg]]*(tblContractForDeed[[#This Row],[Int Rate]]/12),2))</f>
        <v>812.92</v>
      </c>
      <c r="T60" s="265">
        <f>IF(tblContractForDeed[[#This Row],[Payment]]=0,0,$V$2)</f>
        <v>134.16999999999999</v>
      </c>
      <c r="U60" s="265">
        <f>IF(tblContractForDeed[[#This Row],[Princ]]=0,0,$V$3)</f>
        <v>0</v>
      </c>
      <c r="V60" s="265">
        <f>SUM(tblContractForDeed[[#This Row],[Princ]],tblContractForDeed[[#This Row],[Int]],tblContractForDeed[[#This Row],[Ins]],tblContractForDeed[[#This Row],[Taxes]])</f>
        <v>1911.6200000000001</v>
      </c>
      <c r="W60" s="265">
        <f>SUM(INDEX(tblContractForDeed[Princ],1):INDEX(tblContractForDeed[Princ],ROW()-ROW(tblContractForDeed[#Headers])))</f>
        <v>25526.030000000002</v>
      </c>
      <c r="X60" s="265">
        <f>IF(tblContractForDeed[[#This Row],[Beg]]&lt;=0,0,tblContractForDeed[[#This Row],[Beg]]-tblContractForDeed[[#This Row],[Princ]])</f>
        <v>120973.97000000003</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39">
        <f>IF(INDEX(tblContractForDeed[Payment],ROW()-ROW(tblBuyerOutputs[#Headers]))=0,0,INDEX(tblContractForDeed[Payment],ROW()-ROW(tblBuyerOutputs[#Headers]))-INDEX(tblSubjectToLoan[Payment],ROW()-ROW(tblBuyerOutputs[#Headers])))</f>
        <v>1777.45</v>
      </c>
      <c r="AA60"/>
      <c r="AB60" s="14">
        <f>IF(INDEX(tblContractForDeed[Payment],ROW()-ROW(tblBuyerOutputs[#Headers]))=0,0,INDEX(tblContractForDeed[Payment],ROW()-ROW(tblBuyerOutputs[#Headers]))-INDEX(tblSubjectToLoan[Payment],ROW()-ROW(tblBuyerOutputs[#Headers])))-IFERROR(tblBuyerOutputs[[#This Row],[PMI]],0)</f>
        <v>1777.45</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51546.049999999981</v>
      </c>
      <c r="AD60" s="265">
        <f>IF(INDEX(tblContractForDeed[End Bal],ROW()-ROW(tblBuyerOutputs[#Headers]))&lt;=0,0,($O$6+IF(ROW()=ROW(tblBuyerOutputs[#Headers])+1,0,INDEX(tblBuyerOutputs[Cumul Appr],ROW()-ROW(tblBuyerOutputs[#Headers])-1)))*$O$2/12)</f>
        <v>720.87243232584945</v>
      </c>
      <c r="AE60" s="587">
        <f>IF(INDEX(tblContractForDeed[End Bal],ROW()-ROW(tblBuyerOutputs[#Headers]))&lt;=0,0,IF(ROW()=ROW(tblBuyerOutputs[#Headers])+1,0,INDEX(tblBuyerOutputs[Cumul Appr],ROW()-ROW(tblBuyerOutputs[#Headers])-1))+tblBuyerOutputs[[#This Row],[Monthly Appr]])</f>
        <v>27230.256190529726</v>
      </c>
      <c r="AF60" s="22"/>
      <c r="AG60" s="14"/>
      <c r="AM60"/>
      <c r="AN60" s="14"/>
      <c r="AP60" s="265"/>
      <c r="AR60" s="14"/>
      <c r="AS60"/>
    </row>
    <row r="61" spans="1:45" x14ac:dyDescent="0.25">
      <c r="A61" s="561">
        <f t="shared" si="4"/>
        <v>47088</v>
      </c>
      <c r="B61" s="265">
        <f t="shared" si="5"/>
        <v>0</v>
      </c>
      <c r="C61" s="14">
        <f t="shared" si="1"/>
        <v>0</v>
      </c>
      <c r="D61" s="14">
        <f t="shared" si="6"/>
        <v>0</v>
      </c>
      <c r="E61" s="14">
        <f t="shared" si="2"/>
        <v>0</v>
      </c>
      <c r="I61" s="265">
        <f t="shared" si="9"/>
        <v>0</v>
      </c>
      <c r="J61" s="265">
        <f t="shared" si="10"/>
        <v>0</v>
      </c>
      <c r="K61" s="265">
        <f t="shared" si="7"/>
        <v>0</v>
      </c>
      <c r="L61" s="373">
        <f t="shared" si="3"/>
        <v>3</v>
      </c>
      <c r="M61" s="373">
        <f t="shared" si="8"/>
        <v>41</v>
      </c>
      <c r="N61" s="561">
        <f>INDEX(tblSubjectToLoan[Date],ROW()-ROW(tblContractForDeed[#Headers]))</f>
        <v>47088</v>
      </c>
      <c r="O61" s="265">
        <f>IF(ROW()=ROW(tblContractForDeed[#Headers])+1,$O$6,IF(INDEX(tblContractForDeed[End Bal],ROW()-ROW(tblContractForDeed[#Headers])-1)&lt;0,0,INDEX(tblContractForDeed[End Bal],ROW()-ROW(tblContractForDeed[#Headers])-1)))</f>
        <v>120973.97000000003</v>
      </c>
      <c r="P61" s="431">
        <f>IF(tblContractForDeed[[#This Row],[Date]]="","",IF(tblContractForDeed[[#This Row],[Date]]&lt;cfdRateChangeDate,cfdRate1,cfdRate2))</f>
        <v>0.08</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1" s="265">
        <f>IF(tblContractForDeed[[#This Row],[Payment]]=0,0,MAX(0,MIN(tblContractForDeed[[#This Row],[Beg]],tblContractForDeed[[#This Row],[Payment]]-tblContractForDeed[[#This Row],[Int]])))</f>
        <v>970.96</v>
      </c>
      <c r="S61" s="265">
        <f>IF(OR(tblContractForDeed[[#This Row],[Date]]&lt;cfdContractDate,tblContractForDeed[[#This Row],[Date]]&gt;cfdEndDate),0,ROUND(tblContractForDeed[[#This Row],[Beg]]*(tblContractForDeed[[#This Row],[Int Rate]]/12),2))</f>
        <v>806.49</v>
      </c>
      <c r="T61" s="265">
        <f>IF(tblContractForDeed[[#This Row],[Payment]]=0,0,$V$2)</f>
        <v>134.16999999999999</v>
      </c>
      <c r="U61" s="265">
        <f>IF(tblContractForDeed[[#This Row],[Princ]]=0,0,$V$3)</f>
        <v>0</v>
      </c>
      <c r="V61" s="265">
        <f>SUM(tblContractForDeed[[#This Row],[Princ]],tblContractForDeed[[#This Row],[Int]],tblContractForDeed[[#This Row],[Ins]],tblContractForDeed[[#This Row],[Taxes]])</f>
        <v>1911.6200000000001</v>
      </c>
      <c r="W61" s="265">
        <f>SUM(INDEX(tblContractForDeed[Princ],1):INDEX(tblContractForDeed[Princ],ROW()-ROW(tblContractForDeed[#Headers])))</f>
        <v>26496.99</v>
      </c>
      <c r="X61" s="265">
        <f>IF(tblContractForDeed[[#This Row],[Beg]]&lt;=0,0,tblContractForDeed[[#This Row],[Beg]]-tblContractForDeed[[#This Row],[Princ]])</f>
        <v>120003.01000000002</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39">
        <f>IF(INDEX(tblContractForDeed[Payment],ROW()-ROW(tblBuyerOutputs[#Headers]))=0,0,INDEX(tblContractForDeed[Payment],ROW()-ROW(tblBuyerOutputs[#Headers]))-INDEX(tblSubjectToLoan[Payment],ROW()-ROW(tblBuyerOutputs[#Headers])))</f>
        <v>1777.45</v>
      </c>
      <c r="AA61"/>
      <c r="AB61" s="14">
        <f>IF(INDEX(tblContractForDeed[Payment],ROW()-ROW(tblBuyerOutputs[#Headers]))=0,0,INDEX(tblContractForDeed[Payment],ROW()-ROW(tblBuyerOutputs[#Headers]))-INDEX(tblSubjectToLoan[Payment],ROW()-ROW(tblBuyerOutputs[#Headers])))-IFERROR(tblBuyerOutputs[[#This Row],[PMI]],0)</f>
        <v>1777.45</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53323.499999999978</v>
      </c>
      <c r="AD61" s="265">
        <f>IF(INDEX(tblContractForDeed[End Bal],ROW()-ROW(tblBuyerOutputs[#Headers]))&lt;=0,0,($O$6+IF(ROW()=ROW(tblBuyerOutputs[#Headers])+1,0,INDEX(tblBuyerOutputs[Cumul Appr],ROW()-ROW(tblBuyerOutputs[#Headers])-1)))*$O$2/12)</f>
        <v>723.87606746054053</v>
      </c>
      <c r="AE61" s="587">
        <f>IF(INDEX(tblContractForDeed[End Bal],ROW()-ROW(tblBuyerOutputs[#Headers]))&lt;=0,0,IF(ROW()=ROW(tblBuyerOutputs[#Headers])+1,0,INDEX(tblBuyerOutputs[Cumul Appr],ROW()-ROW(tblBuyerOutputs[#Headers])-1))+tblBuyerOutputs[[#This Row],[Monthly Appr]])</f>
        <v>27954.132257990266</v>
      </c>
      <c r="AF61" s="22"/>
      <c r="AG61" s="14"/>
      <c r="AM61"/>
      <c r="AN61" s="14"/>
      <c r="AP61" s="265"/>
      <c r="AR61" s="14"/>
      <c r="AS61"/>
    </row>
    <row r="62" spans="1:45" x14ac:dyDescent="0.25">
      <c r="A62" s="561">
        <f t="shared" si="4"/>
        <v>47119</v>
      </c>
      <c r="B62" s="265">
        <f t="shared" si="5"/>
        <v>0</v>
      </c>
      <c r="C62" s="14">
        <f t="shared" si="1"/>
        <v>0</v>
      </c>
      <c r="D62" s="14">
        <f t="shared" si="6"/>
        <v>0</v>
      </c>
      <c r="E62" s="14">
        <f t="shared" si="2"/>
        <v>0</v>
      </c>
      <c r="F62" s="14">
        <f>IF(C62=0,0,$V$2)</f>
        <v>0</v>
      </c>
      <c r="G62" s="14">
        <f>IF(D62=0,0,$V$3)</f>
        <v>0</v>
      </c>
      <c r="H62" s="14">
        <f>SUM(D62:G62)</f>
        <v>0</v>
      </c>
      <c r="I62" s="265">
        <f t="shared" si="9"/>
        <v>0</v>
      </c>
      <c r="J62" s="265">
        <f t="shared" si="10"/>
        <v>0</v>
      </c>
      <c r="K62" s="265">
        <f t="shared" si="7"/>
        <v>0</v>
      </c>
      <c r="L62" s="373">
        <f t="shared" si="3"/>
        <v>3</v>
      </c>
      <c r="M62" s="373">
        <f t="shared" si="8"/>
        <v>42</v>
      </c>
      <c r="N62" s="561">
        <f>INDEX(tblSubjectToLoan[Date],ROW()-ROW(tblContractForDeed[#Headers]))</f>
        <v>47119</v>
      </c>
      <c r="O62" s="265">
        <f>IF(ROW()=ROW(tblContractForDeed[#Headers])+1,$O$6,IF(INDEX(tblContractForDeed[End Bal],ROW()-ROW(tblContractForDeed[#Headers])-1)&lt;0,0,INDEX(tblContractForDeed[End Bal],ROW()-ROW(tblContractForDeed[#Headers])-1)))</f>
        <v>120003.01000000002</v>
      </c>
      <c r="P62" s="431">
        <f>IF(tblContractForDeed[[#This Row],[Date]]="","",IF(tblContractForDeed[[#This Row],[Date]]&lt;cfdRateChangeDate,cfdRate1,cfdRate2))</f>
        <v>0.08</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2" s="265">
        <f>IF(tblContractForDeed[[#This Row],[Payment]]=0,0,MAX(0,MIN(tblContractForDeed[[#This Row],[Beg]],tblContractForDeed[[#This Row],[Payment]]-tblContractForDeed[[#This Row],[Int]])))</f>
        <v>977.43000000000006</v>
      </c>
      <c r="S62" s="265">
        <f>IF(OR(tblContractForDeed[[#This Row],[Date]]&lt;cfdContractDate,tblContractForDeed[[#This Row],[Date]]&gt;cfdEndDate),0,ROUND(tblContractForDeed[[#This Row],[Beg]]*(tblContractForDeed[[#This Row],[Int Rate]]/12),2))</f>
        <v>800.02</v>
      </c>
      <c r="T62" s="265">
        <f>IF(tblContractForDeed[[#This Row],[Payment]]=0,0,$V$2)</f>
        <v>134.16999999999999</v>
      </c>
      <c r="U62" s="265">
        <f>IF(tblContractForDeed[[#This Row],[Princ]]=0,0,$V$3)</f>
        <v>0</v>
      </c>
      <c r="V62" s="265">
        <f>SUM(tblContractForDeed[[#This Row],[Princ]],tblContractForDeed[[#This Row],[Int]],tblContractForDeed[[#This Row],[Ins]],tblContractForDeed[[#This Row],[Taxes]])</f>
        <v>1911.6200000000001</v>
      </c>
      <c r="W62" s="265">
        <f>SUM(INDEX(tblContractForDeed[Princ],1):INDEX(tblContractForDeed[Princ],ROW()-ROW(tblContractForDeed[#Headers])))</f>
        <v>27474.420000000002</v>
      </c>
      <c r="X62" s="265">
        <f>IF(tblContractForDeed[[#This Row],[Beg]]&lt;=0,0,tblContractForDeed[[#This Row],[Beg]]-tblContractForDeed[[#This Row],[Princ]])</f>
        <v>119025.58000000003</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39">
        <f>IF(INDEX(tblContractForDeed[Payment],ROW()-ROW(tblBuyerOutputs[#Headers]))=0,0,INDEX(tblContractForDeed[Payment],ROW()-ROW(tblBuyerOutputs[#Headers]))-INDEX(tblSubjectToLoan[Payment],ROW()-ROW(tblBuyerOutputs[#Headers])))</f>
        <v>1777.45</v>
      </c>
      <c r="AA62"/>
      <c r="AB62" s="14">
        <f>IF(INDEX(tblContractForDeed[Payment],ROW()-ROW(tblBuyerOutputs[#Headers]))=0,0,INDEX(tblContractForDeed[Payment],ROW()-ROW(tblBuyerOutputs[#Headers]))-INDEX(tblSubjectToLoan[Payment],ROW()-ROW(tblBuyerOutputs[#Headers])))-IFERROR(tblBuyerOutputs[[#This Row],[PMI]],0)</f>
        <v>1777.45</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55100.949999999975</v>
      </c>
      <c r="AD62" s="265">
        <f>IF(INDEX(tblContractForDeed[End Bal],ROW()-ROW(tblBuyerOutputs[#Headers]))&lt;=0,0,($O$6+IF(ROW()=ROW(tblBuyerOutputs[#Headers])+1,0,INDEX(tblBuyerOutputs[Cumul Appr],ROW()-ROW(tblBuyerOutputs[#Headers])-1)))*$O$2/12)</f>
        <v>726.89221774162615</v>
      </c>
      <c r="AE62" s="587">
        <f>IF(INDEX(tblContractForDeed[End Bal],ROW()-ROW(tblBuyerOutputs[#Headers]))&lt;=0,0,IF(ROW()=ROW(tblBuyerOutputs[#Headers])+1,0,INDEX(tblBuyerOutputs[Cumul Appr],ROW()-ROW(tblBuyerOutputs[#Headers])-1))+tblBuyerOutputs[[#This Row],[Monthly Appr]])</f>
        <v>28681.024475731894</v>
      </c>
      <c r="AF62" s="22"/>
      <c r="AG62" s="14"/>
      <c r="AM62"/>
      <c r="AN62" s="14"/>
      <c r="AP62" s="265"/>
      <c r="AR62" s="14"/>
      <c r="AS62"/>
    </row>
    <row r="63" spans="1:45" x14ac:dyDescent="0.25">
      <c r="A63" s="561">
        <f t="shared" si="4"/>
        <v>47150</v>
      </c>
      <c r="B63" s="265">
        <f t="shared" si="5"/>
        <v>0</v>
      </c>
      <c r="C63" s="14">
        <f t="shared" si="1"/>
        <v>0</v>
      </c>
      <c r="D63" s="14">
        <f t="shared" si="6"/>
        <v>0</v>
      </c>
      <c r="E63" s="14">
        <f t="shared" si="2"/>
        <v>0</v>
      </c>
      <c r="F63" s="14">
        <f t="shared" ref="F63:H78" si="11">+F62</f>
        <v>0</v>
      </c>
      <c r="G63" s="14">
        <f t="shared" si="11"/>
        <v>0</v>
      </c>
      <c r="H63" s="14">
        <f t="shared" si="11"/>
        <v>0</v>
      </c>
      <c r="I63" s="265">
        <f t="shared" si="9"/>
        <v>0</v>
      </c>
      <c r="J63" s="265">
        <f t="shared" si="10"/>
        <v>0</v>
      </c>
      <c r="K63" s="265">
        <f t="shared" si="7"/>
        <v>0</v>
      </c>
      <c r="L63" s="373">
        <f t="shared" si="3"/>
        <v>3</v>
      </c>
      <c r="M63" s="373">
        <f t="shared" si="8"/>
        <v>43</v>
      </c>
      <c r="N63" s="561">
        <f>INDEX(tblSubjectToLoan[Date],ROW()-ROW(tblContractForDeed[#Headers]))</f>
        <v>47150</v>
      </c>
      <c r="O63" s="265">
        <f>IF(ROW()=ROW(tblContractForDeed[#Headers])+1,$O$6,IF(INDEX(tblContractForDeed[End Bal],ROW()-ROW(tblContractForDeed[#Headers])-1)&lt;0,0,INDEX(tblContractForDeed[End Bal],ROW()-ROW(tblContractForDeed[#Headers])-1)))</f>
        <v>119025.58000000003</v>
      </c>
      <c r="P63" s="431">
        <f>IF(tblContractForDeed[[#This Row],[Date]]="","",IF(tblContractForDeed[[#This Row],[Date]]&lt;cfdRateChangeDate,cfdRate1,cfdRate2))</f>
        <v>0.08</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3" s="265">
        <f>IF(tblContractForDeed[[#This Row],[Payment]]=0,0,MAX(0,MIN(tblContractForDeed[[#This Row],[Beg]],tblContractForDeed[[#This Row],[Payment]]-tblContractForDeed[[#This Row],[Int]])))</f>
        <v>983.95</v>
      </c>
      <c r="S63" s="265">
        <f>IF(OR(tblContractForDeed[[#This Row],[Date]]&lt;cfdContractDate,tblContractForDeed[[#This Row],[Date]]&gt;cfdEndDate),0,ROUND(tblContractForDeed[[#This Row],[Beg]]*(tblContractForDeed[[#This Row],[Int Rate]]/12),2))</f>
        <v>793.5</v>
      </c>
      <c r="T63" s="265">
        <f>IF(tblContractForDeed[[#This Row],[Payment]]=0,0,$V$2)</f>
        <v>134.16999999999999</v>
      </c>
      <c r="U63" s="265">
        <f>IF(tblContractForDeed[[#This Row],[Princ]]=0,0,$V$3)</f>
        <v>0</v>
      </c>
      <c r="V63" s="265">
        <f>SUM(tblContractForDeed[[#This Row],[Princ]],tblContractForDeed[[#This Row],[Int]],tblContractForDeed[[#This Row],[Ins]],tblContractForDeed[[#This Row],[Taxes]])</f>
        <v>1911.6200000000001</v>
      </c>
      <c r="W63" s="265">
        <f>SUM(INDEX(tblContractForDeed[Princ],1):INDEX(tblContractForDeed[Princ],ROW()-ROW(tblContractForDeed[#Headers])))</f>
        <v>28458.370000000003</v>
      </c>
      <c r="X63" s="265">
        <f>IF(tblContractForDeed[[#This Row],[Beg]]&lt;=0,0,tblContractForDeed[[#This Row],[Beg]]-tblContractForDeed[[#This Row],[Princ]])</f>
        <v>118041.63000000003</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39">
        <f>IF(INDEX(tblContractForDeed[Payment],ROW()-ROW(tblBuyerOutputs[#Headers]))=0,0,INDEX(tblContractForDeed[Payment],ROW()-ROW(tblBuyerOutputs[#Headers]))-INDEX(tblSubjectToLoan[Payment],ROW()-ROW(tblBuyerOutputs[#Headers])))</f>
        <v>1777.45</v>
      </c>
      <c r="AA63"/>
      <c r="AB63" s="14">
        <f>IF(INDEX(tblContractForDeed[Payment],ROW()-ROW(tblBuyerOutputs[#Headers]))=0,0,INDEX(tblContractForDeed[Payment],ROW()-ROW(tblBuyerOutputs[#Headers]))-INDEX(tblSubjectToLoan[Payment],ROW()-ROW(tblBuyerOutputs[#Headers])))-IFERROR(tblBuyerOutputs[[#This Row],[PMI]],0)</f>
        <v>1777.45</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56878.399999999972</v>
      </c>
      <c r="AD63" s="265">
        <f>IF(INDEX(tblContractForDeed[End Bal],ROW()-ROW(tblBuyerOutputs[#Headers]))&lt;=0,0,($O$6+IF(ROW()=ROW(tblBuyerOutputs[#Headers])+1,0,INDEX(tblBuyerOutputs[Cumul Appr],ROW()-ROW(tblBuyerOutputs[#Headers])-1)))*$O$2/12)</f>
        <v>729.92093531554963</v>
      </c>
      <c r="AE63" s="587">
        <f>IF(INDEX(tblContractForDeed[End Bal],ROW()-ROW(tblBuyerOutputs[#Headers]))&lt;=0,0,IF(ROW()=ROW(tblBuyerOutputs[#Headers])+1,0,INDEX(tblBuyerOutputs[Cumul Appr],ROW()-ROW(tblBuyerOutputs[#Headers])-1))+tblBuyerOutputs[[#This Row],[Monthly Appr]])</f>
        <v>29410.945411047443</v>
      </c>
      <c r="AF63" s="22"/>
      <c r="AG63" s="14"/>
      <c r="AM63"/>
      <c r="AN63" s="14"/>
      <c r="AP63" s="265"/>
      <c r="AR63" s="14"/>
      <c r="AS63"/>
    </row>
    <row r="64" spans="1:45" x14ac:dyDescent="0.25">
      <c r="A64" s="561">
        <f t="shared" si="4"/>
        <v>47178</v>
      </c>
      <c r="B64" s="265">
        <f t="shared" si="5"/>
        <v>0</v>
      </c>
      <c r="C64" s="14">
        <f t="shared" si="1"/>
        <v>0</v>
      </c>
      <c r="D64" s="14">
        <f t="shared" si="6"/>
        <v>0</v>
      </c>
      <c r="E64" s="14">
        <f t="shared" si="2"/>
        <v>0</v>
      </c>
      <c r="F64" s="14">
        <f t="shared" si="11"/>
        <v>0</v>
      </c>
      <c r="G64" s="14">
        <f t="shared" si="11"/>
        <v>0</v>
      </c>
      <c r="H64" s="14">
        <f t="shared" ref="H64:H127" si="12">SUM(D64:G64)</f>
        <v>0</v>
      </c>
      <c r="I64" s="265">
        <f t="shared" si="9"/>
        <v>0</v>
      </c>
      <c r="J64" s="265">
        <f t="shared" si="10"/>
        <v>0</v>
      </c>
      <c r="K64" s="265">
        <f t="shared" si="7"/>
        <v>0</v>
      </c>
      <c r="L64" s="373">
        <f t="shared" si="3"/>
        <v>3</v>
      </c>
      <c r="M64" s="373">
        <f t="shared" si="8"/>
        <v>44</v>
      </c>
      <c r="N64" s="561">
        <f>INDEX(tblSubjectToLoan[Date],ROW()-ROW(tblContractForDeed[#Headers]))</f>
        <v>47178</v>
      </c>
      <c r="O64" s="265">
        <f>IF(ROW()=ROW(tblContractForDeed[#Headers])+1,$O$6,IF(INDEX(tblContractForDeed[End Bal],ROW()-ROW(tblContractForDeed[#Headers])-1)&lt;0,0,INDEX(tblContractForDeed[End Bal],ROW()-ROW(tblContractForDeed[#Headers])-1)))</f>
        <v>118041.63000000003</v>
      </c>
      <c r="P64" s="431">
        <f>IF(tblContractForDeed[[#This Row],[Date]]="","",IF(tblContractForDeed[[#This Row],[Date]]&lt;cfdRateChangeDate,cfdRate1,cfdRate2))</f>
        <v>0.08</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4" s="265">
        <f>IF(tblContractForDeed[[#This Row],[Payment]]=0,0,MAX(0,MIN(tblContractForDeed[[#This Row],[Beg]],tblContractForDeed[[#This Row],[Payment]]-tblContractForDeed[[#This Row],[Int]])))</f>
        <v>990.51</v>
      </c>
      <c r="S64" s="265">
        <f>IF(OR(tblContractForDeed[[#This Row],[Date]]&lt;cfdContractDate,tblContractForDeed[[#This Row],[Date]]&gt;cfdEndDate),0,ROUND(tblContractForDeed[[#This Row],[Beg]]*(tblContractForDeed[[#This Row],[Int Rate]]/12),2))</f>
        <v>786.94</v>
      </c>
      <c r="T64" s="265">
        <f>IF(tblContractForDeed[[#This Row],[Payment]]=0,0,$V$2)</f>
        <v>134.16999999999999</v>
      </c>
      <c r="U64" s="265">
        <f>IF(tblContractForDeed[[#This Row],[Princ]]=0,0,$V$3)</f>
        <v>0</v>
      </c>
      <c r="V64" s="265">
        <f>SUM(tblContractForDeed[[#This Row],[Princ]],tblContractForDeed[[#This Row],[Int]],tblContractForDeed[[#This Row],[Ins]],tblContractForDeed[[#This Row],[Taxes]])</f>
        <v>1911.6200000000001</v>
      </c>
      <c r="W64" s="265">
        <f>SUM(INDEX(tblContractForDeed[Princ],1):INDEX(tblContractForDeed[Princ],ROW()-ROW(tblContractForDeed[#Headers])))</f>
        <v>29448.880000000001</v>
      </c>
      <c r="X64" s="265">
        <f>IF(tblContractForDeed[[#This Row],[Beg]]&lt;=0,0,tblContractForDeed[[#This Row],[Beg]]-tblContractForDeed[[#This Row],[Princ]])</f>
        <v>117051.12000000004</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39">
        <f>IF(INDEX(tblContractForDeed[Payment],ROW()-ROW(tblBuyerOutputs[#Headers]))=0,0,INDEX(tblContractForDeed[Payment],ROW()-ROW(tblBuyerOutputs[#Headers]))-INDEX(tblSubjectToLoan[Payment],ROW()-ROW(tblBuyerOutputs[#Headers])))</f>
        <v>1777.45</v>
      </c>
      <c r="AA64">
        <v>120.14</v>
      </c>
      <c r="AB64" s="14">
        <f>IF(INDEX(tblContractForDeed[Payment],ROW()-ROW(tblBuyerOutputs[#Headers]))=0,0,INDEX(tblContractForDeed[Payment],ROW()-ROW(tblBuyerOutputs[#Headers]))-INDEX(tblSubjectToLoan[Payment],ROW()-ROW(tblBuyerOutputs[#Headers])))-IFERROR(tblBuyerOutputs[[#This Row],[PMI]],0)</f>
        <v>1657.31</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58535.70999999997</v>
      </c>
      <c r="AD64" s="265">
        <f>IF(INDEX(tblContractForDeed[End Bal],ROW()-ROW(tblBuyerOutputs[#Headers]))&lt;=0,0,($O$6+IF(ROW()=ROW(tblBuyerOutputs[#Headers])+1,0,INDEX(tblBuyerOutputs[Cumul Appr],ROW()-ROW(tblBuyerOutputs[#Headers])-1)))*$O$2/12)</f>
        <v>732.96227254603093</v>
      </c>
      <c r="AE64" s="587">
        <f>IF(INDEX(tblContractForDeed[End Bal],ROW()-ROW(tblBuyerOutputs[#Headers]))&lt;=0,0,IF(ROW()=ROW(tblBuyerOutputs[#Headers])+1,0,INDEX(tblBuyerOutputs[Cumul Appr],ROW()-ROW(tblBuyerOutputs[#Headers])-1))+tblBuyerOutputs[[#This Row],[Monthly Appr]])</f>
        <v>30143.907683593476</v>
      </c>
      <c r="AF64" s="22"/>
      <c r="AG64" s="14"/>
      <c r="AM64"/>
      <c r="AN64" s="14"/>
      <c r="AP64" s="265"/>
      <c r="AR64" s="14"/>
      <c r="AS64"/>
    </row>
    <row r="65" spans="1:45" x14ac:dyDescent="0.25">
      <c r="A65" s="561">
        <f t="shared" si="4"/>
        <v>47209</v>
      </c>
      <c r="B65" s="265">
        <f t="shared" si="5"/>
        <v>0</v>
      </c>
      <c r="C65" s="14">
        <f t="shared" si="1"/>
        <v>0</v>
      </c>
      <c r="D65" s="14">
        <f t="shared" si="6"/>
        <v>0</v>
      </c>
      <c r="E65" s="14">
        <f t="shared" si="2"/>
        <v>0</v>
      </c>
      <c r="F65" s="14">
        <f t="shared" si="11"/>
        <v>0</v>
      </c>
      <c r="G65" s="14">
        <f t="shared" si="11"/>
        <v>0</v>
      </c>
      <c r="H65" s="14">
        <f t="shared" si="12"/>
        <v>0</v>
      </c>
      <c r="I65" s="265">
        <f t="shared" si="9"/>
        <v>0</v>
      </c>
      <c r="J65" s="265">
        <f t="shared" si="10"/>
        <v>0</v>
      </c>
      <c r="K65" s="265">
        <f t="shared" si="7"/>
        <v>0</v>
      </c>
      <c r="L65" s="373">
        <f t="shared" si="3"/>
        <v>3</v>
      </c>
      <c r="M65" s="373">
        <f t="shared" si="8"/>
        <v>45</v>
      </c>
      <c r="N65" s="561">
        <f>INDEX(tblSubjectToLoan[Date],ROW()-ROW(tblContractForDeed[#Headers]))</f>
        <v>47209</v>
      </c>
      <c r="O65" s="265">
        <f>IF(ROW()=ROW(tblContractForDeed[#Headers])+1,$O$6,IF(INDEX(tblContractForDeed[End Bal],ROW()-ROW(tblContractForDeed[#Headers])-1)&lt;0,0,INDEX(tblContractForDeed[End Bal],ROW()-ROW(tblContractForDeed[#Headers])-1)))</f>
        <v>117051.12000000004</v>
      </c>
      <c r="P65" s="431">
        <f>IF(tblContractForDeed[[#This Row],[Date]]="","",IF(tblContractForDeed[[#This Row],[Date]]&lt;cfdRateChangeDate,cfdRate1,cfdRate2))</f>
        <v>0.08</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5" s="265">
        <f>IF(tblContractForDeed[[#This Row],[Payment]]=0,0,MAX(0,MIN(tblContractForDeed[[#This Row],[Beg]],tblContractForDeed[[#This Row],[Payment]]-tblContractForDeed[[#This Row],[Int]])))</f>
        <v>997.11</v>
      </c>
      <c r="S65" s="265">
        <f>IF(OR(tblContractForDeed[[#This Row],[Date]]&lt;cfdContractDate,tblContractForDeed[[#This Row],[Date]]&gt;cfdEndDate),0,ROUND(tblContractForDeed[[#This Row],[Beg]]*(tblContractForDeed[[#This Row],[Int Rate]]/12),2))</f>
        <v>780.34</v>
      </c>
      <c r="T65" s="265">
        <f>IF(tblContractForDeed[[#This Row],[Payment]]=0,0,$V$2)</f>
        <v>134.16999999999999</v>
      </c>
      <c r="U65" s="265">
        <f>IF(tblContractForDeed[[#This Row],[Princ]]=0,0,$V$3)</f>
        <v>0</v>
      </c>
      <c r="V65" s="265">
        <f>SUM(tblContractForDeed[[#This Row],[Princ]],tblContractForDeed[[#This Row],[Int]],tblContractForDeed[[#This Row],[Ins]],tblContractForDeed[[#This Row],[Taxes]])</f>
        <v>1911.6200000000001</v>
      </c>
      <c r="W65" s="265">
        <f>SUM(INDEX(tblContractForDeed[Princ],1):INDEX(tblContractForDeed[Princ],ROW()-ROW(tblContractForDeed[#Headers])))</f>
        <v>30445.99</v>
      </c>
      <c r="X65" s="265">
        <f>IF(tblContractForDeed[[#This Row],[Beg]]&lt;=0,0,tblContractForDeed[[#This Row],[Beg]]-tblContractForDeed[[#This Row],[Princ]])</f>
        <v>116054.01000000004</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39">
        <f>IF(INDEX(tblContractForDeed[Payment],ROW()-ROW(tblBuyerOutputs[#Headers]))=0,0,INDEX(tblContractForDeed[Payment],ROW()-ROW(tblBuyerOutputs[#Headers]))-INDEX(tblSubjectToLoan[Payment],ROW()-ROW(tblBuyerOutputs[#Headers])))</f>
        <v>1777.45</v>
      </c>
      <c r="AA65">
        <v>120.14</v>
      </c>
      <c r="AB65" s="14">
        <f>IF(INDEX(tblContractForDeed[Payment],ROW()-ROW(tblBuyerOutputs[#Headers]))=0,0,INDEX(tblContractForDeed[Payment],ROW()-ROW(tblBuyerOutputs[#Headers]))-INDEX(tblSubjectToLoan[Payment],ROW()-ROW(tblBuyerOutputs[#Headers])))-IFERROR(tblBuyerOutputs[[#This Row],[PMI]],0)</f>
        <v>1657.31</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60193.019999999968</v>
      </c>
      <c r="AD65" s="265">
        <f>IF(INDEX(tblContractForDeed[End Bal],ROW()-ROW(tblBuyerOutputs[#Headers]))&lt;=0,0,($O$6+IF(ROW()=ROW(tblBuyerOutputs[#Headers])+1,0,INDEX(tblBuyerOutputs[Cumul Appr],ROW()-ROW(tblBuyerOutputs[#Headers])-1)))*$O$2/12)</f>
        <v>736.01628201497294</v>
      </c>
      <c r="AE65" s="587">
        <f>IF(INDEX(tblContractForDeed[End Bal],ROW()-ROW(tblBuyerOutputs[#Headers]))&lt;=0,0,IF(ROW()=ROW(tblBuyerOutputs[#Headers])+1,0,INDEX(tblBuyerOutputs[Cumul Appr],ROW()-ROW(tblBuyerOutputs[#Headers])-1))+tblBuyerOutputs[[#This Row],[Monthly Appr]])</f>
        <v>30879.92396560845</v>
      </c>
      <c r="AF65" s="22"/>
      <c r="AG65" s="14"/>
      <c r="AM65"/>
      <c r="AN65" s="14"/>
      <c r="AP65" s="265"/>
      <c r="AR65" s="14"/>
      <c r="AS65"/>
    </row>
    <row r="66" spans="1:45" x14ac:dyDescent="0.25">
      <c r="A66" s="561">
        <f t="shared" si="4"/>
        <v>47239</v>
      </c>
      <c r="B66" s="265">
        <f t="shared" si="5"/>
        <v>0</v>
      </c>
      <c r="C66" s="14">
        <f t="shared" si="1"/>
        <v>0</v>
      </c>
      <c r="D66" s="14">
        <f t="shared" si="6"/>
        <v>0</v>
      </c>
      <c r="E66" s="14">
        <f t="shared" si="2"/>
        <v>0</v>
      </c>
      <c r="F66" s="14">
        <f t="shared" si="11"/>
        <v>0</v>
      </c>
      <c r="G66" s="14">
        <f t="shared" si="11"/>
        <v>0</v>
      </c>
      <c r="H66" s="14">
        <f t="shared" si="12"/>
        <v>0</v>
      </c>
      <c r="I66" s="265">
        <f t="shared" si="9"/>
        <v>0</v>
      </c>
      <c r="J66" s="265">
        <f t="shared" si="10"/>
        <v>0</v>
      </c>
      <c r="K66" s="265">
        <f t="shared" si="7"/>
        <v>0</v>
      </c>
      <c r="L66" s="373">
        <f t="shared" si="3"/>
        <v>3</v>
      </c>
      <c r="M66" s="373">
        <f t="shared" si="8"/>
        <v>46</v>
      </c>
      <c r="N66" s="561">
        <f>INDEX(tblSubjectToLoan[Date],ROW()-ROW(tblContractForDeed[#Headers]))</f>
        <v>47239</v>
      </c>
      <c r="O66" s="265">
        <f>IF(ROW()=ROW(tblContractForDeed[#Headers])+1,$O$6,IF(INDEX(tblContractForDeed[End Bal],ROW()-ROW(tblContractForDeed[#Headers])-1)&lt;0,0,INDEX(tblContractForDeed[End Bal],ROW()-ROW(tblContractForDeed[#Headers])-1)))</f>
        <v>116054.01000000004</v>
      </c>
      <c r="P66" s="431">
        <f>IF(tblContractForDeed[[#This Row],[Date]]="","",IF(tblContractForDeed[[#This Row],[Date]]&lt;cfdRateChangeDate,cfdRate1,cfdRate2))</f>
        <v>0.08</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6" s="265">
        <f>IF(tblContractForDeed[[#This Row],[Payment]]=0,0,MAX(0,MIN(tblContractForDeed[[#This Row],[Beg]],tblContractForDeed[[#This Row],[Payment]]-tblContractForDeed[[#This Row],[Int]])))</f>
        <v>1003.76</v>
      </c>
      <c r="S66" s="265">
        <f>IF(OR(tblContractForDeed[[#This Row],[Date]]&lt;cfdContractDate,tblContractForDeed[[#This Row],[Date]]&gt;cfdEndDate),0,ROUND(tblContractForDeed[[#This Row],[Beg]]*(tblContractForDeed[[#This Row],[Int Rate]]/12),2))</f>
        <v>773.69</v>
      </c>
      <c r="T66" s="265">
        <f>IF(tblContractForDeed[[#This Row],[Payment]]=0,0,$V$2)</f>
        <v>134.16999999999999</v>
      </c>
      <c r="U66" s="265">
        <f>IF(tblContractForDeed[[#This Row],[Princ]]=0,0,$V$3)</f>
        <v>0</v>
      </c>
      <c r="V66" s="265">
        <f>SUM(tblContractForDeed[[#This Row],[Princ]],tblContractForDeed[[#This Row],[Int]],tblContractForDeed[[#This Row],[Ins]],tblContractForDeed[[#This Row],[Taxes]])</f>
        <v>1911.6200000000001</v>
      </c>
      <c r="W66" s="265">
        <f>SUM(INDEX(tblContractForDeed[Princ],1):INDEX(tblContractForDeed[Princ],ROW()-ROW(tblContractForDeed[#Headers])))</f>
        <v>31449.75</v>
      </c>
      <c r="X66" s="265">
        <f>IF(tblContractForDeed[[#This Row],[Beg]]&lt;=0,0,tblContractForDeed[[#This Row],[Beg]]-tblContractForDeed[[#This Row],[Princ]])</f>
        <v>115050.25000000004</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39">
        <f>IF(INDEX(tblContractForDeed[Payment],ROW()-ROW(tblBuyerOutputs[#Headers]))=0,0,INDEX(tblContractForDeed[Payment],ROW()-ROW(tblBuyerOutputs[#Headers]))-INDEX(tblSubjectToLoan[Payment],ROW()-ROW(tblBuyerOutputs[#Headers])))</f>
        <v>1777.45</v>
      </c>
      <c r="AA66">
        <v>120.14</v>
      </c>
      <c r="AB66" s="14">
        <f>IF(INDEX(tblContractForDeed[Payment],ROW()-ROW(tblBuyerOutputs[#Headers]))=0,0,INDEX(tblContractForDeed[Payment],ROW()-ROW(tblBuyerOutputs[#Headers]))-INDEX(tblSubjectToLoan[Payment],ROW()-ROW(tblBuyerOutputs[#Headers])))-IFERROR(tblBuyerOutputs[[#This Row],[PMI]],0)</f>
        <v>1657.31</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61850.329999999965</v>
      </c>
      <c r="AD66" s="265">
        <f>IF(INDEX(tblContractForDeed[End Bal],ROW()-ROW(tblBuyerOutputs[#Headers]))&lt;=0,0,($O$6+IF(ROW()=ROW(tblBuyerOutputs[#Headers])+1,0,INDEX(tblBuyerOutputs[Cumul Appr],ROW()-ROW(tblBuyerOutputs[#Headers])-1)))*$O$2/12)</f>
        <v>739.08301652336843</v>
      </c>
      <c r="AE66" s="587">
        <f>IF(INDEX(tblContractForDeed[End Bal],ROW()-ROW(tblBuyerOutputs[#Headers]))&lt;=0,0,IF(ROW()=ROW(tblBuyerOutputs[#Headers])+1,0,INDEX(tblBuyerOutputs[Cumul Appr],ROW()-ROW(tblBuyerOutputs[#Headers])-1))+tblBuyerOutputs[[#This Row],[Monthly Appr]])</f>
        <v>31619.006982131817</v>
      </c>
      <c r="AF66" s="22"/>
      <c r="AG66" s="14"/>
      <c r="AM66"/>
      <c r="AN66" s="14"/>
      <c r="AP66" s="265"/>
      <c r="AR66" s="14"/>
      <c r="AS66"/>
    </row>
    <row r="67" spans="1:45" ht="15.75" thickBot="1" x14ac:dyDescent="0.3">
      <c r="A67" s="562">
        <f t="shared" si="4"/>
        <v>47270</v>
      </c>
      <c r="B67" s="316">
        <f t="shared" si="5"/>
        <v>0</v>
      </c>
      <c r="C67" s="21">
        <f t="shared" si="1"/>
        <v>0</v>
      </c>
      <c r="D67" s="21">
        <f t="shared" si="6"/>
        <v>0</v>
      </c>
      <c r="E67" s="21">
        <f t="shared" si="2"/>
        <v>0</v>
      </c>
      <c r="F67" s="21">
        <f t="shared" si="11"/>
        <v>0</v>
      </c>
      <c r="G67" s="21">
        <f t="shared" si="11"/>
        <v>0</v>
      </c>
      <c r="H67" s="21">
        <f t="shared" si="12"/>
        <v>0</v>
      </c>
      <c r="I67" s="316">
        <f t="shared" si="9"/>
        <v>0</v>
      </c>
      <c r="J67" s="316">
        <f t="shared" si="10"/>
        <v>0</v>
      </c>
      <c r="K67" s="316">
        <f t="shared" si="7"/>
        <v>0</v>
      </c>
      <c r="L67" s="374">
        <f t="shared" si="3"/>
        <v>3</v>
      </c>
      <c r="M67" s="374">
        <f t="shared" si="8"/>
        <v>47</v>
      </c>
      <c r="N67" s="562">
        <f>INDEX(tblSubjectToLoan[Date],ROW()-ROW(tblContractForDeed[#Headers]))</f>
        <v>47270</v>
      </c>
      <c r="O67" s="316">
        <f>IF(ROW()=ROW(tblContractForDeed[#Headers])+1,$O$6,IF(INDEX(tblContractForDeed[End Bal],ROW()-ROW(tblContractForDeed[#Headers])-1)&lt;0,0,INDEX(tblContractForDeed[End Bal],ROW()-ROW(tblContractForDeed[#Headers])-1)))</f>
        <v>115050.25000000004</v>
      </c>
      <c r="P67" s="585">
        <f>IF(tblContractForDeed[[#This Row],[Date]]="","",IF(tblContractForDeed[[#This Row],[Date]]&lt;cfdRateChangeDate,cfdRate1,cfdRate2))</f>
        <v>0.08</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7" s="316">
        <f>IF(tblContractForDeed[[#This Row],[Payment]]=0,0,MAX(0,MIN(tblContractForDeed[[#This Row],[Beg]],tblContractForDeed[[#This Row],[Payment]]-tblContractForDeed[[#This Row],[Int]])))</f>
        <v>1010.45</v>
      </c>
      <c r="S67" s="316">
        <f>IF(OR(tblContractForDeed[[#This Row],[Date]]&lt;cfdContractDate,tblContractForDeed[[#This Row],[Date]]&gt;cfdEndDate),0,ROUND(tblContractForDeed[[#This Row],[Beg]]*(tblContractForDeed[[#This Row],[Int Rate]]/12),2))</f>
        <v>767</v>
      </c>
      <c r="T67" s="316">
        <f>IF(tblContractForDeed[[#This Row],[Payment]]=0,0,$V$2)</f>
        <v>134.16999999999999</v>
      </c>
      <c r="U67" s="316">
        <f>IF(tblContractForDeed[[#This Row],[Princ]]=0,0,$V$3)</f>
        <v>0</v>
      </c>
      <c r="V67" s="316">
        <f>SUM(tblContractForDeed[[#This Row],[Princ]],tblContractForDeed[[#This Row],[Int]],tblContractForDeed[[#This Row],[Ins]],tblContractForDeed[[#This Row],[Taxes]])</f>
        <v>1911.6200000000001</v>
      </c>
      <c r="W67" s="316">
        <f>SUM(INDEX(tblContractForDeed[Princ],1):INDEX(tblContractForDeed[Princ],ROW()-ROW(tblContractForDeed[#Headers])))</f>
        <v>32460.2</v>
      </c>
      <c r="X67" s="316">
        <f>IF(tblContractForDeed[[#This Row],[Beg]]&lt;=0,0,tblContractForDeed[[#This Row],[Beg]]-tblContractForDeed[[#This Row],[Princ]])</f>
        <v>114039.80000000005</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0">
        <f>IF(INDEX(tblContractForDeed[Payment],ROW()-ROW(tblBuyerOutputs[#Headers]))=0,0,INDEX(tblContractForDeed[Payment],ROW()-ROW(tblBuyerOutputs[#Headers]))-INDEX(tblSubjectToLoan[Payment],ROW()-ROW(tblBuyerOutputs[#Headers])))</f>
        <v>1777.45</v>
      </c>
      <c r="AA67">
        <v>120.14</v>
      </c>
      <c r="AB67" s="21">
        <f>IF(INDEX(tblContractForDeed[Payment],ROW()-ROW(tblBuyerOutputs[#Headers]))=0,0,INDEX(tblContractForDeed[Payment],ROW()-ROW(tblBuyerOutputs[#Headers]))-INDEX(tblSubjectToLoan[Payment],ROW()-ROW(tblBuyerOutputs[#Headers])))-IFERROR(tblBuyerOutputs[[#This Row],[PMI]],0)</f>
        <v>1657.31</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63507.639999999963</v>
      </c>
      <c r="AD67" s="316">
        <f>IF(INDEX(tblContractForDeed[End Bal],ROW()-ROW(tblBuyerOutputs[#Headers]))&lt;=0,0,($O$6+IF(ROW()=ROW(tblBuyerOutputs[#Headers])+1,0,INDEX(tblBuyerOutputs[Cumul Appr],ROW()-ROW(tblBuyerOutputs[#Headers])-1)))*$O$2/12)</f>
        <v>742.16252909221578</v>
      </c>
      <c r="AE67" s="588">
        <f>IF(INDEX(tblContractForDeed[End Bal],ROW()-ROW(tblBuyerOutputs[#Headers]))&lt;=0,0,IF(ROW()=ROW(tblBuyerOutputs[#Headers])+1,0,INDEX(tblBuyerOutputs[Cumul Appr],ROW()-ROW(tblBuyerOutputs[#Headers])-1))+tblBuyerOutputs[[#This Row],[Monthly Appr]])</f>
        <v>32361.169511224034</v>
      </c>
      <c r="AF67" s="22"/>
      <c r="AG67" s="14"/>
      <c r="AM67"/>
      <c r="AN67" s="14"/>
      <c r="AP67" s="265"/>
      <c r="AR67" s="14"/>
      <c r="AS67"/>
    </row>
    <row r="68" spans="1:45" x14ac:dyDescent="0.25">
      <c r="A68" s="561">
        <f t="shared" si="4"/>
        <v>47300</v>
      </c>
      <c r="B68" s="265">
        <f t="shared" si="5"/>
        <v>0</v>
      </c>
      <c r="C68" s="14">
        <f t="shared" si="1"/>
        <v>0</v>
      </c>
      <c r="D68" s="14">
        <f t="shared" si="6"/>
        <v>0</v>
      </c>
      <c r="E68" s="14">
        <f t="shared" si="2"/>
        <v>0</v>
      </c>
      <c r="F68" s="14">
        <f t="shared" si="11"/>
        <v>0</v>
      </c>
      <c r="G68" s="14">
        <f t="shared" si="11"/>
        <v>0</v>
      </c>
      <c r="H68" s="14">
        <f t="shared" si="12"/>
        <v>0</v>
      </c>
      <c r="I68" s="265">
        <f t="shared" si="9"/>
        <v>0</v>
      </c>
      <c r="J68" s="265">
        <f t="shared" si="10"/>
        <v>0</v>
      </c>
      <c r="K68" s="265">
        <f t="shared" si="7"/>
        <v>0</v>
      </c>
      <c r="L68" s="373">
        <f t="shared" si="3"/>
        <v>4</v>
      </c>
      <c r="M68" s="373">
        <f t="shared" si="8"/>
        <v>48</v>
      </c>
      <c r="N68" s="561">
        <f>INDEX(tblSubjectToLoan[Date],ROW()-ROW(tblContractForDeed[#Headers]))</f>
        <v>47300</v>
      </c>
      <c r="O68" s="265">
        <f>IF(ROW()=ROW(tblContractForDeed[#Headers])+1,$O$6,IF(INDEX(tblContractForDeed[End Bal],ROW()-ROW(tblContractForDeed[#Headers])-1)&lt;0,0,INDEX(tblContractForDeed[End Bal],ROW()-ROW(tblContractForDeed[#Headers])-1)))</f>
        <v>114039.80000000005</v>
      </c>
      <c r="P68" s="431">
        <f>IF(tblContractForDeed[[#This Row],[Date]]="","",IF(tblContractForDeed[[#This Row],[Date]]&lt;cfdRateChangeDate,cfdRate1,cfdRate2))</f>
        <v>0.08</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8" s="265">
        <f>IF(tblContractForDeed[[#This Row],[Payment]]=0,0,MAX(0,MIN(tblContractForDeed[[#This Row],[Beg]],tblContractForDeed[[#This Row],[Payment]]-tblContractForDeed[[#This Row],[Int]])))</f>
        <v>1017.1800000000001</v>
      </c>
      <c r="S68" s="265">
        <f>IF(OR(tblContractForDeed[[#This Row],[Date]]&lt;cfdContractDate,tblContractForDeed[[#This Row],[Date]]&gt;cfdEndDate),0,ROUND(tblContractForDeed[[#This Row],[Beg]]*(tblContractForDeed[[#This Row],[Int Rate]]/12),2))</f>
        <v>760.27</v>
      </c>
      <c r="T68" s="265">
        <f>IF(tblContractForDeed[[#This Row],[Payment]]=0,0,$V$2)</f>
        <v>134.16999999999999</v>
      </c>
      <c r="U68" s="265">
        <f>IF(tblContractForDeed[[#This Row],[Princ]]=0,0,$V$3)</f>
        <v>0</v>
      </c>
      <c r="V68" s="265">
        <f>SUM(tblContractForDeed[[#This Row],[Princ]],tblContractForDeed[[#This Row],[Int]],tblContractForDeed[[#This Row],[Ins]],tblContractForDeed[[#This Row],[Taxes]])</f>
        <v>1911.6200000000001</v>
      </c>
      <c r="W68" s="265">
        <f>SUM(INDEX(tblContractForDeed[Princ],1):INDEX(tblContractForDeed[Princ],ROW()-ROW(tblContractForDeed[#Headers])))</f>
        <v>33477.379999999997</v>
      </c>
      <c r="X68" s="265">
        <f>IF(tblContractForDeed[[#This Row],[Beg]]&lt;=0,0,tblContractForDeed[[#This Row],[Beg]]-tblContractForDeed[[#This Row],[Princ]])</f>
        <v>113022.62000000005</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39">
        <f>IF(INDEX(tblContractForDeed[Payment],ROW()-ROW(tblBuyerOutputs[#Headers]))=0,0,INDEX(tblContractForDeed[Payment],ROW()-ROW(tblBuyerOutputs[#Headers]))-INDEX(tblSubjectToLoan[Payment],ROW()-ROW(tblBuyerOutputs[#Headers])))</f>
        <v>1777.45</v>
      </c>
      <c r="AA68"/>
      <c r="AB68" s="14">
        <f>IF(INDEX(tblContractForDeed[Payment],ROW()-ROW(tblBuyerOutputs[#Headers]))=0,0,INDEX(tblContractForDeed[Payment],ROW()-ROW(tblBuyerOutputs[#Headers]))-INDEX(tblSubjectToLoan[Payment],ROW()-ROW(tblBuyerOutputs[#Headers])))-IFERROR(tblBuyerOutputs[[#This Row],[PMI]],0)</f>
        <v>1777.45</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65285.08999999996</v>
      </c>
      <c r="AD68" s="265">
        <f>IF(INDEX(tblContractForDeed[End Bal],ROW()-ROW(tblBuyerOutputs[#Headers]))&lt;=0,0,($O$6+IF(ROW()=ROW(tblBuyerOutputs[#Headers])+1,0,INDEX(tblBuyerOutputs[Cumul Appr],ROW()-ROW(tblBuyerOutputs[#Headers])-1)))*$O$2/12)</f>
        <v>745.25487296343351</v>
      </c>
      <c r="AE68" s="587">
        <f>IF(INDEX(tblContractForDeed[End Bal],ROW()-ROW(tblBuyerOutputs[#Headers]))&lt;=0,0,IF(ROW()=ROW(tblBuyerOutputs[#Headers])+1,0,INDEX(tblBuyerOutputs[Cumul Appr],ROW()-ROW(tblBuyerOutputs[#Headers])-1))+tblBuyerOutputs[[#This Row],[Monthly Appr]])</f>
        <v>33106.42438418747</v>
      </c>
      <c r="AF68" s="22"/>
      <c r="AG68" s="14"/>
      <c r="AM68"/>
      <c r="AN68" s="14"/>
      <c r="AP68" s="265"/>
      <c r="AR68" s="14"/>
      <c r="AS68"/>
    </row>
    <row r="69" spans="1:45" x14ac:dyDescent="0.25">
      <c r="A69" s="561">
        <f t="shared" si="4"/>
        <v>47331</v>
      </c>
      <c r="B69" s="265">
        <f t="shared" si="5"/>
        <v>0</v>
      </c>
      <c r="C69" s="14">
        <f t="shared" si="1"/>
        <v>0</v>
      </c>
      <c r="D69" s="14">
        <f t="shared" si="6"/>
        <v>0</v>
      </c>
      <c r="E69" s="14">
        <f t="shared" si="2"/>
        <v>0</v>
      </c>
      <c r="F69" s="14">
        <f t="shared" si="11"/>
        <v>0</v>
      </c>
      <c r="G69" s="14">
        <f t="shared" si="11"/>
        <v>0</v>
      </c>
      <c r="H69" s="14">
        <f t="shared" si="12"/>
        <v>0</v>
      </c>
      <c r="I69" s="265">
        <f t="shared" si="9"/>
        <v>0</v>
      </c>
      <c r="J69" s="265">
        <f t="shared" si="10"/>
        <v>0</v>
      </c>
      <c r="K69" s="265">
        <f t="shared" si="7"/>
        <v>0</v>
      </c>
      <c r="L69" s="373">
        <f t="shared" si="3"/>
        <v>4</v>
      </c>
      <c r="M69" s="373">
        <f t="shared" si="8"/>
        <v>49</v>
      </c>
      <c r="N69" s="561">
        <f>INDEX(tblSubjectToLoan[Date],ROW()-ROW(tblContractForDeed[#Headers]))</f>
        <v>47331</v>
      </c>
      <c r="O69" s="265">
        <f>IF(ROW()=ROW(tblContractForDeed[#Headers])+1,$O$6,IF(INDEX(tblContractForDeed[End Bal],ROW()-ROW(tblContractForDeed[#Headers])-1)&lt;0,0,INDEX(tblContractForDeed[End Bal],ROW()-ROW(tblContractForDeed[#Headers])-1)))</f>
        <v>113022.62000000005</v>
      </c>
      <c r="P69" s="431">
        <f>IF(tblContractForDeed[[#This Row],[Date]]="","",IF(tblContractForDeed[[#This Row],[Date]]&lt;cfdRateChangeDate,cfdRate1,cfdRate2))</f>
        <v>0.08</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9" s="265">
        <f>IF(tblContractForDeed[[#This Row],[Payment]]=0,0,MAX(0,MIN(tblContractForDeed[[#This Row],[Beg]],tblContractForDeed[[#This Row],[Payment]]-tblContractForDeed[[#This Row],[Int]])))</f>
        <v>1023.97</v>
      </c>
      <c r="S69" s="265">
        <f>IF(OR(tblContractForDeed[[#This Row],[Date]]&lt;cfdContractDate,tblContractForDeed[[#This Row],[Date]]&gt;cfdEndDate),0,ROUND(tblContractForDeed[[#This Row],[Beg]]*(tblContractForDeed[[#This Row],[Int Rate]]/12),2))</f>
        <v>753.48</v>
      </c>
      <c r="T69" s="265">
        <f>IF(tblContractForDeed[[#This Row],[Payment]]=0,0,$V$2)</f>
        <v>134.16999999999999</v>
      </c>
      <c r="U69" s="265">
        <f>IF(tblContractForDeed[[#This Row],[Princ]]=0,0,$V$3)</f>
        <v>0</v>
      </c>
      <c r="V69" s="265">
        <f>SUM(tblContractForDeed[[#This Row],[Princ]],tblContractForDeed[[#This Row],[Int]],tblContractForDeed[[#This Row],[Ins]],tblContractForDeed[[#This Row],[Taxes]])</f>
        <v>1911.6200000000001</v>
      </c>
      <c r="W69" s="265">
        <f>SUM(INDEX(tblContractForDeed[Princ],1):INDEX(tblContractForDeed[Princ],ROW()-ROW(tblContractForDeed[#Headers])))</f>
        <v>34501.35</v>
      </c>
      <c r="X69" s="265">
        <f>IF(tblContractForDeed[[#This Row],[Beg]]&lt;=0,0,tblContractForDeed[[#This Row],[Beg]]-tblContractForDeed[[#This Row],[Princ]])</f>
        <v>111998.65000000005</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39">
        <f>IF(INDEX(tblContractForDeed[Payment],ROW()-ROW(tblBuyerOutputs[#Headers]))=0,0,INDEX(tblContractForDeed[Payment],ROW()-ROW(tblBuyerOutputs[#Headers]))-INDEX(tblSubjectToLoan[Payment],ROW()-ROW(tblBuyerOutputs[#Headers])))</f>
        <v>1777.45</v>
      </c>
      <c r="AA69"/>
      <c r="AB69" s="14">
        <f>IF(INDEX(tblContractForDeed[Payment],ROW()-ROW(tblBuyerOutputs[#Headers]))=0,0,INDEX(tblContractForDeed[Payment],ROW()-ROW(tblBuyerOutputs[#Headers]))-INDEX(tblSubjectToLoan[Payment],ROW()-ROW(tblBuyerOutputs[#Headers])))-IFERROR(tblBuyerOutputs[[#This Row],[PMI]],0)</f>
        <v>1777.45</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67062.539999999964</v>
      </c>
      <c r="AD69" s="265">
        <f>IF(INDEX(tblContractForDeed[End Bal],ROW()-ROW(tblBuyerOutputs[#Headers]))&lt;=0,0,($O$6+IF(ROW()=ROW(tblBuyerOutputs[#Headers])+1,0,INDEX(tblBuyerOutputs[Cumul Appr],ROW()-ROW(tblBuyerOutputs[#Headers])-1)))*$O$2/12)</f>
        <v>748.36010160078115</v>
      </c>
      <c r="AE69" s="587">
        <f>IF(INDEX(tblContractForDeed[End Bal],ROW()-ROW(tblBuyerOutputs[#Headers]))&lt;=0,0,IF(ROW()=ROW(tblBuyerOutputs[#Headers])+1,0,INDEX(tblBuyerOutputs[Cumul Appr],ROW()-ROW(tblBuyerOutputs[#Headers])-1))+tblBuyerOutputs[[#This Row],[Monthly Appr]])</f>
        <v>33854.784485788252</v>
      </c>
      <c r="AF69" s="22"/>
      <c r="AG69" s="14"/>
      <c r="AM69"/>
      <c r="AN69" s="14"/>
      <c r="AP69" s="265"/>
      <c r="AR69" s="14"/>
      <c r="AS69"/>
    </row>
    <row r="70" spans="1:45" x14ac:dyDescent="0.25">
      <c r="A70" s="561">
        <f t="shared" si="4"/>
        <v>47362</v>
      </c>
      <c r="B70" s="265">
        <f t="shared" si="5"/>
        <v>0</v>
      </c>
      <c r="C70" s="14">
        <f t="shared" si="1"/>
        <v>0</v>
      </c>
      <c r="D70" s="14">
        <f t="shared" si="6"/>
        <v>0</v>
      </c>
      <c r="E70" s="14">
        <f t="shared" si="2"/>
        <v>0</v>
      </c>
      <c r="F70" s="14">
        <f t="shared" si="11"/>
        <v>0</v>
      </c>
      <c r="G70" s="14">
        <f t="shared" si="11"/>
        <v>0</v>
      </c>
      <c r="H70" s="14">
        <f t="shared" si="12"/>
        <v>0</v>
      </c>
      <c r="I70" s="265">
        <f t="shared" si="9"/>
        <v>0</v>
      </c>
      <c r="J70" s="265">
        <f t="shared" si="10"/>
        <v>0</v>
      </c>
      <c r="K70" s="265">
        <f t="shared" si="7"/>
        <v>0</v>
      </c>
      <c r="L70" s="373">
        <f t="shared" si="3"/>
        <v>4</v>
      </c>
      <c r="M70" s="373">
        <f t="shared" si="8"/>
        <v>50</v>
      </c>
      <c r="N70" s="561">
        <f>INDEX(tblSubjectToLoan[Date],ROW()-ROW(tblContractForDeed[#Headers]))</f>
        <v>47362</v>
      </c>
      <c r="O70" s="265">
        <f>IF(ROW()=ROW(tblContractForDeed[#Headers])+1,$O$6,IF(INDEX(tblContractForDeed[End Bal],ROW()-ROW(tblContractForDeed[#Headers])-1)&lt;0,0,INDEX(tblContractForDeed[End Bal],ROW()-ROW(tblContractForDeed[#Headers])-1)))</f>
        <v>111998.65000000005</v>
      </c>
      <c r="P70" s="431">
        <f>IF(tblContractForDeed[[#This Row],[Date]]="","",IF(tblContractForDeed[[#This Row],[Date]]&lt;cfdRateChangeDate,cfdRate1,cfdRate2))</f>
        <v>0.08</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0" s="265">
        <f>IF(tblContractForDeed[[#This Row],[Payment]]=0,0,MAX(0,MIN(tblContractForDeed[[#This Row],[Beg]],tblContractForDeed[[#This Row],[Payment]]-tblContractForDeed[[#This Row],[Int]])))</f>
        <v>1030.79</v>
      </c>
      <c r="S70" s="265">
        <f>IF(OR(tblContractForDeed[[#This Row],[Date]]&lt;cfdContractDate,tblContractForDeed[[#This Row],[Date]]&gt;cfdEndDate),0,ROUND(tblContractForDeed[[#This Row],[Beg]]*(tblContractForDeed[[#This Row],[Int Rate]]/12),2))</f>
        <v>746.66</v>
      </c>
      <c r="T70" s="265">
        <f>IF(tblContractForDeed[[#This Row],[Payment]]=0,0,$V$2)</f>
        <v>134.16999999999999</v>
      </c>
      <c r="U70" s="265">
        <f>IF(tblContractForDeed[[#This Row],[Princ]]=0,0,$V$3)</f>
        <v>0</v>
      </c>
      <c r="V70" s="265">
        <f>SUM(tblContractForDeed[[#This Row],[Princ]],tblContractForDeed[[#This Row],[Int]],tblContractForDeed[[#This Row],[Ins]],tblContractForDeed[[#This Row],[Taxes]])</f>
        <v>1911.62</v>
      </c>
      <c r="W70" s="265">
        <f>SUM(INDEX(tblContractForDeed[Princ],1):INDEX(tblContractForDeed[Princ],ROW()-ROW(tblContractForDeed[#Headers])))</f>
        <v>35532.14</v>
      </c>
      <c r="X70" s="265">
        <f>IF(tblContractForDeed[[#This Row],[Beg]]&lt;=0,0,tblContractForDeed[[#This Row],[Beg]]-tblContractForDeed[[#This Row],[Princ]])</f>
        <v>110967.86000000006</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39">
        <f>IF(INDEX(tblContractForDeed[Payment],ROW()-ROW(tblBuyerOutputs[#Headers]))=0,0,INDEX(tblContractForDeed[Payment],ROW()-ROW(tblBuyerOutputs[#Headers]))-INDEX(tblSubjectToLoan[Payment],ROW()-ROW(tblBuyerOutputs[#Headers])))</f>
        <v>1777.45</v>
      </c>
      <c r="AA70"/>
      <c r="AB70" s="14">
        <f>IF(INDEX(tblContractForDeed[Payment],ROW()-ROW(tblBuyerOutputs[#Headers]))=0,0,INDEX(tblContractForDeed[Payment],ROW()-ROW(tblBuyerOutputs[#Headers]))-INDEX(tblSubjectToLoan[Payment],ROW()-ROW(tblBuyerOutputs[#Headers])))-IFERROR(tblBuyerOutputs[[#This Row],[PMI]],0)</f>
        <v>1777.45</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68839.989999999962</v>
      </c>
      <c r="AD70" s="265">
        <f>IF(INDEX(tblContractForDeed[End Bal],ROW()-ROW(tblBuyerOutputs[#Headers]))&lt;=0,0,($O$6+IF(ROW()=ROW(tblBuyerOutputs[#Headers])+1,0,INDEX(tblBuyerOutputs[Cumul Appr],ROW()-ROW(tblBuyerOutputs[#Headers])-1)))*$O$2/12)</f>
        <v>751.47826869078438</v>
      </c>
      <c r="AE70" s="587">
        <f>IF(INDEX(tblContractForDeed[End Bal],ROW()-ROW(tblBuyerOutputs[#Headers]))&lt;=0,0,IF(ROW()=ROW(tblBuyerOutputs[#Headers])+1,0,INDEX(tblBuyerOutputs[Cumul Appr],ROW()-ROW(tblBuyerOutputs[#Headers])-1))+tblBuyerOutputs[[#This Row],[Monthly Appr]])</f>
        <v>34606.262754479038</v>
      </c>
      <c r="AF70" s="22"/>
      <c r="AG70" s="14"/>
      <c r="AM70"/>
      <c r="AN70" s="14"/>
      <c r="AP70" s="265"/>
      <c r="AR70" s="14"/>
      <c r="AS70"/>
    </row>
    <row r="71" spans="1:45" x14ac:dyDescent="0.25">
      <c r="A71" s="561">
        <f t="shared" si="4"/>
        <v>47392</v>
      </c>
      <c r="B71" s="265">
        <f t="shared" si="5"/>
        <v>0</v>
      </c>
      <c r="C71" s="14">
        <f t="shared" si="1"/>
        <v>0</v>
      </c>
      <c r="D71" s="14">
        <f t="shared" si="6"/>
        <v>0</v>
      </c>
      <c r="E71" s="14">
        <f t="shared" si="2"/>
        <v>0</v>
      </c>
      <c r="F71" s="14">
        <f t="shared" si="11"/>
        <v>0</v>
      </c>
      <c r="G71" s="14">
        <f t="shared" si="11"/>
        <v>0</v>
      </c>
      <c r="H71" s="14">
        <f t="shared" si="12"/>
        <v>0</v>
      </c>
      <c r="I71" s="265">
        <f t="shared" si="9"/>
        <v>0</v>
      </c>
      <c r="J71" s="265">
        <f t="shared" si="10"/>
        <v>0</v>
      </c>
      <c r="K71" s="265">
        <f t="shared" si="7"/>
        <v>0</v>
      </c>
      <c r="L71" s="373">
        <f t="shared" si="3"/>
        <v>4</v>
      </c>
      <c r="M71" s="373">
        <f t="shared" si="8"/>
        <v>51</v>
      </c>
      <c r="N71" s="561">
        <f>INDEX(tblSubjectToLoan[Date],ROW()-ROW(tblContractForDeed[#Headers]))</f>
        <v>47392</v>
      </c>
      <c r="O71" s="265">
        <f>IF(ROW()=ROW(tblContractForDeed[#Headers])+1,$O$6,IF(INDEX(tblContractForDeed[End Bal],ROW()-ROW(tblContractForDeed[#Headers])-1)&lt;0,0,INDEX(tblContractForDeed[End Bal],ROW()-ROW(tblContractForDeed[#Headers])-1)))</f>
        <v>110967.86000000006</v>
      </c>
      <c r="P71" s="431">
        <f>IF(tblContractForDeed[[#This Row],[Date]]="","",IF(tblContractForDeed[[#This Row],[Date]]&lt;cfdRateChangeDate,cfdRate1,cfdRate2))</f>
        <v>0.08</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1" s="265">
        <f>IF(tblContractForDeed[[#This Row],[Payment]]=0,0,MAX(0,MIN(tblContractForDeed[[#This Row],[Beg]],tblContractForDeed[[#This Row],[Payment]]-tblContractForDeed[[#This Row],[Int]])))</f>
        <v>1037.6600000000001</v>
      </c>
      <c r="S71" s="265">
        <f>IF(OR(tblContractForDeed[[#This Row],[Date]]&lt;cfdContractDate,tblContractForDeed[[#This Row],[Date]]&gt;cfdEndDate),0,ROUND(tblContractForDeed[[#This Row],[Beg]]*(tblContractForDeed[[#This Row],[Int Rate]]/12),2))</f>
        <v>739.79</v>
      </c>
      <c r="T71" s="265">
        <f>IF(tblContractForDeed[[#This Row],[Payment]]=0,0,$V$2)</f>
        <v>134.16999999999999</v>
      </c>
      <c r="U71" s="265">
        <f>IF(tblContractForDeed[[#This Row],[Princ]]=0,0,$V$3)</f>
        <v>0</v>
      </c>
      <c r="V71" s="265">
        <f>SUM(tblContractForDeed[[#This Row],[Princ]],tblContractForDeed[[#This Row],[Int]],tblContractForDeed[[#This Row],[Ins]],tblContractForDeed[[#This Row],[Taxes]])</f>
        <v>1911.6200000000001</v>
      </c>
      <c r="W71" s="265">
        <f>SUM(INDEX(tblContractForDeed[Princ],1):INDEX(tblContractForDeed[Princ],ROW()-ROW(tblContractForDeed[#Headers])))</f>
        <v>36569.800000000003</v>
      </c>
      <c r="X71" s="265">
        <f>IF(tblContractForDeed[[#This Row],[Beg]]&lt;=0,0,tblContractForDeed[[#This Row],[Beg]]-tblContractForDeed[[#This Row],[Princ]])</f>
        <v>109930.20000000006</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39">
        <f>IF(INDEX(tblContractForDeed[Payment],ROW()-ROW(tblBuyerOutputs[#Headers]))=0,0,INDEX(tblContractForDeed[Payment],ROW()-ROW(tblBuyerOutputs[#Headers]))-INDEX(tblSubjectToLoan[Payment],ROW()-ROW(tblBuyerOutputs[#Headers])))</f>
        <v>1777.45</v>
      </c>
      <c r="AA71"/>
      <c r="AB71" s="14">
        <f>IF(INDEX(tblContractForDeed[Payment],ROW()-ROW(tblBuyerOutputs[#Headers]))=0,0,INDEX(tblContractForDeed[Payment],ROW()-ROW(tblBuyerOutputs[#Headers]))-INDEX(tblSubjectToLoan[Payment],ROW()-ROW(tblBuyerOutputs[#Headers])))-IFERROR(tblBuyerOutputs[[#This Row],[PMI]],0)</f>
        <v>1777.45</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70617.439999999959</v>
      </c>
      <c r="AD71" s="265">
        <f>IF(INDEX(tblContractForDeed[End Bal],ROW()-ROW(tblBuyerOutputs[#Headers]))&lt;=0,0,($O$6+IF(ROW()=ROW(tblBuyerOutputs[#Headers])+1,0,INDEX(tblBuyerOutputs[Cumul Appr],ROW()-ROW(tblBuyerOutputs[#Headers])-1)))*$O$2/12)</f>
        <v>754.60942814366274</v>
      </c>
      <c r="AE71" s="587">
        <f>IF(INDEX(tblContractForDeed[End Bal],ROW()-ROW(tblBuyerOutputs[#Headers]))&lt;=0,0,IF(ROW()=ROW(tblBuyerOutputs[#Headers])+1,0,INDEX(tblBuyerOutputs[Cumul Appr],ROW()-ROW(tblBuyerOutputs[#Headers])-1))+tblBuyerOutputs[[#This Row],[Monthly Appr]])</f>
        <v>35360.872182622697</v>
      </c>
      <c r="AF71" s="22"/>
      <c r="AG71" s="14"/>
      <c r="AM71"/>
      <c r="AN71" s="14"/>
      <c r="AP71" s="265"/>
      <c r="AR71" s="14"/>
      <c r="AS71"/>
    </row>
    <row r="72" spans="1:45" x14ac:dyDescent="0.25">
      <c r="A72" s="561">
        <f t="shared" si="4"/>
        <v>47423</v>
      </c>
      <c r="B72" s="265">
        <f t="shared" si="5"/>
        <v>0</v>
      </c>
      <c r="C72" s="14">
        <f t="shared" si="1"/>
        <v>0</v>
      </c>
      <c r="D72" s="14">
        <f t="shared" si="6"/>
        <v>0</v>
      </c>
      <c r="E72" s="14">
        <f t="shared" si="2"/>
        <v>0</v>
      </c>
      <c r="F72" s="14">
        <f t="shared" si="11"/>
        <v>0</v>
      </c>
      <c r="G72" s="14">
        <f t="shared" si="11"/>
        <v>0</v>
      </c>
      <c r="H72" s="14">
        <f t="shared" si="12"/>
        <v>0</v>
      </c>
      <c r="I72" s="265">
        <f t="shared" si="9"/>
        <v>0</v>
      </c>
      <c r="J72" s="265">
        <f t="shared" si="10"/>
        <v>0</v>
      </c>
      <c r="K72" s="265">
        <f t="shared" si="7"/>
        <v>0</v>
      </c>
      <c r="L72" s="373">
        <f t="shared" si="3"/>
        <v>4</v>
      </c>
      <c r="M72" s="373">
        <f t="shared" si="8"/>
        <v>52</v>
      </c>
      <c r="N72" s="561">
        <f>INDEX(tblSubjectToLoan[Date],ROW()-ROW(tblContractForDeed[#Headers]))</f>
        <v>47423</v>
      </c>
      <c r="O72" s="265">
        <f>IF(ROW()=ROW(tblContractForDeed[#Headers])+1,$O$6,IF(INDEX(tblContractForDeed[End Bal],ROW()-ROW(tblContractForDeed[#Headers])-1)&lt;0,0,INDEX(tblContractForDeed[End Bal],ROW()-ROW(tblContractForDeed[#Headers])-1)))</f>
        <v>109930.20000000006</v>
      </c>
      <c r="P72" s="431">
        <f>IF(tblContractForDeed[[#This Row],[Date]]="","",IF(tblContractForDeed[[#This Row],[Date]]&lt;cfdRateChangeDate,cfdRate1,cfdRate2))</f>
        <v>0.08</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2" s="265">
        <f>IF(tblContractForDeed[[#This Row],[Payment]]=0,0,MAX(0,MIN(tblContractForDeed[[#This Row],[Beg]],tblContractForDeed[[#This Row],[Payment]]-tblContractForDeed[[#This Row],[Int]])))</f>
        <v>1044.58</v>
      </c>
      <c r="S72" s="265">
        <f>IF(OR(tblContractForDeed[[#This Row],[Date]]&lt;cfdContractDate,tblContractForDeed[[#This Row],[Date]]&gt;cfdEndDate),0,ROUND(tblContractForDeed[[#This Row],[Beg]]*(tblContractForDeed[[#This Row],[Int Rate]]/12),2))</f>
        <v>732.87</v>
      </c>
      <c r="T72" s="265">
        <f>IF(tblContractForDeed[[#This Row],[Payment]]=0,0,$V$2)</f>
        <v>134.16999999999999</v>
      </c>
      <c r="U72" s="265">
        <f>IF(tblContractForDeed[[#This Row],[Princ]]=0,0,$V$3)</f>
        <v>0</v>
      </c>
      <c r="V72" s="265">
        <f>SUM(tblContractForDeed[[#This Row],[Princ]],tblContractForDeed[[#This Row],[Int]],tblContractForDeed[[#This Row],[Ins]],tblContractForDeed[[#This Row],[Taxes]])</f>
        <v>1911.62</v>
      </c>
      <c r="W72" s="265">
        <f>SUM(INDEX(tblContractForDeed[Princ],1):INDEX(tblContractForDeed[Princ],ROW()-ROW(tblContractForDeed[#Headers])))</f>
        <v>37614.380000000005</v>
      </c>
      <c r="X72" s="265">
        <f>IF(tblContractForDeed[[#This Row],[Beg]]&lt;=0,0,tblContractForDeed[[#This Row],[Beg]]-tblContractForDeed[[#This Row],[Princ]])</f>
        <v>108885.62000000005</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39">
        <f>IF(INDEX(tblContractForDeed[Payment],ROW()-ROW(tblBuyerOutputs[#Headers]))=0,0,INDEX(tblContractForDeed[Payment],ROW()-ROW(tblBuyerOutputs[#Headers]))-INDEX(tblSubjectToLoan[Payment],ROW()-ROW(tblBuyerOutputs[#Headers])))</f>
        <v>1777.45</v>
      </c>
      <c r="AA72"/>
      <c r="AB72" s="14">
        <f>IF(INDEX(tblContractForDeed[Payment],ROW()-ROW(tblBuyerOutputs[#Headers]))=0,0,INDEX(tblContractForDeed[Payment],ROW()-ROW(tblBuyerOutputs[#Headers]))-INDEX(tblSubjectToLoan[Payment],ROW()-ROW(tblBuyerOutputs[#Headers])))-IFERROR(tblBuyerOutputs[[#This Row],[PMI]],0)</f>
        <v>1777.45</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72394.889999999956</v>
      </c>
      <c r="AD72" s="265">
        <f>IF(INDEX(tblContractForDeed[End Bal],ROW()-ROW(tblBuyerOutputs[#Headers]))&lt;=0,0,($O$6+IF(ROW()=ROW(tblBuyerOutputs[#Headers])+1,0,INDEX(tblBuyerOutputs[Cumul Appr],ROW()-ROW(tblBuyerOutputs[#Headers])-1)))*$O$2/12)</f>
        <v>757.7536340942612</v>
      </c>
      <c r="AE72" s="587">
        <f>IF(INDEX(tblContractForDeed[End Bal],ROW()-ROW(tblBuyerOutputs[#Headers]))&lt;=0,0,IF(ROW()=ROW(tblBuyerOutputs[#Headers])+1,0,INDEX(tblBuyerOutputs[Cumul Appr],ROW()-ROW(tblBuyerOutputs[#Headers])-1))+tblBuyerOutputs[[#This Row],[Monthly Appr]])</f>
        <v>36118.625816716958</v>
      </c>
      <c r="AF72" s="22"/>
      <c r="AG72" s="14"/>
      <c r="AM72"/>
      <c r="AN72" s="14"/>
      <c r="AP72" s="265"/>
      <c r="AR72" s="14"/>
      <c r="AS72"/>
    </row>
    <row r="73" spans="1:45" x14ac:dyDescent="0.25">
      <c r="A73" s="561">
        <f t="shared" si="4"/>
        <v>47453</v>
      </c>
      <c r="B73" s="265">
        <f t="shared" si="5"/>
        <v>0</v>
      </c>
      <c r="C73" s="14">
        <f t="shared" si="1"/>
        <v>0</v>
      </c>
      <c r="D73" s="14">
        <f t="shared" si="6"/>
        <v>0</v>
      </c>
      <c r="E73" s="14">
        <f t="shared" si="2"/>
        <v>0</v>
      </c>
      <c r="F73" s="14">
        <f t="shared" si="11"/>
        <v>0</v>
      </c>
      <c r="G73" s="14">
        <f t="shared" si="11"/>
        <v>0</v>
      </c>
      <c r="H73" s="14">
        <f t="shared" si="12"/>
        <v>0</v>
      </c>
      <c r="I73" s="265">
        <f t="shared" si="9"/>
        <v>0</v>
      </c>
      <c r="J73" s="265">
        <f t="shared" si="10"/>
        <v>0</v>
      </c>
      <c r="K73" s="265">
        <f t="shared" si="7"/>
        <v>0</v>
      </c>
      <c r="L73" s="373">
        <f t="shared" si="3"/>
        <v>4</v>
      </c>
      <c r="M73" s="373">
        <f t="shared" si="8"/>
        <v>53</v>
      </c>
      <c r="N73" s="561">
        <f>INDEX(tblSubjectToLoan[Date],ROW()-ROW(tblContractForDeed[#Headers]))</f>
        <v>47453</v>
      </c>
      <c r="O73" s="265">
        <f>IF(ROW()=ROW(tblContractForDeed[#Headers])+1,$O$6,IF(INDEX(tblContractForDeed[End Bal],ROW()-ROW(tblContractForDeed[#Headers])-1)&lt;0,0,INDEX(tblContractForDeed[End Bal],ROW()-ROW(tblContractForDeed[#Headers])-1)))</f>
        <v>108885.62000000005</v>
      </c>
      <c r="P73" s="431">
        <f>IF(tblContractForDeed[[#This Row],[Date]]="","",IF(tblContractForDeed[[#This Row],[Date]]&lt;cfdRateChangeDate,cfdRate1,cfdRate2))</f>
        <v>0.08</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3" s="265">
        <f>IF(tblContractForDeed[[#This Row],[Payment]]=0,0,MAX(0,MIN(tblContractForDeed[[#This Row],[Beg]],tblContractForDeed[[#This Row],[Payment]]-tblContractForDeed[[#This Row],[Int]])))</f>
        <v>1051.5500000000002</v>
      </c>
      <c r="S73" s="265">
        <f>IF(OR(tblContractForDeed[[#This Row],[Date]]&lt;cfdContractDate,tblContractForDeed[[#This Row],[Date]]&gt;cfdEndDate),0,ROUND(tblContractForDeed[[#This Row],[Beg]]*(tblContractForDeed[[#This Row],[Int Rate]]/12),2))</f>
        <v>725.9</v>
      </c>
      <c r="T73" s="265">
        <f>IF(tblContractForDeed[[#This Row],[Payment]]=0,0,$V$2)</f>
        <v>134.16999999999999</v>
      </c>
      <c r="U73" s="265">
        <f>IF(tblContractForDeed[[#This Row],[Princ]]=0,0,$V$3)</f>
        <v>0</v>
      </c>
      <c r="V73" s="265">
        <f>SUM(tblContractForDeed[[#This Row],[Princ]],tblContractForDeed[[#This Row],[Int]],tblContractForDeed[[#This Row],[Ins]],tblContractForDeed[[#This Row],[Taxes]])</f>
        <v>1911.6200000000003</v>
      </c>
      <c r="W73" s="265">
        <f>SUM(INDEX(tblContractForDeed[Princ],1):INDEX(tblContractForDeed[Princ],ROW()-ROW(tblContractForDeed[#Headers])))</f>
        <v>38665.930000000008</v>
      </c>
      <c r="X73" s="265">
        <f>IF(tblContractForDeed[[#This Row],[Beg]]&lt;=0,0,tblContractForDeed[[#This Row],[Beg]]-tblContractForDeed[[#This Row],[Princ]])</f>
        <v>107834.07000000005</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39">
        <f>IF(INDEX(tblContractForDeed[Payment],ROW()-ROW(tblBuyerOutputs[#Headers]))=0,0,INDEX(tblContractForDeed[Payment],ROW()-ROW(tblBuyerOutputs[#Headers]))-INDEX(tblSubjectToLoan[Payment],ROW()-ROW(tblBuyerOutputs[#Headers])))</f>
        <v>1777.45</v>
      </c>
      <c r="AA73"/>
      <c r="AB73" s="14">
        <f>IF(INDEX(tblContractForDeed[Payment],ROW()-ROW(tblBuyerOutputs[#Headers]))=0,0,INDEX(tblContractForDeed[Payment],ROW()-ROW(tblBuyerOutputs[#Headers]))-INDEX(tblSubjectToLoan[Payment],ROW()-ROW(tblBuyerOutputs[#Headers])))-IFERROR(tblBuyerOutputs[[#This Row],[PMI]],0)</f>
        <v>1777.45</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74172.339999999953</v>
      </c>
      <c r="AD73" s="265">
        <f>IF(INDEX(tblContractForDeed[End Bal],ROW()-ROW(tblBuyerOutputs[#Headers]))&lt;=0,0,($O$6+IF(ROW()=ROW(tblBuyerOutputs[#Headers])+1,0,INDEX(tblBuyerOutputs[Cumul Appr],ROW()-ROW(tblBuyerOutputs[#Headers])-1)))*$O$2/12)</f>
        <v>760.91094090298736</v>
      </c>
      <c r="AE73" s="587">
        <f>IF(INDEX(tblContractForDeed[End Bal],ROW()-ROW(tblBuyerOutputs[#Headers]))&lt;=0,0,IF(ROW()=ROW(tblBuyerOutputs[#Headers])+1,0,INDEX(tblBuyerOutputs[Cumul Appr],ROW()-ROW(tblBuyerOutputs[#Headers])-1))+tblBuyerOutputs[[#This Row],[Monthly Appr]])</f>
        <v>36879.536757619942</v>
      </c>
      <c r="AF73" s="22"/>
      <c r="AG73" s="14"/>
      <c r="AM73"/>
      <c r="AN73" s="14"/>
      <c r="AP73" s="265"/>
      <c r="AR73" s="14"/>
      <c r="AS73"/>
    </row>
    <row r="74" spans="1:45" x14ac:dyDescent="0.25">
      <c r="A74" s="561">
        <f t="shared" si="4"/>
        <v>47484</v>
      </c>
      <c r="B74" s="265">
        <f t="shared" si="5"/>
        <v>0</v>
      </c>
      <c r="C74" s="14">
        <f t="shared" si="1"/>
        <v>0</v>
      </c>
      <c r="D74" s="14">
        <f t="shared" si="6"/>
        <v>0</v>
      </c>
      <c r="E74" s="14">
        <f t="shared" si="2"/>
        <v>0</v>
      </c>
      <c r="F74" s="14">
        <f t="shared" si="11"/>
        <v>0</v>
      </c>
      <c r="G74" s="14">
        <f t="shared" si="11"/>
        <v>0</v>
      </c>
      <c r="H74" s="14">
        <f t="shared" si="12"/>
        <v>0</v>
      </c>
      <c r="I74" s="265">
        <f t="shared" si="9"/>
        <v>0</v>
      </c>
      <c r="J74" s="265">
        <f t="shared" si="10"/>
        <v>0</v>
      </c>
      <c r="K74" s="265">
        <f t="shared" si="7"/>
        <v>0</v>
      </c>
      <c r="L74" s="373">
        <f t="shared" si="3"/>
        <v>4</v>
      </c>
      <c r="M74" s="373">
        <f t="shared" si="8"/>
        <v>54</v>
      </c>
      <c r="N74" s="561">
        <f>INDEX(tblSubjectToLoan[Date],ROW()-ROW(tblContractForDeed[#Headers]))</f>
        <v>47484</v>
      </c>
      <c r="O74" s="265">
        <f>IF(ROW()=ROW(tblContractForDeed[#Headers])+1,$O$6,IF(INDEX(tblContractForDeed[End Bal],ROW()-ROW(tblContractForDeed[#Headers])-1)&lt;0,0,INDEX(tblContractForDeed[End Bal],ROW()-ROW(tblContractForDeed[#Headers])-1)))</f>
        <v>107834.07000000005</v>
      </c>
      <c r="P74" s="431">
        <f>IF(tblContractForDeed[[#This Row],[Date]]="","",IF(tblContractForDeed[[#This Row],[Date]]&lt;cfdRateChangeDate,cfdRate1,cfdRate2))</f>
        <v>0.08</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4" s="265">
        <f>IF(tblContractForDeed[[#This Row],[Payment]]=0,0,MAX(0,MIN(tblContractForDeed[[#This Row],[Beg]],tblContractForDeed[[#This Row],[Payment]]-tblContractForDeed[[#This Row],[Int]])))</f>
        <v>1058.56</v>
      </c>
      <c r="S74" s="265">
        <f>IF(OR(tblContractForDeed[[#This Row],[Date]]&lt;cfdContractDate,tblContractForDeed[[#This Row],[Date]]&gt;cfdEndDate),0,ROUND(tblContractForDeed[[#This Row],[Beg]]*(tblContractForDeed[[#This Row],[Int Rate]]/12),2))</f>
        <v>718.89</v>
      </c>
      <c r="T74" s="265">
        <f>IF(tblContractForDeed[[#This Row],[Payment]]=0,0,$V$2)</f>
        <v>134.16999999999999</v>
      </c>
      <c r="U74" s="265">
        <f>IF(tblContractForDeed[[#This Row],[Princ]]=0,0,$V$3)</f>
        <v>0</v>
      </c>
      <c r="V74" s="265">
        <f>SUM(tblContractForDeed[[#This Row],[Princ]],tblContractForDeed[[#This Row],[Int]],tblContractForDeed[[#This Row],[Ins]],tblContractForDeed[[#This Row],[Taxes]])</f>
        <v>1911.62</v>
      </c>
      <c r="W74" s="265">
        <f>SUM(INDEX(tblContractForDeed[Princ],1):INDEX(tblContractForDeed[Princ],ROW()-ROW(tblContractForDeed[#Headers])))</f>
        <v>39724.490000000005</v>
      </c>
      <c r="X74" s="265">
        <f>IF(tblContractForDeed[[#This Row],[Beg]]&lt;=0,0,tblContractForDeed[[#This Row],[Beg]]-tblContractForDeed[[#This Row],[Princ]])</f>
        <v>106775.51000000005</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39">
        <f>IF(INDEX(tblContractForDeed[Payment],ROW()-ROW(tblBuyerOutputs[#Headers]))=0,0,INDEX(tblContractForDeed[Payment],ROW()-ROW(tblBuyerOutputs[#Headers]))-INDEX(tblSubjectToLoan[Payment],ROW()-ROW(tblBuyerOutputs[#Headers])))</f>
        <v>1777.45</v>
      </c>
      <c r="AA74"/>
      <c r="AB74" s="14">
        <f>IF(INDEX(tblContractForDeed[Payment],ROW()-ROW(tblBuyerOutputs[#Headers]))=0,0,INDEX(tblContractForDeed[Payment],ROW()-ROW(tblBuyerOutputs[#Headers]))-INDEX(tblSubjectToLoan[Payment],ROW()-ROW(tblBuyerOutputs[#Headers])))-IFERROR(tblBuyerOutputs[[#This Row],[PMI]],0)</f>
        <v>1777.45</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75949.78999999995</v>
      </c>
      <c r="AD74" s="265">
        <f>IF(INDEX(tblContractForDeed[End Bal],ROW()-ROW(tblBuyerOutputs[#Headers]))&lt;=0,0,($O$6+IF(ROW()=ROW(tblBuyerOutputs[#Headers])+1,0,INDEX(tblBuyerOutputs[Cumul Appr],ROW()-ROW(tblBuyerOutputs[#Headers])-1)))*$O$2/12)</f>
        <v>764.08140315674973</v>
      </c>
      <c r="AE74" s="587">
        <f>IF(INDEX(tblContractForDeed[End Bal],ROW()-ROW(tblBuyerOutputs[#Headers]))&lt;=0,0,IF(ROW()=ROW(tblBuyerOutputs[#Headers])+1,0,INDEX(tblBuyerOutputs[Cumul Appr],ROW()-ROW(tblBuyerOutputs[#Headers])-1))+tblBuyerOutputs[[#This Row],[Monthly Appr]])</f>
        <v>37643.618160776692</v>
      </c>
      <c r="AF74" s="22"/>
      <c r="AG74" s="14"/>
      <c r="AM74"/>
      <c r="AN74" s="14"/>
      <c r="AP74" s="265"/>
      <c r="AR74" s="14"/>
      <c r="AS74"/>
    </row>
    <row r="75" spans="1:45" x14ac:dyDescent="0.25">
      <c r="A75" s="561">
        <f t="shared" si="4"/>
        <v>47515</v>
      </c>
      <c r="B75" s="265">
        <f t="shared" si="5"/>
        <v>0</v>
      </c>
      <c r="C75" s="14">
        <f t="shared" si="1"/>
        <v>0</v>
      </c>
      <c r="D75" s="14">
        <f t="shared" si="6"/>
        <v>0</v>
      </c>
      <c r="E75" s="14">
        <f t="shared" si="2"/>
        <v>0</v>
      </c>
      <c r="F75" s="14">
        <f t="shared" si="11"/>
        <v>0</v>
      </c>
      <c r="G75" s="14">
        <f t="shared" si="11"/>
        <v>0</v>
      </c>
      <c r="H75" s="14">
        <f t="shared" si="12"/>
        <v>0</v>
      </c>
      <c r="I75" s="265">
        <f t="shared" si="9"/>
        <v>0</v>
      </c>
      <c r="J75" s="265">
        <f t="shared" si="10"/>
        <v>0</v>
      </c>
      <c r="K75" s="265">
        <f t="shared" si="7"/>
        <v>0</v>
      </c>
      <c r="L75" s="373">
        <f t="shared" si="3"/>
        <v>4</v>
      </c>
      <c r="M75" s="373">
        <f t="shared" si="8"/>
        <v>55</v>
      </c>
      <c r="N75" s="561">
        <f>INDEX(tblSubjectToLoan[Date],ROW()-ROW(tblContractForDeed[#Headers]))</f>
        <v>47515</v>
      </c>
      <c r="O75" s="265">
        <f>IF(ROW()=ROW(tblContractForDeed[#Headers])+1,$O$6,IF(INDEX(tblContractForDeed[End Bal],ROW()-ROW(tblContractForDeed[#Headers])-1)&lt;0,0,INDEX(tblContractForDeed[End Bal],ROW()-ROW(tblContractForDeed[#Headers])-1)))</f>
        <v>106775.51000000005</v>
      </c>
      <c r="P75" s="431">
        <f>IF(tblContractForDeed[[#This Row],[Date]]="","",IF(tblContractForDeed[[#This Row],[Date]]&lt;cfdRateChangeDate,cfdRate1,cfdRate2))</f>
        <v>0.08</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5" s="265">
        <f>IF(tblContractForDeed[[#This Row],[Payment]]=0,0,MAX(0,MIN(tblContractForDeed[[#This Row],[Beg]],tblContractForDeed[[#This Row],[Payment]]-tblContractForDeed[[#This Row],[Int]])))</f>
        <v>1065.6100000000001</v>
      </c>
      <c r="S75" s="265">
        <f>IF(OR(tblContractForDeed[[#This Row],[Date]]&lt;cfdContractDate,tblContractForDeed[[#This Row],[Date]]&gt;cfdEndDate),0,ROUND(tblContractForDeed[[#This Row],[Beg]]*(tblContractForDeed[[#This Row],[Int Rate]]/12),2))</f>
        <v>711.84</v>
      </c>
      <c r="T75" s="265">
        <f>IF(tblContractForDeed[[#This Row],[Payment]]=0,0,$V$2)</f>
        <v>134.16999999999999</v>
      </c>
      <c r="U75" s="265">
        <f>IF(tblContractForDeed[[#This Row],[Princ]]=0,0,$V$3)</f>
        <v>0</v>
      </c>
      <c r="V75" s="265">
        <f>SUM(tblContractForDeed[[#This Row],[Princ]],tblContractForDeed[[#This Row],[Int]],tblContractForDeed[[#This Row],[Ins]],tblContractForDeed[[#This Row],[Taxes]])</f>
        <v>1911.6200000000003</v>
      </c>
      <c r="W75" s="265">
        <f>SUM(INDEX(tblContractForDeed[Princ],1):INDEX(tblContractForDeed[Princ],ROW()-ROW(tblContractForDeed[#Headers])))</f>
        <v>40790.100000000006</v>
      </c>
      <c r="X75" s="265">
        <f>IF(tblContractForDeed[[#This Row],[Beg]]&lt;=0,0,tblContractForDeed[[#This Row],[Beg]]-tblContractForDeed[[#This Row],[Princ]])</f>
        <v>105709.90000000005</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39">
        <f>IF(INDEX(tblContractForDeed[Payment],ROW()-ROW(tblBuyerOutputs[#Headers]))=0,0,INDEX(tblContractForDeed[Payment],ROW()-ROW(tblBuyerOutputs[#Headers]))-INDEX(tblSubjectToLoan[Payment],ROW()-ROW(tblBuyerOutputs[#Headers])))</f>
        <v>1777.45</v>
      </c>
      <c r="AA75"/>
      <c r="AB75" s="14">
        <f>IF(INDEX(tblContractForDeed[Payment],ROW()-ROW(tblBuyerOutputs[#Headers]))=0,0,INDEX(tblContractForDeed[Payment],ROW()-ROW(tblBuyerOutputs[#Headers]))-INDEX(tblSubjectToLoan[Payment],ROW()-ROW(tblBuyerOutputs[#Headers])))-IFERROR(tblBuyerOutputs[[#This Row],[PMI]],0)</f>
        <v>1777.45</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77727.239999999947</v>
      </c>
      <c r="AD75" s="265">
        <f>IF(INDEX(tblContractForDeed[End Bal],ROW()-ROW(tblBuyerOutputs[#Headers]))&lt;=0,0,($O$6+IF(ROW()=ROW(tblBuyerOutputs[#Headers])+1,0,INDEX(tblBuyerOutputs[Cumul Appr],ROW()-ROW(tblBuyerOutputs[#Headers])-1)))*$O$2/12)</f>
        <v>767.26507566990279</v>
      </c>
      <c r="AE75" s="587">
        <f>IF(INDEX(tblContractForDeed[End Bal],ROW()-ROW(tblBuyerOutputs[#Headers]))&lt;=0,0,IF(ROW()=ROW(tblBuyerOutputs[#Headers])+1,0,INDEX(tblBuyerOutputs[Cumul Appr],ROW()-ROW(tblBuyerOutputs[#Headers])-1))+tblBuyerOutputs[[#This Row],[Monthly Appr]])</f>
        <v>38410.883236446592</v>
      </c>
      <c r="AF75" s="22"/>
      <c r="AG75" s="14"/>
      <c r="AM75"/>
      <c r="AN75" s="14"/>
      <c r="AP75" s="265"/>
      <c r="AR75" s="14"/>
      <c r="AS75"/>
    </row>
    <row r="76" spans="1:45" x14ac:dyDescent="0.25">
      <c r="A76" s="561">
        <f t="shared" si="4"/>
        <v>47543</v>
      </c>
      <c r="B76" s="265">
        <f t="shared" si="5"/>
        <v>0</v>
      </c>
      <c r="C76" s="14">
        <f t="shared" si="1"/>
        <v>0</v>
      </c>
      <c r="D76" s="14">
        <f t="shared" si="6"/>
        <v>0</v>
      </c>
      <c r="E76" s="14">
        <f t="shared" si="2"/>
        <v>0</v>
      </c>
      <c r="F76" s="14">
        <f t="shared" si="11"/>
        <v>0</v>
      </c>
      <c r="G76" s="14">
        <f t="shared" si="11"/>
        <v>0</v>
      </c>
      <c r="H76" s="14">
        <f t="shared" si="12"/>
        <v>0</v>
      </c>
      <c r="I76" s="265">
        <f t="shared" si="9"/>
        <v>0</v>
      </c>
      <c r="J76" s="265">
        <f t="shared" si="10"/>
        <v>0</v>
      </c>
      <c r="K76" s="265">
        <f t="shared" si="7"/>
        <v>0</v>
      </c>
      <c r="L76" s="373">
        <f t="shared" si="3"/>
        <v>4</v>
      </c>
      <c r="M76" s="373">
        <f t="shared" si="8"/>
        <v>56</v>
      </c>
      <c r="N76" s="561">
        <f>INDEX(tblSubjectToLoan[Date],ROW()-ROW(tblContractForDeed[#Headers]))</f>
        <v>47543</v>
      </c>
      <c r="O76" s="265">
        <f>IF(ROW()=ROW(tblContractForDeed[#Headers])+1,$O$6,IF(INDEX(tblContractForDeed[End Bal],ROW()-ROW(tblContractForDeed[#Headers])-1)&lt;0,0,INDEX(tblContractForDeed[End Bal],ROW()-ROW(tblContractForDeed[#Headers])-1)))</f>
        <v>105709.90000000005</v>
      </c>
      <c r="P76" s="431">
        <f>IF(tblContractForDeed[[#This Row],[Date]]="","",IF(tblContractForDeed[[#This Row],[Date]]&lt;cfdRateChangeDate,cfdRate1,cfdRate2))</f>
        <v>0.08</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6" s="265">
        <f>IF(tblContractForDeed[[#This Row],[Payment]]=0,0,MAX(0,MIN(tblContractForDeed[[#This Row],[Beg]],tblContractForDeed[[#This Row],[Payment]]-tblContractForDeed[[#This Row],[Int]])))</f>
        <v>1072.72</v>
      </c>
      <c r="S76" s="265">
        <f>IF(OR(tblContractForDeed[[#This Row],[Date]]&lt;cfdContractDate,tblContractForDeed[[#This Row],[Date]]&gt;cfdEndDate),0,ROUND(tblContractForDeed[[#This Row],[Beg]]*(tblContractForDeed[[#This Row],[Int Rate]]/12),2))</f>
        <v>704.73</v>
      </c>
      <c r="T76" s="265">
        <f>IF(tblContractForDeed[[#This Row],[Payment]]=0,0,$V$2)</f>
        <v>134.16999999999999</v>
      </c>
      <c r="U76" s="265">
        <f>IF(tblContractForDeed[[#This Row],[Princ]]=0,0,$V$3)</f>
        <v>0</v>
      </c>
      <c r="V76" s="265">
        <f>SUM(tblContractForDeed[[#This Row],[Princ]],tblContractForDeed[[#This Row],[Int]],tblContractForDeed[[#This Row],[Ins]],tblContractForDeed[[#This Row],[Taxes]])</f>
        <v>1911.6200000000001</v>
      </c>
      <c r="W76" s="265">
        <f>SUM(INDEX(tblContractForDeed[Princ],1):INDEX(tblContractForDeed[Princ],ROW()-ROW(tblContractForDeed[#Headers])))</f>
        <v>41862.820000000007</v>
      </c>
      <c r="X76" s="265">
        <f>IF(tblContractForDeed[[#This Row],[Beg]]&lt;=0,0,tblContractForDeed[[#This Row],[Beg]]-tblContractForDeed[[#This Row],[Princ]])</f>
        <v>104637.18000000005</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39">
        <f>IF(INDEX(tblContractForDeed[Payment],ROW()-ROW(tblBuyerOutputs[#Headers]))=0,0,INDEX(tblContractForDeed[Payment],ROW()-ROW(tblBuyerOutputs[#Headers]))-INDEX(tblSubjectToLoan[Payment],ROW()-ROW(tblBuyerOutputs[#Headers])))</f>
        <v>1777.45</v>
      </c>
      <c r="AA76"/>
      <c r="AB76" s="14">
        <f>IF(INDEX(tblContractForDeed[Payment],ROW()-ROW(tblBuyerOutputs[#Headers]))=0,0,INDEX(tblContractForDeed[Payment],ROW()-ROW(tblBuyerOutputs[#Headers]))-INDEX(tblSubjectToLoan[Payment],ROW()-ROW(tblBuyerOutputs[#Headers])))-IFERROR(tblBuyerOutputs[[#This Row],[PMI]],0)</f>
        <v>1777.45</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79504.689999999944</v>
      </c>
      <c r="AD76" s="265">
        <f>IF(INDEX(tblContractForDeed[End Bal],ROW()-ROW(tblBuyerOutputs[#Headers]))&lt;=0,0,($O$6+IF(ROW()=ROW(tblBuyerOutputs[#Headers])+1,0,INDEX(tblBuyerOutputs[Cumul Appr],ROW()-ROW(tblBuyerOutputs[#Headers])-1)))*$O$2/12)</f>
        <v>770.46201348519423</v>
      </c>
      <c r="AE76" s="587">
        <f>IF(INDEX(tblContractForDeed[End Bal],ROW()-ROW(tblBuyerOutputs[#Headers]))&lt;=0,0,IF(ROW()=ROW(tblBuyerOutputs[#Headers])+1,0,INDEX(tblBuyerOutputs[Cumul Appr],ROW()-ROW(tblBuyerOutputs[#Headers])-1))+tblBuyerOutputs[[#This Row],[Monthly Appr]])</f>
        <v>39181.345249931786</v>
      </c>
      <c r="AF76" s="22"/>
      <c r="AG76" s="14"/>
      <c r="AM76"/>
      <c r="AN76" s="14"/>
      <c r="AP76" s="265"/>
      <c r="AR76" s="14"/>
      <c r="AS76"/>
    </row>
    <row r="77" spans="1:45" x14ac:dyDescent="0.25">
      <c r="A77" s="561">
        <f t="shared" si="4"/>
        <v>47574</v>
      </c>
      <c r="B77" s="265">
        <f t="shared" si="5"/>
        <v>0</v>
      </c>
      <c r="C77" s="14">
        <f t="shared" si="1"/>
        <v>0</v>
      </c>
      <c r="D77" s="14">
        <f t="shared" si="6"/>
        <v>0</v>
      </c>
      <c r="E77" s="14">
        <f t="shared" si="2"/>
        <v>0</v>
      </c>
      <c r="F77" s="14">
        <f t="shared" si="11"/>
        <v>0</v>
      </c>
      <c r="G77" s="14">
        <f t="shared" si="11"/>
        <v>0</v>
      </c>
      <c r="H77" s="14">
        <f t="shared" si="12"/>
        <v>0</v>
      </c>
      <c r="I77" s="265">
        <f t="shared" si="9"/>
        <v>0</v>
      </c>
      <c r="J77" s="265">
        <f t="shared" si="10"/>
        <v>0</v>
      </c>
      <c r="K77" s="265">
        <f t="shared" si="7"/>
        <v>0</v>
      </c>
      <c r="L77" s="373">
        <f t="shared" si="3"/>
        <v>4</v>
      </c>
      <c r="M77" s="373">
        <f t="shared" si="8"/>
        <v>57</v>
      </c>
      <c r="N77" s="561">
        <f>INDEX(tblSubjectToLoan[Date],ROW()-ROW(tblContractForDeed[#Headers]))</f>
        <v>47574</v>
      </c>
      <c r="O77" s="265">
        <f>IF(ROW()=ROW(tblContractForDeed[#Headers])+1,$O$6,IF(INDEX(tblContractForDeed[End Bal],ROW()-ROW(tblContractForDeed[#Headers])-1)&lt;0,0,INDEX(tblContractForDeed[End Bal],ROW()-ROW(tblContractForDeed[#Headers])-1)))</f>
        <v>104637.18000000005</v>
      </c>
      <c r="P77" s="431">
        <f>IF(tblContractForDeed[[#This Row],[Date]]="","",IF(tblContractForDeed[[#This Row],[Date]]&lt;cfdRateChangeDate,cfdRate1,cfdRate2))</f>
        <v>0.08</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7" s="265">
        <f>IF(tblContractForDeed[[#This Row],[Payment]]=0,0,MAX(0,MIN(tblContractForDeed[[#This Row],[Beg]],tblContractForDeed[[#This Row],[Payment]]-tblContractForDeed[[#This Row],[Int]])))</f>
        <v>1079.8699999999999</v>
      </c>
      <c r="S77" s="265">
        <f>IF(OR(tblContractForDeed[[#This Row],[Date]]&lt;cfdContractDate,tblContractForDeed[[#This Row],[Date]]&gt;cfdEndDate),0,ROUND(tblContractForDeed[[#This Row],[Beg]]*(tblContractForDeed[[#This Row],[Int Rate]]/12),2))</f>
        <v>697.58</v>
      </c>
      <c r="T77" s="265">
        <f>IF(tblContractForDeed[[#This Row],[Payment]]=0,0,$V$2)</f>
        <v>134.16999999999999</v>
      </c>
      <c r="U77" s="265">
        <f>IF(tblContractForDeed[[#This Row],[Princ]]=0,0,$V$3)</f>
        <v>0</v>
      </c>
      <c r="V77" s="265">
        <f>SUM(tblContractForDeed[[#This Row],[Princ]],tblContractForDeed[[#This Row],[Int]],tblContractForDeed[[#This Row],[Ins]],tblContractForDeed[[#This Row],[Taxes]])</f>
        <v>1911.62</v>
      </c>
      <c r="W77" s="265">
        <f>SUM(INDEX(tblContractForDeed[Princ],1):INDEX(tblContractForDeed[Princ],ROW()-ROW(tblContractForDeed[#Headers])))</f>
        <v>42942.69000000001</v>
      </c>
      <c r="X77" s="265">
        <f>IF(tblContractForDeed[[#This Row],[Beg]]&lt;=0,0,tblContractForDeed[[#This Row],[Beg]]-tblContractForDeed[[#This Row],[Princ]])</f>
        <v>103557.31000000006</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39">
        <f>IF(INDEX(tblContractForDeed[Payment],ROW()-ROW(tblBuyerOutputs[#Headers]))=0,0,INDEX(tblContractForDeed[Payment],ROW()-ROW(tblBuyerOutputs[#Headers]))-INDEX(tblSubjectToLoan[Payment],ROW()-ROW(tblBuyerOutputs[#Headers])))</f>
        <v>1777.45</v>
      </c>
      <c r="AA77"/>
      <c r="AB77" s="14">
        <f>IF(INDEX(tblContractForDeed[Payment],ROW()-ROW(tblBuyerOutputs[#Headers]))=0,0,INDEX(tblContractForDeed[Payment],ROW()-ROW(tblBuyerOutputs[#Headers]))-INDEX(tblSubjectToLoan[Payment],ROW()-ROW(tblBuyerOutputs[#Headers])))-IFERROR(tblBuyerOutputs[[#This Row],[PMI]],0)</f>
        <v>1777.45</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81282.139999999941</v>
      </c>
      <c r="AD77" s="265">
        <f>IF(INDEX(tblContractForDeed[End Bal],ROW()-ROW(tblBuyerOutputs[#Headers]))&lt;=0,0,($O$6+IF(ROW()=ROW(tblBuyerOutputs[#Headers])+1,0,INDEX(tblBuyerOutputs[Cumul Appr],ROW()-ROW(tblBuyerOutputs[#Headers])-1)))*$O$2/12)</f>
        <v>773.67227187471588</v>
      </c>
      <c r="AE77" s="587">
        <f>IF(INDEX(tblContractForDeed[End Bal],ROW()-ROW(tblBuyerOutputs[#Headers]))&lt;=0,0,IF(ROW()=ROW(tblBuyerOutputs[#Headers])+1,0,INDEX(tblBuyerOutputs[Cumul Appr],ROW()-ROW(tblBuyerOutputs[#Headers])-1))+tblBuyerOutputs[[#This Row],[Monthly Appr]])</f>
        <v>39955.017521806505</v>
      </c>
      <c r="AF77" s="22"/>
      <c r="AG77" s="14"/>
      <c r="AM77"/>
      <c r="AN77" s="14"/>
      <c r="AP77" s="265"/>
      <c r="AR77" s="14"/>
      <c r="AS77"/>
    </row>
    <row r="78" spans="1:45" x14ac:dyDescent="0.25">
      <c r="A78" s="561">
        <f t="shared" si="4"/>
        <v>47604</v>
      </c>
      <c r="B78" s="265">
        <f t="shared" si="5"/>
        <v>0</v>
      </c>
      <c r="C78" s="14">
        <f t="shared" si="1"/>
        <v>0</v>
      </c>
      <c r="D78" s="14">
        <f t="shared" si="6"/>
        <v>0</v>
      </c>
      <c r="E78" s="14">
        <f t="shared" si="2"/>
        <v>0</v>
      </c>
      <c r="F78" s="14">
        <f t="shared" si="11"/>
        <v>0</v>
      </c>
      <c r="G78" s="14">
        <f t="shared" si="11"/>
        <v>0</v>
      </c>
      <c r="H78" s="14">
        <f t="shared" si="12"/>
        <v>0</v>
      </c>
      <c r="I78" s="265">
        <f t="shared" si="9"/>
        <v>0</v>
      </c>
      <c r="J78" s="265">
        <f t="shared" si="10"/>
        <v>0</v>
      </c>
      <c r="K78" s="265">
        <f t="shared" si="7"/>
        <v>0</v>
      </c>
      <c r="L78" s="373">
        <f t="shared" si="3"/>
        <v>4</v>
      </c>
      <c r="M78" s="373">
        <f t="shared" si="8"/>
        <v>58</v>
      </c>
      <c r="N78" s="561">
        <f>INDEX(tblSubjectToLoan[Date],ROW()-ROW(tblContractForDeed[#Headers]))</f>
        <v>47604</v>
      </c>
      <c r="O78" s="265">
        <f>IF(ROW()=ROW(tblContractForDeed[#Headers])+1,$O$6,IF(INDEX(tblContractForDeed[End Bal],ROW()-ROW(tblContractForDeed[#Headers])-1)&lt;0,0,INDEX(tblContractForDeed[End Bal],ROW()-ROW(tblContractForDeed[#Headers])-1)))</f>
        <v>103557.31000000006</v>
      </c>
      <c r="P78" s="431">
        <f>IF(tblContractForDeed[[#This Row],[Date]]="","",IF(tblContractForDeed[[#This Row],[Date]]&lt;cfdRateChangeDate,cfdRate1,cfdRate2))</f>
        <v>0.08</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8" s="265">
        <f>IF(tblContractForDeed[[#This Row],[Payment]]=0,0,MAX(0,MIN(tblContractForDeed[[#This Row],[Beg]],tblContractForDeed[[#This Row],[Payment]]-tblContractForDeed[[#This Row],[Int]])))</f>
        <v>1087.0700000000002</v>
      </c>
      <c r="S78" s="265">
        <f>IF(OR(tblContractForDeed[[#This Row],[Date]]&lt;cfdContractDate,tblContractForDeed[[#This Row],[Date]]&gt;cfdEndDate),0,ROUND(tblContractForDeed[[#This Row],[Beg]]*(tblContractForDeed[[#This Row],[Int Rate]]/12),2))</f>
        <v>690.38</v>
      </c>
      <c r="T78" s="265">
        <f>IF(tblContractForDeed[[#This Row],[Payment]]=0,0,$V$2)</f>
        <v>134.16999999999999</v>
      </c>
      <c r="U78" s="265">
        <f>IF(tblContractForDeed[[#This Row],[Princ]]=0,0,$V$3)</f>
        <v>0</v>
      </c>
      <c r="V78" s="265">
        <f>SUM(tblContractForDeed[[#This Row],[Princ]],tblContractForDeed[[#This Row],[Int]],tblContractForDeed[[#This Row],[Ins]],tblContractForDeed[[#This Row],[Taxes]])</f>
        <v>1911.6200000000003</v>
      </c>
      <c r="W78" s="265">
        <f>SUM(INDEX(tblContractForDeed[Princ],1):INDEX(tblContractForDeed[Princ],ROW()-ROW(tblContractForDeed[#Headers])))</f>
        <v>44029.760000000009</v>
      </c>
      <c r="X78" s="265">
        <f>IF(tblContractForDeed[[#This Row],[Beg]]&lt;=0,0,tblContractForDeed[[#This Row],[Beg]]-tblContractForDeed[[#This Row],[Princ]])</f>
        <v>102470.24000000005</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39">
        <f>IF(INDEX(tblContractForDeed[Payment],ROW()-ROW(tblBuyerOutputs[#Headers]))=0,0,INDEX(tblContractForDeed[Payment],ROW()-ROW(tblBuyerOutputs[#Headers]))-INDEX(tblSubjectToLoan[Payment],ROW()-ROW(tblBuyerOutputs[#Headers])))</f>
        <v>1777.45</v>
      </c>
      <c r="AA78"/>
      <c r="AB78" s="14">
        <f>IF(INDEX(tblContractForDeed[Payment],ROW()-ROW(tblBuyerOutputs[#Headers]))=0,0,INDEX(tblContractForDeed[Payment],ROW()-ROW(tblBuyerOutputs[#Headers]))-INDEX(tblSubjectToLoan[Payment],ROW()-ROW(tblBuyerOutputs[#Headers])))-IFERROR(tblBuyerOutputs[[#This Row],[PMI]],0)</f>
        <v>1777.45</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83059.589999999938</v>
      </c>
      <c r="AD78" s="265">
        <f>IF(INDEX(tblContractForDeed[End Bal],ROW()-ROW(tblBuyerOutputs[#Headers]))&lt;=0,0,($O$6+IF(ROW()=ROW(tblBuyerOutputs[#Headers])+1,0,INDEX(tblBuyerOutputs[Cumul Appr],ROW()-ROW(tblBuyerOutputs[#Headers])-1)))*$O$2/12)</f>
        <v>776.89590634086051</v>
      </c>
      <c r="AE78" s="587">
        <f>IF(INDEX(tblContractForDeed[End Bal],ROW()-ROW(tblBuyerOutputs[#Headers]))&lt;=0,0,IF(ROW()=ROW(tblBuyerOutputs[#Headers])+1,0,INDEX(tblBuyerOutputs[Cumul Appr],ROW()-ROW(tblBuyerOutputs[#Headers])-1))+tblBuyerOutputs[[#This Row],[Monthly Appr]])</f>
        <v>40731.913428147367</v>
      </c>
      <c r="AF78" s="22"/>
      <c r="AG78" s="14"/>
      <c r="AM78"/>
      <c r="AN78" s="14"/>
      <c r="AP78" s="265"/>
      <c r="AR78" s="14"/>
      <c r="AS78"/>
    </row>
    <row r="79" spans="1:45" ht="15.75" thickBot="1" x14ac:dyDescent="0.3">
      <c r="A79" s="562">
        <f t="shared" si="4"/>
        <v>47635</v>
      </c>
      <c r="B79" s="316">
        <f t="shared" si="5"/>
        <v>0</v>
      </c>
      <c r="C79" s="21">
        <f t="shared" si="1"/>
        <v>0</v>
      </c>
      <c r="D79" s="21">
        <f t="shared" si="6"/>
        <v>0</v>
      </c>
      <c r="E79" s="21">
        <f t="shared" si="2"/>
        <v>0</v>
      </c>
      <c r="F79" s="21">
        <f t="shared" ref="F79:G94" si="13">+F78</f>
        <v>0</v>
      </c>
      <c r="G79" s="21">
        <f t="shared" si="13"/>
        <v>0</v>
      </c>
      <c r="H79" s="21">
        <f t="shared" si="12"/>
        <v>0</v>
      </c>
      <c r="I79" s="316">
        <f t="shared" si="9"/>
        <v>0</v>
      </c>
      <c r="J79" s="316">
        <f t="shared" si="10"/>
        <v>0</v>
      </c>
      <c r="K79" s="316">
        <f t="shared" si="7"/>
        <v>0</v>
      </c>
      <c r="L79" s="374">
        <f t="shared" si="3"/>
        <v>4</v>
      </c>
      <c r="M79" s="374">
        <f t="shared" si="8"/>
        <v>59</v>
      </c>
      <c r="N79" s="562">
        <f>INDEX(tblSubjectToLoan[Date],ROW()-ROW(tblContractForDeed[#Headers]))</f>
        <v>47635</v>
      </c>
      <c r="O79" s="316">
        <f>IF(ROW()=ROW(tblContractForDeed[#Headers])+1,$O$6,IF(INDEX(tblContractForDeed[End Bal],ROW()-ROW(tblContractForDeed[#Headers])-1)&lt;0,0,INDEX(tblContractForDeed[End Bal],ROW()-ROW(tblContractForDeed[#Headers])-1)))</f>
        <v>102470.24000000005</v>
      </c>
      <c r="P79" s="585">
        <f>IF(tblContractForDeed[[#This Row],[Date]]="","",IF(tblContractForDeed[[#This Row],[Date]]&lt;cfdRateChangeDate,cfdRate1,cfdRate2))</f>
        <v>0.08</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9" s="316">
        <f>IF(tblContractForDeed[[#This Row],[Payment]]=0,0,MAX(0,MIN(tblContractForDeed[[#This Row],[Beg]],tblContractForDeed[[#This Row],[Payment]]-tblContractForDeed[[#This Row],[Int]])))</f>
        <v>1094.3200000000002</v>
      </c>
      <c r="S79" s="316">
        <f>IF(OR(tblContractForDeed[[#This Row],[Date]]&lt;cfdContractDate,tblContractForDeed[[#This Row],[Date]]&gt;cfdEndDate),0,ROUND(tblContractForDeed[[#This Row],[Beg]]*(tblContractForDeed[[#This Row],[Int Rate]]/12),2))</f>
        <v>683.13</v>
      </c>
      <c r="T79" s="316">
        <f>IF(tblContractForDeed[[#This Row],[Payment]]=0,0,$V$2)</f>
        <v>134.16999999999999</v>
      </c>
      <c r="U79" s="316">
        <f>IF(tblContractForDeed[[#This Row],[Princ]]=0,0,$V$3)</f>
        <v>0</v>
      </c>
      <c r="V79" s="316">
        <f>SUM(tblContractForDeed[[#This Row],[Princ]],tblContractForDeed[[#This Row],[Int]],tblContractForDeed[[#This Row],[Ins]],tblContractForDeed[[#This Row],[Taxes]])</f>
        <v>1911.6200000000003</v>
      </c>
      <c r="W79" s="316">
        <f>SUM(INDEX(tblContractForDeed[Princ],1):INDEX(tblContractForDeed[Princ],ROW()-ROW(tblContractForDeed[#Headers])))</f>
        <v>45124.080000000009</v>
      </c>
      <c r="X79" s="316">
        <f>IF(tblContractForDeed[[#This Row],[Beg]]&lt;=0,0,tblContractForDeed[[#This Row],[Beg]]-tblContractForDeed[[#This Row],[Princ]])</f>
        <v>101375.92000000004</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0">
        <f>IF(INDEX(tblContractForDeed[Payment],ROW()-ROW(tblBuyerOutputs[#Headers]))=0,0,INDEX(tblContractForDeed[Payment],ROW()-ROW(tblBuyerOutputs[#Headers]))-INDEX(tblSubjectToLoan[Payment],ROW()-ROW(tblBuyerOutputs[#Headers])))</f>
        <v>1777.45</v>
      </c>
      <c r="AA79" s="23"/>
      <c r="AB79" s="21">
        <f>IF(INDEX(tblContractForDeed[Payment],ROW()-ROW(tblBuyerOutputs[#Headers]))=0,0,INDEX(tblContractForDeed[Payment],ROW()-ROW(tblBuyerOutputs[#Headers]))-INDEX(tblSubjectToLoan[Payment],ROW()-ROW(tblBuyerOutputs[#Headers])))-IFERROR(tblBuyerOutputs[[#This Row],[PMI]],0)</f>
        <v>1777.45</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84837.039999999935</v>
      </c>
      <c r="AD79" s="316">
        <f>IF(INDEX(tblContractForDeed[End Bal],ROW()-ROW(tblBuyerOutputs[#Headers]))&lt;=0,0,($O$6+IF(ROW()=ROW(tblBuyerOutputs[#Headers])+1,0,INDEX(tblBuyerOutputs[Cumul Appr],ROW()-ROW(tblBuyerOutputs[#Headers])-1)))*$O$2/12)</f>
        <v>780.13297261728076</v>
      </c>
      <c r="AE79" s="588">
        <f>IF(INDEX(tblContractForDeed[End Bal],ROW()-ROW(tblBuyerOutputs[#Headers]))&lt;=0,0,IF(ROW()=ROW(tblBuyerOutputs[#Headers])+1,0,INDEX(tblBuyerOutputs[Cumul Appr],ROW()-ROW(tblBuyerOutputs[#Headers])-1))+tblBuyerOutputs[[#This Row],[Monthly Appr]])</f>
        <v>41512.046400764651</v>
      </c>
      <c r="AF79" s="22"/>
      <c r="AG79" s="14"/>
      <c r="AM79"/>
      <c r="AN79" s="14"/>
      <c r="AP79" s="265"/>
      <c r="AR79" s="14"/>
      <c r="AS79"/>
    </row>
    <row r="80" spans="1:45" x14ac:dyDescent="0.25">
      <c r="A80" s="561">
        <f t="shared" si="4"/>
        <v>47665</v>
      </c>
      <c r="B80" s="265">
        <f t="shared" si="5"/>
        <v>0</v>
      </c>
      <c r="C80" s="14">
        <f t="shared" si="1"/>
        <v>0</v>
      </c>
      <c r="D80" s="14">
        <f t="shared" si="6"/>
        <v>0</v>
      </c>
      <c r="E80" s="14">
        <f t="shared" si="2"/>
        <v>0</v>
      </c>
      <c r="F80" s="14">
        <f t="shared" si="13"/>
        <v>0</v>
      </c>
      <c r="G80" s="14">
        <f t="shared" si="13"/>
        <v>0</v>
      </c>
      <c r="H80" s="14">
        <f t="shared" si="12"/>
        <v>0</v>
      </c>
      <c r="I80" s="265">
        <f t="shared" si="9"/>
        <v>0</v>
      </c>
      <c r="J80" s="265">
        <f t="shared" si="10"/>
        <v>0</v>
      </c>
      <c r="K80" s="265">
        <f t="shared" si="7"/>
        <v>0</v>
      </c>
      <c r="L80" s="373">
        <f t="shared" si="3"/>
        <v>5</v>
      </c>
      <c r="M80" s="373">
        <f t="shared" si="8"/>
        <v>60</v>
      </c>
      <c r="N80" s="561">
        <f>INDEX(tblSubjectToLoan[Date],ROW()-ROW(tblContractForDeed[#Headers]))</f>
        <v>47665</v>
      </c>
      <c r="O80" s="265">
        <f>IF(ROW()=ROW(tblContractForDeed[#Headers])+1,$O$6,IF(INDEX(tblContractForDeed[End Bal],ROW()-ROW(tblContractForDeed[#Headers])-1)&lt;0,0,INDEX(tblContractForDeed[End Bal],ROW()-ROW(tblContractForDeed[#Headers])-1)))</f>
        <v>101375.92000000004</v>
      </c>
      <c r="P80" s="431">
        <f>IF(tblContractForDeed[[#This Row],[Date]]="","",IF(tblContractForDeed[[#This Row],[Date]]&lt;cfdRateChangeDate,cfdRate1,cfdRate2))</f>
        <v>0.08</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0" s="265">
        <f>IF(tblContractForDeed[[#This Row],[Payment]]=0,0,MAX(0,MIN(tblContractForDeed[[#This Row],[Beg]],tblContractForDeed[[#This Row],[Payment]]-tblContractForDeed[[#This Row],[Int]])))</f>
        <v>1101.6100000000001</v>
      </c>
      <c r="S80" s="265">
        <f>IF(OR(tblContractForDeed[[#This Row],[Date]]&lt;cfdContractDate,tblContractForDeed[[#This Row],[Date]]&gt;cfdEndDate),0,ROUND(tblContractForDeed[[#This Row],[Beg]]*(tblContractForDeed[[#This Row],[Int Rate]]/12),2))</f>
        <v>675.84</v>
      </c>
      <c r="T80" s="265">
        <f>IF(tblContractForDeed[[#This Row],[Payment]]=0,0,$V$2)</f>
        <v>134.16999999999999</v>
      </c>
      <c r="U80" s="265">
        <f>IF(tblContractForDeed[[#This Row],[Princ]]=0,0,$V$3)</f>
        <v>0</v>
      </c>
      <c r="V80" s="265">
        <f>SUM(tblContractForDeed[[#This Row],[Princ]],tblContractForDeed[[#This Row],[Int]],tblContractForDeed[[#This Row],[Ins]],tblContractForDeed[[#This Row],[Taxes]])</f>
        <v>1911.6200000000003</v>
      </c>
      <c r="W80" s="265">
        <f>SUM(INDEX(tblContractForDeed[Princ],1):INDEX(tblContractForDeed[Princ],ROW()-ROW(tblContractForDeed[#Headers])))</f>
        <v>46225.69000000001</v>
      </c>
      <c r="X80" s="265">
        <f>IF(tblContractForDeed[[#This Row],[Beg]]&lt;=0,0,tblContractForDeed[[#This Row],[Beg]]-tblContractForDeed[[#This Row],[Princ]])</f>
        <v>100274.31000000004</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39">
        <f>IF(INDEX(tblContractForDeed[Payment],ROW()-ROW(tblBuyerOutputs[#Headers]))=0,0,INDEX(tblContractForDeed[Payment],ROW()-ROW(tblBuyerOutputs[#Headers]))-INDEX(tblSubjectToLoan[Payment],ROW()-ROW(tblBuyerOutputs[#Headers])))</f>
        <v>1777.45</v>
      </c>
      <c r="AA80"/>
      <c r="AB80" s="14">
        <f>IF(INDEX(tblContractForDeed[Payment],ROW()-ROW(tblBuyerOutputs[#Headers]))=0,0,INDEX(tblContractForDeed[Payment],ROW()-ROW(tblBuyerOutputs[#Headers]))-INDEX(tblSubjectToLoan[Payment],ROW()-ROW(tblBuyerOutputs[#Headers])))-IFERROR(tblBuyerOutputs[[#This Row],[PMI]],0)</f>
        <v>1777.45</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86614.489999999932</v>
      </c>
      <c r="AD80" s="265">
        <f>IF(INDEX(tblContractForDeed[End Bal],ROW()-ROW(tblBuyerOutputs[#Headers]))&lt;=0,0,($O$6+IF(ROW()=ROW(tblBuyerOutputs[#Headers])+1,0,INDEX(tblBuyerOutputs[Cumul Appr],ROW()-ROW(tblBuyerOutputs[#Headers])-1)))*$O$2/12)</f>
        <v>783.38352666985281</v>
      </c>
      <c r="AE80" s="587">
        <f>IF(INDEX(tblContractForDeed[End Bal],ROW()-ROW(tblBuyerOutputs[#Headers]))&lt;=0,0,IF(ROW()=ROW(tblBuyerOutputs[#Headers])+1,0,INDEX(tblBuyerOutputs[Cumul Appr],ROW()-ROW(tblBuyerOutputs[#Headers])-1))+tblBuyerOutputs[[#This Row],[Monthly Appr]])</f>
        <v>42295.429927434503</v>
      </c>
      <c r="AF80" s="22"/>
      <c r="AG80" s="14"/>
      <c r="AM80"/>
      <c r="AN80" s="14"/>
      <c r="AP80" s="265"/>
      <c r="AR80" s="14"/>
      <c r="AS80"/>
    </row>
    <row r="81" spans="1:45" x14ac:dyDescent="0.25">
      <c r="A81" s="561">
        <f t="shared" si="4"/>
        <v>47696</v>
      </c>
      <c r="B81" s="265">
        <f t="shared" si="5"/>
        <v>0</v>
      </c>
      <c r="C81" s="14">
        <f t="shared" si="1"/>
        <v>0</v>
      </c>
      <c r="D81" s="14">
        <f t="shared" si="6"/>
        <v>0</v>
      </c>
      <c r="E81" s="14">
        <f t="shared" si="2"/>
        <v>0</v>
      </c>
      <c r="F81" s="14">
        <f t="shared" si="13"/>
        <v>0</v>
      </c>
      <c r="G81" s="14">
        <f t="shared" si="13"/>
        <v>0</v>
      </c>
      <c r="H81" s="14">
        <f t="shared" si="12"/>
        <v>0</v>
      </c>
      <c r="I81" s="265">
        <f t="shared" si="9"/>
        <v>0</v>
      </c>
      <c r="J81" s="265">
        <f t="shared" si="10"/>
        <v>0</v>
      </c>
      <c r="K81" s="265">
        <f t="shared" si="7"/>
        <v>0</v>
      </c>
      <c r="L81" s="373">
        <f t="shared" si="3"/>
        <v>5</v>
      </c>
      <c r="M81" s="373">
        <f t="shared" si="8"/>
        <v>61</v>
      </c>
      <c r="N81" s="561">
        <f>INDEX(tblSubjectToLoan[Date],ROW()-ROW(tblContractForDeed[#Headers]))</f>
        <v>47696</v>
      </c>
      <c r="O81" s="265">
        <f>IF(ROW()=ROW(tblContractForDeed[#Headers])+1,$O$6,IF(INDEX(tblContractForDeed[End Bal],ROW()-ROW(tblContractForDeed[#Headers])-1)&lt;0,0,INDEX(tblContractForDeed[End Bal],ROW()-ROW(tblContractForDeed[#Headers])-1)))</f>
        <v>100274.31000000004</v>
      </c>
      <c r="P81" s="431">
        <f>IF(tblContractForDeed[[#This Row],[Date]]="","",IF(tblContractForDeed[[#This Row],[Date]]&lt;cfdRateChangeDate,cfdRate1,cfdRate2))</f>
        <v>0.08</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1" s="265">
        <f>IF(tblContractForDeed[[#This Row],[Payment]]=0,0,MAX(0,MIN(tblContractForDeed[[#This Row],[Beg]],tblContractForDeed[[#This Row],[Payment]]-tblContractForDeed[[#This Row],[Int]])))</f>
        <v>1108.95</v>
      </c>
      <c r="S81" s="265">
        <f>IF(OR(tblContractForDeed[[#This Row],[Date]]&lt;cfdContractDate,tblContractForDeed[[#This Row],[Date]]&gt;cfdEndDate),0,ROUND(tblContractForDeed[[#This Row],[Beg]]*(tblContractForDeed[[#This Row],[Int Rate]]/12),2))</f>
        <v>668.5</v>
      </c>
      <c r="T81" s="265">
        <f>IF(tblContractForDeed[[#This Row],[Payment]]=0,0,$V$2)</f>
        <v>134.16999999999999</v>
      </c>
      <c r="U81" s="265">
        <f>IF(tblContractForDeed[[#This Row],[Princ]]=0,0,$V$3)</f>
        <v>0</v>
      </c>
      <c r="V81" s="265">
        <f>SUM(tblContractForDeed[[#This Row],[Princ]],tblContractForDeed[[#This Row],[Int]],tblContractForDeed[[#This Row],[Ins]],tblContractForDeed[[#This Row],[Taxes]])</f>
        <v>1911.6200000000001</v>
      </c>
      <c r="W81" s="265">
        <f>SUM(INDEX(tblContractForDeed[Princ],1):INDEX(tblContractForDeed[Princ],ROW()-ROW(tblContractForDeed[#Headers])))</f>
        <v>47334.640000000007</v>
      </c>
      <c r="X81" s="265">
        <f>IF(tblContractForDeed[[#This Row],[Beg]]&lt;=0,0,tblContractForDeed[[#This Row],[Beg]]-tblContractForDeed[[#This Row],[Princ]])</f>
        <v>99165.360000000044</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39">
        <f>IF(INDEX(tblContractForDeed[Payment],ROW()-ROW(tblBuyerOutputs[#Headers]))=0,0,INDEX(tblContractForDeed[Payment],ROW()-ROW(tblBuyerOutputs[#Headers]))-INDEX(tblSubjectToLoan[Payment],ROW()-ROW(tblBuyerOutputs[#Headers])))</f>
        <v>1777.45</v>
      </c>
      <c r="AA81"/>
      <c r="AB81" s="14">
        <f>IF(INDEX(tblContractForDeed[Payment],ROW()-ROW(tblBuyerOutputs[#Headers]))=0,0,INDEX(tblContractForDeed[Payment],ROW()-ROW(tblBuyerOutputs[#Headers]))-INDEX(tblSubjectToLoan[Payment],ROW()-ROW(tblBuyerOutputs[#Headers])))-IFERROR(tblBuyerOutputs[[#This Row],[PMI]],0)</f>
        <v>1777.45</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88391.93999999993</v>
      </c>
      <c r="AD81" s="265">
        <f>IF(INDEX(tblContractForDeed[End Bal],ROW()-ROW(tblBuyerOutputs[#Headers]))&lt;=0,0,($O$6+IF(ROW()=ROW(tblBuyerOutputs[#Headers])+1,0,INDEX(tblBuyerOutputs[Cumul Appr],ROW()-ROW(tblBuyerOutputs[#Headers])-1)))*$O$2/12)</f>
        <v>786.64762469764389</v>
      </c>
      <c r="AE81" s="587">
        <f>IF(INDEX(tblContractForDeed[End Bal],ROW()-ROW(tblBuyerOutputs[#Headers]))&lt;=0,0,IF(ROW()=ROW(tblBuyerOutputs[#Headers])+1,0,INDEX(tblBuyerOutputs[Cumul Appr],ROW()-ROW(tblBuyerOutputs[#Headers])-1))+tblBuyerOutputs[[#This Row],[Monthly Appr]])</f>
        <v>43082.077552132148</v>
      </c>
      <c r="AF81" s="22"/>
      <c r="AG81" s="14"/>
      <c r="AM81"/>
      <c r="AN81" s="14"/>
      <c r="AP81" s="265"/>
      <c r="AR81" s="14"/>
      <c r="AS81"/>
    </row>
    <row r="82" spans="1:45" x14ac:dyDescent="0.25">
      <c r="A82" s="561">
        <f t="shared" si="4"/>
        <v>47727</v>
      </c>
      <c r="B82" s="265">
        <f t="shared" si="5"/>
        <v>0</v>
      </c>
      <c r="C82" s="14">
        <f t="shared" si="1"/>
        <v>0</v>
      </c>
      <c r="D82" s="14">
        <f t="shared" si="6"/>
        <v>0</v>
      </c>
      <c r="E82" s="14">
        <f t="shared" si="2"/>
        <v>0</v>
      </c>
      <c r="F82" s="14">
        <f t="shared" si="13"/>
        <v>0</v>
      </c>
      <c r="G82" s="14">
        <f t="shared" si="13"/>
        <v>0</v>
      </c>
      <c r="H82" s="14">
        <f t="shared" si="12"/>
        <v>0</v>
      </c>
      <c r="I82" s="265">
        <f t="shared" si="9"/>
        <v>0</v>
      </c>
      <c r="J82" s="265">
        <f t="shared" si="10"/>
        <v>0</v>
      </c>
      <c r="K82" s="265">
        <f t="shared" si="7"/>
        <v>0</v>
      </c>
      <c r="L82" s="373">
        <f t="shared" si="3"/>
        <v>5</v>
      </c>
      <c r="M82" s="373">
        <f t="shared" si="8"/>
        <v>62</v>
      </c>
      <c r="N82" s="561">
        <f>INDEX(tblSubjectToLoan[Date],ROW()-ROW(tblContractForDeed[#Headers]))</f>
        <v>47727</v>
      </c>
      <c r="O82" s="265">
        <f>IF(ROW()=ROW(tblContractForDeed[#Headers])+1,$O$6,IF(INDEX(tblContractForDeed[End Bal],ROW()-ROW(tblContractForDeed[#Headers])-1)&lt;0,0,INDEX(tblContractForDeed[End Bal],ROW()-ROW(tblContractForDeed[#Headers])-1)))</f>
        <v>99165.360000000044</v>
      </c>
      <c r="P82" s="431">
        <f>IF(tblContractForDeed[[#This Row],[Date]]="","",IF(tblContractForDeed[[#This Row],[Date]]&lt;cfdRateChangeDate,cfdRate1,cfdRate2))</f>
        <v>0.08</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2" s="265">
        <f>IF(tblContractForDeed[[#This Row],[Payment]]=0,0,MAX(0,MIN(tblContractForDeed[[#This Row],[Beg]],tblContractForDeed[[#This Row],[Payment]]-tblContractForDeed[[#This Row],[Int]])))</f>
        <v>1116.3499999999999</v>
      </c>
      <c r="S82" s="265">
        <f>IF(OR(tblContractForDeed[[#This Row],[Date]]&lt;cfdContractDate,tblContractForDeed[[#This Row],[Date]]&gt;cfdEndDate),0,ROUND(tblContractForDeed[[#This Row],[Beg]]*(tblContractForDeed[[#This Row],[Int Rate]]/12),2))</f>
        <v>661.1</v>
      </c>
      <c r="T82" s="265">
        <f>IF(tblContractForDeed[[#This Row],[Payment]]=0,0,$V$2)</f>
        <v>134.16999999999999</v>
      </c>
      <c r="U82" s="265">
        <f>IF(tblContractForDeed[[#This Row],[Princ]]=0,0,$V$3)</f>
        <v>0</v>
      </c>
      <c r="V82" s="265">
        <f>SUM(tblContractForDeed[[#This Row],[Princ]],tblContractForDeed[[#This Row],[Int]],tblContractForDeed[[#This Row],[Ins]],tblContractForDeed[[#This Row],[Taxes]])</f>
        <v>1911.62</v>
      </c>
      <c r="W82" s="265">
        <f>SUM(INDEX(tblContractForDeed[Princ],1):INDEX(tblContractForDeed[Princ],ROW()-ROW(tblContractForDeed[#Headers])))</f>
        <v>48450.990000000005</v>
      </c>
      <c r="X82" s="265">
        <f>IF(tblContractForDeed[[#This Row],[Beg]]&lt;=0,0,tblContractForDeed[[#This Row],[Beg]]-tblContractForDeed[[#This Row],[Princ]])</f>
        <v>98049.010000000038</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39">
        <f>IF(INDEX(tblContractForDeed[Payment],ROW()-ROW(tblBuyerOutputs[#Headers]))=0,0,INDEX(tblContractForDeed[Payment],ROW()-ROW(tblBuyerOutputs[#Headers]))-INDEX(tblSubjectToLoan[Payment],ROW()-ROW(tblBuyerOutputs[#Headers])))</f>
        <v>1777.45</v>
      </c>
      <c r="AA82"/>
      <c r="AB82" s="14">
        <f>IF(INDEX(tblContractForDeed[Payment],ROW()-ROW(tblBuyerOutputs[#Headers]))=0,0,INDEX(tblContractForDeed[Payment],ROW()-ROW(tblBuyerOutputs[#Headers]))-INDEX(tblSubjectToLoan[Payment],ROW()-ROW(tblBuyerOutputs[#Headers])))-IFERROR(tblBuyerOutputs[[#This Row],[PMI]],0)</f>
        <v>1777.45</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90169.389999999927</v>
      </c>
      <c r="AD82" s="265">
        <f>IF(INDEX(tblContractForDeed[End Bal],ROW()-ROW(tblBuyerOutputs[#Headers]))&lt;=0,0,($O$6+IF(ROW()=ROW(tblBuyerOutputs[#Headers])+1,0,INDEX(tblBuyerOutputs[Cumul Appr],ROW()-ROW(tblBuyerOutputs[#Headers])-1)))*$O$2/12)</f>
        <v>789.92532313388392</v>
      </c>
      <c r="AE82" s="587">
        <f>IF(INDEX(tblContractForDeed[End Bal],ROW()-ROW(tblBuyerOutputs[#Headers]))&lt;=0,0,IF(ROW()=ROW(tblBuyerOutputs[#Headers])+1,0,INDEX(tblBuyerOutputs[Cumul Appr],ROW()-ROW(tblBuyerOutputs[#Headers])-1))+tblBuyerOutputs[[#This Row],[Monthly Appr]])</f>
        <v>43872.002875266029</v>
      </c>
      <c r="AF82" s="22"/>
      <c r="AG82" s="14"/>
      <c r="AM82"/>
      <c r="AN82" s="14"/>
      <c r="AP82" s="265"/>
      <c r="AR82" s="14"/>
      <c r="AS82"/>
    </row>
    <row r="83" spans="1:45" x14ac:dyDescent="0.25">
      <c r="A83" s="561">
        <f t="shared" si="4"/>
        <v>47757</v>
      </c>
      <c r="B83" s="265">
        <f t="shared" si="5"/>
        <v>0</v>
      </c>
      <c r="C83" s="14">
        <f t="shared" si="1"/>
        <v>0</v>
      </c>
      <c r="D83" s="14">
        <f t="shared" si="6"/>
        <v>0</v>
      </c>
      <c r="E83" s="14">
        <f t="shared" si="2"/>
        <v>0</v>
      </c>
      <c r="F83" s="14">
        <f t="shared" si="13"/>
        <v>0</v>
      </c>
      <c r="G83" s="14">
        <f t="shared" si="13"/>
        <v>0</v>
      </c>
      <c r="H83" s="14">
        <f t="shared" si="12"/>
        <v>0</v>
      </c>
      <c r="I83" s="265">
        <f t="shared" si="9"/>
        <v>0</v>
      </c>
      <c r="J83" s="265">
        <f t="shared" si="10"/>
        <v>0</v>
      </c>
      <c r="K83" s="265">
        <f t="shared" si="7"/>
        <v>0</v>
      </c>
      <c r="L83" s="373">
        <f t="shared" si="3"/>
        <v>5</v>
      </c>
      <c r="M83" s="373">
        <f t="shared" si="8"/>
        <v>63</v>
      </c>
      <c r="N83" s="561">
        <f>INDEX(tblSubjectToLoan[Date],ROW()-ROW(tblContractForDeed[#Headers]))</f>
        <v>47757</v>
      </c>
      <c r="O83" s="265">
        <f>IF(ROW()=ROW(tblContractForDeed[#Headers])+1,$O$6,IF(INDEX(tblContractForDeed[End Bal],ROW()-ROW(tblContractForDeed[#Headers])-1)&lt;0,0,INDEX(tblContractForDeed[End Bal],ROW()-ROW(tblContractForDeed[#Headers])-1)))</f>
        <v>98049.010000000038</v>
      </c>
      <c r="P83" s="431">
        <f>IF(tblContractForDeed[[#This Row],[Date]]="","",IF(tblContractForDeed[[#This Row],[Date]]&lt;cfdRateChangeDate,cfdRate1,cfdRate2))</f>
        <v>0.08</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3" s="265">
        <f>IF(tblContractForDeed[[#This Row],[Payment]]=0,0,MAX(0,MIN(tblContractForDeed[[#This Row],[Beg]],tblContractForDeed[[#This Row],[Payment]]-tblContractForDeed[[#This Row],[Int]])))</f>
        <v>1123.79</v>
      </c>
      <c r="S83" s="265">
        <f>IF(OR(tblContractForDeed[[#This Row],[Date]]&lt;cfdContractDate,tblContractForDeed[[#This Row],[Date]]&gt;cfdEndDate),0,ROUND(tblContractForDeed[[#This Row],[Beg]]*(tblContractForDeed[[#This Row],[Int Rate]]/12),2))</f>
        <v>653.66</v>
      </c>
      <c r="T83" s="265">
        <f>IF(tblContractForDeed[[#This Row],[Payment]]=0,0,$V$2)</f>
        <v>134.16999999999999</v>
      </c>
      <c r="U83" s="265">
        <f>IF(tblContractForDeed[[#This Row],[Princ]]=0,0,$V$3)</f>
        <v>0</v>
      </c>
      <c r="V83" s="265">
        <f>SUM(tblContractForDeed[[#This Row],[Princ]],tblContractForDeed[[#This Row],[Int]],tblContractForDeed[[#This Row],[Ins]],tblContractForDeed[[#This Row],[Taxes]])</f>
        <v>1911.62</v>
      </c>
      <c r="W83" s="265">
        <f>SUM(INDEX(tblContractForDeed[Princ],1):INDEX(tblContractForDeed[Princ],ROW()-ROW(tblContractForDeed[#Headers])))</f>
        <v>49574.780000000006</v>
      </c>
      <c r="X83" s="265">
        <f>IF(tblContractForDeed[[#This Row],[Beg]]&lt;=0,0,tblContractForDeed[[#This Row],[Beg]]-tblContractForDeed[[#This Row],[Princ]])</f>
        <v>96925.220000000045</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39">
        <f>IF(INDEX(tblContractForDeed[Payment],ROW()-ROW(tblBuyerOutputs[#Headers]))=0,0,INDEX(tblContractForDeed[Payment],ROW()-ROW(tblBuyerOutputs[#Headers]))-INDEX(tblSubjectToLoan[Payment],ROW()-ROW(tblBuyerOutputs[#Headers])))</f>
        <v>1777.45</v>
      </c>
      <c r="AA83"/>
      <c r="AB83" s="14">
        <f>IF(INDEX(tblContractForDeed[Payment],ROW()-ROW(tblBuyerOutputs[#Headers]))=0,0,INDEX(tblContractForDeed[Payment],ROW()-ROW(tblBuyerOutputs[#Headers]))-INDEX(tblSubjectToLoan[Payment],ROW()-ROW(tblBuyerOutputs[#Headers])))-IFERROR(tblBuyerOutputs[[#This Row],[PMI]],0)</f>
        <v>1777.45</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91946.839999999924</v>
      </c>
      <c r="AD83" s="265">
        <f>IF(INDEX(tblContractForDeed[End Bal],ROW()-ROW(tblBuyerOutputs[#Headers]))&lt;=0,0,($O$6+IF(ROW()=ROW(tblBuyerOutputs[#Headers])+1,0,INDEX(tblBuyerOutputs[Cumul Appr],ROW()-ROW(tblBuyerOutputs[#Headers])-1)))*$O$2/12)</f>
        <v>793.21667864694166</v>
      </c>
      <c r="AE83" s="587">
        <f>IF(INDEX(tblContractForDeed[End Bal],ROW()-ROW(tblBuyerOutputs[#Headers]))&lt;=0,0,IF(ROW()=ROW(tblBuyerOutputs[#Headers])+1,0,INDEX(tblBuyerOutputs[Cumul Appr],ROW()-ROW(tblBuyerOutputs[#Headers])-1))+tblBuyerOutputs[[#This Row],[Monthly Appr]])</f>
        <v>44665.219553912968</v>
      </c>
      <c r="AF83" s="22"/>
      <c r="AG83" s="14"/>
      <c r="AM83"/>
      <c r="AN83" s="14"/>
      <c r="AP83" s="265"/>
      <c r="AR83" s="14"/>
      <c r="AS83"/>
    </row>
    <row r="84" spans="1:45" x14ac:dyDescent="0.25">
      <c r="A84" s="561">
        <f t="shared" si="4"/>
        <v>47788</v>
      </c>
      <c r="B84" s="265">
        <f t="shared" si="5"/>
        <v>0</v>
      </c>
      <c r="C84" s="14">
        <f t="shared" ref="C84:C147" si="14">IF(A84="",0,IF(B84&lt;=0,0,IF(A84=subjectMortgageEndDate,B84+E84,MIN(subjectPayment,B84+E84))))</f>
        <v>0</v>
      </c>
      <c r="D84" s="14">
        <f t="shared" si="6"/>
        <v>0</v>
      </c>
      <c r="E84" s="14">
        <f t="shared" ref="E84:E147" si="15">IF(OR(A84="",B84&lt;=0),0,ROUND(B84*(subjectInterestRate/12),2))</f>
        <v>0</v>
      </c>
      <c r="F84" s="14">
        <f t="shared" si="13"/>
        <v>0</v>
      </c>
      <c r="G84" s="14">
        <f t="shared" si="13"/>
        <v>0</v>
      </c>
      <c r="H84" s="14">
        <f t="shared" si="12"/>
        <v>0</v>
      </c>
      <c r="I84" s="265">
        <f t="shared" si="9"/>
        <v>0</v>
      </c>
      <c r="J84" s="265">
        <f t="shared" si="10"/>
        <v>0</v>
      </c>
      <c r="K84" s="265">
        <f t="shared" si="7"/>
        <v>0</v>
      </c>
      <c r="L84" s="373">
        <f t="shared" ref="L84:L112" si="16">IF(MOD(M84,12)=0,M84/12,L83)</f>
        <v>5</v>
      </c>
      <c r="M84" s="373">
        <f t="shared" si="8"/>
        <v>64</v>
      </c>
      <c r="N84" s="561">
        <f>INDEX(tblSubjectToLoan[Date],ROW()-ROW(tblContractForDeed[#Headers]))</f>
        <v>47788</v>
      </c>
      <c r="O84" s="265">
        <f>IF(ROW()=ROW(tblContractForDeed[#Headers])+1,$O$6,IF(INDEX(tblContractForDeed[End Bal],ROW()-ROW(tblContractForDeed[#Headers])-1)&lt;0,0,INDEX(tblContractForDeed[End Bal],ROW()-ROW(tblContractForDeed[#Headers])-1)))</f>
        <v>96925.220000000045</v>
      </c>
      <c r="P84" s="431">
        <f>IF(tblContractForDeed[[#This Row],[Date]]="","",IF(tblContractForDeed[[#This Row],[Date]]&lt;cfdRateChangeDate,cfdRate1,cfdRate2))</f>
        <v>0.08</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4" s="265">
        <f>IF(tblContractForDeed[[#This Row],[Payment]]=0,0,MAX(0,MIN(tblContractForDeed[[#This Row],[Beg]],tblContractForDeed[[#This Row],[Payment]]-tblContractForDeed[[#This Row],[Int]])))</f>
        <v>1131.2800000000002</v>
      </c>
      <c r="S84" s="265">
        <f>IF(OR(tblContractForDeed[[#This Row],[Date]]&lt;cfdContractDate,tblContractForDeed[[#This Row],[Date]]&gt;cfdEndDate),0,ROUND(tblContractForDeed[[#This Row],[Beg]]*(tblContractForDeed[[#This Row],[Int Rate]]/12),2))</f>
        <v>646.16999999999996</v>
      </c>
      <c r="T84" s="265">
        <f>IF(tblContractForDeed[[#This Row],[Payment]]=0,0,$V$2)</f>
        <v>134.16999999999999</v>
      </c>
      <c r="U84" s="265">
        <f>IF(tblContractForDeed[[#This Row],[Princ]]=0,0,$V$3)</f>
        <v>0</v>
      </c>
      <c r="V84" s="265">
        <f>SUM(tblContractForDeed[[#This Row],[Princ]],tblContractForDeed[[#This Row],[Int]],tblContractForDeed[[#This Row],[Ins]],tblContractForDeed[[#This Row],[Taxes]])</f>
        <v>1911.6200000000003</v>
      </c>
      <c r="W84" s="265">
        <f>SUM(INDEX(tblContractForDeed[Princ],1):INDEX(tblContractForDeed[Princ],ROW()-ROW(tblContractForDeed[#Headers])))</f>
        <v>50706.060000000005</v>
      </c>
      <c r="X84" s="265">
        <f>IF(tblContractForDeed[[#This Row],[Beg]]&lt;=0,0,tblContractForDeed[[#This Row],[Beg]]-tblContractForDeed[[#This Row],[Princ]])</f>
        <v>95793.940000000046</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39">
        <f>IF(INDEX(tblContractForDeed[Payment],ROW()-ROW(tblBuyerOutputs[#Headers]))=0,0,INDEX(tblContractForDeed[Payment],ROW()-ROW(tblBuyerOutputs[#Headers]))-INDEX(tblSubjectToLoan[Payment],ROW()-ROW(tblBuyerOutputs[#Headers])))</f>
        <v>1777.45</v>
      </c>
      <c r="AA84"/>
      <c r="AB84" s="14">
        <f>IF(INDEX(tblContractForDeed[Payment],ROW()-ROW(tblBuyerOutputs[#Headers]))=0,0,INDEX(tblContractForDeed[Payment],ROW()-ROW(tblBuyerOutputs[#Headers]))-INDEX(tblSubjectToLoan[Payment],ROW()-ROW(tblBuyerOutputs[#Headers])))-IFERROR(tblBuyerOutputs[[#This Row],[PMI]],0)</f>
        <v>1777.45</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93724.289999999921</v>
      </c>
      <c r="AD84" s="265">
        <f>IF(INDEX(tblContractForDeed[End Bal],ROW()-ROW(tblBuyerOutputs[#Headers]))&lt;=0,0,($O$6+IF(ROW()=ROW(tblBuyerOutputs[#Headers])+1,0,INDEX(tblBuyerOutputs[Cumul Appr],ROW()-ROW(tblBuyerOutputs[#Headers])-1)))*$O$2/12)</f>
        <v>796.5217481413041</v>
      </c>
      <c r="AE84" s="587">
        <f>IF(INDEX(tblContractForDeed[End Bal],ROW()-ROW(tblBuyerOutputs[#Headers]))&lt;=0,0,IF(ROW()=ROW(tblBuyerOutputs[#Headers])+1,0,INDEX(tblBuyerOutputs[Cumul Appr],ROW()-ROW(tblBuyerOutputs[#Headers])-1))+tblBuyerOutputs[[#This Row],[Monthly Appr]])</f>
        <v>45461.741302054274</v>
      </c>
      <c r="AF84" s="22"/>
      <c r="AG84" s="14"/>
      <c r="AM84"/>
      <c r="AN84" s="14"/>
      <c r="AP84" s="265"/>
      <c r="AR84" s="14"/>
      <c r="AS84"/>
    </row>
    <row r="85" spans="1:45" x14ac:dyDescent="0.25">
      <c r="A85" s="561">
        <f t="shared" ref="A85:A148" si="17">IF(OR(A84="",A84&gt;=subjectMortgageEndDate),"",EDATE(A84,1))</f>
        <v>47818</v>
      </c>
      <c r="B85" s="265">
        <f t="shared" ref="B85:B148" si="18">IF(A85="",0,MAX(0,K84))</f>
        <v>0</v>
      </c>
      <c r="C85" s="14">
        <f t="shared" si="14"/>
        <v>0</v>
      </c>
      <c r="D85" s="14">
        <f t="shared" ref="D85:D148" si="19">IF(C85=0,0,MAX(0,MIN(B85,C85-E85)))</f>
        <v>0</v>
      </c>
      <c r="E85" s="14">
        <f t="shared" si="15"/>
        <v>0</v>
      </c>
      <c r="F85" s="14">
        <f t="shared" si="13"/>
        <v>0</v>
      </c>
      <c r="G85" s="14">
        <f t="shared" si="13"/>
        <v>0</v>
      </c>
      <c r="H85" s="14">
        <f t="shared" si="12"/>
        <v>0</v>
      </c>
      <c r="I85" s="265">
        <f t="shared" si="9"/>
        <v>0</v>
      </c>
      <c r="J85" s="265">
        <f t="shared" si="10"/>
        <v>0</v>
      </c>
      <c r="K85" s="265">
        <f t="shared" ref="K85:K148" si="20">IF(A85="",0,IF(B85&lt;=0,0,MAX(0,B85-D85)))</f>
        <v>0</v>
      </c>
      <c r="L85" s="373">
        <f t="shared" si="16"/>
        <v>5</v>
      </c>
      <c r="M85" s="373">
        <f t="shared" ref="M85:M148" si="21">IF($A85&lt;&gt;"",M84+1,0)</f>
        <v>65</v>
      </c>
      <c r="N85" s="561">
        <f>INDEX(tblSubjectToLoan[Date],ROW()-ROW(tblContractForDeed[#Headers]))</f>
        <v>47818</v>
      </c>
      <c r="O85" s="265">
        <f>IF(ROW()=ROW(tblContractForDeed[#Headers])+1,$O$6,IF(INDEX(tblContractForDeed[End Bal],ROW()-ROW(tblContractForDeed[#Headers])-1)&lt;0,0,INDEX(tblContractForDeed[End Bal],ROW()-ROW(tblContractForDeed[#Headers])-1)))</f>
        <v>95793.940000000046</v>
      </c>
      <c r="P85" s="431">
        <f>IF(tblContractForDeed[[#This Row],[Date]]="","",IF(tblContractForDeed[[#This Row],[Date]]&lt;cfdRateChangeDate,cfdRate1,cfdRate2))</f>
        <v>0.08</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5" s="265">
        <f>IF(tblContractForDeed[[#This Row],[Payment]]=0,0,MAX(0,MIN(tblContractForDeed[[#This Row],[Beg]],tblContractForDeed[[#This Row],[Payment]]-tblContractForDeed[[#This Row],[Int]])))</f>
        <v>1138.8200000000002</v>
      </c>
      <c r="S85" s="265">
        <f>IF(OR(tblContractForDeed[[#This Row],[Date]]&lt;cfdContractDate,tblContractForDeed[[#This Row],[Date]]&gt;cfdEndDate),0,ROUND(tblContractForDeed[[#This Row],[Beg]]*(tblContractForDeed[[#This Row],[Int Rate]]/12),2))</f>
        <v>638.63</v>
      </c>
      <c r="T85" s="265">
        <f>IF(tblContractForDeed[[#This Row],[Payment]]=0,0,$V$2)</f>
        <v>134.16999999999999</v>
      </c>
      <c r="U85" s="265">
        <f>IF(tblContractForDeed[[#This Row],[Princ]]=0,0,$V$3)</f>
        <v>0</v>
      </c>
      <c r="V85" s="265">
        <f>SUM(tblContractForDeed[[#This Row],[Princ]],tblContractForDeed[[#This Row],[Int]],tblContractForDeed[[#This Row],[Ins]],tblContractForDeed[[#This Row],[Taxes]])</f>
        <v>1911.6200000000003</v>
      </c>
      <c r="W85" s="265">
        <f>SUM(INDEX(tblContractForDeed[Princ],1):INDEX(tblContractForDeed[Princ],ROW()-ROW(tblContractForDeed[#Headers])))</f>
        <v>51844.880000000005</v>
      </c>
      <c r="X85" s="265">
        <f>IF(tblContractForDeed[[#This Row],[Beg]]&lt;=0,0,tblContractForDeed[[#This Row],[Beg]]-tblContractForDeed[[#This Row],[Princ]])</f>
        <v>94655.120000000039</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39">
        <f>IF(INDEX(tblContractForDeed[Payment],ROW()-ROW(tblBuyerOutputs[#Headers]))=0,0,INDEX(tblContractForDeed[Payment],ROW()-ROW(tblBuyerOutputs[#Headers]))-INDEX(tblSubjectToLoan[Payment],ROW()-ROW(tblBuyerOutputs[#Headers])))</f>
        <v>1777.45</v>
      </c>
      <c r="AA85"/>
      <c r="AB85" s="14">
        <f>IF(INDEX(tblContractForDeed[Payment],ROW()-ROW(tblBuyerOutputs[#Headers]))=0,0,INDEX(tblContractForDeed[Payment],ROW()-ROW(tblBuyerOutputs[#Headers]))-INDEX(tblSubjectToLoan[Payment],ROW()-ROW(tblBuyerOutputs[#Headers])))-IFERROR(tblBuyerOutputs[[#This Row],[PMI]],0)</f>
        <v>1777.45</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95501.739999999918</v>
      </c>
      <c r="AD85" s="265">
        <f>IF(INDEX(tblContractForDeed[End Bal],ROW()-ROW(tblBuyerOutputs[#Headers]))&lt;=0,0,($O$6+IF(ROW()=ROW(tblBuyerOutputs[#Headers])+1,0,INDEX(tblBuyerOutputs[Cumul Appr],ROW()-ROW(tblBuyerOutputs[#Headers])-1)))*$O$2/12)</f>
        <v>799.84058875855942</v>
      </c>
      <c r="AE85" s="587">
        <f>IF(INDEX(tblContractForDeed[End Bal],ROW()-ROW(tblBuyerOutputs[#Headers]))&lt;=0,0,IF(ROW()=ROW(tblBuyerOutputs[#Headers])+1,0,INDEX(tblBuyerOutputs[Cumul Appr],ROW()-ROW(tblBuyerOutputs[#Headers])-1))+tblBuyerOutputs[[#This Row],[Monthly Appr]])</f>
        <v>46261.581890812835</v>
      </c>
      <c r="AF85" s="22"/>
      <c r="AG85" s="14"/>
      <c r="AM85"/>
      <c r="AN85" s="14"/>
      <c r="AP85" s="265"/>
      <c r="AR85" s="14"/>
      <c r="AS85"/>
    </row>
    <row r="86" spans="1:45" x14ac:dyDescent="0.25">
      <c r="A86" s="561">
        <f t="shared" si="17"/>
        <v>47849</v>
      </c>
      <c r="B86" s="265">
        <f t="shared" si="18"/>
        <v>0</v>
      </c>
      <c r="C86" s="14">
        <f t="shared" si="14"/>
        <v>0</v>
      </c>
      <c r="D86" s="14">
        <f t="shared" si="19"/>
        <v>0</v>
      </c>
      <c r="E86" s="14">
        <f t="shared" si="15"/>
        <v>0</v>
      </c>
      <c r="F86" s="14">
        <f t="shared" si="13"/>
        <v>0</v>
      </c>
      <c r="G86" s="14">
        <f t="shared" si="13"/>
        <v>0</v>
      </c>
      <c r="H86" s="14">
        <f t="shared" si="12"/>
        <v>0</v>
      </c>
      <c r="I86" s="265">
        <f t="shared" ref="I86:I149" si="22">$D86+$I85</f>
        <v>0</v>
      </c>
      <c r="J86" s="265">
        <f t="shared" ref="J86:J149" si="23">$E86+$J85</f>
        <v>0</v>
      </c>
      <c r="K86" s="265">
        <f t="shared" si="20"/>
        <v>0</v>
      </c>
      <c r="L86" s="373">
        <f t="shared" si="16"/>
        <v>5</v>
      </c>
      <c r="M86" s="373">
        <f t="shared" si="21"/>
        <v>66</v>
      </c>
      <c r="N86" s="561">
        <f>INDEX(tblSubjectToLoan[Date],ROW()-ROW(tblContractForDeed[#Headers]))</f>
        <v>47849</v>
      </c>
      <c r="O86" s="265">
        <f>IF(ROW()=ROW(tblContractForDeed[#Headers])+1,$O$6,IF(INDEX(tblContractForDeed[End Bal],ROW()-ROW(tblContractForDeed[#Headers])-1)&lt;0,0,INDEX(tblContractForDeed[End Bal],ROW()-ROW(tblContractForDeed[#Headers])-1)))</f>
        <v>94655.120000000039</v>
      </c>
      <c r="P86" s="431">
        <f>IF(tblContractForDeed[[#This Row],[Date]]="","",IF(tblContractForDeed[[#This Row],[Date]]&lt;cfdRateChangeDate,cfdRate1,cfdRate2))</f>
        <v>0.08</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6" s="265">
        <f>IF(tblContractForDeed[[#This Row],[Payment]]=0,0,MAX(0,MIN(tblContractForDeed[[#This Row],[Beg]],tblContractForDeed[[#This Row],[Payment]]-tblContractForDeed[[#This Row],[Int]])))</f>
        <v>1146.42</v>
      </c>
      <c r="S86" s="265">
        <f>IF(OR(tblContractForDeed[[#This Row],[Date]]&lt;cfdContractDate,tblContractForDeed[[#This Row],[Date]]&gt;cfdEndDate),0,ROUND(tblContractForDeed[[#This Row],[Beg]]*(tblContractForDeed[[#This Row],[Int Rate]]/12),2))</f>
        <v>631.03</v>
      </c>
      <c r="T86" s="265">
        <f>IF(tblContractForDeed[[#This Row],[Payment]]=0,0,$V$2)</f>
        <v>134.16999999999999</v>
      </c>
      <c r="U86" s="265">
        <f>IF(tblContractForDeed[[#This Row],[Princ]]=0,0,$V$3)</f>
        <v>0</v>
      </c>
      <c r="V86" s="265">
        <f>SUM(tblContractForDeed[[#This Row],[Princ]],tblContractForDeed[[#This Row],[Int]],tblContractForDeed[[#This Row],[Ins]],tblContractForDeed[[#This Row],[Taxes]])</f>
        <v>1911.6200000000001</v>
      </c>
      <c r="W86" s="265">
        <f>SUM(INDEX(tblContractForDeed[Princ],1):INDEX(tblContractForDeed[Princ],ROW()-ROW(tblContractForDeed[#Headers])))</f>
        <v>52991.3</v>
      </c>
      <c r="X86" s="265">
        <f>IF(tblContractForDeed[[#This Row],[Beg]]&lt;=0,0,tblContractForDeed[[#This Row],[Beg]]-tblContractForDeed[[#This Row],[Princ]])</f>
        <v>93508.700000000041</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39">
        <f>IF(INDEX(tblContractForDeed[Payment],ROW()-ROW(tblBuyerOutputs[#Headers]))=0,0,INDEX(tblContractForDeed[Payment],ROW()-ROW(tblBuyerOutputs[#Headers]))-INDEX(tblSubjectToLoan[Payment],ROW()-ROW(tblBuyerOutputs[#Headers])))</f>
        <v>1777.45</v>
      </c>
      <c r="AA86"/>
      <c r="AB86" s="14">
        <f>IF(INDEX(tblContractForDeed[Payment],ROW()-ROW(tblBuyerOutputs[#Headers]))=0,0,INDEX(tblContractForDeed[Payment],ROW()-ROW(tblBuyerOutputs[#Headers]))-INDEX(tblSubjectToLoan[Payment],ROW()-ROW(tblBuyerOutputs[#Headers])))-IFERROR(tblBuyerOutputs[[#This Row],[PMI]],0)</f>
        <v>1777.45</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97279.189999999915</v>
      </c>
      <c r="AD86" s="265">
        <f>IF(INDEX(tblContractForDeed[End Bal],ROW()-ROW(tblBuyerOutputs[#Headers]))&lt;=0,0,($O$6+IF(ROW()=ROW(tblBuyerOutputs[#Headers])+1,0,INDEX(tblBuyerOutputs[Cumul Appr],ROW()-ROW(tblBuyerOutputs[#Headers])-1)))*$O$2/12)</f>
        <v>803.17325787838683</v>
      </c>
      <c r="AE86" s="587">
        <f>IF(INDEX(tblContractForDeed[End Bal],ROW()-ROW(tblBuyerOutputs[#Headers]))&lt;=0,0,IF(ROW()=ROW(tblBuyerOutputs[#Headers])+1,0,INDEX(tblBuyerOutputs[Cumul Appr],ROW()-ROW(tblBuyerOutputs[#Headers])-1))+tblBuyerOutputs[[#This Row],[Monthly Appr]])</f>
        <v>47064.75514869122</v>
      </c>
      <c r="AF86" s="22"/>
      <c r="AG86" s="14"/>
      <c r="AM86"/>
      <c r="AN86" s="14"/>
      <c r="AP86" s="265"/>
      <c r="AR86" s="14"/>
      <c r="AS86"/>
    </row>
    <row r="87" spans="1:45" x14ac:dyDescent="0.25">
      <c r="A87" s="561">
        <f t="shared" si="17"/>
        <v>47880</v>
      </c>
      <c r="B87" s="265">
        <f t="shared" si="18"/>
        <v>0</v>
      </c>
      <c r="C87" s="14">
        <f t="shared" si="14"/>
        <v>0</v>
      </c>
      <c r="D87" s="14">
        <f t="shared" si="19"/>
        <v>0</v>
      </c>
      <c r="E87" s="14">
        <f t="shared" si="15"/>
        <v>0</v>
      </c>
      <c r="F87" s="14">
        <f t="shared" si="13"/>
        <v>0</v>
      </c>
      <c r="G87" s="14">
        <f t="shared" si="13"/>
        <v>0</v>
      </c>
      <c r="H87" s="14">
        <f t="shared" si="12"/>
        <v>0</v>
      </c>
      <c r="I87" s="265">
        <f t="shared" si="22"/>
        <v>0</v>
      </c>
      <c r="J87" s="265">
        <f t="shared" si="23"/>
        <v>0</v>
      </c>
      <c r="K87" s="265">
        <f t="shared" si="20"/>
        <v>0</v>
      </c>
      <c r="L87" s="373">
        <f t="shared" si="16"/>
        <v>5</v>
      </c>
      <c r="M87" s="373">
        <f t="shared" si="21"/>
        <v>67</v>
      </c>
      <c r="N87" s="561">
        <f>INDEX(tblSubjectToLoan[Date],ROW()-ROW(tblContractForDeed[#Headers]))</f>
        <v>47880</v>
      </c>
      <c r="O87" s="265">
        <f>IF(ROW()=ROW(tblContractForDeed[#Headers])+1,$O$6,IF(INDEX(tblContractForDeed[End Bal],ROW()-ROW(tblContractForDeed[#Headers])-1)&lt;0,0,INDEX(tblContractForDeed[End Bal],ROW()-ROW(tblContractForDeed[#Headers])-1)))</f>
        <v>93508.700000000041</v>
      </c>
      <c r="P87" s="431">
        <f>IF(tblContractForDeed[[#This Row],[Date]]="","",IF(tblContractForDeed[[#This Row],[Date]]&lt;cfdRateChangeDate,cfdRate1,cfdRate2))</f>
        <v>0.08</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7" s="265">
        <f>IF(tblContractForDeed[[#This Row],[Payment]]=0,0,MAX(0,MIN(tblContractForDeed[[#This Row],[Beg]],tblContractForDeed[[#This Row],[Payment]]-tblContractForDeed[[#This Row],[Int]])))</f>
        <v>1154.06</v>
      </c>
      <c r="S87" s="265">
        <f>IF(OR(tblContractForDeed[[#This Row],[Date]]&lt;cfdContractDate,tblContractForDeed[[#This Row],[Date]]&gt;cfdEndDate),0,ROUND(tblContractForDeed[[#This Row],[Beg]]*(tblContractForDeed[[#This Row],[Int Rate]]/12),2))</f>
        <v>623.39</v>
      </c>
      <c r="T87" s="265">
        <f>IF(tblContractForDeed[[#This Row],[Payment]]=0,0,$V$2)</f>
        <v>134.16999999999999</v>
      </c>
      <c r="U87" s="265">
        <f>IF(tblContractForDeed[[#This Row],[Princ]]=0,0,$V$3)</f>
        <v>0</v>
      </c>
      <c r="V87" s="265">
        <f>SUM(tblContractForDeed[[#This Row],[Princ]],tblContractForDeed[[#This Row],[Int]],tblContractForDeed[[#This Row],[Ins]],tblContractForDeed[[#This Row],[Taxes]])</f>
        <v>1911.62</v>
      </c>
      <c r="W87" s="265">
        <f>SUM(INDEX(tblContractForDeed[Princ],1):INDEX(tblContractForDeed[Princ],ROW()-ROW(tblContractForDeed[#Headers])))</f>
        <v>54145.36</v>
      </c>
      <c r="X87" s="265">
        <f>IF(tblContractForDeed[[#This Row],[Beg]]&lt;=0,0,tblContractForDeed[[#This Row],[Beg]]-tblContractForDeed[[#This Row],[Princ]])</f>
        <v>92354.640000000043</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39">
        <f>IF(INDEX(tblContractForDeed[Payment],ROW()-ROW(tblBuyerOutputs[#Headers]))=0,0,INDEX(tblContractForDeed[Payment],ROW()-ROW(tblBuyerOutputs[#Headers]))-INDEX(tblSubjectToLoan[Payment],ROW()-ROW(tblBuyerOutputs[#Headers])))</f>
        <v>1777.45</v>
      </c>
      <c r="AA87"/>
      <c r="AB87" s="14">
        <f>IF(INDEX(tblContractForDeed[Payment],ROW()-ROW(tblBuyerOutputs[#Headers]))=0,0,INDEX(tblContractForDeed[Payment],ROW()-ROW(tblBuyerOutputs[#Headers]))-INDEX(tblSubjectToLoan[Payment],ROW()-ROW(tblBuyerOutputs[#Headers])))-IFERROR(tblBuyerOutputs[[#This Row],[PMI]],0)</f>
        <v>1777.45</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99056.639999999912</v>
      </c>
      <c r="AD87" s="265">
        <f>IF(INDEX(tblContractForDeed[End Bal],ROW()-ROW(tblBuyerOutputs[#Headers]))&lt;=0,0,($O$6+IF(ROW()=ROW(tblBuyerOutputs[#Headers])+1,0,INDEX(tblBuyerOutputs[Cumul Appr],ROW()-ROW(tblBuyerOutputs[#Headers])-1)))*$O$2/12)</f>
        <v>806.51981311954671</v>
      </c>
      <c r="AE87" s="587">
        <f>IF(INDEX(tblContractForDeed[End Bal],ROW()-ROW(tblBuyerOutputs[#Headers]))&lt;=0,0,IF(ROW()=ROW(tblBuyerOutputs[#Headers])+1,0,INDEX(tblBuyerOutputs[Cumul Appr],ROW()-ROW(tblBuyerOutputs[#Headers])-1))+tblBuyerOutputs[[#This Row],[Monthly Appr]])</f>
        <v>47871.27496181077</v>
      </c>
      <c r="AF87" s="22"/>
      <c r="AG87" s="14"/>
      <c r="AM87"/>
      <c r="AN87" s="14"/>
      <c r="AP87" s="265"/>
      <c r="AR87" s="14"/>
      <c r="AS87"/>
    </row>
    <row r="88" spans="1:45" x14ac:dyDescent="0.25">
      <c r="A88" s="561">
        <f t="shared" si="17"/>
        <v>47908</v>
      </c>
      <c r="B88" s="265">
        <f t="shared" si="18"/>
        <v>0</v>
      </c>
      <c r="C88" s="14">
        <f t="shared" si="14"/>
        <v>0</v>
      </c>
      <c r="D88" s="14">
        <f t="shared" si="19"/>
        <v>0</v>
      </c>
      <c r="E88" s="14">
        <f t="shared" si="15"/>
        <v>0</v>
      </c>
      <c r="F88" s="14">
        <f t="shared" si="13"/>
        <v>0</v>
      </c>
      <c r="G88" s="14">
        <f t="shared" si="13"/>
        <v>0</v>
      </c>
      <c r="H88" s="14">
        <f t="shared" si="12"/>
        <v>0</v>
      </c>
      <c r="I88" s="265">
        <f t="shared" si="22"/>
        <v>0</v>
      </c>
      <c r="J88" s="265">
        <f t="shared" si="23"/>
        <v>0</v>
      </c>
      <c r="K88" s="265">
        <f t="shared" si="20"/>
        <v>0</v>
      </c>
      <c r="L88" s="373">
        <f t="shared" si="16"/>
        <v>5</v>
      </c>
      <c r="M88" s="373">
        <f t="shared" si="21"/>
        <v>68</v>
      </c>
      <c r="N88" s="561">
        <f>INDEX(tblSubjectToLoan[Date],ROW()-ROW(tblContractForDeed[#Headers]))</f>
        <v>47908</v>
      </c>
      <c r="O88" s="265">
        <f>IF(ROW()=ROW(tblContractForDeed[#Headers])+1,$O$6,IF(INDEX(tblContractForDeed[End Bal],ROW()-ROW(tblContractForDeed[#Headers])-1)&lt;0,0,INDEX(tblContractForDeed[End Bal],ROW()-ROW(tblContractForDeed[#Headers])-1)))</f>
        <v>92354.640000000043</v>
      </c>
      <c r="P88" s="431">
        <f>IF(tblContractForDeed[[#This Row],[Date]]="","",IF(tblContractForDeed[[#This Row],[Date]]&lt;cfdRateChangeDate,cfdRate1,cfdRate2))</f>
        <v>0.08</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8" s="265">
        <f>IF(tblContractForDeed[[#This Row],[Payment]]=0,0,MAX(0,MIN(tblContractForDeed[[#This Row],[Beg]],tblContractForDeed[[#This Row],[Payment]]-tblContractForDeed[[#This Row],[Int]])))</f>
        <v>1161.75</v>
      </c>
      <c r="S88" s="265">
        <f>IF(OR(tblContractForDeed[[#This Row],[Date]]&lt;cfdContractDate,tblContractForDeed[[#This Row],[Date]]&gt;cfdEndDate),0,ROUND(tblContractForDeed[[#This Row],[Beg]]*(tblContractForDeed[[#This Row],[Int Rate]]/12),2))</f>
        <v>615.70000000000005</v>
      </c>
      <c r="T88" s="265">
        <f>IF(tblContractForDeed[[#This Row],[Payment]]=0,0,$V$2)</f>
        <v>134.16999999999999</v>
      </c>
      <c r="U88" s="265">
        <f>IF(tblContractForDeed[[#This Row],[Princ]]=0,0,$V$3)</f>
        <v>0</v>
      </c>
      <c r="V88" s="265">
        <f>SUM(tblContractForDeed[[#This Row],[Princ]],tblContractForDeed[[#This Row],[Int]],tblContractForDeed[[#This Row],[Ins]],tblContractForDeed[[#This Row],[Taxes]])</f>
        <v>1911.6200000000001</v>
      </c>
      <c r="W88" s="265">
        <f>SUM(INDEX(tblContractForDeed[Princ],1):INDEX(tblContractForDeed[Princ],ROW()-ROW(tblContractForDeed[#Headers])))</f>
        <v>55307.11</v>
      </c>
      <c r="X88" s="265">
        <f>IF(tblContractForDeed[[#This Row],[Beg]]&lt;=0,0,tblContractForDeed[[#This Row],[Beg]]-tblContractForDeed[[#This Row],[Princ]])</f>
        <v>91192.890000000043</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39">
        <f>IF(INDEX(tblContractForDeed[Payment],ROW()-ROW(tblBuyerOutputs[#Headers]))=0,0,INDEX(tblContractForDeed[Payment],ROW()-ROW(tblBuyerOutputs[#Headers]))-INDEX(tblSubjectToLoan[Payment],ROW()-ROW(tblBuyerOutputs[#Headers])))</f>
        <v>1777.45</v>
      </c>
      <c r="AA88"/>
      <c r="AB88" s="14">
        <f>IF(INDEX(tblContractForDeed[Payment],ROW()-ROW(tblBuyerOutputs[#Headers]))=0,0,INDEX(tblContractForDeed[Payment],ROW()-ROW(tblBuyerOutputs[#Headers]))-INDEX(tblSubjectToLoan[Payment],ROW()-ROW(tblBuyerOutputs[#Headers])))-IFERROR(tblBuyerOutputs[[#This Row],[PMI]],0)</f>
        <v>1777.45</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100834.08999999991</v>
      </c>
      <c r="AD88" s="265">
        <f>IF(INDEX(tblContractForDeed[End Bal],ROW()-ROW(tblBuyerOutputs[#Headers]))&lt;=0,0,($O$6+IF(ROW()=ROW(tblBuyerOutputs[#Headers])+1,0,INDEX(tblBuyerOutputs[Cumul Appr],ROW()-ROW(tblBuyerOutputs[#Headers])-1)))*$O$2/12)</f>
        <v>809.88031234087828</v>
      </c>
      <c r="AE88" s="587">
        <f>IF(INDEX(tblContractForDeed[End Bal],ROW()-ROW(tblBuyerOutputs[#Headers]))&lt;=0,0,IF(ROW()=ROW(tblBuyerOutputs[#Headers])+1,0,INDEX(tblBuyerOutputs[Cumul Appr],ROW()-ROW(tblBuyerOutputs[#Headers])-1))+tblBuyerOutputs[[#This Row],[Monthly Appr]])</f>
        <v>48681.15527415165</v>
      </c>
      <c r="AF88" s="22"/>
      <c r="AG88" s="14"/>
      <c r="AM88"/>
      <c r="AN88" s="14"/>
      <c r="AP88" s="265"/>
      <c r="AR88" s="14"/>
      <c r="AS88"/>
    </row>
    <row r="89" spans="1:45" x14ac:dyDescent="0.25">
      <c r="A89" s="561">
        <f t="shared" si="17"/>
        <v>47939</v>
      </c>
      <c r="B89" s="265">
        <f t="shared" si="18"/>
        <v>0</v>
      </c>
      <c r="C89" s="14">
        <f t="shared" si="14"/>
        <v>0</v>
      </c>
      <c r="D89" s="14">
        <f t="shared" si="19"/>
        <v>0</v>
      </c>
      <c r="E89" s="14">
        <f t="shared" si="15"/>
        <v>0</v>
      </c>
      <c r="F89" s="14">
        <f t="shared" si="13"/>
        <v>0</v>
      </c>
      <c r="G89" s="14">
        <f t="shared" si="13"/>
        <v>0</v>
      </c>
      <c r="H89" s="14">
        <f t="shared" si="12"/>
        <v>0</v>
      </c>
      <c r="I89" s="265">
        <f t="shared" si="22"/>
        <v>0</v>
      </c>
      <c r="J89" s="265">
        <f t="shared" si="23"/>
        <v>0</v>
      </c>
      <c r="K89" s="265">
        <f t="shared" si="20"/>
        <v>0</v>
      </c>
      <c r="L89" s="373">
        <f t="shared" si="16"/>
        <v>5</v>
      </c>
      <c r="M89" s="373">
        <f t="shared" si="21"/>
        <v>69</v>
      </c>
      <c r="N89" s="561">
        <f>INDEX(tblSubjectToLoan[Date],ROW()-ROW(tblContractForDeed[#Headers]))</f>
        <v>47939</v>
      </c>
      <c r="O89" s="265">
        <f>IF(ROW()=ROW(tblContractForDeed[#Headers])+1,$O$6,IF(INDEX(tblContractForDeed[End Bal],ROW()-ROW(tblContractForDeed[#Headers])-1)&lt;0,0,INDEX(tblContractForDeed[End Bal],ROW()-ROW(tblContractForDeed[#Headers])-1)))</f>
        <v>91192.890000000043</v>
      </c>
      <c r="P89" s="431">
        <f>IF(tblContractForDeed[[#This Row],[Date]]="","",IF(tblContractForDeed[[#This Row],[Date]]&lt;cfdRateChangeDate,cfdRate1,cfdRate2))</f>
        <v>0.08</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9" s="265">
        <f>IF(tblContractForDeed[[#This Row],[Payment]]=0,0,MAX(0,MIN(tblContractForDeed[[#This Row],[Beg]],tblContractForDeed[[#This Row],[Payment]]-tblContractForDeed[[#This Row],[Int]])))</f>
        <v>1169.5</v>
      </c>
      <c r="S89" s="265">
        <f>IF(OR(tblContractForDeed[[#This Row],[Date]]&lt;cfdContractDate,tblContractForDeed[[#This Row],[Date]]&gt;cfdEndDate),0,ROUND(tblContractForDeed[[#This Row],[Beg]]*(tblContractForDeed[[#This Row],[Int Rate]]/12),2))</f>
        <v>607.95000000000005</v>
      </c>
      <c r="T89" s="265">
        <f>IF(tblContractForDeed[[#This Row],[Payment]]=0,0,$V$2)</f>
        <v>134.16999999999999</v>
      </c>
      <c r="U89" s="265">
        <f>IF(tblContractForDeed[[#This Row],[Princ]]=0,0,$V$3)</f>
        <v>0</v>
      </c>
      <c r="V89" s="265">
        <f>SUM(tblContractForDeed[[#This Row],[Princ]],tblContractForDeed[[#This Row],[Int]],tblContractForDeed[[#This Row],[Ins]],tblContractForDeed[[#This Row],[Taxes]])</f>
        <v>1911.6200000000001</v>
      </c>
      <c r="W89" s="265">
        <f>SUM(INDEX(tblContractForDeed[Princ],1):INDEX(tblContractForDeed[Princ],ROW()-ROW(tblContractForDeed[#Headers])))</f>
        <v>56476.61</v>
      </c>
      <c r="X89" s="265">
        <f>IF(tblContractForDeed[[#This Row],[Beg]]&lt;=0,0,tblContractForDeed[[#This Row],[Beg]]-tblContractForDeed[[#This Row],[Princ]])</f>
        <v>90023.390000000043</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39">
        <f>IF(INDEX(tblContractForDeed[Payment],ROW()-ROW(tblBuyerOutputs[#Headers]))=0,0,INDEX(tblContractForDeed[Payment],ROW()-ROW(tblBuyerOutputs[#Headers]))-INDEX(tblSubjectToLoan[Payment],ROW()-ROW(tblBuyerOutputs[#Headers])))</f>
        <v>1777.45</v>
      </c>
      <c r="AA89"/>
      <c r="AB89" s="14">
        <f>IF(INDEX(tblContractForDeed[Payment],ROW()-ROW(tblBuyerOutputs[#Headers]))=0,0,INDEX(tblContractForDeed[Payment],ROW()-ROW(tblBuyerOutputs[#Headers]))-INDEX(tblSubjectToLoan[Payment],ROW()-ROW(tblBuyerOutputs[#Headers])))-IFERROR(tblBuyerOutputs[[#This Row],[PMI]],0)</f>
        <v>1777.45</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102611.53999999991</v>
      </c>
      <c r="AD89" s="265">
        <f>IF(INDEX(tblContractForDeed[End Bal],ROW()-ROW(tblBuyerOutputs[#Headers]))&lt;=0,0,($O$6+IF(ROW()=ROW(tblBuyerOutputs[#Headers])+1,0,INDEX(tblBuyerOutputs[Cumul Appr],ROW()-ROW(tblBuyerOutputs[#Headers])-1)))*$O$2/12)</f>
        <v>813.25481364229847</v>
      </c>
      <c r="AE89" s="587">
        <f>IF(INDEX(tblContractForDeed[End Bal],ROW()-ROW(tblBuyerOutputs[#Headers]))&lt;=0,0,IF(ROW()=ROW(tblBuyerOutputs[#Headers])+1,0,INDEX(tblBuyerOutputs[Cumul Appr],ROW()-ROW(tblBuyerOutputs[#Headers])-1))+tblBuyerOutputs[[#This Row],[Monthly Appr]])</f>
        <v>49494.410087793949</v>
      </c>
      <c r="AF89" s="22"/>
      <c r="AG89" s="14"/>
      <c r="AM89"/>
      <c r="AN89" s="14"/>
      <c r="AP89" s="265"/>
      <c r="AR89" s="14"/>
      <c r="AS89"/>
    </row>
    <row r="90" spans="1:45" x14ac:dyDescent="0.25">
      <c r="A90" s="561">
        <f t="shared" si="17"/>
        <v>47969</v>
      </c>
      <c r="B90" s="265">
        <f t="shared" si="18"/>
        <v>0</v>
      </c>
      <c r="C90" s="14">
        <f t="shared" si="14"/>
        <v>0</v>
      </c>
      <c r="D90" s="14">
        <f t="shared" si="19"/>
        <v>0</v>
      </c>
      <c r="E90" s="14">
        <f t="shared" si="15"/>
        <v>0</v>
      </c>
      <c r="F90" s="14">
        <f t="shared" si="13"/>
        <v>0</v>
      </c>
      <c r="G90" s="14">
        <f t="shared" si="13"/>
        <v>0</v>
      </c>
      <c r="H90" s="14">
        <f t="shared" si="12"/>
        <v>0</v>
      </c>
      <c r="I90" s="265">
        <f t="shared" si="22"/>
        <v>0</v>
      </c>
      <c r="J90" s="265">
        <f t="shared" si="23"/>
        <v>0</v>
      </c>
      <c r="K90" s="265">
        <f t="shared" si="20"/>
        <v>0</v>
      </c>
      <c r="L90" s="373">
        <f t="shared" si="16"/>
        <v>5</v>
      </c>
      <c r="M90" s="373">
        <f t="shared" si="21"/>
        <v>70</v>
      </c>
      <c r="N90" s="561">
        <f>INDEX(tblSubjectToLoan[Date],ROW()-ROW(tblContractForDeed[#Headers]))</f>
        <v>47969</v>
      </c>
      <c r="O90" s="265">
        <f>IF(ROW()=ROW(tblContractForDeed[#Headers])+1,$O$6,IF(INDEX(tblContractForDeed[End Bal],ROW()-ROW(tblContractForDeed[#Headers])-1)&lt;0,0,INDEX(tblContractForDeed[End Bal],ROW()-ROW(tblContractForDeed[#Headers])-1)))</f>
        <v>90023.390000000043</v>
      </c>
      <c r="P90" s="431">
        <f>IF(tblContractForDeed[[#This Row],[Date]]="","",IF(tblContractForDeed[[#This Row],[Date]]&lt;cfdRateChangeDate,cfdRate1,cfdRate2))</f>
        <v>0.08</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0" s="265">
        <f>IF(tblContractForDeed[[#This Row],[Payment]]=0,0,MAX(0,MIN(tblContractForDeed[[#This Row],[Beg]],tblContractForDeed[[#This Row],[Payment]]-tblContractForDeed[[#This Row],[Int]])))</f>
        <v>1177.29</v>
      </c>
      <c r="S90" s="265">
        <f>IF(OR(tblContractForDeed[[#This Row],[Date]]&lt;cfdContractDate,tblContractForDeed[[#This Row],[Date]]&gt;cfdEndDate),0,ROUND(tblContractForDeed[[#This Row],[Beg]]*(tblContractForDeed[[#This Row],[Int Rate]]/12),2))</f>
        <v>600.16</v>
      </c>
      <c r="T90" s="265">
        <f>IF(tblContractForDeed[[#This Row],[Payment]]=0,0,$V$2)</f>
        <v>134.16999999999999</v>
      </c>
      <c r="U90" s="265">
        <f>IF(tblContractForDeed[[#This Row],[Princ]]=0,0,$V$3)</f>
        <v>0</v>
      </c>
      <c r="V90" s="265">
        <f>SUM(tblContractForDeed[[#This Row],[Princ]],tblContractForDeed[[#This Row],[Int]],tblContractForDeed[[#This Row],[Ins]],tblContractForDeed[[#This Row],[Taxes]])</f>
        <v>1911.62</v>
      </c>
      <c r="W90" s="265">
        <f>SUM(INDEX(tblContractForDeed[Princ],1):INDEX(tblContractForDeed[Princ],ROW()-ROW(tblContractForDeed[#Headers])))</f>
        <v>57653.9</v>
      </c>
      <c r="X90" s="265">
        <f>IF(tblContractForDeed[[#This Row],[Beg]]&lt;=0,0,tblContractForDeed[[#This Row],[Beg]]-tblContractForDeed[[#This Row],[Princ]])</f>
        <v>88846.100000000049</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39">
        <f>IF(INDEX(tblContractForDeed[Payment],ROW()-ROW(tblBuyerOutputs[#Headers]))=0,0,INDEX(tblContractForDeed[Payment],ROW()-ROW(tblBuyerOutputs[#Headers]))-INDEX(tblSubjectToLoan[Payment],ROW()-ROW(tblBuyerOutputs[#Headers])))</f>
        <v>1777.45</v>
      </c>
      <c r="AA90"/>
      <c r="AB90" s="14">
        <f>IF(INDEX(tblContractForDeed[Payment],ROW()-ROW(tblBuyerOutputs[#Headers]))=0,0,INDEX(tblContractForDeed[Payment],ROW()-ROW(tblBuyerOutputs[#Headers]))-INDEX(tblSubjectToLoan[Payment],ROW()-ROW(tblBuyerOutputs[#Headers])))-IFERROR(tblBuyerOutputs[[#This Row],[PMI]],0)</f>
        <v>1777.45</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104388.9899999999</v>
      </c>
      <c r="AD90" s="265">
        <f>IF(INDEX(tblContractForDeed[End Bal],ROW()-ROW(tblBuyerOutputs[#Headers]))&lt;=0,0,($O$6+IF(ROW()=ROW(tblBuyerOutputs[#Headers])+1,0,INDEX(tblBuyerOutputs[Cumul Appr],ROW()-ROW(tblBuyerOutputs[#Headers])-1)))*$O$2/12)</f>
        <v>816.64337536580808</v>
      </c>
      <c r="AE90" s="587">
        <f>IF(INDEX(tblContractForDeed[End Bal],ROW()-ROW(tblBuyerOutputs[#Headers]))&lt;=0,0,IF(ROW()=ROW(tblBuyerOutputs[#Headers])+1,0,INDEX(tblBuyerOutputs[Cumul Appr],ROW()-ROW(tblBuyerOutputs[#Headers])-1))+tblBuyerOutputs[[#This Row],[Monthly Appr]])</f>
        <v>50311.053463159755</v>
      </c>
      <c r="AF90" s="22"/>
      <c r="AG90" s="14"/>
      <c r="AM90"/>
      <c r="AN90" s="14"/>
      <c r="AP90" s="265"/>
      <c r="AR90" s="14"/>
      <c r="AS90"/>
    </row>
    <row r="91" spans="1:45" ht="15.75" thickBot="1" x14ac:dyDescent="0.3">
      <c r="A91" s="562">
        <f t="shared" si="17"/>
        <v>48000</v>
      </c>
      <c r="B91" s="316">
        <f t="shared" si="18"/>
        <v>0</v>
      </c>
      <c r="C91" s="21">
        <f t="shared" si="14"/>
        <v>0</v>
      </c>
      <c r="D91" s="21">
        <f t="shared" si="19"/>
        <v>0</v>
      </c>
      <c r="E91" s="21">
        <f t="shared" si="15"/>
        <v>0</v>
      </c>
      <c r="F91" s="21">
        <f t="shared" si="13"/>
        <v>0</v>
      </c>
      <c r="G91" s="21">
        <f t="shared" si="13"/>
        <v>0</v>
      </c>
      <c r="H91" s="21">
        <f t="shared" si="12"/>
        <v>0</v>
      </c>
      <c r="I91" s="316">
        <f t="shared" si="22"/>
        <v>0</v>
      </c>
      <c r="J91" s="316">
        <f t="shared" si="23"/>
        <v>0</v>
      </c>
      <c r="K91" s="316">
        <f t="shared" si="20"/>
        <v>0</v>
      </c>
      <c r="L91" s="374">
        <f t="shared" si="16"/>
        <v>5</v>
      </c>
      <c r="M91" s="374">
        <f t="shared" si="21"/>
        <v>71</v>
      </c>
      <c r="N91" s="562">
        <f>INDEX(tblSubjectToLoan[Date],ROW()-ROW(tblContractForDeed[#Headers]))</f>
        <v>48000</v>
      </c>
      <c r="O91" s="316">
        <f>IF(ROW()=ROW(tblContractForDeed[#Headers])+1,$O$6,IF(INDEX(tblContractForDeed[End Bal],ROW()-ROW(tblContractForDeed[#Headers])-1)&lt;0,0,INDEX(tblContractForDeed[End Bal],ROW()-ROW(tblContractForDeed[#Headers])-1)))</f>
        <v>88846.100000000049</v>
      </c>
      <c r="P91" s="585">
        <f>IF(tblContractForDeed[[#This Row],[Date]]="","",IF(tblContractForDeed[[#This Row],[Date]]&lt;cfdRateChangeDate,cfdRate1,cfdRate2))</f>
        <v>0.08</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1" s="316">
        <f>IF(tblContractForDeed[[#This Row],[Payment]]=0,0,MAX(0,MIN(tblContractForDeed[[#This Row],[Beg]],tblContractForDeed[[#This Row],[Payment]]-tblContractForDeed[[#This Row],[Int]])))</f>
        <v>1185.1400000000001</v>
      </c>
      <c r="S91" s="316">
        <f>IF(OR(tblContractForDeed[[#This Row],[Date]]&lt;cfdContractDate,tblContractForDeed[[#This Row],[Date]]&gt;cfdEndDate),0,ROUND(tblContractForDeed[[#This Row],[Beg]]*(tblContractForDeed[[#This Row],[Int Rate]]/12),2))</f>
        <v>592.30999999999995</v>
      </c>
      <c r="T91" s="316">
        <f>IF(tblContractForDeed[[#This Row],[Payment]]=0,0,$V$2)</f>
        <v>134.16999999999999</v>
      </c>
      <c r="U91" s="316">
        <f>IF(tblContractForDeed[[#This Row],[Princ]]=0,0,$V$3)</f>
        <v>0</v>
      </c>
      <c r="V91" s="316">
        <f>SUM(tblContractForDeed[[#This Row],[Princ]],tblContractForDeed[[#This Row],[Int]],tblContractForDeed[[#This Row],[Ins]],tblContractForDeed[[#This Row],[Taxes]])</f>
        <v>1911.6200000000001</v>
      </c>
      <c r="W91" s="316">
        <f>SUM(INDEX(tblContractForDeed[Princ],1):INDEX(tblContractForDeed[Princ],ROW()-ROW(tblContractForDeed[#Headers])))</f>
        <v>58839.040000000001</v>
      </c>
      <c r="X91" s="316">
        <f>IF(tblContractForDeed[[#This Row],[Beg]]&lt;=0,0,tblContractForDeed[[#This Row],[Beg]]-tblContractForDeed[[#This Row],[Princ]])</f>
        <v>87660.96000000005</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0">
        <f>IF(INDEX(tblContractForDeed[Payment],ROW()-ROW(tblBuyerOutputs[#Headers]))=0,0,INDEX(tblContractForDeed[Payment],ROW()-ROW(tblBuyerOutputs[#Headers]))-INDEX(tblSubjectToLoan[Payment],ROW()-ROW(tblBuyerOutputs[#Headers])))</f>
        <v>1777.45</v>
      </c>
      <c r="AA91" s="23"/>
      <c r="AB91" s="21">
        <f>IF(INDEX(tblContractForDeed[Payment],ROW()-ROW(tblBuyerOutputs[#Headers]))=0,0,INDEX(tblContractForDeed[Payment],ROW()-ROW(tblBuyerOutputs[#Headers]))-INDEX(tblSubjectToLoan[Payment],ROW()-ROW(tblBuyerOutputs[#Headers])))-IFERROR(tblBuyerOutputs[[#This Row],[PMI]],0)</f>
        <v>1777.45</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106166.4399999999</v>
      </c>
      <c r="AD91" s="316">
        <f>IF(INDEX(tblContractForDeed[End Bal],ROW()-ROW(tblBuyerOutputs[#Headers]))&lt;=0,0,($O$6+IF(ROW()=ROW(tblBuyerOutputs[#Headers])+1,0,INDEX(tblBuyerOutputs[Cumul Appr],ROW()-ROW(tblBuyerOutputs[#Headers])-1)))*$O$2/12)</f>
        <v>820.046056096499</v>
      </c>
      <c r="AE91" s="588">
        <f>IF(INDEX(tblContractForDeed[End Bal],ROW()-ROW(tblBuyerOutputs[#Headers]))&lt;=0,0,IF(ROW()=ROW(tblBuyerOutputs[#Headers])+1,0,INDEX(tblBuyerOutputs[Cumul Appr],ROW()-ROW(tblBuyerOutputs[#Headers])-1))+tblBuyerOutputs[[#This Row],[Monthly Appr]])</f>
        <v>51131.099519256255</v>
      </c>
      <c r="AF91" s="22"/>
      <c r="AG91" s="14"/>
      <c r="AM91"/>
      <c r="AN91" s="14"/>
      <c r="AP91" s="265"/>
      <c r="AR91" s="14"/>
      <c r="AS91"/>
    </row>
    <row r="92" spans="1:45" x14ac:dyDescent="0.25">
      <c r="A92" s="561">
        <f t="shared" si="17"/>
        <v>48030</v>
      </c>
      <c r="B92" s="265">
        <f t="shared" si="18"/>
        <v>0</v>
      </c>
      <c r="C92" s="14">
        <f t="shared" si="14"/>
        <v>0</v>
      </c>
      <c r="D92" s="14">
        <f t="shared" si="19"/>
        <v>0</v>
      </c>
      <c r="E92" s="14">
        <f t="shared" si="15"/>
        <v>0</v>
      </c>
      <c r="F92" s="14">
        <f t="shared" si="13"/>
        <v>0</v>
      </c>
      <c r="G92" s="14">
        <f t="shared" si="13"/>
        <v>0</v>
      </c>
      <c r="H92" s="14">
        <f t="shared" si="12"/>
        <v>0</v>
      </c>
      <c r="I92" s="265">
        <f t="shared" si="22"/>
        <v>0</v>
      </c>
      <c r="J92" s="265">
        <f t="shared" si="23"/>
        <v>0</v>
      </c>
      <c r="K92" s="265">
        <f t="shared" si="20"/>
        <v>0</v>
      </c>
      <c r="L92" s="373">
        <f t="shared" si="16"/>
        <v>6</v>
      </c>
      <c r="M92" s="373">
        <f t="shared" si="21"/>
        <v>72</v>
      </c>
      <c r="N92" s="561">
        <f>INDEX(tblSubjectToLoan[Date],ROW()-ROW(tblContractForDeed[#Headers]))</f>
        <v>48030</v>
      </c>
      <c r="O92" s="265">
        <f>IF(ROW()=ROW(tblContractForDeed[#Headers])+1,$O$6,IF(INDEX(tblContractForDeed[End Bal],ROW()-ROW(tblContractForDeed[#Headers])-1)&lt;0,0,INDEX(tblContractForDeed[End Bal],ROW()-ROW(tblContractForDeed[#Headers])-1)))</f>
        <v>87660.96000000005</v>
      </c>
      <c r="P92" s="431">
        <f>IF(tblContractForDeed[[#This Row],[Date]]="","",IF(tblContractForDeed[[#This Row],[Date]]&lt;cfdRateChangeDate,cfdRate1,cfdRate2))</f>
        <v>0.08</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2" s="265">
        <f>IF(tblContractForDeed[[#This Row],[Payment]]=0,0,MAX(0,MIN(tblContractForDeed[[#This Row],[Beg]],tblContractForDeed[[#This Row],[Payment]]-tblContractForDeed[[#This Row],[Int]])))</f>
        <v>1193.04</v>
      </c>
      <c r="S92" s="265">
        <f>IF(OR(tblContractForDeed[[#This Row],[Date]]&lt;cfdContractDate,tblContractForDeed[[#This Row],[Date]]&gt;cfdEndDate),0,ROUND(tblContractForDeed[[#This Row],[Beg]]*(tblContractForDeed[[#This Row],[Int Rate]]/12),2))</f>
        <v>584.41</v>
      </c>
      <c r="T92" s="265">
        <f>IF(tblContractForDeed[[#This Row],[Payment]]=0,0,$V$2)</f>
        <v>134.16999999999999</v>
      </c>
      <c r="U92" s="265">
        <f>IF(tblContractForDeed[[#This Row],[Princ]]=0,0,$V$3)</f>
        <v>0</v>
      </c>
      <c r="V92" s="265">
        <f>SUM(tblContractForDeed[[#This Row],[Princ]],tblContractForDeed[[#This Row],[Int]],tblContractForDeed[[#This Row],[Ins]],tblContractForDeed[[#This Row],[Taxes]])</f>
        <v>1911.62</v>
      </c>
      <c r="W92" s="265">
        <f>SUM(INDEX(tblContractForDeed[Princ],1):INDEX(tblContractForDeed[Princ],ROW()-ROW(tblContractForDeed[#Headers])))</f>
        <v>60032.08</v>
      </c>
      <c r="X92" s="265">
        <f>IF(tblContractForDeed[[#This Row],[Beg]]&lt;=0,0,tblContractForDeed[[#This Row],[Beg]]-tblContractForDeed[[#This Row],[Princ]])</f>
        <v>86467.920000000056</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39">
        <f>IF(INDEX(tblContractForDeed[Payment],ROW()-ROW(tblBuyerOutputs[#Headers]))=0,0,INDEX(tblContractForDeed[Payment],ROW()-ROW(tblBuyerOutputs[#Headers]))-INDEX(tblSubjectToLoan[Payment],ROW()-ROW(tblBuyerOutputs[#Headers])))</f>
        <v>1777.45</v>
      </c>
      <c r="AA92"/>
      <c r="AB92" s="14">
        <f>IF(INDEX(tblContractForDeed[Payment],ROW()-ROW(tblBuyerOutputs[#Headers]))=0,0,INDEX(tblContractForDeed[Payment],ROW()-ROW(tblBuyerOutputs[#Headers]))-INDEX(tblSubjectToLoan[Payment],ROW()-ROW(tblBuyerOutputs[#Headers])))-IFERROR(tblBuyerOutputs[[#This Row],[PMI]],0)</f>
        <v>1777.45</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107943.8899999999</v>
      </c>
      <c r="AD92" s="265">
        <f>IF(INDEX(tblContractForDeed[End Bal],ROW()-ROW(tblBuyerOutputs[#Headers]))&lt;=0,0,($O$6+IF(ROW()=ROW(tblBuyerOutputs[#Headers])+1,0,INDEX(tblBuyerOutputs[Cumul Appr],ROW()-ROW(tblBuyerOutputs[#Headers])-1)))*$O$2/12)</f>
        <v>823.46291466356786</v>
      </c>
      <c r="AE92" s="587">
        <f>IF(INDEX(tblContractForDeed[End Bal],ROW()-ROW(tblBuyerOutputs[#Headers]))&lt;=0,0,IF(ROW()=ROW(tblBuyerOutputs[#Headers])+1,0,INDEX(tblBuyerOutputs[Cumul Appr],ROW()-ROW(tblBuyerOutputs[#Headers])-1))+tblBuyerOutputs[[#This Row],[Monthly Appr]])</f>
        <v>51954.562433919826</v>
      </c>
      <c r="AF92" s="22"/>
      <c r="AG92" s="14"/>
      <c r="AM92"/>
      <c r="AN92" s="14"/>
      <c r="AP92" s="265"/>
      <c r="AR92" s="14"/>
      <c r="AS92"/>
    </row>
    <row r="93" spans="1:45" x14ac:dyDescent="0.25">
      <c r="A93" s="561">
        <f t="shared" si="17"/>
        <v>48061</v>
      </c>
      <c r="B93" s="265">
        <f t="shared" si="18"/>
        <v>0</v>
      </c>
      <c r="C93" s="14">
        <f t="shared" si="14"/>
        <v>0</v>
      </c>
      <c r="D93" s="14">
        <f t="shared" si="19"/>
        <v>0</v>
      </c>
      <c r="E93" s="14">
        <f t="shared" si="15"/>
        <v>0</v>
      </c>
      <c r="F93" s="14">
        <f t="shared" si="13"/>
        <v>0</v>
      </c>
      <c r="G93" s="14">
        <f t="shared" si="13"/>
        <v>0</v>
      </c>
      <c r="H93" s="14">
        <f t="shared" si="12"/>
        <v>0</v>
      </c>
      <c r="I93" s="265">
        <f t="shared" si="22"/>
        <v>0</v>
      </c>
      <c r="J93" s="265">
        <f t="shared" si="23"/>
        <v>0</v>
      </c>
      <c r="K93" s="265">
        <f t="shared" si="20"/>
        <v>0</v>
      </c>
      <c r="L93" s="373">
        <f t="shared" si="16"/>
        <v>6</v>
      </c>
      <c r="M93" s="373">
        <f t="shared" si="21"/>
        <v>73</v>
      </c>
      <c r="N93" s="561">
        <f>INDEX(tblSubjectToLoan[Date],ROW()-ROW(tblContractForDeed[#Headers]))</f>
        <v>48061</v>
      </c>
      <c r="O93" s="265">
        <f>IF(ROW()=ROW(tblContractForDeed[#Headers])+1,$O$6,IF(INDEX(tblContractForDeed[End Bal],ROW()-ROW(tblContractForDeed[#Headers])-1)&lt;0,0,INDEX(tblContractForDeed[End Bal],ROW()-ROW(tblContractForDeed[#Headers])-1)))</f>
        <v>86467.920000000056</v>
      </c>
      <c r="P93" s="431">
        <f>IF(tblContractForDeed[[#This Row],[Date]]="","",IF(tblContractForDeed[[#This Row],[Date]]&lt;cfdRateChangeDate,cfdRate1,cfdRate2))</f>
        <v>0.08</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3" s="265">
        <f>IF(tblContractForDeed[[#This Row],[Payment]]=0,0,MAX(0,MIN(tblContractForDeed[[#This Row],[Beg]],tblContractForDeed[[#This Row],[Payment]]-tblContractForDeed[[#This Row],[Int]])))</f>
        <v>1201</v>
      </c>
      <c r="S93" s="265">
        <f>IF(OR(tblContractForDeed[[#This Row],[Date]]&lt;cfdContractDate,tblContractForDeed[[#This Row],[Date]]&gt;cfdEndDate),0,ROUND(tblContractForDeed[[#This Row],[Beg]]*(tblContractForDeed[[#This Row],[Int Rate]]/12),2))</f>
        <v>576.45000000000005</v>
      </c>
      <c r="T93" s="265">
        <f>IF(tblContractForDeed[[#This Row],[Payment]]=0,0,$V$2)</f>
        <v>134.16999999999999</v>
      </c>
      <c r="U93" s="265">
        <f>IF(tblContractForDeed[[#This Row],[Princ]]=0,0,$V$3)</f>
        <v>0</v>
      </c>
      <c r="V93" s="265">
        <f>SUM(tblContractForDeed[[#This Row],[Princ]],tblContractForDeed[[#This Row],[Int]],tblContractForDeed[[#This Row],[Ins]],tblContractForDeed[[#This Row],[Taxes]])</f>
        <v>1911.6200000000001</v>
      </c>
      <c r="W93" s="265">
        <f>SUM(INDEX(tblContractForDeed[Princ],1):INDEX(tblContractForDeed[Princ],ROW()-ROW(tblContractForDeed[#Headers])))</f>
        <v>61233.08</v>
      </c>
      <c r="X93" s="265">
        <f>IF(tblContractForDeed[[#This Row],[Beg]]&lt;=0,0,tblContractForDeed[[#This Row],[Beg]]-tblContractForDeed[[#This Row],[Princ]])</f>
        <v>85266.920000000056</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39">
        <f>IF(INDEX(tblContractForDeed[Payment],ROW()-ROW(tblBuyerOutputs[#Headers]))=0,0,INDEX(tblContractForDeed[Payment],ROW()-ROW(tblBuyerOutputs[#Headers]))-INDEX(tblSubjectToLoan[Payment],ROW()-ROW(tblBuyerOutputs[#Headers])))</f>
        <v>1777.45</v>
      </c>
      <c r="AA93"/>
      <c r="AB93" s="14">
        <f>IF(INDEX(tblContractForDeed[Payment],ROW()-ROW(tblBuyerOutputs[#Headers]))=0,0,INDEX(tblContractForDeed[Payment],ROW()-ROW(tblBuyerOutputs[#Headers]))-INDEX(tblSubjectToLoan[Payment],ROW()-ROW(tblBuyerOutputs[#Headers])))-IFERROR(tblBuyerOutputs[[#This Row],[PMI]],0)</f>
        <v>1777.45</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109721.33999999989</v>
      </c>
      <c r="AD93" s="265">
        <f>IF(INDEX(tblContractForDeed[End Bal],ROW()-ROW(tblBuyerOutputs[#Headers]))&lt;=0,0,($O$6+IF(ROW()=ROW(tblBuyerOutputs[#Headers])+1,0,INDEX(tblBuyerOutputs[Cumul Appr],ROW()-ROW(tblBuyerOutputs[#Headers])-1)))*$O$2/12)</f>
        <v>826.89401014133261</v>
      </c>
      <c r="AE93" s="587">
        <f>IF(INDEX(tblContractForDeed[End Bal],ROW()-ROW(tblBuyerOutputs[#Headers]))&lt;=0,0,IF(ROW()=ROW(tblBuyerOutputs[#Headers])+1,0,INDEX(tblBuyerOutputs[Cumul Appr],ROW()-ROW(tblBuyerOutputs[#Headers])-1))+tblBuyerOutputs[[#This Row],[Monthly Appr]])</f>
        <v>52781.456444061158</v>
      </c>
      <c r="AF93" s="22"/>
      <c r="AG93" s="14"/>
      <c r="AM93"/>
      <c r="AN93" s="14"/>
      <c r="AP93" s="265"/>
      <c r="AR93" s="14"/>
      <c r="AS93"/>
    </row>
    <row r="94" spans="1:45" x14ac:dyDescent="0.25">
      <c r="A94" s="561">
        <f t="shared" si="17"/>
        <v>48092</v>
      </c>
      <c r="B94" s="265">
        <f t="shared" si="18"/>
        <v>0</v>
      </c>
      <c r="C94" s="14">
        <f t="shared" si="14"/>
        <v>0</v>
      </c>
      <c r="D94" s="14">
        <f t="shared" si="19"/>
        <v>0</v>
      </c>
      <c r="E94" s="14">
        <f t="shared" si="15"/>
        <v>0</v>
      </c>
      <c r="F94" s="14">
        <f t="shared" si="13"/>
        <v>0</v>
      </c>
      <c r="G94" s="14">
        <f t="shared" si="13"/>
        <v>0</v>
      </c>
      <c r="H94" s="14">
        <f t="shared" si="12"/>
        <v>0</v>
      </c>
      <c r="I94" s="265">
        <f t="shared" si="22"/>
        <v>0</v>
      </c>
      <c r="J94" s="265">
        <f t="shared" si="23"/>
        <v>0</v>
      </c>
      <c r="K94" s="265">
        <f t="shared" si="20"/>
        <v>0</v>
      </c>
      <c r="L94" s="373">
        <f t="shared" si="16"/>
        <v>6</v>
      </c>
      <c r="M94" s="373">
        <f t="shared" si="21"/>
        <v>74</v>
      </c>
      <c r="N94" s="561">
        <f>INDEX(tblSubjectToLoan[Date],ROW()-ROW(tblContractForDeed[#Headers]))</f>
        <v>48092</v>
      </c>
      <c r="O94" s="265">
        <f>IF(ROW()=ROW(tblContractForDeed[#Headers])+1,$O$6,IF(INDEX(tblContractForDeed[End Bal],ROW()-ROW(tblContractForDeed[#Headers])-1)&lt;0,0,INDEX(tblContractForDeed[End Bal],ROW()-ROW(tblContractForDeed[#Headers])-1)))</f>
        <v>85266.920000000056</v>
      </c>
      <c r="P94" s="431">
        <f>IF(tblContractForDeed[[#This Row],[Date]]="","",IF(tblContractForDeed[[#This Row],[Date]]&lt;cfdRateChangeDate,cfdRate1,cfdRate2))</f>
        <v>0.08</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4" s="265">
        <f>IF(tblContractForDeed[[#This Row],[Payment]]=0,0,MAX(0,MIN(tblContractForDeed[[#This Row],[Beg]],tblContractForDeed[[#This Row],[Payment]]-tblContractForDeed[[#This Row],[Int]])))</f>
        <v>1209</v>
      </c>
      <c r="S94" s="265">
        <f>IF(OR(tblContractForDeed[[#This Row],[Date]]&lt;cfdContractDate,tblContractForDeed[[#This Row],[Date]]&gt;cfdEndDate),0,ROUND(tblContractForDeed[[#This Row],[Beg]]*(tblContractForDeed[[#This Row],[Int Rate]]/12),2))</f>
        <v>568.45000000000005</v>
      </c>
      <c r="T94" s="265">
        <f>IF(tblContractForDeed[[#This Row],[Payment]]=0,0,$V$2)</f>
        <v>134.16999999999999</v>
      </c>
      <c r="U94" s="265">
        <f>IF(tblContractForDeed[[#This Row],[Princ]]=0,0,$V$3)</f>
        <v>0</v>
      </c>
      <c r="V94" s="265">
        <f>SUM(tblContractForDeed[[#This Row],[Princ]],tblContractForDeed[[#This Row],[Int]],tblContractForDeed[[#This Row],[Ins]],tblContractForDeed[[#This Row],[Taxes]])</f>
        <v>1911.6200000000001</v>
      </c>
      <c r="W94" s="265">
        <f>SUM(INDEX(tblContractForDeed[Princ],1):INDEX(tblContractForDeed[Princ],ROW()-ROW(tblContractForDeed[#Headers])))</f>
        <v>62442.080000000002</v>
      </c>
      <c r="X94" s="265">
        <f>IF(tblContractForDeed[[#This Row],[Beg]]&lt;=0,0,tblContractForDeed[[#This Row],[Beg]]-tblContractForDeed[[#This Row],[Princ]])</f>
        <v>84057.920000000056</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39">
        <f>IF(INDEX(tblContractForDeed[Payment],ROW()-ROW(tblBuyerOutputs[#Headers]))=0,0,INDEX(tblContractForDeed[Payment],ROW()-ROW(tblBuyerOutputs[#Headers]))-INDEX(tblSubjectToLoan[Payment],ROW()-ROW(tblBuyerOutputs[#Headers])))</f>
        <v>1777.45</v>
      </c>
      <c r="AA94"/>
      <c r="AB94" s="14">
        <f>IF(INDEX(tblContractForDeed[Payment],ROW()-ROW(tblBuyerOutputs[#Headers]))=0,0,INDEX(tblContractForDeed[Payment],ROW()-ROW(tblBuyerOutputs[#Headers]))-INDEX(tblSubjectToLoan[Payment],ROW()-ROW(tblBuyerOutputs[#Headers])))-IFERROR(tblBuyerOutputs[[#This Row],[PMI]],0)</f>
        <v>1777.45</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111498.78999999989</v>
      </c>
      <c r="AD94" s="265">
        <f>IF(INDEX(tblContractForDeed[End Bal],ROW()-ROW(tblBuyerOutputs[#Headers]))&lt;=0,0,($O$6+IF(ROW()=ROW(tblBuyerOutputs[#Headers])+1,0,INDEX(tblBuyerOutputs[Cumul Appr],ROW()-ROW(tblBuyerOutputs[#Headers])-1)))*$O$2/12)</f>
        <v>830.33940185025494</v>
      </c>
      <c r="AE94" s="587">
        <f>IF(INDEX(tblContractForDeed[End Bal],ROW()-ROW(tblBuyerOutputs[#Headers]))&lt;=0,0,IF(ROW()=ROW(tblBuyerOutputs[#Headers])+1,0,INDEX(tblBuyerOutputs[Cumul Appr],ROW()-ROW(tblBuyerOutputs[#Headers])-1))+tblBuyerOutputs[[#This Row],[Monthly Appr]])</f>
        <v>53611.795845911416</v>
      </c>
      <c r="AF94" s="22"/>
      <c r="AG94" s="14"/>
      <c r="AM94"/>
      <c r="AN94" s="14"/>
      <c r="AP94" s="265"/>
      <c r="AR94" s="14"/>
      <c r="AS94"/>
    </row>
    <row r="95" spans="1:45" x14ac:dyDescent="0.25">
      <c r="A95" s="561">
        <f t="shared" si="17"/>
        <v>48122</v>
      </c>
      <c r="B95" s="265">
        <f t="shared" si="18"/>
        <v>0</v>
      </c>
      <c r="C95" s="14">
        <f t="shared" si="14"/>
        <v>0</v>
      </c>
      <c r="D95" s="14">
        <f t="shared" si="19"/>
        <v>0</v>
      </c>
      <c r="E95" s="14">
        <f t="shared" si="15"/>
        <v>0</v>
      </c>
      <c r="F95" s="14">
        <f t="shared" ref="F95:G110" si="24">+F94</f>
        <v>0</v>
      </c>
      <c r="G95" s="14">
        <f t="shared" si="24"/>
        <v>0</v>
      </c>
      <c r="H95" s="14">
        <f t="shared" si="12"/>
        <v>0</v>
      </c>
      <c r="I95" s="265">
        <f t="shared" si="22"/>
        <v>0</v>
      </c>
      <c r="J95" s="265">
        <f t="shared" si="23"/>
        <v>0</v>
      </c>
      <c r="K95" s="265">
        <f t="shared" si="20"/>
        <v>0</v>
      </c>
      <c r="L95" s="373">
        <f t="shared" si="16"/>
        <v>6</v>
      </c>
      <c r="M95" s="373">
        <f t="shared" si="21"/>
        <v>75</v>
      </c>
      <c r="N95" s="561">
        <f>INDEX(tblSubjectToLoan[Date],ROW()-ROW(tblContractForDeed[#Headers]))</f>
        <v>48122</v>
      </c>
      <c r="O95" s="265">
        <f>IF(ROW()=ROW(tblContractForDeed[#Headers])+1,$O$6,IF(INDEX(tblContractForDeed[End Bal],ROW()-ROW(tblContractForDeed[#Headers])-1)&lt;0,0,INDEX(tblContractForDeed[End Bal],ROW()-ROW(tblContractForDeed[#Headers])-1)))</f>
        <v>84057.920000000056</v>
      </c>
      <c r="P95" s="431">
        <f>IF(tblContractForDeed[[#This Row],[Date]]="","",IF(tblContractForDeed[[#This Row],[Date]]&lt;cfdRateChangeDate,cfdRate1,cfdRate2))</f>
        <v>0.08</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5" s="265">
        <f>IF(tblContractForDeed[[#This Row],[Payment]]=0,0,MAX(0,MIN(tblContractForDeed[[#This Row],[Beg]],tblContractForDeed[[#This Row],[Payment]]-tblContractForDeed[[#This Row],[Int]])))</f>
        <v>1217.06</v>
      </c>
      <c r="S95" s="265">
        <f>IF(OR(tblContractForDeed[[#This Row],[Date]]&lt;cfdContractDate,tblContractForDeed[[#This Row],[Date]]&gt;cfdEndDate),0,ROUND(tblContractForDeed[[#This Row],[Beg]]*(tblContractForDeed[[#This Row],[Int Rate]]/12),2))</f>
        <v>560.39</v>
      </c>
      <c r="T95" s="265">
        <f>IF(tblContractForDeed[[#This Row],[Payment]]=0,0,$V$2)</f>
        <v>134.16999999999999</v>
      </c>
      <c r="U95" s="265">
        <f>IF(tblContractForDeed[[#This Row],[Princ]]=0,0,$V$3)</f>
        <v>0</v>
      </c>
      <c r="V95" s="265">
        <f>SUM(tblContractForDeed[[#This Row],[Princ]],tblContractForDeed[[#This Row],[Int]],tblContractForDeed[[#This Row],[Ins]],tblContractForDeed[[#This Row],[Taxes]])</f>
        <v>1911.62</v>
      </c>
      <c r="W95" s="265">
        <f>SUM(INDEX(tblContractForDeed[Princ],1):INDEX(tblContractForDeed[Princ],ROW()-ROW(tblContractForDeed[#Headers])))</f>
        <v>63659.14</v>
      </c>
      <c r="X95" s="265">
        <f>IF(tblContractForDeed[[#This Row],[Beg]]&lt;=0,0,tblContractForDeed[[#This Row],[Beg]]-tblContractForDeed[[#This Row],[Princ]])</f>
        <v>82840.860000000059</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39">
        <f>IF(INDEX(tblContractForDeed[Payment],ROW()-ROW(tblBuyerOutputs[#Headers]))=0,0,INDEX(tblContractForDeed[Payment],ROW()-ROW(tblBuyerOutputs[#Headers]))-INDEX(tblSubjectToLoan[Payment],ROW()-ROW(tblBuyerOutputs[#Headers])))</f>
        <v>1777.45</v>
      </c>
      <c r="AA95"/>
      <c r="AB95" s="14">
        <f>IF(INDEX(tblContractForDeed[Payment],ROW()-ROW(tblBuyerOutputs[#Headers]))=0,0,INDEX(tblContractForDeed[Payment],ROW()-ROW(tblBuyerOutputs[#Headers]))-INDEX(tblSubjectToLoan[Payment],ROW()-ROW(tblBuyerOutputs[#Headers])))-IFERROR(tblBuyerOutputs[[#This Row],[PMI]],0)</f>
        <v>1777.45</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113276.23999999989</v>
      </c>
      <c r="AD95" s="265">
        <f>IF(INDEX(tblContractForDeed[End Bal],ROW()-ROW(tblBuyerOutputs[#Headers]))&lt;=0,0,($O$6+IF(ROW()=ROW(tblBuyerOutputs[#Headers])+1,0,INDEX(tblBuyerOutputs[Cumul Appr],ROW()-ROW(tblBuyerOutputs[#Headers])-1)))*$O$2/12)</f>
        <v>833.79914935796432</v>
      </c>
      <c r="AE95" s="587">
        <f>IF(INDEX(tblContractForDeed[End Bal],ROW()-ROW(tblBuyerOutputs[#Headers]))&lt;=0,0,IF(ROW()=ROW(tblBuyerOutputs[#Headers])+1,0,INDEX(tblBuyerOutputs[Cumul Appr],ROW()-ROW(tblBuyerOutputs[#Headers])-1))+tblBuyerOutputs[[#This Row],[Monthly Appr]])</f>
        <v>54445.594995269377</v>
      </c>
      <c r="AF95" s="22"/>
      <c r="AG95" s="14"/>
      <c r="AM95"/>
      <c r="AN95" s="14"/>
      <c r="AP95" s="265"/>
      <c r="AR95" s="14"/>
      <c r="AS95"/>
    </row>
    <row r="96" spans="1:45" x14ac:dyDescent="0.25">
      <c r="A96" s="561">
        <f t="shared" si="17"/>
        <v>48153</v>
      </c>
      <c r="B96" s="265">
        <f t="shared" si="18"/>
        <v>0</v>
      </c>
      <c r="C96" s="14">
        <f t="shared" si="14"/>
        <v>0</v>
      </c>
      <c r="D96" s="14">
        <f t="shared" si="19"/>
        <v>0</v>
      </c>
      <c r="E96" s="14">
        <f t="shared" si="15"/>
        <v>0</v>
      </c>
      <c r="F96" s="14">
        <f t="shared" si="24"/>
        <v>0</v>
      </c>
      <c r="G96" s="14">
        <f t="shared" si="24"/>
        <v>0</v>
      </c>
      <c r="H96" s="14">
        <f t="shared" si="12"/>
        <v>0</v>
      </c>
      <c r="I96" s="265">
        <f t="shared" si="22"/>
        <v>0</v>
      </c>
      <c r="J96" s="265">
        <f t="shared" si="23"/>
        <v>0</v>
      </c>
      <c r="K96" s="265">
        <f t="shared" si="20"/>
        <v>0</v>
      </c>
      <c r="L96" s="373">
        <f t="shared" si="16"/>
        <v>6</v>
      </c>
      <c r="M96" s="373">
        <f t="shared" si="21"/>
        <v>76</v>
      </c>
      <c r="N96" s="561">
        <f>INDEX(tblSubjectToLoan[Date],ROW()-ROW(tblContractForDeed[#Headers]))</f>
        <v>48153</v>
      </c>
      <c r="O96" s="265">
        <f>IF(ROW()=ROW(tblContractForDeed[#Headers])+1,$O$6,IF(INDEX(tblContractForDeed[End Bal],ROW()-ROW(tblContractForDeed[#Headers])-1)&lt;0,0,INDEX(tblContractForDeed[End Bal],ROW()-ROW(tblContractForDeed[#Headers])-1)))</f>
        <v>82840.860000000059</v>
      </c>
      <c r="P96" s="431">
        <f>IF(tblContractForDeed[[#This Row],[Date]]="","",IF(tblContractForDeed[[#This Row],[Date]]&lt;cfdRateChangeDate,cfdRate1,cfdRate2))</f>
        <v>0.08</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6" s="265">
        <f>IF(tblContractForDeed[[#This Row],[Payment]]=0,0,MAX(0,MIN(tblContractForDeed[[#This Row],[Beg]],tblContractForDeed[[#This Row],[Payment]]-tblContractForDeed[[#This Row],[Int]])))</f>
        <v>1225.18</v>
      </c>
      <c r="S96" s="265">
        <f>IF(OR(tblContractForDeed[[#This Row],[Date]]&lt;cfdContractDate,tblContractForDeed[[#This Row],[Date]]&gt;cfdEndDate),0,ROUND(tblContractForDeed[[#This Row],[Beg]]*(tblContractForDeed[[#This Row],[Int Rate]]/12),2))</f>
        <v>552.27</v>
      </c>
      <c r="T96" s="265">
        <f>IF(tblContractForDeed[[#This Row],[Payment]]=0,0,$V$2)</f>
        <v>134.16999999999999</v>
      </c>
      <c r="U96" s="265">
        <f>IF(tblContractForDeed[[#This Row],[Princ]]=0,0,$V$3)</f>
        <v>0</v>
      </c>
      <c r="V96" s="265">
        <f>SUM(tblContractForDeed[[#This Row],[Princ]],tblContractForDeed[[#This Row],[Int]],tblContractForDeed[[#This Row],[Ins]],tblContractForDeed[[#This Row],[Taxes]])</f>
        <v>1911.6200000000001</v>
      </c>
      <c r="W96" s="265">
        <f>SUM(INDEX(tblContractForDeed[Princ],1):INDEX(tblContractForDeed[Princ],ROW()-ROW(tblContractForDeed[#Headers])))</f>
        <v>64884.32</v>
      </c>
      <c r="X96" s="265">
        <f>IF(tblContractForDeed[[#This Row],[Beg]]&lt;=0,0,tblContractForDeed[[#This Row],[Beg]]-tblContractForDeed[[#This Row],[Princ]])</f>
        <v>81615.680000000066</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39">
        <f>IF(INDEX(tblContractForDeed[Payment],ROW()-ROW(tblBuyerOutputs[#Headers]))=0,0,INDEX(tblContractForDeed[Payment],ROW()-ROW(tblBuyerOutputs[#Headers]))-INDEX(tblSubjectToLoan[Payment],ROW()-ROW(tblBuyerOutputs[#Headers])))</f>
        <v>1777.45</v>
      </c>
      <c r="AA96"/>
      <c r="AB96" s="14">
        <f>IF(INDEX(tblContractForDeed[Payment],ROW()-ROW(tblBuyerOutputs[#Headers]))=0,0,INDEX(tblContractForDeed[Payment],ROW()-ROW(tblBuyerOutputs[#Headers]))-INDEX(tblSubjectToLoan[Payment],ROW()-ROW(tblBuyerOutputs[#Headers])))-IFERROR(tblBuyerOutputs[[#This Row],[PMI]],0)</f>
        <v>1777.45</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115053.68999999989</v>
      </c>
      <c r="AD96" s="265">
        <f>IF(INDEX(tblContractForDeed[End Bal],ROW()-ROW(tblBuyerOutputs[#Headers]))&lt;=0,0,($O$6+IF(ROW()=ROW(tblBuyerOutputs[#Headers])+1,0,INDEX(tblBuyerOutputs[Cumul Appr],ROW()-ROW(tblBuyerOutputs[#Headers])-1)))*$O$2/12)</f>
        <v>837.27331248028906</v>
      </c>
      <c r="AE96" s="587">
        <f>IF(INDEX(tblContractForDeed[End Bal],ROW()-ROW(tblBuyerOutputs[#Headers]))&lt;=0,0,IF(ROW()=ROW(tblBuyerOutputs[#Headers])+1,0,INDEX(tblBuyerOutputs[Cumul Appr],ROW()-ROW(tblBuyerOutputs[#Headers])-1))+tblBuyerOutputs[[#This Row],[Monthly Appr]])</f>
        <v>55282.868307749668</v>
      </c>
      <c r="AF96" s="22"/>
      <c r="AG96" s="14"/>
      <c r="AM96"/>
      <c r="AN96" s="14"/>
      <c r="AP96" s="265"/>
      <c r="AR96" s="14"/>
      <c r="AS96"/>
    </row>
    <row r="97" spans="1:45" x14ac:dyDescent="0.25">
      <c r="A97" s="561">
        <f t="shared" si="17"/>
        <v>48183</v>
      </c>
      <c r="B97" s="265">
        <f t="shared" si="18"/>
        <v>0</v>
      </c>
      <c r="C97" s="14">
        <f t="shared" si="14"/>
        <v>0</v>
      </c>
      <c r="D97" s="14">
        <f t="shared" si="19"/>
        <v>0</v>
      </c>
      <c r="E97" s="14">
        <f t="shared" si="15"/>
        <v>0</v>
      </c>
      <c r="F97" s="14">
        <f t="shared" si="24"/>
        <v>0</v>
      </c>
      <c r="G97" s="14">
        <f t="shared" si="24"/>
        <v>0</v>
      </c>
      <c r="H97" s="14">
        <f t="shared" si="12"/>
        <v>0</v>
      </c>
      <c r="I97" s="265">
        <f t="shared" si="22"/>
        <v>0</v>
      </c>
      <c r="J97" s="265">
        <f t="shared" si="23"/>
        <v>0</v>
      </c>
      <c r="K97" s="265">
        <f t="shared" si="20"/>
        <v>0</v>
      </c>
      <c r="L97" s="373">
        <f t="shared" si="16"/>
        <v>6</v>
      </c>
      <c r="M97" s="373">
        <f t="shared" si="21"/>
        <v>77</v>
      </c>
      <c r="N97" s="561">
        <f>INDEX(tblSubjectToLoan[Date],ROW()-ROW(tblContractForDeed[#Headers]))</f>
        <v>48183</v>
      </c>
      <c r="O97" s="265">
        <f>IF(ROW()=ROW(tblContractForDeed[#Headers])+1,$O$6,IF(INDEX(tblContractForDeed[End Bal],ROW()-ROW(tblContractForDeed[#Headers])-1)&lt;0,0,INDEX(tblContractForDeed[End Bal],ROW()-ROW(tblContractForDeed[#Headers])-1)))</f>
        <v>81615.680000000066</v>
      </c>
      <c r="P97" s="431">
        <f>IF(tblContractForDeed[[#This Row],[Date]]="","",IF(tblContractForDeed[[#This Row],[Date]]&lt;cfdRateChangeDate,cfdRate1,cfdRate2))</f>
        <v>0.08</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7" s="265">
        <f>IF(tblContractForDeed[[#This Row],[Payment]]=0,0,MAX(0,MIN(tblContractForDeed[[#This Row],[Beg]],tblContractForDeed[[#This Row],[Payment]]-tblContractForDeed[[#This Row],[Int]])))</f>
        <v>1233.3499999999999</v>
      </c>
      <c r="S97" s="265">
        <f>IF(OR(tblContractForDeed[[#This Row],[Date]]&lt;cfdContractDate,tblContractForDeed[[#This Row],[Date]]&gt;cfdEndDate),0,ROUND(tblContractForDeed[[#This Row],[Beg]]*(tblContractForDeed[[#This Row],[Int Rate]]/12),2))</f>
        <v>544.1</v>
      </c>
      <c r="T97" s="265">
        <f>IF(tblContractForDeed[[#This Row],[Payment]]=0,0,$V$2)</f>
        <v>134.16999999999999</v>
      </c>
      <c r="U97" s="265">
        <f>IF(tblContractForDeed[[#This Row],[Princ]]=0,0,$V$3)</f>
        <v>0</v>
      </c>
      <c r="V97" s="265">
        <f>SUM(tblContractForDeed[[#This Row],[Princ]],tblContractForDeed[[#This Row],[Int]],tblContractForDeed[[#This Row],[Ins]],tblContractForDeed[[#This Row],[Taxes]])</f>
        <v>1911.62</v>
      </c>
      <c r="W97" s="265">
        <f>SUM(INDEX(tblContractForDeed[Princ],1):INDEX(tblContractForDeed[Princ],ROW()-ROW(tblContractForDeed[#Headers])))</f>
        <v>66117.67</v>
      </c>
      <c r="X97" s="265">
        <f>IF(tblContractForDeed[[#This Row],[Beg]]&lt;=0,0,tblContractForDeed[[#This Row],[Beg]]-tblContractForDeed[[#This Row],[Princ]])</f>
        <v>80382.33000000006</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39">
        <f>IF(INDEX(tblContractForDeed[Payment],ROW()-ROW(tblBuyerOutputs[#Headers]))=0,0,INDEX(tblContractForDeed[Payment],ROW()-ROW(tblBuyerOutputs[#Headers]))-INDEX(tblSubjectToLoan[Payment],ROW()-ROW(tblBuyerOutputs[#Headers])))</f>
        <v>1777.45</v>
      </c>
      <c r="AA97"/>
      <c r="AB97" s="14">
        <f>IF(INDEX(tblContractForDeed[Payment],ROW()-ROW(tblBuyerOutputs[#Headers]))=0,0,INDEX(tblContractForDeed[Payment],ROW()-ROW(tblBuyerOutputs[#Headers]))-INDEX(tblSubjectToLoan[Payment],ROW()-ROW(tblBuyerOutputs[#Headers])))-IFERROR(tblBuyerOutputs[[#This Row],[PMI]],0)</f>
        <v>1777.45</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116831.13999999988</v>
      </c>
      <c r="AD97" s="265">
        <f>IF(INDEX(tblContractForDeed[End Bal],ROW()-ROW(tblBuyerOutputs[#Headers]))&lt;=0,0,($O$6+IF(ROW()=ROW(tblBuyerOutputs[#Headers])+1,0,INDEX(tblBuyerOutputs[Cumul Appr],ROW()-ROW(tblBuyerOutputs[#Headers])-1)))*$O$2/12)</f>
        <v>840.7619512822904</v>
      </c>
      <c r="AE97" s="587">
        <f>IF(INDEX(tblContractForDeed[End Bal],ROW()-ROW(tblBuyerOutputs[#Headers]))&lt;=0,0,IF(ROW()=ROW(tblBuyerOutputs[#Headers])+1,0,INDEX(tblBuyerOutputs[Cumul Appr],ROW()-ROW(tblBuyerOutputs[#Headers])-1))+tblBuyerOutputs[[#This Row],[Monthly Appr]])</f>
        <v>56123.630259031961</v>
      </c>
      <c r="AF97" s="22"/>
      <c r="AG97" s="14"/>
      <c r="AM97"/>
      <c r="AN97" s="14"/>
      <c r="AP97" s="265"/>
      <c r="AR97" s="14"/>
      <c r="AS97"/>
    </row>
    <row r="98" spans="1:45" x14ac:dyDescent="0.25">
      <c r="A98" s="561">
        <f t="shared" si="17"/>
        <v>48214</v>
      </c>
      <c r="B98" s="265">
        <f t="shared" si="18"/>
        <v>0</v>
      </c>
      <c r="C98" s="14">
        <f t="shared" si="14"/>
        <v>0</v>
      </c>
      <c r="D98" s="14">
        <f t="shared" si="19"/>
        <v>0</v>
      </c>
      <c r="E98" s="14">
        <f t="shared" si="15"/>
        <v>0</v>
      </c>
      <c r="F98" s="14">
        <f t="shared" si="24"/>
        <v>0</v>
      </c>
      <c r="G98" s="14">
        <f t="shared" si="24"/>
        <v>0</v>
      </c>
      <c r="H98" s="14">
        <f t="shared" si="12"/>
        <v>0</v>
      </c>
      <c r="I98" s="265">
        <f t="shared" si="22"/>
        <v>0</v>
      </c>
      <c r="J98" s="265">
        <f t="shared" si="23"/>
        <v>0</v>
      </c>
      <c r="K98" s="265">
        <f t="shared" si="20"/>
        <v>0</v>
      </c>
      <c r="L98" s="373">
        <f t="shared" si="16"/>
        <v>6</v>
      </c>
      <c r="M98" s="373">
        <f t="shared" si="21"/>
        <v>78</v>
      </c>
      <c r="N98" s="561">
        <f>INDEX(tblSubjectToLoan[Date],ROW()-ROW(tblContractForDeed[#Headers]))</f>
        <v>48214</v>
      </c>
      <c r="O98" s="265">
        <f>IF(ROW()=ROW(tblContractForDeed[#Headers])+1,$O$6,IF(INDEX(tblContractForDeed[End Bal],ROW()-ROW(tblContractForDeed[#Headers])-1)&lt;0,0,INDEX(tblContractForDeed[End Bal],ROW()-ROW(tblContractForDeed[#Headers])-1)))</f>
        <v>80382.33000000006</v>
      </c>
      <c r="P98" s="431">
        <f>IF(tblContractForDeed[[#This Row],[Date]]="","",IF(tblContractForDeed[[#This Row],[Date]]&lt;cfdRateChangeDate,cfdRate1,cfdRate2))</f>
        <v>0.08</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8" s="265">
        <f>IF(tblContractForDeed[[#This Row],[Payment]]=0,0,MAX(0,MIN(tblContractForDeed[[#This Row],[Beg]],tblContractForDeed[[#This Row],[Payment]]-tblContractForDeed[[#This Row],[Int]])))</f>
        <v>1241.5700000000002</v>
      </c>
      <c r="S98" s="265">
        <f>IF(OR(tblContractForDeed[[#This Row],[Date]]&lt;cfdContractDate,tblContractForDeed[[#This Row],[Date]]&gt;cfdEndDate),0,ROUND(tblContractForDeed[[#This Row],[Beg]]*(tblContractForDeed[[#This Row],[Int Rate]]/12),2))</f>
        <v>535.88</v>
      </c>
      <c r="T98" s="265">
        <f>IF(tblContractForDeed[[#This Row],[Payment]]=0,0,$V$2)</f>
        <v>134.16999999999999</v>
      </c>
      <c r="U98" s="265">
        <f>IF(tblContractForDeed[[#This Row],[Princ]]=0,0,$V$3)</f>
        <v>0</v>
      </c>
      <c r="V98" s="265">
        <f>SUM(tblContractForDeed[[#This Row],[Princ]],tblContractForDeed[[#This Row],[Int]],tblContractForDeed[[#This Row],[Ins]],tblContractForDeed[[#This Row],[Taxes]])</f>
        <v>1911.6200000000003</v>
      </c>
      <c r="W98" s="265">
        <f>SUM(INDEX(tblContractForDeed[Princ],1):INDEX(tblContractForDeed[Princ],ROW()-ROW(tblContractForDeed[#Headers])))</f>
        <v>67359.240000000005</v>
      </c>
      <c r="X98" s="265">
        <f>IF(tblContractForDeed[[#This Row],[Beg]]&lt;=0,0,tblContractForDeed[[#This Row],[Beg]]-tblContractForDeed[[#This Row],[Princ]])</f>
        <v>79140.760000000053</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39">
        <f>IF(INDEX(tblContractForDeed[Payment],ROW()-ROW(tblBuyerOutputs[#Headers]))=0,0,INDEX(tblContractForDeed[Payment],ROW()-ROW(tblBuyerOutputs[#Headers]))-INDEX(tblSubjectToLoan[Payment],ROW()-ROW(tblBuyerOutputs[#Headers])))</f>
        <v>1777.45</v>
      </c>
      <c r="AA98"/>
      <c r="AB98" s="14">
        <f>IF(INDEX(tblContractForDeed[Payment],ROW()-ROW(tblBuyerOutputs[#Headers]))=0,0,INDEX(tblContractForDeed[Payment],ROW()-ROW(tblBuyerOutputs[#Headers]))-INDEX(tblSubjectToLoan[Payment],ROW()-ROW(tblBuyerOutputs[#Headers])))-IFERROR(tblBuyerOutputs[[#This Row],[PMI]],0)</f>
        <v>1777.45</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118608.58999999988</v>
      </c>
      <c r="AD98" s="265">
        <f>IF(INDEX(tblContractForDeed[End Bal],ROW()-ROW(tblBuyerOutputs[#Headers]))&lt;=0,0,($O$6+IF(ROW()=ROW(tblBuyerOutputs[#Headers])+1,0,INDEX(tblBuyerOutputs[Cumul Appr],ROW()-ROW(tblBuyerOutputs[#Headers])-1)))*$O$2/12)</f>
        <v>844.26512607929988</v>
      </c>
      <c r="AE98" s="587">
        <f>IF(INDEX(tblContractForDeed[End Bal],ROW()-ROW(tblBuyerOutputs[#Headers]))&lt;=0,0,IF(ROW()=ROW(tblBuyerOutputs[#Headers])+1,0,INDEX(tblBuyerOutputs[Cumul Appr],ROW()-ROW(tblBuyerOutputs[#Headers])-1))+tblBuyerOutputs[[#This Row],[Monthly Appr]])</f>
        <v>56967.89538511126</v>
      </c>
      <c r="AF98" s="22"/>
      <c r="AG98" s="14"/>
      <c r="AM98"/>
      <c r="AN98" s="14"/>
      <c r="AP98" s="265"/>
      <c r="AR98" s="14"/>
      <c r="AS98"/>
    </row>
    <row r="99" spans="1:45" x14ac:dyDescent="0.25">
      <c r="A99" s="561">
        <f t="shared" si="17"/>
        <v>48245</v>
      </c>
      <c r="B99" s="265">
        <f t="shared" si="18"/>
        <v>0</v>
      </c>
      <c r="C99" s="14">
        <f t="shared" si="14"/>
        <v>0</v>
      </c>
      <c r="D99" s="14">
        <f t="shared" si="19"/>
        <v>0</v>
      </c>
      <c r="E99" s="14">
        <f t="shared" si="15"/>
        <v>0</v>
      </c>
      <c r="F99" s="14">
        <f t="shared" si="24"/>
        <v>0</v>
      </c>
      <c r="G99" s="14">
        <f t="shared" si="24"/>
        <v>0</v>
      </c>
      <c r="H99" s="14">
        <f t="shared" si="12"/>
        <v>0</v>
      </c>
      <c r="I99" s="265">
        <f t="shared" si="22"/>
        <v>0</v>
      </c>
      <c r="J99" s="265">
        <f t="shared" si="23"/>
        <v>0</v>
      </c>
      <c r="K99" s="265">
        <f t="shared" si="20"/>
        <v>0</v>
      </c>
      <c r="L99" s="373">
        <f t="shared" si="16"/>
        <v>6</v>
      </c>
      <c r="M99" s="373">
        <f t="shared" si="21"/>
        <v>79</v>
      </c>
      <c r="N99" s="561">
        <f>INDEX(tblSubjectToLoan[Date],ROW()-ROW(tblContractForDeed[#Headers]))</f>
        <v>48245</v>
      </c>
      <c r="O99" s="265">
        <f>IF(ROW()=ROW(tblContractForDeed[#Headers])+1,$O$6,IF(INDEX(tblContractForDeed[End Bal],ROW()-ROW(tblContractForDeed[#Headers])-1)&lt;0,0,INDEX(tblContractForDeed[End Bal],ROW()-ROW(tblContractForDeed[#Headers])-1)))</f>
        <v>79140.760000000053</v>
      </c>
      <c r="P99" s="431">
        <f>IF(tblContractForDeed[[#This Row],[Date]]="","",IF(tblContractForDeed[[#This Row],[Date]]&lt;cfdRateChangeDate,cfdRate1,cfdRate2))</f>
        <v>0.08</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9" s="265">
        <f>IF(tblContractForDeed[[#This Row],[Payment]]=0,0,MAX(0,MIN(tblContractForDeed[[#This Row],[Beg]],tblContractForDeed[[#This Row],[Payment]]-tblContractForDeed[[#This Row],[Int]])))</f>
        <v>1249.8400000000001</v>
      </c>
      <c r="S99" s="265">
        <f>IF(OR(tblContractForDeed[[#This Row],[Date]]&lt;cfdContractDate,tblContractForDeed[[#This Row],[Date]]&gt;cfdEndDate),0,ROUND(tblContractForDeed[[#This Row],[Beg]]*(tblContractForDeed[[#This Row],[Int Rate]]/12),2))</f>
        <v>527.61</v>
      </c>
      <c r="T99" s="265">
        <f>IF(tblContractForDeed[[#This Row],[Payment]]=0,0,$V$2)</f>
        <v>134.16999999999999</v>
      </c>
      <c r="U99" s="265">
        <f>IF(tblContractForDeed[[#This Row],[Princ]]=0,0,$V$3)</f>
        <v>0</v>
      </c>
      <c r="V99" s="265">
        <f>SUM(tblContractForDeed[[#This Row],[Princ]],tblContractForDeed[[#This Row],[Int]],tblContractForDeed[[#This Row],[Ins]],tblContractForDeed[[#This Row],[Taxes]])</f>
        <v>1911.6200000000003</v>
      </c>
      <c r="W99" s="265">
        <f>SUM(INDEX(tblContractForDeed[Princ],1):INDEX(tblContractForDeed[Princ],ROW()-ROW(tblContractForDeed[#Headers])))</f>
        <v>68609.08</v>
      </c>
      <c r="X99" s="265">
        <f>IF(tblContractForDeed[[#This Row],[Beg]]&lt;=0,0,tblContractForDeed[[#This Row],[Beg]]-tblContractForDeed[[#This Row],[Princ]])</f>
        <v>77890.920000000056</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39">
        <f>IF(INDEX(tblContractForDeed[Payment],ROW()-ROW(tblBuyerOutputs[#Headers]))=0,0,INDEX(tblContractForDeed[Payment],ROW()-ROW(tblBuyerOutputs[#Headers]))-INDEX(tblSubjectToLoan[Payment],ROW()-ROW(tblBuyerOutputs[#Headers])))</f>
        <v>1777.45</v>
      </c>
      <c r="AA99"/>
      <c r="AB99" s="14">
        <f>IF(INDEX(tblContractForDeed[Payment],ROW()-ROW(tblBuyerOutputs[#Headers]))=0,0,INDEX(tblContractForDeed[Payment],ROW()-ROW(tblBuyerOutputs[#Headers]))-INDEX(tblSubjectToLoan[Payment],ROW()-ROW(tblBuyerOutputs[#Headers])))-IFERROR(tblBuyerOutputs[[#This Row],[PMI]],0)</f>
        <v>1777.45</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120386.03999999988</v>
      </c>
      <c r="AD99" s="265">
        <f>IF(INDEX(tblContractForDeed[End Bal],ROW()-ROW(tblBuyerOutputs[#Headers]))&lt;=0,0,($O$6+IF(ROW()=ROW(tblBuyerOutputs[#Headers])+1,0,INDEX(tblBuyerOutputs[Cumul Appr],ROW()-ROW(tblBuyerOutputs[#Headers])-1)))*$O$2/12)</f>
        <v>847.7828974379637</v>
      </c>
      <c r="AE99" s="587">
        <f>IF(INDEX(tblContractForDeed[End Bal],ROW()-ROW(tblBuyerOutputs[#Headers]))&lt;=0,0,IF(ROW()=ROW(tblBuyerOutputs[#Headers])+1,0,INDEX(tblBuyerOutputs[Cumul Appr],ROW()-ROW(tblBuyerOutputs[#Headers])-1))+tblBuyerOutputs[[#This Row],[Monthly Appr]])</f>
        <v>57815.678282549226</v>
      </c>
      <c r="AF99" s="22"/>
      <c r="AG99" s="14"/>
      <c r="AM99"/>
      <c r="AN99" s="14"/>
      <c r="AP99" s="265"/>
      <c r="AR99" s="14"/>
      <c r="AS99"/>
    </row>
    <row r="100" spans="1:45" x14ac:dyDescent="0.25">
      <c r="A100" s="561">
        <f t="shared" si="17"/>
        <v>48274</v>
      </c>
      <c r="B100" s="265">
        <f t="shared" si="18"/>
        <v>0</v>
      </c>
      <c r="C100" s="14">
        <f t="shared" si="14"/>
        <v>0</v>
      </c>
      <c r="D100" s="14">
        <f t="shared" si="19"/>
        <v>0</v>
      </c>
      <c r="E100" s="14">
        <f t="shared" si="15"/>
        <v>0</v>
      </c>
      <c r="F100" s="14">
        <f t="shared" si="24"/>
        <v>0</v>
      </c>
      <c r="G100" s="14">
        <f t="shared" si="24"/>
        <v>0</v>
      </c>
      <c r="H100" s="14">
        <f t="shared" si="12"/>
        <v>0</v>
      </c>
      <c r="I100" s="265">
        <f t="shared" si="22"/>
        <v>0</v>
      </c>
      <c r="J100" s="265">
        <f t="shared" si="23"/>
        <v>0</v>
      </c>
      <c r="K100" s="265">
        <f t="shared" si="20"/>
        <v>0</v>
      </c>
      <c r="L100" s="373">
        <f t="shared" si="16"/>
        <v>6</v>
      </c>
      <c r="M100" s="373">
        <f t="shared" si="21"/>
        <v>80</v>
      </c>
      <c r="N100" s="561">
        <f>INDEX(tblSubjectToLoan[Date],ROW()-ROW(tblContractForDeed[#Headers]))</f>
        <v>48274</v>
      </c>
      <c r="O100" s="265">
        <f>IF(ROW()=ROW(tblContractForDeed[#Headers])+1,$O$6,IF(INDEX(tblContractForDeed[End Bal],ROW()-ROW(tblContractForDeed[#Headers])-1)&lt;0,0,INDEX(tblContractForDeed[End Bal],ROW()-ROW(tblContractForDeed[#Headers])-1)))</f>
        <v>77890.920000000056</v>
      </c>
      <c r="P100" s="431">
        <f>IF(tblContractForDeed[[#This Row],[Date]]="","",IF(tblContractForDeed[[#This Row],[Date]]&lt;cfdRateChangeDate,cfdRate1,cfdRate2))</f>
        <v>0.08</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0" s="265">
        <f>IF(tblContractForDeed[[#This Row],[Payment]]=0,0,MAX(0,MIN(tblContractForDeed[[#This Row],[Beg]],tblContractForDeed[[#This Row],[Payment]]-tblContractForDeed[[#This Row],[Int]])))</f>
        <v>1258.18</v>
      </c>
      <c r="S100" s="265">
        <f>IF(OR(tblContractForDeed[[#This Row],[Date]]&lt;cfdContractDate,tblContractForDeed[[#This Row],[Date]]&gt;cfdEndDate),0,ROUND(tblContractForDeed[[#This Row],[Beg]]*(tblContractForDeed[[#This Row],[Int Rate]]/12),2))</f>
        <v>519.27</v>
      </c>
      <c r="T100" s="265">
        <f>IF(tblContractForDeed[[#This Row],[Payment]]=0,0,$V$2)</f>
        <v>134.16999999999999</v>
      </c>
      <c r="U100" s="265">
        <f>IF(tblContractForDeed[[#This Row],[Princ]]=0,0,$V$3)</f>
        <v>0</v>
      </c>
      <c r="V100" s="265">
        <f>SUM(tblContractForDeed[[#This Row],[Princ]],tblContractForDeed[[#This Row],[Int]],tblContractForDeed[[#This Row],[Ins]],tblContractForDeed[[#This Row],[Taxes]])</f>
        <v>1911.6200000000001</v>
      </c>
      <c r="W100" s="265">
        <f>SUM(INDEX(tblContractForDeed[Princ],1):INDEX(tblContractForDeed[Princ],ROW()-ROW(tblContractForDeed[#Headers])))</f>
        <v>69867.259999999995</v>
      </c>
      <c r="X100" s="265">
        <f>IF(tblContractForDeed[[#This Row],[Beg]]&lt;=0,0,tblContractForDeed[[#This Row],[Beg]]-tblContractForDeed[[#This Row],[Princ]])</f>
        <v>76632.740000000063</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39">
        <f>IF(INDEX(tblContractForDeed[Payment],ROW()-ROW(tblBuyerOutputs[#Headers]))=0,0,INDEX(tblContractForDeed[Payment],ROW()-ROW(tblBuyerOutputs[#Headers]))-INDEX(tblSubjectToLoan[Payment],ROW()-ROW(tblBuyerOutputs[#Headers])))</f>
        <v>1777.45</v>
      </c>
      <c r="AA100"/>
      <c r="AB100" s="14">
        <f>IF(INDEX(tblContractForDeed[Payment],ROW()-ROW(tblBuyerOutputs[#Headers]))=0,0,INDEX(tblContractForDeed[Payment],ROW()-ROW(tblBuyerOutputs[#Headers]))-INDEX(tblSubjectToLoan[Payment],ROW()-ROW(tblBuyerOutputs[#Headers])))-IFERROR(tblBuyerOutputs[[#This Row],[PMI]],0)</f>
        <v>1777.45</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122163.48999999987</v>
      </c>
      <c r="AD100" s="265">
        <f>IF(INDEX(tblContractForDeed[End Bal],ROW()-ROW(tblBuyerOutputs[#Headers]))&lt;=0,0,($O$6+IF(ROW()=ROW(tblBuyerOutputs[#Headers])+1,0,INDEX(tblBuyerOutputs[Cumul Appr],ROW()-ROW(tblBuyerOutputs[#Headers])-1)))*$O$2/12)</f>
        <v>851.31532617728851</v>
      </c>
      <c r="AE100" s="587">
        <f>IF(INDEX(tblContractForDeed[End Bal],ROW()-ROW(tblBuyerOutputs[#Headers]))&lt;=0,0,IF(ROW()=ROW(tblBuyerOutputs[#Headers])+1,0,INDEX(tblBuyerOutputs[Cumul Appr],ROW()-ROW(tblBuyerOutputs[#Headers])-1))+tblBuyerOutputs[[#This Row],[Monthly Appr]])</f>
        <v>58666.993608726516</v>
      </c>
      <c r="AF100" s="22"/>
      <c r="AG100" s="14"/>
      <c r="AM100"/>
      <c r="AN100" s="14"/>
      <c r="AP100" s="265"/>
      <c r="AR100" s="14"/>
      <c r="AS100"/>
    </row>
    <row r="101" spans="1:45" x14ac:dyDescent="0.25">
      <c r="A101" s="561">
        <f t="shared" si="17"/>
        <v>48305</v>
      </c>
      <c r="B101" s="265">
        <f t="shared" si="18"/>
        <v>0</v>
      </c>
      <c r="C101" s="14">
        <f t="shared" si="14"/>
        <v>0</v>
      </c>
      <c r="D101" s="14">
        <f t="shared" si="19"/>
        <v>0</v>
      </c>
      <c r="E101" s="14">
        <f t="shared" si="15"/>
        <v>0</v>
      </c>
      <c r="F101" s="14">
        <f t="shared" si="24"/>
        <v>0</v>
      </c>
      <c r="G101" s="14">
        <f t="shared" si="24"/>
        <v>0</v>
      </c>
      <c r="H101" s="14">
        <f t="shared" si="12"/>
        <v>0</v>
      </c>
      <c r="I101" s="265">
        <f t="shared" si="22"/>
        <v>0</v>
      </c>
      <c r="J101" s="265">
        <f t="shared" si="23"/>
        <v>0</v>
      </c>
      <c r="K101" s="265">
        <f t="shared" si="20"/>
        <v>0</v>
      </c>
      <c r="L101" s="373">
        <f t="shared" si="16"/>
        <v>6</v>
      </c>
      <c r="M101" s="373">
        <f t="shared" si="21"/>
        <v>81</v>
      </c>
      <c r="N101" s="561">
        <f>INDEX(tblSubjectToLoan[Date],ROW()-ROW(tblContractForDeed[#Headers]))</f>
        <v>48305</v>
      </c>
      <c r="O101" s="265">
        <f>IF(ROW()=ROW(tblContractForDeed[#Headers])+1,$O$6,IF(INDEX(tblContractForDeed[End Bal],ROW()-ROW(tblContractForDeed[#Headers])-1)&lt;0,0,INDEX(tblContractForDeed[End Bal],ROW()-ROW(tblContractForDeed[#Headers])-1)))</f>
        <v>76632.740000000063</v>
      </c>
      <c r="P101" s="431">
        <f>IF(tblContractForDeed[[#This Row],[Date]]="","",IF(tblContractForDeed[[#This Row],[Date]]&lt;cfdRateChangeDate,cfdRate1,cfdRate2))</f>
        <v>0.08</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1" s="265">
        <f>IF(tblContractForDeed[[#This Row],[Payment]]=0,0,MAX(0,MIN(tblContractForDeed[[#This Row],[Beg]],tblContractForDeed[[#This Row],[Payment]]-tblContractForDeed[[#This Row],[Int]])))</f>
        <v>1266.5700000000002</v>
      </c>
      <c r="S101" s="265">
        <f>IF(OR(tblContractForDeed[[#This Row],[Date]]&lt;cfdContractDate,tblContractForDeed[[#This Row],[Date]]&gt;cfdEndDate),0,ROUND(tblContractForDeed[[#This Row],[Beg]]*(tblContractForDeed[[#This Row],[Int Rate]]/12),2))</f>
        <v>510.88</v>
      </c>
      <c r="T101" s="265">
        <f>IF(tblContractForDeed[[#This Row],[Payment]]=0,0,$V$2)</f>
        <v>134.16999999999999</v>
      </c>
      <c r="U101" s="265">
        <f>IF(tblContractForDeed[[#This Row],[Princ]]=0,0,$V$3)</f>
        <v>0</v>
      </c>
      <c r="V101" s="265">
        <f>SUM(tblContractForDeed[[#This Row],[Princ]],tblContractForDeed[[#This Row],[Int]],tblContractForDeed[[#This Row],[Ins]],tblContractForDeed[[#This Row],[Taxes]])</f>
        <v>1911.6200000000003</v>
      </c>
      <c r="W101" s="265">
        <f>SUM(INDEX(tblContractForDeed[Princ],1):INDEX(tblContractForDeed[Princ],ROW()-ROW(tblContractForDeed[#Headers])))</f>
        <v>71133.83</v>
      </c>
      <c r="X101" s="265">
        <f>IF(tblContractForDeed[[#This Row],[Beg]]&lt;=0,0,tblContractForDeed[[#This Row],[Beg]]-tblContractForDeed[[#This Row],[Princ]])</f>
        <v>75366.170000000056</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39">
        <f>IF(INDEX(tblContractForDeed[Payment],ROW()-ROW(tblBuyerOutputs[#Headers]))=0,0,INDEX(tblContractForDeed[Payment],ROW()-ROW(tblBuyerOutputs[#Headers]))-INDEX(tblSubjectToLoan[Payment],ROW()-ROW(tblBuyerOutputs[#Headers])))</f>
        <v>1777.45</v>
      </c>
      <c r="AA101"/>
      <c r="AB101" s="14">
        <f>IF(INDEX(tblContractForDeed[Payment],ROW()-ROW(tblBuyerOutputs[#Headers]))=0,0,INDEX(tblContractForDeed[Payment],ROW()-ROW(tblBuyerOutputs[#Headers]))-INDEX(tblSubjectToLoan[Payment],ROW()-ROW(tblBuyerOutputs[#Headers])))-IFERROR(tblBuyerOutputs[[#This Row],[PMI]],0)</f>
        <v>1777.45</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123940.93999999987</v>
      </c>
      <c r="AD101" s="265">
        <f>IF(INDEX(tblContractForDeed[End Bal],ROW()-ROW(tblBuyerOutputs[#Headers]))&lt;=0,0,($O$6+IF(ROW()=ROW(tblBuyerOutputs[#Headers])+1,0,INDEX(tblBuyerOutputs[Cumul Appr],ROW()-ROW(tblBuyerOutputs[#Headers])-1)))*$O$2/12)</f>
        <v>854.86247336969382</v>
      </c>
      <c r="AE101" s="587">
        <f>IF(INDEX(tblContractForDeed[End Bal],ROW()-ROW(tblBuyerOutputs[#Headers]))&lt;=0,0,IF(ROW()=ROW(tblBuyerOutputs[#Headers])+1,0,INDEX(tblBuyerOutputs[Cumul Appr],ROW()-ROW(tblBuyerOutputs[#Headers])-1))+tblBuyerOutputs[[#This Row],[Monthly Appr]])</f>
        <v>59521.856082096208</v>
      </c>
      <c r="AF101" s="22"/>
      <c r="AG101" s="14"/>
      <c r="AM101"/>
      <c r="AN101" s="14"/>
      <c r="AP101" s="265"/>
      <c r="AR101" s="14"/>
      <c r="AS101"/>
    </row>
    <row r="102" spans="1:45" x14ac:dyDescent="0.25">
      <c r="A102" s="561">
        <f t="shared" si="17"/>
        <v>48335</v>
      </c>
      <c r="B102" s="265">
        <f t="shared" si="18"/>
        <v>0</v>
      </c>
      <c r="C102" s="14">
        <f t="shared" si="14"/>
        <v>0</v>
      </c>
      <c r="D102" s="14">
        <f t="shared" si="19"/>
        <v>0</v>
      </c>
      <c r="E102" s="14">
        <f t="shared" si="15"/>
        <v>0</v>
      </c>
      <c r="F102" s="14">
        <f t="shared" si="24"/>
        <v>0</v>
      </c>
      <c r="G102" s="14">
        <f t="shared" si="24"/>
        <v>0</v>
      </c>
      <c r="H102" s="14">
        <f t="shared" si="12"/>
        <v>0</v>
      </c>
      <c r="I102" s="265">
        <f t="shared" si="22"/>
        <v>0</v>
      </c>
      <c r="J102" s="265">
        <f t="shared" si="23"/>
        <v>0</v>
      </c>
      <c r="K102" s="265">
        <f t="shared" si="20"/>
        <v>0</v>
      </c>
      <c r="L102" s="373">
        <f t="shared" si="16"/>
        <v>6</v>
      </c>
      <c r="M102" s="373">
        <f t="shared" si="21"/>
        <v>82</v>
      </c>
      <c r="N102" s="561">
        <f>INDEX(tblSubjectToLoan[Date],ROW()-ROW(tblContractForDeed[#Headers]))</f>
        <v>48335</v>
      </c>
      <c r="O102" s="265">
        <f>IF(ROW()=ROW(tblContractForDeed[#Headers])+1,$O$6,IF(INDEX(tblContractForDeed[End Bal],ROW()-ROW(tblContractForDeed[#Headers])-1)&lt;0,0,INDEX(tblContractForDeed[End Bal],ROW()-ROW(tblContractForDeed[#Headers])-1)))</f>
        <v>75366.170000000056</v>
      </c>
      <c r="P102" s="431">
        <f>IF(tblContractForDeed[[#This Row],[Date]]="","",IF(tblContractForDeed[[#This Row],[Date]]&lt;cfdRateChangeDate,cfdRate1,cfdRate2))</f>
        <v>0.08</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2" s="265">
        <f>IF(tblContractForDeed[[#This Row],[Payment]]=0,0,MAX(0,MIN(tblContractForDeed[[#This Row],[Beg]],tblContractForDeed[[#This Row],[Payment]]-tblContractForDeed[[#This Row],[Int]])))</f>
        <v>1275.01</v>
      </c>
      <c r="S102" s="265">
        <f>IF(OR(tblContractForDeed[[#This Row],[Date]]&lt;cfdContractDate,tblContractForDeed[[#This Row],[Date]]&gt;cfdEndDate),0,ROUND(tblContractForDeed[[#This Row],[Beg]]*(tblContractForDeed[[#This Row],[Int Rate]]/12),2))</f>
        <v>502.44</v>
      </c>
      <c r="T102" s="265">
        <f>IF(tblContractForDeed[[#This Row],[Payment]]=0,0,$V$2)</f>
        <v>134.16999999999999</v>
      </c>
      <c r="U102" s="265">
        <f>IF(tblContractForDeed[[#This Row],[Princ]]=0,0,$V$3)</f>
        <v>0</v>
      </c>
      <c r="V102" s="265">
        <f>SUM(tblContractForDeed[[#This Row],[Princ]],tblContractForDeed[[#This Row],[Int]],tblContractForDeed[[#This Row],[Ins]],tblContractForDeed[[#This Row],[Taxes]])</f>
        <v>1911.6200000000001</v>
      </c>
      <c r="W102" s="265">
        <f>SUM(INDEX(tblContractForDeed[Princ],1):INDEX(tblContractForDeed[Princ],ROW()-ROW(tblContractForDeed[#Headers])))</f>
        <v>72408.84</v>
      </c>
      <c r="X102" s="265">
        <f>IF(tblContractForDeed[[#This Row],[Beg]]&lt;=0,0,tblContractForDeed[[#This Row],[Beg]]-tblContractForDeed[[#This Row],[Princ]])</f>
        <v>74091.160000000062</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39">
        <f>IF(INDEX(tblContractForDeed[Payment],ROW()-ROW(tblBuyerOutputs[#Headers]))=0,0,INDEX(tblContractForDeed[Payment],ROW()-ROW(tblBuyerOutputs[#Headers]))-INDEX(tblSubjectToLoan[Payment],ROW()-ROW(tblBuyerOutputs[#Headers])))</f>
        <v>1777.45</v>
      </c>
      <c r="AA102"/>
      <c r="AB102" s="14">
        <f>IF(INDEX(tblContractForDeed[Payment],ROW()-ROW(tblBuyerOutputs[#Headers]))=0,0,INDEX(tblContractForDeed[Payment],ROW()-ROW(tblBuyerOutputs[#Headers]))-INDEX(tblSubjectToLoan[Payment],ROW()-ROW(tblBuyerOutputs[#Headers])))-IFERROR(tblBuyerOutputs[[#This Row],[PMI]],0)</f>
        <v>1777.45</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125718.38999999987</v>
      </c>
      <c r="AD102" s="265">
        <f>IF(INDEX(tblContractForDeed[End Bal],ROW()-ROW(tblBuyerOutputs[#Headers]))&lt;=0,0,($O$6+IF(ROW()=ROW(tblBuyerOutputs[#Headers])+1,0,INDEX(tblBuyerOutputs[Cumul Appr],ROW()-ROW(tblBuyerOutputs[#Headers])-1)))*$O$2/12)</f>
        <v>858.42440034206754</v>
      </c>
      <c r="AE102" s="587">
        <f>IF(INDEX(tblContractForDeed[End Bal],ROW()-ROW(tblBuyerOutputs[#Headers]))&lt;=0,0,IF(ROW()=ROW(tblBuyerOutputs[#Headers])+1,0,INDEX(tblBuyerOutputs[Cumul Appr],ROW()-ROW(tblBuyerOutputs[#Headers])-1))+tblBuyerOutputs[[#This Row],[Monthly Appr]])</f>
        <v>60380.280482438277</v>
      </c>
      <c r="AF102" s="22"/>
      <c r="AG102" s="14"/>
      <c r="AM102"/>
      <c r="AN102" s="14"/>
      <c r="AP102" s="265"/>
      <c r="AR102" s="14"/>
      <c r="AS102"/>
    </row>
    <row r="103" spans="1:45" ht="15.75" thickBot="1" x14ac:dyDescent="0.3">
      <c r="A103" s="562">
        <f t="shared" si="17"/>
        <v>48366</v>
      </c>
      <c r="B103" s="316">
        <f t="shared" si="18"/>
        <v>0</v>
      </c>
      <c r="C103" s="21">
        <f t="shared" si="14"/>
        <v>0</v>
      </c>
      <c r="D103" s="21">
        <f t="shared" si="19"/>
        <v>0</v>
      </c>
      <c r="E103" s="21">
        <f t="shared" si="15"/>
        <v>0</v>
      </c>
      <c r="F103" s="21">
        <f t="shared" si="24"/>
        <v>0</v>
      </c>
      <c r="G103" s="21">
        <f t="shared" si="24"/>
        <v>0</v>
      </c>
      <c r="H103" s="21">
        <f t="shared" si="12"/>
        <v>0</v>
      </c>
      <c r="I103" s="316">
        <f t="shared" si="22"/>
        <v>0</v>
      </c>
      <c r="J103" s="316">
        <f t="shared" si="23"/>
        <v>0</v>
      </c>
      <c r="K103" s="316">
        <f t="shared" si="20"/>
        <v>0</v>
      </c>
      <c r="L103" s="374">
        <f t="shared" si="16"/>
        <v>6</v>
      </c>
      <c r="M103" s="374">
        <f t="shared" si="21"/>
        <v>83</v>
      </c>
      <c r="N103" s="562">
        <f>INDEX(tblSubjectToLoan[Date],ROW()-ROW(tblContractForDeed[#Headers]))</f>
        <v>48366</v>
      </c>
      <c r="O103" s="316">
        <f>IF(ROW()=ROW(tblContractForDeed[#Headers])+1,$O$6,IF(INDEX(tblContractForDeed[End Bal],ROW()-ROW(tblContractForDeed[#Headers])-1)&lt;0,0,INDEX(tblContractForDeed[End Bal],ROW()-ROW(tblContractForDeed[#Headers])-1)))</f>
        <v>74091.160000000062</v>
      </c>
      <c r="P103" s="585">
        <f>IF(tblContractForDeed[[#This Row],[Date]]="","",IF(tblContractForDeed[[#This Row],[Date]]&lt;cfdRateChangeDate,cfdRate1,cfdRate2))</f>
        <v>0.08</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3" s="316">
        <f>IF(tblContractForDeed[[#This Row],[Payment]]=0,0,MAX(0,MIN(tblContractForDeed[[#This Row],[Beg]],tblContractForDeed[[#This Row],[Payment]]-tblContractForDeed[[#This Row],[Int]])))</f>
        <v>1283.51</v>
      </c>
      <c r="S103" s="316">
        <f>IF(OR(tblContractForDeed[[#This Row],[Date]]&lt;cfdContractDate,tblContractForDeed[[#This Row],[Date]]&gt;cfdEndDate),0,ROUND(tblContractForDeed[[#This Row],[Beg]]*(tblContractForDeed[[#This Row],[Int Rate]]/12),2))</f>
        <v>493.94</v>
      </c>
      <c r="T103" s="316">
        <f>IF(tblContractForDeed[[#This Row],[Payment]]=0,0,$V$2)</f>
        <v>134.16999999999999</v>
      </c>
      <c r="U103" s="316">
        <f>IF(tblContractForDeed[[#This Row],[Princ]]=0,0,$V$3)</f>
        <v>0</v>
      </c>
      <c r="V103" s="316">
        <f>SUM(tblContractForDeed[[#This Row],[Princ]],tblContractForDeed[[#This Row],[Int]],tblContractForDeed[[#This Row],[Ins]],tblContractForDeed[[#This Row],[Taxes]])</f>
        <v>1911.6200000000001</v>
      </c>
      <c r="W103" s="316">
        <f>SUM(INDEX(tblContractForDeed[Princ],1):INDEX(tblContractForDeed[Princ],ROW()-ROW(tblContractForDeed[#Headers])))</f>
        <v>73692.349999999991</v>
      </c>
      <c r="X103" s="316">
        <f>IF(tblContractForDeed[[#This Row],[Beg]]&lt;=0,0,tblContractForDeed[[#This Row],[Beg]]-tblContractForDeed[[#This Row],[Princ]])</f>
        <v>72807.650000000067</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0">
        <f>IF(INDEX(tblContractForDeed[Payment],ROW()-ROW(tblBuyerOutputs[#Headers]))=0,0,INDEX(tblContractForDeed[Payment],ROW()-ROW(tblBuyerOutputs[#Headers]))-INDEX(tblSubjectToLoan[Payment],ROW()-ROW(tblBuyerOutputs[#Headers])))</f>
        <v>1777.45</v>
      </c>
      <c r="AA103" s="23"/>
      <c r="AB103" s="21">
        <f>IF(INDEX(tblContractForDeed[Payment],ROW()-ROW(tblBuyerOutputs[#Headers]))=0,0,INDEX(tblContractForDeed[Payment],ROW()-ROW(tblBuyerOutputs[#Headers]))-INDEX(tblSubjectToLoan[Payment],ROW()-ROW(tblBuyerOutputs[#Headers])))-IFERROR(tblBuyerOutputs[[#This Row],[PMI]],0)</f>
        <v>1777.45</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127495.83999999987</v>
      </c>
      <c r="AD103" s="316">
        <f>IF(INDEX(tblContractForDeed[End Bal],ROW()-ROW(tblBuyerOutputs[#Headers]))&lt;=0,0,($O$6+IF(ROW()=ROW(tblBuyerOutputs[#Headers])+1,0,INDEX(tblBuyerOutputs[Cumul Appr],ROW()-ROW(tblBuyerOutputs[#Headers])-1)))*$O$2/12)</f>
        <v>862.00116867682618</v>
      </c>
      <c r="AE103" s="588">
        <f>IF(INDEX(tblContractForDeed[End Bal],ROW()-ROW(tblBuyerOutputs[#Headers]))&lt;=0,0,IF(ROW()=ROW(tblBuyerOutputs[#Headers])+1,0,INDEX(tblBuyerOutputs[Cumul Appr],ROW()-ROW(tblBuyerOutputs[#Headers])-1))+tblBuyerOutputs[[#This Row],[Monthly Appr]])</f>
        <v>61242.281651115103</v>
      </c>
      <c r="AF103" s="22"/>
      <c r="AG103" s="14"/>
      <c r="AM103"/>
      <c r="AN103" s="14"/>
      <c r="AP103" s="265"/>
      <c r="AR103" s="14"/>
      <c r="AS103"/>
    </row>
    <row r="104" spans="1:45" x14ac:dyDescent="0.25">
      <c r="A104" s="561">
        <f t="shared" si="17"/>
        <v>48396</v>
      </c>
      <c r="B104" s="265">
        <f t="shared" si="18"/>
        <v>0</v>
      </c>
      <c r="C104" s="14">
        <f t="shared" si="14"/>
        <v>0</v>
      </c>
      <c r="D104" s="14">
        <f t="shared" si="19"/>
        <v>0</v>
      </c>
      <c r="E104" s="14">
        <f t="shared" si="15"/>
        <v>0</v>
      </c>
      <c r="F104" s="14">
        <f t="shared" si="24"/>
        <v>0</v>
      </c>
      <c r="G104" s="14">
        <f t="shared" si="24"/>
        <v>0</v>
      </c>
      <c r="H104" s="14">
        <f t="shared" si="12"/>
        <v>0</v>
      </c>
      <c r="I104" s="265">
        <f t="shared" si="22"/>
        <v>0</v>
      </c>
      <c r="J104" s="265">
        <f t="shared" si="23"/>
        <v>0</v>
      </c>
      <c r="K104" s="265">
        <f t="shared" si="20"/>
        <v>0</v>
      </c>
      <c r="L104" s="373">
        <f t="shared" si="16"/>
        <v>7</v>
      </c>
      <c r="M104" s="373">
        <f t="shared" si="21"/>
        <v>84</v>
      </c>
      <c r="N104" s="561">
        <f>INDEX(tblSubjectToLoan[Date],ROW()-ROW(tblContractForDeed[#Headers]))</f>
        <v>48396</v>
      </c>
      <c r="O104" s="265">
        <f>IF(ROW()=ROW(tblContractForDeed[#Headers])+1,$O$6,IF(INDEX(tblContractForDeed[End Bal],ROW()-ROW(tblContractForDeed[#Headers])-1)&lt;0,0,INDEX(tblContractForDeed[End Bal],ROW()-ROW(tblContractForDeed[#Headers])-1)))</f>
        <v>72807.650000000067</v>
      </c>
      <c r="P104" s="431">
        <f>IF(tblContractForDeed[[#This Row],[Date]]="","",IF(tblContractForDeed[[#This Row],[Date]]&lt;cfdRateChangeDate,cfdRate1,cfdRate2))</f>
        <v>0.08</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4" s="265">
        <f>IF(tblContractForDeed[[#This Row],[Payment]]=0,0,MAX(0,MIN(tblContractForDeed[[#This Row],[Beg]],tblContractForDeed[[#This Row],[Payment]]-tblContractForDeed[[#This Row],[Int]])))</f>
        <v>1292.0700000000002</v>
      </c>
      <c r="S104" s="265">
        <f>IF(OR(tblContractForDeed[[#This Row],[Date]]&lt;cfdContractDate,tblContractForDeed[[#This Row],[Date]]&gt;cfdEndDate),0,ROUND(tblContractForDeed[[#This Row],[Beg]]*(tblContractForDeed[[#This Row],[Int Rate]]/12),2))</f>
        <v>485.38</v>
      </c>
      <c r="T104" s="265">
        <f>IF(tblContractForDeed[[#This Row],[Payment]]=0,0,$V$2)</f>
        <v>134.16999999999999</v>
      </c>
      <c r="U104" s="265">
        <f>IF(tblContractForDeed[[#This Row],[Princ]]=0,0,$V$3)</f>
        <v>0</v>
      </c>
      <c r="V104" s="265">
        <f>SUM(tblContractForDeed[[#This Row],[Princ]],tblContractForDeed[[#This Row],[Int]],tblContractForDeed[[#This Row],[Ins]],tblContractForDeed[[#This Row],[Taxes]])</f>
        <v>1911.6200000000003</v>
      </c>
      <c r="W104" s="265">
        <f>SUM(INDEX(tblContractForDeed[Princ],1):INDEX(tblContractForDeed[Princ],ROW()-ROW(tblContractForDeed[#Headers])))</f>
        <v>74984.42</v>
      </c>
      <c r="X104" s="265">
        <f>IF(tblContractForDeed[[#This Row],[Beg]]&lt;=0,0,tblContractForDeed[[#This Row],[Beg]]-tblContractForDeed[[#This Row],[Princ]])</f>
        <v>71515.58000000006</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39">
        <f>IF(INDEX(tblContractForDeed[Payment],ROW()-ROW(tblBuyerOutputs[#Headers]))=0,0,INDEX(tblContractForDeed[Payment],ROW()-ROW(tblBuyerOutputs[#Headers]))-INDEX(tblSubjectToLoan[Payment],ROW()-ROW(tblBuyerOutputs[#Headers])))</f>
        <v>1777.45</v>
      </c>
      <c r="AA104"/>
      <c r="AB104" s="14">
        <f>IF(INDEX(tblContractForDeed[Payment],ROW()-ROW(tblBuyerOutputs[#Headers]))=0,0,INDEX(tblContractForDeed[Payment],ROW()-ROW(tblBuyerOutputs[#Headers]))-INDEX(tblSubjectToLoan[Payment],ROW()-ROW(tblBuyerOutputs[#Headers])))-IFERROR(tblBuyerOutputs[[#This Row],[PMI]],0)</f>
        <v>1777.45</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129273.28999999986</v>
      </c>
      <c r="AD104" s="265">
        <f>IF(INDEX(tblContractForDeed[End Bal],ROW()-ROW(tblBuyerOutputs[#Headers]))&lt;=0,0,($O$6+IF(ROW()=ROW(tblBuyerOutputs[#Headers])+1,0,INDEX(tblBuyerOutputs[Cumul Appr],ROW()-ROW(tblBuyerOutputs[#Headers])-1)))*$O$2/12)</f>
        <v>865.5928402129797</v>
      </c>
      <c r="AE104" s="587">
        <f>IF(INDEX(tblContractForDeed[End Bal],ROW()-ROW(tblBuyerOutputs[#Headers]))&lt;=0,0,IF(ROW()=ROW(tblBuyerOutputs[#Headers])+1,0,INDEX(tblBuyerOutputs[Cumul Appr],ROW()-ROW(tblBuyerOutputs[#Headers])-1))+tblBuyerOutputs[[#This Row],[Monthly Appr]])</f>
        <v>62107.874491328083</v>
      </c>
      <c r="AF104" s="22"/>
      <c r="AG104" s="14"/>
      <c r="AM104"/>
      <c r="AN104" s="14"/>
      <c r="AP104" s="265"/>
      <c r="AR104" s="14"/>
      <c r="AS104"/>
    </row>
    <row r="105" spans="1:45" x14ac:dyDescent="0.25">
      <c r="A105" s="561">
        <f t="shared" si="17"/>
        <v>48427</v>
      </c>
      <c r="B105" s="265">
        <f t="shared" si="18"/>
        <v>0</v>
      </c>
      <c r="C105" s="14">
        <f t="shared" si="14"/>
        <v>0</v>
      </c>
      <c r="D105" s="14">
        <f t="shared" si="19"/>
        <v>0</v>
      </c>
      <c r="E105" s="14">
        <f t="shared" si="15"/>
        <v>0</v>
      </c>
      <c r="F105" s="14">
        <f t="shared" si="24"/>
        <v>0</v>
      </c>
      <c r="G105" s="14">
        <f t="shared" si="24"/>
        <v>0</v>
      </c>
      <c r="H105" s="14">
        <f t="shared" si="12"/>
        <v>0</v>
      </c>
      <c r="I105" s="265">
        <f t="shared" si="22"/>
        <v>0</v>
      </c>
      <c r="J105" s="265">
        <f t="shared" si="23"/>
        <v>0</v>
      </c>
      <c r="K105" s="265">
        <f t="shared" si="20"/>
        <v>0</v>
      </c>
      <c r="L105" s="373">
        <f t="shared" si="16"/>
        <v>7</v>
      </c>
      <c r="M105" s="373">
        <f t="shared" si="21"/>
        <v>85</v>
      </c>
      <c r="N105" s="561">
        <f>INDEX(tblSubjectToLoan[Date],ROW()-ROW(tblContractForDeed[#Headers]))</f>
        <v>48427</v>
      </c>
      <c r="O105" s="265">
        <f>IF(ROW()=ROW(tblContractForDeed[#Headers])+1,$O$6,IF(INDEX(tblContractForDeed[End Bal],ROW()-ROW(tblContractForDeed[#Headers])-1)&lt;0,0,INDEX(tblContractForDeed[End Bal],ROW()-ROW(tblContractForDeed[#Headers])-1)))</f>
        <v>71515.58000000006</v>
      </c>
      <c r="P105" s="431">
        <f>IF(tblContractForDeed[[#This Row],[Date]]="","",IF(tblContractForDeed[[#This Row],[Date]]&lt;cfdRateChangeDate,cfdRate1,cfdRate2))</f>
        <v>0.08</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5" s="265">
        <f>IF(tblContractForDeed[[#This Row],[Payment]]=0,0,MAX(0,MIN(tblContractForDeed[[#This Row],[Beg]],tblContractForDeed[[#This Row],[Payment]]-tblContractForDeed[[#This Row],[Int]])))</f>
        <v>1300.68</v>
      </c>
      <c r="S105" s="265">
        <f>IF(OR(tblContractForDeed[[#This Row],[Date]]&lt;cfdContractDate,tblContractForDeed[[#This Row],[Date]]&gt;cfdEndDate),0,ROUND(tblContractForDeed[[#This Row],[Beg]]*(tblContractForDeed[[#This Row],[Int Rate]]/12),2))</f>
        <v>476.77</v>
      </c>
      <c r="T105" s="265">
        <f>IF(tblContractForDeed[[#This Row],[Payment]]=0,0,$V$2)</f>
        <v>134.16999999999999</v>
      </c>
      <c r="U105" s="265">
        <f>IF(tblContractForDeed[[#This Row],[Princ]]=0,0,$V$3)</f>
        <v>0</v>
      </c>
      <c r="V105" s="265">
        <f>SUM(tblContractForDeed[[#This Row],[Princ]],tblContractForDeed[[#This Row],[Int]],tblContractForDeed[[#This Row],[Ins]],tblContractForDeed[[#This Row],[Taxes]])</f>
        <v>1911.6200000000001</v>
      </c>
      <c r="W105" s="265">
        <f>SUM(INDEX(tblContractForDeed[Princ],1):INDEX(tblContractForDeed[Princ],ROW()-ROW(tblContractForDeed[#Headers])))</f>
        <v>76285.099999999991</v>
      </c>
      <c r="X105" s="265">
        <f>IF(tblContractForDeed[[#This Row],[Beg]]&lt;=0,0,tblContractForDeed[[#This Row],[Beg]]-tblContractForDeed[[#This Row],[Princ]])</f>
        <v>70214.900000000067</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39">
        <f>IF(INDEX(tblContractForDeed[Payment],ROW()-ROW(tblBuyerOutputs[#Headers]))=0,0,INDEX(tblContractForDeed[Payment],ROW()-ROW(tblBuyerOutputs[#Headers]))-INDEX(tblSubjectToLoan[Payment],ROW()-ROW(tblBuyerOutputs[#Headers])))</f>
        <v>1777.45</v>
      </c>
      <c r="AA105"/>
      <c r="AB105" s="14">
        <f>IF(INDEX(tblContractForDeed[Payment],ROW()-ROW(tblBuyerOutputs[#Headers]))=0,0,INDEX(tblContractForDeed[Payment],ROW()-ROW(tblBuyerOutputs[#Headers]))-INDEX(tblSubjectToLoan[Payment],ROW()-ROW(tblBuyerOutputs[#Headers])))-IFERROR(tblBuyerOutputs[[#This Row],[PMI]],0)</f>
        <v>1777.45</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131050.73999999986</v>
      </c>
      <c r="AD105" s="265">
        <f>IF(INDEX(tblContractForDeed[End Bal],ROW()-ROW(tblBuyerOutputs[#Headers]))&lt;=0,0,($O$6+IF(ROW()=ROW(tblBuyerOutputs[#Headers])+1,0,INDEX(tblBuyerOutputs[Cumul Appr],ROW()-ROW(tblBuyerOutputs[#Headers])-1)))*$O$2/12)</f>
        <v>869.1994770472005</v>
      </c>
      <c r="AE105" s="587">
        <f>IF(INDEX(tblContractForDeed[End Bal],ROW()-ROW(tblBuyerOutputs[#Headers]))&lt;=0,0,IF(ROW()=ROW(tblBuyerOutputs[#Headers])+1,0,INDEX(tblBuyerOutputs[Cumul Appr],ROW()-ROW(tblBuyerOutputs[#Headers])-1))+tblBuyerOutputs[[#This Row],[Monthly Appr]])</f>
        <v>62977.073968375284</v>
      </c>
      <c r="AF105" s="22"/>
      <c r="AG105" s="14"/>
      <c r="AM105"/>
      <c r="AN105" s="14"/>
      <c r="AP105" s="265"/>
      <c r="AR105" s="14"/>
      <c r="AS105"/>
    </row>
    <row r="106" spans="1:45" x14ac:dyDescent="0.25">
      <c r="A106" s="561">
        <f t="shared" si="17"/>
        <v>48458</v>
      </c>
      <c r="B106" s="265">
        <f t="shared" si="18"/>
        <v>0</v>
      </c>
      <c r="C106" s="14">
        <f t="shared" si="14"/>
        <v>0</v>
      </c>
      <c r="D106" s="14">
        <f t="shared" si="19"/>
        <v>0</v>
      </c>
      <c r="E106" s="14">
        <f t="shared" si="15"/>
        <v>0</v>
      </c>
      <c r="F106" s="14">
        <f t="shared" si="24"/>
        <v>0</v>
      </c>
      <c r="G106" s="14">
        <f t="shared" si="24"/>
        <v>0</v>
      </c>
      <c r="H106" s="14">
        <f t="shared" si="12"/>
        <v>0</v>
      </c>
      <c r="I106" s="265">
        <f t="shared" si="22"/>
        <v>0</v>
      </c>
      <c r="J106" s="265">
        <f t="shared" si="23"/>
        <v>0</v>
      </c>
      <c r="K106" s="265">
        <f t="shared" si="20"/>
        <v>0</v>
      </c>
      <c r="L106" s="373">
        <f t="shared" si="16"/>
        <v>7</v>
      </c>
      <c r="M106" s="373">
        <f t="shared" si="21"/>
        <v>86</v>
      </c>
      <c r="N106" s="561">
        <f>INDEX(tblSubjectToLoan[Date],ROW()-ROW(tblContractForDeed[#Headers]))</f>
        <v>48458</v>
      </c>
      <c r="O106" s="265">
        <f>IF(ROW()=ROW(tblContractForDeed[#Headers])+1,$O$6,IF(INDEX(tblContractForDeed[End Bal],ROW()-ROW(tblContractForDeed[#Headers])-1)&lt;0,0,INDEX(tblContractForDeed[End Bal],ROW()-ROW(tblContractForDeed[#Headers])-1)))</f>
        <v>70214.900000000067</v>
      </c>
      <c r="P106" s="431">
        <f>IF(tblContractForDeed[[#This Row],[Date]]="","",IF(tblContractForDeed[[#This Row],[Date]]&lt;cfdRateChangeDate,cfdRate1,cfdRate2))</f>
        <v>0.08</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6" s="265">
        <f>IF(tblContractForDeed[[#This Row],[Payment]]=0,0,MAX(0,MIN(tblContractForDeed[[#This Row],[Beg]],tblContractForDeed[[#This Row],[Payment]]-tblContractForDeed[[#This Row],[Int]])))</f>
        <v>1309.3499999999999</v>
      </c>
      <c r="S106" s="265">
        <f>IF(OR(tblContractForDeed[[#This Row],[Date]]&lt;cfdContractDate,tblContractForDeed[[#This Row],[Date]]&gt;cfdEndDate),0,ROUND(tblContractForDeed[[#This Row],[Beg]]*(tblContractForDeed[[#This Row],[Int Rate]]/12),2))</f>
        <v>468.1</v>
      </c>
      <c r="T106" s="265">
        <f>IF(tblContractForDeed[[#This Row],[Payment]]=0,0,$V$2)</f>
        <v>134.16999999999999</v>
      </c>
      <c r="U106" s="265">
        <f>IF(tblContractForDeed[[#This Row],[Princ]]=0,0,$V$3)</f>
        <v>0</v>
      </c>
      <c r="V106" s="265">
        <f>SUM(tblContractForDeed[[#This Row],[Princ]],tblContractForDeed[[#This Row],[Int]],tblContractForDeed[[#This Row],[Ins]],tblContractForDeed[[#This Row],[Taxes]])</f>
        <v>1911.62</v>
      </c>
      <c r="W106" s="265">
        <f>SUM(INDEX(tblContractForDeed[Princ],1):INDEX(tblContractForDeed[Princ],ROW()-ROW(tblContractForDeed[#Headers])))</f>
        <v>77594.45</v>
      </c>
      <c r="X106" s="265">
        <f>IF(tblContractForDeed[[#This Row],[Beg]]&lt;=0,0,tblContractForDeed[[#This Row],[Beg]]-tblContractForDeed[[#This Row],[Princ]])</f>
        <v>68905.550000000061</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39">
        <f>IF(INDEX(tblContractForDeed[Payment],ROW()-ROW(tblBuyerOutputs[#Headers]))=0,0,INDEX(tblContractForDeed[Payment],ROW()-ROW(tblBuyerOutputs[#Headers]))-INDEX(tblSubjectToLoan[Payment],ROW()-ROW(tblBuyerOutputs[#Headers])))</f>
        <v>1777.45</v>
      </c>
      <c r="AA106"/>
      <c r="AB106" s="14">
        <f>IF(INDEX(tblContractForDeed[Payment],ROW()-ROW(tblBuyerOutputs[#Headers]))=0,0,INDEX(tblContractForDeed[Payment],ROW()-ROW(tblBuyerOutputs[#Headers]))-INDEX(tblSubjectToLoan[Payment],ROW()-ROW(tblBuyerOutputs[#Headers])))-IFERROR(tblBuyerOutputs[[#This Row],[PMI]],0)</f>
        <v>1777.45</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132828.18999999986</v>
      </c>
      <c r="AD106" s="265">
        <f>IF(INDEX(tblContractForDeed[End Bal],ROW()-ROW(tblBuyerOutputs[#Headers]))&lt;=0,0,($O$6+IF(ROW()=ROW(tblBuyerOutputs[#Headers])+1,0,INDEX(tblBuyerOutputs[Cumul Appr],ROW()-ROW(tblBuyerOutputs[#Headers])-1)))*$O$2/12)</f>
        <v>872.82114153489704</v>
      </c>
      <c r="AE106" s="587">
        <f>IF(INDEX(tblContractForDeed[End Bal],ROW()-ROW(tblBuyerOutputs[#Headers]))&lt;=0,0,IF(ROW()=ROW(tblBuyerOutputs[#Headers])+1,0,INDEX(tblBuyerOutputs[Cumul Appr],ROW()-ROW(tblBuyerOutputs[#Headers])-1))+tblBuyerOutputs[[#This Row],[Monthly Appr]])</f>
        <v>63849.895109910183</v>
      </c>
      <c r="AF106" s="22"/>
      <c r="AG106" s="14"/>
      <c r="AM106"/>
      <c r="AN106" s="14"/>
      <c r="AP106" s="265"/>
      <c r="AR106" s="14"/>
      <c r="AS106"/>
    </row>
    <row r="107" spans="1:45" x14ac:dyDescent="0.25">
      <c r="A107" s="561">
        <f t="shared" si="17"/>
        <v>48488</v>
      </c>
      <c r="B107" s="265">
        <f t="shared" si="18"/>
        <v>0</v>
      </c>
      <c r="C107" s="14">
        <f t="shared" si="14"/>
        <v>0</v>
      </c>
      <c r="D107" s="14">
        <f t="shared" si="19"/>
        <v>0</v>
      </c>
      <c r="E107" s="14">
        <f t="shared" si="15"/>
        <v>0</v>
      </c>
      <c r="F107" s="14">
        <f t="shared" si="24"/>
        <v>0</v>
      </c>
      <c r="G107" s="14">
        <f t="shared" si="24"/>
        <v>0</v>
      </c>
      <c r="H107" s="14">
        <f t="shared" si="12"/>
        <v>0</v>
      </c>
      <c r="I107" s="265">
        <f t="shared" si="22"/>
        <v>0</v>
      </c>
      <c r="J107" s="265">
        <f t="shared" si="23"/>
        <v>0</v>
      </c>
      <c r="K107" s="265">
        <f t="shared" si="20"/>
        <v>0</v>
      </c>
      <c r="L107" s="373">
        <f t="shared" si="16"/>
        <v>7</v>
      </c>
      <c r="M107" s="373">
        <f t="shared" si="21"/>
        <v>87</v>
      </c>
      <c r="N107" s="561">
        <f>INDEX(tblSubjectToLoan[Date],ROW()-ROW(tblContractForDeed[#Headers]))</f>
        <v>48488</v>
      </c>
      <c r="O107" s="265">
        <f>IF(ROW()=ROW(tblContractForDeed[#Headers])+1,$O$6,IF(INDEX(tblContractForDeed[End Bal],ROW()-ROW(tblContractForDeed[#Headers])-1)&lt;0,0,INDEX(tblContractForDeed[End Bal],ROW()-ROW(tblContractForDeed[#Headers])-1)))</f>
        <v>68905.550000000061</v>
      </c>
      <c r="P107" s="431">
        <f>IF(tblContractForDeed[[#This Row],[Date]]="","",IF(tblContractForDeed[[#This Row],[Date]]&lt;cfdRateChangeDate,cfdRate1,cfdRate2))</f>
        <v>0.08</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7" s="265">
        <f>IF(tblContractForDeed[[#This Row],[Payment]]=0,0,MAX(0,MIN(tblContractForDeed[[#This Row],[Beg]],tblContractForDeed[[#This Row],[Payment]]-tblContractForDeed[[#This Row],[Int]])))</f>
        <v>1318.08</v>
      </c>
      <c r="S107" s="265">
        <f>IF(OR(tblContractForDeed[[#This Row],[Date]]&lt;cfdContractDate,tblContractForDeed[[#This Row],[Date]]&gt;cfdEndDate),0,ROUND(tblContractForDeed[[#This Row],[Beg]]*(tblContractForDeed[[#This Row],[Int Rate]]/12),2))</f>
        <v>459.37</v>
      </c>
      <c r="T107" s="265">
        <f>IF(tblContractForDeed[[#This Row],[Payment]]=0,0,$V$2)</f>
        <v>134.16999999999999</v>
      </c>
      <c r="U107" s="265">
        <f>IF(tblContractForDeed[[#This Row],[Princ]]=0,0,$V$3)</f>
        <v>0</v>
      </c>
      <c r="V107" s="265">
        <f>SUM(tblContractForDeed[[#This Row],[Princ]],tblContractForDeed[[#This Row],[Int]],tblContractForDeed[[#This Row],[Ins]],tblContractForDeed[[#This Row],[Taxes]])</f>
        <v>1911.62</v>
      </c>
      <c r="W107" s="265">
        <f>SUM(INDEX(tblContractForDeed[Princ],1):INDEX(tblContractForDeed[Princ],ROW()-ROW(tblContractForDeed[#Headers])))</f>
        <v>78912.53</v>
      </c>
      <c r="X107" s="265">
        <f>IF(tblContractForDeed[[#This Row],[Beg]]&lt;=0,0,tblContractForDeed[[#This Row],[Beg]]-tblContractForDeed[[#This Row],[Princ]])</f>
        <v>67587.470000000059</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39">
        <f>IF(INDEX(tblContractForDeed[Payment],ROW()-ROW(tblBuyerOutputs[#Headers]))=0,0,INDEX(tblContractForDeed[Payment],ROW()-ROW(tblBuyerOutputs[#Headers]))-INDEX(tblSubjectToLoan[Payment],ROW()-ROW(tblBuyerOutputs[#Headers])))</f>
        <v>1777.45</v>
      </c>
      <c r="AA107"/>
      <c r="AB107" s="14">
        <f>IF(INDEX(tblContractForDeed[Payment],ROW()-ROW(tblBuyerOutputs[#Headers]))=0,0,INDEX(tblContractForDeed[Payment],ROW()-ROW(tblBuyerOutputs[#Headers]))-INDEX(tblSubjectToLoan[Payment],ROW()-ROW(tblBuyerOutputs[#Headers])))-IFERROR(tblBuyerOutputs[[#This Row],[PMI]],0)</f>
        <v>1777.45</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134605.63999999987</v>
      </c>
      <c r="AD107" s="265">
        <f>IF(INDEX(tblContractForDeed[End Bal],ROW()-ROW(tblBuyerOutputs[#Headers]))&lt;=0,0,($O$6+IF(ROW()=ROW(tblBuyerOutputs[#Headers])+1,0,INDEX(tblBuyerOutputs[Cumul Appr],ROW()-ROW(tblBuyerOutputs[#Headers])-1)))*$O$2/12)</f>
        <v>876.4578962912924</v>
      </c>
      <c r="AE107" s="587">
        <f>IF(INDEX(tblContractForDeed[End Bal],ROW()-ROW(tblBuyerOutputs[#Headers]))&lt;=0,0,IF(ROW()=ROW(tblBuyerOutputs[#Headers])+1,0,INDEX(tblBuyerOutputs[Cumul Appr],ROW()-ROW(tblBuyerOutputs[#Headers])-1))+tblBuyerOutputs[[#This Row],[Monthly Appr]])</f>
        <v>64726.353006201476</v>
      </c>
      <c r="AF107" s="22"/>
      <c r="AG107" s="14"/>
      <c r="AM107"/>
      <c r="AN107" s="14"/>
      <c r="AP107" s="265"/>
      <c r="AR107" s="14"/>
      <c r="AS107"/>
    </row>
    <row r="108" spans="1:45" x14ac:dyDescent="0.25">
      <c r="A108" s="561">
        <f t="shared" si="17"/>
        <v>48519</v>
      </c>
      <c r="B108" s="265">
        <f t="shared" si="18"/>
        <v>0</v>
      </c>
      <c r="C108" s="14">
        <f t="shared" si="14"/>
        <v>0</v>
      </c>
      <c r="D108" s="14">
        <f t="shared" si="19"/>
        <v>0</v>
      </c>
      <c r="E108" s="14">
        <f t="shared" si="15"/>
        <v>0</v>
      </c>
      <c r="F108" s="14">
        <f t="shared" si="24"/>
        <v>0</v>
      </c>
      <c r="G108" s="14">
        <f t="shared" si="24"/>
        <v>0</v>
      </c>
      <c r="H108" s="14">
        <f t="shared" si="12"/>
        <v>0</v>
      </c>
      <c r="I108" s="265">
        <f t="shared" si="22"/>
        <v>0</v>
      </c>
      <c r="J108" s="265">
        <f t="shared" si="23"/>
        <v>0</v>
      </c>
      <c r="K108" s="265">
        <f t="shared" si="20"/>
        <v>0</v>
      </c>
      <c r="L108" s="373">
        <f t="shared" si="16"/>
        <v>7</v>
      </c>
      <c r="M108" s="373">
        <f t="shared" si="21"/>
        <v>88</v>
      </c>
      <c r="N108" s="561">
        <f>INDEX(tblSubjectToLoan[Date],ROW()-ROW(tblContractForDeed[#Headers]))</f>
        <v>48519</v>
      </c>
      <c r="O108" s="265">
        <f>IF(ROW()=ROW(tblContractForDeed[#Headers])+1,$O$6,IF(INDEX(tblContractForDeed[End Bal],ROW()-ROW(tblContractForDeed[#Headers])-1)&lt;0,0,INDEX(tblContractForDeed[End Bal],ROW()-ROW(tblContractForDeed[#Headers])-1)))</f>
        <v>67587.470000000059</v>
      </c>
      <c r="P108" s="431">
        <f>IF(tblContractForDeed[[#This Row],[Date]]="","",IF(tblContractForDeed[[#This Row],[Date]]&lt;cfdRateChangeDate,cfdRate1,cfdRate2))</f>
        <v>0.08</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8" s="265">
        <f>IF(tblContractForDeed[[#This Row],[Payment]]=0,0,MAX(0,MIN(tblContractForDeed[[#This Row],[Beg]],tblContractForDeed[[#This Row],[Payment]]-tblContractForDeed[[#This Row],[Int]])))</f>
        <v>1326.8700000000001</v>
      </c>
      <c r="S108" s="265">
        <f>IF(OR(tblContractForDeed[[#This Row],[Date]]&lt;cfdContractDate,tblContractForDeed[[#This Row],[Date]]&gt;cfdEndDate),0,ROUND(tblContractForDeed[[#This Row],[Beg]]*(tblContractForDeed[[#This Row],[Int Rate]]/12),2))</f>
        <v>450.58</v>
      </c>
      <c r="T108" s="265">
        <f>IF(tblContractForDeed[[#This Row],[Payment]]=0,0,$V$2)</f>
        <v>134.16999999999999</v>
      </c>
      <c r="U108" s="265">
        <f>IF(tblContractForDeed[[#This Row],[Princ]]=0,0,$V$3)</f>
        <v>0</v>
      </c>
      <c r="V108" s="265">
        <f>SUM(tblContractForDeed[[#This Row],[Princ]],tblContractForDeed[[#This Row],[Int]],tblContractForDeed[[#This Row],[Ins]],tblContractForDeed[[#This Row],[Taxes]])</f>
        <v>1911.6200000000001</v>
      </c>
      <c r="W108" s="265">
        <f>SUM(INDEX(tblContractForDeed[Princ],1):INDEX(tblContractForDeed[Princ],ROW()-ROW(tblContractForDeed[#Headers])))</f>
        <v>80239.399999999994</v>
      </c>
      <c r="X108" s="265">
        <f>IF(tblContractForDeed[[#This Row],[Beg]]&lt;=0,0,tblContractForDeed[[#This Row],[Beg]]-tblContractForDeed[[#This Row],[Princ]])</f>
        <v>66260.600000000064</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39">
        <f>IF(INDEX(tblContractForDeed[Payment],ROW()-ROW(tblBuyerOutputs[#Headers]))=0,0,INDEX(tblContractForDeed[Payment],ROW()-ROW(tblBuyerOutputs[#Headers]))-INDEX(tblSubjectToLoan[Payment],ROW()-ROW(tblBuyerOutputs[#Headers])))</f>
        <v>1777.45</v>
      </c>
      <c r="AA108"/>
      <c r="AB108" s="14">
        <f>IF(INDEX(tblContractForDeed[Payment],ROW()-ROW(tblBuyerOutputs[#Headers]))=0,0,INDEX(tblContractForDeed[Payment],ROW()-ROW(tblBuyerOutputs[#Headers]))-INDEX(tblSubjectToLoan[Payment],ROW()-ROW(tblBuyerOutputs[#Headers])))-IFERROR(tblBuyerOutputs[[#This Row],[PMI]],0)</f>
        <v>1777.45</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136383.08999999988</v>
      </c>
      <c r="AD108" s="265">
        <f>IF(INDEX(tblContractForDeed[End Bal],ROW()-ROW(tblBuyerOutputs[#Headers]))&lt;=0,0,($O$6+IF(ROW()=ROW(tblBuyerOutputs[#Headers])+1,0,INDEX(tblBuyerOutputs[Cumul Appr],ROW()-ROW(tblBuyerOutputs[#Headers])-1)))*$O$2/12)</f>
        <v>880.1098041925062</v>
      </c>
      <c r="AE108" s="587">
        <f>IF(INDEX(tblContractForDeed[End Bal],ROW()-ROW(tblBuyerOutputs[#Headers]))&lt;=0,0,IF(ROW()=ROW(tblBuyerOutputs[#Headers])+1,0,INDEX(tblBuyerOutputs[Cumul Appr],ROW()-ROW(tblBuyerOutputs[#Headers])-1))+tblBuyerOutputs[[#This Row],[Monthly Appr]])</f>
        <v>65606.462810393976</v>
      </c>
      <c r="AF108" s="22"/>
      <c r="AG108" s="14"/>
      <c r="AM108"/>
      <c r="AN108" s="14"/>
      <c r="AP108" s="265"/>
      <c r="AR108" s="14"/>
      <c r="AS108"/>
    </row>
    <row r="109" spans="1:45" x14ac:dyDescent="0.25">
      <c r="A109" s="561">
        <f t="shared" si="17"/>
        <v>48549</v>
      </c>
      <c r="B109" s="265">
        <f t="shared" si="18"/>
        <v>0</v>
      </c>
      <c r="C109" s="14">
        <f t="shared" si="14"/>
        <v>0</v>
      </c>
      <c r="D109" s="14">
        <f t="shared" si="19"/>
        <v>0</v>
      </c>
      <c r="E109" s="14">
        <f t="shared" si="15"/>
        <v>0</v>
      </c>
      <c r="F109" s="14">
        <f t="shared" si="24"/>
        <v>0</v>
      </c>
      <c r="G109" s="14">
        <f t="shared" si="24"/>
        <v>0</v>
      </c>
      <c r="H109" s="14">
        <f t="shared" si="12"/>
        <v>0</v>
      </c>
      <c r="I109" s="265">
        <f t="shared" si="22"/>
        <v>0</v>
      </c>
      <c r="J109" s="265">
        <f t="shared" si="23"/>
        <v>0</v>
      </c>
      <c r="K109" s="265">
        <f t="shared" si="20"/>
        <v>0</v>
      </c>
      <c r="L109" s="373">
        <f t="shared" si="16"/>
        <v>7</v>
      </c>
      <c r="M109" s="373">
        <f t="shared" si="21"/>
        <v>89</v>
      </c>
      <c r="N109" s="561">
        <f>INDEX(tblSubjectToLoan[Date],ROW()-ROW(tblContractForDeed[#Headers]))</f>
        <v>48549</v>
      </c>
      <c r="O109" s="265">
        <f>IF(ROW()=ROW(tblContractForDeed[#Headers])+1,$O$6,IF(INDEX(tblContractForDeed[End Bal],ROW()-ROW(tblContractForDeed[#Headers])-1)&lt;0,0,INDEX(tblContractForDeed[End Bal],ROW()-ROW(tblContractForDeed[#Headers])-1)))</f>
        <v>66260.600000000064</v>
      </c>
      <c r="P109" s="431">
        <f>IF(tblContractForDeed[[#This Row],[Date]]="","",IF(tblContractForDeed[[#This Row],[Date]]&lt;cfdRateChangeDate,cfdRate1,cfdRate2))</f>
        <v>0.08</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9" s="265">
        <f>IF(tblContractForDeed[[#This Row],[Payment]]=0,0,MAX(0,MIN(tblContractForDeed[[#This Row],[Beg]],tblContractForDeed[[#This Row],[Payment]]-tblContractForDeed[[#This Row],[Int]])))</f>
        <v>1335.71</v>
      </c>
      <c r="S109" s="265">
        <f>IF(OR(tblContractForDeed[[#This Row],[Date]]&lt;cfdContractDate,tblContractForDeed[[#This Row],[Date]]&gt;cfdEndDate),0,ROUND(tblContractForDeed[[#This Row],[Beg]]*(tblContractForDeed[[#This Row],[Int Rate]]/12),2))</f>
        <v>441.74</v>
      </c>
      <c r="T109" s="265">
        <f>IF(tblContractForDeed[[#This Row],[Payment]]=0,0,$V$2)</f>
        <v>134.16999999999999</v>
      </c>
      <c r="U109" s="265">
        <f>IF(tblContractForDeed[[#This Row],[Princ]]=0,0,$V$3)</f>
        <v>0</v>
      </c>
      <c r="V109" s="265">
        <f>SUM(tblContractForDeed[[#This Row],[Princ]],tblContractForDeed[[#This Row],[Int]],tblContractForDeed[[#This Row],[Ins]],tblContractForDeed[[#This Row],[Taxes]])</f>
        <v>1911.6200000000001</v>
      </c>
      <c r="W109" s="265">
        <f>SUM(INDEX(tblContractForDeed[Princ],1):INDEX(tblContractForDeed[Princ],ROW()-ROW(tblContractForDeed[#Headers])))</f>
        <v>81575.11</v>
      </c>
      <c r="X109" s="265">
        <f>IF(tblContractForDeed[[#This Row],[Beg]]&lt;=0,0,tblContractForDeed[[#This Row],[Beg]]-tblContractForDeed[[#This Row],[Princ]])</f>
        <v>64924.890000000065</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39">
        <f>IF(INDEX(tblContractForDeed[Payment],ROW()-ROW(tblBuyerOutputs[#Headers]))=0,0,INDEX(tblContractForDeed[Payment],ROW()-ROW(tblBuyerOutputs[#Headers]))-INDEX(tblSubjectToLoan[Payment],ROW()-ROW(tblBuyerOutputs[#Headers])))</f>
        <v>1777.45</v>
      </c>
      <c r="AA109"/>
      <c r="AB109" s="14">
        <f>IF(INDEX(tblContractForDeed[Payment],ROW()-ROW(tblBuyerOutputs[#Headers]))=0,0,INDEX(tblContractForDeed[Payment],ROW()-ROW(tblBuyerOutputs[#Headers]))-INDEX(tblSubjectToLoan[Payment],ROW()-ROW(tblBuyerOutputs[#Headers])))-IFERROR(tblBuyerOutputs[[#This Row],[PMI]],0)</f>
        <v>1777.45</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138160.53999999989</v>
      </c>
      <c r="AD109" s="265">
        <f>IF(INDEX(tblContractForDeed[End Bal],ROW()-ROW(tblBuyerOutputs[#Headers]))&lt;=0,0,($O$6+IF(ROW()=ROW(tblBuyerOutputs[#Headers])+1,0,INDEX(tblBuyerOutputs[Cumul Appr],ROW()-ROW(tblBuyerOutputs[#Headers])-1)))*$O$2/12)</f>
        <v>883.77692837664165</v>
      </c>
      <c r="AE109" s="587">
        <f>IF(INDEX(tblContractForDeed[End Bal],ROW()-ROW(tblBuyerOutputs[#Headers]))&lt;=0,0,IF(ROW()=ROW(tblBuyerOutputs[#Headers])+1,0,INDEX(tblBuyerOutputs[Cumul Appr],ROW()-ROW(tblBuyerOutputs[#Headers])-1))+tblBuyerOutputs[[#This Row],[Monthly Appr]])</f>
        <v>66490.239738770615</v>
      </c>
      <c r="AF109" s="22"/>
      <c r="AG109" s="14"/>
      <c r="AM109"/>
      <c r="AN109" s="14"/>
      <c r="AP109" s="265"/>
      <c r="AR109" s="14"/>
      <c r="AS109"/>
    </row>
    <row r="110" spans="1:45" x14ac:dyDescent="0.25">
      <c r="A110" s="561">
        <f t="shared" si="17"/>
        <v>48580</v>
      </c>
      <c r="B110" s="265">
        <f t="shared" si="18"/>
        <v>0</v>
      </c>
      <c r="C110" s="14">
        <f t="shared" si="14"/>
        <v>0</v>
      </c>
      <c r="D110" s="14">
        <f t="shared" si="19"/>
        <v>0</v>
      </c>
      <c r="E110" s="14">
        <f t="shared" si="15"/>
        <v>0</v>
      </c>
      <c r="F110" s="14">
        <f t="shared" si="24"/>
        <v>0</v>
      </c>
      <c r="G110" s="14">
        <f t="shared" si="24"/>
        <v>0</v>
      </c>
      <c r="H110" s="14">
        <f t="shared" si="12"/>
        <v>0</v>
      </c>
      <c r="I110" s="265">
        <f t="shared" si="22"/>
        <v>0</v>
      </c>
      <c r="J110" s="265">
        <f t="shared" si="23"/>
        <v>0</v>
      </c>
      <c r="K110" s="265">
        <f t="shared" si="20"/>
        <v>0</v>
      </c>
      <c r="L110" s="373">
        <f t="shared" si="16"/>
        <v>7</v>
      </c>
      <c r="M110" s="373">
        <f t="shared" si="21"/>
        <v>90</v>
      </c>
      <c r="N110" s="561">
        <f>INDEX(tblSubjectToLoan[Date],ROW()-ROW(tblContractForDeed[#Headers]))</f>
        <v>48580</v>
      </c>
      <c r="O110" s="265">
        <f>IF(ROW()=ROW(tblContractForDeed[#Headers])+1,$O$6,IF(INDEX(tblContractForDeed[End Bal],ROW()-ROW(tblContractForDeed[#Headers])-1)&lt;0,0,INDEX(tblContractForDeed[End Bal],ROW()-ROW(tblContractForDeed[#Headers])-1)))</f>
        <v>64924.890000000065</v>
      </c>
      <c r="P110" s="431">
        <f>IF(tblContractForDeed[[#This Row],[Date]]="","",IF(tblContractForDeed[[#This Row],[Date]]&lt;cfdRateChangeDate,cfdRate1,cfdRate2))</f>
        <v>0.08</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0" s="265">
        <f>IF(tblContractForDeed[[#This Row],[Payment]]=0,0,MAX(0,MIN(tblContractForDeed[[#This Row],[Beg]],tblContractForDeed[[#This Row],[Payment]]-tblContractForDeed[[#This Row],[Int]])))</f>
        <v>1344.6200000000001</v>
      </c>
      <c r="S110" s="265">
        <f>IF(OR(tblContractForDeed[[#This Row],[Date]]&lt;cfdContractDate,tblContractForDeed[[#This Row],[Date]]&gt;cfdEndDate),0,ROUND(tblContractForDeed[[#This Row],[Beg]]*(tblContractForDeed[[#This Row],[Int Rate]]/12),2))</f>
        <v>432.83</v>
      </c>
      <c r="T110" s="265">
        <f>IF(tblContractForDeed[[#This Row],[Payment]]=0,0,$V$2)</f>
        <v>134.16999999999999</v>
      </c>
      <c r="U110" s="265">
        <f>IF(tblContractForDeed[[#This Row],[Princ]]=0,0,$V$3)</f>
        <v>0</v>
      </c>
      <c r="V110" s="265">
        <f>SUM(tblContractForDeed[[#This Row],[Princ]],tblContractForDeed[[#This Row],[Int]],tblContractForDeed[[#This Row],[Ins]],tblContractForDeed[[#This Row],[Taxes]])</f>
        <v>1911.6200000000001</v>
      </c>
      <c r="W110" s="265">
        <f>SUM(INDEX(tblContractForDeed[Princ],1):INDEX(tblContractForDeed[Princ],ROW()-ROW(tblContractForDeed[#Headers])))</f>
        <v>82919.73</v>
      </c>
      <c r="X110" s="265">
        <f>IF(tblContractForDeed[[#This Row],[Beg]]&lt;=0,0,tblContractForDeed[[#This Row],[Beg]]-tblContractForDeed[[#This Row],[Princ]])</f>
        <v>63580.270000000062</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39">
        <f>IF(INDEX(tblContractForDeed[Payment],ROW()-ROW(tblBuyerOutputs[#Headers]))=0,0,INDEX(tblContractForDeed[Payment],ROW()-ROW(tblBuyerOutputs[#Headers]))-INDEX(tblSubjectToLoan[Payment],ROW()-ROW(tblBuyerOutputs[#Headers])))</f>
        <v>1777.45</v>
      </c>
      <c r="AA110"/>
      <c r="AB110" s="14">
        <f>IF(INDEX(tblContractForDeed[Payment],ROW()-ROW(tblBuyerOutputs[#Headers]))=0,0,INDEX(tblContractForDeed[Payment],ROW()-ROW(tblBuyerOutputs[#Headers]))-INDEX(tblSubjectToLoan[Payment],ROW()-ROW(tblBuyerOutputs[#Headers])))-IFERROR(tblBuyerOutputs[[#This Row],[PMI]],0)</f>
        <v>1777.45</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139937.9899999999</v>
      </c>
      <c r="AD110" s="265">
        <f>IF(INDEX(tblContractForDeed[End Bal],ROW()-ROW(tblBuyerOutputs[#Headers]))&lt;=0,0,($O$6+IF(ROW()=ROW(tblBuyerOutputs[#Headers])+1,0,INDEX(tblBuyerOutputs[Cumul Appr],ROW()-ROW(tblBuyerOutputs[#Headers])-1)))*$O$2/12)</f>
        <v>887.4593322448776</v>
      </c>
      <c r="AE110" s="587">
        <f>IF(INDEX(tblContractForDeed[End Bal],ROW()-ROW(tblBuyerOutputs[#Headers]))&lt;=0,0,IF(ROW()=ROW(tblBuyerOutputs[#Headers])+1,0,INDEX(tblBuyerOutputs[Cumul Appr],ROW()-ROW(tblBuyerOutputs[#Headers])-1))+tblBuyerOutputs[[#This Row],[Monthly Appr]])</f>
        <v>67377.699071015493</v>
      </c>
      <c r="AF110" s="22"/>
      <c r="AG110" s="14"/>
      <c r="AM110"/>
      <c r="AN110" s="14"/>
      <c r="AP110" s="265"/>
      <c r="AR110" s="14"/>
      <c r="AS110"/>
    </row>
    <row r="111" spans="1:45" x14ac:dyDescent="0.25">
      <c r="A111" s="561">
        <f t="shared" si="17"/>
        <v>48611</v>
      </c>
      <c r="B111" s="265">
        <f t="shared" si="18"/>
        <v>0</v>
      </c>
      <c r="C111" s="14">
        <f t="shared" si="14"/>
        <v>0</v>
      </c>
      <c r="D111" s="14">
        <f t="shared" si="19"/>
        <v>0</v>
      </c>
      <c r="E111" s="14">
        <f t="shared" si="15"/>
        <v>0</v>
      </c>
      <c r="F111" s="14">
        <f t="shared" ref="F111:G126" si="25">+F110</f>
        <v>0</v>
      </c>
      <c r="G111" s="14">
        <f t="shared" si="25"/>
        <v>0</v>
      </c>
      <c r="H111" s="14">
        <f t="shared" si="12"/>
        <v>0</v>
      </c>
      <c r="I111" s="265">
        <f t="shared" si="22"/>
        <v>0</v>
      </c>
      <c r="J111" s="265">
        <f t="shared" si="23"/>
        <v>0</v>
      </c>
      <c r="K111" s="265">
        <f t="shared" si="20"/>
        <v>0</v>
      </c>
      <c r="L111" s="373">
        <f t="shared" si="16"/>
        <v>7</v>
      </c>
      <c r="M111" s="373">
        <f t="shared" si="21"/>
        <v>91</v>
      </c>
      <c r="N111" s="561">
        <f>INDEX(tblSubjectToLoan[Date],ROW()-ROW(tblContractForDeed[#Headers]))</f>
        <v>48611</v>
      </c>
      <c r="O111" s="265">
        <f>IF(ROW()=ROW(tblContractForDeed[#Headers])+1,$O$6,IF(INDEX(tblContractForDeed[End Bal],ROW()-ROW(tblContractForDeed[#Headers])-1)&lt;0,0,INDEX(tblContractForDeed[End Bal],ROW()-ROW(tblContractForDeed[#Headers])-1)))</f>
        <v>63580.270000000062</v>
      </c>
      <c r="P111" s="431">
        <f>IF(tblContractForDeed[[#This Row],[Date]]="","",IF(tblContractForDeed[[#This Row],[Date]]&lt;cfdRateChangeDate,cfdRate1,cfdRate2))</f>
        <v>0.08</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1" s="265">
        <f>IF(tblContractForDeed[[#This Row],[Payment]]=0,0,MAX(0,MIN(tblContractForDeed[[#This Row],[Beg]],tblContractForDeed[[#This Row],[Payment]]-tblContractForDeed[[#This Row],[Int]])))</f>
        <v>1353.58</v>
      </c>
      <c r="S111" s="265">
        <f>IF(OR(tblContractForDeed[[#This Row],[Date]]&lt;cfdContractDate,tblContractForDeed[[#This Row],[Date]]&gt;cfdEndDate),0,ROUND(tblContractForDeed[[#This Row],[Beg]]*(tblContractForDeed[[#This Row],[Int Rate]]/12),2))</f>
        <v>423.87</v>
      </c>
      <c r="T111" s="265">
        <f>IF(tblContractForDeed[[#This Row],[Payment]]=0,0,$V$2)</f>
        <v>134.16999999999999</v>
      </c>
      <c r="U111" s="265">
        <f>IF(tblContractForDeed[[#This Row],[Princ]]=0,0,$V$3)</f>
        <v>0</v>
      </c>
      <c r="V111" s="265">
        <f>SUM(tblContractForDeed[[#This Row],[Princ]],tblContractForDeed[[#This Row],[Int]],tblContractForDeed[[#This Row],[Ins]],tblContractForDeed[[#This Row],[Taxes]])</f>
        <v>1911.62</v>
      </c>
      <c r="W111" s="265">
        <f>SUM(INDEX(tblContractForDeed[Princ],1):INDEX(tblContractForDeed[Princ],ROW()-ROW(tblContractForDeed[#Headers])))</f>
        <v>84273.31</v>
      </c>
      <c r="X111" s="265">
        <f>IF(tblContractForDeed[[#This Row],[Beg]]&lt;=0,0,tblContractForDeed[[#This Row],[Beg]]-tblContractForDeed[[#This Row],[Princ]])</f>
        <v>62226.690000000061</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39">
        <f>IF(INDEX(tblContractForDeed[Payment],ROW()-ROW(tblBuyerOutputs[#Headers]))=0,0,INDEX(tblContractForDeed[Payment],ROW()-ROW(tblBuyerOutputs[#Headers]))-INDEX(tblSubjectToLoan[Payment],ROW()-ROW(tblBuyerOutputs[#Headers])))</f>
        <v>1777.45</v>
      </c>
      <c r="AA111"/>
      <c r="AB111" s="14">
        <f>IF(INDEX(tblContractForDeed[Payment],ROW()-ROW(tblBuyerOutputs[#Headers]))=0,0,INDEX(tblContractForDeed[Payment],ROW()-ROW(tblBuyerOutputs[#Headers]))-INDEX(tblSubjectToLoan[Payment],ROW()-ROW(tblBuyerOutputs[#Headers])))-IFERROR(tblBuyerOutputs[[#This Row],[PMI]],0)</f>
        <v>1777.45</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141715.43999999992</v>
      </c>
      <c r="AD111" s="265">
        <f>IF(INDEX(tblContractForDeed[End Bal],ROW()-ROW(tblBuyerOutputs[#Headers]))&lt;=0,0,($O$6+IF(ROW()=ROW(tblBuyerOutputs[#Headers])+1,0,INDEX(tblBuyerOutputs[Cumul Appr],ROW()-ROW(tblBuyerOutputs[#Headers])-1)))*$O$2/12)</f>
        <v>891.15707946256464</v>
      </c>
      <c r="AE111" s="587">
        <f>IF(INDEX(tblContractForDeed[End Bal],ROW()-ROW(tblBuyerOutputs[#Headers]))&lt;=0,0,IF(ROW()=ROW(tblBuyerOutputs[#Headers])+1,0,INDEX(tblBuyerOutputs[Cumul Appr],ROW()-ROW(tblBuyerOutputs[#Headers])-1))+tblBuyerOutputs[[#This Row],[Monthly Appr]])</f>
        <v>68268.856150478052</v>
      </c>
      <c r="AF111" s="22"/>
      <c r="AG111" s="14"/>
      <c r="AM111"/>
      <c r="AN111" s="14"/>
      <c r="AP111" s="265"/>
      <c r="AR111" s="14"/>
      <c r="AS111"/>
    </row>
    <row r="112" spans="1:45" x14ac:dyDescent="0.25">
      <c r="A112" s="561">
        <f t="shared" si="17"/>
        <v>48639</v>
      </c>
      <c r="B112" s="265">
        <f t="shared" si="18"/>
        <v>0</v>
      </c>
      <c r="C112" s="14">
        <f t="shared" si="14"/>
        <v>0</v>
      </c>
      <c r="D112" s="14">
        <f t="shared" si="19"/>
        <v>0</v>
      </c>
      <c r="E112" s="14">
        <f t="shared" si="15"/>
        <v>0</v>
      </c>
      <c r="F112" s="14">
        <f t="shared" si="25"/>
        <v>0</v>
      </c>
      <c r="G112" s="14">
        <f t="shared" si="25"/>
        <v>0</v>
      </c>
      <c r="H112" s="14">
        <f t="shared" si="12"/>
        <v>0</v>
      </c>
      <c r="I112" s="265">
        <f t="shared" si="22"/>
        <v>0</v>
      </c>
      <c r="J112" s="265">
        <f t="shared" si="23"/>
        <v>0</v>
      </c>
      <c r="K112" s="265">
        <f t="shared" si="20"/>
        <v>0</v>
      </c>
      <c r="L112" s="373">
        <f t="shared" si="16"/>
        <v>7</v>
      </c>
      <c r="M112" s="373">
        <f t="shared" si="21"/>
        <v>92</v>
      </c>
      <c r="N112" s="561">
        <f>INDEX(tblSubjectToLoan[Date],ROW()-ROW(tblContractForDeed[#Headers]))</f>
        <v>48639</v>
      </c>
      <c r="O112" s="265">
        <f>IF(ROW()=ROW(tblContractForDeed[#Headers])+1,$O$6,IF(INDEX(tblContractForDeed[End Bal],ROW()-ROW(tblContractForDeed[#Headers])-1)&lt;0,0,INDEX(tblContractForDeed[End Bal],ROW()-ROW(tblContractForDeed[#Headers])-1)))</f>
        <v>62226.690000000061</v>
      </c>
      <c r="P112" s="431">
        <f>IF(tblContractForDeed[[#This Row],[Date]]="","",IF(tblContractForDeed[[#This Row],[Date]]&lt;cfdRateChangeDate,cfdRate1,cfdRate2))</f>
        <v>0.08</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2" s="265">
        <f>IF(tblContractForDeed[[#This Row],[Payment]]=0,0,MAX(0,MIN(tblContractForDeed[[#This Row],[Beg]],tblContractForDeed[[#This Row],[Payment]]-tblContractForDeed[[#This Row],[Int]])))</f>
        <v>1362.6100000000001</v>
      </c>
      <c r="S112" s="265">
        <f>IF(OR(tblContractForDeed[[#This Row],[Date]]&lt;cfdContractDate,tblContractForDeed[[#This Row],[Date]]&gt;cfdEndDate),0,ROUND(tblContractForDeed[[#This Row],[Beg]]*(tblContractForDeed[[#This Row],[Int Rate]]/12),2))</f>
        <v>414.84</v>
      </c>
      <c r="T112" s="265">
        <f>IF(tblContractForDeed[[#This Row],[Payment]]=0,0,$V$2)</f>
        <v>134.16999999999999</v>
      </c>
      <c r="U112" s="265">
        <f>IF(tblContractForDeed[[#This Row],[Princ]]=0,0,$V$3)</f>
        <v>0</v>
      </c>
      <c r="V112" s="265">
        <f>SUM(tblContractForDeed[[#This Row],[Princ]],tblContractForDeed[[#This Row],[Int]],tblContractForDeed[[#This Row],[Ins]],tblContractForDeed[[#This Row],[Taxes]])</f>
        <v>1911.6200000000001</v>
      </c>
      <c r="W112" s="265">
        <f>SUM(INDEX(tblContractForDeed[Princ],1):INDEX(tblContractForDeed[Princ],ROW()-ROW(tblContractForDeed[#Headers])))</f>
        <v>85635.92</v>
      </c>
      <c r="X112" s="265">
        <f>IF(tblContractForDeed[[#This Row],[Beg]]&lt;=0,0,tblContractForDeed[[#This Row],[Beg]]-tblContractForDeed[[#This Row],[Princ]])</f>
        <v>60864.08000000006</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39">
        <f>IF(INDEX(tblContractForDeed[Payment],ROW()-ROW(tblBuyerOutputs[#Headers]))=0,0,INDEX(tblContractForDeed[Payment],ROW()-ROW(tblBuyerOutputs[#Headers]))-INDEX(tblSubjectToLoan[Payment],ROW()-ROW(tblBuyerOutputs[#Headers])))</f>
        <v>1777.45</v>
      </c>
      <c r="AA112"/>
      <c r="AB112" s="14">
        <f>IF(INDEX(tblContractForDeed[Payment],ROW()-ROW(tblBuyerOutputs[#Headers]))=0,0,INDEX(tblContractForDeed[Payment],ROW()-ROW(tblBuyerOutputs[#Headers]))-INDEX(tblSubjectToLoan[Payment],ROW()-ROW(tblBuyerOutputs[#Headers])))-IFERROR(tblBuyerOutputs[[#This Row],[PMI]],0)</f>
        <v>1777.45</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143492.88999999993</v>
      </c>
      <c r="AD112" s="265">
        <f>IF(INDEX(tblContractForDeed[End Bal],ROW()-ROW(tblBuyerOutputs[#Headers]))&lt;=0,0,($O$6+IF(ROW()=ROW(tblBuyerOutputs[#Headers])+1,0,INDEX(tblBuyerOutputs[Cumul Appr],ROW()-ROW(tblBuyerOutputs[#Headers])-1)))*$O$2/12)</f>
        <v>894.87023396032544</v>
      </c>
      <c r="AE112" s="587">
        <f>IF(INDEX(tblContractForDeed[End Bal],ROW()-ROW(tblBuyerOutputs[#Headers]))&lt;=0,0,IF(ROW()=ROW(tblBuyerOutputs[#Headers])+1,0,INDEX(tblBuyerOutputs[Cumul Appr],ROW()-ROW(tblBuyerOutputs[#Headers])-1))+tblBuyerOutputs[[#This Row],[Monthly Appr]])</f>
        <v>69163.726384438371</v>
      </c>
      <c r="AF112" s="22"/>
      <c r="AG112" s="14"/>
      <c r="AM112"/>
      <c r="AN112" s="14"/>
      <c r="AP112" s="265"/>
      <c r="AR112" s="14"/>
      <c r="AS112"/>
    </row>
    <row r="113" spans="1:45" x14ac:dyDescent="0.25">
      <c r="A113" s="561">
        <f t="shared" si="17"/>
        <v>48670</v>
      </c>
      <c r="B113" s="265">
        <f t="shared" si="18"/>
        <v>0</v>
      </c>
      <c r="C113" s="14">
        <f t="shared" si="14"/>
        <v>0</v>
      </c>
      <c r="D113" s="14">
        <f t="shared" si="19"/>
        <v>0</v>
      </c>
      <c r="E113" s="14">
        <f t="shared" si="15"/>
        <v>0</v>
      </c>
      <c r="F113" s="14">
        <f t="shared" si="25"/>
        <v>0</v>
      </c>
      <c r="G113" s="14">
        <f t="shared" si="25"/>
        <v>0</v>
      </c>
      <c r="H113" s="14">
        <f t="shared" si="12"/>
        <v>0</v>
      </c>
      <c r="I113" s="265">
        <f t="shared" si="22"/>
        <v>0</v>
      </c>
      <c r="J113" s="265">
        <f t="shared" si="23"/>
        <v>0</v>
      </c>
      <c r="K113" s="265">
        <f t="shared" si="20"/>
        <v>0</v>
      </c>
      <c r="L113" s="373">
        <f>IF(MOD(M113,12)=0,M113/12,L112)</f>
        <v>7</v>
      </c>
      <c r="M113" s="373">
        <f t="shared" si="21"/>
        <v>93</v>
      </c>
      <c r="N113" s="561">
        <f>INDEX(tblSubjectToLoan[Date],ROW()-ROW(tblContractForDeed[#Headers]))</f>
        <v>48670</v>
      </c>
      <c r="O113" s="265">
        <f>IF(ROW()=ROW(tblContractForDeed[#Headers])+1,$O$6,IF(INDEX(tblContractForDeed[End Bal],ROW()-ROW(tblContractForDeed[#Headers])-1)&lt;0,0,INDEX(tblContractForDeed[End Bal],ROW()-ROW(tblContractForDeed[#Headers])-1)))</f>
        <v>60864.08000000006</v>
      </c>
      <c r="P113" s="431">
        <f>IF(tblContractForDeed[[#This Row],[Date]]="","",IF(tblContractForDeed[[#This Row],[Date]]&lt;cfdRateChangeDate,cfdRate1,cfdRate2))</f>
        <v>0.08</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3" s="265">
        <f>IF(tblContractForDeed[[#This Row],[Payment]]=0,0,MAX(0,MIN(tblContractForDeed[[#This Row],[Beg]],tblContractForDeed[[#This Row],[Payment]]-tblContractForDeed[[#This Row],[Int]])))</f>
        <v>1371.69</v>
      </c>
      <c r="S113" s="265">
        <f>IF(OR(tblContractForDeed[[#This Row],[Date]]&lt;cfdContractDate,tblContractForDeed[[#This Row],[Date]]&gt;cfdEndDate),0,ROUND(tblContractForDeed[[#This Row],[Beg]]*(tblContractForDeed[[#This Row],[Int Rate]]/12),2))</f>
        <v>405.76</v>
      </c>
      <c r="T113" s="265">
        <f>IF(tblContractForDeed[[#This Row],[Payment]]=0,0,$V$2)</f>
        <v>134.16999999999999</v>
      </c>
      <c r="U113" s="265">
        <f>IF(tblContractForDeed[[#This Row],[Princ]]=0,0,$V$3)</f>
        <v>0</v>
      </c>
      <c r="V113" s="265">
        <f>SUM(tblContractForDeed[[#This Row],[Princ]],tblContractForDeed[[#This Row],[Int]],tblContractForDeed[[#This Row],[Ins]],tblContractForDeed[[#This Row],[Taxes]])</f>
        <v>1911.6200000000001</v>
      </c>
      <c r="W113" s="265">
        <f>SUM(INDEX(tblContractForDeed[Princ],1):INDEX(tblContractForDeed[Princ],ROW()-ROW(tblContractForDeed[#Headers])))</f>
        <v>87007.61</v>
      </c>
      <c r="X113" s="265">
        <f>IF(tblContractForDeed[[#This Row],[Beg]]&lt;=0,0,tblContractForDeed[[#This Row],[Beg]]-tblContractForDeed[[#This Row],[Princ]])</f>
        <v>59492.390000000058</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39">
        <f>IF(INDEX(tblContractForDeed[Payment],ROW()-ROW(tblBuyerOutputs[#Headers]))=0,0,INDEX(tblContractForDeed[Payment],ROW()-ROW(tblBuyerOutputs[#Headers]))-INDEX(tblSubjectToLoan[Payment],ROW()-ROW(tblBuyerOutputs[#Headers])))</f>
        <v>1777.45</v>
      </c>
      <c r="AA113"/>
      <c r="AB113" s="14">
        <f>IF(INDEX(tblContractForDeed[Payment],ROW()-ROW(tblBuyerOutputs[#Headers]))=0,0,INDEX(tblContractForDeed[Payment],ROW()-ROW(tblBuyerOutputs[#Headers]))-INDEX(tblSubjectToLoan[Payment],ROW()-ROW(tblBuyerOutputs[#Headers])))-IFERROR(tblBuyerOutputs[[#This Row],[PMI]],0)</f>
        <v>1777.45</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145270.33999999994</v>
      </c>
      <c r="AD113" s="265">
        <f>IF(INDEX(tblContractForDeed[End Bal],ROW()-ROW(tblBuyerOutputs[#Headers]))&lt;=0,0,($O$6+IF(ROW()=ROW(tblBuyerOutputs[#Headers])+1,0,INDEX(tblBuyerOutputs[Cumul Appr],ROW()-ROW(tblBuyerOutputs[#Headers])-1)))*$O$2/12)</f>
        <v>898.59885993515991</v>
      </c>
      <c r="AE113" s="587">
        <f>IF(INDEX(tblContractForDeed[End Bal],ROW()-ROW(tblBuyerOutputs[#Headers]))&lt;=0,0,IF(ROW()=ROW(tblBuyerOutputs[#Headers])+1,0,INDEX(tblBuyerOutputs[Cumul Appr],ROW()-ROW(tblBuyerOutputs[#Headers])-1))+tblBuyerOutputs[[#This Row],[Monthly Appr]])</f>
        <v>70062.325244373525</v>
      </c>
      <c r="AF113" s="22"/>
      <c r="AG113" s="14"/>
      <c r="AM113"/>
      <c r="AN113" s="14"/>
      <c r="AP113" s="265"/>
      <c r="AR113" s="14"/>
      <c r="AS113"/>
    </row>
    <row r="114" spans="1:45" x14ac:dyDescent="0.25">
      <c r="A114" s="561">
        <f t="shared" si="17"/>
        <v>48700</v>
      </c>
      <c r="B114" s="265">
        <f t="shared" si="18"/>
        <v>0</v>
      </c>
      <c r="C114" s="14">
        <f t="shared" si="14"/>
        <v>0</v>
      </c>
      <c r="D114" s="14">
        <f t="shared" si="19"/>
        <v>0</v>
      </c>
      <c r="E114" s="14">
        <f t="shared" si="15"/>
        <v>0</v>
      </c>
      <c r="F114" s="14">
        <f t="shared" si="25"/>
        <v>0</v>
      </c>
      <c r="G114" s="14">
        <f t="shared" si="25"/>
        <v>0</v>
      </c>
      <c r="H114" s="14">
        <f t="shared" si="12"/>
        <v>0</v>
      </c>
      <c r="I114" s="265">
        <f t="shared" si="22"/>
        <v>0</v>
      </c>
      <c r="J114" s="265">
        <f t="shared" si="23"/>
        <v>0</v>
      </c>
      <c r="K114" s="265">
        <f t="shared" si="20"/>
        <v>0</v>
      </c>
      <c r="L114" s="373">
        <f>IF(MOD(M114,12)=0,M114/12,L113)</f>
        <v>7</v>
      </c>
      <c r="M114" s="373">
        <f t="shared" si="21"/>
        <v>94</v>
      </c>
      <c r="N114" s="561">
        <f>INDEX(tblSubjectToLoan[Date],ROW()-ROW(tblContractForDeed[#Headers]))</f>
        <v>48700</v>
      </c>
      <c r="O114" s="265">
        <f>IF(ROW()=ROW(tblContractForDeed[#Headers])+1,$O$6,IF(INDEX(tblContractForDeed[End Bal],ROW()-ROW(tblContractForDeed[#Headers])-1)&lt;0,0,INDEX(tblContractForDeed[End Bal],ROW()-ROW(tblContractForDeed[#Headers])-1)))</f>
        <v>59492.390000000058</v>
      </c>
      <c r="P114" s="431">
        <f>IF(tblContractForDeed[[#This Row],[Date]]="","",IF(tblContractForDeed[[#This Row],[Date]]&lt;cfdRateChangeDate,cfdRate1,cfdRate2))</f>
        <v>0.08</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4" s="265">
        <f>IF(tblContractForDeed[[#This Row],[Payment]]=0,0,MAX(0,MIN(tblContractForDeed[[#This Row],[Beg]],tblContractForDeed[[#This Row],[Payment]]-tblContractForDeed[[#This Row],[Int]])))</f>
        <v>1380.83</v>
      </c>
      <c r="S114" s="265">
        <f>IF(OR(tblContractForDeed[[#This Row],[Date]]&lt;cfdContractDate,tblContractForDeed[[#This Row],[Date]]&gt;cfdEndDate),0,ROUND(tblContractForDeed[[#This Row],[Beg]]*(tblContractForDeed[[#This Row],[Int Rate]]/12),2))</f>
        <v>396.62</v>
      </c>
      <c r="T114" s="265">
        <f>IF(tblContractForDeed[[#This Row],[Payment]]=0,0,$V$2)</f>
        <v>134.16999999999999</v>
      </c>
      <c r="U114" s="265">
        <f>IF(tblContractForDeed[[#This Row],[Princ]]=0,0,$V$3)</f>
        <v>0</v>
      </c>
      <c r="V114" s="265">
        <f>SUM(tblContractForDeed[[#This Row],[Princ]],tblContractForDeed[[#This Row],[Int]],tblContractForDeed[[#This Row],[Ins]],tblContractForDeed[[#This Row],[Taxes]])</f>
        <v>1911.62</v>
      </c>
      <c r="W114" s="265">
        <f>SUM(INDEX(tblContractForDeed[Princ],1):INDEX(tblContractForDeed[Princ],ROW()-ROW(tblContractForDeed[#Headers])))</f>
        <v>88388.44</v>
      </c>
      <c r="X114" s="265">
        <f>IF(tblContractForDeed[[#This Row],[Beg]]&lt;=0,0,tblContractForDeed[[#This Row],[Beg]]-tblContractForDeed[[#This Row],[Princ]])</f>
        <v>58111.560000000056</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39">
        <f>IF(INDEX(tblContractForDeed[Payment],ROW()-ROW(tblBuyerOutputs[#Headers]))=0,0,INDEX(tblContractForDeed[Payment],ROW()-ROW(tblBuyerOutputs[#Headers]))-INDEX(tblSubjectToLoan[Payment],ROW()-ROW(tblBuyerOutputs[#Headers])))</f>
        <v>1777.45</v>
      </c>
      <c r="AA114"/>
      <c r="AB114" s="14">
        <f>IF(INDEX(tblContractForDeed[Payment],ROW()-ROW(tblBuyerOutputs[#Headers]))=0,0,INDEX(tblContractForDeed[Payment],ROW()-ROW(tblBuyerOutputs[#Headers]))-INDEX(tblSubjectToLoan[Payment],ROW()-ROW(tblBuyerOutputs[#Headers])))-IFERROR(tblBuyerOutputs[[#This Row],[PMI]],0)</f>
        <v>1777.45</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147047.78999999995</v>
      </c>
      <c r="AD114" s="265">
        <f>IF(INDEX(tblContractForDeed[End Bal],ROW()-ROW(tblBuyerOutputs[#Headers]))&lt;=0,0,($O$6+IF(ROW()=ROW(tblBuyerOutputs[#Headers])+1,0,INDEX(tblBuyerOutputs[Cumul Appr],ROW()-ROW(tblBuyerOutputs[#Headers])-1)))*$O$2/12)</f>
        <v>902.34302185155639</v>
      </c>
      <c r="AE114" s="587">
        <f>IF(INDEX(tblContractForDeed[End Bal],ROW()-ROW(tblBuyerOutputs[#Headers]))&lt;=0,0,IF(ROW()=ROW(tblBuyerOutputs[#Headers])+1,0,INDEX(tblBuyerOutputs[Cumul Appr],ROW()-ROW(tblBuyerOutputs[#Headers])-1))+tblBuyerOutputs[[#This Row],[Monthly Appr]])</f>
        <v>70964.668266225082</v>
      </c>
      <c r="AF114" s="22"/>
      <c r="AG114" s="14"/>
      <c r="AM114"/>
      <c r="AN114" s="14"/>
      <c r="AP114" s="265"/>
      <c r="AR114" s="14"/>
      <c r="AS114"/>
    </row>
    <row r="115" spans="1:45" ht="15.75" thickBot="1" x14ac:dyDescent="0.3">
      <c r="A115" s="562">
        <f t="shared" si="17"/>
        <v>48731</v>
      </c>
      <c r="B115" s="316">
        <f t="shared" si="18"/>
        <v>0</v>
      </c>
      <c r="C115" s="21">
        <f t="shared" si="14"/>
        <v>0</v>
      </c>
      <c r="D115" s="21">
        <f t="shared" si="19"/>
        <v>0</v>
      </c>
      <c r="E115" s="21">
        <f t="shared" si="15"/>
        <v>0</v>
      </c>
      <c r="F115" s="21">
        <f t="shared" si="25"/>
        <v>0</v>
      </c>
      <c r="G115" s="21">
        <f t="shared" si="25"/>
        <v>0</v>
      </c>
      <c r="H115" s="21">
        <f t="shared" si="12"/>
        <v>0</v>
      </c>
      <c r="I115" s="316">
        <f t="shared" si="22"/>
        <v>0</v>
      </c>
      <c r="J115" s="316">
        <f t="shared" si="23"/>
        <v>0</v>
      </c>
      <c r="K115" s="316">
        <f t="shared" si="20"/>
        <v>0</v>
      </c>
      <c r="L115" s="374">
        <f>IF(MOD(M115,12)=0,M115/12,L114)</f>
        <v>7</v>
      </c>
      <c r="M115" s="374">
        <f t="shared" si="21"/>
        <v>95</v>
      </c>
      <c r="N115" s="562">
        <f>INDEX(tblSubjectToLoan[Date],ROW()-ROW(tblContractForDeed[#Headers]))</f>
        <v>48731</v>
      </c>
      <c r="O115" s="316">
        <f>IF(ROW()=ROW(tblContractForDeed[#Headers])+1,$O$6,IF(INDEX(tblContractForDeed[End Bal],ROW()-ROW(tblContractForDeed[#Headers])-1)&lt;0,0,INDEX(tblContractForDeed[End Bal],ROW()-ROW(tblContractForDeed[#Headers])-1)))</f>
        <v>58111.560000000056</v>
      </c>
      <c r="P115" s="585">
        <f>IF(tblContractForDeed[[#This Row],[Date]]="","",IF(tblContractForDeed[[#This Row],[Date]]&lt;cfdRateChangeDate,cfdRate1,cfdRate2))</f>
        <v>0.08</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5" s="316">
        <f>IF(tblContractForDeed[[#This Row],[Payment]]=0,0,MAX(0,MIN(tblContractForDeed[[#This Row],[Beg]],tblContractForDeed[[#This Row],[Payment]]-tblContractForDeed[[#This Row],[Int]])))</f>
        <v>1390.04</v>
      </c>
      <c r="S115" s="316">
        <f>IF(OR(tblContractForDeed[[#This Row],[Date]]&lt;cfdContractDate,tblContractForDeed[[#This Row],[Date]]&gt;cfdEndDate),0,ROUND(tblContractForDeed[[#This Row],[Beg]]*(tblContractForDeed[[#This Row],[Int Rate]]/12),2))</f>
        <v>387.41</v>
      </c>
      <c r="T115" s="316">
        <f>IF(tblContractForDeed[[#This Row],[Payment]]=0,0,$V$2)</f>
        <v>134.16999999999999</v>
      </c>
      <c r="U115" s="316">
        <f>IF(tblContractForDeed[[#This Row],[Princ]]=0,0,$V$3)</f>
        <v>0</v>
      </c>
      <c r="V115" s="316">
        <f>SUM(tblContractForDeed[[#This Row],[Princ]],tblContractForDeed[[#This Row],[Int]],tblContractForDeed[[#This Row],[Ins]],tblContractForDeed[[#This Row],[Taxes]])</f>
        <v>1911.6200000000001</v>
      </c>
      <c r="W115" s="316">
        <f>SUM(INDEX(tblContractForDeed[Princ],1):INDEX(tblContractForDeed[Princ],ROW()-ROW(tblContractForDeed[#Headers])))</f>
        <v>89778.48</v>
      </c>
      <c r="X115" s="316">
        <f>IF(tblContractForDeed[[#This Row],[Beg]]&lt;=0,0,tblContractForDeed[[#This Row],[Beg]]-tblContractForDeed[[#This Row],[Princ]])</f>
        <v>56721.520000000055</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0">
        <f>IF(INDEX(tblContractForDeed[Payment],ROW()-ROW(tblBuyerOutputs[#Headers]))=0,0,INDEX(tblContractForDeed[Payment],ROW()-ROW(tblBuyerOutputs[#Headers]))-INDEX(tblSubjectToLoan[Payment],ROW()-ROW(tblBuyerOutputs[#Headers])))</f>
        <v>1777.45</v>
      </c>
      <c r="AA115" s="23"/>
      <c r="AB115" s="21">
        <f>IF(INDEX(tblContractForDeed[Payment],ROW()-ROW(tblBuyerOutputs[#Headers]))=0,0,INDEX(tblContractForDeed[Payment],ROW()-ROW(tblBuyerOutputs[#Headers]))-INDEX(tblSubjectToLoan[Payment],ROW()-ROW(tblBuyerOutputs[#Headers])))-IFERROR(tblBuyerOutputs[[#This Row],[PMI]],0)</f>
        <v>1777.45</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148825.23999999996</v>
      </c>
      <c r="AD115" s="316">
        <f>IF(INDEX(tblContractForDeed[End Bal],ROW()-ROW(tblBuyerOutputs[#Headers]))&lt;=0,0,($O$6+IF(ROW()=ROW(tblBuyerOutputs[#Headers])+1,0,INDEX(tblBuyerOutputs[Cumul Appr],ROW()-ROW(tblBuyerOutputs[#Headers])-1)))*$O$2/12)</f>
        <v>906.1027844426045</v>
      </c>
      <c r="AE115" s="588">
        <f>IF(INDEX(tblContractForDeed[End Bal],ROW()-ROW(tblBuyerOutputs[#Headers]))&lt;=0,0,IF(ROW()=ROW(tblBuyerOutputs[#Headers])+1,0,INDEX(tblBuyerOutputs[Cumul Appr],ROW()-ROW(tblBuyerOutputs[#Headers])-1))+tblBuyerOutputs[[#This Row],[Monthly Appr]])</f>
        <v>71870.771050667681</v>
      </c>
      <c r="AF115" s="22"/>
      <c r="AG115" s="14"/>
      <c r="AM115"/>
      <c r="AN115" s="14"/>
      <c r="AP115" s="265"/>
      <c r="AR115" s="14"/>
      <c r="AS115"/>
    </row>
    <row r="116" spans="1:45" x14ac:dyDescent="0.25">
      <c r="A116" s="561">
        <f t="shared" si="17"/>
        <v>48761</v>
      </c>
      <c r="B116" s="265">
        <f t="shared" si="18"/>
        <v>0</v>
      </c>
      <c r="C116" s="14">
        <f t="shared" si="14"/>
        <v>0</v>
      </c>
      <c r="D116" s="14">
        <f t="shared" si="19"/>
        <v>0</v>
      </c>
      <c r="E116" s="14">
        <f t="shared" si="15"/>
        <v>0</v>
      </c>
      <c r="F116" s="14">
        <f t="shared" si="25"/>
        <v>0</v>
      </c>
      <c r="G116" s="14">
        <f t="shared" si="25"/>
        <v>0</v>
      </c>
      <c r="H116" s="14">
        <f t="shared" si="12"/>
        <v>0</v>
      </c>
      <c r="I116" s="265">
        <f t="shared" si="22"/>
        <v>0</v>
      </c>
      <c r="J116" s="265">
        <f t="shared" si="23"/>
        <v>0</v>
      </c>
      <c r="K116" s="265">
        <f t="shared" si="20"/>
        <v>0</v>
      </c>
      <c r="L116" s="373">
        <f t="shared" ref="L116:L179" si="26">IF(MOD(M116,12)=0,M116/12,L115)</f>
        <v>8</v>
      </c>
      <c r="M116" s="373">
        <f t="shared" si="21"/>
        <v>96</v>
      </c>
      <c r="N116" s="561">
        <f>INDEX(tblSubjectToLoan[Date],ROW()-ROW(tblContractForDeed[#Headers]))</f>
        <v>48761</v>
      </c>
      <c r="O116" s="265">
        <f>IF(ROW()=ROW(tblContractForDeed[#Headers])+1,$O$6,IF(INDEX(tblContractForDeed[End Bal],ROW()-ROW(tblContractForDeed[#Headers])-1)&lt;0,0,INDEX(tblContractForDeed[End Bal],ROW()-ROW(tblContractForDeed[#Headers])-1)))</f>
        <v>56721.520000000055</v>
      </c>
      <c r="P116" s="431">
        <f>IF(tblContractForDeed[[#This Row],[Date]]="","",IF(tblContractForDeed[[#This Row],[Date]]&lt;cfdRateChangeDate,cfdRate1,cfdRate2))</f>
        <v>0.08</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6" s="265">
        <f>IF(tblContractForDeed[[#This Row],[Payment]]=0,0,MAX(0,MIN(tblContractForDeed[[#This Row],[Beg]],tblContractForDeed[[#This Row],[Payment]]-tblContractForDeed[[#This Row],[Int]])))</f>
        <v>1399.31</v>
      </c>
      <c r="S116" s="265">
        <f>IF(OR(tblContractForDeed[[#This Row],[Date]]&lt;cfdContractDate,tblContractForDeed[[#This Row],[Date]]&gt;cfdEndDate),0,ROUND(tblContractForDeed[[#This Row],[Beg]]*(tblContractForDeed[[#This Row],[Int Rate]]/12),2))</f>
        <v>378.14</v>
      </c>
      <c r="T116" s="265">
        <f>IF(tblContractForDeed[[#This Row],[Payment]]=0,0,$V$2)</f>
        <v>134.16999999999999</v>
      </c>
      <c r="U116" s="265">
        <f>IF(tblContractForDeed[[#This Row],[Princ]]=0,0,$V$3)</f>
        <v>0</v>
      </c>
      <c r="V116" s="265">
        <f>SUM(tblContractForDeed[[#This Row],[Princ]],tblContractForDeed[[#This Row],[Int]],tblContractForDeed[[#This Row],[Ins]],tblContractForDeed[[#This Row],[Taxes]])</f>
        <v>1911.62</v>
      </c>
      <c r="W116" s="265">
        <f>SUM(INDEX(tblContractForDeed[Princ],1):INDEX(tblContractForDeed[Princ],ROW()-ROW(tblContractForDeed[#Headers])))</f>
        <v>91177.79</v>
      </c>
      <c r="X116" s="265">
        <f>IF(tblContractForDeed[[#This Row],[Beg]]&lt;=0,0,tblContractForDeed[[#This Row],[Beg]]-tblContractForDeed[[#This Row],[Princ]])</f>
        <v>55322.210000000057</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39">
        <f>IF(INDEX(tblContractForDeed[Payment],ROW()-ROW(tblBuyerOutputs[#Headers]))=0,0,INDEX(tblContractForDeed[Payment],ROW()-ROW(tblBuyerOutputs[#Headers]))-INDEX(tblSubjectToLoan[Payment],ROW()-ROW(tblBuyerOutputs[#Headers])))</f>
        <v>1777.45</v>
      </c>
      <c r="AA116"/>
      <c r="AB116" s="14">
        <f>IF(INDEX(tblContractForDeed[Payment],ROW()-ROW(tblBuyerOutputs[#Headers]))=0,0,INDEX(tblContractForDeed[Payment],ROW()-ROW(tblBuyerOutputs[#Headers]))-INDEX(tblSubjectToLoan[Payment],ROW()-ROW(tblBuyerOutputs[#Headers])))-IFERROR(tblBuyerOutputs[[#This Row],[PMI]],0)</f>
        <v>1777.45</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150602.68999999997</v>
      </c>
      <c r="AD116" s="265">
        <f>IF(INDEX(tblContractForDeed[End Bal],ROW()-ROW(tblBuyerOutputs[#Headers]))&lt;=0,0,($O$6+IF(ROW()=ROW(tblBuyerOutputs[#Headers])+1,0,INDEX(tblBuyerOutputs[Cumul Appr],ROW()-ROW(tblBuyerOutputs[#Headers])-1)))*$O$2/12)</f>
        <v>909.87821271111534</v>
      </c>
      <c r="AE116" s="587">
        <f>IF(INDEX(tblContractForDeed[End Bal],ROW()-ROW(tblBuyerOutputs[#Headers]))&lt;=0,0,IF(ROW()=ROW(tblBuyerOutputs[#Headers])+1,0,INDEX(tblBuyerOutputs[Cumul Appr],ROW()-ROW(tblBuyerOutputs[#Headers])-1))+tblBuyerOutputs[[#This Row],[Monthly Appr]])</f>
        <v>72780.6492633788</v>
      </c>
      <c r="AF116" s="22"/>
      <c r="AG116" s="14"/>
      <c r="AM116"/>
      <c r="AN116" s="14"/>
      <c r="AP116" s="265"/>
      <c r="AR116" s="14"/>
      <c r="AS116"/>
    </row>
    <row r="117" spans="1:45" x14ac:dyDescent="0.25">
      <c r="A117" s="561">
        <f t="shared" si="17"/>
        <v>48792</v>
      </c>
      <c r="B117" s="265">
        <f t="shared" si="18"/>
        <v>0</v>
      </c>
      <c r="C117" s="14">
        <f t="shared" si="14"/>
        <v>0</v>
      </c>
      <c r="D117" s="14">
        <f t="shared" si="19"/>
        <v>0</v>
      </c>
      <c r="E117" s="14">
        <f t="shared" si="15"/>
        <v>0</v>
      </c>
      <c r="F117" s="14">
        <f t="shared" si="25"/>
        <v>0</v>
      </c>
      <c r="G117" s="14">
        <f t="shared" si="25"/>
        <v>0</v>
      </c>
      <c r="H117" s="14">
        <f t="shared" si="12"/>
        <v>0</v>
      </c>
      <c r="I117" s="265">
        <f t="shared" si="22"/>
        <v>0</v>
      </c>
      <c r="J117" s="265">
        <f t="shared" si="23"/>
        <v>0</v>
      </c>
      <c r="K117" s="265">
        <f t="shared" si="20"/>
        <v>0</v>
      </c>
      <c r="L117" s="373">
        <f t="shared" si="26"/>
        <v>8</v>
      </c>
      <c r="M117" s="373">
        <f t="shared" si="21"/>
        <v>97</v>
      </c>
      <c r="N117" s="561">
        <f>INDEX(tblSubjectToLoan[Date],ROW()-ROW(tblContractForDeed[#Headers]))</f>
        <v>48792</v>
      </c>
      <c r="O117" s="265">
        <f>IF(ROW()=ROW(tblContractForDeed[#Headers])+1,$O$6,IF(INDEX(tblContractForDeed[End Bal],ROW()-ROW(tblContractForDeed[#Headers])-1)&lt;0,0,INDEX(tblContractForDeed[End Bal],ROW()-ROW(tblContractForDeed[#Headers])-1)))</f>
        <v>55322.210000000057</v>
      </c>
      <c r="P117" s="431">
        <f>IF(tblContractForDeed[[#This Row],[Date]]="","",IF(tblContractForDeed[[#This Row],[Date]]&lt;cfdRateChangeDate,cfdRate1,cfdRate2))</f>
        <v>0.08</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7" s="265">
        <f>IF(tblContractForDeed[[#This Row],[Payment]]=0,0,MAX(0,MIN(tblContractForDeed[[#This Row],[Beg]],tblContractForDeed[[#This Row],[Payment]]-tblContractForDeed[[#This Row],[Int]])))</f>
        <v>1408.64</v>
      </c>
      <c r="S117" s="265">
        <f>IF(OR(tblContractForDeed[[#This Row],[Date]]&lt;cfdContractDate,tblContractForDeed[[#This Row],[Date]]&gt;cfdEndDate),0,ROUND(tblContractForDeed[[#This Row],[Beg]]*(tblContractForDeed[[#This Row],[Int Rate]]/12),2))</f>
        <v>368.81</v>
      </c>
      <c r="T117" s="265">
        <f>IF(tblContractForDeed[[#This Row],[Payment]]=0,0,$V$2)</f>
        <v>134.16999999999999</v>
      </c>
      <c r="U117" s="265">
        <f>IF(tblContractForDeed[[#This Row],[Princ]]=0,0,$V$3)</f>
        <v>0</v>
      </c>
      <c r="V117" s="265">
        <f>SUM(tblContractForDeed[[#This Row],[Princ]],tblContractForDeed[[#This Row],[Int]],tblContractForDeed[[#This Row],[Ins]],tblContractForDeed[[#This Row],[Taxes]])</f>
        <v>1911.6200000000001</v>
      </c>
      <c r="W117" s="265">
        <f>SUM(INDEX(tblContractForDeed[Princ],1):INDEX(tblContractForDeed[Princ],ROW()-ROW(tblContractForDeed[#Headers])))</f>
        <v>92586.43</v>
      </c>
      <c r="X117" s="265">
        <f>IF(tblContractForDeed[[#This Row],[Beg]]&lt;=0,0,tblContractForDeed[[#This Row],[Beg]]-tblContractForDeed[[#This Row],[Princ]])</f>
        <v>53913.570000000058</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39">
        <f>IF(INDEX(tblContractForDeed[Payment],ROW()-ROW(tblBuyerOutputs[#Headers]))=0,0,INDEX(tblContractForDeed[Payment],ROW()-ROW(tblBuyerOutputs[#Headers]))-INDEX(tblSubjectToLoan[Payment],ROW()-ROW(tblBuyerOutputs[#Headers])))</f>
        <v>1777.45</v>
      </c>
      <c r="AA117"/>
      <c r="AB117" s="14">
        <f>IF(INDEX(tblContractForDeed[Payment],ROW()-ROW(tblBuyerOutputs[#Headers]))=0,0,INDEX(tblContractForDeed[Payment],ROW()-ROW(tblBuyerOutputs[#Headers]))-INDEX(tblSubjectToLoan[Payment],ROW()-ROW(tblBuyerOutputs[#Headers])))-IFERROR(tblBuyerOutputs[[#This Row],[PMI]],0)</f>
        <v>1777.45</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152380.13999999998</v>
      </c>
      <c r="AD117" s="265">
        <f>IF(INDEX(tblContractForDeed[End Bal],ROW()-ROW(tblBuyerOutputs[#Headers]))&lt;=0,0,($O$6+IF(ROW()=ROW(tblBuyerOutputs[#Headers])+1,0,INDEX(tblBuyerOutputs[Cumul Appr],ROW()-ROW(tblBuyerOutputs[#Headers])-1)))*$O$2/12)</f>
        <v>913.66937193074511</v>
      </c>
      <c r="AE117" s="587">
        <f>IF(INDEX(tblContractForDeed[End Bal],ROW()-ROW(tblBuyerOutputs[#Headers]))&lt;=0,0,IF(ROW()=ROW(tblBuyerOutputs[#Headers])+1,0,INDEX(tblBuyerOutputs[Cumul Appr],ROW()-ROW(tblBuyerOutputs[#Headers])-1))+tblBuyerOutputs[[#This Row],[Monthly Appr]])</f>
        <v>73694.318635309552</v>
      </c>
      <c r="AF117" s="22"/>
      <c r="AG117" s="14"/>
      <c r="AM117"/>
      <c r="AN117" s="14"/>
      <c r="AP117" s="265"/>
      <c r="AR117" s="14"/>
      <c r="AS117"/>
    </row>
    <row r="118" spans="1:45" x14ac:dyDescent="0.25">
      <c r="A118" s="561">
        <f t="shared" si="17"/>
        <v>48823</v>
      </c>
      <c r="B118" s="265">
        <f t="shared" si="18"/>
        <v>0</v>
      </c>
      <c r="C118" s="14">
        <f t="shared" si="14"/>
        <v>0</v>
      </c>
      <c r="D118" s="14">
        <f t="shared" si="19"/>
        <v>0</v>
      </c>
      <c r="E118" s="14">
        <f t="shared" si="15"/>
        <v>0</v>
      </c>
      <c r="F118" s="14">
        <f t="shared" si="25"/>
        <v>0</v>
      </c>
      <c r="G118" s="14">
        <f t="shared" si="25"/>
        <v>0</v>
      </c>
      <c r="H118" s="14">
        <f t="shared" si="12"/>
        <v>0</v>
      </c>
      <c r="I118" s="265">
        <f t="shared" si="22"/>
        <v>0</v>
      </c>
      <c r="J118" s="265">
        <f t="shared" si="23"/>
        <v>0</v>
      </c>
      <c r="K118" s="265">
        <f t="shared" si="20"/>
        <v>0</v>
      </c>
      <c r="L118" s="373">
        <f t="shared" si="26"/>
        <v>8</v>
      </c>
      <c r="M118" s="373">
        <f t="shared" si="21"/>
        <v>98</v>
      </c>
      <c r="N118" s="561">
        <f>INDEX(tblSubjectToLoan[Date],ROW()-ROW(tblContractForDeed[#Headers]))</f>
        <v>48823</v>
      </c>
      <c r="O118" s="265">
        <f>IF(ROW()=ROW(tblContractForDeed[#Headers])+1,$O$6,IF(INDEX(tblContractForDeed[End Bal],ROW()-ROW(tblContractForDeed[#Headers])-1)&lt;0,0,INDEX(tblContractForDeed[End Bal],ROW()-ROW(tblContractForDeed[#Headers])-1)))</f>
        <v>53913.570000000058</v>
      </c>
      <c r="P118" s="431">
        <f>IF(tblContractForDeed[[#This Row],[Date]]="","",IF(tblContractForDeed[[#This Row],[Date]]&lt;cfdRateChangeDate,cfdRate1,cfdRate2))</f>
        <v>0.08</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8" s="265">
        <f>IF(tblContractForDeed[[#This Row],[Payment]]=0,0,MAX(0,MIN(tblContractForDeed[[#This Row],[Beg]],tblContractForDeed[[#This Row],[Payment]]-tblContractForDeed[[#This Row],[Int]])))</f>
        <v>1418.03</v>
      </c>
      <c r="S118" s="265">
        <f>IF(OR(tblContractForDeed[[#This Row],[Date]]&lt;cfdContractDate,tblContractForDeed[[#This Row],[Date]]&gt;cfdEndDate),0,ROUND(tblContractForDeed[[#This Row],[Beg]]*(tblContractForDeed[[#This Row],[Int Rate]]/12),2))</f>
        <v>359.42</v>
      </c>
      <c r="T118" s="265">
        <f>IF(tblContractForDeed[[#This Row],[Payment]]=0,0,$V$2)</f>
        <v>134.16999999999999</v>
      </c>
      <c r="U118" s="265">
        <f>IF(tblContractForDeed[[#This Row],[Princ]]=0,0,$V$3)</f>
        <v>0</v>
      </c>
      <c r="V118" s="265">
        <f>SUM(tblContractForDeed[[#This Row],[Princ]],tblContractForDeed[[#This Row],[Int]],tblContractForDeed[[#This Row],[Ins]],tblContractForDeed[[#This Row],[Taxes]])</f>
        <v>1911.6200000000001</v>
      </c>
      <c r="W118" s="265">
        <f>SUM(INDEX(tblContractForDeed[Princ],1):INDEX(tblContractForDeed[Princ],ROW()-ROW(tblContractForDeed[#Headers])))</f>
        <v>94004.459999999992</v>
      </c>
      <c r="X118" s="265">
        <f>IF(tblContractForDeed[[#This Row],[Beg]]&lt;=0,0,tblContractForDeed[[#This Row],[Beg]]-tblContractForDeed[[#This Row],[Princ]])</f>
        <v>52495.540000000059</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39">
        <f>IF(INDEX(tblContractForDeed[Payment],ROW()-ROW(tblBuyerOutputs[#Headers]))=0,0,INDEX(tblContractForDeed[Payment],ROW()-ROW(tblBuyerOutputs[#Headers]))-INDEX(tblSubjectToLoan[Payment],ROW()-ROW(tblBuyerOutputs[#Headers])))</f>
        <v>1777.45</v>
      </c>
      <c r="AA118"/>
      <c r="AB118" s="14">
        <f>IF(INDEX(tblContractForDeed[Payment],ROW()-ROW(tblBuyerOutputs[#Headers]))=0,0,INDEX(tblContractForDeed[Payment],ROW()-ROW(tblBuyerOutputs[#Headers]))-INDEX(tblSubjectToLoan[Payment],ROW()-ROW(tblBuyerOutputs[#Headers])))-IFERROR(tblBuyerOutputs[[#This Row],[PMI]],0)</f>
        <v>1777.45</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154157.59</v>
      </c>
      <c r="AD118" s="265">
        <f>IF(INDEX(tblContractForDeed[End Bal],ROW()-ROW(tblBuyerOutputs[#Headers]))&lt;=0,0,($O$6+IF(ROW()=ROW(tblBuyerOutputs[#Headers])+1,0,INDEX(tblBuyerOutputs[Cumul Appr],ROW()-ROW(tblBuyerOutputs[#Headers])-1)))*$O$2/12)</f>
        <v>917.47632764712318</v>
      </c>
      <c r="AE118" s="587">
        <f>IF(INDEX(tblContractForDeed[End Bal],ROW()-ROW(tblBuyerOutputs[#Headers]))&lt;=0,0,IF(ROW()=ROW(tblBuyerOutputs[#Headers])+1,0,INDEX(tblBuyerOutputs[Cumul Appr],ROW()-ROW(tblBuyerOutputs[#Headers])-1))+tblBuyerOutputs[[#This Row],[Monthly Appr]])</f>
        <v>74611.794962956672</v>
      </c>
      <c r="AF118" s="22"/>
      <c r="AG118" s="14"/>
      <c r="AM118"/>
      <c r="AN118" s="14"/>
      <c r="AP118" s="265"/>
      <c r="AR118" s="14"/>
      <c r="AS118"/>
    </row>
    <row r="119" spans="1:45" x14ac:dyDescent="0.25">
      <c r="A119" s="561">
        <f t="shared" si="17"/>
        <v>48853</v>
      </c>
      <c r="B119" s="265">
        <f t="shared" si="18"/>
        <v>0</v>
      </c>
      <c r="C119" s="14">
        <f t="shared" si="14"/>
        <v>0</v>
      </c>
      <c r="D119" s="14">
        <f t="shared" si="19"/>
        <v>0</v>
      </c>
      <c r="E119" s="14">
        <f t="shared" si="15"/>
        <v>0</v>
      </c>
      <c r="F119" s="14">
        <f t="shared" si="25"/>
        <v>0</v>
      </c>
      <c r="G119" s="14">
        <f t="shared" si="25"/>
        <v>0</v>
      </c>
      <c r="H119" s="14">
        <f t="shared" si="12"/>
        <v>0</v>
      </c>
      <c r="I119" s="265">
        <f t="shared" si="22"/>
        <v>0</v>
      </c>
      <c r="J119" s="265">
        <f t="shared" si="23"/>
        <v>0</v>
      </c>
      <c r="K119" s="265">
        <f t="shared" si="20"/>
        <v>0</v>
      </c>
      <c r="L119" s="373">
        <f t="shared" si="26"/>
        <v>8</v>
      </c>
      <c r="M119" s="373">
        <f t="shared" si="21"/>
        <v>99</v>
      </c>
      <c r="N119" s="561">
        <f>INDEX(tblSubjectToLoan[Date],ROW()-ROW(tblContractForDeed[#Headers]))</f>
        <v>48853</v>
      </c>
      <c r="O119" s="265">
        <f>IF(ROW()=ROW(tblContractForDeed[#Headers])+1,$O$6,IF(INDEX(tblContractForDeed[End Bal],ROW()-ROW(tblContractForDeed[#Headers])-1)&lt;0,0,INDEX(tblContractForDeed[End Bal],ROW()-ROW(tblContractForDeed[#Headers])-1)))</f>
        <v>52495.540000000059</v>
      </c>
      <c r="P119" s="431">
        <f>IF(tblContractForDeed[[#This Row],[Date]]="","",IF(tblContractForDeed[[#This Row],[Date]]&lt;cfdRateChangeDate,cfdRate1,cfdRate2))</f>
        <v>0.08</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9" s="265">
        <f>IF(tblContractForDeed[[#This Row],[Payment]]=0,0,MAX(0,MIN(tblContractForDeed[[#This Row],[Beg]],tblContractForDeed[[#This Row],[Payment]]-tblContractForDeed[[#This Row],[Int]])))</f>
        <v>1427.48</v>
      </c>
      <c r="S119" s="265">
        <f>IF(OR(tblContractForDeed[[#This Row],[Date]]&lt;cfdContractDate,tblContractForDeed[[#This Row],[Date]]&gt;cfdEndDate),0,ROUND(tblContractForDeed[[#This Row],[Beg]]*(tblContractForDeed[[#This Row],[Int Rate]]/12),2))</f>
        <v>349.97</v>
      </c>
      <c r="T119" s="265">
        <f>IF(tblContractForDeed[[#This Row],[Payment]]=0,0,$V$2)</f>
        <v>134.16999999999999</v>
      </c>
      <c r="U119" s="265">
        <f>IF(tblContractForDeed[[#This Row],[Princ]]=0,0,$V$3)</f>
        <v>0</v>
      </c>
      <c r="V119" s="265">
        <f>SUM(tblContractForDeed[[#This Row],[Princ]],tblContractForDeed[[#This Row],[Int]],tblContractForDeed[[#This Row],[Ins]],tblContractForDeed[[#This Row],[Taxes]])</f>
        <v>1911.6200000000001</v>
      </c>
      <c r="W119" s="265">
        <f>SUM(INDEX(tblContractForDeed[Princ],1):INDEX(tblContractForDeed[Princ],ROW()-ROW(tblContractForDeed[#Headers])))</f>
        <v>95431.939999999988</v>
      </c>
      <c r="X119" s="265">
        <f>IF(tblContractForDeed[[#This Row],[Beg]]&lt;=0,0,tblContractForDeed[[#This Row],[Beg]]-tblContractForDeed[[#This Row],[Princ]])</f>
        <v>51068.060000000056</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39">
        <f>IF(INDEX(tblContractForDeed[Payment],ROW()-ROW(tblBuyerOutputs[#Headers]))=0,0,INDEX(tblContractForDeed[Payment],ROW()-ROW(tblBuyerOutputs[#Headers]))-INDEX(tblSubjectToLoan[Payment],ROW()-ROW(tblBuyerOutputs[#Headers])))</f>
        <v>1777.45</v>
      </c>
      <c r="AA119"/>
      <c r="AB119" s="14">
        <f>IF(INDEX(tblContractForDeed[Payment],ROW()-ROW(tblBuyerOutputs[#Headers]))=0,0,INDEX(tblContractForDeed[Payment],ROW()-ROW(tblBuyerOutputs[#Headers]))-INDEX(tblSubjectToLoan[Payment],ROW()-ROW(tblBuyerOutputs[#Headers])))-IFERROR(tblBuyerOutputs[[#This Row],[PMI]],0)</f>
        <v>1777.45</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155935.04000000001</v>
      </c>
      <c r="AD119" s="265">
        <f>IF(INDEX(tblContractForDeed[End Bal],ROW()-ROW(tblBuyerOutputs[#Headers]))&lt;=0,0,($O$6+IF(ROW()=ROW(tblBuyerOutputs[#Headers])+1,0,INDEX(tblBuyerOutputs[Cumul Appr],ROW()-ROW(tblBuyerOutputs[#Headers])-1)))*$O$2/12)</f>
        <v>921.29914567898629</v>
      </c>
      <c r="AE119" s="587">
        <f>IF(INDEX(tblContractForDeed[End Bal],ROW()-ROW(tblBuyerOutputs[#Headers]))&lt;=0,0,IF(ROW()=ROW(tblBuyerOutputs[#Headers])+1,0,INDEX(tblBuyerOutputs[Cumul Appr],ROW()-ROW(tblBuyerOutputs[#Headers])-1))+tblBuyerOutputs[[#This Row],[Monthly Appr]])</f>
        <v>75533.094108635662</v>
      </c>
      <c r="AF119" s="22"/>
      <c r="AG119" s="14"/>
      <c r="AM119"/>
      <c r="AN119" s="14"/>
      <c r="AP119" s="265"/>
      <c r="AR119" s="14"/>
      <c r="AS119"/>
    </row>
    <row r="120" spans="1:45" x14ac:dyDescent="0.25">
      <c r="A120" s="561">
        <f t="shared" si="17"/>
        <v>48884</v>
      </c>
      <c r="B120" s="265">
        <f t="shared" si="18"/>
        <v>0</v>
      </c>
      <c r="C120" s="14">
        <f t="shared" si="14"/>
        <v>0</v>
      </c>
      <c r="D120" s="14">
        <f t="shared" si="19"/>
        <v>0</v>
      </c>
      <c r="E120" s="14">
        <f t="shared" si="15"/>
        <v>0</v>
      </c>
      <c r="F120" s="14">
        <f t="shared" si="25"/>
        <v>0</v>
      </c>
      <c r="G120" s="14">
        <f t="shared" si="25"/>
        <v>0</v>
      </c>
      <c r="H120" s="14">
        <f t="shared" si="12"/>
        <v>0</v>
      </c>
      <c r="I120" s="265">
        <f t="shared" si="22"/>
        <v>0</v>
      </c>
      <c r="J120" s="265">
        <f t="shared" si="23"/>
        <v>0</v>
      </c>
      <c r="K120" s="265">
        <f t="shared" si="20"/>
        <v>0</v>
      </c>
      <c r="L120" s="373">
        <f t="shared" si="26"/>
        <v>8</v>
      </c>
      <c r="M120" s="373">
        <f t="shared" si="21"/>
        <v>100</v>
      </c>
      <c r="N120" s="561">
        <f>INDEX(tblSubjectToLoan[Date],ROW()-ROW(tblContractForDeed[#Headers]))</f>
        <v>48884</v>
      </c>
      <c r="O120" s="265">
        <f>IF(ROW()=ROW(tblContractForDeed[#Headers])+1,$O$6,IF(INDEX(tblContractForDeed[End Bal],ROW()-ROW(tblContractForDeed[#Headers])-1)&lt;0,0,INDEX(tblContractForDeed[End Bal],ROW()-ROW(tblContractForDeed[#Headers])-1)))</f>
        <v>51068.060000000056</v>
      </c>
      <c r="P120" s="431">
        <f>IF(tblContractForDeed[[#This Row],[Date]]="","",IF(tblContractForDeed[[#This Row],[Date]]&lt;cfdRateChangeDate,cfdRate1,cfdRate2))</f>
        <v>0.08</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0" s="265">
        <f>IF(tblContractForDeed[[#This Row],[Payment]]=0,0,MAX(0,MIN(tblContractForDeed[[#This Row],[Beg]],tblContractForDeed[[#This Row],[Payment]]-tblContractForDeed[[#This Row],[Int]])))</f>
        <v>1437</v>
      </c>
      <c r="S120" s="265">
        <f>IF(OR(tblContractForDeed[[#This Row],[Date]]&lt;cfdContractDate,tblContractForDeed[[#This Row],[Date]]&gt;cfdEndDate),0,ROUND(tblContractForDeed[[#This Row],[Beg]]*(tblContractForDeed[[#This Row],[Int Rate]]/12),2))</f>
        <v>340.45</v>
      </c>
      <c r="T120" s="265">
        <f>IF(tblContractForDeed[[#This Row],[Payment]]=0,0,$V$2)</f>
        <v>134.16999999999999</v>
      </c>
      <c r="U120" s="265">
        <f>IF(tblContractForDeed[[#This Row],[Princ]]=0,0,$V$3)</f>
        <v>0</v>
      </c>
      <c r="V120" s="265">
        <f>SUM(tblContractForDeed[[#This Row],[Princ]],tblContractForDeed[[#This Row],[Int]],tblContractForDeed[[#This Row],[Ins]],tblContractForDeed[[#This Row],[Taxes]])</f>
        <v>1911.6200000000001</v>
      </c>
      <c r="W120" s="265">
        <f>SUM(INDEX(tblContractForDeed[Princ],1):INDEX(tblContractForDeed[Princ],ROW()-ROW(tblContractForDeed[#Headers])))</f>
        <v>96868.939999999988</v>
      </c>
      <c r="X120" s="265">
        <f>IF(tblContractForDeed[[#This Row],[Beg]]&lt;=0,0,tblContractForDeed[[#This Row],[Beg]]-tblContractForDeed[[#This Row],[Princ]])</f>
        <v>49631.060000000056</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39">
        <f>IF(INDEX(tblContractForDeed[Payment],ROW()-ROW(tblBuyerOutputs[#Headers]))=0,0,INDEX(tblContractForDeed[Payment],ROW()-ROW(tblBuyerOutputs[#Headers]))-INDEX(tblSubjectToLoan[Payment],ROW()-ROW(tblBuyerOutputs[#Headers])))</f>
        <v>1777.45</v>
      </c>
      <c r="AA120"/>
      <c r="AB120" s="14">
        <f>IF(INDEX(tblContractForDeed[Payment],ROW()-ROW(tblBuyerOutputs[#Headers]))=0,0,INDEX(tblContractForDeed[Payment],ROW()-ROW(tblBuyerOutputs[#Headers]))-INDEX(tblSubjectToLoan[Payment],ROW()-ROW(tblBuyerOutputs[#Headers])))-IFERROR(tblBuyerOutputs[[#This Row],[PMI]],0)</f>
        <v>1777.45</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157712.49000000002</v>
      </c>
      <c r="AD120" s="265">
        <f>IF(INDEX(tblContractForDeed[End Bal],ROW()-ROW(tblBuyerOutputs[#Headers]))&lt;=0,0,($O$6+IF(ROW()=ROW(tblBuyerOutputs[#Headers])+1,0,INDEX(tblBuyerOutputs[Cumul Appr],ROW()-ROW(tblBuyerOutputs[#Headers])-1)))*$O$2/12)</f>
        <v>925.13789211931544</v>
      </c>
      <c r="AE120" s="587">
        <f>IF(INDEX(tblContractForDeed[End Bal],ROW()-ROW(tblBuyerOutputs[#Headers]))&lt;=0,0,IF(ROW()=ROW(tblBuyerOutputs[#Headers])+1,0,INDEX(tblBuyerOutputs[Cumul Appr],ROW()-ROW(tblBuyerOutputs[#Headers])-1))+tblBuyerOutputs[[#This Row],[Monthly Appr]])</f>
        <v>76458.232000754972</v>
      </c>
      <c r="AF120" s="22"/>
      <c r="AG120" s="14"/>
      <c r="AM120"/>
      <c r="AN120" s="14"/>
      <c r="AP120" s="265"/>
      <c r="AR120" s="14"/>
      <c r="AS120"/>
    </row>
    <row r="121" spans="1:45" x14ac:dyDescent="0.25">
      <c r="A121" s="561">
        <f t="shared" si="17"/>
        <v>48914</v>
      </c>
      <c r="B121" s="265">
        <f t="shared" si="18"/>
        <v>0</v>
      </c>
      <c r="C121" s="14">
        <f t="shared" si="14"/>
        <v>0</v>
      </c>
      <c r="D121" s="14">
        <f t="shared" si="19"/>
        <v>0</v>
      </c>
      <c r="E121" s="14">
        <f t="shared" si="15"/>
        <v>0</v>
      </c>
      <c r="F121" s="14">
        <f t="shared" si="25"/>
        <v>0</v>
      </c>
      <c r="G121" s="14">
        <f t="shared" si="25"/>
        <v>0</v>
      </c>
      <c r="H121" s="14">
        <f t="shared" si="12"/>
        <v>0</v>
      </c>
      <c r="I121" s="265">
        <f t="shared" si="22"/>
        <v>0</v>
      </c>
      <c r="J121" s="265">
        <f t="shared" si="23"/>
        <v>0</v>
      </c>
      <c r="K121" s="265">
        <f t="shared" si="20"/>
        <v>0</v>
      </c>
      <c r="L121" s="373">
        <f t="shared" si="26"/>
        <v>8</v>
      </c>
      <c r="M121" s="373">
        <f t="shared" si="21"/>
        <v>101</v>
      </c>
      <c r="N121" s="561">
        <f>INDEX(tblSubjectToLoan[Date],ROW()-ROW(tblContractForDeed[#Headers]))</f>
        <v>48914</v>
      </c>
      <c r="O121" s="265">
        <f>IF(ROW()=ROW(tblContractForDeed[#Headers])+1,$O$6,IF(INDEX(tblContractForDeed[End Bal],ROW()-ROW(tblContractForDeed[#Headers])-1)&lt;0,0,INDEX(tblContractForDeed[End Bal],ROW()-ROW(tblContractForDeed[#Headers])-1)))</f>
        <v>49631.060000000056</v>
      </c>
      <c r="P121" s="431">
        <f>IF(tblContractForDeed[[#This Row],[Date]]="","",IF(tblContractForDeed[[#This Row],[Date]]&lt;cfdRateChangeDate,cfdRate1,cfdRate2))</f>
        <v>0.08</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1" s="265">
        <f>IF(tblContractForDeed[[#This Row],[Payment]]=0,0,MAX(0,MIN(tblContractForDeed[[#This Row],[Beg]],tblContractForDeed[[#This Row],[Payment]]-tblContractForDeed[[#This Row],[Int]])))</f>
        <v>1446.58</v>
      </c>
      <c r="S121" s="265">
        <f>IF(OR(tblContractForDeed[[#This Row],[Date]]&lt;cfdContractDate,tblContractForDeed[[#This Row],[Date]]&gt;cfdEndDate),0,ROUND(tblContractForDeed[[#This Row],[Beg]]*(tblContractForDeed[[#This Row],[Int Rate]]/12),2))</f>
        <v>330.87</v>
      </c>
      <c r="T121" s="265">
        <f>IF(tblContractForDeed[[#This Row],[Payment]]=0,0,$V$2)</f>
        <v>134.16999999999999</v>
      </c>
      <c r="U121" s="265">
        <f>IF(tblContractForDeed[[#This Row],[Princ]]=0,0,$V$3)</f>
        <v>0</v>
      </c>
      <c r="V121" s="265">
        <f>SUM(tblContractForDeed[[#This Row],[Princ]],tblContractForDeed[[#This Row],[Int]],tblContractForDeed[[#This Row],[Ins]],tblContractForDeed[[#This Row],[Taxes]])</f>
        <v>1911.62</v>
      </c>
      <c r="W121" s="265">
        <f>SUM(INDEX(tblContractForDeed[Princ],1):INDEX(tblContractForDeed[Princ],ROW()-ROW(tblContractForDeed[#Headers])))</f>
        <v>98315.51999999999</v>
      </c>
      <c r="X121" s="265">
        <f>IF(tblContractForDeed[[#This Row],[Beg]]&lt;=0,0,tblContractForDeed[[#This Row],[Beg]]-tblContractForDeed[[#This Row],[Princ]])</f>
        <v>48184.480000000054</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39">
        <f>IF(INDEX(tblContractForDeed[Payment],ROW()-ROW(tblBuyerOutputs[#Headers]))=0,0,INDEX(tblContractForDeed[Payment],ROW()-ROW(tblBuyerOutputs[#Headers]))-INDEX(tblSubjectToLoan[Payment],ROW()-ROW(tblBuyerOutputs[#Headers])))</f>
        <v>1777.45</v>
      </c>
      <c r="AA121"/>
      <c r="AB121" s="14">
        <f>IF(INDEX(tblContractForDeed[Payment],ROW()-ROW(tblBuyerOutputs[#Headers]))=0,0,INDEX(tblContractForDeed[Payment],ROW()-ROW(tblBuyerOutputs[#Headers]))-INDEX(tblSubjectToLoan[Payment],ROW()-ROW(tblBuyerOutputs[#Headers])))-IFERROR(tblBuyerOutputs[[#This Row],[PMI]],0)</f>
        <v>1777.45</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159489.94000000003</v>
      </c>
      <c r="AD121" s="265">
        <f>IF(INDEX(tblContractForDeed[End Bal],ROW()-ROW(tblBuyerOutputs[#Headers]))&lt;=0,0,($O$6+IF(ROW()=ROW(tblBuyerOutputs[#Headers])+1,0,INDEX(tblBuyerOutputs[Cumul Appr],ROW()-ROW(tblBuyerOutputs[#Headers])-1)))*$O$2/12)</f>
        <v>928.99263333647912</v>
      </c>
      <c r="AE121" s="587">
        <f>IF(INDEX(tblContractForDeed[End Bal],ROW()-ROW(tblBuyerOutputs[#Headers]))&lt;=0,0,IF(ROW()=ROW(tblBuyerOutputs[#Headers])+1,0,INDEX(tblBuyerOutputs[Cumul Appr],ROW()-ROW(tblBuyerOutputs[#Headers])-1))+tblBuyerOutputs[[#This Row],[Monthly Appr]])</f>
        <v>77387.224634091457</v>
      </c>
      <c r="AF121" s="22"/>
      <c r="AG121" s="14"/>
      <c r="AM121"/>
      <c r="AN121" s="14"/>
      <c r="AP121" s="265"/>
      <c r="AR121" s="14"/>
      <c r="AS121"/>
    </row>
    <row r="122" spans="1:45" x14ac:dyDescent="0.25">
      <c r="A122" s="561">
        <f t="shared" si="17"/>
        <v>48945</v>
      </c>
      <c r="B122" s="265">
        <f t="shared" si="18"/>
        <v>0</v>
      </c>
      <c r="C122" s="14">
        <f t="shared" si="14"/>
        <v>0</v>
      </c>
      <c r="D122" s="14">
        <f t="shared" si="19"/>
        <v>0</v>
      </c>
      <c r="E122" s="14">
        <f t="shared" si="15"/>
        <v>0</v>
      </c>
      <c r="F122" s="14">
        <f t="shared" si="25"/>
        <v>0</v>
      </c>
      <c r="G122" s="14">
        <f t="shared" si="25"/>
        <v>0</v>
      </c>
      <c r="H122" s="14">
        <f t="shared" si="12"/>
        <v>0</v>
      </c>
      <c r="I122" s="265">
        <f t="shared" si="22"/>
        <v>0</v>
      </c>
      <c r="J122" s="265">
        <f t="shared" si="23"/>
        <v>0</v>
      </c>
      <c r="K122" s="265">
        <f t="shared" si="20"/>
        <v>0</v>
      </c>
      <c r="L122" s="373">
        <f t="shared" si="26"/>
        <v>8</v>
      </c>
      <c r="M122" s="373">
        <f t="shared" si="21"/>
        <v>102</v>
      </c>
      <c r="N122" s="561">
        <f>INDEX(tblSubjectToLoan[Date],ROW()-ROW(tblContractForDeed[#Headers]))</f>
        <v>48945</v>
      </c>
      <c r="O122" s="265">
        <f>IF(ROW()=ROW(tblContractForDeed[#Headers])+1,$O$6,IF(INDEX(tblContractForDeed[End Bal],ROW()-ROW(tblContractForDeed[#Headers])-1)&lt;0,0,INDEX(tblContractForDeed[End Bal],ROW()-ROW(tblContractForDeed[#Headers])-1)))</f>
        <v>48184.480000000054</v>
      </c>
      <c r="P122" s="431">
        <f>IF(tblContractForDeed[[#This Row],[Date]]="","",IF(tblContractForDeed[[#This Row],[Date]]&lt;cfdRateChangeDate,cfdRate1,cfdRate2))</f>
        <v>0.08</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2" s="265">
        <f>IF(tblContractForDeed[[#This Row],[Payment]]=0,0,MAX(0,MIN(tblContractForDeed[[#This Row],[Beg]],tblContractForDeed[[#This Row],[Payment]]-tblContractForDeed[[#This Row],[Int]])))</f>
        <v>1456.22</v>
      </c>
      <c r="S122" s="265">
        <f>IF(OR(tblContractForDeed[[#This Row],[Date]]&lt;cfdContractDate,tblContractForDeed[[#This Row],[Date]]&gt;cfdEndDate),0,ROUND(tblContractForDeed[[#This Row],[Beg]]*(tblContractForDeed[[#This Row],[Int Rate]]/12),2))</f>
        <v>321.23</v>
      </c>
      <c r="T122" s="265">
        <f>IF(tblContractForDeed[[#This Row],[Payment]]=0,0,$V$2)</f>
        <v>134.16999999999999</v>
      </c>
      <c r="U122" s="265">
        <f>IF(tblContractForDeed[[#This Row],[Princ]]=0,0,$V$3)</f>
        <v>0</v>
      </c>
      <c r="V122" s="265">
        <f>SUM(tblContractForDeed[[#This Row],[Princ]],tblContractForDeed[[#This Row],[Int]],tblContractForDeed[[#This Row],[Ins]],tblContractForDeed[[#This Row],[Taxes]])</f>
        <v>1911.6200000000001</v>
      </c>
      <c r="W122" s="265">
        <f>SUM(INDEX(tblContractForDeed[Princ],1):INDEX(tblContractForDeed[Princ],ROW()-ROW(tblContractForDeed[#Headers])))</f>
        <v>99771.739999999991</v>
      </c>
      <c r="X122" s="265">
        <f>IF(tblContractForDeed[[#This Row],[Beg]]&lt;=0,0,tblContractForDeed[[#This Row],[Beg]]-tblContractForDeed[[#This Row],[Princ]])</f>
        <v>46728.260000000053</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39">
        <f>IF(INDEX(tblContractForDeed[Payment],ROW()-ROW(tblBuyerOutputs[#Headers]))=0,0,INDEX(tblContractForDeed[Payment],ROW()-ROW(tblBuyerOutputs[#Headers]))-INDEX(tblSubjectToLoan[Payment],ROW()-ROW(tblBuyerOutputs[#Headers])))</f>
        <v>1777.45</v>
      </c>
      <c r="AA122"/>
      <c r="AB122" s="14">
        <f>IF(INDEX(tblContractForDeed[Payment],ROW()-ROW(tblBuyerOutputs[#Headers]))=0,0,INDEX(tblContractForDeed[Payment],ROW()-ROW(tblBuyerOutputs[#Headers]))-INDEX(tblSubjectToLoan[Payment],ROW()-ROW(tblBuyerOutputs[#Headers])))-IFERROR(tblBuyerOutputs[[#This Row],[PMI]],0)</f>
        <v>1777.45</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161267.39000000004</v>
      </c>
      <c r="AD122" s="265">
        <f>IF(INDEX(tblContractForDeed[End Bal],ROW()-ROW(tblBuyerOutputs[#Headers]))&lt;=0,0,($O$6+IF(ROW()=ROW(tblBuyerOutputs[#Headers])+1,0,INDEX(tblBuyerOutputs[Cumul Appr],ROW()-ROW(tblBuyerOutputs[#Headers])-1)))*$O$2/12)</f>
        <v>932.86343597538109</v>
      </c>
      <c r="AE122" s="587">
        <f>IF(INDEX(tblContractForDeed[End Bal],ROW()-ROW(tblBuyerOutputs[#Headers]))&lt;=0,0,IF(ROW()=ROW(tblBuyerOutputs[#Headers])+1,0,INDEX(tblBuyerOutputs[Cumul Appr],ROW()-ROW(tblBuyerOutputs[#Headers])-1))+tblBuyerOutputs[[#This Row],[Monthly Appr]])</f>
        <v>78320.088070066835</v>
      </c>
      <c r="AF122" s="22"/>
      <c r="AG122" s="14"/>
      <c r="AM122"/>
      <c r="AN122" s="14"/>
      <c r="AP122" s="265"/>
      <c r="AR122" s="14"/>
      <c r="AS122"/>
    </row>
    <row r="123" spans="1:45" x14ac:dyDescent="0.25">
      <c r="A123" s="561">
        <f t="shared" si="17"/>
        <v>48976</v>
      </c>
      <c r="B123" s="265">
        <f t="shared" si="18"/>
        <v>0</v>
      </c>
      <c r="C123" s="14">
        <f t="shared" si="14"/>
        <v>0</v>
      </c>
      <c r="D123" s="14">
        <f t="shared" si="19"/>
        <v>0</v>
      </c>
      <c r="E123" s="14">
        <f t="shared" si="15"/>
        <v>0</v>
      </c>
      <c r="F123" s="14">
        <f t="shared" si="25"/>
        <v>0</v>
      </c>
      <c r="G123" s="14">
        <f t="shared" si="25"/>
        <v>0</v>
      </c>
      <c r="H123" s="14">
        <f t="shared" si="12"/>
        <v>0</v>
      </c>
      <c r="I123" s="265">
        <f t="shared" si="22"/>
        <v>0</v>
      </c>
      <c r="J123" s="265">
        <f t="shared" si="23"/>
        <v>0</v>
      </c>
      <c r="K123" s="265">
        <f t="shared" si="20"/>
        <v>0</v>
      </c>
      <c r="L123" s="373">
        <f t="shared" si="26"/>
        <v>8</v>
      </c>
      <c r="M123" s="373">
        <f t="shared" si="21"/>
        <v>103</v>
      </c>
      <c r="N123" s="561">
        <f>INDEX(tblSubjectToLoan[Date],ROW()-ROW(tblContractForDeed[#Headers]))</f>
        <v>48976</v>
      </c>
      <c r="O123" s="265">
        <f>IF(ROW()=ROW(tblContractForDeed[#Headers])+1,$O$6,IF(INDEX(tblContractForDeed[End Bal],ROW()-ROW(tblContractForDeed[#Headers])-1)&lt;0,0,INDEX(tblContractForDeed[End Bal],ROW()-ROW(tblContractForDeed[#Headers])-1)))</f>
        <v>46728.260000000053</v>
      </c>
      <c r="P123" s="431">
        <f>IF(tblContractForDeed[[#This Row],[Date]]="","",IF(tblContractForDeed[[#This Row],[Date]]&lt;cfdRateChangeDate,cfdRate1,cfdRate2))</f>
        <v>0.08</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3" s="265">
        <f>IF(tblContractForDeed[[#This Row],[Payment]]=0,0,MAX(0,MIN(tblContractForDeed[[#This Row],[Beg]],tblContractForDeed[[#This Row],[Payment]]-tblContractForDeed[[#This Row],[Int]])))</f>
        <v>1465.93</v>
      </c>
      <c r="S123" s="265">
        <f>IF(OR(tblContractForDeed[[#This Row],[Date]]&lt;cfdContractDate,tblContractForDeed[[#This Row],[Date]]&gt;cfdEndDate),0,ROUND(tblContractForDeed[[#This Row],[Beg]]*(tblContractForDeed[[#This Row],[Int Rate]]/12),2))</f>
        <v>311.52</v>
      </c>
      <c r="T123" s="265">
        <f>IF(tblContractForDeed[[#This Row],[Payment]]=0,0,$V$2)</f>
        <v>134.16999999999999</v>
      </c>
      <c r="U123" s="265">
        <f>IF(tblContractForDeed[[#This Row],[Princ]]=0,0,$V$3)</f>
        <v>0</v>
      </c>
      <c r="V123" s="265">
        <f>SUM(tblContractForDeed[[#This Row],[Princ]],tblContractForDeed[[#This Row],[Int]],tblContractForDeed[[#This Row],[Ins]],tblContractForDeed[[#This Row],[Taxes]])</f>
        <v>1911.6200000000001</v>
      </c>
      <c r="W123" s="265">
        <f>SUM(INDEX(tblContractForDeed[Princ],1):INDEX(tblContractForDeed[Princ],ROW()-ROW(tblContractForDeed[#Headers])))</f>
        <v>101237.66999999998</v>
      </c>
      <c r="X123" s="265">
        <f>IF(tblContractForDeed[[#This Row],[Beg]]&lt;=0,0,tblContractForDeed[[#This Row],[Beg]]-tblContractForDeed[[#This Row],[Princ]])</f>
        <v>45262.330000000053</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39">
        <f>IF(INDEX(tblContractForDeed[Payment],ROW()-ROW(tblBuyerOutputs[#Headers]))=0,0,INDEX(tblContractForDeed[Payment],ROW()-ROW(tblBuyerOutputs[#Headers]))-INDEX(tblSubjectToLoan[Payment],ROW()-ROW(tblBuyerOutputs[#Headers])))</f>
        <v>1777.45</v>
      </c>
      <c r="AA123"/>
      <c r="AB123" s="14">
        <f>IF(INDEX(tblContractForDeed[Payment],ROW()-ROW(tblBuyerOutputs[#Headers]))=0,0,INDEX(tblContractForDeed[Payment],ROW()-ROW(tblBuyerOutputs[#Headers]))-INDEX(tblSubjectToLoan[Payment],ROW()-ROW(tblBuyerOutputs[#Headers])))-IFERROR(tblBuyerOutputs[[#This Row],[PMI]],0)</f>
        <v>1777.45</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163044.84000000005</v>
      </c>
      <c r="AD123" s="265">
        <f>IF(INDEX(tblContractForDeed[End Bal],ROW()-ROW(tblBuyerOutputs[#Headers]))&lt;=0,0,($O$6+IF(ROW()=ROW(tblBuyerOutputs[#Headers])+1,0,INDEX(tblBuyerOutputs[Cumul Appr],ROW()-ROW(tblBuyerOutputs[#Headers])-1)))*$O$2/12)</f>
        <v>936.75036695861183</v>
      </c>
      <c r="AE123" s="587">
        <f>IF(INDEX(tblContractForDeed[End Bal],ROW()-ROW(tblBuyerOutputs[#Headers]))&lt;=0,0,IF(ROW()=ROW(tblBuyerOutputs[#Headers])+1,0,INDEX(tblBuyerOutputs[Cumul Appr],ROW()-ROW(tblBuyerOutputs[#Headers])-1))+tblBuyerOutputs[[#This Row],[Monthly Appr]])</f>
        <v>79256.83843702545</v>
      </c>
      <c r="AF123" s="22"/>
      <c r="AG123" s="14"/>
      <c r="AM123"/>
      <c r="AN123" s="14"/>
      <c r="AP123" s="265"/>
      <c r="AR123" s="14"/>
      <c r="AS123"/>
    </row>
    <row r="124" spans="1:45" x14ac:dyDescent="0.25">
      <c r="A124" s="561">
        <f t="shared" si="17"/>
        <v>49004</v>
      </c>
      <c r="B124" s="265">
        <f t="shared" si="18"/>
        <v>0</v>
      </c>
      <c r="C124" s="14">
        <f t="shared" si="14"/>
        <v>0</v>
      </c>
      <c r="D124" s="14">
        <f t="shared" si="19"/>
        <v>0</v>
      </c>
      <c r="E124" s="14">
        <f t="shared" si="15"/>
        <v>0</v>
      </c>
      <c r="F124" s="14">
        <f t="shared" si="25"/>
        <v>0</v>
      </c>
      <c r="G124" s="14">
        <f t="shared" si="25"/>
        <v>0</v>
      </c>
      <c r="H124" s="14">
        <f t="shared" si="12"/>
        <v>0</v>
      </c>
      <c r="I124" s="265">
        <f t="shared" si="22"/>
        <v>0</v>
      </c>
      <c r="J124" s="265">
        <f t="shared" si="23"/>
        <v>0</v>
      </c>
      <c r="K124" s="265">
        <f t="shared" si="20"/>
        <v>0</v>
      </c>
      <c r="L124" s="373">
        <f t="shared" si="26"/>
        <v>8</v>
      </c>
      <c r="M124" s="373">
        <f t="shared" si="21"/>
        <v>104</v>
      </c>
      <c r="N124" s="561">
        <f>INDEX(tblSubjectToLoan[Date],ROW()-ROW(tblContractForDeed[#Headers]))</f>
        <v>49004</v>
      </c>
      <c r="O124" s="265">
        <f>IF(ROW()=ROW(tblContractForDeed[#Headers])+1,$O$6,IF(INDEX(tblContractForDeed[End Bal],ROW()-ROW(tblContractForDeed[#Headers])-1)&lt;0,0,INDEX(tblContractForDeed[End Bal],ROW()-ROW(tblContractForDeed[#Headers])-1)))</f>
        <v>45262.330000000053</v>
      </c>
      <c r="P124" s="431">
        <f>IF(tblContractForDeed[[#This Row],[Date]]="","",IF(tblContractForDeed[[#This Row],[Date]]&lt;cfdRateChangeDate,cfdRate1,cfdRate2))</f>
        <v>0.08</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4" s="265">
        <f>IF(tblContractForDeed[[#This Row],[Payment]]=0,0,MAX(0,MIN(tblContractForDeed[[#This Row],[Beg]],tblContractForDeed[[#This Row],[Payment]]-tblContractForDeed[[#This Row],[Int]])))</f>
        <v>1475.7</v>
      </c>
      <c r="S124" s="265">
        <f>IF(OR(tblContractForDeed[[#This Row],[Date]]&lt;cfdContractDate,tblContractForDeed[[#This Row],[Date]]&gt;cfdEndDate),0,ROUND(tblContractForDeed[[#This Row],[Beg]]*(tblContractForDeed[[#This Row],[Int Rate]]/12),2))</f>
        <v>301.75</v>
      </c>
      <c r="T124" s="265">
        <f>IF(tblContractForDeed[[#This Row],[Payment]]=0,0,$V$2)</f>
        <v>134.16999999999999</v>
      </c>
      <c r="U124" s="265">
        <f>IF(tblContractForDeed[[#This Row],[Princ]]=0,0,$V$3)</f>
        <v>0</v>
      </c>
      <c r="V124" s="265">
        <f>SUM(tblContractForDeed[[#This Row],[Princ]],tblContractForDeed[[#This Row],[Int]],tblContractForDeed[[#This Row],[Ins]],tblContractForDeed[[#This Row],[Taxes]])</f>
        <v>1911.6200000000001</v>
      </c>
      <c r="W124" s="265">
        <f>SUM(INDEX(tblContractForDeed[Princ],1):INDEX(tblContractForDeed[Princ],ROW()-ROW(tblContractForDeed[#Headers])))</f>
        <v>102713.36999999998</v>
      </c>
      <c r="X124" s="265">
        <f>IF(tblContractForDeed[[#This Row],[Beg]]&lt;=0,0,tblContractForDeed[[#This Row],[Beg]]-tblContractForDeed[[#This Row],[Princ]])</f>
        <v>43786.630000000056</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39">
        <f>IF(INDEX(tblContractForDeed[Payment],ROW()-ROW(tblBuyerOutputs[#Headers]))=0,0,INDEX(tblContractForDeed[Payment],ROW()-ROW(tblBuyerOutputs[#Headers]))-INDEX(tblSubjectToLoan[Payment],ROW()-ROW(tblBuyerOutputs[#Headers])))</f>
        <v>1777.45</v>
      </c>
      <c r="AA124"/>
      <c r="AB124" s="14">
        <f>IF(INDEX(tblContractForDeed[Payment],ROW()-ROW(tblBuyerOutputs[#Headers]))=0,0,INDEX(tblContractForDeed[Payment],ROW()-ROW(tblBuyerOutputs[#Headers]))-INDEX(tblSubjectToLoan[Payment],ROW()-ROW(tblBuyerOutputs[#Headers])))-IFERROR(tblBuyerOutputs[[#This Row],[PMI]],0)</f>
        <v>1777.45</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164822.29000000007</v>
      </c>
      <c r="AD124" s="265">
        <f>IF(INDEX(tblContractForDeed[End Bal],ROW()-ROW(tblBuyerOutputs[#Headers]))&lt;=0,0,($O$6+IF(ROW()=ROW(tblBuyerOutputs[#Headers])+1,0,INDEX(tblBuyerOutputs[Cumul Appr],ROW()-ROW(tblBuyerOutputs[#Headers])-1)))*$O$2/12)</f>
        <v>940.65349348760594</v>
      </c>
      <c r="AE124" s="587">
        <f>IF(INDEX(tblContractForDeed[End Bal],ROW()-ROW(tblBuyerOutputs[#Headers]))&lt;=0,0,IF(ROW()=ROW(tblBuyerOutputs[#Headers])+1,0,INDEX(tblBuyerOutputs[Cumul Appr],ROW()-ROW(tblBuyerOutputs[#Headers])-1))+tblBuyerOutputs[[#This Row],[Monthly Appr]])</f>
        <v>80197.491930513061</v>
      </c>
      <c r="AF124" s="22"/>
      <c r="AG124" s="14"/>
      <c r="AM124"/>
      <c r="AN124" s="14"/>
      <c r="AP124" s="265"/>
      <c r="AR124" s="14"/>
      <c r="AS124"/>
    </row>
    <row r="125" spans="1:45" x14ac:dyDescent="0.25">
      <c r="A125" s="561">
        <f t="shared" si="17"/>
        <v>49035</v>
      </c>
      <c r="B125" s="265">
        <f t="shared" si="18"/>
        <v>0</v>
      </c>
      <c r="C125" s="14">
        <f t="shared" si="14"/>
        <v>0</v>
      </c>
      <c r="D125" s="14">
        <f t="shared" si="19"/>
        <v>0</v>
      </c>
      <c r="E125" s="14">
        <f t="shared" si="15"/>
        <v>0</v>
      </c>
      <c r="F125" s="14">
        <f t="shared" si="25"/>
        <v>0</v>
      </c>
      <c r="G125" s="14">
        <f t="shared" si="25"/>
        <v>0</v>
      </c>
      <c r="H125" s="14">
        <f t="shared" si="12"/>
        <v>0</v>
      </c>
      <c r="I125" s="265">
        <f t="shared" si="22"/>
        <v>0</v>
      </c>
      <c r="J125" s="265">
        <f t="shared" si="23"/>
        <v>0</v>
      </c>
      <c r="K125" s="265">
        <f t="shared" si="20"/>
        <v>0</v>
      </c>
      <c r="L125" s="373">
        <f t="shared" si="26"/>
        <v>8</v>
      </c>
      <c r="M125" s="373">
        <f t="shared" si="21"/>
        <v>105</v>
      </c>
      <c r="N125" s="561">
        <f>INDEX(tblSubjectToLoan[Date],ROW()-ROW(tblContractForDeed[#Headers]))</f>
        <v>49035</v>
      </c>
      <c r="O125" s="265">
        <f>IF(ROW()=ROW(tblContractForDeed[#Headers])+1,$O$6,IF(INDEX(tblContractForDeed[End Bal],ROW()-ROW(tblContractForDeed[#Headers])-1)&lt;0,0,INDEX(tblContractForDeed[End Bal],ROW()-ROW(tblContractForDeed[#Headers])-1)))</f>
        <v>43786.630000000056</v>
      </c>
      <c r="P125" s="431">
        <f>IF(tblContractForDeed[[#This Row],[Date]]="","",IF(tblContractForDeed[[#This Row],[Date]]&lt;cfdRateChangeDate,cfdRate1,cfdRate2))</f>
        <v>0.08</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5" s="265">
        <f>IF(tblContractForDeed[[#This Row],[Payment]]=0,0,MAX(0,MIN(tblContractForDeed[[#This Row],[Beg]],tblContractForDeed[[#This Row],[Payment]]-tblContractForDeed[[#This Row],[Int]])))</f>
        <v>1485.54</v>
      </c>
      <c r="S125" s="265">
        <f>IF(OR(tblContractForDeed[[#This Row],[Date]]&lt;cfdContractDate,tblContractForDeed[[#This Row],[Date]]&gt;cfdEndDate),0,ROUND(tblContractForDeed[[#This Row],[Beg]]*(tblContractForDeed[[#This Row],[Int Rate]]/12),2))</f>
        <v>291.91000000000003</v>
      </c>
      <c r="T125" s="265">
        <f>IF(tblContractForDeed[[#This Row],[Payment]]=0,0,$V$2)</f>
        <v>134.16999999999999</v>
      </c>
      <c r="U125" s="265">
        <f>IF(tblContractForDeed[[#This Row],[Princ]]=0,0,$V$3)</f>
        <v>0</v>
      </c>
      <c r="V125" s="265">
        <f>SUM(tblContractForDeed[[#This Row],[Princ]],tblContractForDeed[[#This Row],[Int]],tblContractForDeed[[#This Row],[Ins]],tblContractForDeed[[#This Row],[Taxes]])</f>
        <v>1911.6200000000001</v>
      </c>
      <c r="W125" s="265">
        <f>SUM(INDEX(tblContractForDeed[Princ],1):INDEX(tblContractForDeed[Princ],ROW()-ROW(tblContractForDeed[#Headers])))</f>
        <v>104198.90999999997</v>
      </c>
      <c r="X125" s="265">
        <f>IF(tblContractForDeed[[#This Row],[Beg]]&lt;=0,0,tblContractForDeed[[#This Row],[Beg]]-tblContractForDeed[[#This Row],[Princ]])</f>
        <v>42301.090000000055</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39">
        <f>IF(INDEX(tblContractForDeed[Payment],ROW()-ROW(tblBuyerOutputs[#Headers]))=0,0,INDEX(tblContractForDeed[Payment],ROW()-ROW(tblBuyerOutputs[#Headers]))-INDEX(tblSubjectToLoan[Payment],ROW()-ROW(tblBuyerOutputs[#Headers])))</f>
        <v>1777.45</v>
      </c>
      <c r="AA125"/>
      <c r="AB125" s="14">
        <f>IF(INDEX(tblContractForDeed[Payment],ROW()-ROW(tblBuyerOutputs[#Headers]))=0,0,INDEX(tblContractForDeed[Payment],ROW()-ROW(tblBuyerOutputs[#Headers]))-INDEX(tblSubjectToLoan[Payment],ROW()-ROW(tblBuyerOutputs[#Headers])))-IFERROR(tblBuyerOutputs[[#This Row],[PMI]],0)</f>
        <v>1777.45</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166599.74000000008</v>
      </c>
      <c r="AD125" s="265">
        <f>IF(INDEX(tblContractForDeed[End Bal],ROW()-ROW(tblBuyerOutputs[#Headers]))&lt;=0,0,($O$6+IF(ROW()=ROW(tblBuyerOutputs[#Headers])+1,0,INDEX(tblBuyerOutputs[Cumul Appr],ROW()-ROW(tblBuyerOutputs[#Headers])-1)))*$O$2/12)</f>
        <v>944.57288304380438</v>
      </c>
      <c r="AE125" s="587">
        <f>IF(INDEX(tblContractForDeed[End Bal],ROW()-ROW(tblBuyerOutputs[#Headers]))&lt;=0,0,IF(ROW()=ROW(tblBuyerOutputs[#Headers])+1,0,INDEX(tblBuyerOutputs[Cumul Appr],ROW()-ROW(tblBuyerOutputs[#Headers])-1))+tblBuyerOutputs[[#This Row],[Monthly Appr]])</f>
        <v>81142.064813556863</v>
      </c>
      <c r="AF125" s="22"/>
      <c r="AG125" s="14"/>
      <c r="AM125"/>
      <c r="AN125" s="14"/>
      <c r="AP125" s="265"/>
      <c r="AR125" s="14"/>
      <c r="AS125"/>
    </row>
    <row r="126" spans="1:45" x14ac:dyDescent="0.25">
      <c r="A126" s="561">
        <f t="shared" si="17"/>
        <v>49065</v>
      </c>
      <c r="B126" s="265">
        <f t="shared" si="18"/>
        <v>0</v>
      </c>
      <c r="C126" s="14">
        <f t="shared" si="14"/>
        <v>0</v>
      </c>
      <c r="D126" s="14">
        <f t="shared" si="19"/>
        <v>0</v>
      </c>
      <c r="E126" s="14">
        <f t="shared" si="15"/>
        <v>0</v>
      </c>
      <c r="F126" s="14">
        <f t="shared" si="25"/>
        <v>0</v>
      </c>
      <c r="G126" s="14">
        <f t="shared" si="25"/>
        <v>0</v>
      </c>
      <c r="H126" s="14">
        <f t="shared" si="12"/>
        <v>0</v>
      </c>
      <c r="I126" s="265">
        <f t="shared" si="22"/>
        <v>0</v>
      </c>
      <c r="J126" s="265">
        <f t="shared" si="23"/>
        <v>0</v>
      </c>
      <c r="K126" s="265">
        <f t="shared" si="20"/>
        <v>0</v>
      </c>
      <c r="L126" s="373">
        <f t="shared" si="26"/>
        <v>8</v>
      </c>
      <c r="M126" s="373">
        <f t="shared" si="21"/>
        <v>106</v>
      </c>
      <c r="N126" s="561">
        <f>INDEX(tblSubjectToLoan[Date],ROW()-ROW(tblContractForDeed[#Headers]))</f>
        <v>49065</v>
      </c>
      <c r="O126" s="265">
        <f>IF(ROW()=ROW(tblContractForDeed[#Headers])+1,$O$6,IF(INDEX(tblContractForDeed[End Bal],ROW()-ROW(tblContractForDeed[#Headers])-1)&lt;0,0,INDEX(tblContractForDeed[End Bal],ROW()-ROW(tblContractForDeed[#Headers])-1)))</f>
        <v>42301.090000000055</v>
      </c>
      <c r="P126" s="431">
        <f>IF(tblContractForDeed[[#This Row],[Date]]="","",IF(tblContractForDeed[[#This Row],[Date]]&lt;cfdRateChangeDate,cfdRate1,cfdRate2))</f>
        <v>0.08</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6" s="265">
        <f>IF(tblContractForDeed[[#This Row],[Payment]]=0,0,MAX(0,MIN(tblContractForDeed[[#This Row],[Beg]],tblContractForDeed[[#This Row],[Payment]]-tblContractForDeed[[#This Row],[Int]])))</f>
        <v>1495.44</v>
      </c>
      <c r="S126" s="265">
        <f>IF(OR(tblContractForDeed[[#This Row],[Date]]&lt;cfdContractDate,tblContractForDeed[[#This Row],[Date]]&gt;cfdEndDate),0,ROUND(tblContractForDeed[[#This Row],[Beg]]*(tblContractForDeed[[#This Row],[Int Rate]]/12),2))</f>
        <v>282.01</v>
      </c>
      <c r="T126" s="265">
        <f>IF(tblContractForDeed[[#This Row],[Payment]]=0,0,$V$2)</f>
        <v>134.16999999999999</v>
      </c>
      <c r="U126" s="265">
        <f>IF(tblContractForDeed[[#This Row],[Princ]]=0,0,$V$3)</f>
        <v>0</v>
      </c>
      <c r="V126" s="265">
        <f>SUM(tblContractForDeed[[#This Row],[Princ]],tblContractForDeed[[#This Row],[Int]],tblContractForDeed[[#This Row],[Ins]],tblContractForDeed[[#This Row],[Taxes]])</f>
        <v>1911.6200000000001</v>
      </c>
      <c r="W126" s="265">
        <f>SUM(INDEX(tblContractForDeed[Princ],1):INDEX(tblContractForDeed[Princ],ROW()-ROW(tblContractForDeed[#Headers])))</f>
        <v>105694.34999999998</v>
      </c>
      <c r="X126" s="265">
        <f>IF(tblContractForDeed[[#This Row],[Beg]]&lt;=0,0,tblContractForDeed[[#This Row],[Beg]]-tblContractForDeed[[#This Row],[Princ]])</f>
        <v>40805.650000000052</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39">
        <f>IF(INDEX(tblContractForDeed[Payment],ROW()-ROW(tblBuyerOutputs[#Headers]))=0,0,INDEX(tblContractForDeed[Payment],ROW()-ROW(tblBuyerOutputs[#Headers]))-INDEX(tblSubjectToLoan[Payment],ROW()-ROW(tblBuyerOutputs[#Headers])))</f>
        <v>1777.45</v>
      </c>
      <c r="AA126"/>
      <c r="AB126" s="14">
        <f>IF(INDEX(tblContractForDeed[Payment],ROW()-ROW(tblBuyerOutputs[#Headers]))=0,0,INDEX(tblContractForDeed[Payment],ROW()-ROW(tblBuyerOutputs[#Headers]))-INDEX(tblSubjectToLoan[Payment],ROW()-ROW(tblBuyerOutputs[#Headers])))-IFERROR(tblBuyerOutputs[[#This Row],[PMI]],0)</f>
        <v>1777.45</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168377.19000000009</v>
      </c>
      <c r="AD126" s="265">
        <f>IF(INDEX(tblContractForDeed[End Bal],ROW()-ROW(tblBuyerOutputs[#Headers]))&lt;=0,0,($O$6+IF(ROW()=ROW(tblBuyerOutputs[#Headers])+1,0,INDEX(tblBuyerOutputs[Cumul Appr],ROW()-ROW(tblBuyerOutputs[#Headers])-1)))*$O$2/12)</f>
        <v>948.50860338982022</v>
      </c>
      <c r="AE126" s="587">
        <f>IF(INDEX(tblContractForDeed[End Bal],ROW()-ROW(tblBuyerOutputs[#Headers]))&lt;=0,0,IF(ROW()=ROW(tblBuyerOutputs[#Headers])+1,0,INDEX(tblBuyerOutputs[Cumul Appr],ROW()-ROW(tblBuyerOutputs[#Headers])-1))+tblBuyerOutputs[[#This Row],[Monthly Appr]])</f>
        <v>82090.573416946689</v>
      </c>
      <c r="AF126" s="22"/>
      <c r="AG126" s="14"/>
      <c r="AM126"/>
      <c r="AN126" s="14"/>
      <c r="AP126" s="265"/>
      <c r="AR126" s="14"/>
      <c r="AS126"/>
    </row>
    <row r="127" spans="1:45" ht="15.75" thickBot="1" x14ac:dyDescent="0.3">
      <c r="A127" s="562">
        <f t="shared" si="17"/>
        <v>49096</v>
      </c>
      <c r="B127" s="316">
        <f t="shared" si="18"/>
        <v>0</v>
      </c>
      <c r="C127" s="21">
        <f t="shared" si="14"/>
        <v>0</v>
      </c>
      <c r="D127" s="21">
        <f t="shared" si="19"/>
        <v>0</v>
      </c>
      <c r="E127" s="21">
        <f t="shared" si="15"/>
        <v>0</v>
      </c>
      <c r="F127" s="21">
        <f t="shared" ref="F127:G142" si="27">+F126</f>
        <v>0</v>
      </c>
      <c r="G127" s="21">
        <f t="shared" si="27"/>
        <v>0</v>
      </c>
      <c r="H127" s="21">
        <f t="shared" si="12"/>
        <v>0</v>
      </c>
      <c r="I127" s="316">
        <f t="shared" si="22"/>
        <v>0</v>
      </c>
      <c r="J127" s="316">
        <f t="shared" si="23"/>
        <v>0</v>
      </c>
      <c r="K127" s="316">
        <f t="shared" si="20"/>
        <v>0</v>
      </c>
      <c r="L127" s="374">
        <f t="shared" si="26"/>
        <v>8</v>
      </c>
      <c r="M127" s="374">
        <f t="shared" si="21"/>
        <v>107</v>
      </c>
      <c r="N127" s="562">
        <f>INDEX(tblSubjectToLoan[Date],ROW()-ROW(tblContractForDeed[#Headers]))</f>
        <v>49096</v>
      </c>
      <c r="O127" s="316">
        <f>IF(ROW()=ROW(tblContractForDeed[#Headers])+1,$O$6,IF(INDEX(tblContractForDeed[End Bal],ROW()-ROW(tblContractForDeed[#Headers])-1)&lt;0,0,INDEX(tblContractForDeed[End Bal],ROW()-ROW(tblContractForDeed[#Headers])-1)))</f>
        <v>40805.650000000052</v>
      </c>
      <c r="P127" s="585">
        <f>IF(tblContractForDeed[[#This Row],[Date]]="","",IF(tblContractForDeed[[#This Row],[Date]]&lt;cfdRateChangeDate,cfdRate1,cfdRate2))</f>
        <v>0.08</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7" s="316">
        <f>IF(tblContractForDeed[[#This Row],[Payment]]=0,0,MAX(0,MIN(tblContractForDeed[[#This Row],[Beg]],tblContractForDeed[[#This Row],[Payment]]-tblContractForDeed[[#This Row],[Int]])))</f>
        <v>1505.41</v>
      </c>
      <c r="S127" s="316">
        <f>IF(OR(tblContractForDeed[[#This Row],[Date]]&lt;cfdContractDate,tblContractForDeed[[#This Row],[Date]]&gt;cfdEndDate),0,ROUND(tblContractForDeed[[#This Row],[Beg]]*(tblContractForDeed[[#This Row],[Int Rate]]/12),2))</f>
        <v>272.04000000000002</v>
      </c>
      <c r="T127" s="316">
        <f>IF(tblContractForDeed[[#This Row],[Payment]]=0,0,$V$2)</f>
        <v>134.16999999999999</v>
      </c>
      <c r="U127" s="316">
        <f>IF(tblContractForDeed[[#This Row],[Princ]]=0,0,$V$3)</f>
        <v>0</v>
      </c>
      <c r="V127" s="316">
        <f>SUM(tblContractForDeed[[#This Row],[Princ]],tblContractForDeed[[#This Row],[Int]],tblContractForDeed[[#This Row],[Ins]],tblContractForDeed[[#This Row],[Taxes]])</f>
        <v>1911.6200000000001</v>
      </c>
      <c r="W127" s="316">
        <f>SUM(INDEX(tblContractForDeed[Princ],1):INDEX(tblContractForDeed[Princ],ROW()-ROW(tblContractForDeed[#Headers])))</f>
        <v>107199.75999999998</v>
      </c>
      <c r="X127" s="316">
        <f>IF(tblContractForDeed[[#This Row],[Beg]]&lt;=0,0,tblContractForDeed[[#This Row],[Beg]]-tblContractForDeed[[#This Row],[Princ]])</f>
        <v>39300.240000000049</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0">
        <f>IF(INDEX(tblContractForDeed[Payment],ROW()-ROW(tblBuyerOutputs[#Headers]))=0,0,INDEX(tblContractForDeed[Payment],ROW()-ROW(tblBuyerOutputs[#Headers]))-INDEX(tblSubjectToLoan[Payment],ROW()-ROW(tblBuyerOutputs[#Headers])))</f>
        <v>1777.45</v>
      </c>
      <c r="AA127" s="23"/>
      <c r="AB127" s="21">
        <f>IF(INDEX(tblContractForDeed[Payment],ROW()-ROW(tblBuyerOutputs[#Headers]))=0,0,INDEX(tblContractForDeed[Payment],ROW()-ROW(tblBuyerOutputs[#Headers]))-INDEX(tblSubjectToLoan[Payment],ROW()-ROW(tblBuyerOutputs[#Headers])))-IFERROR(tblBuyerOutputs[[#This Row],[PMI]],0)</f>
        <v>1777.45</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170154.6400000001</v>
      </c>
      <c r="AD127" s="316">
        <f>IF(INDEX(tblContractForDeed[End Bal],ROW()-ROW(tblBuyerOutputs[#Headers]))&lt;=0,0,($O$6+IF(ROW()=ROW(tblBuyerOutputs[#Headers])+1,0,INDEX(tblBuyerOutputs[Cumul Appr],ROW()-ROW(tblBuyerOutputs[#Headers])-1)))*$O$2/12)</f>
        <v>952.46072257061132</v>
      </c>
      <c r="AE127" s="588">
        <f>IF(INDEX(tblContractForDeed[End Bal],ROW()-ROW(tblBuyerOutputs[#Headers]))&lt;=0,0,IF(ROW()=ROW(tblBuyerOutputs[#Headers])+1,0,INDEX(tblBuyerOutputs[Cumul Appr],ROW()-ROW(tblBuyerOutputs[#Headers])-1))+tblBuyerOutputs[[#This Row],[Monthly Appr]])</f>
        <v>83043.034139517302</v>
      </c>
      <c r="AF127" s="22"/>
      <c r="AG127" s="14"/>
      <c r="AM127"/>
      <c r="AN127" s="14"/>
      <c r="AP127" s="265"/>
      <c r="AR127" s="14"/>
      <c r="AS127"/>
    </row>
    <row r="128" spans="1:45" x14ac:dyDescent="0.25">
      <c r="A128" s="561">
        <f t="shared" si="17"/>
        <v>49126</v>
      </c>
      <c r="B128" s="265">
        <f t="shared" si="18"/>
        <v>0</v>
      </c>
      <c r="C128" s="14">
        <f t="shared" si="14"/>
        <v>0</v>
      </c>
      <c r="D128" s="14">
        <f t="shared" si="19"/>
        <v>0</v>
      </c>
      <c r="E128" s="14">
        <f t="shared" si="15"/>
        <v>0</v>
      </c>
      <c r="F128" s="14">
        <f t="shared" si="27"/>
        <v>0</v>
      </c>
      <c r="G128" s="14">
        <f t="shared" si="27"/>
        <v>0</v>
      </c>
      <c r="H128" s="14">
        <f t="shared" ref="H128:H191" si="28">SUM(D128:G128)</f>
        <v>0</v>
      </c>
      <c r="I128" s="265">
        <f t="shared" si="22"/>
        <v>0</v>
      </c>
      <c r="J128" s="265">
        <f t="shared" si="23"/>
        <v>0</v>
      </c>
      <c r="K128" s="265">
        <f t="shared" si="20"/>
        <v>0</v>
      </c>
      <c r="L128" s="373">
        <f t="shared" si="26"/>
        <v>9</v>
      </c>
      <c r="M128" s="373">
        <f t="shared" si="21"/>
        <v>108</v>
      </c>
      <c r="N128" s="561">
        <f>INDEX(tblSubjectToLoan[Date],ROW()-ROW(tblContractForDeed[#Headers]))</f>
        <v>49126</v>
      </c>
      <c r="O128" s="265">
        <f>IF(ROW()=ROW(tblContractForDeed[#Headers])+1,$O$6,IF(INDEX(tblContractForDeed[End Bal],ROW()-ROW(tblContractForDeed[#Headers])-1)&lt;0,0,INDEX(tblContractForDeed[End Bal],ROW()-ROW(tblContractForDeed[#Headers])-1)))</f>
        <v>39300.240000000049</v>
      </c>
      <c r="P128" s="431">
        <f>IF(tblContractForDeed[[#This Row],[Date]]="","",IF(tblContractForDeed[[#This Row],[Date]]&lt;cfdRateChangeDate,cfdRate1,cfdRate2))</f>
        <v>0.08</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8" s="265">
        <f>IF(tblContractForDeed[[#This Row],[Payment]]=0,0,MAX(0,MIN(tblContractForDeed[[#This Row],[Beg]],tblContractForDeed[[#This Row],[Payment]]-tblContractForDeed[[#This Row],[Int]])))</f>
        <v>1515.45</v>
      </c>
      <c r="S128" s="265">
        <f>IF(OR(tblContractForDeed[[#This Row],[Date]]&lt;cfdContractDate,tblContractForDeed[[#This Row],[Date]]&gt;cfdEndDate),0,ROUND(tblContractForDeed[[#This Row],[Beg]]*(tblContractForDeed[[#This Row],[Int Rate]]/12),2))</f>
        <v>262</v>
      </c>
      <c r="T128" s="265">
        <f>IF(tblContractForDeed[[#This Row],[Payment]]=0,0,$V$2)</f>
        <v>134.16999999999999</v>
      </c>
      <c r="U128" s="265">
        <f>IF(tblContractForDeed[[#This Row],[Princ]]=0,0,$V$3)</f>
        <v>0</v>
      </c>
      <c r="V128" s="265">
        <f>SUM(tblContractForDeed[[#This Row],[Princ]],tblContractForDeed[[#This Row],[Int]],tblContractForDeed[[#This Row],[Ins]],tblContractForDeed[[#This Row],[Taxes]])</f>
        <v>1911.6200000000001</v>
      </c>
      <c r="W128" s="265">
        <f>SUM(INDEX(tblContractForDeed[Princ],1):INDEX(tblContractForDeed[Princ],ROW()-ROW(tblContractForDeed[#Headers])))</f>
        <v>108715.20999999998</v>
      </c>
      <c r="X128" s="265">
        <f>IF(tblContractForDeed[[#This Row],[Beg]]&lt;=0,0,tblContractForDeed[[#This Row],[Beg]]-tblContractForDeed[[#This Row],[Princ]])</f>
        <v>37784.790000000052</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39">
        <f>IF(INDEX(tblContractForDeed[Payment],ROW()-ROW(tblBuyerOutputs[#Headers]))=0,0,INDEX(tblContractForDeed[Payment],ROW()-ROW(tblBuyerOutputs[#Headers]))-INDEX(tblSubjectToLoan[Payment],ROW()-ROW(tblBuyerOutputs[#Headers])))</f>
        <v>1777.45</v>
      </c>
      <c r="AA128"/>
      <c r="AB128" s="14">
        <f>IF(INDEX(tblContractForDeed[Payment],ROW()-ROW(tblBuyerOutputs[#Headers]))=0,0,INDEX(tblContractForDeed[Payment],ROW()-ROW(tblBuyerOutputs[#Headers]))-INDEX(tblSubjectToLoan[Payment],ROW()-ROW(tblBuyerOutputs[#Headers])))-IFERROR(tblBuyerOutputs[[#This Row],[PMI]],0)</f>
        <v>1777.45</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171932.09000000011</v>
      </c>
      <c r="AD128" s="265">
        <f>IF(INDEX(tblContractForDeed[End Bal],ROW()-ROW(tblBuyerOutputs[#Headers]))&lt;=0,0,($O$6+IF(ROW()=ROW(tblBuyerOutputs[#Headers])+1,0,INDEX(tblBuyerOutputs[Cumul Appr],ROW()-ROW(tblBuyerOutputs[#Headers])-1)))*$O$2/12)</f>
        <v>956.42930891465539</v>
      </c>
      <c r="AE128" s="587">
        <f>IF(INDEX(tblContractForDeed[End Bal],ROW()-ROW(tblBuyerOutputs[#Headers]))&lt;=0,0,IF(ROW()=ROW(tblBuyerOutputs[#Headers])+1,0,INDEX(tblBuyerOutputs[Cumul Appr],ROW()-ROW(tblBuyerOutputs[#Headers])-1))+tblBuyerOutputs[[#This Row],[Monthly Appr]])</f>
        <v>83999.463448431954</v>
      </c>
      <c r="AF128" s="22"/>
      <c r="AG128" s="14"/>
      <c r="AM128"/>
      <c r="AN128" s="14"/>
      <c r="AP128" s="265"/>
      <c r="AR128" s="14"/>
      <c r="AS128"/>
    </row>
    <row r="129" spans="1:45" x14ac:dyDescent="0.25">
      <c r="A129" s="561">
        <f t="shared" si="17"/>
        <v>49157</v>
      </c>
      <c r="B129" s="265">
        <f t="shared" si="18"/>
        <v>0</v>
      </c>
      <c r="C129" s="14">
        <f t="shared" si="14"/>
        <v>0</v>
      </c>
      <c r="D129" s="14">
        <f t="shared" si="19"/>
        <v>0</v>
      </c>
      <c r="E129" s="14">
        <f t="shared" si="15"/>
        <v>0</v>
      </c>
      <c r="F129" s="14">
        <f t="shared" si="27"/>
        <v>0</v>
      </c>
      <c r="G129" s="14">
        <f t="shared" si="27"/>
        <v>0</v>
      </c>
      <c r="H129" s="14">
        <f t="shared" si="28"/>
        <v>0</v>
      </c>
      <c r="I129" s="265">
        <f t="shared" si="22"/>
        <v>0</v>
      </c>
      <c r="J129" s="265">
        <f t="shared" si="23"/>
        <v>0</v>
      </c>
      <c r="K129" s="265">
        <f t="shared" si="20"/>
        <v>0</v>
      </c>
      <c r="L129" s="373">
        <f t="shared" si="26"/>
        <v>9</v>
      </c>
      <c r="M129" s="373">
        <f t="shared" si="21"/>
        <v>109</v>
      </c>
      <c r="N129" s="561">
        <f>INDEX(tblSubjectToLoan[Date],ROW()-ROW(tblContractForDeed[#Headers]))</f>
        <v>49157</v>
      </c>
      <c r="O129" s="265">
        <f>IF(ROW()=ROW(tblContractForDeed[#Headers])+1,$O$6,IF(INDEX(tblContractForDeed[End Bal],ROW()-ROW(tblContractForDeed[#Headers])-1)&lt;0,0,INDEX(tblContractForDeed[End Bal],ROW()-ROW(tblContractForDeed[#Headers])-1)))</f>
        <v>37784.790000000052</v>
      </c>
      <c r="P129" s="431">
        <f>IF(tblContractForDeed[[#This Row],[Date]]="","",IF(tblContractForDeed[[#This Row],[Date]]&lt;cfdRateChangeDate,cfdRate1,cfdRate2))</f>
        <v>0.08</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9" s="265">
        <f>IF(tblContractForDeed[[#This Row],[Payment]]=0,0,MAX(0,MIN(tblContractForDeed[[#This Row],[Beg]],tblContractForDeed[[#This Row],[Payment]]-tblContractForDeed[[#This Row],[Int]])))</f>
        <v>1525.55</v>
      </c>
      <c r="S129" s="265">
        <f>IF(OR(tblContractForDeed[[#This Row],[Date]]&lt;cfdContractDate,tblContractForDeed[[#This Row],[Date]]&gt;cfdEndDate),0,ROUND(tblContractForDeed[[#This Row],[Beg]]*(tblContractForDeed[[#This Row],[Int Rate]]/12),2))</f>
        <v>251.9</v>
      </c>
      <c r="T129" s="265">
        <f>IF(tblContractForDeed[[#This Row],[Payment]]=0,0,$V$2)</f>
        <v>134.16999999999999</v>
      </c>
      <c r="U129" s="265">
        <f>IF(tblContractForDeed[[#This Row],[Princ]]=0,0,$V$3)</f>
        <v>0</v>
      </c>
      <c r="V129" s="265">
        <f>SUM(tblContractForDeed[[#This Row],[Princ]],tblContractForDeed[[#This Row],[Int]],tblContractForDeed[[#This Row],[Ins]],tblContractForDeed[[#This Row],[Taxes]])</f>
        <v>1911.6200000000001</v>
      </c>
      <c r="W129" s="265">
        <f>SUM(INDEX(tblContractForDeed[Princ],1):INDEX(tblContractForDeed[Princ],ROW()-ROW(tblContractForDeed[#Headers])))</f>
        <v>110240.75999999998</v>
      </c>
      <c r="X129" s="265">
        <f>IF(tblContractForDeed[[#This Row],[Beg]]&lt;=0,0,tblContractForDeed[[#This Row],[Beg]]-tblContractForDeed[[#This Row],[Princ]])</f>
        <v>36259.240000000049</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39">
        <f>IF(INDEX(tblContractForDeed[Payment],ROW()-ROW(tblBuyerOutputs[#Headers]))=0,0,INDEX(tblContractForDeed[Payment],ROW()-ROW(tblBuyerOutputs[#Headers]))-INDEX(tblSubjectToLoan[Payment],ROW()-ROW(tblBuyerOutputs[#Headers])))</f>
        <v>1777.45</v>
      </c>
      <c r="AA129"/>
      <c r="AB129" s="14">
        <f>IF(INDEX(tblContractForDeed[Payment],ROW()-ROW(tblBuyerOutputs[#Headers]))=0,0,INDEX(tblContractForDeed[Payment],ROW()-ROW(tblBuyerOutputs[#Headers]))-INDEX(tblSubjectToLoan[Payment],ROW()-ROW(tblBuyerOutputs[#Headers])))-IFERROR(tblBuyerOutputs[[#This Row],[PMI]],0)</f>
        <v>1777.45</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173709.54000000012</v>
      </c>
      <c r="AD129" s="265">
        <f>IF(INDEX(tblContractForDeed[End Bal],ROW()-ROW(tblBuyerOutputs[#Headers]))&lt;=0,0,($O$6+IF(ROW()=ROW(tblBuyerOutputs[#Headers])+1,0,INDEX(tblBuyerOutputs[Cumul Appr],ROW()-ROW(tblBuyerOutputs[#Headers])-1)))*$O$2/12)</f>
        <v>960.41443103513313</v>
      </c>
      <c r="AE129" s="587">
        <f>IF(INDEX(tblContractForDeed[End Bal],ROW()-ROW(tblBuyerOutputs[#Headers]))&lt;=0,0,IF(ROW()=ROW(tblBuyerOutputs[#Headers])+1,0,INDEX(tblBuyerOutputs[Cumul Appr],ROW()-ROW(tblBuyerOutputs[#Headers])-1))+tblBuyerOutputs[[#This Row],[Monthly Appr]])</f>
        <v>84959.877879467094</v>
      </c>
      <c r="AF129" s="22"/>
      <c r="AG129" s="14"/>
      <c r="AM129"/>
      <c r="AN129" s="14"/>
      <c r="AP129" s="265"/>
      <c r="AR129" s="14"/>
      <c r="AS129"/>
    </row>
    <row r="130" spans="1:45" x14ac:dyDescent="0.25">
      <c r="A130" s="561">
        <f t="shared" si="17"/>
        <v>49188</v>
      </c>
      <c r="B130" s="265">
        <f t="shared" si="18"/>
        <v>0</v>
      </c>
      <c r="C130" s="14">
        <f t="shared" si="14"/>
        <v>0</v>
      </c>
      <c r="D130" s="14">
        <f t="shared" si="19"/>
        <v>0</v>
      </c>
      <c r="E130" s="14">
        <f t="shared" si="15"/>
        <v>0</v>
      </c>
      <c r="F130" s="14">
        <f t="shared" si="27"/>
        <v>0</v>
      </c>
      <c r="G130" s="14">
        <f t="shared" si="27"/>
        <v>0</v>
      </c>
      <c r="H130" s="14">
        <f t="shared" si="28"/>
        <v>0</v>
      </c>
      <c r="I130" s="265">
        <f t="shared" si="22"/>
        <v>0</v>
      </c>
      <c r="J130" s="265">
        <f t="shared" si="23"/>
        <v>0</v>
      </c>
      <c r="K130" s="265">
        <f t="shared" si="20"/>
        <v>0</v>
      </c>
      <c r="L130" s="373">
        <f t="shared" si="26"/>
        <v>9</v>
      </c>
      <c r="M130" s="373">
        <f t="shared" si="21"/>
        <v>110</v>
      </c>
      <c r="N130" s="561">
        <f>INDEX(tblSubjectToLoan[Date],ROW()-ROW(tblContractForDeed[#Headers]))</f>
        <v>49188</v>
      </c>
      <c r="O130" s="265">
        <f>IF(ROW()=ROW(tblContractForDeed[#Headers])+1,$O$6,IF(INDEX(tblContractForDeed[End Bal],ROW()-ROW(tblContractForDeed[#Headers])-1)&lt;0,0,INDEX(tblContractForDeed[End Bal],ROW()-ROW(tblContractForDeed[#Headers])-1)))</f>
        <v>36259.240000000049</v>
      </c>
      <c r="P130" s="431">
        <f>IF(tblContractForDeed[[#This Row],[Date]]="","",IF(tblContractForDeed[[#This Row],[Date]]&lt;cfdRateChangeDate,cfdRate1,cfdRate2))</f>
        <v>0.08</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0" s="265">
        <f>IF(tblContractForDeed[[#This Row],[Payment]]=0,0,MAX(0,MIN(tblContractForDeed[[#This Row],[Beg]],tblContractForDeed[[#This Row],[Payment]]-tblContractForDeed[[#This Row],[Int]])))</f>
        <v>1535.72</v>
      </c>
      <c r="S130" s="265">
        <f>IF(OR(tblContractForDeed[[#This Row],[Date]]&lt;cfdContractDate,tblContractForDeed[[#This Row],[Date]]&gt;cfdEndDate),0,ROUND(tblContractForDeed[[#This Row],[Beg]]*(tblContractForDeed[[#This Row],[Int Rate]]/12),2))</f>
        <v>241.73</v>
      </c>
      <c r="T130" s="265">
        <f>IF(tblContractForDeed[[#This Row],[Payment]]=0,0,$V$2)</f>
        <v>134.16999999999999</v>
      </c>
      <c r="U130" s="265">
        <f>IF(tblContractForDeed[[#This Row],[Princ]]=0,0,$V$3)</f>
        <v>0</v>
      </c>
      <c r="V130" s="265">
        <f>SUM(tblContractForDeed[[#This Row],[Princ]],tblContractForDeed[[#This Row],[Int]],tblContractForDeed[[#This Row],[Ins]],tblContractForDeed[[#This Row],[Taxes]])</f>
        <v>1911.6200000000001</v>
      </c>
      <c r="W130" s="265">
        <f>SUM(INDEX(tblContractForDeed[Princ],1):INDEX(tblContractForDeed[Princ],ROW()-ROW(tblContractForDeed[#Headers])))</f>
        <v>111776.47999999998</v>
      </c>
      <c r="X130" s="265">
        <f>IF(tblContractForDeed[[#This Row],[Beg]]&lt;=0,0,tblContractForDeed[[#This Row],[Beg]]-tblContractForDeed[[#This Row],[Princ]])</f>
        <v>34723.520000000048</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39">
        <f>IF(INDEX(tblContractForDeed[Payment],ROW()-ROW(tblBuyerOutputs[#Headers]))=0,0,INDEX(tblContractForDeed[Payment],ROW()-ROW(tblBuyerOutputs[#Headers]))-INDEX(tblSubjectToLoan[Payment],ROW()-ROW(tblBuyerOutputs[#Headers])))</f>
        <v>1777.45</v>
      </c>
      <c r="AA130"/>
      <c r="AB130" s="14">
        <f>IF(INDEX(tblContractForDeed[Payment],ROW()-ROW(tblBuyerOutputs[#Headers]))=0,0,INDEX(tblContractForDeed[Payment],ROW()-ROW(tblBuyerOutputs[#Headers]))-INDEX(tblSubjectToLoan[Payment],ROW()-ROW(tblBuyerOutputs[#Headers])))-IFERROR(tblBuyerOutputs[[#This Row],[PMI]],0)</f>
        <v>1777.45</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175486.99000000014</v>
      </c>
      <c r="AD130" s="265">
        <f>IF(INDEX(tblContractForDeed[End Bal],ROW()-ROW(tblBuyerOutputs[#Headers]))&lt;=0,0,($O$6+IF(ROW()=ROW(tblBuyerOutputs[#Headers])+1,0,INDEX(tblBuyerOutputs[Cumul Appr],ROW()-ROW(tblBuyerOutputs[#Headers])-1)))*$O$2/12)</f>
        <v>964.41615783111286</v>
      </c>
      <c r="AE130" s="587">
        <f>IF(INDEX(tblContractForDeed[End Bal],ROW()-ROW(tblBuyerOutputs[#Headers]))&lt;=0,0,IF(ROW()=ROW(tblBuyerOutputs[#Headers])+1,0,INDEX(tblBuyerOutputs[Cumul Appr],ROW()-ROW(tblBuyerOutputs[#Headers])-1))+tblBuyerOutputs[[#This Row],[Monthly Appr]])</f>
        <v>85924.294037298212</v>
      </c>
      <c r="AF130" s="22"/>
      <c r="AG130" s="14"/>
      <c r="AM130"/>
      <c r="AN130" s="14"/>
      <c r="AP130" s="265"/>
      <c r="AR130" s="14"/>
      <c r="AS130"/>
    </row>
    <row r="131" spans="1:45" x14ac:dyDescent="0.25">
      <c r="A131" s="561">
        <f t="shared" si="17"/>
        <v>49218</v>
      </c>
      <c r="B131" s="265">
        <f t="shared" si="18"/>
        <v>0</v>
      </c>
      <c r="C131" s="14">
        <f t="shared" si="14"/>
        <v>0</v>
      </c>
      <c r="D131" s="14">
        <f t="shared" si="19"/>
        <v>0</v>
      </c>
      <c r="E131" s="14">
        <f t="shared" si="15"/>
        <v>0</v>
      </c>
      <c r="F131" s="14">
        <f t="shared" si="27"/>
        <v>0</v>
      </c>
      <c r="G131" s="14">
        <f t="shared" si="27"/>
        <v>0</v>
      </c>
      <c r="H131" s="14">
        <f t="shared" si="28"/>
        <v>0</v>
      </c>
      <c r="I131" s="265">
        <f t="shared" si="22"/>
        <v>0</v>
      </c>
      <c r="J131" s="265">
        <f t="shared" si="23"/>
        <v>0</v>
      </c>
      <c r="K131" s="265">
        <f t="shared" si="20"/>
        <v>0</v>
      </c>
      <c r="L131" s="373">
        <f t="shared" si="26"/>
        <v>9</v>
      </c>
      <c r="M131" s="373">
        <f t="shared" si="21"/>
        <v>111</v>
      </c>
      <c r="N131" s="561">
        <f>INDEX(tblSubjectToLoan[Date],ROW()-ROW(tblContractForDeed[#Headers]))</f>
        <v>49218</v>
      </c>
      <c r="O131" s="265">
        <f>IF(ROW()=ROW(tblContractForDeed[#Headers])+1,$O$6,IF(INDEX(tblContractForDeed[End Bal],ROW()-ROW(tblContractForDeed[#Headers])-1)&lt;0,0,INDEX(tblContractForDeed[End Bal],ROW()-ROW(tblContractForDeed[#Headers])-1)))</f>
        <v>34723.520000000048</v>
      </c>
      <c r="P131" s="431">
        <f>IF(tblContractForDeed[[#This Row],[Date]]="","",IF(tblContractForDeed[[#This Row],[Date]]&lt;cfdRateChangeDate,cfdRate1,cfdRate2))</f>
        <v>0.08</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1" s="265">
        <f>IF(tblContractForDeed[[#This Row],[Payment]]=0,0,MAX(0,MIN(tblContractForDeed[[#This Row],[Beg]],tblContractForDeed[[#This Row],[Payment]]-tblContractForDeed[[#This Row],[Int]])))</f>
        <v>1545.96</v>
      </c>
      <c r="S131" s="265">
        <f>IF(OR(tblContractForDeed[[#This Row],[Date]]&lt;cfdContractDate,tblContractForDeed[[#This Row],[Date]]&gt;cfdEndDate),0,ROUND(tblContractForDeed[[#This Row],[Beg]]*(tblContractForDeed[[#This Row],[Int Rate]]/12),2))</f>
        <v>231.49</v>
      </c>
      <c r="T131" s="265">
        <f>IF(tblContractForDeed[[#This Row],[Payment]]=0,0,$V$2)</f>
        <v>134.16999999999999</v>
      </c>
      <c r="U131" s="265">
        <f>IF(tblContractForDeed[[#This Row],[Princ]]=0,0,$V$3)</f>
        <v>0</v>
      </c>
      <c r="V131" s="265">
        <f>SUM(tblContractForDeed[[#This Row],[Princ]],tblContractForDeed[[#This Row],[Int]],tblContractForDeed[[#This Row],[Ins]],tblContractForDeed[[#This Row],[Taxes]])</f>
        <v>1911.6200000000001</v>
      </c>
      <c r="W131" s="265">
        <f>SUM(INDEX(tblContractForDeed[Princ],1):INDEX(tblContractForDeed[Princ],ROW()-ROW(tblContractForDeed[#Headers])))</f>
        <v>113322.43999999999</v>
      </c>
      <c r="X131" s="265">
        <f>IF(tblContractForDeed[[#This Row],[Beg]]&lt;=0,0,tblContractForDeed[[#This Row],[Beg]]-tblContractForDeed[[#This Row],[Princ]])</f>
        <v>33177.560000000049</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39">
        <f>IF(INDEX(tblContractForDeed[Payment],ROW()-ROW(tblBuyerOutputs[#Headers]))=0,0,INDEX(tblContractForDeed[Payment],ROW()-ROW(tblBuyerOutputs[#Headers]))-INDEX(tblSubjectToLoan[Payment],ROW()-ROW(tblBuyerOutputs[#Headers])))</f>
        <v>1777.45</v>
      </c>
      <c r="AA131"/>
      <c r="AB131" s="14">
        <f>IF(INDEX(tblContractForDeed[Payment],ROW()-ROW(tblBuyerOutputs[#Headers]))=0,0,INDEX(tblContractForDeed[Payment],ROW()-ROW(tblBuyerOutputs[#Headers]))-INDEX(tblSubjectToLoan[Payment],ROW()-ROW(tblBuyerOutputs[#Headers])))-IFERROR(tblBuyerOutputs[[#This Row],[PMI]],0)</f>
        <v>1777.45</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177264.44000000015</v>
      </c>
      <c r="AD131" s="265">
        <f>IF(INDEX(tblContractForDeed[End Bal],ROW()-ROW(tblBuyerOutputs[#Headers]))&lt;=0,0,($O$6+IF(ROW()=ROW(tblBuyerOutputs[#Headers])+1,0,INDEX(tblBuyerOutputs[Cumul Appr],ROW()-ROW(tblBuyerOutputs[#Headers])-1)))*$O$2/12)</f>
        <v>968.43455848874271</v>
      </c>
      <c r="AE131" s="587">
        <f>IF(INDEX(tblContractForDeed[End Bal],ROW()-ROW(tblBuyerOutputs[#Headers]))&lt;=0,0,IF(ROW()=ROW(tblBuyerOutputs[#Headers])+1,0,INDEX(tblBuyerOutputs[Cumul Appr],ROW()-ROW(tblBuyerOutputs[#Headers])-1))+tblBuyerOutputs[[#This Row],[Monthly Appr]])</f>
        <v>86892.728595786961</v>
      </c>
      <c r="AF131" s="22"/>
      <c r="AG131" s="14"/>
      <c r="AM131"/>
      <c r="AN131" s="14"/>
      <c r="AP131" s="265"/>
      <c r="AR131" s="14"/>
      <c r="AS131"/>
    </row>
    <row r="132" spans="1:45" x14ac:dyDescent="0.25">
      <c r="A132" s="561">
        <f t="shared" si="17"/>
        <v>49249</v>
      </c>
      <c r="B132" s="265">
        <f t="shared" si="18"/>
        <v>0</v>
      </c>
      <c r="C132" s="14">
        <f t="shared" si="14"/>
        <v>0</v>
      </c>
      <c r="D132" s="14">
        <f t="shared" si="19"/>
        <v>0</v>
      </c>
      <c r="E132" s="14">
        <f t="shared" si="15"/>
        <v>0</v>
      </c>
      <c r="F132" s="14">
        <f t="shared" si="27"/>
        <v>0</v>
      </c>
      <c r="G132" s="14">
        <f t="shared" si="27"/>
        <v>0</v>
      </c>
      <c r="H132" s="14">
        <f t="shared" si="28"/>
        <v>0</v>
      </c>
      <c r="I132" s="265">
        <f t="shared" si="22"/>
        <v>0</v>
      </c>
      <c r="J132" s="265">
        <f t="shared" si="23"/>
        <v>0</v>
      </c>
      <c r="K132" s="265">
        <f t="shared" si="20"/>
        <v>0</v>
      </c>
      <c r="L132" s="373">
        <f t="shared" si="26"/>
        <v>9</v>
      </c>
      <c r="M132" s="373">
        <f t="shared" si="21"/>
        <v>112</v>
      </c>
      <c r="N132" s="561">
        <f>INDEX(tblSubjectToLoan[Date],ROW()-ROW(tblContractForDeed[#Headers]))</f>
        <v>49249</v>
      </c>
      <c r="O132" s="265">
        <f>IF(ROW()=ROW(tblContractForDeed[#Headers])+1,$O$6,IF(INDEX(tblContractForDeed[End Bal],ROW()-ROW(tblContractForDeed[#Headers])-1)&lt;0,0,INDEX(tblContractForDeed[End Bal],ROW()-ROW(tblContractForDeed[#Headers])-1)))</f>
        <v>33177.560000000049</v>
      </c>
      <c r="P132" s="431">
        <f>IF(tblContractForDeed[[#This Row],[Date]]="","",IF(tblContractForDeed[[#This Row],[Date]]&lt;cfdRateChangeDate,cfdRate1,cfdRate2))</f>
        <v>0.08</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2" s="265">
        <f>IF(tblContractForDeed[[#This Row],[Payment]]=0,0,MAX(0,MIN(tblContractForDeed[[#This Row],[Beg]],tblContractForDeed[[#This Row],[Payment]]-tblContractForDeed[[#This Row],[Int]])))</f>
        <v>1556.27</v>
      </c>
      <c r="S132" s="265">
        <f>IF(OR(tblContractForDeed[[#This Row],[Date]]&lt;cfdContractDate,tblContractForDeed[[#This Row],[Date]]&gt;cfdEndDate),0,ROUND(tblContractForDeed[[#This Row],[Beg]]*(tblContractForDeed[[#This Row],[Int Rate]]/12),2))</f>
        <v>221.18</v>
      </c>
      <c r="T132" s="265">
        <f>IF(tblContractForDeed[[#This Row],[Payment]]=0,0,$V$2)</f>
        <v>134.16999999999999</v>
      </c>
      <c r="U132" s="265">
        <f>IF(tblContractForDeed[[#This Row],[Princ]]=0,0,$V$3)</f>
        <v>0</v>
      </c>
      <c r="V132" s="265">
        <f>SUM(tblContractForDeed[[#This Row],[Princ]],tblContractForDeed[[#This Row],[Int]],tblContractForDeed[[#This Row],[Ins]],tblContractForDeed[[#This Row],[Taxes]])</f>
        <v>1911.6200000000001</v>
      </c>
      <c r="W132" s="265">
        <f>SUM(INDEX(tblContractForDeed[Princ],1):INDEX(tblContractForDeed[Princ],ROW()-ROW(tblContractForDeed[#Headers])))</f>
        <v>114878.70999999999</v>
      </c>
      <c r="X132" s="265">
        <f>IF(tblContractForDeed[[#This Row],[Beg]]&lt;=0,0,tblContractForDeed[[#This Row],[Beg]]-tblContractForDeed[[#This Row],[Princ]])</f>
        <v>31621.290000000048</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39">
        <f>IF(INDEX(tblContractForDeed[Payment],ROW()-ROW(tblBuyerOutputs[#Headers]))=0,0,INDEX(tblContractForDeed[Payment],ROW()-ROW(tblBuyerOutputs[#Headers]))-INDEX(tblSubjectToLoan[Payment],ROW()-ROW(tblBuyerOutputs[#Headers])))</f>
        <v>1777.45</v>
      </c>
      <c r="AA132"/>
      <c r="AB132" s="14">
        <f>IF(INDEX(tblContractForDeed[Payment],ROW()-ROW(tblBuyerOutputs[#Headers]))=0,0,INDEX(tblContractForDeed[Payment],ROW()-ROW(tblBuyerOutputs[#Headers]))-INDEX(tblSubjectToLoan[Payment],ROW()-ROW(tblBuyerOutputs[#Headers])))-IFERROR(tblBuyerOutputs[[#This Row],[PMI]],0)</f>
        <v>1777.45</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179041.89000000016</v>
      </c>
      <c r="AD132" s="265">
        <f>IF(INDEX(tblContractForDeed[End Bal],ROW()-ROW(tblBuyerOutputs[#Headers]))&lt;=0,0,($O$6+IF(ROW()=ROW(tblBuyerOutputs[#Headers])+1,0,INDEX(tblBuyerOutputs[Cumul Appr],ROW()-ROW(tblBuyerOutputs[#Headers])-1)))*$O$2/12)</f>
        <v>972.46970248244577</v>
      </c>
      <c r="AE132" s="587">
        <f>IF(INDEX(tblContractForDeed[End Bal],ROW()-ROW(tblBuyerOutputs[#Headers]))&lt;=0,0,IF(ROW()=ROW(tblBuyerOutputs[#Headers])+1,0,INDEX(tblBuyerOutputs[Cumul Appr],ROW()-ROW(tblBuyerOutputs[#Headers])-1))+tblBuyerOutputs[[#This Row],[Monthly Appr]])</f>
        <v>87865.198298269403</v>
      </c>
      <c r="AF132" s="22"/>
      <c r="AG132" s="14"/>
      <c r="AM132"/>
      <c r="AN132" s="14"/>
      <c r="AP132" s="265"/>
      <c r="AR132" s="14"/>
      <c r="AS132"/>
    </row>
    <row r="133" spans="1:45" x14ac:dyDescent="0.25">
      <c r="A133" s="561">
        <f t="shared" si="17"/>
        <v>49279</v>
      </c>
      <c r="B133" s="265">
        <f t="shared" si="18"/>
        <v>0</v>
      </c>
      <c r="C133" s="14">
        <f t="shared" si="14"/>
        <v>0</v>
      </c>
      <c r="D133" s="14">
        <f t="shared" si="19"/>
        <v>0</v>
      </c>
      <c r="E133" s="14">
        <f t="shared" si="15"/>
        <v>0</v>
      </c>
      <c r="F133" s="14">
        <f t="shared" si="27"/>
        <v>0</v>
      </c>
      <c r="G133" s="14">
        <f t="shared" si="27"/>
        <v>0</v>
      </c>
      <c r="H133" s="14">
        <f t="shared" si="28"/>
        <v>0</v>
      </c>
      <c r="I133" s="265">
        <f t="shared" si="22"/>
        <v>0</v>
      </c>
      <c r="J133" s="265">
        <f t="shared" si="23"/>
        <v>0</v>
      </c>
      <c r="K133" s="265">
        <f t="shared" si="20"/>
        <v>0</v>
      </c>
      <c r="L133" s="373">
        <f t="shared" si="26"/>
        <v>9</v>
      </c>
      <c r="M133" s="373">
        <f t="shared" si="21"/>
        <v>113</v>
      </c>
      <c r="N133" s="561">
        <f>INDEX(tblSubjectToLoan[Date],ROW()-ROW(tblContractForDeed[#Headers]))</f>
        <v>49279</v>
      </c>
      <c r="O133" s="265">
        <f>IF(ROW()=ROW(tblContractForDeed[#Headers])+1,$O$6,IF(INDEX(tblContractForDeed[End Bal],ROW()-ROW(tblContractForDeed[#Headers])-1)&lt;0,0,INDEX(tblContractForDeed[End Bal],ROW()-ROW(tblContractForDeed[#Headers])-1)))</f>
        <v>31621.290000000048</v>
      </c>
      <c r="P133" s="431">
        <f>IF(tblContractForDeed[[#This Row],[Date]]="","",IF(tblContractForDeed[[#This Row],[Date]]&lt;cfdRateChangeDate,cfdRate1,cfdRate2))</f>
        <v>0.08</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3" s="265">
        <f>IF(tblContractForDeed[[#This Row],[Payment]]=0,0,MAX(0,MIN(tblContractForDeed[[#This Row],[Beg]],tblContractForDeed[[#This Row],[Payment]]-tblContractForDeed[[#This Row],[Int]])))</f>
        <v>1566.64</v>
      </c>
      <c r="S133" s="265">
        <f>IF(OR(tblContractForDeed[[#This Row],[Date]]&lt;cfdContractDate,tblContractForDeed[[#This Row],[Date]]&gt;cfdEndDate),0,ROUND(tblContractForDeed[[#This Row],[Beg]]*(tblContractForDeed[[#This Row],[Int Rate]]/12),2))</f>
        <v>210.81</v>
      </c>
      <c r="T133" s="265">
        <f>IF(tblContractForDeed[[#This Row],[Payment]]=0,0,$V$2)</f>
        <v>134.16999999999999</v>
      </c>
      <c r="U133" s="265">
        <f>IF(tblContractForDeed[[#This Row],[Princ]]=0,0,$V$3)</f>
        <v>0</v>
      </c>
      <c r="V133" s="265">
        <f>SUM(tblContractForDeed[[#This Row],[Princ]],tblContractForDeed[[#This Row],[Int]],tblContractForDeed[[#This Row],[Ins]],tblContractForDeed[[#This Row],[Taxes]])</f>
        <v>1911.6200000000001</v>
      </c>
      <c r="W133" s="265">
        <f>SUM(INDEX(tblContractForDeed[Princ],1):INDEX(tblContractForDeed[Princ],ROW()-ROW(tblContractForDeed[#Headers])))</f>
        <v>116445.34999999999</v>
      </c>
      <c r="X133" s="265">
        <f>IF(tblContractForDeed[[#This Row],[Beg]]&lt;=0,0,tblContractForDeed[[#This Row],[Beg]]-tblContractForDeed[[#This Row],[Princ]])</f>
        <v>30054.650000000049</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39">
        <f>IF(INDEX(tblContractForDeed[Payment],ROW()-ROW(tblBuyerOutputs[#Headers]))=0,0,INDEX(tblContractForDeed[Payment],ROW()-ROW(tblBuyerOutputs[#Headers]))-INDEX(tblSubjectToLoan[Payment],ROW()-ROW(tblBuyerOutputs[#Headers])))</f>
        <v>1777.45</v>
      </c>
      <c r="AA133"/>
      <c r="AB133" s="14">
        <f>IF(INDEX(tblContractForDeed[Payment],ROW()-ROW(tblBuyerOutputs[#Headers]))=0,0,INDEX(tblContractForDeed[Payment],ROW()-ROW(tblBuyerOutputs[#Headers]))-INDEX(tblSubjectToLoan[Payment],ROW()-ROW(tblBuyerOutputs[#Headers])))-IFERROR(tblBuyerOutputs[[#This Row],[PMI]],0)</f>
        <v>1777.45</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180819.34000000017</v>
      </c>
      <c r="AD133" s="265">
        <f>IF(INDEX(tblContractForDeed[End Bal],ROW()-ROW(tblBuyerOutputs[#Headers]))&lt;=0,0,($O$6+IF(ROW()=ROW(tblBuyerOutputs[#Headers])+1,0,INDEX(tblBuyerOutputs[Cumul Appr],ROW()-ROW(tblBuyerOutputs[#Headers])-1)))*$O$2/12)</f>
        <v>976.5216595761226</v>
      </c>
      <c r="AE133" s="587">
        <f>IF(INDEX(tblContractForDeed[End Bal],ROW()-ROW(tblBuyerOutputs[#Headers]))&lt;=0,0,IF(ROW()=ROW(tblBuyerOutputs[#Headers])+1,0,INDEX(tblBuyerOutputs[Cumul Appr],ROW()-ROW(tblBuyerOutputs[#Headers])-1))+tblBuyerOutputs[[#This Row],[Monthly Appr]])</f>
        <v>88841.719957845518</v>
      </c>
      <c r="AF133" s="22"/>
      <c r="AG133" s="14"/>
      <c r="AM133"/>
      <c r="AN133" s="14"/>
      <c r="AP133" s="265"/>
      <c r="AR133" s="14"/>
      <c r="AS133"/>
    </row>
    <row r="134" spans="1:45" x14ac:dyDescent="0.25">
      <c r="A134" s="561">
        <f t="shared" si="17"/>
        <v>49310</v>
      </c>
      <c r="B134" s="265">
        <f t="shared" si="18"/>
        <v>0</v>
      </c>
      <c r="C134" s="14">
        <f t="shared" si="14"/>
        <v>0</v>
      </c>
      <c r="D134" s="14">
        <f t="shared" si="19"/>
        <v>0</v>
      </c>
      <c r="E134" s="14">
        <f t="shared" si="15"/>
        <v>0</v>
      </c>
      <c r="F134" s="14">
        <f t="shared" si="27"/>
        <v>0</v>
      </c>
      <c r="G134" s="14">
        <f t="shared" si="27"/>
        <v>0</v>
      </c>
      <c r="H134" s="14">
        <f t="shared" si="28"/>
        <v>0</v>
      </c>
      <c r="I134" s="265">
        <f t="shared" si="22"/>
        <v>0</v>
      </c>
      <c r="J134" s="265">
        <f t="shared" si="23"/>
        <v>0</v>
      </c>
      <c r="K134" s="265">
        <f t="shared" si="20"/>
        <v>0</v>
      </c>
      <c r="L134" s="373">
        <f t="shared" si="26"/>
        <v>9</v>
      </c>
      <c r="M134" s="373">
        <f t="shared" si="21"/>
        <v>114</v>
      </c>
      <c r="N134" s="561">
        <f>INDEX(tblSubjectToLoan[Date],ROW()-ROW(tblContractForDeed[#Headers]))</f>
        <v>49310</v>
      </c>
      <c r="O134" s="265">
        <f>IF(ROW()=ROW(tblContractForDeed[#Headers])+1,$O$6,IF(INDEX(tblContractForDeed[End Bal],ROW()-ROW(tblContractForDeed[#Headers])-1)&lt;0,0,INDEX(tblContractForDeed[End Bal],ROW()-ROW(tblContractForDeed[#Headers])-1)))</f>
        <v>30054.650000000049</v>
      </c>
      <c r="P134" s="431">
        <f>IF(tblContractForDeed[[#This Row],[Date]]="","",IF(tblContractForDeed[[#This Row],[Date]]&lt;cfdRateChangeDate,cfdRate1,cfdRate2))</f>
        <v>0.08</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4" s="265">
        <f>IF(tblContractForDeed[[#This Row],[Payment]]=0,0,MAX(0,MIN(tblContractForDeed[[#This Row],[Beg]],tblContractForDeed[[#This Row],[Payment]]-tblContractForDeed[[#This Row],[Int]])))</f>
        <v>1577.0900000000001</v>
      </c>
      <c r="S134" s="265">
        <f>IF(OR(tblContractForDeed[[#This Row],[Date]]&lt;cfdContractDate,tblContractForDeed[[#This Row],[Date]]&gt;cfdEndDate),0,ROUND(tblContractForDeed[[#This Row],[Beg]]*(tblContractForDeed[[#This Row],[Int Rate]]/12),2))</f>
        <v>200.36</v>
      </c>
      <c r="T134" s="265">
        <f>IF(tblContractForDeed[[#This Row],[Payment]]=0,0,$V$2)</f>
        <v>134.16999999999999</v>
      </c>
      <c r="U134" s="265">
        <f>IF(tblContractForDeed[[#This Row],[Princ]]=0,0,$V$3)</f>
        <v>0</v>
      </c>
      <c r="V134" s="265">
        <f>SUM(tblContractForDeed[[#This Row],[Princ]],tblContractForDeed[[#This Row],[Int]],tblContractForDeed[[#This Row],[Ins]],tblContractForDeed[[#This Row],[Taxes]])</f>
        <v>1911.6200000000003</v>
      </c>
      <c r="W134" s="265">
        <f>SUM(INDEX(tblContractForDeed[Princ],1):INDEX(tblContractForDeed[Princ],ROW()-ROW(tblContractForDeed[#Headers])))</f>
        <v>118022.43999999999</v>
      </c>
      <c r="X134" s="265">
        <f>IF(tblContractForDeed[[#This Row],[Beg]]&lt;=0,0,tblContractForDeed[[#This Row],[Beg]]-tblContractForDeed[[#This Row],[Princ]])</f>
        <v>28477.560000000049</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39">
        <f>IF(INDEX(tblContractForDeed[Payment],ROW()-ROW(tblBuyerOutputs[#Headers]))=0,0,INDEX(tblContractForDeed[Payment],ROW()-ROW(tblBuyerOutputs[#Headers]))-INDEX(tblSubjectToLoan[Payment],ROW()-ROW(tblBuyerOutputs[#Headers])))</f>
        <v>1777.45</v>
      </c>
      <c r="AA134"/>
      <c r="AB134" s="14">
        <f>IF(INDEX(tblContractForDeed[Payment],ROW()-ROW(tblBuyerOutputs[#Headers]))=0,0,INDEX(tblContractForDeed[Payment],ROW()-ROW(tblBuyerOutputs[#Headers]))-INDEX(tblSubjectToLoan[Payment],ROW()-ROW(tblBuyerOutputs[#Headers])))-IFERROR(tblBuyerOutputs[[#This Row],[PMI]],0)</f>
        <v>1777.45</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182596.79000000018</v>
      </c>
      <c r="AD134" s="265">
        <f>IF(INDEX(tblContractForDeed[End Bal],ROW()-ROW(tblBuyerOutputs[#Headers]))&lt;=0,0,($O$6+IF(ROW()=ROW(tblBuyerOutputs[#Headers])+1,0,INDEX(tblBuyerOutputs[Cumul Appr],ROW()-ROW(tblBuyerOutputs[#Headers])-1)))*$O$2/12)</f>
        <v>980.59049982435636</v>
      </c>
      <c r="AE134" s="587">
        <f>IF(INDEX(tblContractForDeed[End Bal],ROW()-ROW(tblBuyerOutputs[#Headers]))&lt;=0,0,IF(ROW()=ROW(tblBuyerOutputs[#Headers])+1,0,INDEX(tblBuyerOutputs[Cumul Appr],ROW()-ROW(tblBuyerOutputs[#Headers])-1))+tblBuyerOutputs[[#This Row],[Monthly Appr]])</f>
        <v>89822.310457669868</v>
      </c>
      <c r="AF134" s="22"/>
      <c r="AG134" s="14"/>
      <c r="AM134"/>
      <c r="AN134" s="14"/>
      <c r="AP134" s="265"/>
      <c r="AR134" s="14"/>
      <c r="AS134"/>
    </row>
    <row r="135" spans="1:45" x14ac:dyDescent="0.25">
      <c r="A135" s="561">
        <f t="shared" si="17"/>
        <v>49341</v>
      </c>
      <c r="B135" s="265">
        <f t="shared" si="18"/>
        <v>0</v>
      </c>
      <c r="C135" s="14">
        <f t="shared" si="14"/>
        <v>0</v>
      </c>
      <c r="D135" s="14">
        <f t="shared" si="19"/>
        <v>0</v>
      </c>
      <c r="E135" s="14">
        <f t="shared" si="15"/>
        <v>0</v>
      </c>
      <c r="F135" s="14">
        <f t="shared" si="27"/>
        <v>0</v>
      </c>
      <c r="G135" s="14">
        <f t="shared" si="27"/>
        <v>0</v>
      </c>
      <c r="H135" s="14">
        <f t="shared" si="28"/>
        <v>0</v>
      </c>
      <c r="I135" s="265">
        <f t="shared" si="22"/>
        <v>0</v>
      </c>
      <c r="J135" s="265">
        <f t="shared" si="23"/>
        <v>0</v>
      </c>
      <c r="K135" s="265">
        <f t="shared" si="20"/>
        <v>0</v>
      </c>
      <c r="L135" s="373">
        <f t="shared" si="26"/>
        <v>9</v>
      </c>
      <c r="M135" s="373">
        <f t="shared" si="21"/>
        <v>115</v>
      </c>
      <c r="N135" s="561">
        <f>INDEX(tblSubjectToLoan[Date],ROW()-ROW(tblContractForDeed[#Headers]))</f>
        <v>49341</v>
      </c>
      <c r="O135" s="265">
        <f>IF(ROW()=ROW(tblContractForDeed[#Headers])+1,$O$6,IF(INDEX(tblContractForDeed[End Bal],ROW()-ROW(tblContractForDeed[#Headers])-1)&lt;0,0,INDEX(tblContractForDeed[End Bal],ROW()-ROW(tblContractForDeed[#Headers])-1)))</f>
        <v>28477.560000000049</v>
      </c>
      <c r="P135" s="431">
        <f>IF(tblContractForDeed[[#This Row],[Date]]="","",IF(tblContractForDeed[[#This Row],[Date]]&lt;cfdRateChangeDate,cfdRate1,cfdRate2))</f>
        <v>0.08</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5" s="265">
        <f>IF(tblContractForDeed[[#This Row],[Payment]]=0,0,MAX(0,MIN(tblContractForDeed[[#This Row],[Beg]],tblContractForDeed[[#This Row],[Payment]]-tblContractForDeed[[#This Row],[Int]])))</f>
        <v>1587.6000000000001</v>
      </c>
      <c r="S135" s="265">
        <f>IF(OR(tblContractForDeed[[#This Row],[Date]]&lt;cfdContractDate,tblContractForDeed[[#This Row],[Date]]&gt;cfdEndDate),0,ROUND(tblContractForDeed[[#This Row],[Beg]]*(tblContractForDeed[[#This Row],[Int Rate]]/12),2))</f>
        <v>189.85</v>
      </c>
      <c r="T135" s="265">
        <f>IF(tblContractForDeed[[#This Row],[Payment]]=0,0,$V$2)</f>
        <v>134.16999999999999</v>
      </c>
      <c r="U135" s="265">
        <f>IF(tblContractForDeed[[#This Row],[Princ]]=0,0,$V$3)</f>
        <v>0</v>
      </c>
      <c r="V135" s="265">
        <f>SUM(tblContractForDeed[[#This Row],[Princ]],tblContractForDeed[[#This Row],[Int]],tblContractForDeed[[#This Row],[Ins]],tblContractForDeed[[#This Row],[Taxes]])</f>
        <v>1911.6200000000001</v>
      </c>
      <c r="W135" s="265">
        <f>SUM(INDEX(tblContractForDeed[Princ],1):INDEX(tblContractForDeed[Princ],ROW()-ROW(tblContractForDeed[#Headers])))</f>
        <v>119610.04</v>
      </c>
      <c r="X135" s="265">
        <f>IF(tblContractForDeed[[#This Row],[Beg]]&lt;=0,0,tblContractForDeed[[#This Row],[Beg]]-tblContractForDeed[[#This Row],[Princ]])</f>
        <v>26889.96000000005</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39">
        <f>IF(INDEX(tblContractForDeed[Payment],ROW()-ROW(tblBuyerOutputs[#Headers]))=0,0,INDEX(tblContractForDeed[Payment],ROW()-ROW(tblBuyerOutputs[#Headers]))-INDEX(tblSubjectToLoan[Payment],ROW()-ROW(tblBuyerOutputs[#Headers])))</f>
        <v>1777.45</v>
      </c>
      <c r="AA135"/>
      <c r="AB135" s="14">
        <f>IF(INDEX(tblContractForDeed[Payment],ROW()-ROW(tblBuyerOutputs[#Headers]))=0,0,INDEX(tblContractForDeed[Payment],ROW()-ROW(tblBuyerOutputs[#Headers]))-INDEX(tblSubjectToLoan[Payment],ROW()-ROW(tblBuyerOutputs[#Headers])))-IFERROR(tblBuyerOutputs[[#This Row],[PMI]],0)</f>
        <v>1777.45</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184374.24000000019</v>
      </c>
      <c r="AD135" s="265">
        <f>IF(INDEX(tblContractForDeed[End Bal],ROW()-ROW(tblBuyerOutputs[#Headers]))&lt;=0,0,($O$6+IF(ROW()=ROW(tblBuyerOutputs[#Headers])+1,0,INDEX(tblBuyerOutputs[Cumul Appr],ROW()-ROW(tblBuyerOutputs[#Headers])-1)))*$O$2/12)</f>
        <v>984.67629357362455</v>
      </c>
      <c r="AE135" s="587">
        <f>IF(INDEX(tblContractForDeed[End Bal],ROW()-ROW(tblBuyerOutputs[#Headers]))&lt;=0,0,IF(ROW()=ROW(tblBuyerOutputs[#Headers])+1,0,INDEX(tblBuyerOutputs[Cumul Appr],ROW()-ROW(tblBuyerOutputs[#Headers])-1))+tblBuyerOutputs[[#This Row],[Monthly Appr]])</f>
        <v>90806.986751243487</v>
      </c>
      <c r="AF135" s="22"/>
      <c r="AG135" s="14"/>
      <c r="AM135"/>
      <c r="AN135" s="14"/>
      <c r="AP135" s="265"/>
      <c r="AR135" s="14"/>
      <c r="AS135"/>
    </row>
    <row r="136" spans="1:45" x14ac:dyDescent="0.25">
      <c r="A136" s="561">
        <f t="shared" si="17"/>
        <v>49369</v>
      </c>
      <c r="B136" s="265">
        <f t="shared" si="18"/>
        <v>0</v>
      </c>
      <c r="C136" s="14">
        <f t="shared" si="14"/>
        <v>0</v>
      </c>
      <c r="D136" s="14">
        <f t="shared" si="19"/>
        <v>0</v>
      </c>
      <c r="E136" s="14">
        <f t="shared" si="15"/>
        <v>0</v>
      </c>
      <c r="F136" s="14">
        <f t="shared" si="27"/>
        <v>0</v>
      </c>
      <c r="G136" s="14">
        <f t="shared" si="27"/>
        <v>0</v>
      </c>
      <c r="H136" s="14">
        <f t="shared" si="28"/>
        <v>0</v>
      </c>
      <c r="I136" s="265">
        <f t="shared" si="22"/>
        <v>0</v>
      </c>
      <c r="J136" s="265">
        <f t="shared" si="23"/>
        <v>0</v>
      </c>
      <c r="K136" s="265">
        <f t="shared" si="20"/>
        <v>0</v>
      </c>
      <c r="L136" s="373">
        <f t="shared" si="26"/>
        <v>9</v>
      </c>
      <c r="M136" s="373">
        <f t="shared" si="21"/>
        <v>116</v>
      </c>
      <c r="N136" s="561">
        <f>INDEX(tblSubjectToLoan[Date],ROW()-ROW(tblContractForDeed[#Headers]))</f>
        <v>49369</v>
      </c>
      <c r="O136" s="265">
        <f>IF(ROW()=ROW(tblContractForDeed[#Headers])+1,$O$6,IF(INDEX(tblContractForDeed[End Bal],ROW()-ROW(tblContractForDeed[#Headers])-1)&lt;0,0,INDEX(tblContractForDeed[End Bal],ROW()-ROW(tblContractForDeed[#Headers])-1)))</f>
        <v>26889.96000000005</v>
      </c>
      <c r="P136" s="431">
        <f>IF(tblContractForDeed[[#This Row],[Date]]="","",IF(tblContractForDeed[[#This Row],[Date]]&lt;cfdRateChangeDate,cfdRate1,cfdRate2))</f>
        <v>0.08</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6" s="265">
        <f>IF(tblContractForDeed[[#This Row],[Payment]]=0,0,MAX(0,MIN(tblContractForDeed[[#This Row],[Beg]],tblContractForDeed[[#This Row],[Payment]]-tblContractForDeed[[#This Row],[Int]])))</f>
        <v>1598.18</v>
      </c>
      <c r="S136" s="265">
        <f>IF(OR(tblContractForDeed[[#This Row],[Date]]&lt;cfdContractDate,tblContractForDeed[[#This Row],[Date]]&gt;cfdEndDate),0,ROUND(tblContractForDeed[[#This Row],[Beg]]*(tblContractForDeed[[#This Row],[Int Rate]]/12),2))</f>
        <v>179.27</v>
      </c>
      <c r="T136" s="265">
        <f>IF(tblContractForDeed[[#This Row],[Payment]]=0,0,$V$2)</f>
        <v>134.16999999999999</v>
      </c>
      <c r="U136" s="265">
        <f>IF(tblContractForDeed[[#This Row],[Princ]]=0,0,$V$3)</f>
        <v>0</v>
      </c>
      <c r="V136" s="265">
        <f>SUM(tblContractForDeed[[#This Row],[Princ]],tblContractForDeed[[#This Row],[Int]],tblContractForDeed[[#This Row],[Ins]],tblContractForDeed[[#This Row],[Taxes]])</f>
        <v>1911.6200000000001</v>
      </c>
      <c r="W136" s="265">
        <f>SUM(INDEX(tblContractForDeed[Princ],1):INDEX(tblContractForDeed[Princ],ROW()-ROW(tblContractForDeed[#Headers])))</f>
        <v>121208.21999999999</v>
      </c>
      <c r="X136" s="265">
        <f>IF(tblContractForDeed[[#This Row],[Beg]]&lt;=0,0,tblContractForDeed[[#This Row],[Beg]]-tblContractForDeed[[#This Row],[Princ]])</f>
        <v>25291.78000000005</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39">
        <f>IF(INDEX(tblContractForDeed[Payment],ROW()-ROW(tblBuyerOutputs[#Headers]))=0,0,INDEX(tblContractForDeed[Payment],ROW()-ROW(tblBuyerOutputs[#Headers]))-INDEX(tblSubjectToLoan[Payment],ROW()-ROW(tblBuyerOutputs[#Headers])))</f>
        <v>1777.45</v>
      </c>
      <c r="AA136"/>
      <c r="AB136" s="14">
        <f>IF(INDEX(tblContractForDeed[Payment],ROW()-ROW(tblBuyerOutputs[#Headers]))=0,0,INDEX(tblContractForDeed[Payment],ROW()-ROW(tblBuyerOutputs[#Headers]))-INDEX(tblSubjectToLoan[Payment],ROW()-ROW(tblBuyerOutputs[#Headers])))-IFERROR(tblBuyerOutputs[[#This Row],[PMI]],0)</f>
        <v>1777.45</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186151.69000000021</v>
      </c>
      <c r="AD136" s="265">
        <f>IF(INDEX(tblContractForDeed[End Bal],ROW()-ROW(tblBuyerOutputs[#Headers]))&lt;=0,0,($O$6+IF(ROW()=ROW(tblBuyerOutputs[#Headers])+1,0,INDEX(tblBuyerOutputs[Cumul Appr],ROW()-ROW(tblBuyerOutputs[#Headers])-1)))*$O$2/12)</f>
        <v>988.7791114635146</v>
      </c>
      <c r="AE136" s="587">
        <f>IF(INDEX(tblContractForDeed[End Bal],ROW()-ROW(tblBuyerOutputs[#Headers]))&lt;=0,0,IF(ROW()=ROW(tblBuyerOutputs[#Headers])+1,0,INDEX(tblBuyerOutputs[Cumul Appr],ROW()-ROW(tblBuyerOutputs[#Headers])-1))+tblBuyerOutputs[[#This Row],[Monthly Appr]])</f>
        <v>91795.765862707005</v>
      </c>
      <c r="AF136" s="22"/>
      <c r="AG136" s="14"/>
      <c r="AM136"/>
      <c r="AN136" s="14"/>
      <c r="AP136" s="265"/>
      <c r="AR136" s="14"/>
      <c r="AS136"/>
    </row>
    <row r="137" spans="1:45" x14ac:dyDescent="0.25">
      <c r="A137" s="561">
        <f t="shared" si="17"/>
        <v>49400</v>
      </c>
      <c r="B137" s="265">
        <f t="shared" si="18"/>
        <v>0</v>
      </c>
      <c r="C137" s="14">
        <f t="shared" si="14"/>
        <v>0</v>
      </c>
      <c r="D137" s="14">
        <f t="shared" si="19"/>
        <v>0</v>
      </c>
      <c r="E137" s="14">
        <f t="shared" si="15"/>
        <v>0</v>
      </c>
      <c r="F137" s="14">
        <f t="shared" si="27"/>
        <v>0</v>
      </c>
      <c r="G137" s="14">
        <f t="shared" si="27"/>
        <v>0</v>
      </c>
      <c r="H137" s="14">
        <f t="shared" si="28"/>
        <v>0</v>
      </c>
      <c r="I137" s="265">
        <f t="shared" si="22"/>
        <v>0</v>
      </c>
      <c r="J137" s="265">
        <f t="shared" si="23"/>
        <v>0</v>
      </c>
      <c r="K137" s="265">
        <f t="shared" si="20"/>
        <v>0</v>
      </c>
      <c r="L137" s="373">
        <f t="shared" si="26"/>
        <v>9</v>
      </c>
      <c r="M137" s="373">
        <f t="shared" si="21"/>
        <v>117</v>
      </c>
      <c r="N137" s="561">
        <f>INDEX(tblSubjectToLoan[Date],ROW()-ROW(tblContractForDeed[#Headers]))</f>
        <v>49400</v>
      </c>
      <c r="O137" s="265">
        <f>IF(ROW()=ROW(tblContractForDeed[#Headers])+1,$O$6,IF(INDEX(tblContractForDeed[End Bal],ROW()-ROW(tblContractForDeed[#Headers])-1)&lt;0,0,INDEX(tblContractForDeed[End Bal],ROW()-ROW(tblContractForDeed[#Headers])-1)))</f>
        <v>25291.78000000005</v>
      </c>
      <c r="P137" s="431">
        <f>IF(tblContractForDeed[[#This Row],[Date]]="","",IF(tblContractForDeed[[#This Row],[Date]]&lt;cfdRateChangeDate,cfdRate1,cfdRate2))</f>
        <v>0.08</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7" s="265">
        <f>IF(tblContractForDeed[[#This Row],[Payment]]=0,0,MAX(0,MIN(tblContractForDeed[[#This Row],[Beg]],tblContractForDeed[[#This Row],[Payment]]-tblContractForDeed[[#This Row],[Int]])))</f>
        <v>1608.8400000000001</v>
      </c>
      <c r="S137" s="265">
        <f>IF(OR(tblContractForDeed[[#This Row],[Date]]&lt;cfdContractDate,tblContractForDeed[[#This Row],[Date]]&gt;cfdEndDate),0,ROUND(tblContractForDeed[[#This Row],[Beg]]*(tblContractForDeed[[#This Row],[Int Rate]]/12),2))</f>
        <v>168.61</v>
      </c>
      <c r="T137" s="265">
        <f>IF(tblContractForDeed[[#This Row],[Payment]]=0,0,$V$2)</f>
        <v>134.16999999999999</v>
      </c>
      <c r="U137" s="265">
        <f>IF(tblContractForDeed[[#This Row],[Princ]]=0,0,$V$3)</f>
        <v>0</v>
      </c>
      <c r="V137" s="265">
        <f>SUM(tblContractForDeed[[#This Row],[Princ]],tblContractForDeed[[#This Row],[Int]],tblContractForDeed[[#This Row],[Ins]],tblContractForDeed[[#This Row],[Taxes]])</f>
        <v>1911.6200000000003</v>
      </c>
      <c r="W137" s="265">
        <f>SUM(INDEX(tblContractForDeed[Princ],1):INDEX(tblContractForDeed[Princ],ROW()-ROW(tblContractForDeed[#Headers])))</f>
        <v>122817.05999999998</v>
      </c>
      <c r="X137" s="265">
        <f>IF(tblContractForDeed[[#This Row],[Beg]]&lt;=0,0,tblContractForDeed[[#This Row],[Beg]]-tblContractForDeed[[#This Row],[Princ]])</f>
        <v>23682.94000000005</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39">
        <f>IF(INDEX(tblContractForDeed[Payment],ROW()-ROW(tblBuyerOutputs[#Headers]))=0,0,INDEX(tblContractForDeed[Payment],ROW()-ROW(tblBuyerOutputs[#Headers]))-INDEX(tblSubjectToLoan[Payment],ROW()-ROW(tblBuyerOutputs[#Headers])))</f>
        <v>1777.45</v>
      </c>
      <c r="AA137"/>
      <c r="AB137" s="14">
        <f>IF(INDEX(tblContractForDeed[Payment],ROW()-ROW(tblBuyerOutputs[#Headers]))=0,0,INDEX(tblContractForDeed[Payment],ROW()-ROW(tblBuyerOutputs[#Headers]))-INDEX(tblSubjectToLoan[Payment],ROW()-ROW(tblBuyerOutputs[#Headers])))-IFERROR(tblBuyerOutputs[[#This Row],[PMI]],0)</f>
        <v>1777.45</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187929.14000000022</v>
      </c>
      <c r="AD137" s="265">
        <f>IF(INDEX(tblContractForDeed[End Bal],ROW()-ROW(tblBuyerOutputs[#Headers]))&lt;=0,0,($O$6+IF(ROW()=ROW(tblBuyerOutputs[#Headers])+1,0,INDEX(tblBuyerOutputs[Cumul Appr],ROW()-ROW(tblBuyerOutputs[#Headers])-1)))*$O$2/12)</f>
        <v>992.89902442794585</v>
      </c>
      <c r="AE137" s="587">
        <f>IF(INDEX(tblContractForDeed[End Bal],ROW()-ROW(tblBuyerOutputs[#Headers]))&lt;=0,0,IF(ROW()=ROW(tblBuyerOutputs[#Headers])+1,0,INDEX(tblBuyerOutputs[Cumul Appr],ROW()-ROW(tblBuyerOutputs[#Headers])-1))+tblBuyerOutputs[[#This Row],[Monthly Appr]])</f>
        <v>92788.664887134946</v>
      </c>
      <c r="AF137" s="22"/>
      <c r="AG137" s="14"/>
      <c r="AM137"/>
      <c r="AN137" s="14"/>
      <c r="AP137" s="265"/>
      <c r="AR137" s="14"/>
      <c r="AS137"/>
    </row>
    <row r="138" spans="1:45" x14ac:dyDescent="0.25">
      <c r="A138" s="561">
        <f t="shared" si="17"/>
        <v>49430</v>
      </c>
      <c r="B138" s="265">
        <f t="shared" si="18"/>
        <v>0</v>
      </c>
      <c r="C138" s="14">
        <f t="shared" si="14"/>
        <v>0</v>
      </c>
      <c r="D138" s="14">
        <f t="shared" si="19"/>
        <v>0</v>
      </c>
      <c r="E138" s="14">
        <f t="shared" si="15"/>
        <v>0</v>
      </c>
      <c r="F138" s="14">
        <f t="shared" si="27"/>
        <v>0</v>
      </c>
      <c r="G138" s="14">
        <f t="shared" si="27"/>
        <v>0</v>
      </c>
      <c r="H138" s="14">
        <f t="shared" si="28"/>
        <v>0</v>
      </c>
      <c r="I138" s="265">
        <f t="shared" si="22"/>
        <v>0</v>
      </c>
      <c r="J138" s="265">
        <f t="shared" si="23"/>
        <v>0</v>
      </c>
      <c r="K138" s="265">
        <f t="shared" si="20"/>
        <v>0</v>
      </c>
      <c r="L138" s="373">
        <f t="shared" si="26"/>
        <v>9</v>
      </c>
      <c r="M138" s="373">
        <f t="shared" si="21"/>
        <v>118</v>
      </c>
      <c r="N138" s="561">
        <f>INDEX(tblSubjectToLoan[Date],ROW()-ROW(tblContractForDeed[#Headers]))</f>
        <v>49430</v>
      </c>
      <c r="O138" s="265">
        <f>IF(ROW()=ROW(tblContractForDeed[#Headers])+1,$O$6,IF(INDEX(tblContractForDeed[End Bal],ROW()-ROW(tblContractForDeed[#Headers])-1)&lt;0,0,INDEX(tblContractForDeed[End Bal],ROW()-ROW(tblContractForDeed[#Headers])-1)))</f>
        <v>23682.94000000005</v>
      </c>
      <c r="P138" s="431">
        <f>IF(tblContractForDeed[[#This Row],[Date]]="","",IF(tblContractForDeed[[#This Row],[Date]]&lt;cfdRateChangeDate,cfdRate1,cfdRate2))</f>
        <v>0.08</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8" s="265">
        <f>IF(tblContractForDeed[[#This Row],[Payment]]=0,0,MAX(0,MIN(tblContractForDeed[[#This Row],[Beg]],tblContractForDeed[[#This Row],[Payment]]-tblContractForDeed[[#This Row],[Int]])))</f>
        <v>1619.56</v>
      </c>
      <c r="S138" s="265">
        <f>IF(OR(tblContractForDeed[[#This Row],[Date]]&lt;cfdContractDate,tblContractForDeed[[#This Row],[Date]]&gt;cfdEndDate),0,ROUND(tblContractForDeed[[#This Row],[Beg]]*(tblContractForDeed[[#This Row],[Int Rate]]/12),2))</f>
        <v>157.88999999999999</v>
      </c>
      <c r="T138" s="265">
        <f>IF(tblContractForDeed[[#This Row],[Payment]]=0,0,$V$2)</f>
        <v>134.16999999999999</v>
      </c>
      <c r="U138" s="265">
        <f>IF(tblContractForDeed[[#This Row],[Princ]]=0,0,$V$3)</f>
        <v>0</v>
      </c>
      <c r="V138" s="265">
        <f>SUM(tblContractForDeed[[#This Row],[Princ]],tblContractForDeed[[#This Row],[Int]],tblContractForDeed[[#This Row],[Ins]],tblContractForDeed[[#This Row],[Taxes]])</f>
        <v>1911.62</v>
      </c>
      <c r="W138" s="265">
        <f>SUM(INDEX(tblContractForDeed[Princ],1):INDEX(tblContractForDeed[Princ],ROW()-ROW(tblContractForDeed[#Headers])))</f>
        <v>124436.61999999998</v>
      </c>
      <c r="X138" s="265">
        <f>IF(tblContractForDeed[[#This Row],[Beg]]&lt;=0,0,tblContractForDeed[[#This Row],[Beg]]-tblContractForDeed[[#This Row],[Princ]])</f>
        <v>22063.380000000048</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39">
        <f>IF(INDEX(tblContractForDeed[Payment],ROW()-ROW(tblBuyerOutputs[#Headers]))=0,0,INDEX(tblContractForDeed[Payment],ROW()-ROW(tblBuyerOutputs[#Headers]))-INDEX(tblSubjectToLoan[Payment],ROW()-ROW(tblBuyerOutputs[#Headers])))</f>
        <v>1777.45</v>
      </c>
      <c r="AA138"/>
      <c r="AB138" s="14">
        <f>IF(INDEX(tblContractForDeed[Payment],ROW()-ROW(tblBuyerOutputs[#Headers]))=0,0,INDEX(tblContractForDeed[Payment],ROW()-ROW(tblBuyerOutputs[#Headers]))-INDEX(tblSubjectToLoan[Payment],ROW()-ROW(tblBuyerOutputs[#Headers])))-IFERROR(tblBuyerOutputs[[#This Row],[PMI]],0)</f>
        <v>1777.45</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189706.59000000023</v>
      </c>
      <c r="AD138" s="265">
        <f>IF(INDEX(tblContractForDeed[End Bal],ROW()-ROW(tblBuyerOutputs[#Headers]))&lt;=0,0,($O$6+IF(ROW()=ROW(tblBuyerOutputs[#Headers])+1,0,INDEX(tblBuyerOutputs[Cumul Appr],ROW()-ROW(tblBuyerOutputs[#Headers])-1)))*$O$2/12)</f>
        <v>997.03610369639557</v>
      </c>
      <c r="AE138" s="587">
        <f>IF(INDEX(tblContractForDeed[End Bal],ROW()-ROW(tblBuyerOutputs[#Headers]))&lt;=0,0,IF(ROW()=ROW(tblBuyerOutputs[#Headers])+1,0,INDEX(tblBuyerOutputs[Cumul Appr],ROW()-ROW(tblBuyerOutputs[#Headers])-1))+tblBuyerOutputs[[#This Row],[Monthly Appr]])</f>
        <v>93785.700990831348</v>
      </c>
      <c r="AF138" s="22"/>
      <c r="AG138" s="14"/>
      <c r="AM138"/>
      <c r="AN138" s="14"/>
      <c r="AP138" s="265"/>
      <c r="AR138" s="14"/>
      <c r="AS138"/>
    </row>
    <row r="139" spans="1:45" ht="15.75" thickBot="1" x14ac:dyDescent="0.3">
      <c r="A139" s="562">
        <f t="shared" si="17"/>
        <v>49461</v>
      </c>
      <c r="B139" s="316">
        <f t="shared" si="18"/>
        <v>0</v>
      </c>
      <c r="C139" s="21">
        <f t="shared" si="14"/>
        <v>0</v>
      </c>
      <c r="D139" s="21">
        <f t="shared" si="19"/>
        <v>0</v>
      </c>
      <c r="E139" s="21">
        <f t="shared" si="15"/>
        <v>0</v>
      </c>
      <c r="F139" s="21">
        <f t="shared" si="27"/>
        <v>0</v>
      </c>
      <c r="G139" s="21">
        <f t="shared" si="27"/>
        <v>0</v>
      </c>
      <c r="H139" s="21">
        <f t="shared" si="28"/>
        <v>0</v>
      </c>
      <c r="I139" s="316">
        <f t="shared" si="22"/>
        <v>0</v>
      </c>
      <c r="J139" s="316">
        <f t="shared" si="23"/>
        <v>0</v>
      </c>
      <c r="K139" s="316">
        <f t="shared" si="20"/>
        <v>0</v>
      </c>
      <c r="L139" s="374">
        <f t="shared" si="26"/>
        <v>9</v>
      </c>
      <c r="M139" s="374">
        <f t="shared" si="21"/>
        <v>119</v>
      </c>
      <c r="N139" s="562">
        <f>INDEX(tblSubjectToLoan[Date],ROW()-ROW(tblContractForDeed[#Headers]))</f>
        <v>49461</v>
      </c>
      <c r="O139" s="316">
        <f>IF(ROW()=ROW(tblContractForDeed[#Headers])+1,$O$6,IF(INDEX(tblContractForDeed[End Bal],ROW()-ROW(tblContractForDeed[#Headers])-1)&lt;0,0,INDEX(tblContractForDeed[End Bal],ROW()-ROW(tblContractForDeed[#Headers])-1)))</f>
        <v>22063.380000000048</v>
      </c>
      <c r="P139" s="585">
        <f>IF(tblContractForDeed[[#This Row],[Date]]="","",IF(tblContractForDeed[[#This Row],[Date]]&lt;cfdRateChangeDate,cfdRate1,cfdRate2))</f>
        <v>0.08</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9" s="316">
        <f>IF(tblContractForDeed[[#This Row],[Payment]]=0,0,MAX(0,MIN(tblContractForDeed[[#This Row],[Beg]],tblContractForDeed[[#This Row],[Payment]]-tblContractForDeed[[#This Row],[Int]])))</f>
        <v>1630.3600000000001</v>
      </c>
      <c r="S139" s="316">
        <f>IF(OR(tblContractForDeed[[#This Row],[Date]]&lt;cfdContractDate,tblContractForDeed[[#This Row],[Date]]&gt;cfdEndDate),0,ROUND(tblContractForDeed[[#This Row],[Beg]]*(tblContractForDeed[[#This Row],[Int Rate]]/12),2))</f>
        <v>147.09</v>
      </c>
      <c r="T139" s="316">
        <f>IF(tblContractForDeed[[#This Row],[Payment]]=0,0,$V$2)</f>
        <v>134.16999999999999</v>
      </c>
      <c r="U139" s="316">
        <f>IF(tblContractForDeed[[#This Row],[Princ]]=0,0,$V$3)</f>
        <v>0</v>
      </c>
      <c r="V139" s="316">
        <f>SUM(tblContractForDeed[[#This Row],[Princ]],tblContractForDeed[[#This Row],[Int]],tblContractForDeed[[#This Row],[Ins]],tblContractForDeed[[#This Row],[Taxes]])</f>
        <v>1911.6200000000001</v>
      </c>
      <c r="W139" s="316">
        <f>SUM(INDEX(tblContractForDeed[Princ],1):INDEX(tblContractForDeed[Princ],ROW()-ROW(tblContractForDeed[#Headers])))</f>
        <v>126066.97999999998</v>
      </c>
      <c r="X139" s="316">
        <f>IF(tblContractForDeed[[#This Row],[Beg]]&lt;=0,0,tblContractForDeed[[#This Row],[Beg]]-tblContractForDeed[[#This Row],[Princ]])</f>
        <v>20433.020000000048</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0">
        <f>IF(INDEX(tblContractForDeed[Payment],ROW()-ROW(tblBuyerOutputs[#Headers]))=0,0,INDEX(tblContractForDeed[Payment],ROW()-ROW(tblBuyerOutputs[#Headers]))-INDEX(tblSubjectToLoan[Payment],ROW()-ROW(tblBuyerOutputs[#Headers])))</f>
        <v>1777.45</v>
      </c>
      <c r="AA139" s="23"/>
      <c r="AB139" s="21">
        <f>IF(INDEX(tblContractForDeed[Payment],ROW()-ROW(tblBuyerOutputs[#Headers]))=0,0,INDEX(tblContractForDeed[Payment],ROW()-ROW(tblBuyerOutputs[#Headers]))-INDEX(tblSubjectToLoan[Payment],ROW()-ROW(tblBuyerOutputs[#Headers])))-IFERROR(tblBuyerOutputs[[#This Row],[PMI]],0)</f>
        <v>1777.45</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191484.04000000024</v>
      </c>
      <c r="AD139" s="316">
        <f>IF(INDEX(tblContractForDeed[End Bal],ROW()-ROW(tblBuyerOutputs[#Headers]))&lt;=0,0,($O$6+IF(ROW()=ROW(tblBuyerOutputs[#Headers])+1,0,INDEX(tblBuyerOutputs[Cumul Appr],ROW()-ROW(tblBuyerOutputs[#Headers])-1)))*$O$2/12)</f>
        <v>1001.1904207951308</v>
      </c>
      <c r="AE139" s="588">
        <f>IF(INDEX(tblContractForDeed[End Bal],ROW()-ROW(tblBuyerOutputs[#Headers]))&lt;=0,0,IF(ROW()=ROW(tblBuyerOutputs[#Headers])+1,0,INDEX(tblBuyerOutputs[Cumul Appr],ROW()-ROW(tblBuyerOutputs[#Headers])-1))+tblBuyerOutputs[[#This Row],[Monthly Appr]])</f>
        <v>94786.891411626479</v>
      </c>
      <c r="AF139" s="22"/>
      <c r="AG139" s="14"/>
      <c r="AM139"/>
      <c r="AN139" s="14"/>
      <c r="AP139" s="265"/>
      <c r="AR139" s="14"/>
      <c r="AS139"/>
    </row>
    <row r="140" spans="1:45" x14ac:dyDescent="0.25">
      <c r="A140" s="561">
        <f t="shared" si="17"/>
        <v>49491</v>
      </c>
      <c r="B140" s="265">
        <f t="shared" si="18"/>
        <v>0</v>
      </c>
      <c r="C140" s="14">
        <f t="shared" si="14"/>
        <v>0</v>
      </c>
      <c r="D140" s="14">
        <f t="shared" si="19"/>
        <v>0</v>
      </c>
      <c r="E140" s="14">
        <f t="shared" si="15"/>
        <v>0</v>
      </c>
      <c r="F140" s="14">
        <f t="shared" si="27"/>
        <v>0</v>
      </c>
      <c r="G140" s="14">
        <f t="shared" si="27"/>
        <v>0</v>
      </c>
      <c r="H140" s="14">
        <f t="shared" si="28"/>
        <v>0</v>
      </c>
      <c r="I140" s="265">
        <f t="shared" si="22"/>
        <v>0</v>
      </c>
      <c r="J140" s="265">
        <f t="shared" si="23"/>
        <v>0</v>
      </c>
      <c r="K140" s="265">
        <f t="shared" si="20"/>
        <v>0</v>
      </c>
      <c r="L140" s="373">
        <f t="shared" si="26"/>
        <v>10</v>
      </c>
      <c r="M140" s="373">
        <f t="shared" si="21"/>
        <v>120</v>
      </c>
      <c r="N140" s="561">
        <f>INDEX(tblSubjectToLoan[Date],ROW()-ROW(tblContractForDeed[#Headers]))</f>
        <v>49491</v>
      </c>
      <c r="O140" s="265">
        <f>IF(ROW()=ROW(tblContractForDeed[#Headers])+1,$O$6,IF(INDEX(tblContractForDeed[End Bal],ROW()-ROW(tblContractForDeed[#Headers])-1)&lt;0,0,INDEX(tblContractForDeed[End Bal],ROW()-ROW(tblContractForDeed[#Headers])-1)))</f>
        <v>20433.020000000048</v>
      </c>
      <c r="P140" s="431">
        <f>IF(tblContractForDeed[[#This Row],[Date]]="","",IF(tblContractForDeed[[#This Row],[Date]]&lt;cfdRateChangeDate,cfdRate1,cfdRate2))</f>
        <v>0.08</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0" s="265">
        <f>IF(tblContractForDeed[[#This Row],[Payment]]=0,0,MAX(0,MIN(tblContractForDeed[[#This Row],[Beg]],tblContractForDeed[[#This Row],[Payment]]-tblContractForDeed[[#This Row],[Int]])))</f>
        <v>1641.23</v>
      </c>
      <c r="S140" s="265">
        <f>IF(OR(tblContractForDeed[[#This Row],[Date]]&lt;cfdContractDate,tblContractForDeed[[#This Row],[Date]]&gt;cfdEndDate),0,ROUND(tblContractForDeed[[#This Row],[Beg]]*(tblContractForDeed[[#This Row],[Int Rate]]/12),2))</f>
        <v>136.22</v>
      </c>
      <c r="T140" s="265">
        <f>IF(tblContractForDeed[[#This Row],[Payment]]=0,0,$V$2)</f>
        <v>134.16999999999999</v>
      </c>
      <c r="U140" s="265">
        <f>IF(tblContractForDeed[[#This Row],[Princ]]=0,0,$V$3)</f>
        <v>0</v>
      </c>
      <c r="V140" s="265">
        <f>SUM(tblContractForDeed[[#This Row],[Princ]],tblContractForDeed[[#This Row],[Int]],tblContractForDeed[[#This Row],[Ins]],tblContractForDeed[[#This Row],[Taxes]])</f>
        <v>1911.6200000000001</v>
      </c>
      <c r="W140" s="265">
        <f>SUM(INDEX(tblContractForDeed[Princ],1):INDEX(tblContractForDeed[Princ],ROW()-ROW(tblContractForDeed[#Headers])))</f>
        <v>127708.20999999998</v>
      </c>
      <c r="X140" s="265">
        <f>IF(tblContractForDeed[[#This Row],[Beg]]&lt;=0,0,tblContractForDeed[[#This Row],[Beg]]-tblContractForDeed[[#This Row],[Princ]])</f>
        <v>18791.790000000048</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39">
        <f>IF(INDEX(tblContractForDeed[Payment],ROW()-ROW(tblBuyerOutputs[#Headers]))=0,0,INDEX(tblContractForDeed[Payment],ROW()-ROW(tblBuyerOutputs[#Headers]))-INDEX(tblSubjectToLoan[Payment],ROW()-ROW(tblBuyerOutputs[#Headers])))</f>
        <v>1777.45</v>
      </c>
      <c r="AA140"/>
      <c r="AB140" s="14">
        <f>IF(INDEX(tblContractForDeed[Payment],ROW()-ROW(tblBuyerOutputs[#Headers]))=0,0,INDEX(tblContractForDeed[Payment],ROW()-ROW(tblBuyerOutputs[#Headers]))-INDEX(tblSubjectToLoan[Payment],ROW()-ROW(tblBuyerOutputs[#Headers])))-IFERROR(tblBuyerOutputs[[#This Row],[PMI]],0)</f>
        <v>1777.45</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193261.49000000025</v>
      </c>
      <c r="AD140" s="265">
        <f>IF(INDEX(tblContractForDeed[End Bal],ROW()-ROW(tblBuyerOutputs[#Headers]))&lt;=0,0,($O$6+IF(ROW()=ROW(tblBuyerOutputs[#Headers])+1,0,INDEX(tblBuyerOutputs[Cumul Appr],ROW()-ROW(tblBuyerOutputs[#Headers])-1)))*$O$2/12)</f>
        <v>1005.3620475484437</v>
      </c>
      <c r="AE140" s="587">
        <f>IF(INDEX(tblContractForDeed[End Bal],ROW()-ROW(tblBuyerOutputs[#Headers]))&lt;=0,0,IF(ROW()=ROW(tblBuyerOutputs[#Headers])+1,0,INDEX(tblBuyerOutputs[Cumul Appr],ROW()-ROW(tblBuyerOutputs[#Headers])-1))+tblBuyerOutputs[[#This Row],[Monthly Appr]])</f>
        <v>95792.253459174928</v>
      </c>
      <c r="AF140" s="22"/>
      <c r="AG140" s="14"/>
      <c r="AM140"/>
      <c r="AN140" s="14"/>
      <c r="AP140" s="265"/>
      <c r="AR140" s="14"/>
      <c r="AS140"/>
    </row>
    <row r="141" spans="1:45" x14ac:dyDescent="0.25">
      <c r="A141" s="561">
        <f t="shared" si="17"/>
        <v>49522</v>
      </c>
      <c r="B141" s="265">
        <f t="shared" si="18"/>
        <v>0</v>
      </c>
      <c r="C141" s="14">
        <f t="shared" si="14"/>
        <v>0</v>
      </c>
      <c r="D141" s="14">
        <f t="shared" si="19"/>
        <v>0</v>
      </c>
      <c r="E141" s="14">
        <f t="shared" si="15"/>
        <v>0</v>
      </c>
      <c r="F141" s="14">
        <f t="shared" si="27"/>
        <v>0</v>
      </c>
      <c r="G141" s="14">
        <f t="shared" si="27"/>
        <v>0</v>
      </c>
      <c r="H141" s="14">
        <f t="shared" si="28"/>
        <v>0</v>
      </c>
      <c r="I141" s="265">
        <f t="shared" si="22"/>
        <v>0</v>
      </c>
      <c r="J141" s="265">
        <f t="shared" si="23"/>
        <v>0</v>
      </c>
      <c r="K141" s="265">
        <f t="shared" si="20"/>
        <v>0</v>
      </c>
      <c r="L141" s="373">
        <f t="shared" si="26"/>
        <v>10</v>
      </c>
      <c r="M141" s="373">
        <f t="shared" si="21"/>
        <v>121</v>
      </c>
      <c r="N141" s="561">
        <f>INDEX(tblSubjectToLoan[Date],ROW()-ROW(tblContractForDeed[#Headers]))</f>
        <v>49522</v>
      </c>
      <c r="O141" s="265">
        <f>IF(ROW()=ROW(tblContractForDeed[#Headers])+1,$O$6,IF(INDEX(tblContractForDeed[End Bal],ROW()-ROW(tblContractForDeed[#Headers])-1)&lt;0,0,INDEX(tblContractForDeed[End Bal],ROW()-ROW(tblContractForDeed[#Headers])-1)))</f>
        <v>18791.790000000048</v>
      </c>
      <c r="P141" s="431">
        <f>IF(tblContractForDeed[[#This Row],[Date]]="","",IF(tblContractForDeed[[#This Row],[Date]]&lt;cfdRateChangeDate,cfdRate1,cfdRate2))</f>
        <v>0.08</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1" s="265">
        <f>IF(tblContractForDeed[[#This Row],[Payment]]=0,0,MAX(0,MIN(tblContractForDeed[[#This Row],[Beg]],tblContractForDeed[[#This Row],[Payment]]-tblContractForDeed[[#This Row],[Int]])))</f>
        <v>1652.17</v>
      </c>
      <c r="S141" s="265">
        <f>IF(OR(tblContractForDeed[[#This Row],[Date]]&lt;cfdContractDate,tblContractForDeed[[#This Row],[Date]]&gt;cfdEndDate),0,ROUND(tblContractForDeed[[#This Row],[Beg]]*(tblContractForDeed[[#This Row],[Int Rate]]/12),2))</f>
        <v>125.28</v>
      </c>
      <c r="T141" s="265">
        <f>IF(tblContractForDeed[[#This Row],[Payment]]=0,0,$V$2)</f>
        <v>134.16999999999999</v>
      </c>
      <c r="U141" s="265">
        <f>IF(tblContractForDeed[[#This Row],[Princ]]=0,0,$V$3)</f>
        <v>0</v>
      </c>
      <c r="V141" s="265">
        <f>SUM(tblContractForDeed[[#This Row],[Princ]],tblContractForDeed[[#This Row],[Int]],tblContractForDeed[[#This Row],[Ins]],tblContractForDeed[[#This Row],[Taxes]])</f>
        <v>1911.6200000000001</v>
      </c>
      <c r="W141" s="265">
        <f>SUM(INDEX(tblContractForDeed[Princ],1):INDEX(tblContractForDeed[Princ],ROW()-ROW(tblContractForDeed[#Headers])))</f>
        <v>129360.37999999998</v>
      </c>
      <c r="X141" s="265">
        <f>IF(tblContractForDeed[[#This Row],[Beg]]&lt;=0,0,tblContractForDeed[[#This Row],[Beg]]-tblContractForDeed[[#This Row],[Princ]])</f>
        <v>17139.620000000046</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39">
        <f>IF(INDEX(tblContractForDeed[Payment],ROW()-ROW(tblBuyerOutputs[#Headers]))=0,0,INDEX(tblContractForDeed[Payment],ROW()-ROW(tblBuyerOutputs[#Headers]))-INDEX(tblSubjectToLoan[Payment],ROW()-ROW(tblBuyerOutputs[#Headers])))</f>
        <v>1777.45</v>
      </c>
      <c r="AA141"/>
      <c r="AB141" s="14">
        <f>IF(INDEX(tblContractForDeed[Payment],ROW()-ROW(tblBuyerOutputs[#Headers]))=0,0,INDEX(tblContractForDeed[Payment],ROW()-ROW(tblBuyerOutputs[#Headers]))-INDEX(tblSubjectToLoan[Payment],ROW()-ROW(tblBuyerOutputs[#Headers])))-IFERROR(tblBuyerOutputs[[#This Row],[PMI]],0)</f>
        <v>1777.45</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195038.94000000026</v>
      </c>
      <c r="AD141" s="265">
        <f>IF(INDEX(tblContractForDeed[End Bal],ROW()-ROW(tblBuyerOutputs[#Headers]))&lt;=0,0,($O$6+IF(ROW()=ROW(tblBuyerOutputs[#Headers])+1,0,INDEX(tblBuyerOutputs[Cumul Appr],ROW()-ROW(tblBuyerOutputs[#Headers])-1)))*$O$2/12)</f>
        <v>1009.5510560798957</v>
      </c>
      <c r="AE141" s="587">
        <f>IF(INDEX(tblContractForDeed[End Bal],ROW()-ROW(tblBuyerOutputs[#Headers]))&lt;=0,0,IF(ROW()=ROW(tblBuyerOutputs[#Headers])+1,0,INDEX(tblBuyerOutputs[Cumul Appr],ROW()-ROW(tblBuyerOutputs[#Headers])-1))+tblBuyerOutputs[[#This Row],[Monthly Appr]])</f>
        <v>96801.804515254829</v>
      </c>
      <c r="AF141" s="22"/>
      <c r="AG141" s="14"/>
      <c r="AM141"/>
      <c r="AN141" s="14"/>
      <c r="AP141" s="265"/>
      <c r="AR141" s="14"/>
      <c r="AS141"/>
    </row>
    <row r="142" spans="1:45" x14ac:dyDescent="0.25">
      <c r="A142" s="561">
        <f t="shared" si="17"/>
        <v>49553</v>
      </c>
      <c r="B142" s="265">
        <f t="shared" si="18"/>
        <v>0</v>
      </c>
      <c r="C142" s="14">
        <f t="shared" si="14"/>
        <v>0</v>
      </c>
      <c r="D142" s="14">
        <f t="shared" si="19"/>
        <v>0</v>
      </c>
      <c r="E142" s="14">
        <f t="shared" si="15"/>
        <v>0</v>
      </c>
      <c r="F142" s="14">
        <f t="shared" si="27"/>
        <v>0</v>
      </c>
      <c r="G142" s="14">
        <f t="shared" si="27"/>
        <v>0</v>
      </c>
      <c r="H142" s="14">
        <f t="shared" si="28"/>
        <v>0</v>
      </c>
      <c r="I142" s="265">
        <f t="shared" si="22"/>
        <v>0</v>
      </c>
      <c r="J142" s="265">
        <f t="shared" si="23"/>
        <v>0</v>
      </c>
      <c r="K142" s="265">
        <f t="shared" si="20"/>
        <v>0</v>
      </c>
      <c r="L142" s="373">
        <f t="shared" si="26"/>
        <v>10</v>
      </c>
      <c r="M142" s="373">
        <f t="shared" si="21"/>
        <v>122</v>
      </c>
      <c r="N142" s="561">
        <f>INDEX(tblSubjectToLoan[Date],ROW()-ROW(tblContractForDeed[#Headers]))</f>
        <v>49553</v>
      </c>
      <c r="O142" s="265">
        <f>IF(ROW()=ROW(tblContractForDeed[#Headers])+1,$O$6,IF(INDEX(tblContractForDeed[End Bal],ROW()-ROW(tblContractForDeed[#Headers])-1)&lt;0,0,INDEX(tblContractForDeed[End Bal],ROW()-ROW(tblContractForDeed[#Headers])-1)))</f>
        <v>17139.620000000046</v>
      </c>
      <c r="P142" s="431">
        <f>IF(tblContractForDeed[[#This Row],[Date]]="","",IF(tblContractForDeed[[#This Row],[Date]]&lt;cfdRateChangeDate,cfdRate1,cfdRate2))</f>
        <v>0.08</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2" s="265">
        <f>IF(tblContractForDeed[[#This Row],[Payment]]=0,0,MAX(0,MIN(tblContractForDeed[[#This Row],[Beg]],tblContractForDeed[[#This Row],[Payment]]-tblContractForDeed[[#This Row],[Int]])))</f>
        <v>1663.19</v>
      </c>
      <c r="S142" s="265">
        <f>IF(OR(tblContractForDeed[[#This Row],[Date]]&lt;cfdContractDate,tblContractForDeed[[#This Row],[Date]]&gt;cfdEndDate),0,ROUND(tblContractForDeed[[#This Row],[Beg]]*(tblContractForDeed[[#This Row],[Int Rate]]/12),2))</f>
        <v>114.26</v>
      </c>
      <c r="T142" s="265">
        <f>IF(tblContractForDeed[[#This Row],[Payment]]=0,0,$V$2)</f>
        <v>134.16999999999999</v>
      </c>
      <c r="U142" s="265">
        <f>IF(tblContractForDeed[[#This Row],[Princ]]=0,0,$V$3)</f>
        <v>0</v>
      </c>
      <c r="V142" s="265">
        <f>SUM(tblContractForDeed[[#This Row],[Princ]],tblContractForDeed[[#This Row],[Int]],tblContractForDeed[[#This Row],[Ins]],tblContractForDeed[[#This Row],[Taxes]])</f>
        <v>1911.6200000000001</v>
      </c>
      <c r="W142" s="265">
        <f>SUM(INDEX(tblContractForDeed[Princ],1):INDEX(tblContractForDeed[Princ],ROW()-ROW(tblContractForDeed[#Headers])))</f>
        <v>131023.56999999998</v>
      </c>
      <c r="X142" s="265">
        <f>IF(tblContractForDeed[[#This Row],[Beg]]&lt;=0,0,tblContractForDeed[[#This Row],[Beg]]-tblContractForDeed[[#This Row],[Princ]])</f>
        <v>15476.430000000046</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39">
        <f>IF(INDEX(tblContractForDeed[Payment],ROW()-ROW(tblBuyerOutputs[#Headers]))=0,0,INDEX(tblContractForDeed[Payment],ROW()-ROW(tblBuyerOutputs[#Headers]))-INDEX(tblSubjectToLoan[Payment],ROW()-ROW(tblBuyerOutputs[#Headers])))</f>
        <v>1777.45</v>
      </c>
      <c r="AA142"/>
      <c r="AB142" s="14">
        <f>IF(INDEX(tblContractForDeed[Payment],ROW()-ROW(tblBuyerOutputs[#Headers]))=0,0,INDEX(tblContractForDeed[Payment],ROW()-ROW(tblBuyerOutputs[#Headers]))-INDEX(tblSubjectToLoan[Payment],ROW()-ROW(tblBuyerOutputs[#Headers])))-IFERROR(tblBuyerOutputs[[#This Row],[PMI]],0)</f>
        <v>1777.45</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196816.39000000028</v>
      </c>
      <c r="AD142" s="265">
        <f>IF(INDEX(tblContractForDeed[End Bal],ROW()-ROW(tblBuyerOutputs[#Headers]))&lt;=0,0,($O$6+IF(ROW()=ROW(tblBuyerOutputs[#Headers])+1,0,INDEX(tblBuyerOutputs[Cumul Appr],ROW()-ROW(tblBuyerOutputs[#Headers])-1)))*$O$2/12)</f>
        <v>1013.7575188135619</v>
      </c>
      <c r="AE142" s="587">
        <f>IF(INDEX(tblContractForDeed[End Bal],ROW()-ROW(tblBuyerOutputs[#Headers]))&lt;=0,0,IF(ROW()=ROW(tblBuyerOutputs[#Headers])+1,0,INDEX(tblBuyerOutputs[Cumul Appr],ROW()-ROW(tblBuyerOutputs[#Headers])-1))+tblBuyerOutputs[[#This Row],[Monthly Appr]])</f>
        <v>97815.562034068396</v>
      </c>
      <c r="AF142" s="22"/>
      <c r="AG142" s="14"/>
      <c r="AM142"/>
      <c r="AN142" s="14"/>
      <c r="AP142" s="265"/>
      <c r="AR142" s="14"/>
      <c r="AS142"/>
    </row>
    <row r="143" spans="1:45" x14ac:dyDescent="0.25">
      <c r="A143" s="561">
        <f t="shared" si="17"/>
        <v>49583</v>
      </c>
      <c r="B143" s="265">
        <f t="shared" si="18"/>
        <v>0</v>
      </c>
      <c r="C143" s="14">
        <f t="shared" si="14"/>
        <v>0</v>
      </c>
      <c r="D143" s="14">
        <f t="shared" si="19"/>
        <v>0</v>
      </c>
      <c r="E143" s="14">
        <f t="shared" si="15"/>
        <v>0</v>
      </c>
      <c r="F143" s="14">
        <f t="shared" ref="F143:G158" si="29">+F142</f>
        <v>0</v>
      </c>
      <c r="G143" s="14">
        <f t="shared" si="29"/>
        <v>0</v>
      </c>
      <c r="H143" s="14">
        <f t="shared" si="28"/>
        <v>0</v>
      </c>
      <c r="I143" s="265">
        <f t="shared" si="22"/>
        <v>0</v>
      </c>
      <c r="J143" s="265">
        <f t="shared" si="23"/>
        <v>0</v>
      </c>
      <c r="K143" s="265">
        <f t="shared" si="20"/>
        <v>0</v>
      </c>
      <c r="L143" s="373">
        <f t="shared" si="26"/>
        <v>10</v>
      </c>
      <c r="M143" s="373">
        <f t="shared" si="21"/>
        <v>123</v>
      </c>
      <c r="N143" s="561">
        <f>INDEX(tblSubjectToLoan[Date],ROW()-ROW(tblContractForDeed[#Headers]))</f>
        <v>49583</v>
      </c>
      <c r="O143" s="265">
        <f>IF(ROW()=ROW(tblContractForDeed[#Headers])+1,$O$6,IF(INDEX(tblContractForDeed[End Bal],ROW()-ROW(tblContractForDeed[#Headers])-1)&lt;0,0,INDEX(tblContractForDeed[End Bal],ROW()-ROW(tblContractForDeed[#Headers])-1)))</f>
        <v>15476.430000000046</v>
      </c>
      <c r="P143" s="431">
        <f>IF(tblContractForDeed[[#This Row],[Date]]="","",IF(tblContractForDeed[[#This Row],[Date]]&lt;cfdRateChangeDate,cfdRate1,cfdRate2))</f>
        <v>0.08</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3" s="265">
        <f>IF(tblContractForDeed[[#This Row],[Payment]]=0,0,MAX(0,MIN(tblContractForDeed[[#This Row],[Beg]],tblContractForDeed[[#This Row],[Payment]]-tblContractForDeed[[#This Row],[Int]])))</f>
        <v>1674.27</v>
      </c>
      <c r="S143" s="265">
        <f>IF(OR(tblContractForDeed[[#This Row],[Date]]&lt;cfdContractDate,tblContractForDeed[[#This Row],[Date]]&gt;cfdEndDate),0,ROUND(tblContractForDeed[[#This Row],[Beg]]*(tblContractForDeed[[#This Row],[Int Rate]]/12),2))</f>
        <v>103.18</v>
      </c>
      <c r="T143" s="265">
        <f>IF(tblContractForDeed[[#This Row],[Payment]]=0,0,$V$2)</f>
        <v>134.16999999999999</v>
      </c>
      <c r="U143" s="265">
        <f>IF(tblContractForDeed[[#This Row],[Princ]]=0,0,$V$3)</f>
        <v>0</v>
      </c>
      <c r="V143" s="265">
        <f>SUM(tblContractForDeed[[#This Row],[Princ]],tblContractForDeed[[#This Row],[Int]],tblContractForDeed[[#This Row],[Ins]],tblContractForDeed[[#This Row],[Taxes]])</f>
        <v>1911.6200000000001</v>
      </c>
      <c r="W143" s="265">
        <f>SUM(INDEX(tblContractForDeed[Princ],1):INDEX(tblContractForDeed[Princ],ROW()-ROW(tblContractForDeed[#Headers])))</f>
        <v>132697.83999999997</v>
      </c>
      <c r="X143" s="265">
        <f>IF(tblContractForDeed[[#This Row],[Beg]]&lt;=0,0,tblContractForDeed[[#This Row],[Beg]]-tblContractForDeed[[#This Row],[Princ]])</f>
        <v>13802.160000000045</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39">
        <f>IF(INDEX(tblContractForDeed[Payment],ROW()-ROW(tblBuyerOutputs[#Headers]))=0,0,INDEX(tblContractForDeed[Payment],ROW()-ROW(tblBuyerOutputs[#Headers]))-INDEX(tblSubjectToLoan[Payment],ROW()-ROW(tblBuyerOutputs[#Headers])))</f>
        <v>1777.45</v>
      </c>
      <c r="AA143"/>
      <c r="AB143" s="14">
        <f>IF(INDEX(tblContractForDeed[Payment],ROW()-ROW(tblBuyerOutputs[#Headers]))=0,0,INDEX(tblContractForDeed[Payment],ROW()-ROW(tblBuyerOutputs[#Headers]))-INDEX(tblSubjectToLoan[Payment],ROW()-ROW(tblBuyerOutputs[#Headers])))-IFERROR(tblBuyerOutputs[[#This Row],[PMI]],0)</f>
        <v>1777.45</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198593.84000000029</v>
      </c>
      <c r="AD143" s="265">
        <f>IF(INDEX(tblContractForDeed[End Bal],ROW()-ROW(tblBuyerOutputs[#Headers]))&lt;=0,0,($O$6+IF(ROW()=ROW(tblBuyerOutputs[#Headers])+1,0,INDEX(tblBuyerOutputs[Cumul Appr],ROW()-ROW(tblBuyerOutputs[#Headers])-1)))*$O$2/12)</f>
        <v>1017.9815084752851</v>
      </c>
      <c r="AE143" s="587">
        <f>IF(INDEX(tblContractForDeed[End Bal],ROW()-ROW(tblBuyerOutputs[#Headers]))&lt;=0,0,IF(ROW()=ROW(tblBuyerOutputs[#Headers])+1,0,INDEX(tblBuyerOutputs[Cumul Appr],ROW()-ROW(tblBuyerOutputs[#Headers])-1))+tblBuyerOutputs[[#This Row],[Monthly Appr]])</f>
        <v>98833.543542543688</v>
      </c>
      <c r="AF143" s="22"/>
      <c r="AG143" s="14"/>
      <c r="AM143"/>
      <c r="AN143" s="14"/>
      <c r="AP143" s="265"/>
      <c r="AR143" s="14"/>
      <c r="AS143"/>
    </row>
    <row r="144" spans="1:45" x14ac:dyDescent="0.25">
      <c r="A144" s="561">
        <f t="shared" si="17"/>
        <v>49614</v>
      </c>
      <c r="B144" s="265">
        <f t="shared" si="18"/>
        <v>0</v>
      </c>
      <c r="C144" s="14">
        <f t="shared" si="14"/>
        <v>0</v>
      </c>
      <c r="D144" s="14">
        <f t="shared" si="19"/>
        <v>0</v>
      </c>
      <c r="E144" s="14">
        <f t="shared" si="15"/>
        <v>0</v>
      </c>
      <c r="F144" s="14">
        <f t="shared" si="29"/>
        <v>0</v>
      </c>
      <c r="G144" s="14">
        <f t="shared" si="29"/>
        <v>0</v>
      </c>
      <c r="H144" s="14">
        <f t="shared" si="28"/>
        <v>0</v>
      </c>
      <c r="I144" s="265">
        <f t="shared" si="22"/>
        <v>0</v>
      </c>
      <c r="J144" s="265">
        <f t="shared" si="23"/>
        <v>0</v>
      </c>
      <c r="K144" s="265">
        <f t="shared" si="20"/>
        <v>0</v>
      </c>
      <c r="L144" s="373">
        <f t="shared" si="26"/>
        <v>10</v>
      </c>
      <c r="M144" s="373">
        <f t="shared" si="21"/>
        <v>124</v>
      </c>
      <c r="N144" s="561">
        <f>INDEX(tblSubjectToLoan[Date],ROW()-ROW(tblContractForDeed[#Headers]))</f>
        <v>49614</v>
      </c>
      <c r="O144" s="265">
        <f>IF(ROW()=ROW(tblContractForDeed[#Headers])+1,$O$6,IF(INDEX(tblContractForDeed[End Bal],ROW()-ROW(tblContractForDeed[#Headers])-1)&lt;0,0,INDEX(tblContractForDeed[End Bal],ROW()-ROW(tblContractForDeed[#Headers])-1)))</f>
        <v>13802.160000000045</v>
      </c>
      <c r="P144" s="431">
        <f>IF(tblContractForDeed[[#This Row],[Date]]="","",IF(tblContractForDeed[[#This Row],[Date]]&lt;cfdRateChangeDate,cfdRate1,cfdRate2))</f>
        <v>0.08</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4" s="265">
        <f>IF(tblContractForDeed[[#This Row],[Payment]]=0,0,MAX(0,MIN(tblContractForDeed[[#This Row],[Beg]],tblContractForDeed[[#This Row],[Payment]]-tblContractForDeed[[#This Row],[Int]])))</f>
        <v>1685.44</v>
      </c>
      <c r="S144" s="265">
        <f>IF(OR(tblContractForDeed[[#This Row],[Date]]&lt;cfdContractDate,tblContractForDeed[[#This Row],[Date]]&gt;cfdEndDate),0,ROUND(tblContractForDeed[[#This Row],[Beg]]*(tblContractForDeed[[#This Row],[Int Rate]]/12),2))</f>
        <v>92.01</v>
      </c>
      <c r="T144" s="265">
        <f>IF(tblContractForDeed[[#This Row],[Payment]]=0,0,$V$2)</f>
        <v>134.16999999999999</v>
      </c>
      <c r="U144" s="265">
        <f>IF(tblContractForDeed[[#This Row],[Princ]]=0,0,$V$3)</f>
        <v>0</v>
      </c>
      <c r="V144" s="265">
        <f>SUM(tblContractForDeed[[#This Row],[Princ]],tblContractForDeed[[#This Row],[Int]],tblContractForDeed[[#This Row],[Ins]],tblContractForDeed[[#This Row],[Taxes]])</f>
        <v>1911.6200000000001</v>
      </c>
      <c r="W144" s="265">
        <f>SUM(INDEX(tblContractForDeed[Princ],1):INDEX(tblContractForDeed[Princ],ROW()-ROW(tblContractForDeed[#Headers])))</f>
        <v>134383.27999999997</v>
      </c>
      <c r="X144" s="265">
        <f>IF(tblContractForDeed[[#This Row],[Beg]]&lt;=0,0,tblContractForDeed[[#This Row],[Beg]]-tblContractForDeed[[#This Row],[Princ]])</f>
        <v>12116.720000000045</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39">
        <f>IF(INDEX(tblContractForDeed[Payment],ROW()-ROW(tblBuyerOutputs[#Headers]))=0,0,INDEX(tblContractForDeed[Payment],ROW()-ROW(tblBuyerOutputs[#Headers]))-INDEX(tblSubjectToLoan[Payment],ROW()-ROW(tblBuyerOutputs[#Headers])))</f>
        <v>1777.45</v>
      </c>
      <c r="AA144"/>
      <c r="AB144" s="14">
        <f>IF(INDEX(tblContractForDeed[Payment],ROW()-ROW(tblBuyerOutputs[#Headers]))=0,0,INDEX(tblContractForDeed[Payment],ROW()-ROW(tblBuyerOutputs[#Headers]))-INDEX(tblSubjectToLoan[Payment],ROW()-ROW(tblBuyerOutputs[#Headers])))-IFERROR(tblBuyerOutputs[[#This Row],[PMI]],0)</f>
        <v>1777.45</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200371.2900000003</v>
      </c>
      <c r="AD144" s="265">
        <f>IF(INDEX(tblContractForDeed[End Bal],ROW()-ROW(tblBuyerOutputs[#Headers]))&lt;=0,0,($O$6+IF(ROW()=ROW(tblBuyerOutputs[#Headers])+1,0,INDEX(tblBuyerOutputs[Cumul Appr],ROW()-ROW(tblBuyerOutputs[#Headers])-1)))*$O$2/12)</f>
        <v>1022.2230980939321</v>
      </c>
      <c r="AE144" s="587">
        <f>IF(INDEX(tblContractForDeed[End Bal],ROW()-ROW(tblBuyerOutputs[#Headers]))&lt;=0,0,IF(ROW()=ROW(tblBuyerOutputs[#Headers])+1,0,INDEX(tblBuyerOutputs[Cumul Appr],ROW()-ROW(tblBuyerOutputs[#Headers])-1))+tblBuyerOutputs[[#This Row],[Monthly Appr]])</f>
        <v>99855.766640637623</v>
      </c>
      <c r="AF144" s="22"/>
      <c r="AG144" s="14"/>
      <c r="AM144"/>
      <c r="AN144" s="14"/>
      <c r="AP144" s="265"/>
      <c r="AR144" s="14"/>
      <c r="AS144"/>
    </row>
    <row r="145" spans="1:45" x14ac:dyDescent="0.25">
      <c r="A145" s="561">
        <f t="shared" si="17"/>
        <v>49644</v>
      </c>
      <c r="B145" s="265">
        <f t="shared" si="18"/>
        <v>0</v>
      </c>
      <c r="C145" s="14">
        <f t="shared" si="14"/>
        <v>0</v>
      </c>
      <c r="D145" s="14">
        <f t="shared" si="19"/>
        <v>0</v>
      </c>
      <c r="E145" s="14">
        <f t="shared" si="15"/>
        <v>0</v>
      </c>
      <c r="F145" s="14">
        <f t="shared" si="29"/>
        <v>0</v>
      </c>
      <c r="G145" s="14">
        <f t="shared" si="29"/>
        <v>0</v>
      </c>
      <c r="H145" s="14">
        <f t="shared" si="28"/>
        <v>0</v>
      </c>
      <c r="I145" s="265">
        <f t="shared" si="22"/>
        <v>0</v>
      </c>
      <c r="J145" s="265">
        <f t="shared" si="23"/>
        <v>0</v>
      </c>
      <c r="K145" s="265">
        <f t="shared" si="20"/>
        <v>0</v>
      </c>
      <c r="L145" s="373">
        <f t="shared" si="26"/>
        <v>10</v>
      </c>
      <c r="M145" s="373">
        <f t="shared" si="21"/>
        <v>125</v>
      </c>
      <c r="N145" s="561">
        <f>INDEX(tblSubjectToLoan[Date],ROW()-ROW(tblContractForDeed[#Headers]))</f>
        <v>49644</v>
      </c>
      <c r="O145" s="265">
        <f>IF(ROW()=ROW(tblContractForDeed[#Headers])+1,$O$6,IF(INDEX(tblContractForDeed[End Bal],ROW()-ROW(tblContractForDeed[#Headers])-1)&lt;0,0,INDEX(tblContractForDeed[End Bal],ROW()-ROW(tblContractForDeed[#Headers])-1)))</f>
        <v>12116.720000000045</v>
      </c>
      <c r="P145" s="431">
        <f>IF(tblContractForDeed[[#This Row],[Date]]="","",IF(tblContractForDeed[[#This Row],[Date]]&lt;cfdRateChangeDate,cfdRate1,cfdRate2))</f>
        <v>0.08</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5" s="265">
        <f>IF(tblContractForDeed[[#This Row],[Payment]]=0,0,MAX(0,MIN(tblContractForDeed[[#This Row],[Beg]],tblContractForDeed[[#This Row],[Payment]]-tblContractForDeed[[#This Row],[Int]])))</f>
        <v>1696.67</v>
      </c>
      <c r="S145" s="265">
        <f>IF(OR(tblContractForDeed[[#This Row],[Date]]&lt;cfdContractDate,tblContractForDeed[[#This Row],[Date]]&gt;cfdEndDate),0,ROUND(tblContractForDeed[[#This Row],[Beg]]*(tblContractForDeed[[#This Row],[Int Rate]]/12),2))</f>
        <v>80.78</v>
      </c>
      <c r="T145" s="265">
        <f>IF(tblContractForDeed[[#This Row],[Payment]]=0,0,$V$2)</f>
        <v>134.16999999999999</v>
      </c>
      <c r="U145" s="265">
        <f>IF(tblContractForDeed[[#This Row],[Princ]]=0,0,$V$3)</f>
        <v>0</v>
      </c>
      <c r="V145" s="265">
        <f>SUM(tblContractForDeed[[#This Row],[Princ]],tblContractForDeed[[#This Row],[Int]],tblContractForDeed[[#This Row],[Ins]],tblContractForDeed[[#This Row],[Taxes]])</f>
        <v>1911.6200000000001</v>
      </c>
      <c r="W145" s="265">
        <f>SUM(INDEX(tblContractForDeed[Princ],1):INDEX(tblContractForDeed[Princ],ROW()-ROW(tblContractForDeed[#Headers])))</f>
        <v>136079.94999999998</v>
      </c>
      <c r="X145" s="265">
        <f>IF(tblContractForDeed[[#This Row],[Beg]]&lt;=0,0,tblContractForDeed[[#This Row],[Beg]]-tblContractForDeed[[#This Row],[Princ]])</f>
        <v>10420.050000000045</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39">
        <f>IF(INDEX(tblContractForDeed[Payment],ROW()-ROW(tblBuyerOutputs[#Headers]))=0,0,INDEX(tblContractForDeed[Payment],ROW()-ROW(tblBuyerOutputs[#Headers]))-INDEX(tblSubjectToLoan[Payment],ROW()-ROW(tblBuyerOutputs[#Headers])))</f>
        <v>1777.45</v>
      </c>
      <c r="AA145"/>
      <c r="AB145" s="14">
        <f>IF(INDEX(tblContractForDeed[Payment],ROW()-ROW(tblBuyerOutputs[#Headers]))=0,0,INDEX(tblContractForDeed[Payment],ROW()-ROW(tblBuyerOutputs[#Headers]))-INDEX(tblSubjectToLoan[Payment],ROW()-ROW(tblBuyerOutputs[#Headers])))-IFERROR(tblBuyerOutputs[[#This Row],[PMI]],0)</f>
        <v>1777.45</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202148.74000000031</v>
      </c>
      <c r="AD145" s="265">
        <f>IF(INDEX(tblContractForDeed[End Bal],ROW()-ROW(tblBuyerOutputs[#Headers]))&lt;=0,0,($O$6+IF(ROW()=ROW(tblBuyerOutputs[#Headers])+1,0,INDEX(tblBuyerOutputs[Cumul Appr],ROW()-ROW(tblBuyerOutputs[#Headers])-1)))*$O$2/12)</f>
        <v>1026.4823610026567</v>
      </c>
      <c r="AE145" s="587">
        <f>IF(INDEX(tblContractForDeed[End Bal],ROW()-ROW(tblBuyerOutputs[#Headers]))&lt;=0,0,IF(ROW()=ROW(tblBuyerOutputs[#Headers])+1,0,INDEX(tblBuyerOutputs[Cumul Appr],ROW()-ROW(tblBuyerOutputs[#Headers])-1))+tblBuyerOutputs[[#This Row],[Monthly Appr]])</f>
        <v>100882.24900164027</v>
      </c>
      <c r="AF145" s="22"/>
      <c r="AG145" s="14"/>
      <c r="AM145"/>
      <c r="AN145" s="14"/>
      <c r="AP145" s="265"/>
      <c r="AR145" s="14"/>
      <c r="AS145"/>
    </row>
    <row r="146" spans="1:45" x14ac:dyDescent="0.25">
      <c r="A146" s="561">
        <f t="shared" si="17"/>
        <v>49675</v>
      </c>
      <c r="B146" s="265">
        <f t="shared" si="18"/>
        <v>0</v>
      </c>
      <c r="C146" s="14">
        <f t="shared" si="14"/>
        <v>0</v>
      </c>
      <c r="D146" s="14">
        <f t="shared" si="19"/>
        <v>0</v>
      </c>
      <c r="E146" s="14">
        <f t="shared" si="15"/>
        <v>0</v>
      </c>
      <c r="F146" s="14">
        <f t="shared" si="29"/>
        <v>0</v>
      </c>
      <c r="G146" s="14">
        <f t="shared" si="29"/>
        <v>0</v>
      </c>
      <c r="H146" s="14">
        <f t="shared" si="28"/>
        <v>0</v>
      </c>
      <c r="I146" s="265">
        <f t="shared" si="22"/>
        <v>0</v>
      </c>
      <c r="J146" s="265">
        <f t="shared" si="23"/>
        <v>0</v>
      </c>
      <c r="K146" s="265">
        <f t="shared" si="20"/>
        <v>0</v>
      </c>
      <c r="L146" s="373">
        <f t="shared" si="26"/>
        <v>10</v>
      </c>
      <c r="M146" s="373">
        <f t="shared" si="21"/>
        <v>126</v>
      </c>
      <c r="N146" s="561">
        <f>INDEX(tblSubjectToLoan[Date],ROW()-ROW(tblContractForDeed[#Headers]))</f>
        <v>49675</v>
      </c>
      <c r="O146" s="265">
        <f>IF(ROW()=ROW(tblContractForDeed[#Headers])+1,$O$6,IF(INDEX(tblContractForDeed[End Bal],ROW()-ROW(tblContractForDeed[#Headers])-1)&lt;0,0,INDEX(tblContractForDeed[End Bal],ROW()-ROW(tblContractForDeed[#Headers])-1)))</f>
        <v>10420.050000000045</v>
      </c>
      <c r="P146" s="431">
        <f>IF(tblContractForDeed[[#This Row],[Date]]="","",IF(tblContractForDeed[[#This Row],[Date]]&lt;cfdRateChangeDate,cfdRate1,cfdRate2))</f>
        <v>0.08</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6" s="265">
        <f>IF(tblContractForDeed[[#This Row],[Payment]]=0,0,MAX(0,MIN(tblContractForDeed[[#This Row],[Beg]],tblContractForDeed[[#This Row],[Payment]]-tblContractForDeed[[#This Row],[Int]])))</f>
        <v>1707.98</v>
      </c>
      <c r="S146" s="265">
        <f>IF(OR(tblContractForDeed[[#This Row],[Date]]&lt;cfdContractDate,tblContractForDeed[[#This Row],[Date]]&gt;cfdEndDate),0,ROUND(tblContractForDeed[[#This Row],[Beg]]*(tblContractForDeed[[#This Row],[Int Rate]]/12),2))</f>
        <v>69.47</v>
      </c>
      <c r="T146" s="265">
        <f>IF(tblContractForDeed[[#This Row],[Payment]]=0,0,$V$2)</f>
        <v>134.16999999999999</v>
      </c>
      <c r="U146" s="265">
        <f>IF(tblContractForDeed[[#This Row],[Princ]]=0,0,$V$3)</f>
        <v>0</v>
      </c>
      <c r="V146" s="265">
        <f>SUM(tblContractForDeed[[#This Row],[Princ]],tblContractForDeed[[#This Row],[Int]],tblContractForDeed[[#This Row],[Ins]],tblContractForDeed[[#This Row],[Taxes]])</f>
        <v>1911.6200000000001</v>
      </c>
      <c r="W146" s="265">
        <f>SUM(INDEX(tblContractForDeed[Princ],1):INDEX(tblContractForDeed[Princ],ROW()-ROW(tblContractForDeed[#Headers])))</f>
        <v>137787.93</v>
      </c>
      <c r="X146" s="265">
        <f>IF(tblContractForDeed[[#This Row],[Beg]]&lt;=0,0,tblContractForDeed[[#This Row],[Beg]]-tblContractForDeed[[#This Row],[Princ]])</f>
        <v>8712.0700000000452</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39">
        <f>IF(INDEX(tblContractForDeed[Payment],ROW()-ROW(tblBuyerOutputs[#Headers]))=0,0,INDEX(tblContractForDeed[Payment],ROW()-ROW(tblBuyerOutputs[#Headers]))-INDEX(tblSubjectToLoan[Payment],ROW()-ROW(tblBuyerOutputs[#Headers])))</f>
        <v>1777.45</v>
      </c>
      <c r="AA146"/>
      <c r="AB146" s="14">
        <f>IF(INDEX(tblContractForDeed[Payment],ROW()-ROW(tblBuyerOutputs[#Headers]))=0,0,INDEX(tblContractForDeed[Payment],ROW()-ROW(tblBuyerOutputs[#Headers]))-INDEX(tblSubjectToLoan[Payment],ROW()-ROW(tblBuyerOutputs[#Headers])))-IFERROR(tblBuyerOutputs[[#This Row],[PMI]],0)</f>
        <v>1777.45</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203926.19000000032</v>
      </c>
      <c r="AD146" s="265">
        <f>IF(INDEX(tblContractForDeed[End Bal],ROW()-ROW(tblBuyerOutputs[#Headers]))&lt;=0,0,($O$6+IF(ROW()=ROW(tblBuyerOutputs[#Headers])+1,0,INDEX(tblBuyerOutputs[Cumul Appr],ROW()-ROW(tblBuyerOutputs[#Headers])-1)))*$O$2/12)</f>
        <v>1030.759370840168</v>
      </c>
      <c r="AE146" s="587">
        <f>IF(INDEX(tblContractForDeed[End Bal],ROW()-ROW(tblBuyerOutputs[#Headers]))&lt;=0,0,IF(ROW()=ROW(tblBuyerOutputs[#Headers])+1,0,INDEX(tblBuyerOutputs[Cumul Appr],ROW()-ROW(tblBuyerOutputs[#Headers])-1))+tblBuyerOutputs[[#This Row],[Monthly Appr]])</f>
        <v>101913.00837248044</v>
      </c>
      <c r="AF146" s="22"/>
      <c r="AG146" s="14"/>
      <c r="AM146"/>
      <c r="AN146" s="14"/>
      <c r="AP146" s="265"/>
      <c r="AR146" s="14"/>
      <c r="AS146"/>
    </row>
    <row r="147" spans="1:45" x14ac:dyDescent="0.25">
      <c r="A147" s="561">
        <f t="shared" si="17"/>
        <v>49706</v>
      </c>
      <c r="B147" s="265">
        <f t="shared" si="18"/>
        <v>0</v>
      </c>
      <c r="C147" s="14">
        <f t="shared" si="14"/>
        <v>0</v>
      </c>
      <c r="D147" s="14">
        <f t="shared" si="19"/>
        <v>0</v>
      </c>
      <c r="E147" s="14">
        <f t="shared" si="15"/>
        <v>0</v>
      </c>
      <c r="F147" s="14">
        <f t="shared" si="29"/>
        <v>0</v>
      </c>
      <c r="G147" s="14">
        <f t="shared" si="29"/>
        <v>0</v>
      </c>
      <c r="H147" s="14">
        <f t="shared" si="28"/>
        <v>0</v>
      </c>
      <c r="I147" s="265">
        <f t="shared" si="22"/>
        <v>0</v>
      </c>
      <c r="J147" s="265">
        <f t="shared" si="23"/>
        <v>0</v>
      </c>
      <c r="K147" s="265">
        <f t="shared" si="20"/>
        <v>0</v>
      </c>
      <c r="L147" s="373">
        <f t="shared" si="26"/>
        <v>10</v>
      </c>
      <c r="M147" s="373">
        <f t="shared" si="21"/>
        <v>127</v>
      </c>
      <c r="N147" s="561">
        <f>INDEX(tblSubjectToLoan[Date],ROW()-ROW(tblContractForDeed[#Headers]))</f>
        <v>49706</v>
      </c>
      <c r="O147" s="265">
        <f>IF(ROW()=ROW(tblContractForDeed[#Headers])+1,$O$6,IF(INDEX(tblContractForDeed[End Bal],ROW()-ROW(tblContractForDeed[#Headers])-1)&lt;0,0,INDEX(tblContractForDeed[End Bal],ROW()-ROW(tblContractForDeed[#Headers])-1)))</f>
        <v>8712.0700000000452</v>
      </c>
      <c r="P147" s="431">
        <f>IF(tblContractForDeed[[#This Row],[Date]]="","",IF(tblContractForDeed[[#This Row],[Date]]&lt;cfdRateChangeDate,cfdRate1,cfdRate2))</f>
        <v>0.08</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7" s="265">
        <f>IF(tblContractForDeed[[#This Row],[Payment]]=0,0,MAX(0,MIN(tblContractForDeed[[#This Row],[Beg]],tblContractForDeed[[#This Row],[Payment]]-tblContractForDeed[[#This Row],[Int]])))</f>
        <v>1719.3700000000001</v>
      </c>
      <c r="S147" s="265">
        <f>IF(OR(tblContractForDeed[[#This Row],[Date]]&lt;cfdContractDate,tblContractForDeed[[#This Row],[Date]]&gt;cfdEndDate),0,ROUND(tblContractForDeed[[#This Row],[Beg]]*(tblContractForDeed[[#This Row],[Int Rate]]/12),2))</f>
        <v>58.08</v>
      </c>
      <c r="T147" s="265">
        <f>IF(tblContractForDeed[[#This Row],[Payment]]=0,0,$V$2)</f>
        <v>134.16999999999999</v>
      </c>
      <c r="U147" s="265">
        <f>IF(tblContractForDeed[[#This Row],[Princ]]=0,0,$V$3)</f>
        <v>0</v>
      </c>
      <c r="V147" s="265">
        <f>SUM(tblContractForDeed[[#This Row],[Princ]],tblContractForDeed[[#This Row],[Int]],tblContractForDeed[[#This Row],[Ins]],tblContractForDeed[[#This Row],[Taxes]])</f>
        <v>1911.6200000000001</v>
      </c>
      <c r="W147" s="265">
        <f>SUM(INDEX(tblContractForDeed[Princ],1):INDEX(tblContractForDeed[Princ],ROW()-ROW(tblContractForDeed[#Headers])))</f>
        <v>139507.29999999999</v>
      </c>
      <c r="X147" s="265">
        <f>IF(tblContractForDeed[[#This Row],[Beg]]&lt;=0,0,tblContractForDeed[[#This Row],[Beg]]-tblContractForDeed[[#This Row],[Princ]])</f>
        <v>6992.7000000000453</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39">
        <f>IF(INDEX(tblContractForDeed[Payment],ROW()-ROW(tblBuyerOutputs[#Headers]))=0,0,INDEX(tblContractForDeed[Payment],ROW()-ROW(tblBuyerOutputs[#Headers]))-INDEX(tblSubjectToLoan[Payment],ROW()-ROW(tblBuyerOutputs[#Headers])))</f>
        <v>1777.45</v>
      </c>
      <c r="AA147"/>
      <c r="AB147" s="14">
        <f>IF(INDEX(tblContractForDeed[Payment],ROW()-ROW(tblBuyerOutputs[#Headers]))=0,0,INDEX(tblContractForDeed[Payment],ROW()-ROW(tblBuyerOutputs[#Headers]))-INDEX(tblSubjectToLoan[Payment],ROW()-ROW(tblBuyerOutputs[#Headers])))-IFERROR(tblBuyerOutputs[[#This Row],[PMI]],0)</f>
        <v>1777.45</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205703.64000000033</v>
      </c>
      <c r="AD147" s="265">
        <f>IF(INDEX(tblContractForDeed[End Bal],ROW()-ROW(tblBuyerOutputs[#Headers]))&lt;=0,0,($O$6+IF(ROW()=ROW(tblBuyerOutputs[#Headers])+1,0,INDEX(tblBuyerOutputs[Cumul Appr],ROW()-ROW(tblBuyerOutputs[#Headers])-1)))*$O$2/12)</f>
        <v>1035.054201552002</v>
      </c>
      <c r="AE147" s="587">
        <f>IF(INDEX(tblContractForDeed[End Bal],ROW()-ROW(tblBuyerOutputs[#Headers]))&lt;=0,0,IF(ROW()=ROW(tblBuyerOutputs[#Headers])+1,0,INDEX(tblBuyerOutputs[Cumul Appr],ROW()-ROW(tblBuyerOutputs[#Headers])-1))+tblBuyerOutputs[[#This Row],[Monthly Appr]])</f>
        <v>102948.06257403245</v>
      </c>
      <c r="AF147" s="22"/>
      <c r="AG147" s="14"/>
      <c r="AM147"/>
      <c r="AN147" s="14"/>
      <c r="AP147" s="265"/>
      <c r="AR147" s="14"/>
      <c r="AS147"/>
    </row>
    <row r="148" spans="1:45" x14ac:dyDescent="0.25">
      <c r="A148" s="561">
        <f t="shared" si="17"/>
        <v>49735</v>
      </c>
      <c r="B148" s="265">
        <f t="shared" si="18"/>
        <v>0</v>
      </c>
      <c r="C148" s="14">
        <f t="shared" ref="C148:C211" si="30">IF(A148="",0,IF(B148&lt;=0,0,IF(A148=subjectMortgageEndDate,B148+E148,MIN(subjectPayment,B148+E148))))</f>
        <v>0</v>
      </c>
      <c r="D148" s="14">
        <f t="shared" si="19"/>
        <v>0</v>
      </c>
      <c r="E148" s="14">
        <f t="shared" ref="E148:E211" si="31">IF(OR(A148="",B148&lt;=0),0,ROUND(B148*(subjectInterestRate/12),2))</f>
        <v>0</v>
      </c>
      <c r="F148" s="14">
        <f t="shared" si="29"/>
        <v>0</v>
      </c>
      <c r="G148" s="14">
        <f t="shared" si="29"/>
        <v>0</v>
      </c>
      <c r="H148" s="14">
        <f t="shared" si="28"/>
        <v>0</v>
      </c>
      <c r="I148" s="265">
        <f t="shared" si="22"/>
        <v>0</v>
      </c>
      <c r="J148" s="265">
        <f t="shared" si="23"/>
        <v>0</v>
      </c>
      <c r="K148" s="265">
        <f t="shared" si="20"/>
        <v>0</v>
      </c>
      <c r="L148" s="373">
        <f t="shared" si="26"/>
        <v>10</v>
      </c>
      <c r="M148" s="373">
        <f t="shared" si="21"/>
        <v>128</v>
      </c>
      <c r="N148" s="561">
        <f>INDEX(tblSubjectToLoan[Date],ROW()-ROW(tblContractForDeed[#Headers]))</f>
        <v>49735</v>
      </c>
      <c r="O148" s="265">
        <f>IF(ROW()=ROW(tblContractForDeed[#Headers])+1,$O$6,IF(INDEX(tblContractForDeed[End Bal],ROW()-ROW(tblContractForDeed[#Headers])-1)&lt;0,0,INDEX(tblContractForDeed[End Bal],ROW()-ROW(tblContractForDeed[#Headers])-1)))</f>
        <v>6992.7000000000453</v>
      </c>
      <c r="P148" s="431">
        <f>IF(tblContractForDeed[[#This Row],[Date]]="","",IF(tblContractForDeed[[#This Row],[Date]]&lt;cfdRateChangeDate,cfdRate1,cfdRate2))</f>
        <v>0.08</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8" s="265">
        <f>IF(tblContractForDeed[[#This Row],[Payment]]=0,0,MAX(0,MIN(tblContractForDeed[[#This Row],[Beg]],tblContractForDeed[[#This Row],[Payment]]-tblContractForDeed[[#This Row],[Int]])))</f>
        <v>1730.8300000000002</v>
      </c>
      <c r="S148" s="265">
        <f>IF(OR(tblContractForDeed[[#This Row],[Date]]&lt;cfdContractDate,tblContractForDeed[[#This Row],[Date]]&gt;cfdEndDate),0,ROUND(tblContractForDeed[[#This Row],[Beg]]*(tblContractForDeed[[#This Row],[Int Rate]]/12),2))</f>
        <v>46.62</v>
      </c>
      <c r="T148" s="265">
        <f>IF(tblContractForDeed[[#This Row],[Payment]]=0,0,$V$2)</f>
        <v>134.16999999999999</v>
      </c>
      <c r="U148" s="265">
        <f>IF(tblContractForDeed[[#This Row],[Princ]]=0,0,$V$3)</f>
        <v>0</v>
      </c>
      <c r="V148" s="265">
        <f>SUM(tblContractForDeed[[#This Row],[Princ]],tblContractForDeed[[#This Row],[Int]],tblContractForDeed[[#This Row],[Ins]],tblContractForDeed[[#This Row],[Taxes]])</f>
        <v>1911.6200000000001</v>
      </c>
      <c r="W148" s="265">
        <f>SUM(INDEX(tblContractForDeed[Princ],1):INDEX(tblContractForDeed[Princ],ROW()-ROW(tblContractForDeed[#Headers])))</f>
        <v>141238.12999999998</v>
      </c>
      <c r="X148" s="265">
        <f>IF(tblContractForDeed[[#This Row],[Beg]]&lt;=0,0,tblContractForDeed[[#This Row],[Beg]]-tblContractForDeed[[#This Row],[Princ]])</f>
        <v>5261.8700000000454</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39">
        <f>IF(INDEX(tblContractForDeed[Payment],ROW()-ROW(tblBuyerOutputs[#Headers]))=0,0,INDEX(tblContractForDeed[Payment],ROW()-ROW(tblBuyerOutputs[#Headers]))-INDEX(tblSubjectToLoan[Payment],ROW()-ROW(tblBuyerOutputs[#Headers])))</f>
        <v>1777.45</v>
      </c>
      <c r="AA148"/>
      <c r="AB148" s="14">
        <f>IF(INDEX(tblContractForDeed[Payment],ROW()-ROW(tblBuyerOutputs[#Headers]))=0,0,INDEX(tblContractForDeed[Payment],ROW()-ROW(tblBuyerOutputs[#Headers]))-INDEX(tblSubjectToLoan[Payment],ROW()-ROW(tblBuyerOutputs[#Headers])))-IFERROR(tblBuyerOutputs[[#This Row],[PMI]],0)</f>
        <v>1777.45</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207481.09000000035</v>
      </c>
      <c r="AD148" s="265">
        <f>IF(INDEX(tblContractForDeed[End Bal],ROW()-ROW(tblBuyerOutputs[#Headers]))&lt;=0,0,($O$6+IF(ROW()=ROW(tblBuyerOutputs[#Headers])+1,0,INDEX(tblBuyerOutputs[Cumul Appr],ROW()-ROW(tblBuyerOutputs[#Headers])-1)))*$O$2/12)</f>
        <v>1039.3669273918019</v>
      </c>
      <c r="AE148" s="587">
        <f>IF(INDEX(tblContractForDeed[End Bal],ROW()-ROW(tblBuyerOutputs[#Headers]))&lt;=0,0,IF(ROW()=ROW(tblBuyerOutputs[#Headers])+1,0,INDEX(tblBuyerOutputs[Cumul Appr],ROW()-ROW(tblBuyerOutputs[#Headers])-1))+tblBuyerOutputs[[#This Row],[Monthly Appr]])</f>
        <v>103987.42950142425</v>
      </c>
      <c r="AF148" s="22"/>
      <c r="AG148" s="14"/>
      <c r="AM148"/>
      <c r="AN148" s="14"/>
      <c r="AP148" s="265"/>
      <c r="AR148" s="14"/>
      <c r="AS148"/>
    </row>
    <row r="149" spans="1:45" x14ac:dyDescent="0.25">
      <c r="A149" s="561">
        <f t="shared" ref="A149:A212" si="32">IF(OR(A148="",A148&gt;=subjectMortgageEndDate),"",EDATE(A148,1))</f>
        <v>49766</v>
      </c>
      <c r="B149" s="265">
        <f t="shared" ref="B149:B212" si="33">IF(A149="",0,MAX(0,K148))</f>
        <v>0</v>
      </c>
      <c r="C149" s="14">
        <f t="shared" si="30"/>
        <v>0</v>
      </c>
      <c r="D149" s="14">
        <f t="shared" ref="D149:D212" si="34">IF(C149=0,0,MAX(0,MIN(B149,C149-E149)))</f>
        <v>0</v>
      </c>
      <c r="E149" s="14">
        <f t="shared" si="31"/>
        <v>0</v>
      </c>
      <c r="F149" s="14">
        <f t="shared" si="29"/>
        <v>0</v>
      </c>
      <c r="G149" s="14">
        <f t="shared" si="29"/>
        <v>0</v>
      </c>
      <c r="H149" s="14">
        <f t="shared" si="28"/>
        <v>0</v>
      </c>
      <c r="I149" s="265">
        <f t="shared" si="22"/>
        <v>0</v>
      </c>
      <c r="J149" s="265">
        <f t="shared" si="23"/>
        <v>0</v>
      </c>
      <c r="K149" s="265">
        <f t="shared" ref="K149:K212" si="35">IF(A149="",0,IF(B149&lt;=0,0,MAX(0,B149-D149)))</f>
        <v>0</v>
      </c>
      <c r="L149" s="373">
        <f t="shared" si="26"/>
        <v>10</v>
      </c>
      <c r="M149" s="373">
        <f t="shared" ref="M149:M212" si="36">IF($A149&lt;&gt;"",M148+1,0)</f>
        <v>129</v>
      </c>
      <c r="N149" s="561">
        <f>INDEX(tblSubjectToLoan[Date],ROW()-ROW(tblContractForDeed[#Headers]))</f>
        <v>49766</v>
      </c>
      <c r="O149" s="265">
        <f>IF(ROW()=ROW(tblContractForDeed[#Headers])+1,$O$6,IF(INDEX(tblContractForDeed[End Bal],ROW()-ROW(tblContractForDeed[#Headers])-1)&lt;0,0,INDEX(tblContractForDeed[End Bal],ROW()-ROW(tblContractForDeed[#Headers])-1)))</f>
        <v>5261.8700000000454</v>
      </c>
      <c r="P149" s="431">
        <f>IF(tblContractForDeed[[#This Row],[Date]]="","",IF(tblContractForDeed[[#This Row],[Date]]&lt;cfdRateChangeDate,cfdRate1,cfdRate2))</f>
        <v>0.08</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9" s="265">
        <f>IF(tblContractForDeed[[#This Row],[Payment]]=0,0,MAX(0,MIN(tblContractForDeed[[#This Row],[Beg]],tblContractForDeed[[#This Row],[Payment]]-tblContractForDeed[[#This Row],[Int]])))</f>
        <v>1742.3700000000001</v>
      </c>
      <c r="S149" s="265">
        <f>IF(OR(tblContractForDeed[[#This Row],[Date]]&lt;cfdContractDate,tblContractForDeed[[#This Row],[Date]]&gt;cfdEndDate),0,ROUND(tblContractForDeed[[#This Row],[Beg]]*(tblContractForDeed[[#This Row],[Int Rate]]/12),2))</f>
        <v>35.08</v>
      </c>
      <c r="T149" s="265">
        <f>IF(tblContractForDeed[[#This Row],[Payment]]=0,0,$V$2)</f>
        <v>134.16999999999999</v>
      </c>
      <c r="U149" s="265">
        <f>IF(tblContractForDeed[[#This Row],[Princ]]=0,0,$V$3)</f>
        <v>0</v>
      </c>
      <c r="V149" s="265">
        <f>SUM(tblContractForDeed[[#This Row],[Princ]],tblContractForDeed[[#This Row],[Int]],tblContractForDeed[[#This Row],[Ins]],tblContractForDeed[[#This Row],[Taxes]])</f>
        <v>1911.6200000000001</v>
      </c>
      <c r="W149" s="265">
        <f>SUM(INDEX(tblContractForDeed[Princ],1):INDEX(tblContractForDeed[Princ],ROW()-ROW(tblContractForDeed[#Headers])))</f>
        <v>142980.49999999997</v>
      </c>
      <c r="X149" s="265">
        <f>IF(tblContractForDeed[[#This Row],[Beg]]&lt;=0,0,tblContractForDeed[[#This Row],[Beg]]-tblContractForDeed[[#This Row],[Princ]])</f>
        <v>3519.5000000000455</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39">
        <f>IF(INDEX(tblContractForDeed[Payment],ROW()-ROW(tblBuyerOutputs[#Headers]))=0,0,INDEX(tblContractForDeed[Payment],ROW()-ROW(tblBuyerOutputs[#Headers]))-INDEX(tblSubjectToLoan[Payment],ROW()-ROW(tblBuyerOutputs[#Headers])))</f>
        <v>1777.45</v>
      </c>
      <c r="AA149"/>
      <c r="AB149" s="14">
        <f>IF(INDEX(tblContractForDeed[Payment],ROW()-ROW(tblBuyerOutputs[#Headers]))=0,0,INDEX(tblContractForDeed[Payment],ROW()-ROW(tblBuyerOutputs[#Headers]))-INDEX(tblSubjectToLoan[Payment],ROW()-ROW(tblBuyerOutputs[#Headers])))-IFERROR(tblBuyerOutputs[[#This Row],[PMI]],0)</f>
        <v>1777.45</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209258.54000000036</v>
      </c>
      <c r="AD149" s="265">
        <f>IF(INDEX(tblContractForDeed[End Bal],ROW()-ROW(tblBuyerOutputs[#Headers]))&lt;=0,0,($O$6+IF(ROW()=ROW(tblBuyerOutputs[#Headers])+1,0,INDEX(tblBuyerOutputs[Cumul Appr],ROW()-ROW(tblBuyerOutputs[#Headers])-1)))*$O$2/12)</f>
        <v>1043.6976229226011</v>
      </c>
      <c r="AE149" s="587">
        <f>IF(INDEX(tblContractForDeed[End Bal],ROW()-ROW(tblBuyerOutputs[#Headers]))&lt;=0,0,IF(ROW()=ROW(tblBuyerOutputs[#Headers])+1,0,INDEX(tblBuyerOutputs[Cumul Appr],ROW()-ROW(tblBuyerOutputs[#Headers])-1))+tblBuyerOutputs[[#This Row],[Monthly Appr]])</f>
        <v>105031.12712434685</v>
      </c>
      <c r="AF149" s="22"/>
      <c r="AG149" s="14"/>
      <c r="AM149"/>
      <c r="AN149" s="14"/>
      <c r="AP149" s="265"/>
      <c r="AR149" s="14"/>
      <c r="AS149"/>
    </row>
    <row r="150" spans="1:45" x14ac:dyDescent="0.25">
      <c r="A150" s="561">
        <f t="shared" si="32"/>
        <v>49796</v>
      </c>
      <c r="B150" s="265">
        <f t="shared" si="33"/>
        <v>0</v>
      </c>
      <c r="C150" s="14">
        <f t="shared" si="30"/>
        <v>0</v>
      </c>
      <c r="D150" s="14">
        <f t="shared" si="34"/>
        <v>0</v>
      </c>
      <c r="E150" s="14">
        <f t="shared" si="31"/>
        <v>0</v>
      </c>
      <c r="F150" s="14">
        <f t="shared" si="29"/>
        <v>0</v>
      </c>
      <c r="G150" s="14">
        <f t="shared" si="29"/>
        <v>0</v>
      </c>
      <c r="H150" s="14">
        <f t="shared" si="28"/>
        <v>0</v>
      </c>
      <c r="I150" s="265">
        <f t="shared" ref="I150:I213" si="37">$D150+$I149</f>
        <v>0</v>
      </c>
      <c r="J150" s="265">
        <f t="shared" ref="J150:J213" si="38">$E150+$J149</f>
        <v>0</v>
      </c>
      <c r="K150" s="265">
        <f t="shared" si="35"/>
        <v>0</v>
      </c>
      <c r="L150" s="373">
        <f t="shared" si="26"/>
        <v>10</v>
      </c>
      <c r="M150" s="373">
        <f t="shared" si="36"/>
        <v>130</v>
      </c>
      <c r="N150" s="561">
        <f>INDEX(tblSubjectToLoan[Date],ROW()-ROW(tblContractForDeed[#Headers]))</f>
        <v>49796</v>
      </c>
      <c r="O150" s="265">
        <f>IF(ROW()=ROW(tblContractForDeed[#Headers])+1,$O$6,IF(INDEX(tblContractForDeed[End Bal],ROW()-ROW(tblContractForDeed[#Headers])-1)&lt;0,0,INDEX(tblContractForDeed[End Bal],ROW()-ROW(tblContractForDeed[#Headers])-1)))</f>
        <v>3519.5000000000455</v>
      </c>
      <c r="P150" s="431">
        <f>IF(tblContractForDeed[[#This Row],[Date]]="","",IF(tblContractForDeed[[#This Row],[Date]]&lt;cfdRateChangeDate,cfdRate1,cfdRate2))</f>
        <v>0.08</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50" s="265">
        <f>IF(tblContractForDeed[[#This Row],[Payment]]=0,0,MAX(0,MIN(tblContractForDeed[[#This Row],[Beg]],tblContractForDeed[[#This Row],[Payment]]-tblContractForDeed[[#This Row],[Int]])))</f>
        <v>1753.99</v>
      </c>
      <c r="S150" s="265">
        <f>IF(OR(tblContractForDeed[[#This Row],[Date]]&lt;cfdContractDate,tblContractForDeed[[#This Row],[Date]]&gt;cfdEndDate),0,ROUND(tblContractForDeed[[#This Row],[Beg]]*(tblContractForDeed[[#This Row],[Int Rate]]/12),2))</f>
        <v>23.46</v>
      </c>
      <c r="T150" s="265">
        <f>IF(tblContractForDeed[[#This Row],[Payment]]=0,0,$V$2)</f>
        <v>134.16999999999999</v>
      </c>
      <c r="U150" s="265">
        <f>IF(tblContractForDeed[[#This Row],[Princ]]=0,0,$V$3)</f>
        <v>0</v>
      </c>
      <c r="V150" s="265">
        <f>SUM(tblContractForDeed[[#This Row],[Princ]],tblContractForDeed[[#This Row],[Int]],tblContractForDeed[[#This Row],[Ins]],tblContractForDeed[[#This Row],[Taxes]])</f>
        <v>1911.6200000000001</v>
      </c>
      <c r="W150" s="265">
        <f>SUM(INDEX(tblContractForDeed[Princ],1):INDEX(tblContractForDeed[Princ],ROW()-ROW(tblContractForDeed[#Headers])))</f>
        <v>144734.48999999996</v>
      </c>
      <c r="X150" s="265">
        <f>IF(tblContractForDeed[[#This Row],[Beg]]&lt;=0,0,tblContractForDeed[[#This Row],[Beg]]-tblContractForDeed[[#This Row],[Princ]])</f>
        <v>1765.5100000000455</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39">
        <f>IF(INDEX(tblContractForDeed[Payment],ROW()-ROW(tblBuyerOutputs[#Headers]))=0,0,INDEX(tblContractForDeed[Payment],ROW()-ROW(tblBuyerOutputs[#Headers]))-INDEX(tblSubjectToLoan[Payment],ROW()-ROW(tblBuyerOutputs[#Headers])))</f>
        <v>1777.45</v>
      </c>
      <c r="AA150"/>
      <c r="AB150" s="14">
        <f>IF(INDEX(tblContractForDeed[Payment],ROW()-ROW(tblBuyerOutputs[#Headers]))=0,0,INDEX(tblContractForDeed[Payment],ROW()-ROW(tblBuyerOutputs[#Headers]))-INDEX(tblSubjectToLoan[Payment],ROW()-ROW(tblBuyerOutputs[#Headers])))-IFERROR(tblBuyerOutputs[[#This Row],[PMI]],0)</f>
        <v>1777.45</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211035.99000000037</v>
      </c>
      <c r="AD150" s="265">
        <f>IF(INDEX(tblContractForDeed[End Bal],ROW()-ROW(tblBuyerOutputs[#Headers]))&lt;=0,0,($O$6+IF(ROW()=ROW(tblBuyerOutputs[#Headers])+1,0,INDEX(tblBuyerOutputs[Cumul Appr],ROW()-ROW(tblBuyerOutputs[#Headers])-1)))*$O$2/12)</f>
        <v>1048.0463630181118</v>
      </c>
      <c r="AE150" s="587">
        <f>IF(INDEX(tblContractForDeed[End Bal],ROW()-ROW(tblBuyerOutputs[#Headers]))&lt;=0,0,IF(ROW()=ROW(tblBuyerOutputs[#Headers])+1,0,INDEX(tblBuyerOutputs[Cumul Appr],ROW()-ROW(tblBuyerOutputs[#Headers])-1))+tblBuyerOutputs[[#This Row],[Monthly Appr]])</f>
        <v>106079.17348736497</v>
      </c>
      <c r="AF150" s="22"/>
      <c r="AG150" s="14"/>
      <c r="AM150"/>
      <c r="AN150" s="14"/>
      <c r="AP150" s="265"/>
      <c r="AR150" s="14"/>
      <c r="AS150"/>
    </row>
    <row r="151" spans="1:45" ht="15.75" thickBot="1" x14ac:dyDescent="0.3">
      <c r="A151" s="562">
        <f t="shared" si="32"/>
        <v>49827</v>
      </c>
      <c r="B151" s="316">
        <f t="shared" si="33"/>
        <v>0</v>
      </c>
      <c r="C151" s="21">
        <f t="shared" si="30"/>
        <v>0</v>
      </c>
      <c r="D151" s="21">
        <f t="shared" si="34"/>
        <v>0</v>
      </c>
      <c r="E151" s="21">
        <f t="shared" si="31"/>
        <v>0</v>
      </c>
      <c r="F151" s="21">
        <f t="shared" si="29"/>
        <v>0</v>
      </c>
      <c r="G151" s="21">
        <f t="shared" si="29"/>
        <v>0</v>
      </c>
      <c r="H151" s="21">
        <f t="shared" si="28"/>
        <v>0</v>
      </c>
      <c r="I151" s="316">
        <f t="shared" si="37"/>
        <v>0</v>
      </c>
      <c r="J151" s="316">
        <f t="shared" si="38"/>
        <v>0</v>
      </c>
      <c r="K151" s="316">
        <f t="shared" si="35"/>
        <v>0</v>
      </c>
      <c r="L151" s="374">
        <f t="shared" si="26"/>
        <v>10</v>
      </c>
      <c r="M151" s="374">
        <f t="shared" si="36"/>
        <v>131</v>
      </c>
      <c r="N151" s="562">
        <f>INDEX(tblSubjectToLoan[Date],ROW()-ROW(tblContractForDeed[#Headers]))</f>
        <v>49827</v>
      </c>
      <c r="O151" s="316">
        <f>IF(ROW()=ROW(tblContractForDeed[#Headers])+1,$O$6,IF(INDEX(tblContractForDeed[End Bal],ROW()-ROW(tblContractForDeed[#Headers])-1)&lt;0,0,INDEX(tblContractForDeed[End Bal],ROW()-ROW(tblContractForDeed[#Headers])-1)))</f>
        <v>1765.5100000000455</v>
      </c>
      <c r="P151" s="585">
        <f>IF(tblContractForDeed[[#This Row],[Date]]="","",IF(tblContractForDeed[[#This Row],[Date]]&lt;cfdRateChangeDate,cfdRate1,cfdRate2))</f>
        <v>0.08</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1777.2800000000454</v>
      </c>
      <c r="R151" s="316">
        <f>IF(tblContractForDeed[[#This Row],[Payment]]=0,0,MAX(0,MIN(tblContractForDeed[[#This Row],[Beg]],tblContractForDeed[[#This Row],[Payment]]-tblContractForDeed[[#This Row],[Int]])))</f>
        <v>1765.5100000000455</v>
      </c>
      <c r="S151" s="316">
        <f>IF(OR(tblContractForDeed[[#This Row],[Date]]&lt;cfdContractDate,tblContractForDeed[[#This Row],[Date]]&gt;cfdEndDate),0,ROUND(tblContractForDeed[[#This Row],[Beg]]*(tblContractForDeed[[#This Row],[Int Rate]]/12),2))</f>
        <v>11.77</v>
      </c>
      <c r="T151" s="316">
        <f>IF(tblContractForDeed[[#This Row],[Payment]]=0,0,$V$2)</f>
        <v>134.16999999999999</v>
      </c>
      <c r="U151" s="316">
        <f>IF(tblContractForDeed[[#This Row],[Princ]]=0,0,$V$3)</f>
        <v>0</v>
      </c>
      <c r="V151" s="316">
        <f>SUM(tblContractForDeed[[#This Row],[Princ]],tblContractForDeed[[#This Row],[Int]],tblContractForDeed[[#This Row],[Ins]],tblContractForDeed[[#This Row],[Taxes]])</f>
        <v>1911.4500000000455</v>
      </c>
      <c r="W151" s="316">
        <f>SUM(INDEX(tblContractForDeed[Princ],1):INDEX(tblContractForDeed[Princ],ROW()-ROW(tblContractForDeed[#Headers])))</f>
        <v>146500</v>
      </c>
      <c r="X151" s="316">
        <f>IF(tblContractForDeed[[#This Row],[Beg]]&lt;=0,0,tblContractForDeed[[#This Row],[Beg]]-tblContractForDeed[[#This Row],[Princ]])</f>
        <v>0</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0">
        <f>IF(INDEX(tblContractForDeed[Payment],ROW()-ROW(tblBuyerOutputs[#Headers]))=0,0,INDEX(tblContractForDeed[Payment],ROW()-ROW(tblBuyerOutputs[#Headers]))-INDEX(tblSubjectToLoan[Payment],ROW()-ROW(tblBuyerOutputs[#Headers])))</f>
        <v>1777.2800000000454</v>
      </c>
      <c r="AA151" s="23"/>
      <c r="AB151" s="21">
        <f>IF(INDEX(tblContractForDeed[Payment],ROW()-ROW(tblBuyerOutputs[#Headers]))=0,0,INDEX(tblContractForDeed[Payment],ROW()-ROW(tblBuyerOutputs[#Headers]))-INDEX(tblSubjectToLoan[Payment],ROW()-ROW(tblBuyerOutputs[#Headers])))-IFERROR(tblBuyerOutputs[[#This Row],[PMI]],0)</f>
        <v>1777.2800000000454</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1" s="316">
        <f>IF(INDEX(tblContractForDeed[End Bal],ROW()-ROW(tblBuyerOutputs[#Headers]))&lt;=0,0,($O$6+IF(ROW()=ROW(tblBuyerOutputs[#Headers])+1,0,INDEX(tblBuyerOutputs[Cumul Appr],ROW()-ROW(tblBuyerOutputs[#Headers])-1)))*$O$2/12)</f>
        <v>0</v>
      </c>
      <c r="AE151" s="588">
        <f>IF(INDEX(tblContractForDeed[End Bal],ROW()-ROW(tblBuyerOutputs[#Headers]))&lt;=0,0,IF(ROW()=ROW(tblBuyerOutputs[#Headers])+1,0,INDEX(tblBuyerOutputs[Cumul Appr],ROW()-ROW(tblBuyerOutputs[#Headers])-1))+tblBuyerOutputs[[#This Row],[Monthly Appr]])</f>
        <v>0</v>
      </c>
      <c r="AF151" s="22"/>
      <c r="AG151" s="14"/>
      <c r="AM151"/>
      <c r="AN151" s="14"/>
      <c r="AP151" s="265"/>
      <c r="AR151" s="14"/>
      <c r="AS151"/>
    </row>
    <row r="152" spans="1:45" x14ac:dyDescent="0.25">
      <c r="A152" s="561">
        <f t="shared" si="32"/>
        <v>49857</v>
      </c>
      <c r="B152" s="265">
        <f t="shared" si="33"/>
        <v>0</v>
      </c>
      <c r="C152" s="14">
        <f t="shared" si="30"/>
        <v>0</v>
      </c>
      <c r="D152" s="14">
        <f t="shared" si="34"/>
        <v>0</v>
      </c>
      <c r="E152" s="14">
        <f t="shared" si="31"/>
        <v>0</v>
      </c>
      <c r="F152" s="14">
        <f t="shared" si="29"/>
        <v>0</v>
      </c>
      <c r="G152" s="14">
        <f t="shared" si="29"/>
        <v>0</v>
      </c>
      <c r="H152" s="14">
        <f t="shared" si="28"/>
        <v>0</v>
      </c>
      <c r="I152" s="265">
        <f t="shared" si="37"/>
        <v>0</v>
      </c>
      <c r="J152" s="265">
        <f t="shared" si="38"/>
        <v>0</v>
      </c>
      <c r="K152" s="265">
        <f t="shared" si="35"/>
        <v>0</v>
      </c>
      <c r="L152" s="373">
        <f t="shared" si="26"/>
        <v>11</v>
      </c>
      <c r="M152" s="373">
        <f t="shared" si="36"/>
        <v>132</v>
      </c>
      <c r="N152" s="561">
        <f>INDEX(tblSubjectToLoan[Date],ROW()-ROW(tblContractForDeed[#Headers]))</f>
        <v>49857</v>
      </c>
      <c r="O152" s="265">
        <f>IF(ROW()=ROW(tblContractForDeed[#Headers])+1,$O$6,IF(INDEX(tblContractForDeed[End Bal],ROW()-ROW(tblContractForDeed[#Headers])-1)&lt;0,0,INDEX(tblContractForDeed[End Bal],ROW()-ROW(tblContractForDeed[#Headers])-1)))</f>
        <v>0</v>
      </c>
      <c r="P152" s="431">
        <f>IF(tblContractForDeed[[#This Row],[Date]]="","",IF(tblContractForDeed[[#This Row],[Date]]&lt;cfdRateChangeDate,cfdRate1,cfdRate2))</f>
        <v>0.03</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2" s="265">
        <f>IF(tblContractForDeed[[#This Row],[Payment]]=0,0,MAX(0,MIN(tblContractForDeed[[#This Row],[Beg]],tblContractForDeed[[#This Row],[Payment]]-tblContractForDeed[[#This Row],[Int]])))</f>
        <v>0</v>
      </c>
      <c r="S152" s="265">
        <f>IF(OR(tblContractForDeed[[#This Row],[Date]]&lt;cfdContractDate,tblContractForDeed[[#This Row],[Date]]&gt;cfdEndDate),0,ROUND(tblContractForDeed[[#This Row],[Beg]]*(tblContractForDeed[[#This Row],[Int Rate]]/12),2))</f>
        <v>0</v>
      </c>
      <c r="T152" s="265">
        <f>IF(tblContractForDeed[[#This Row],[Payment]]=0,0,$V$2)</f>
        <v>0</v>
      </c>
      <c r="U152" s="265">
        <f>IF(tblContractForDeed[[#This Row],[Princ]]=0,0,$V$3)</f>
        <v>0</v>
      </c>
      <c r="V152" s="265">
        <f>SUM(tblContractForDeed[[#This Row],[Princ]],tblContractForDeed[[#This Row],[Int]],tblContractForDeed[[#This Row],[Ins]],tblContractForDeed[[#This Row],[Taxes]])</f>
        <v>0</v>
      </c>
      <c r="W152" s="265">
        <f>SUM(INDEX(tblContractForDeed[Princ],1):INDEX(tblContractForDeed[Princ],ROW()-ROW(tblContractForDeed[#Headers])))</f>
        <v>146500</v>
      </c>
      <c r="X152" s="265">
        <f>IF(tblContractForDeed[[#This Row],[Beg]]&lt;=0,0,tblContractForDeed[[#This Row],[Beg]]-tblContractForDeed[[#This Row],[Princ]])</f>
        <v>0</v>
      </c>
      <c r="Y1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2" s="439">
        <f>IF(INDEX(tblContractForDeed[Payment],ROW()-ROW(tblBuyerOutputs[#Headers]))=0,0,INDEX(tblContractForDeed[Payment],ROW()-ROW(tblBuyerOutputs[#Headers]))-INDEX(tblSubjectToLoan[Payment],ROW()-ROW(tblBuyerOutputs[#Headers])))</f>
        <v>0</v>
      </c>
      <c r="AA152"/>
      <c r="AB152" s="14">
        <f>IF(INDEX(tblContractForDeed[Payment],ROW()-ROW(tblBuyerOutputs[#Headers]))=0,0,INDEX(tblContractForDeed[Payment],ROW()-ROW(tblBuyerOutputs[#Headers]))-INDEX(tblSubjectToLoan[Payment],ROW()-ROW(tblBuyerOutputs[#Headers])))-IFERROR(tblBuyerOutputs[[#This Row],[PMI]],0)</f>
        <v>0</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2" s="265">
        <f>IF(INDEX(tblContractForDeed[End Bal],ROW()-ROW(tblBuyerOutputs[#Headers]))&lt;=0,0,($O$6+IF(ROW()=ROW(tblBuyerOutputs[#Headers])+1,0,INDEX(tblBuyerOutputs[Cumul Appr],ROW()-ROW(tblBuyerOutputs[#Headers])-1)))*$O$2/12)</f>
        <v>0</v>
      </c>
      <c r="AE152" s="587">
        <f>IF(INDEX(tblContractForDeed[End Bal],ROW()-ROW(tblBuyerOutputs[#Headers]))&lt;=0,0,IF(ROW()=ROW(tblBuyerOutputs[#Headers])+1,0,INDEX(tblBuyerOutputs[Cumul Appr],ROW()-ROW(tblBuyerOutputs[#Headers])-1))+tblBuyerOutputs[[#This Row],[Monthly Appr]])</f>
        <v>0</v>
      </c>
      <c r="AF152" s="22"/>
      <c r="AG152" s="14"/>
      <c r="AM152"/>
      <c r="AN152" s="14"/>
      <c r="AP152" s="265"/>
      <c r="AR152" s="14"/>
      <c r="AS152"/>
    </row>
    <row r="153" spans="1:45" x14ac:dyDescent="0.25">
      <c r="A153" s="561">
        <f t="shared" si="32"/>
        <v>49888</v>
      </c>
      <c r="B153" s="265">
        <f t="shared" si="33"/>
        <v>0</v>
      </c>
      <c r="C153" s="14">
        <f t="shared" si="30"/>
        <v>0</v>
      </c>
      <c r="D153" s="14">
        <f t="shared" si="34"/>
        <v>0</v>
      </c>
      <c r="E153" s="14">
        <f t="shared" si="31"/>
        <v>0</v>
      </c>
      <c r="F153" s="14">
        <f t="shared" si="29"/>
        <v>0</v>
      </c>
      <c r="G153" s="14">
        <f t="shared" si="29"/>
        <v>0</v>
      </c>
      <c r="H153" s="14">
        <f t="shared" si="28"/>
        <v>0</v>
      </c>
      <c r="I153" s="265">
        <f t="shared" si="37"/>
        <v>0</v>
      </c>
      <c r="J153" s="265">
        <f t="shared" si="38"/>
        <v>0</v>
      </c>
      <c r="K153" s="265">
        <f t="shared" si="35"/>
        <v>0</v>
      </c>
      <c r="L153" s="373">
        <f t="shared" si="26"/>
        <v>11</v>
      </c>
      <c r="M153" s="373">
        <f t="shared" si="36"/>
        <v>133</v>
      </c>
      <c r="N153" s="561">
        <f>INDEX(tblSubjectToLoan[Date],ROW()-ROW(tblContractForDeed[#Headers]))</f>
        <v>49888</v>
      </c>
      <c r="O153" s="265">
        <f>IF(ROW()=ROW(tblContractForDeed[#Headers])+1,$O$6,IF(INDEX(tblContractForDeed[End Bal],ROW()-ROW(tblContractForDeed[#Headers])-1)&lt;0,0,INDEX(tblContractForDeed[End Bal],ROW()-ROW(tblContractForDeed[#Headers])-1)))</f>
        <v>0</v>
      </c>
      <c r="P153" s="431">
        <f>IF(tblContractForDeed[[#This Row],[Date]]="","",IF(tblContractForDeed[[#This Row],[Date]]&lt;cfdRateChangeDate,cfdRate1,cfdRate2))</f>
        <v>0.03</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3" s="265">
        <f>IF(tblContractForDeed[[#This Row],[Payment]]=0,0,MAX(0,MIN(tblContractForDeed[[#This Row],[Beg]],tblContractForDeed[[#This Row],[Payment]]-tblContractForDeed[[#This Row],[Int]])))</f>
        <v>0</v>
      </c>
      <c r="S153" s="265">
        <f>IF(OR(tblContractForDeed[[#This Row],[Date]]&lt;cfdContractDate,tblContractForDeed[[#This Row],[Date]]&gt;cfdEndDate),0,ROUND(tblContractForDeed[[#This Row],[Beg]]*(tblContractForDeed[[#This Row],[Int Rate]]/12),2))</f>
        <v>0</v>
      </c>
      <c r="T153" s="265">
        <f>IF(tblContractForDeed[[#This Row],[Payment]]=0,0,$V$2)</f>
        <v>0</v>
      </c>
      <c r="U153" s="265">
        <f>IF(tblContractForDeed[[#This Row],[Princ]]=0,0,$V$3)</f>
        <v>0</v>
      </c>
      <c r="V153" s="265">
        <f>SUM(tblContractForDeed[[#This Row],[Princ]],tblContractForDeed[[#This Row],[Int]],tblContractForDeed[[#This Row],[Ins]],tblContractForDeed[[#This Row],[Taxes]])</f>
        <v>0</v>
      </c>
      <c r="W153" s="265">
        <f>SUM(INDEX(tblContractForDeed[Princ],1):INDEX(tblContractForDeed[Princ],ROW()-ROW(tblContractForDeed[#Headers])))</f>
        <v>146500</v>
      </c>
      <c r="X153" s="265">
        <f>IF(tblContractForDeed[[#This Row],[Beg]]&lt;=0,0,tblContractForDeed[[#This Row],[Beg]]-tblContractForDeed[[#This Row],[Princ]])</f>
        <v>0</v>
      </c>
      <c r="Y1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3" s="439">
        <f>IF(INDEX(tblContractForDeed[Payment],ROW()-ROW(tblBuyerOutputs[#Headers]))=0,0,INDEX(tblContractForDeed[Payment],ROW()-ROW(tblBuyerOutputs[#Headers]))-INDEX(tblSubjectToLoan[Payment],ROW()-ROW(tblBuyerOutputs[#Headers])))</f>
        <v>0</v>
      </c>
      <c r="AA153"/>
      <c r="AB153" s="14">
        <f>IF(INDEX(tblContractForDeed[Payment],ROW()-ROW(tblBuyerOutputs[#Headers]))=0,0,INDEX(tblContractForDeed[Payment],ROW()-ROW(tblBuyerOutputs[#Headers]))-INDEX(tblSubjectToLoan[Payment],ROW()-ROW(tblBuyerOutputs[#Headers])))-IFERROR(tblBuyerOutputs[[#This Row],[PMI]],0)</f>
        <v>0</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3" s="265">
        <f>IF(INDEX(tblContractForDeed[End Bal],ROW()-ROW(tblBuyerOutputs[#Headers]))&lt;=0,0,($O$6+IF(ROW()=ROW(tblBuyerOutputs[#Headers])+1,0,INDEX(tblBuyerOutputs[Cumul Appr],ROW()-ROW(tblBuyerOutputs[#Headers])-1)))*$O$2/12)</f>
        <v>0</v>
      </c>
      <c r="AE153" s="587">
        <f>IF(INDEX(tblContractForDeed[End Bal],ROW()-ROW(tblBuyerOutputs[#Headers]))&lt;=0,0,IF(ROW()=ROW(tblBuyerOutputs[#Headers])+1,0,INDEX(tblBuyerOutputs[Cumul Appr],ROW()-ROW(tblBuyerOutputs[#Headers])-1))+tblBuyerOutputs[[#This Row],[Monthly Appr]])</f>
        <v>0</v>
      </c>
      <c r="AF153" s="22"/>
      <c r="AG153" s="14"/>
      <c r="AM153"/>
      <c r="AN153" s="14"/>
      <c r="AP153" s="265"/>
      <c r="AR153" s="14"/>
      <c r="AS153"/>
    </row>
    <row r="154" spans="1:45" x14ac:dyDescent="0.25">
      <c r="A154" s="561">
        <f t="shared" si="32"/>
        <v>49919</v>
      </c>
      <c r="B154" s="265">
        <f t="shared" si="33"/>
        <v>0</v>
      </c>
      <c r="C154" s="14">
        <f t="shared" si="30"/>
        <v>0</v>
      </c>
      <c r="D154" s="14">
        <f t="shared" si="34"/>
        <v>0</v>
      </c>
      <c r="E154" s="14">
        <f t="shared" si="31"/>
        <v>0</v>
      </c>
      <c r="F154" s="14">
        <f t="shared" si="29"/>
        <v>0</v>
      </c>
      <c r="G154" s="14">
        <f t="shared" si="29"/>
        <v>0</v>
      </c>
      <c r="H154" s="14">
        <f t="shared" si="28"/>
        <v>0</v>
      </c>
      <c r="I154" s="265">
        <f t="shared" si="37"/>
        <v>0</v>
      </c>
      <c r="J154" s="265">
        <f t="shared" si="38"/>
        <v>0</v>
      </c>
      <c r="K154" s="265">
        <f t="shared" si="35"/>
        <v>0</v>
      </c>
      <c r="L154" s="373">
        <f t="shared" si="26"/>
        <v>11</v>
      </c>
      <c r="M154" s="373">
        <f t="shared" si="36"/>
        <v>134</v>
      </c>
      <c r="N154" s="561">
        <f>INDEX(tblSubjectToLoan[Date],ROW()-ROW(tblContractForDeed[#Headers]))</f>
        <v>49919</v>
      </c>
      <c r="O154" s="265">
        <f>IF(ROW()=ROW(tblContractForDeed[#Headers])+1,$O$6,IF(INDEX(tblContractForDeed[End Bal],ROW()-ROW(tblContractForDeed[#Headers])-1)&lt;0,0,INDEX(tblContractForDeed[End Bal],ROW()-ROW(tblContractForDeed[#Headers])-1)))</f>
        <v>0</v>
      </c>
      <c r="P154" s="431">
        <f>IF(tblContractForDeed[[#This Row],[Date]]="","",IF(tblContractForDeed[[#This Row],[Date]]&lt;cfdRateChangeDate,cfdRate1,cfdRate2))</f>
        <v>0.03</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4" s="265">
        <f>IF(tblContractForDeed[[#This Row],[Payment]]=0,0,MAX(0,MIN(tblContractForDeed[[#This Row],[Beg]],tblContractForDeed[[#This Row],[Payment]]-tblContractForDeed[[#This Row],[Int]])))</f>
        <v>0</v>
      </c>
      <c r="S154" s="265">
        <f>IF(OR(tblContractForDeed[[#This Row],[Date]]&lt;cfdContractDate,tblContractForDeed[[#This Row],[Date]]&gt;cfdEndDate),0,ROUND(tblContractForDeed[[#This Row],[Beg]]*(tblContractForDeed[[#This Row],[Int Rate]]/12),2))</f>
        <v>0</v>
      </c>
      <c r="T154" s="265">
        <f>IF(tblContractForDeed[[#This Row],[Payment]]=0,0,$V$2)</f>
        <v>0</v>
      </c>
      <c r="U154" s="265">
        <f>IF(tblContractForDeed[[#This Row],[Princ]]=0,0,$V$3)</f>
        <v>0</v>
      </c>
      <c r="V154" s="265">
        <f>SUM(tblContractForDeed[[#This Row],[Princ]],tblContractForDeed[[#This Row],[Int]],tblContractForDeed[[#This Row],[Ins]],tblContractForDeed[[#This Row],[Taxes]])</f>
        <v>0</v>
      </c>
      <c r="W154" s="265">
        <f>SUM(INDEX(tblContractForDeed[Princ],1):INDEX(tblContractForDeed[Princ],ROW()-ROW(tblContractForDeed[#Headers])))</f>
        <v>146500</v>
      </c>
      <c r="X154" s="265">
        <f>IF(tblContractForDeed[[#This Row],[Beg]]&lt;=0,0,tblContractForDeed[[#This Row],[Beg]]-tblContractForDeed[[#This Row],[Princ]])</f>
        <v>0</v>
      </c>
      <c r="Y1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4" s="439">
        <f>IF(INDEX(tblContractForDeed[Payment],ROW()-ROW(tblBuyerOutputs[#Headers]))=0,0,INDEX(tblContractForDeed[Payment],ROW()-ROW(tblBuyerOutputs[#Headers]))-INDEX(tblSubjectToLoan[Payment],ROW()-ROW(tblBuyerOutputs[#Headers])))</f>
        <v>0</v>
      </c>
      <c r="AA154"/>
      <c r="AB154" s="14">
        <f>IF(INDEX(tblContractForDeed[Payment],ROW()-ROW(tblBuyerOutputs[#Headers]))=0,0,INDEX(tblContractForDeed[Payment],ROW()-ROW(tblBuyerOutputs[#Headers]))-INDEX(tblSubjectToLoan[Payment],ROW()-ROW(tblBuyerOutputs[#Headers])))-IFERROR(tblBuyerOutputs[[#This Row],[PMI]],0)</f>
        <v>0</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4" s="265">
        <f>IF(INDEX(tblContractForDeed[End Bal],ROW()-ROW(tblBuyerOutputs[#Headers]))&lt;=0,0,($O$6+IF(ROW()=ROW(tblBuyerOutputs[#Headers])+1,0,INDEX(tblBuyerOutputs[Cumul Appr],ROW()-ROW(tblBuyerOutputs[#Headers])-1)))*$O$2/12)</f>
        <v>0</v>
      </c>
      <c r="AE154" s="587">
        <f>IF(INDEX(tblContractForDeed[End Bal],ROW()-ROW(tblBuyerOutputs[#Headers]))&lt;=0,0,IF(ROW()=ROW(tblBuyerOutputs[#Headers])+1,0,INDEX(tblBuyerOutputs[Cumul Appr],ROW()-ROW(tblBuyerOutputs[#Headers])-1))+tblBuyerOutputs[[#This Row],[Monthly Appr]])</f>
        <v>0</v>
      </c>
      <c r="AF154" s="22"/>
      <c r="AG154" s="14"/>
      <c r="AM154"/>
      <c r="AN154" s="14"/>
      <c r="AP154" s="265"/>
      <c r="AR154" s="14"/>
      <c r="AS154"/>
    </row>
    <row r="155" spans="1:45" x14ac:dyDescent="0.25">
      <c r="A155" s="561">
        <f t="shared" si="32"/>
        <v>49949</v>
      </c>
      <c r="B155" s="265">
        <f t="shared" si="33"/>
        <v>0</v>
      </c>
      <c r="C155" s="14">
        <f t="shared" si="30"/>
        <v>0</v>
      </c>
      <c r="D155" s="14">
        <f t="shared" si="34"/>
        <v>0</v>
      </c>
      <c r="E155" s="14">
        <f t="shared" si="31"/>
        <v>0</v>
      </c>
      <c r="F155" s="14">
        <f t="shared" si="29"/>
        <v>0</v>
      </c>
      <c r="G155" s="14">
        <f t="shared" si="29"/>
        <v>0</v>
      </c>
      <c r="H155" s="14">
        <f t="shared" si="28"/>
        <v>0</v>
      </c>
      <c r="I155" s="265">
        <f t="shared" si="37"/>
        <v>0</v>
      </c>
      <c r="J155" s="265">
        <f t="shared" si="38"/>
        <v>0</v>
      </c>
      <c r="K155" s="265">
        <f t="shared" si="35"/>
        <v>0</v>
      </c>
      <c r="L155" s="373">
        <f t="shared" si="26"/>
        <v>11</v>
      </c>
      <c r="M155" s="373">
        <f t="shared" si="36"/>
        <v>135</v>
      </c>
      <c r="N155" s="561">
        <f>INDEX(tblSubjectToLoan[Date],ROW()-ROW(tblContractForDeed[#Headers]))</f>
        <v>49949</v>
      </c>
      <c r="O155" s="265">
        <f>IF(ROW()=ROW(tblContractForDeed[#Headers])+1,$O$6,IF(INDEX(tblContractForDeed[End Bal],ROW()-ROW(tblContractForDeed[#Headers])-1)&lt;0,0,INDEX(tblContractForDeed[End Bal],ROW()-ROW(tblContractForDeed[#Headers])-1)))</f>
        <v>0</v>
      </c>
      <c r="P155" s="431">
        <f>IF(tblContractForDeed[[#This Row],[Date]]="","",IF(tblContractForDeed[[#This Row],[Date]]&lt;cfdRateChangeDate,cfdRate1,cfdRate2))</f>
        <v>0.03</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5" s="265">
        <f>IF(tblContractForDeed[[#This Row],[Payment]]=0,0,MAX(0,MIN(tblContractForDeed[[#This Row],[Beg]],tblContractForDeed[[#This Row],[Payment]]-tblContractForDeed[[#This Row],[Int]])))</f>
        <v>0</v>
      </c>
      <c r="S155" s="265">
        <f>IF(OR(tblContractForDeed[[#This Row],[Date]]&lt;cfdContractDate,tblContractForDeed[[#This Row],[Date]]&gt;cfdEndDate),0,ROUND(tblContractForDeed[[#This Row],[Beg]]*(tblContractForDeed[[#This Row],[Int Rate]]/12),2))</f>
        <v>0</v>
      </c>
      <c r="T155" s="265">
        <f>IF(tblContractForDeed[[#This Row],[Payment]]=0,0,$V$2)</f>
        <v>0</v>
      </c>
      <c r="U155" s="265">
        <f>IF(tblContractForDeed[[#This Row],[Princ]]=0,0,$V$3)</f>
        <v>0</v>
      </c>
      <c r="V155" s="265">
        <f>SUM(tblContractForDeed[[#This Row],[Princ]],tblContractForDeed[[#This Row],[Int]],tblContractForDeed[[#This Row],[Ins]],tblContractForDeed[[#This Row],[Taxes]])</f>
        <v>0</v>
      </c>
      <c r="W155" s="265">
        <f>SUM(INDEX(tblContractForDeed[Princ],1):INDEX(tblContractForDeed[Princ],ROW()-ROW(tblContractForDeed[#Headers])))</f>
        <v>146500</v>
      </c>
      <c r="X155" s="265">
        <f>IF(tblContractForDeed[[#This Row],[Beg]]&lt;=0,0,tblContractForDeed[[#This Row],[Beg]]-tblContractForDeed[[#This Row],[Princ]])</f>
        <v>0</v>
      </c>
      <c r="Y1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5" s="439">
        <f>IF(INDEX(tblContractForDeed[Payment],ROW()-ROW(tblBuyerOutputs[#Headers]))=0,0,INDEX(tblContractForDeed[Payment],ROW()-ROW(tblBuyerOutputs[#Headers]))-INDEX(tblSubjectToLoan[Payment],ROW()-ROW(tblBuyerOutputs[#Headers])))</f>
        <v>0</v>
      </c>
      <c r="AA155"/>
      <c r="AB155" s="14">
        <f>IF(INDEX(tblContractForDeed[Payment],ROW()-ROW(tblBuyerOutputs[#Headers]))=0,0,INDEX(tblContractForDeed[Payment],ROW()-ROW(tblBuyerOutputs[#Headers]))-INDEX(tblSubjectToLoan[Payment],ROW()-ROW(tblBuyerOutputs[#Headers])))-IFERROR(tblBuyerOutputs[[#This Row],[PMI]],0)</f>
        <v>0</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5" s="265">
        <f>IF(INDEX(tblContractForDeed[End Bal],ROW()-ROW(tblBuyerOutputs[#Headers]))&lt;=0,0,($O$6+IF(ROW()=ROW(tblBuyerOutputs[#Headers])+1,0,INDEX(tblBuyerOutputs[Cumul Appr],ROW()-ROW(tblBuyerOutputs[#Headers])-1)))*$O$2/12)</f>
        <v>0</v>
      </c>
      <c r="AE155" s="587">
        <f>IF(INDEX(tblContractForDeed[End Bal],ROW()-ROW(tblBuyerOutputs[#Headers]))&lt;=0,0,IF(ROW()=ROW(tblBuyerOutputs[#Headers])+1,0,INDEX(tblBuyerOutputs[Cumul Appr],ROW()-ROW(tblBuyerOutputs[#Headers])-1))+tblBuyerOutputs[[#This Row],[Monthly Appr]])</f>
        <v>0</v>
      </c>
      <c r="AF155" s="22"/>
      <c r="AG155" s="14"/>
      <c r="AM155"/>
      <c r="AN155" s="14"/>
      <c r="AP155" s="265"/>
      <c r="AR155" s="14"/>
      <c r="AS155"/>
    </row>
    <row r="156" spans="1:45" x14ac:dyDescent="0.25">
      <c r="A156" s="561">
        <f t="shared" si="32"/>
        <v>49980</v>
      </c>
      <c r="B156" s="265">
        <f t="shared" si="33"/>
        <v>0</v>
      </c>
      <c r="C156" s="14">
        <f t="shared" si="30"/>
        <v>0</v>
      </c>
      <c r="D156" s="14">
        <f t="shared" si="34"/>
        <v>0</v>
      </c>
      <c r="E156" s="14">
        <f t="shared" si="31"/>
        <v>0</v>
      </c>
      <c r="F156" s="14">
        <f t="shared" si="29"/>
        <v>0</v>
      </c>
      <c r="G156" s="14">
        <f t="shared" si="29"/>
        <v>0</v>
      </c>
      <c r="H156" s="14">
        <f t="shared" si="28"/>
        <v>0</v>
      </c>
      <c r="I156" s="265">
        <f t="shared" si="37"/>
        <v>0</v>
      </c>
      <c r="J156" s="265">
        <f t="shared" si="38"/>
        <v>0</v>
      </c>
      <c r="K156" s="265">
        <f t="shared" si="35"/>
        <v>0</v>
      </c>
      <c r="L156" s="373">
        <f t="shared" si="26"/>
        <v>11</v>
      </c>
      <c r="M156" s="373">
        <f t="shared" si="36"/>
        <v>136</v>
      </c>
      <c r="N156" s="561">
        <f>INDEX(tblSubjectToLoan[Date],ROW()-ROW(tblContractForDeed[#Headers]))</f>
        <v>49980</v>
      </c>
      <c r="O156" s="265">
        <f>IF(ROW()=ROW(tblContractForDeed[#Headers])+1,$O$6,IF(INDEX(tblContractForDeed[End Bal],ROW()-ROW(tblContractForDeed[#Headers])-1)&lt;0,0,INDEX(tblContractForDeed[End Bal],ROW()-ROW(tblContractForDeed[#Headers])-1)))</f>
        <v>0</v>
      </c>
      <c r="P156" s="431">
        <f>IF(tblContractForDeed[[#This Row],[Date]]="","",IF(tblContractForDeed[[#This Row],[Date]]&lt;cfdRateChangeDate,cfdRate1,cfdRate2))</f>
        <v>0.03</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6" s="265">
        <f>IF(tblContractForDeed[[#This Row],[Payment]]=0,0,MAX(0,MIN(tblContractForDeed[[#This Row],[Beg]],tblContractForDeed[[#This Row],[Payment]]-tblContractForDeed[[#This Row],[Int]])))</f>
        <v>0</v>
      </c>
      <c r="S156" s="265">
        <f>IF(OR(tblContractForDeed[[#This Row],[Date]]&lt;cfdContractDate,tblContractForDeed[[#This Row],[Date]]&gt;cfdEndDate),0,ROUND(tblContractForDeed[[#This Row],[Beg]]*(tblContractForDeed[[#This Row],[Int Rate]]/12),2))</f>
        <v>0</v>
      </c>
      <c r="T156" s="265">
        <f>IF(tblContractForDeed[[#This Row],[Payment]]=0,0,$V$2)</f>
        <v>0</v>
      </c>
      <c r="U156" s="265">
        <f>IF(tblContractForDeed[[#This Row],[Princ]]=0,0,$V$3)</f>
        <v>0</v>
      </c>
      <c r="V156" s="265">
        <f>SUM(tblContractForDeed[[#This Row],[Princ]],tblContractForDeed[[#This Row],[Int]],tblContractForDeed[[#This Row],[Ins]],tblContractForDeed[[#This Row],[Taxes]])</f>
        <v>0</v>
      </c>
      <c r="W156" s="265">
        <f>SUM(INDEX(tblContractForDeed[Princ],1):INDEX(tblContractForDeed[Princ],ROW()-ROW(tblContractForDeed[#Headers])))</f>
        <v>146500</v>
      </c>
      <c r="X156" s="265">
        <f>IF(tblContractForDeed[[#This Row],[Beg]]&lt;=0,0,tblContractForDeed[[#This Row],[Beg]]-tblContractForDeed[[#This Row],[Princ]])</f>
        <v>0</v>
      </c>
      <c r="Y1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6" s="439">
        <f>IF(INDEX(tblContractForDeed[Payment],ROW()-ROW(tblBuyerOutputs[#Headers]))=0,0,INDEX(tblContractForDeed[Payment],ROW()-ROW(tblBuyerOutputs[#Headers]))-INDEX(tblSubjectToLoan[Payment],ROW()-ROW(tblBuyerOutputs[#Headers])))</f>
        <v>0</v>
      </c>
      <c r="AA156"/>
      <c r="AB156" s="14">
        <f>IF(INDEX(tblContractForDeed[Payment],ROW()-ROW(tblBuyerOutputs[#Headers]))=0,0,INDEX(tblContractForDeed[Payment],ROW()-ROW(tblBuyerOutputs[#Headers]))-INDEX(tblSubjectToLoan[Payment],ROW()-ROW(tblBuyerOutputs[#Headers])))-IFERROR(tblBuyerOutputs[[#This Row],[PMI]],0)</f>
        <v>0</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6" s="265">
        <f>IF(INDEX(tblContractForDeed[End Bal],ROW()-ROW(tblBuyerOutputs[#Headers]))&lt;=0,0,($O$6+IF(ROW()=ROW(tblBuyerOutputs[#Headers])+1,0,INDEX(tblBuyerOutputs[Cumul Appr],ROW()-ROW(tblBuyerOutputs[#Headers])-1)))*$O$2/12)</f>
        <v>0</v>
      </c>
      <c r="AE156" s="587">
        <f>IF(INDEX(tblContractForDeed[End Bal],ROW()-ROW(tblBuyerOutputs[#Headers]))&lt;=0,0,IF(ROW()=ROW(tblBuyerOutputs[#Headers])+1,0,INDEX(tblBuyerOutputs[Cumul Appr],ROW()-ROW(tblBuyerOutputs[#Headers])-1))+tblBuyerOutputs[[#This Row],[Monthly Appr]])</f>
        <v>0</v>
      </c>
      <c r="AF156" s="22"/>
      <c r="AG156" s="14"/>
      <c r="AM156"/>
      <c r="AN156" s="14"/>
      <c r="AP156" s="265"/>
      <c r="AR156" s="14"/>
      <c r="AS156"/>
    </row>
    <row r="157" spans="1:45" x14ac:dyDescent="0.25">
      <c r="A157" s="561">
        <f t="shared" si="32"/>
        <v>50010</v>
      </c>
      <c r="B157" s="265">
        <f t="shared" si="33"/>
        <v>0</v>
      </c>
      <c r="C157" s="14">
        <f t="shared" si="30"/>
        <v>0</v>
      </c>
      <c r="D157" s="14">
        <f t="shared" si="34"/>
        <v>0</v>
      </c>
      <c r="E157" s="14">
        <f t="shared" si="31"/>
        <v>0</v>
      </c>
      <c r="F157" s="14">
        <f t="shared" si="29"/>
        <v>0</v>
      </c>
      <c r="G157" s="14">
        <f t="shared" si="29"/>
        <v>0</v>
      </c>
      <c r="H157" s="14">
        <f t="shared" si="28"/>
        <v>0</v>
      </c>
      <c r="I157" s="265">
        <f t="shared" si="37"/>
        <v>0</v>
      </c>
      <c r="J157" s="265">
        <f t="shared" si="38"/>
        <v>0</v>
      </c>
      <c r="K157" s="265">
        <f t="shared" si="35"/>
        <v>0</v>
      </c>
      <c r="L157" s="373">
        <f t="shared" si="26"/>
        <v>11</v>
      </c>
      <c r="M157" s="373">
        <f t="shared" si="36"/>
        <v>137</v>
      </c>
      <c r="N157" s="561">
        <f>INDEX(tblSubjectToLoan[Date],ROW()-ROW(tblContractForDeed[#Headers]))</f>
        <v>50010</v>
      </c>
      <c r="O157" s="265">
        <f>IF(ROW()=ROW(tblContractForDeed[#Headers])+1,$O$6,IF(INDEX(tblContractForDeed[End Bal],ROW()-ROW(tblContractForDeed[#Headers])-1)&lt;0,0,INDEX(tblContractForDeed[End Bal],ROW()-ROW(tblContractForDeed[#Headers])-1)))</f>
        <v>0</v>
      </c>
      <c r="P157" s="431">
        <f>IF(tblContractForDeed[[#This Row],[Date]]="","",IF(tblContractForDeed[[#This Row],[Date]]&lt;cfdRateChangeDate,cfdRate1,cfdRate2))</f>
        <v>0.03</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7" s="265">
        <f>IF(tblContractForDeed[[#This Row],[Payment]]=0,0,MAX(0,MIN(tblContractForDeed[[#This Row],[Beg]],tblContractForDeed[[#This Row],[Payment]]-tblContractForDeed[[#This Row],[Int]])))</f>
        <v>0</v>
      </c>
      <c r="S157" s="265">
        <f>IF(OR(tblContractForDeed[[#This Row],[Date]]&lt;cfdContractDate,tblContractForDeed[[#This Row],[Date]]&gt;cfdEndDate),0,ROUND(tblContractForDeed[[#This Row],[Beg]]*(tblContractForDeed[[#This Row],[Int Rate]]/12),2))</f>
        <v>0</v>
      </c>
      <c r="T157" s="265">
        <f>IF(tblContractForDeed[[#This Row],[Payment]]=0,0,$V$2)</f>
        <v>0</v>
      </c>
      <c r="U157" s="265">
        <f>IF(tblContractForDeed[[#This Row],[Princ]]=0,0,$V$3)</f>
        <v>0</v>
      </c>
      <c r="V157" s="265">
        <f>SUM(tblContractForDeed[[#This Row],[Princ]],tblContractForDeed[[#This Row],[Int]],tblContractForDeed[[#This Row],[Ins]],tblContractForDeed[[#This Row],[Taxes]])</f>
        <v>0</v>
      </c>
      <c r="W157" s="265">
        <f>SUM(INDEX(tblContractForDeed[Princ],1):INDEX(tblContractForDeed[Princ],ROW()-ROW(tblContractForDeed[#Headers])))</f>
        <v>146500</v>
      </c>
      <c r="X157" s="265">
        <f>IF(tblContractForDeed[[#This Row],[Beg]]&lt;=0,0,tblContractForDeed[[#This Row],[Beg]]-tblContractForDeed[[#This Row],[Princ]])</f>
        <v>0</v>
      </c>
      <c r="Y1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7" s="439">
        <f>IF(INDEX(tblContractForDeed[Payment],ROW()-ROW(tblBuyerOutputs[#Headers]))=0,0,INDEX(tblContractForDeed[Payment],ROW()-ROW(tblBuyerOutputs[#Headers]))-INDEX(tblSubjectToLoan[Payment],ROW()-ROW(tblBuyerOutputs[#Headers])))</f>
        <v>0</v>
      </c>
      <c r="AA157"/>
      <c r="AB157" s="14">
        <f>IF(INDEX(tblContractForDeed[Payment],ROW()-ROW(tblBuyerOutputs[#Headers]))=0,0,INDEX(tblContractForDeed[Payment],ROW()-ROW(tblBuyerOutputs[#Headers]))-INDEX(tblSubjectToLoan[Payment],ROW()-ROW(tblBuyerOutputs[#Headers])))-IFERROR(tblBuyerOutputs[[#This Row],[PMI]],0)</f>
        <v>0</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7" s="265">
        <f>IF(INDEX(tblContractForDeed[End Bal],ROW()-ROW(tblBuyerOutputs[#Headers]))&lt;=0,0,($O$6+IF(ROW()=ROW(tblBuyerOutputs[#Headers])+1,0,INDEX(tblBuyerOutputs[Cumul Appr],ROW()-ROW(tblBuyerOutputs[#Headers])-1)))*$O$2/12)</f>
        <v>0</v>
      </c>
      <c r="AE157" s="587">
        <f>IF(INDEX(tblContractForDeed[End Bal],ROW()-ROW(tblBuyerOutputs[#Headers]))&lt;=0,0,IF(ROW()=ROW(tblBuyerOutputs[#Headers])+1,0,INDEX(tblBuyerOutputs[Cumul Appr],ROW()-ROW(tblBuyerOutputs[#Headers])-1))+tblBuyerOutputs[[#This Row],[Monthly Appr]])</f>
        <v>0</v>
      </c>
      <c r="AF157" s="22"/>
      <c r="AG157" s="14"/>
      <c r="AM157"/>
      <c r="AN157" s="14"/>
      <c r="AP157" s="265"/>
      <c r="AR157" s="14"/>
      <c r="AS157"/>
    </row>
    <row r="158" spans="1:45" x14ac:dyDescent="0.25">
      <c r="A158" s="561">
        <f t="shared" si="32"/>
        <v>50041</v>
      </c>
      <c r="B158" s="265">
        <f t="shared" si="33"/>
        <v>0</v>
      </c>
      <c r="C158" s="14">
        <f t="shared" si="30"/>
        <v>0</v>
      </c>
      <c r="D158" s="14">
        <f t="shared" si="34"/>
        <v>0</v>
      </c>
      <c r="E158" s="14">
        <f t="shared" si="31"/>
        <v>0</v>
      </c>
      <c r="F158" s="14">
        <f t="shared" si="29"/>
        <v>0</v>
      </c>
      <c r="G158" s="14">
        <f t="shared" si="29"/>
        <v>0</v>
      </c>
      <c r="H158" s="14">
        <f t="shared" si="28"/>
        <v>0</v>
      </c>
      <c r="I158" s="265">
        <f t="shared" si="37"/>
        <v>0</v>
      </c>
      <c r="J158" s="265">
        <f t="shared" si="38"/>
        <v>0</v>
      </c>
      <c r="K158" s="265">
        <f t="shared" si="35"/>
        <v>0</v>
      </c>
      <c r="L158" s="373">
        <f t="shared" si="26"/>
        <v>11</v>
      </c>
      <c r="M158" s="373">
        <f t="shared" si="36"/>
        <v>138</v>
      </c>
      <c r="N158" s="561">
        <f>INDEX(tblSubjectToLoan[Date],ROW()-ROW(tblContractForDeed[#Headers]))</f>
        <v>50041</v>
      </c>
      <c r="O158" s="265">
        <f>IF(ROW()=ROW(tblContractForDeed[#Headers])+1,$O$6,IF(INDEX(tblContractForDeed[End Bal],ROW()-ROW(tblContractForDeed[#Headers])-1)&lt;0,0,INDEX(tblContractForDeed[End Bal],ROW()-ROW(tblContractForDeed[#Headers])-1)))</f>
        <v>0</v>
      </c>
      <c r="P158" s="431">
        <f>IF(tblContractForDeed[[#This Row],[Date]]="","",IF(tblContractForDeed[[#This Row],[Date]]&lt;cfdRateChangeDate,cfdRate1,cfdRate2))</f>
        <v>0.03</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8" s="265">
        <f>IF(tblContractForDeed[[#This Row],[Payment]]=0,0,MAX(0,MIN(tblContractForDeed[[#This Row],[Beg]],tblContractForDeed[[#This Row],[Payment]]-tblContractForDeed[[#This Row],[Int]])))</f>
        <v>0</v>
      </c>
      <c r="S158" s="265">
        <f>IF(OR(tblContractForDeed[[#This Row],[Date]]&lt;cfdContractDate,tblContractForDeed[[#This Row],[Date]]&gt;cfdEndDate),0,ROUND(tblContractForDeed[[#This Row],[Beg]]*(tblContractForDeed[[#This Row],[Int Rate]]/12),2))</f>
        <v>0</v>
      </c>
      <c r="T158" s="265">
        <f>IF(tblContractForDeed[[#This Row],[Payment]]=0,0,$V$2)</f>
        <v>0</v>
      </c>
      <c r="U158" s="265">
        <f>IF(tblContractForDeed[[#This Row],[Princ]]=0,0,$V$3)</f>
        <v>0</v>
      </c>
      <c r="V158" s="265">
        <f>SUM(tblContractForDeed[[#This Row],[Princ]],tblContractForDeed[[#This Row],[Int]],tblContractForDeed[[#This Row],[Ins]],tblContractForDeed[[#This Row],[Taxes]])</f>
        <v>0</v>
      </c>
      <c r="W158" s="265">
        <f>SUM(INDEX(tblContractForDeed[Princ],1):INDEX(tblContractForDeed[Princ],ROW()-ROW(tblContractForDeed[#Headers])))</f>
        <v>146500</v>
      </c>
      <c r="X158" s="265">
        <f>IF(tblContractForDeed[[#This Row],[Beg]]&lt;=0,0,tblContractForDeed[[#This Row],[Beg]]-tblContractForDeed[[#This Row],[Princ]])</f>
        <v>0</v>
      </c>
      <c r="Y1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8" s="439">
        <f>IF(INDEX(tblContractForDeed[Payment],ROW()-ROW(tblBuyerOutputs[#Headers]))=0,0,INDEX(tblContractForDeed[Payment],ROW()-ROW(tblBuyerOutputs[#Headers]))-INDEX(tblSubjectToLoan[Payment],ROW()-ROW(tblBuyerOutputs[#Headers])))</f>
        <v>0</v>
      </c>
      <c r="AA158"/>
      <c r="AB158" s="14">
        <f>IF(INDEX(tblContractForDeed[Payment],ROW()-ROW(tblBuyerOutputs[#Headers]))=0,0,INDEX(tblContractForDeed[Payment],ROW()-ROW(tblBuyerOutputs[#Headers]))-INDEX(tblSubjectToLoan[Payment],ROW()-ROW(tblBuyerOutputs[#Headers])))-IFERROR(tblBuyerOutputs[[#This Row],[PMI]],0)</f>
        <v>0</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8" s="265">
        <f>IF(INDEX(tblContractForDeed[End Bal],ROW()-ROW(tblBuyerOutputs[#Headers]))&lt;=0,0,($O$6+IF(ROW()=ROW(tblBuyerOutputs[#Headers])+1,0,INDEX(tblBuyerOutputs[Cumul Appr],ROW()-ROW(tblBuyerOutputs[#Headers])-1)))*$O$2/12)</f>
        <v>0</v>
      </c>
      <c r="AE158" s="587">
        <f>IF(INDEX(tblContractForDeed[End Bal],ROW()-ROW(tblBuyerOutputs[#Headers]))&lt;=0,0,IF(ROW()=ROW(tblBuyerOutputs[#Headers])+1,0,INDEX(tblBuyerOutputs[Cumul Appr],ROW()-ROW(tblBuyerOutputs[#Headers])-1))+tblBuyerOutputs[[#This Row],[Monthly Appr]])</f>
        <v>0</v>
      </c>
      <c r="AF158" s="22"/>
      <c r="AG158" s="14"/>
      <c r="AM158"/>
      <c r="AN158" s="14"/>
      <c r="AP158" s="265"/>
      <c r="AR158" s="14"/>
      <c r="AS158"/>
    </row>
    <row r="159" spans="1:45" x14ac:dyDescent="0.25">
      <c r="A159" s="561">
        <f t="shared" si="32"/>
        <v>50072</v>
      </c>
      <c r="B159" s="265">
        <f t="shared" si="33"/>
        <v>0</v>
      </c>
      <c r="C159" s="14">
        <f t="shared" si="30"/>
        <v>0</v>
      </c>
      <c r="D159" s="14">
        <f t="shared" si="34"/>
        <v>0</v>
      </c>
      <c r="E159" s="14">
        <f t="shared" si="31"/>
        <v>0</v>
      </c>
      <c r="F159" s="14">
        <f t="shared" ref="F159:G174" si="39">+F158</f>
        <v>0</v>
      </c>
      <c r="G159" s="14">
        <f t="shared" si="39"/>
        <v>0</v>
      </c>
      <c r="H159" s="14">
        <f t="shared" si="28"/>
        <v>0</v>
      </c>
      <c r="I159" s="265">
        <f t="shared" si="37"/>
        <v>0</v>
      </c>
      <c r="J159" s="265">
        <f t="shared" si="38"/>
        <v>0</v>
      </c>
      <c r="K159" s="265">
        <f t="shared" si="35"/>
        <v>0</v>
      </c>
      <c r="L159" s="373">
        <f t="shared" si="26"/>
        <v>11</v>
      </c>
      <c r="M159" s="373">
        <f t="shared" si="36"/>
        <v>139</v>
      </c>
      <c r="N159" s="561">
        <f>INDEX(tblSubjectToLoan[Date],ROW()-ROW(tblContractForDeed[#Headers]))</f>
        <v>50072</v>
      </c>
      <c r="O159" s="265">
        <f>IF(ROW()=ROW(tblContractForDeed[#Headers])+1,$O$6,IF(INDEX(tblContractForDeed[End Bal],ROW()-ROW(tblContractForDeed[#Headers])-1)&lt;0,0,INDEX(tblContractForDeed[End Bal],ROW()-ROW(tblContractForDeed[#Headers])-1)))</f>
        <v>0</v>
      </c>
      <c r="P159" s="431">
        <f>IF(tblContractForDeed[[#This Row],[Date]]="","",IF(tblContractForDeed[[#This Row],[Date]]&lt;cfdRateChangeDate,cfdRate1,cfdRate2))</f>
        <v>0.03</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9" s="265">
        <f>IF(tblContractForDeed[[#This Row],[Payment]]=0,0,MAX(0,MIN(tblContractForDeed[[#This Row],[Beg]],tblContractForDeed[[#This Row],[Payment]]-tblContractForDeed[[#This Row],[Int]])))</f>
        <v>0</v>
      </c>
      <c r="S159" s="265">
        <f>IF(OR(tblContractForDeed[[#This Row],[Date]]&lt;cfdContractDate,tblContractForDeed[[#This Row],[Date]]&gt;cfdEndDate),0,ROUND(tblContractForDeed[[#This Row],[Beg]]*(tblContractForDeed[[#This Row],[Int Rate]]/12),2))</f>
        <v>0</v>
      </c>
      <c r="T159" s="265">
        <f>IF(tblContractForDeed[[#This Row],[Payment]]=0,0,$V$2)</f>
        <v>0</v>
      </c>
      <c r="U159" s="265">
        <f>IF(tblContractForDeed[[#This Row],[Princ]]=0,0,$V$3)</f>
        <v>0</v>
      </c>
      <c r="V159" s="265">
        <f>SUM(tblContractForDeed[[#This Row],[Princ]],tblContractForDeed[[#This Row],[Int]],tblContractForDeed[[#This Row],[Ins]],tblContractForDeed[[#This Row],[Taxes]])</f>
        <v>0</v>
      </c>
      <c r="W159" s="265">
        <f>SUM(INDEX(tblContractForDeed[Princ],1):INDEX(tblContractForDeed[Princ],ROW()-ROW(tblContractForDeed[#Headers])))</f>
        <v>146500</v>
      </c>
      <c r="X159" s="265">
        <f>IF(tblContractForDeed[[#This Row],[Beg]]&lt;=0,0,tblContractForDeed[[#This Row],[Beg]]-tblContractForDeed[[#This Row],[Princ]])</f>
        <v>0</v>
      </c>
      <c r="Y1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9" s="439">
        <f>IF(INDEX(tblContractForDeed[Payment],ROW()-ROW(tblBuyerOutputs[#Headers]))=0,0,INDEX(tblContractForDeed[Payment],ROW()-ROW(tblBuyerOutputs[#Headers]))-INDEX(tblSubjectToLoan[Payment],ROW()-ROW(tblBuyerOutputs[#Headers])))</f>
        <v>0</v>
      </c>
      <c r="AA159"/>
      <c r="AB159" s="14">
        <f>IF(INDEX(tblContractForDeed[Payment],ROW()-ROW(tblBuyerOutputs[#Headers]))=0,0,INDEX(tblContractForDeed[Payment],ROW()-ROW(tblBuyerOutputs[#Headers]))-INDEX(tblSubjectToLoan[Payment],ROW()-ROW(tblBuyerOutputs[#Headers])))-IFERROR(tblBuyerOutputs[[#This Row],[PMI]],0)</f>
        <v>0</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9" s="265">
        <f>IF(INDEX(tblContractForDeed[End Bal],ROW()-ROW(tblBuyerOutputs[#Headers]))&lt;=0,0,($O$6+IF(ROW()=ROW(tblBuyerOutputs[#Headers])+1,0,INDEX(tblBuyerOutputs[Cumul Appr],ROW()-ROW(tblBuyerOutputs[#Headers])-1)))*$O$2/12)</f>
        <v>0</v>
      </c>
      <c r="AE159" s="587">
        <f>IF(INDEX(tblContractForDeed[End Bal],ROW()-ROW(tblBuyerOutputs[#Headers]))&lt;=0,0,IF(ROW()=ROW(tblBuyerOutputs[#Headers])+1,0,INDEX(tblBuyerOutputs[Cumul Appr],ROW()-ROW(tblBuyerOutputs[#Headers])-1))+tblBuyerOutputs[[#This Row],[Monthly Appr]])</f>
        <v>0</v>
      </c>
      <c r="AF159" s="22"/>
      <c r="AG159" s="14"/>
      <c r="AM159"/>
      <c r="AN159" s="14"/>
      <c r="AP159" s="265"/>
      <c r="AR159" s="14"/>
      <c r="AS159"/>
    </row>
    <row r="160" spans="1:45" x14ac:dyDescent="0.25">
      <c r="A160" s="561">
        <f t="shared" si="32"/>
        <v>50100</v>
      </c>
      <c r="B160" s="265">
        <f t="shared" si="33"/>
        <v>0</v>
      </c>
      <c r="C160" s="14">
        <f t="shared" si="30"/>
        <v>0</v>
      </c>
      <c r="D160" s="14">
        <f t="shared" si="34"/>
        <v>0</v>
      </c>
      <c r="E160" s="14">
        <f t="shared" si="31"/>
        <v>0</v>
      </c>
      <c r="F160" s="14">
        <f t="shared" si="39"/>
        <v>0</v>
      </c>
      <c r="G160" s="14">
        <f t="shared" si="39"/>
        <v>0</v>
      </c>
      <c r="H160" s="14">
        <f t="shared" si="28"/>
        <v>0</v>
      </c>
      <c r="I160" s="265">
        <f t="shared" si="37"/>
        <v>0</v>
      </c>
      <c r="J160" s="265">
        <f t="shared" si="38"/>
        <v>0</v>
      </c>
      <c r="K160" s="265">
        <f t="shared" si="35"/>
        <v>0</v>
      </c>
      <c r="L160" s="373">
        <f t="shared" si="26"/>
        <v>11</v>
      </c>
      <c r="M160" s="373">
        <f t="shared" si="36"/>
        <v>140</v>
      </c>
      <c r="N160" s="561">
        <f>INDEX(tblSubjectToLoan[Date],ROW()-ROW(tblContractForDeed[#Headers]))</f>
        <v>50100</v>
      </c>
      <c r="O160" s="265">
        <f>IF(ROW()=ROW(tblContractForDeed[#Headers])+1,$O$6,IF(INDEX(tblContractForDeed[End Bal],ROW()-ROW(tblContractForDeed[#Headers])-1)&lt;0,0,INDEX(tblContractForDeed[End Bal],ROW()-ROW(tblContractForDeed[#Headers])-1)))</f>
        <v>0</v>
      </c>
      <c r="P160" s="431">
        <f>IF(tblContractForDeed[[#This Row],[Date]]="","",IF(tblContractForDeed[[#This Row],[Date]]&lt;cfdRateChangeDate,cfdRate1,cfdRate2))</f>
        <v>0.03</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0" s="265">
        <f>IF(tblContractForDeed[[#This Row],[Payment]]=0,0,MAX(0,MIN(tblContractForDeed[[#This Row],[Beg]],tblContractForDeed[[#This Row],[Payment]]-tblContractForDeed[[#This Row],[Int]])))</f>
        <v>0</v>
      </c>
      <c r="S160" s="265">
        <f>IF(OR(tblContractForDeed[[#This Row],[Date]]&lt;cfdContractDate,tblContractForDeed[[#This Row],[Date]]&gt;cfdEndDate),0,ROUND(tblContractForDeed[[#This Row],[Beg]]*(tblContractForDeed[[#This Row],[Int Rate]]/12),2))</f>
        <v>0</v>
      </c>
      <c r="T160" s="265">
        <f>IF(tblContractForDeed[[#This Row],[Payment]]=0,0,$V$2)</f>
        <v>0</v>
      </c>
      <c r="U160" s="265">
        <f>IF(tblContractForDeed[[#This Row],[Princ]]=0,0,$V$3)</f>
        <v>0</v>
      </c>
      <c r="V160" s="265">
        <f>SUM(tblContractForDeed[[#This Row],[Princ]],tblContractForDeed[[#This Row],[Int]],tblContractForDeed[[#This Row],[Ins]],tblContractForDeed[[#This Row],[Taxes]])</f>
        <v>0</v>
      </c>
      <c r="W160" s="265">
        <f>SUM(INDEX(tblContractForDeed[Princ],1):INDEX(tblContractForDeed[Princ],ROW()-ROW(tblContractForDeed[#Headers])))</f>
        <v>146500</v>
      </c>
      <c r="X160" s="265">
        <f>IF(tblContractForDeed[[#This Row],[Beg]]&lt;=0,0,tblContractForDeed[[#This Row],[Beg]]-tblContractForDeed[[#This Row],[Princ]])</f>
        <v>0</v>
      </c>
      <c r="Y1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0" s="439">
        <f>IF(INDEX(tblContractForDeed[Payment],ROW()-ROW(tblBuyerOutputs[#Headers]))=0,0,INDEX(tblContractForDeed[Payment],ROW()-ROW(tblBuyerOutputs[#Headers]))-INDEX(tblSubjectToLoan[Payment],ROW()-ROW(tblBuyerOutputs[#Headers])))</f>
        <v>0</v>
      </c>
      <c r="AA160"/>
      <c r="AB160" s="14">
        <f>IF(INDEX(tblContractForDeed[Payment],ROW()-ROW(tblBuyerOutputs[#Headers]))=0,0,INDEX(tblContractForDeed[Payment],ROW()-ROW(tblBuyerOutputs[#Headers]))-INDEX(tblSubjectToLoan[Payment],ROW()-ROW(tblBuyerOutputs[#Headers])))-IFERROR(tblBuyerOutputs[[#This Row],[PMI]],0)</f>
        <v>0</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0" s="265">
        <f>IF(INDEX(tblContractForDeed[End Bal],ROW()-ROW(tblBuyerOutputs[#Headers]))&lt;=0,0,($O$6+IF(ROW()=ROW(tblBuyerOutputs[#Headers])+1,0,INDEX(tblBuyerOutputs[Cumul Appr],ROW()-ROW(tblBuyerOutputs[#Headers])-1)))*$O$2/12)</f>
        <v>0</v>
      </c>
      <c r="AE160" s="587">
        <f>IF(INDEX(tblContractForDeed[End Bal],ROW()-ROW(tblBuyerOutputs[#Headers]))&lt;=0,0,IF(ROW()=ROW(tblBuyerOutputs[#Headers])+1,0,INDEX(tblBuyerOutputs[Cumul Appr],ROW()-ROW(tblBuyerOutputs[#Headers])-1))+tblBuyerOutputs[[#This Row],[Monthly Appr]])</f>
        <v>0</v>
      </c>
      <c r="AF160" s="22"/>
      <c r="AG160" s="14"/>
      <c r="AM160"/>
      <c r="AN160" s="14"/>
      <c r="AP160" s="265"/>
      <c r="AR160" s="14"/>
      <c r="AS160"/>
    </row>
    <row r="161" spans="1:45" x14ac:dyDescent="0.25">
      <c r="A161" s="561">
        <f t="shared" si="32"/>
        <v>50131</v>
      </c>
      <c r="B161" s="265">
        <f t="shared" si="33"/>
        <v>0</v>
      </c>
      <c r="C161" s="14">
        <f t="shared" si="30"/>
        <v>0</v>
      </c>
      <c r="D161" s="14">
        <f t="shared" si="34"/>
        <v>0</v>
      </c>
      <c r="E161" s="14">
        <f t="shared" si="31"/>
        <v>0</v>
      </c>
      <c r="F161" s="14">
        <f t="shared" si="39"/>
        <v>0</v>
      </c>
      <c r="G161" s="14">
        <f t="shared" si="39"/>
        <v>0</v>
      </c>
      <c r="H161" s="14">
        <f t="shared" si="28"/>
        <v>0</v>
      </c>
      <c r="I161" s="265">
        <f t="shared" si="37"/>
        <v>0</v>
      </c>
      <c r="J161" s="265">
        <f t="shared" si="38"/>
        <v>0</v>
      </c>
      <c r="K161" s="265">
        <f t="shared" si="35"/>
        <v>0</v>
      </c>
      <c r="L161" s="373">
        <f t="shared" si="26"/>
        <v>11</v>
      </c>
      <c r="M161" s="373">
        <f t="shared" si="36"/>
        <v>141</v>
      </c>
      <c r="N161" s="561">
        <f>INDEX(tblSubjectToLoan[Date],ROW()-ROW(tblContractForDeed[#Headers]))</f>
        <v>50131</v>
      </c>
      <c r="O161" s="265">
        <f>IF(ROW()=ROW(tblContractForDeed[#Headers])+1,$O$6,IF(INDEX(tblContractForDeed[End Bal],ROW()-ROW(tblContractForDeed[#Headers])-1)&lt;0,0,INDEX(tblContractForDeed[End Bal],ROW()-ROW(tblContractForDeed[#Headers])-1)))</f>
        <v>0</v>
      </c>
      <c r="P161" s="431">
        <f>IF(tblContractForDeed[[#This Row],[Date]]="","",IF(tblContractForDeed[[#This Row],[Date]]&lt;cfdRateChangeDate,cfdRate1,cfdRate2))</f>
        <v>0.03</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1" s="265">
        <f>IF(tblContractForDeed[[#This Row],[Payment]]=0,0,MAX(0,MIN(tblContractForDeed[[#This Row],[Beg]],tblContractForDeed[[#This Row],[Payment]]-tblContractForDeed[[#This Row],[Int]])))</f>
        <v>0</v>
      </c>
      <c r="S161" s="265">
        <f>IF(OR(tblContractForDeed[[#This Row],[Date]]&lt;cfdContractDate,tblContractForDeed[[#This Row],[Date]]&gt;cfdEndDate),0,ROUND(tblContractForDeed[[#This Row],[Beg]]*(tblContractForDeed[[#This Row],[Int Rate]]/12),2))</f>
        <v>0</v>
      </c>
      <c r="T161" s="265">
        <f>IF(tblContractForDeed[[#This Row],[Payment]]=0,0,$V$2)</f>
        <v>0</v>
      </c>
      <c r="U161" s="265">
        <f>IF(tblContractForDeed[[#This Row],[Princ]]=0,0,$V$3)</f>
        <v>0</v>
      </c>
      <c r="V161" s="265">
        <f>SUM(tblContractForDeed[[#This Row],[Princ]],tblContractForDeed[[#This Row],[Int]],tblContractForDeed[[#This Row],[Ins]],tblContractForDeed[[#This Row],[Taxes]])</f>
        <v>0</v>
      </c>
      <c r="W161" s="265">
        <f>SUM(INDEX(tblContractForDeed[Princ],1):INDEX(tblContractForDeed[Princ],ROW()-ROW(tblContractForDeed[#Headers])))</f>
        <v>146500</v>
      </c>
      <c r="X161" s="265">
        <f>IF(tblContractForDeed[[#This Row],[Beg]]&lt;=0,0,tblContractForDeed[[#This Row],[Beg]]-tblContractForDeed[[#This Row],[Princ]])</f>
        <v>0</v>
      </c>
      <c r="Y1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1" s="439">
        <f>IF(INDEX(tblContractForDeed[Payment],ROW()-ROW(tblBuyerOutputs[#Headers]))=0,0,INDEX(tblContractForDeed[Payment],ROW()-ROW(tblBuyerOutputs[#Headers]))-INDEX(tblSubjectToLoan[Payment],ROW()-ROW(tblBuyerOutputs[#Headers])))</f>
        <v>0</v>
      </c>
      <c r="AA161"/>
      <c r="AB161" s="14">
        <f>IF(INDEX(tblContractForDeed[Payment],ROW()-ROW(tblBuyerOutputs[#Headers]))=0,0,INDEX(tblContractForDeed[Payment],ROW()-ROW(tblBuyerOutputs[#Headers]))-INDEX(tblSubjectToLoan[Payment],ROW()-ROW(tblBuyerOutputs[#Headers])))-IFERROR(tblBuyerOutputs[[#This Row],[PMI]],0)</f>
        <v>0</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1" s="265">
        <f>IF(INDEX(tblContractForDeed[End Bal],ROW()-ROW(tblBuyerOutputs[#Headers]))&lt;=0,0,($O$6+IF(ROW()=ROW(tblBuyerOutputs[#Headers])+1,0,INDEX(tblBuyerOutputs[Cumul Appr],ROW()-ROW(tblBuyerOutputs[#Headers])-1)))*$O$2/12)</f>
        <v>0</v>
      </c>
      <c r="AE161" s="587">
        <f>IF(INDEX(tblContractForDeed[End Bal],ROW()-ROW(tblBuyerOutputs[#Headers]))&lt;=0,0,IF(ROW()=ROW(tblBuyerOutputs[#Headers])+1,0,INDEX(tblBuyerOutputs[Cumul Appr],ROW()-ROW(tblBuyerOutputs[#Headers])-1))+tblBuyerOutputs[[#This Row],[Monthly Appr]])</f>
        <v>0</v>
      </c>
      <c r="AF161" s="22"/>
      <c r="AG161" s="14"/>
      <c r="AM161"/>
      <c r="AN161" s="14"/>
      <c r="AP161" s="265"/>
      <c r="AR161" s="14"/>
      <c r="AS161"/>
    </row>
    <row r="162" spans="1:45" x14ac:dyDescent="0.25">
      <c r="A162" s="561">
        <f t="shared" si="32"/>
        <v>50161</v>
      </c>
      <c r="B162" s="265">
        <f t="shared" si="33"/>
        <v>0</v>
      </c>
      <c r="C162" s="14">
        <f t="shared" si="30"/>
        <v>0</v>
      </c>
      <c r="D162" s="14">
        <f t="shared" si="34"/>
        <v>0</v>
      </c>
      <c r="E162" s="14">
        <f t="shared" si="31"/>
        <v>0</v>
      </c>
      <c r="F162" s="14">
        <f t="shared" si="39"/>
        <v>0</v>
      </c>
      <c r="G162" s="14">
        <f t="shared" si="39"/>
        <v>0</v>
      </c>
      <c r="H162" s="14">
        <f t="shared" si="28"/>
        <v>0</v>
      </c>
      <c r="I162" s="265">
        <f t="shared" si="37"/>
        <v>0</v>
      </c>
      <c r="J162" s="265">
        <f t="shared" si="38"/>
        <v>0</v>
      </c>
      <c r="K162" s="265">
        <f t="shared" si="35"/>
        <v>0</v>
      </c>
      <c r="L162" s="373">
        <f t="shared" si="26"/>
        <v>11</v>
      </c>
      <c r="M162" s="373">
        <f t="shared" si="36"/>
        <v>142</v>
      </c>
      <c r="N162" s="561">
        <f>INDEX(tblSubjectToLoan[Date],ROW()-ROW(tblContractForDeed[#Headers]))</f>
        <v>50161</v>
      </c>
      <c r="O162" s="265">
        <f>IF(ROW()=ROW(tblContractForDeed[#Headers])+1,$O$6,IF(INDEX(tblContractForDeed[End Bal],ROW()-ROW(tblContractForDeed[#Headers])-1)&lt;0,0,INDEX(tblContractForDeed[End Bal],ROW()-ROW(tblContractForDeed[#Headers])-1)))</f>
        <v>0</v>
      </c>
      <c r="P162" s="431">
        <f>IF(tblContractForDeed[[#This Row],[Date]]="","",IF(tblContractForDeed[[#This Row],[Date]]&lt;cfdRateChangeDate,cfdRate1,cfdRate2))</f>
        <v>0.03</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2" s="265">
        <f>IF(tblContractForDeed[[#This Row],[Payment]]=0,0,MAX(0,MIN(tblContractForDeed[[#This Row],[Beg]],tblContractForDeed[[#This Row],[Payment]]-tblContractForDeed[[#This Row],[Int]])))</f>
        <v>0</v>
      </c>
      <c r="S162" s="265">
        <f>IF(OR(tblContractForDeed[[#This Row],[Date]]&lt;cfdContractDate,tblContractForDeed[[#This Row],[Date]]&gt;cfdEndDate),0,ROUND(tblContractForDeed[[#This Row],[Beg]]*(tblContractForDeed[[#This Row],[Int Rate]]/12),2))</f>
        <v>0</v>
      </c>
      <c r="T162" s="265">
        <f>IF(tblContractForDeed[[#This Row],[Payment]]=0,0,$V$2)</f>
        <v>0</v>
      </c>
      <c r="U162" s="265">
        <f>IF(tblContractForDeed[[#This Row],[Princ]]=0,0,$V$3)</f>
        <v>0</v>
      </c>
      <c r="V162" s="265">
        <f>SUM(tblContractForDeed[[#This Row],[Princ]],tblContractForDeed[[#This Row],[Int]],tblContractForDeed[[#This Row],[Ins]],tblContractForDeed[[#This Row],[Taxes]])</f>
        <v>0</v>
      </c>
      <c r="W162" s="265">
        <f>SUM(INDEX(tblContractForDeed[Princ],1):INDEX(tblContractForDeed[Princ],ROW()-ROW(tblContractForDeed[#Headers])))</f>
        <v>146500</v>
      </c>
      <c r="X162" s="265">
        <f>IF(tblContractForDeed[[#This Row],[Beg]]&lt;=0,0,tblContractForDeed[[#This Row],[Beg]]-tblContractForDeed[[#This Row],[Princ]])</f>
        <v>0</v>
      </c>
      <c r="Y1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2" s="439">
        <f>IF(INDEX(tblContractForDeed[Payment],ROW()-ROW(tblBuyerOutputs[#Headers]))=0,0,INDEX(tblContractForDeed[Payment],ROW()-ROW(tblBuyerOutputs[#Headers]))-INDEX(tblSubjectToLoan[Payment],ROW()-ROW(tblBuyerOutputs[#Headers])))</f>
        <v>0</v>
      </c>
      <c r="AA162"/>
      <c r="AB162" s="14">
        <f>IF(INDEX(tblContractForDeed[Payment],ROW()-ROW(tblBuyerOutputs[#Headers]))=0,0,INDEX(tblContractForDeed[Payment],ROW()-ROW(tblBuyerOutputs[#Headers]))-INDEX(tblSubjectToLoan[Payment],ROW()-ROW(tblBuyerOutputs[#Headers])))-IFERROR(tblBuyerOutputs[[#This Row],[PMI]],0)</f>
        <v>0</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2" s="265">
        <f>IF(INDEX(tblContractForDeed[End Bal],ROW()-ROW(tblBuyerOutputs[#Headers]))&lt;=0,0,($O$6+IF(ROW()=ROW(tblBuyerOutputs[#Headers])+1,0,INDEX(tblBuyerOutputs[Cumul Appr],ROW()-ROW(tblBuyerOutputs[#Headers])-1)))*$O$2/12)</f>
        <v>0</v>
      </c>
      <c r="AE162" s="587">
        <f>IF(INDEX(tblContractForDeed[End Bal],ROW()-ROW(tblBuyerOutputs[#Headers]))&lt;=0,0,IF(ROW()=ROW(tblBuyerOutputs[#Headers])+1,0,INDEX(tblBuyerOutputs[Cumul Appr],ROW()-ROW(tblBuyerOutputs[#Headers])-1))+tblBuyerOutputs[[#This Row],[Monthly Appr]])</f>
        <v>0</v>
      </c>
      <c r="AF162" s="22"/>
      <c r="AG162" s="14"/>
      <c r="AM162"/>
      <c r="AN162" s="14"/>
      <c r="AP162" s="265"/>
      <c r="AR162" s="14"/>
      <c r="AS162"/>
    </row>
    <row r="163" spans="1:45" ht="15.75" thickBot="1" x14ac:dyDescent="0.3">
      <c r="A163" s="562">
        <f t="shared" si="32"/>
        <v>50192</v>
      </c>
      <c r="B163" s="316">
        <f t="shared" si="33"/>
        <v>0</v>
      </c>
      <c r="C163" s="21">
        <f t="shared" si="30"/>
        <v>0</v>
      </c>
      <c r="D163" s="21">
        <f t="shared" si="34"/>
        <v>0</v>
      </c>
      <c r="E163" s="21">
        <f t="shared" si="31"/>
        <v>0</v>
      </c>
      <c r="F163" s="21">
        <f t="shared" si="39"/>
        <v>0</v>
      </c>
      <c r="G163" s="21">
        <f t="shared" si="39"/>
        <v>0</v>
      </c>
      <c r="H163" s="21">
        <f t="shared" si="28"/>
        <v>0</v>
      </c>
      <c r="I163" s="316">
        <f t="shared" si="37"/>
        <v>0</v>
      </c>
      <c r="J163" s="316">
        <f t="shared" si="38"/>
        <v>0</v>
      </c>
      <c r="K163" s="316">
        <f t="shared" si="35"/>
        <v>0</v>
      </c>
      <c r="L163" s="374">
        <f t="shared" si="26"/>
        <v>11</v>
      </c>
      <c r="M163" s="374">
        <f t="shared" si="36"/>
        <v>143</v>
      </c>
      <c r="N163" s="562">
        <f>INDEX(tblSubjectToLoan[Date],ROW()-ROW(tblContractForDeed[#Headers]))</f>
        <v>50192</v>
      </c>
      <c r="O163" s="316">
        <f>IF(ROW()=ROW(tblContractForDeed[#Headers])+1,$O$6,IF(INDEX(tblContractForDeed[End Bal],ROW()-ROW(tblContractForDeed[#Headers])-1)&lt;0,0,INDEX(tblContractForDeed[End Bal],ROW()-ROW(tblContractForDeed[#Headers])-1)))</f>
        <v>0</v>
      </c>
      <c r="P163" s="585">
        <f>IF(tblContractForDeed[[#This Row],[Date]]="","",IF(tblContractForDeed[[#This Row],[Date]]&lt;cfdRateChangeDate,cfdRate1,cfdRate2))</f>
        <v>0.03</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3" s="316">
        <f>IF(tblContractForDeed[[#This Row],[Payment]]=0,0,MAX(0,MIN(tblContractForDeed[[#This Row],[Beg]],tblContractForDeed[[#This Row],[Payment]]-tblContractForDeed[[#This Row],[Int]])))</f>
        <v>0</v>
      </c>
      <c r="S163" s="316">
        <f>IF(OR(tblContractForDeed[[#This Row],[Date]]&lt;cfdContractDate,tblContractForDeed[[#This Row],[Date]]&gt;cfdEndDate),0,ROUND(tblContractForDeed[[#This Row],[Beg]]*(tblContractForDeed[[#This Row],[Int Rate]]/12),2))</f>
        <v>0</v>
      </c>
      <c r="T163" s="316">
        <f>IF(tblContractForDeed[[#This Row],[Payment]]=0,0,$V$2)</f>
        <v>0</v>
      </c>
      <c r="U163" s="316">
        <f>IF(tblContractForDeed[[#This Row],[Princ]]=0,0,$V$3)</f>
        <v>0</v>
      </c>
      <c r="V163" s="316">
        <f>SUM(tblContractForDeed[[#This Row],[Princ]],tblContractForDeed[[#This Row],[Int]],tblContractForDeed[[#This Row],[Ins]],tblContractForDeed[[#This Row],[Taxes]])</f>
        <v>0</v>
      </c>
      <c r="W163" s="316">
        <f>SUM(INDEX(tblContractForDeed[Princ],1):INDEX(tblContractForDeed[Princ],ROW()-ROW(tblContractForDeed[#Headers])))</f>
        <v>146500</v>
      </c>
      <c r="X163" s="316">
        <f>IF(tblContractForDeed[[#This Row],[Beg]]&lt;=0,0,tblContractForDeed[[#This Row],[Beg]]-tblContractForDeed[[#This Row],[Princ]])</f>
        <v>0</v>
      </c>
      <c r="Y1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3" s="440">
        <f>IF(INDEX(tblContractForDeed[Payment],ROW()-ROW(tblBuyerOutputs[#Headers]))=0,0,INDEX(tblContractForDeed[Payment],ROW()-ROW(tblBuyerOutputs[#Headers]))-INDEX(tblSubjectToLoan[Payment],ROW()-ROW(tblBuyerOutputs[#Headers])))</f>
        <v>0</v>
      </c>
      <c r="AA163" s="23"/>
      <c r="AB163" s="21">
        <f>IF(INDEX(tblContractForDeed[Payment],ROW()-ROW(tblBuyerOutputs[#Headers]))=0,0,INDEX(tblContractForDeed[Payment],ROW()-ROW(tblBuyerOutputs[#Headers]))-INDEX(tblSubjectToLoan[Payment],ROW()-ROW(tblBuyerOutputs[#Headers])))-IFERROR(tblBuyerOutputs[[#This Row],[PMI]],0)</f>
        <v>0</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3" s="316">
        <f>IF(INDEX(tblContractForDeed[End Bal],ROW()-ROW(tblBuyerOutputs[#Headers]))&lt;=0,0,($O$6+IF(ROW()=ROW(tblBuyerOutputs[#Headers])+1,0,INDEX(tblBuyerOutputs[Cumul Appr],ROW()-ROW(tblBuyerOutputs[#Headers])-1)))*$O$2/12)</f>
        <v>0</v>
      </c>
      <c r="AE163" s="588">
        <f>IF(INDEX(tblContractForDeed[End Bal],ROW()-ROW(tblBuyerOutputs[#Headers]))&lt;=0,0,IF(ROW()=ROW(tblBuyerOutputs[#Headers])+1,0,INDEX(tblBuyerOutputs[Cumul Appr],ROW()-ROW(tblBuyerOutputs[#Headers])-1))+tblBuyerOutputs[[#This Row],[Monthly Appr]])</f>
        <v>0</v>
      </c>
      <c r="AF163" s="22"/>
      <c r="AG163" s="14"/>
      <c r="AM163"/>
      <c r="AN163" s="14"/>
      <c r="AP163" s="265"/>
      <c r="AR163" s="14"/>
      <c r="AS163"/>
    </row>
    <row r="164" spans="1:45" x14ac:dyDescent="0.25">
      <c r="A164" s="561">
        <f t="shared" si="32"/>
        <v>50222</v>
      </c>
      <c r="B164" s="265">
        <f t="shared" si="33"/>
        <v>0</v>
      </c>
      <c r="C164" s="14">
        <f t="shared" si="30"/>
        <v>0</v>
      </c>
      <c r="D164" s="14">
        <f t="shared" si="34"/>
        <v>0</v>
      </c>
      <c r="E164" s="14">
        <f t="shared" si="31"/>
        <v>0</v>
      </c>
      <c r="F164" s="14">
        <f t="shared" si="39"/>
        <v>0</v>
      </c>
      <c r="G164" s="14">
        <f t="shared" si="39"/>
        <v>0</v>
      </c>
      <c r="H164" s="14">
        <f t="shared" si="28"/>
        <v>0</v>
      </c>
      <c r="I164" s="265">
        <f t="shared" si="37"/>
        <v>0</v>
      </c>
      <c r="J164" s="265">
        <f t="shared" si="38"/>
        <v>0</v>
      </c>
      <c r="K164" s="265">
        <f t="shared" si="35"/>
        <v>0</v>
      </c>
      <c r="L164" s="373">
        <f t="shared" si="26"/>
        <v>12</v>
      </c>
      <c r="M164" s="373">
        <f t="shared" si="36"/>
        <v>144</v>
      </c>
      <c r="N164" s="561">
        <f>INDEX(tblSubjectToLoan[Date],ROW()-ROW(tblContractForDeed[#Headers]))</f>
        <v>50222</v>
      </c>
      <c r="O164" s="265">
        <f>IF(ROW()=ROW(tblContractForDeed[#Headers])+1,$O$6,IF(INDEX(tblContractForDeed[End Bal],ROW()-ROW(tblContractForDeed[#Headers])-1)&lt;0,0,INDEX(tblContractForDeed[End Bal],ROW()-ROW(tblContractForDeed[#Headers])-1)))</f>
        <v>0</v>
      </c>
      <c r="P164" s="431">
        <f>IF(tblContractForDeed[[#This Row],[Date]]="","",IF(tblContractForDeed[[#This Row],[Date]]&lt;cfdRateChangeDate,cfdRate1,cfdRate2))</f>
        <v>0.03</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4" s="265">
        <f>IF(tblContractForDeed[[#This Row],[Payment]]=0,0,MAX(0,MIN(tblContractForDeed[[#This Row],[Beg]],tblContractForDeed[[#This Row],[Payment]]-tblContractForDeed[[#This Row],[Int]])))</f>
        <v>0</v>
      </c>
      <c r="S164" s="265">
        <f>IF(OR(tblContractForDeed[[#This Row],[Date]]&lt;cfdContractDate,tblContractForDeed[[#This Row],[Date]]&gt;cfdEndDate),0,ROUND(tblContractForDeed[[#This Row],[Beg]]*(tblContractForDeed[[#This Row],[Int Rate]]/12),2))</f>
        <v>0</v>
      </c>
      <c r="T164" s="265">
        <f>IF(tblContractForDeed[[#This Row],[Payment]]=0,0,$V$2)</f>
        <v>0</v>
      </c>
      <c r="U164" s="265">
        <f>IF(tblContractForDeed[[#This Row],[Princ]]=0,0,$V$3)</f>
        <v>0</v>
      </c>
      <c r="V164" s="265">
        <f>SUM(tblContractForDeed[[#This Row],[Princ]],tblContractForDeed[[#This Row],[Int]],tblContractForDeed[[#This Row],[Ins]],tblContractForDeed[[#This Row],[Taxes]])</f>
        <v>0</v>
      </c>
      <c r="W164" s="265">
        <f>SUM(INDEX(tblContractForDeed[Princ],1):INDEX(tblContractForDeed[Princ],ROW()-ROW(tblContractForDeed[#Headers])))</f>
        <v>146500</v>
      </c>
      <c r="X164" s="265">
        <f>IF(tblContractForDeed[[#This Row],[Beg]]&lt;=0,0,tblContractForDeed[[#This Row],[Beg]]-tblContractForDeed[[#This Row],[Princ]])</f>
        <v>0</v>
      </c>
      <c r="Y1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4" s="439">
        <f>IF(INDEX(tblContractForDeed[Payment],ROW()-ROW(tblBuyerOutputs[#Headers]))=0,0,INDEX(tblContractForDeed[Payment],ROW()-ROW(tblBuyerOutputs[#Headers]))-INDEX(tblSubjectToLoan[Payment],ROW()-ROW(tblBuyerOutputs[#Headers])))</f>
        <v>0</v>
      </c>
      <c r="AA164"/>
      <c r="AB164" s="14">
        <f>IF(INDEX(tblContractForDeed[Payment],ROW()-ROW(tblBuyerOutputs[#Headers]))=0,0,INDEX(tblContractForDeed[Payment],ROW()-ROW(tblBuyerOutputs[#Headers]))-INDEX(tblSubjectToLoan[Payment],ROW()-ROW(tblBuyerOutputs[#Headers])))-IFERROR(tblBuyerOutputs[[#This Row],[PMI]],0)</f>
        <v>0</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4" s="265">
        <f>IF(INDEX(tblContractForDeed[End Bal],ROW()-ROW(tblBuyerOutputs[#Headers]))&lt;=0,0,($O$6+IF(ROW()=ROW(tblBuyerOutputs[#Headers])+1,0,INDEX(tblBuyerOutputs[Cumul Appr],ROW()-ROW(tblBuyerOutputs[#Headers])-1)))*$O$2/12)</f>
        <v>0</v>
      </c>
      <c r="AE164" s="587">
        <f>IF(INDEX(tblContractForDeed[End Bal],ROW()-ROW(tblBuyerOutputs[#Headers]))&lt;=0,0,IF(ROW()=ROW(tblBuyerOutputs[#Headers])+1,0,INDEX(tblBuyerOutputs[Cumul Appr],ROW()-ROW(tblBuyerOutputs[#Headers])-1))+tblBuyerOutputs[[#This Row],[Monthly Appr]])</f>
        <v>0</v>
      </c>
      <c r="AF164" s="22"/>
      <c r="AG164" s="14"/>
      <c r="AM164"/>
      <c r="AN164" s="14"/>
      <c r="AP164" s="265"/>
      <c r="AR164" s="14"/>
      <c r="AS164"/>
    </row>
    <row r="165" spans="1:45" x14ac:dyDescent="0.25">
      <c r="A165" s="561">
        <f t="shared" si="32"/>
        <v>50253</v>
      </c>
      <c r="B165" s="265">
        <f t="shared" si="33"/>
        <v>0</v>
      </c>
      <c r="C165" s="14">
        <f t="shared" si="30"/>
        <v>0</v>
      </c>
      <c r="D165" s="14">
        <f t="shared" si="34"/>
        <v>0</v>
      </c>
      <c r="E165" s="14">
        <f t="shared" si="31"/>
        <v>0</v>
      </c>
      <c r="F165" s="14">
        <f t="shared" si="39"/>
        <v>0</v>
      </c>
      <c r="G165" s="14">
        <f t="shared" si="39"/>
        <v>0</v>
      </c>
      <c r="H165" s="14">
        <f t="shared" si="28"/>
        <v>0</v>
      </c>
      <c r="I165" s="265">
        <f t="shared" si="37"/>
        <v>0</v>
      </c>
      <c r="J165" s="265">
        <f t="shared" si="38"/>
        <v>0</v>
      </c>
      <c r="K165" s="265">
        <f t="shared" si="35"/>
        <v>0</v>
      </c>
      <c r="L165" s="373">
        <f t="shared" si="26"/>
        <v>12</v>
      </c>
      <c r="M165" s="373">
        <f t="shared" si="36"/>
        <v>145</v>
      </c>
      <c r="N165" s="561">
        <f>INDEX(tblSubjectToLoan[Date],ROW()-ROW(tblContractForDeed[#Headers]))</f>
        <v>50253</v>
      </c>
      <c r="O165" s="265">
        <f>IF(ROW()=ROW(tblContractForDeed[#Headers])+1,$O$6,IF(INDEX(tblContractForDeed[End Bal],ROW()-ROW(tblContractForDeed[#Headers])-1)&lt;0,0,INDEX(tblContractForDeed[End Bal],ROW()-ROW(tblContractForDeed[#Headers])-1)))</f>
        <v>0</v>
      </c>
      <c r="P165" s="431">
        <f>IF(tblContractForDeed[[#This Row],[Date]]="","",IF(tblContractForDeed[[#This Row],[Date]]&lt;cfdRateChangeDate,cfdRate1,cfdRate2))</f>
        <v>0.03</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5" s="265">
        <f>IF(tblContractForDeed[[#This Row],[Payment]]=0,0,MAX(0,MIN(tblContractForDeed[[#This Row],[Beg]],tblContractForDeed[[#This Row],[Payment]]-tblContractForDeed[[#This Row],[Int]])))</f>
        <v>0</v>
      </c>
      <c r="S165" s="265">
        <f>IF(OR(tblContractForDeed[[#This Row],[Date]]&lt;cfdContractDate,tblContractForDeed[[#This Row],[Date]]&gt;cfdEndDate),0,ROUND(tblContractForDeed[[#This Row],[Beg]]*(tblContractForDeed[[#This Row],[Int Rate]]/12),2))</f>
        <v>0</v>
      </c>
      <c r="T165" s="265">
        <f>IF(tblContractForDeed[[#This Row],[Payment]]=0,0,$V$2)</f>
        <v>0</v>
      </c>
      <c r="U165" s="265">
        <f>IF(tblContractForDeed[[#This Row],[Princ]]=0,0,$V$3)</f>
        <v>0</v>
      </c>
      <c r="V165" s="265">
        <f>SUM(tblContractForDeed[[#This Row],[Princ]],tblContractForDeed[[#This Row],[Int]],tblContractForDeed[[#This Row],[Ins]],tblContractForDeed[[#This Row],[Taxes]])</f>
        <v>0</v>
      </c>
      <c r="W165" s="265">
        <f>SUM(INDEX(tblContractForDeed[Princ],1):INDEX(tblContractForDeed[Princ],ROW()-ROW(tblContractForDeed[#Headers])))</f>
        <v>146500</v>
      </c>
      <c r="X165" s="265">
        <f>IF(tblContractForDeed[[#This Row],[Beg]]&lt;=0,0,tblContractForDeed[[#This Row],[Beg]]-tblContractForDeed[[#This Row],[Princ]])</f>
        <v>0</v>
      </c>
      <c r="Y1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5" s="439">
        <f>IF(INDEX(tblContractForDeed[Payment],ROW()-ROW(tblBuyerOutputs[#Headers]))=0,0,INDEX(tblContractForDeed[Payment],ROW()-ROW(tblBuyerOutputs[#Headers]))-INDEX(tblSubjectToLoan[Payment],ROW()-ROW(tblBuyerOutputs[#Headers])))</f>
        <v>0</v>
      </c>
      <c r="AA165"/>
      <c r="AB165" s="14">
        <f>IF(INDEX(tblContractForDeed[Payment],ROW()-ROW(tblBuyerOutputs[#Headers]))=0,0,INDEX(tblContractForDeed[Payment],ROW()-ROW(tblBuyerOutputs[#Headers]))-INDEX(tblSubjectToLoan[Payment],ROW()-ROW(tblBuyerOutputs[#Headers])))-IFERROR(tblBuyerOutputs[[#This Row],[PMI]],0)</f>
        <v>0</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5" s="265">
        <f>IF(INDEX(tblContractForDeed[End Bal],ROW()-ROW(tblBuyerOutputs[#Headers]))&lt;=0,0,($O$6+IF(ROW()=ROW(tblBuyerOutputs[#Headers])+1,0,INDEX(tblBuyerOutputs[Cumul Appr],ROW()-ROW(tblBuyerOutputs[#Headers])-1)))*$O$2/12)</f>
        <v>0</v>
      </c>
      <c r="AE165" s="587">
        <f>IF(INDEX(tblContractForDeed[End Bal],ROW()-ROW(tblBuyerOutputs[#Headers]))&lt;=0,0,IF(ROW()=ROW(tblBuyerOutputs[#Headers])+1,0,INDEX(tblBuyerOutputs[Cumul Appr],ROW()-ROW(tblBuyerOutputs[#Headers])-1))+tblBuyerOutputs[[#This Row],[Monthly Appr]])</f>
        <v>0</v>
      </c>
      <c r="AF165" s="22"/>
      <c r="AG165" s="14"/>
      <c r="AM165"/>
      <c r="AN165" s="14"/>
      <c r="AP165" s="265"/>
      <c r="AR165" s="14"/>
      <c r="AS165"/>
    </row>
    <row r="166" spans="1:45" x14ac:dyDescent="0.25">
      <c r="A166" s="561">
        <f t="shared" si="32"/>
        <v>50284</v>
      </c>
      <c r="B166" s="265">
        <f t="shared" si="33"/>
        <v>0</v>
      </c>
      <c r="C166" s="14">
        <f t="shared" si="30"/>
        <v>0</v>
      </c>
      <c r="D166" s="14">
        <f t="shared" si="34"/>
        <v>0</v>
      </c>
      <c r="E166" s="14">
        <f t="shared" si="31"/>
        <v>0</v>
      </c>
      <c r="F166" s="14">
        <f t="shared" si="39"/>
        <v>0</v>
      </c>
      <c r="G166" s="14">
        <f t="shared" si="39"/>
        <v>0</v>
      </c>
      <c r="H166" s="14">
        <f t="shared" si="28"/>
        <v>0</v>
      </c>
      <c r="I166" s="265">
        <f t="shared" si="37"/>
        <v>0</v>
      </c>
      <c r="J166" s="265">
        <f t="shared" si="38"/>
        <v>0</v>
      </c>
      <c r="K166" s="265">
        <f t="shared" si="35"/>
        <v>0</v>
      </c>
      <c r="L166" s="373">
        <f t="shared" si="26"/>
        <v>12</v>
      </c>
      <c r="M166" s="373">
        <f t="shared" si="36"/>
        <v>146</v>
      </c>
      <c r="N166" s="561">
        <f>INDEX(tblSubjectToLoan[Date],ROW()-ROW(tblContractForDeed[#Headers]))</f>
        <v>50284</v>
      </c>
      <c r="O166" s="265">
        <f>IF(ROW()=ROW(tblContractForDeed[#Headers])+1,$O$6,IF(INDEX(tblContractForDeed[End Bal],ROW()-ROW(tblContractForDeed[#Headers])-1)&lt;0,0,INDEX(tblContractForDeed[End Bal],ROW()-ROW(tblContractForDeed[#Headers])-1)))</f>
        <v>0</v>
      </c>
      <c r="P166" s="431">
        <f>IF(tblContractForDeed[[#This Row],[Date]]="","",IF(tblContractForDeed[[#This Row],[Date]]&lt;cfdRateChangeDate,cfdRate1,cfdRate2))</f>
        <v>0.03</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6" s="265">
        <f>IF(tblContractForDeed[[#This Row],[Payment]]=0,0,MAX(0,MIN(tblContractForDeed[[#This Row],[Beg]],tblContractForDeed[[#This Row],[Payment]]-tblContractForDeed[[#This Row],[Int]])))</f>
        <v>0</v>
      </c>
      <c r="S166" s="265">
        <f>IF(OR(tblContractForDeed[[#This Row],[Date]]&lt;cfdContractDate,tblContractForDeed[[#This Row],[Date]]&gt;cfdEndDate),0,ROUND(tblContractForDeed[[#This Row],[Beg]]*(tblContractForDeed[[#This Row],[Int Rate]]/12),2))</f>
        <v>0</v>
      </c>
      <c r="T166" s="265">
        <f>IF(tblContractForDeed[[#This Row],[Payment]]=0,0,$V$2)</f>
        <v>0</v>
      </c>
      <c r="U166" s="265">
        <f>IF(tblContractForDeed[[#This Row],[Princ]]=0,0,$V$3)</f>
        <v>0</v>
      </c>
      <c r="V166" s="265">
        <f>SUM(tblContractForDeed[[#This Row],[Princ]],tblContractForDeed[[#This Row],[Int]],tblContractForDeed[[#This Row],[Ins]],tblContractForDeed[[#This Row],[Taxes]])</f>
        <v>0</v>
      </c>
      <c r="W166" s="265">
        <f>SUM(INDEX(tblContractForDeed[Princ],1):INDEX(tblContractForDeed[Princ],ROW()-ROW(tblContractForDeed[#Headers])))</f>
        <v>146500</v>
      </c>
      <c r="X166" s="265">
        <f>IF(tblContractForDeed[[#This Row],[Beg]]&lt;=0,0,tblContractForDeed[[#This Row],[Beg]]-tblContractForDeed[[#This Row],[Princ]])</f>
        <v>0</v>
      </c>
      <c r="Y1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6" s="439">
        <f>IF(INDEX(tblContractForDeed[Payment],ROW()-ROW(tblBuyerOutputs[#Headers]))=0,0,INDEX(tblContractForDeed[Payment],ROW()-ROW(tblBuyerOutputs[#Headers]))-INDEX(tblSubjectToLoan[Payment],ROW()-ROW(tblBuyerOutputs[#Headers])))</f>
        <v>0</v>
      </c>
      <c r="AA166"/>
      <c r="AB166" s="14">
        <f>IF(INDEX(tblContractForDeed[Payment],ROW()-ROW(tblBuyerOutputs[#Headers]))=0,0,INDEX(tblContractForDeed[Payment],ROW()-ROW(tblBuyerOutputs[#Headers]))-INDEX(tblSubjectToLoan[Payment],ROW()-ROW(tblBuyerOutputs[#Headers])))-IFERROR(tblBuyerOutputs[[#This Row],[PMI]],0)</f>
        <v>0</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6" s="265">
        <f>IF(INDEX(tblContractForDeed[End Bal],ROW()-ROW(tblBuyerOutputs[#Headers]))&lt;=0,0,($O$6+IF(ROW()=ROW(tblBuyerOutputs[#Headers])+1,0,INDEX(tblBuyerOutputs[Cumul Appr],ROW()-ROW(tblBuyerOutputs[#Headers])-1)))*$O$2/12)</f>
        <v>0</v>
      </c>
      <c r="AE166" s="587">
        <f>IF(INDEX(tblContractForDeed[End Bal],ROW()-ROW(tblBuyerOutputs[#Headers]))&lt;=0,0,IF(ROW()=ROW(tblBuyerOutputs[#Headers])+1,0,INDEX(tblBuyerOutputs[Cumul Appr],ROW()-ROW(tblBuyerOutputs[#Headers])-1))+tblBuyerOutputs[[#This Row],[Monthly Appr]])</f>
        <v>0</v>
      </c>
      <c r="AF166" s="22"/>
      <c r="AG166" s="14"/>
      <c r="AM166"/>
      <c r="AN166" s="14"/>
      <c r="AP166" s="265"/>
      <c r="AR166" s="14"/>
      <c r="AS166"/>
    </row>
    <row r="167" spans="1:45" x14ac:dyDescent="0.25">
      <c r="A167" s="561">
        <f t="shared" si="32"/>
        <v>50314</v>
      </c>
      <c r="B167" s="265">
        <f t="shared" si="33"/>
        <v>0</v>
      </c>
      <c r="C167" s="14">
        <f t="shared" si="30"/>
        <v>0</v>
      </c>
      <c r="D167" s="14">
        <f t="shared" si="34"/>
        <v>0</v>
      </c>
      <c r="E167" s="14">
        <f t="shared" si="31"/>
        <v>0</v>
      </c>
      <c r="F167" s="14">
        <f t="shared" si="39"/>
        <v>0</v>
      </c>
      <c r="G167" s="14">
        <f t="shared" si="39"/>
        <v>0</v>
      </c>
      <c r="H167" s="14">
        <f t="shared" si="28"/>
        <v>0</v>
      </c>
      <c r="I167" s="265">
        <f t="shared" si="37"/>
        <v>0</v>
      </c>
      <c r="J167" s="265">
        <f t="shared" si="38"/>
        <v>0</v>
      </c>
      <c r="K167" s="265">
        <f t="shared" si="35"/>
        <v>0</v>
      </c>
      <c r="L167" s="373">
        <f t="shared" si="26"/>
        <v>12</v>
      </c>
      <c r="M167" s="373">
        <f t="shared" si="36"/>
        <v>147</v>
      </c>
      <c r="N167" s="561">
        <f>INDEX(tblSubjectToLoan[Date],ROW()-ROW(tblContractForDeed[#Headers]))</f>
        <v>50314</v>
      </c>
      <c r="O167" s="265">
        <f>IF(ROW()=ROW(tblContractForDeed[#Headers])+1,$O$6,IF(INDEX(tblContractForDeed[End Bal],ROW()-ROW(tblContractForDeed[#Headers])-1)&lt;0,0,INDEX(tblContractForDeed[End Bal],ROW()-ROW(tblContractForDeed[#Headers])-1)))</f>
        <v>0</v>
      </c>
      <c r="P167" s="431">
        <f>IF(tblContractForDeed[[#This Row],[Date]]="","",IF(tblContractForDeed[[#This Row],[Date]]&lt;cfdRateChangeDate,cfdRate1,cfdRate2))</f>
        <v>0.03</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7" s="265">
        <f>IF(tblContractForDeed[[#This Row],[Payment]]=0,0,MAX(0,MIN(tblContractForDeed[[#This Row],[Beg]],tblContractForDeed[[#This Row],[Payment]]-tblContractForDeed[[#This Row],[Int]])))</f>
        <v>0</v>
      </c>
      <c r="S167" s="265">
        <f>IF(OR(tblContractForDeed[[#This Row],[Date]]&lt;cfdContractDate,tblContractForDeed[[#This Row],[Date]]&gt;cfdEndDate),0,ROUND(tblContractForDeed[[#This Row],[Beg]]*(tblContractForDeed[[#This Row],[Int Rate]]/12),2))</f>
        <v>0</v>
      </c>
      <c r="T167" s="265">
        <f>IF(tblContractForDeed[[#This Row],[Payment]]=0,0,$V$2)</f>
        <v>0</v>
      </c>
      <c r="U167" s="265">
        <f>IF(tblContractForDeed[[#This Row],[Princ]]=0,0,$V$3)</f>
        <v>0</v>
      </c>
      <c r="V167" s="265">
        <f>SUM(tblContractForDeed[[#This Row],[Princ]],tblContractForDeed[[#This Row],[Int]],tblContractForDeed[[#This Row],[Ins]],tblContractForDeed[[#This Row],[Taxes]])</f>
        <v>0</v>
      </c>
      <c r="W167" s="265">
        <f>SUM(INDEX(tblContractForDeed[Princ],1):INDEX(tblContractForDeed[Princ],ROW()-ROW(tblContractForDeed[#Headers])))</f>
        <v>146500</v>
      </c>
      <c r="X167" s="265">
        <f>IF(tblContractForDeed[[#This Row],[Beg]]&lt;=0,0,tblContractForDeed[[#This Row],[Beg]]-tblContractForDeed[[#This Row],[Princ]])</f>
        <v>0</v>
      </c>
      <c r="Y1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7" s="439">
        <f>IF(INDEX(tblContractForDeed[Payment],ROW()-ROW(tblBuyerOutputs[#Headers]))=0,0,INDEX(tblContractForDeed[Payment],ROW()-ROW(tblBuyerOutputs[#Headers]))-INDEX(tblSubjectToLoan[Payment],ROW()-ROW(tblBuyerOutputs[#Headers])))</f>
        <v>0</v>
      </c>
      <c r="AA167"/>
      <c r="AB167" s="14">
        <f>IF(INDEX(tblContractForDeed[Payment],ROW()-ROW(tblBuyerOutputs[#Headers]))=0,0,INDEX(tblContractForDeed[Payment],ROW()-ROW(tblBuyerOutputs[#Headers]))-INDEX(tblSubjectToLoan[Payment],ROW()-ROW(tblBuyerOutputs[#Headers])))-IFERROR(tblBuyerOutputs[[#This Row],[PMI]],0)</f>
        <v>0</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7" s="265">
        <f>IF(INDEX(tblContractForDeed[End Bal],ROW()-ROW(tblBuyerOutputs[#Headers]))&lt;=0,0,($O$6+IF(ROW()=ROW(tblBuyerOutputs[#Headers])+1,0,INDEX(tblBuyerOutputs[Cumul Appr],ROW()-ROW(tblBuyerOutputs[#Headers])-1)))*$O$2/12)</f>
        <v>0</v>
      </c>
      <c r="AE167" s="587">
        <f>IF(INDEX(tblContractForDeed[End Bal],ROW()-ROW(tblBuyerOutputs[#Headers]))&lt;=0,0,IF(ROW()=ROW(tblBuyerOutputs[#Headers])+1,0,INDEX(tblBuyerOutputs[Cumul Appr],ROW()-ROW(tblBuyerOutputs[#Headers])-1))+tblBuyerOutputs[[#This Row],[Monthly Appr]])</f>
        <v>0</v>
      </c>
      <c r="AF167" s="22"/>
      <c r="AG167" s="14"/>
      <c r="AM167"/>
      <c r="AN167" s="14"/>
      <c r="AP167" s="265"/>
      <c r="AR167" s="14"/>
      <c r="AS167"/>
    </row>
    <row r="168" spans="1:45" x14ac:dyDescent="0.25">
      <c r="A168" s="561">
        <f t="shared" si="32"/>
        <v>50345</v>
      </c>
      <c r="B168" s="265">
        <f t="shared" si="33"/>
        <v>0</v>
      </c>
      <c r="C168" s="14">
        <f t="shared" si="30"/>
        <v>0</v>
      </c>
      <c r="D168" s="14">
        <f t="shared" si="34"/>
        <v>0</v>
      </c>
      <c r="E168" s="14">
        <f t="shared" si="31"/>
        <v>0</v>
      </c>
      <c r="F168" s="14">
        <f t="shared" si="39"/>
        <v>0</v>
      </c>
      <c r="G168" s="14">
        <f t="shared" si="39"/>
        <v>0</v>
      </c>
      <c r="H168" s="14">
        <f t="shared" si="28"/>
        <v>0</v>
      </c>
      <c r="I168" s="265">
        <f t="shared" si="37"/>
        <v>0</v>
      </c>
      <c r="J168" s="265">
        <f t="shared" si="38"/>
        <v>0</v>
      </c>
      <c r="K168" s="265">
        <f t="shared" si="35"/>
        <v>0</v>
      </c>
      <c r="L168" s="373">
        <f t="shared" si="26"/>
        <v>12</v>
      </c>
      <c r="M168" s="373">
        <f t="shared" si="36"/>
        <v>148</v>
      </c>
      <c r="N168" s="561">
        <f>INDEX(tblSubjectToLoan[Date],ROW()-ROW(tblContractForDeed[#Headers]))</f>
        <v>50345</v>
      </c>
      <c r="O168" s="265">
        <f>IF(ROW()=ROW(tblContractForDeed[#Headers])+1,$O$6,IF(INDEX(tblContractForDeed[End Bal],ROW()-ROW(tblContractForDeed[#Headers])-1)&lt;0,0,INDEX(tblContractForDeed[End Bal],ROW()-ROW(tblContractForDeed[#Headers])-1)))</f>
        <v>0</v>
      </c>
      <c r="P168" s="431">
        <f>IF(tblContractForDeed[[#This Row],[Date]]="","",IF(tblContractForDeed[[#This Row],[Date]]&lt;cfdRateChangeDate,cfdRate1,cfdRate2))</f>
        <v>0.03</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8" s="265">
        <f>IF(tblContractForDeed[[#This Row],[Payment]]=0,0,MAX(0,MIN(tblContractForDeed[[#This Row],[Beg]],tblContractForDeed[[#This Row],[Payment]]-tblContractForDeed[[#This Row],[Int]])))</f>
        <v>0</v>
      </c>
      <c r="S168" s="265">
        <f>IF(OR(tblContractForDeed[[#This Row],[Date]]&lt;cfdContractDate,tblContractForDeed[[#This Row],[Date]]&gt;cfdEndDate),0,ROUND(tblContractForDeed[[#This Row],[Beg]]*(tblContractForDeed[[#This Row],[Int Rate]]/12),2))</f>
        <v>0</v>
      </c>
      <c r="T168" s="265">
        <f>IF(tblContractForDeed[[#This Row],[Payment]]=0,0,$V$2)</f>
        <v>0</v>
      </c>
      <c r="U168" s="265">
        <f>IF(tblContractForDeed[[#This Row],[Princ]]=0,0,$V$3)</f>
        <v>0</v>
      </c>
      <c r="V168" s="265">
        <f>SUM(tblContractForDeed[[#This Row],[Princ]],tblContractForDeed[[#This Row],[Int]],tblContractForDeed[[#This Row],[Ins]],tblContractForDeed[[#This Row],[Taxes]])</f>
        <v>0</v>
      </c>
      <c r="W168" s="265">
        <f>SUM(INDEX(tblContractForDeed[Princ],1):INDEX(tblContractForDeed[Princ],ROW()-ROW(tblContractForDeed[#Headers])))</f>
        <v>146500</v>
      </c>
      <c r="X168" s="265">
        <f>IF(tblContractForDeed[[#This Row],[Beg]]&lt;=0,0,tblContractForDeed[[#This Row],[Beg]]-tblContractForDeed[[#This Row],[Princ]])</f>
        <v>0</v>
      </c>
      <c r="Y1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8" s="439">
        <f>IF(INDEX(tblContractForDeed[Payment],ROW()-ROW(tblBuyerOutputs[#Headers]))=0,0,INDEX(tblContractForDeed[Payment],ROW()-ROW(tblBuyerOutputs[#Headers]))-INDEX(tblSubjectToLoan[Payment],ROW()-ROW(tblBuyerOutputs[#Headers])))</f>
        <v>0</v>
      </c>
      <c r="AA168"/>
      <c r="AB168" s="14">
        <f>IF(INDEX(tblContractForDeed[Payment],ROW()-ROW(tblBuyerOutputs[#Headers]))=0,0,INDEX(tblContractForDeed[Payment],ROW()-ROW(tblBuyerOutputs[#Headers]))-INDEX(tblSubjectToLoan[Payment],ROW()-ROW(tblBuyerOutputs[#Headers])))-IFERROR(tblBuyerOutputs[[#This Row],[PMI]],0)</f>
        <v>0</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8" s="265">
        <f>IF(INDEX(tblContractForDeed[End Bal],ROW()-ROW(tblBuyerOutputs[#Headers]))&lt;=0,0,($O$6+IF(ROW()=ROW(tblBuyerOutputs[#Headers])+1,0,INDEX(tblBuyerOutputs[Cumul Appr],ROW()-ROW(tblBuyerOutputs[#Headers])-1)))*$O$2/12)</f>
        <v>0</v>
      </c>
      <c r="AE168" s="587">
        <f>IF(INDEX(tblContractForDeed[End Bal],ROW()-ROW(tblBuyerOutputs[#Headers]))&lt;=0,0,IF(ROW()=ROW(tblBuyerOutputs[#Headers])+1,0,INDEX(tblBuyerOutputs[Cumul Appr],ROW()-ROW(tblBuyerOutputs[#Headers])-1))+tblBuyerOutputs[[#This Row],[Monthly Appr]])</f>
        <v>0</v>
      </c>
      <c r="AF168" s="22"/>
      <c r="AG168" s="14"/>
      <c r="AM168"/>
      <c r="AN168" s="14"/>
      <c r="AP168" s="265"/>
      <c r="AR168" s="14"/>
      <c r="AS168"/>
    </row>
    <row r="169" spans="1:45" x14ac:dyDescent="0.25">
      <c r="A169" s="561">
        <f t="shared" si="32"/>
        <v>50375</v>
      </c>
      <c r="B169" s="265">
        <f t="shared" si="33"/>
        <v>0</v>
      </c>
      <c r="C169" s="14">
        <f t="shared" si="30"/>
        <v>0</v>
      </c>
      <c r="D169" s="14">
        <f t="shared" si="34"/>
        <v>0</v>
      </c>
      <c r="E169" s="14">
        <f t="shared" si="31"/>
        <v>0</v>
      </c>
      <c r="F169" s="14">
        <f t="shared" si="39"/>
        <v>0</v>
      </c>
      <c r="G169" s="14">
        <f t="shared" si="39"/>
        <v>0</v>
      </c>
      <c r="H169" s="14">
        <f t="shared" si="28"/>
        <v>0</v>
      </c>
      <c r="I169" s="265">
        <f t="shared" si="37"/>
        <v>0</v>
      </c>
      <c r="J169" s="265">
        <f t="shared" si="38"/>
        <v>0</v>
      </c>
      <c r="K169" s="265">
        <f t="shared" si="35"/>
        <v>0</v>
      </c>
      <c r="L169" s="373">
        <f t="shared" si="26"/>
        <v>12</v>
      </c>
      <c r="M169" s="373">
        <f t="shared" si="36"/>
        <v>149</v>
      </c>
      <c r="N169" s="561">
        <f>INDEX(tblSubjectToLoan[Date],ROW()-ROW(tblContractForDeed[#Headers]))</f>
        <v>50375</v>
      </c>
      <c r="O169" s="265">
        <f>IF(ROW()=ROW(tblContractForDeed[#Headers])+1,$O$6,IF(INDEX(tblContractForDeed[End Bal],ROW()-ROW(tblContractForDeed[#Headers])-1)&lt;0,0,INDEX(tblContractForDeed[End Bal],ROW()-ROW(tblContractForDeed[#Headers])-1)))</f>
        <v>0</v>
      </c>
      <c r="P169" s="431">
        <f>IF(tblContractForDeed[[#This Row],[Date]]="","",IF(tblContractForDeed[[#This Row],[Date]]&lt;cfdRateChangeDate,cfdRate1,cfdRate2))</f>
        <v>0.03</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9" s="265">
        <f>IF(tblContractForDeed[[#This Row],[Payment]]=0,0,MAX(0,MIN(tblContractForDeed[[#This Row],[Beg]],tblContractForDeed[[#This Row],[Payment]]-tblContractForDeed[[#This Row],[Int]])))</f>
        <v>0</v>
      </c>
      <c r="S169" s="265">
        <f>IF(OR(tblContractForDeed[[#This Row],[Date]]&lt;cfdContractDate,tblContractForDeed[[#This Row],[Date]]&gt;cfdEndDate),0,ROUND(tblContractForDeed[[#This Row],[Beg]]*(tblContractForDeed[[#This Row],[Int Rate]]/12),2))</f>
        <v>0</v>
      </c>
      <c r="T169" s="265">
        <f>IF(tblContractForDeed[[#This Row],[Payment]]=0,0,$V$2)</f>
        <v>0</v>
      </c>
      <c r="U169" s="265">
        <f>IF(tblContractForDeed[[#This Row],[Princ]]=0,0,$V$3)</f>
        <v>0</v>
      </c>
      <c r="V169" s="265">
        <f>SUM(tblContractForDeed[[#This Row],[Princ]],tblContractForDeed[[#This Row],[Int]],tblContractForDeed[[#This Row],[Ins]],tblContractForDeed[[#This Row],[Taxes]])</f>
        <v>0</v>
      </c>
      <c r="W169" s="265">
        <f>SUM(INDEX(tblContractForDeed[Princ],1):INDEX(tblContractForDeed[Princ],ROW()-ROW(tblContractForDeed[#Headers])))</f>
        <v>146500</v>
      </c>
      <c r="X169" s="265">
        <f>IF(tblContractForDeed[[#This Row],[Beg]]&lt;=0,0,tblContractForDeed[[#This Row],[Beg]]-tblContractForDeed[[#This Row],[Princ]])</f>
        <v>0</v>
      </c>
      <c r="Y1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9" s="439">
        <f>IF(INDEX(tblContractForDeed[Payment],ROW()-ROW(tblBuyerOutputs[#Headers]))=0,0,INDEX(tblContractForDeed[Payment],ROW()-ROW(tblBuyerOutputs[#Headers]))-INDEX(tblSubjectToLoan[Payment],ROW()-ROW(tblBuyerOutputs[#Headers])))</f>
        <v>0</v>
      </c>
      <c r="AA169"/>
      <c r="AB169" s="14">
        <f>IF(INDEX(tblContractForDeed[Payment],ROW()-ROW(tblBuyerOutputs[#Headers]))=0,0,INDEX(tblContractForDeed[Payment],ROW()-ROW(tblBuyerOutputs[#Headers]))-INDEX(tblSubjectToLoan[Payment],ROW()-ROW(tblBuyerOutputs[#Headers])))-IFERROR(tblBuyerOutputs[[#This Row],[PMI]],0)</f>
        <v>0</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9" s="265">
        <f>IF(INDEX(tblContractForDeed[End Bal],ROW()-ROW(tblBuyerOutputs[#Headers]))&lt;=0,0,($O$6+IF(ROW()=ROW(tblBuyerOutputs[#Headers])+1,0,INDEX(tblBuyerOutputs[Cumul Appr],ROW()-ROW(tblBuyerOutputs[#Headers])-1)))*$O$2/12)</f>
        <v>0</v>
      </c>
      <c r="AE169" s="587">
        <f>IF(INDEX(tblContractForDeed[End Bal],ROW()-ROW(tblBuyerOutputs[#Headers]))&lt;=0,0,IF(ROW()=ROW(tblBuyerOutputs[#Headers])+1,0,INDEX(tblBuyerOutputs[Cumul Appr],ROW()-ROW(tblBuyerOutputs[#Headers])-1))+tblBuyerOutputs[[#This Row],[Monthly Appr]])</f>
        <v>0</v>
      </c>
      <c r="AF169" s="22"/>
      <c r="AG169" s="14"/>
      <c r="AM169"/>
      <c r="AN169" s="14"/>
      <c r="AP169" s="265"/>
      <c r="AR169" s="14"/>
      <c r="AS169"/>
    </row>
    <row r="170" spans="1:45" x14ac:dyDescent="0.25">
      <c r="A170" s="561">
        <f t="shared" si="32"/>
        <v>50406</v>
      </c>
      <c r="B170" s="265">
        <f t="shared" si="33"/>
        <v>0</v>
      </c>
      <c r="C170" s="14">
        <f t="shared" si="30"/>
        <v>0</v>
      </c>
      <c r="D170" s="14">
        <f t="shared" si="34"/>
        <v>0</v>
      </c>
      <c r="E170" s="14">
        <f t="shared" si="31"/>
        <v>0</v>
      </c>
      <c r="F170" s="14">
        <f t="shared" si="39"/>
        <v>0</v>
      </c>
      <c r="G170" s="14">
        <f t="shared" si="39"/>
        <v>0</v>
      </c>
      <c r="H170" s="14">
        <f t="shared" si="28"/>
        <v>0</v>
      </c>
      <c r="I170" s="265">
        <f t="shared" si="37"/>
        <v>0</v>
      </c>
      <c r="J170" s="265">
        <f t="shared" si="38"/>
        <v>0</v>
      </c>
      <c r="K170" s="265">
        <f t="shared" si="35"/>
        <v>0</v>
      </c>
      <c r="L170" s="373">
        <f t="shared" si="26"/>
        <v>12</v>
      </c>
      <c r="M170" s="373">
        <f t="shared" si="36"/>
        <v>150</v>
      </c>
      <c r="N170" s="561">
        <f>INDEX(tblSubjectToLoan[Date],ROW()-ROW(tblContractForDeed[#Headers]))</f>
        <v>50406</v>
      </c>
      <c r="O170" s="265">
        <f>IF(ROW()=ROW(tblContractForDeed[#Headers])+1,$O$6,IF(INDEX(tblContractForDeed[End Bal],ROW()-ROW(tblContractForDeed[#Headers])-1)&lt;0,0,INDEX(tblContractForDeed[End Bal],ROW()-ROW(tblContractForDeed[#Headers])-1)))</f>
        <v>0</v>
      </c>
      <c r="P170" s="431">
        <f>IF(tblContractForDeed[[#This Row],[Date]]="","",IF(tblContractForDeed[[#This Row],[Date]]&lt;cfdRateChangeDate,cfdRate1,cfdRate2))</f>
        <v>0.03</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0" s="265">
        <f>IF(tblContractForDeed[[#This Row],[Payment]]=0,0,MAX(0,MIN(tblContractForDeed[[#This Row],[Beg]],tblContractForDeed[[#This Row],[Payment]]-tblContractForDeed[[#This Row],[Int]])))</f>
        <v>0</v>
      </c>
      <c r="S170" s="265">
        <f>IF(OR(tblContractForDeed[[#This Row],[Date]]&lt;cfdContractDate,tblContractForDeed[[#This Row],[Date]]&gt;cfdEndDate),0,ROUND(tblContractForDeed[[#This Row],[Beg]]*(tblContractForDeed[[#This Row],[Int Rate]]/12),2))</f>
        <v>0</v>
      </c>
      <c r="T170" s="265">
        <f>IF(tblContractForDeed[[#This Row],[Payment]]=0,0,$V$2)</f>
        <v>0</v>
      </c>
      <c r="U170" s="265">
        <f>IF(tblContractForDeed[[#This Row],[Princ]]=0,0,$V$3)</f>
        <v>0</v>
      </c>
      <c r="V170" s="265">
        <f>SUM(tblContractForDeed[[#This Row],[Princ]],tblContractForDeed[[#This Row],[Int]],tblContractForDeed[[#This Row],[Ins]],tblContractForDeed[[#This Row],[Taxes]])</f>
        <v>0</v>
      </c>
      <c r="W170" s="265">
        <f>SUM(INDEX(tblContractForDeed[Princ],1):INDEX(tblContractForDeed[Princ],ROW()-ROW(tblContractForDeed[#Headers])))</f>
        <v>146500</v>
      </c>
      <c r="X170" s="265">
        <f>IF(tblContractForDeed[[#This Row],[Beg]]&lt;=0,0,tblContractForDeed[[#This Row],[Beg]]-tblContractForDeed[[#This Row],[Princ]])</f>
        <v>0</v>
      </c>
      <c r="Y1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0" s="439">
        <f>IF(INDEX(tblContractForDeed[Payment],ROW()-ROW(tblBuyerOutputs[#Headers]))=0,0,INDEX(tblContractForDeed[Payment],ROW()-ROW(tblBuyerOutputs[#Headers]))-INDEX(tblSubjectToLoan[Payment],ROW()-ROW(tblBuyerOutputs[#Headers])))</f>
        <v>0</v>
      </c>
      <c r="AA170"/>
      <c r="AB170" s="14">
        <f>IF(INDEX(tblContractForDeed[Payment],ROW()-ROW(tblBuyerOutputs[#Headers]))=0,0,INDEX(tblContractForDeed[Payment],ROW()-ROW(tblBuyerOutputs[#Headers]))-INDEX(tblSubjectToLoan[Payment],ROW()-ROW(tblBuyerOutputs[#Headers])))-IFERROR(tblBuyerOutputs[[#This Row],[PMI]],0)</f>
        <v>0</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0" s="265">
        <f>IF(INDEX(tblContractForDeed[End Bal],ROW()-ROW(tblBuyerOutputs[#Headers]))&lt;=0,0,($O$6+IF(ROW()=ROW(tblBuyerOutputs[#Headers])+1,0,INDEX(tblBuyerOutputs[Cumul Appr],ROW()-ROW(tblBuyerOutputs[#Headers])-1)))*$O$2/12)</f>
        <v>0</v>
      </c>
      <c r="AE170" s="587">
        <f>IF(INDEX(tblContractForDeed[End Bal],ROW()-ROW(tblBuyerOutputs[#Headers]))&lt;=0,0,IF(ROW()=ROW(tblBuyerOutputs[#Headers])+1,0,INDEX(tblBuyerOutputs[Cumul Appr],ROW()-ROW(tblBuyerOutputs[#Headers])-1))+tblBuyerOutputs[[#This Row],[Monthly Appr]])</f>
        <v>0</v>
      </c>
      <c r="AF170" s="22"/>
      <c r="AG170" s="14"/>
      <c r="AM170"/>
      <c r="AN170" s="14"/>
      <c r="AP170" s="265"/>
      <c r="AR170" s="14"/>
      <c r="AS170"/>
    </row>
    <row r="171" spans="1:45" x14ac:dyDescent="0.25">
      <c r="A171" s="561">
        <f t="shared" si="32"/>
        <v>50437</v>
      </c>
      <c r="B171" s="265">
        <f t="shared" si="33"/>
        <v>0</v>
      </c>
      <c r="C171" s="14">
        <f t="shared" si="30"/>
        <v>0</v>
      </c>
      <c r="D171" s="14">
        <f t="shared" si="34"/>
        <v>0</v>
      </c>
      <c r="E171" s="14">
        <f t="shared" si="31"/>
        <v>0</v>
      </c>
      <c r="F171" s="14">
        <f t="shared" si="39"/>
        <v>0</v>
      </c>
      <c r="G171" s="14">
        <f t="shared" si="39"/>
        <v>0</v>
      </c>
      <c r="H171" s="14">
        <f t="shared" si="28"/>
        <v>0</v>
      </c>
      <c r="I171" s="265">
        <f t="shared" si="37"/>
        <v>0</v>
      </c>
      <c r="J171" s="265">
        <f t="shared" si="38"/>
        <v>0</v>
      </c>
      <c r="K171" s="265">
        <f t="shared" si="35"/>
        <v>0</v>
      </c>
      <c r="L171" s="373">
        <f t="shared" si="26"/>
        <v>12</v>
      </c>
      <c r="M171" s="373">
        <f t="shared" si="36"/>
        <v>151</v>
      </c>
      <c r="N171" s="561">
        <f>INDEX(tblSubjectToLoan[Date],ROW()-ROW(tblContractForDeed[#Headers]))</f>
        <v>50437</v>
      </c>
      <c r="O171" s="265">
        <f>IF(ROW()=ROW(tblContractForDeed[#Headers])+1,$O$6,IF(INDEX(tblContractForDeed[End Bal],ROW()-ROW(tblContractForDeed[#Headers])-1)&lt;0,0,INDEX(tblContractForDeed[End Bal],ROW()-ROW(tblContractForDeed[#Headers])-1)))</f>
        <v>0</v>
      </c>
      <c r="P171" s="431">
        <f>IF(tblContractForDeed[[#This Row],[Date]]="","",IF(tblContractForDeed[[#This Row],[Date]]&lt;cfdRateChangeDate,cfdRate1,cfdRate2))</f>
        <v>0.03</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1" s="265">
        <f>IF(tblContractForDeed[[#This Row],[Payment]]=0,0,MAX(0,MIN(tblContractForDeed[[#This Row],[Beg]],tblContractForDeed[[#This Row],[Payment]]-tblContractForDeed[[#This Row],[Int]])))</f>
        <v>0</v>
      </c>
      <c r="S171" s="265">
        <f>IF(OR(tblContractForDeed[[#This Row],[Date]]&lt;cfdContractDate,tblContractForDeed[[#This Row],[Date]]&gt;cfdEndDate),0,ROUND(tblContractForDeed[[#This Row],[Beg]]*(tblContractForDeed[[#This Row],[Int Rate]]/12),2))</f>
        <v>0</v>
      </c>
      <c r="T171" s="265">
        <f>IF(tblContractForDeed[[#This Row],[Payment]]=0,0,$V$2)</f>
        <v>0</v>
      </c>
      <c r="U171" s="265">
        <f>IF(tblContractForDeed[[#This Row],[Princ]]=0,0,$V$3)</f>
        <v>0</v>
      </c>
      <c r="V171" s="265">
        <f>SUM(tblContractForDeed[[#This Row],[Princ]],tblContractForDeed[[#This Row],[Int]],tblContractForDeed[[#This Row],[Ins]],tblContractForDeed[[#This Row],[Taxes]])</f>
        <v>0</v>
      </c>
      <c r="W171" s="265">
        <f>SUM(INDEX(tblContractForDeed[Princ],1):INDEX(tblContractForDeed[Princ],ROW()-ROW(tblContractForDeed[#Headers])))</f>
        <v>146500</v>
      </c>
      <c r="X171" s="265">
        <f>IF(tblContractForDeed[[#This Row],[Beg]]&lt;=0,0,tblContractForDeed[[#This Row],[Beg]]-tblContractForDeed[[#This Row],[Princ]])</f>
        <v>0</v>
      </c>
      <c r="Y1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1" s="439">
        <f>IF(INDEX(tblContractForDeed[Payment],ROW()-ROW(tblBuyerOutputs[#Headers]))=0,0,INDEX(tblContractForDeed[Payment],ROW()-ROW(tblBuyerOutputs[#Headers]))-INDEX(tblSubjectToLoan[Payment],ROW()-ROW(tblBuyerOutputs[#Headers])))</f>
        <v>0</v>
      </c>
      <c r="AA171"/>
      <c r="AB171" s="14">
        <f>IF(INDEX(tblContractForDeed[Payment],ROW()-ROW(tblBuyerOutputs[#Headers]))=0,0,INDEX(tblContractForDeed[Payment],ROW()-ROW(tblBuyerOutputs[#Headers]))-INDEX(tblSubjectToLoan[Payment],ROW()-ROW(tblBuyerOutputs[#Headers])))-IFERROR(tblBuyerOutputs[[#This Row],[PMI]],0)</f>
        <v>0</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1" s="265">
        <f>IF(INDEX(tblContractForDeed[End Bal],ROW()-ROW(tblBuyerOutputs[#Headers]))&lt;=0,0,($O$6+IF(ROW()=ROW(tblBuyerOutputs[#Headers])+1,0,INDEX(tblBuyerOutputs[Cumul Appr],ROW()-ROW(tblBuyerOutputs[#Headers])-1)))*$O$2/12)</f>
        <v>0</v>
      </c>
      <c r="AE171" s="587">
        <f>IF(INDEX(tblContractForDeed[End Bal],ROW()-ROW(tblBuyerOutputs[#Headers]))&lt;=0,0,IF(ROW()=ROW(tblBuyerOutputs[#Headers])+1,0,INDEX(tblBuyerOutputs[Cumul Appr],ROW()-ROW(tblBuyerOutputs[#Headers])-1))+tblBuyerOutputs[[#This Row],[Monthly Appr]])</f>
        <v>0</v>
      </c>
      <c r="AF171" s="22"/>
      <c r="AG171" s="14"/>
      <c r="AM171"/>
      <c r="AN171" s="14"/>
      <c r="AP171" s="265"/>
      <c r="AR171" s="14"/>
      <c r="AS171"/>
    </row>
    <row r="172" spans="1:45" x14ac:dyDescent="0.25">
      <c r="A172" s="561">
        <f t="shared" si="32"/>
        <v>50465</v>
      </c>
      <c r="B172" s="265">
        <f t="shared" si="33"/>
        <v>0</v>
      </c>
      <c r="C172" s="14">
        <f t="shared" si="30"/>
        <v>0</v>
      </c>
      <c r="D172" s="14">
        <f t="shared" si="34"/>
        <v>0</v>
      </c>
      <c r="E172" s="14">
        <f t="shared" si="31"/>
        <v>0</v>
      </c>
      <c r="F172" s="14">
        <f t="shared" si="39"/>
        <v>0</v>
      </c>
      <c r="G172" s="14">
        <f t="shared" si="39"/>
        <v>0</v>
      </c>
      <c r="H172" s="14">
        <f t="shared" si="28"/>
        <v>0</v>
      </c>
      <c r="I172" s="265">
        <f t="shared" si="37"/>
        <v>0</v>
      </c>
      <c r="J172" s="265">
        <f t="shared" si="38"/>
        <v>0</v>
      </c>
      <c r="K172" s="265">
        <f t="shared" si="35"/>
        <v>0</v>
      </c>
      <c r="L172" s="373">
        <f t="shared" si="26"/>
        <v>12</v>
      </c>
      <c r="M172" s="373">
        <f t="shared" si="36"/>
        <v>152</v>
      </c>
      <c r="N172" s="561">
        <f>INDEX(tblSubjectToLoan[Date],ROW()-ROW(tblContractForDeed[#Headers]))</f>
        <v>50465</v>
      </c>
      <c r="O172" s="265">
        <f>IF(ROW()=ROW(tblContractForDeed[#Headers])+1,$O$6,IF(INDEX(tblContractForDeed[End Bal],ROW()-ROW(tblContractForDeed[#Headers])-1)&lt;0,0,INDEX(tblContractForDeed[End Bal],ROW()-ROW(tblContractForDeed[#Headers])-1)))</f>
        <v>0</v>
      </c>
      <c r="P172" s="431">
        <f>IF(tblContractForDeed[[#This Row],[Date]]="","",IF(tblContractForDeed[[#This Row],[Date]]&lt;cfdRateChangeDate,cfdRate1,cfdRate2))</f>
        <v>0.03</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2" s="265">
        <f>IF(tblContractForDeed[[#This Row],[Payment]]=0,0,MAX(0,MIN(tblContractForDeed[[#This Row],[Beg]],tblContractForDeed[[#This Row],[Payment]]-tblContractForDeed[[#This Row],[Int]])))</f>
        <v>0</v>
      </c>
      <c r="S172" s="265">
        <f>IF(OR(tblContractForDeed[[#This Row],[Date]]&lt;cfdContractDate,tblContractForDeed[[#This Row],[Date]]&gt;cfdEndDate),0,ROUND(tblContractForDeed[[#This Row],[Beg]]*(tblContractForDeed[[#This Row],[Int Rate]]/12),2))</f>
        <v>0</v>
      </c>
      <c r="T172" s="265">
        <f>IF(tblContractForDeed[[#This Row],[Payment]]=0,0,$V$2)</f>
        <v>0</v>
      </c>
      <c r="U172" s="265">
        <f>IF(tblContractForDeed[[#This Row],[Princ]]=0,0,$V$3)</f>
        <v>0</v>
      </c>
      <c r="V172" s="265">
        <f>SUM(tblContractForDeed[[#This Row],[Princ]],tblContractForDeed[[#This Row],[Int]],tblContractForDeed[[#This Row],[Ins]],tblContractForDeed[[#This Row],[Taxes]])</f>
        <v>0</v>
      </c>
      <c r="W172" s="265">
        <f>SUM(INDEX(tblContractForDeed[Princ],1):INDEX(tblContractForDeed[Princ],ROW()-ROW(tblContractForDeed[#Headers])))</f>
        <v>146500</v>
      </c>
      <c r="X172" s="265">
        <f>IF(tblContractForDeed[[#This Row],[Beg]]&lt;=0,0,tblContractForDeed[[#This Row],[Beg]]-tblContractForDeed[[#This Row],[Princ]])</f>
        <v>0</v>
      </c>
      <c r="Y1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2" s="439">
        <f>IF(INDEX(tblContractForDeed[Payment],ROW()-ROW(tblBuyerOutputs[#Headers]))=0,0,INDEX(tblContractForDeed[Payment],ROW()-ROW(tblBuyerOutputs[#Headers]))-INDEX(tblSubjectToLoan[Payment],ROW()-ROW(tblBuyerOutputs[#Headers])))</f>
        <v>0</v>
      </c>
      <c r="AA172"/>
      <c r="AB172" s="14">
        <f>IF(INDEX(tblContractForDeed[Payment],ROW()-ROW(tblBuyerOutputs[#Headers]))=0,0,INDEX(tblContractForDeed[Payment],ROW()-ROW(tblBuyerOutputs[#Headers]))-INDEX(tblSubjectToLoan[Payment],ROW()-ROW(tblBuyerOutputs[#Headers])))-IFERROR(tblBuyerOutputs[[#This Row],[PMI]],0)</f>
        <v>0</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2" s="265">
        <f>IF(INDEX(tblContractForDeed[End Bal],ROW()-ROW(tblBuyerOutputs[#Headers]))&lt;=0,0,($O$6+IF(ROW()=ROW(tblBuyerOutputs[#Headers])+1,0,INDEX(tblBuyerOutputs[Cumul Appr],ROW()-ROW(tblBuyerOutputs[#Headers])-1)))*$O$2/12)</f>
        <v>0</v>
      </c>
      <c r="AE172" s="587">
        <f>IF(INDEX(tblContractForDeed[End Bal],ROW()-ROW(tblBuyerOutputs[#Headers]))&lt;=0,0,IF(ROW()=ROW(tblBuyerOutputs[#Headers])+1,0,INDEX(tblBuyerOutputs[Cumul Appr],ROW()-ROW(tblBuyerOutputs[#Headers])-1))+tblBuyerOutputs[[#This Row],[Monthly Appr]])</f>
        <v>0</v>
      </c>
      <c r="AF172" s="22"/>
      <c r="AG172" s="14"/>
      <c r="AM172"/>
      <c r="AN172" s="14"/>
      <c r="AP172" s="265"/>
      <c r="AR172" s="14"/>
      <c r="AS172"/>
    </row>
    <row r="173" spans="1:45" x14ac:dyDescent="0.25">
      <c r="A173" s="561">
        <f t="shared" si="32"/>
        <v>50496</v>
      </c>
      <c r="B173" s="265">
        <f t="shared" si="33"/>
        <v>0</v>
      </c>
      <c r="C173" s="14">
        <f t="shared" si="30"/>
        <v>0</v>
      </c>
      <c r="D173" s="14">
        <f t="shared" si="34"/>
        <v>0</v>
      </c>
      <c r="E173" s="14">
        <f t="shared" si="31"/>
        <v>0</v>
      </c>
      <c r="F173" s="14">
        <f t="shared" si="39"/>
        <v>0</v>
      </c>
      <c r="G173" s="14">
        <f t="shared" si="39"/>
        <v>0</v>
      </c>
      <c r="H173" s="14">
        <f t="shared" si="28"/>
        <v>0</v>
      </c>
      <c r="I173" s="265">
        <f t="shared" si="37"/>
        <v>0</v>
      </c>
      <c r="J173" s="265">
        <f t="shared" si="38"/>
        <v>0</v>
      </c>
      <c r="K173" s="265">
        <f t="shared" si="35"/>
        <v>0</v>
      </c>
      <c r="L173" s="373">
        <f t="shared" si="26"/>
        <v>12</v>
      </c>
      <c r="M173" s="373">
        <f t="shared" si="36"/>
        <v>153</v>
      </c>
      <c r="N173" s="561">
        <f>INDEX(tblSubjectToLoan[Date],ROW()-ROW(tblContractForDeed[#Headers]))</f>
        <v>50496</v>
      </c>
      <c r="O173" s="265">
        <f>IF(ROW()=ROW(tblContractForDeed[#Headers])+1,$O$6,IF(INDEX(tblContractForDeed[End Bal],ROW()-ROW(tblContractForDeed[#Headers])-1)&lt;0,0,INDEX(tblContractForDeed[End Bal],ROW()-ROW(tblContractForDeed[#Headers])-1)))</f>
        <v>0</v>
      </c>
      <c r="P173" s="431">
        <f>IF(tblContractForDeed[[#This Row],[Date]]="","",IF(tblContractForDeed[[#This Row],[Date]]&lt;cfdRateChangeDate,cfdRate1,cfdRate2))</f>
        <v>0.03</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3" s="265">
        <f>IF(tblContractForDeed[[#This Row],[Payment]]=0,0,MAX(0,MIN(tblContractForDeed[[#This Row],[Beg]],tblContractForDeed[[#This Row],[Payment]]-tblContractForDeed[[#This Row],[Int]])))</f>
        <v>0</v>
      </c>
      <c r="S173" s="265">
        <f>IF(OR(tblContractForDeed[[#This Row],[Date]]&lt;cfdContractDate,tblContractForDeed[[#This Row],[Date]]&gt;cfdEndDate),0,ROUND(tblContractForDeed[[#This Row],[Beg]]*(tblContractForDeed[[#This Row],[Int Rate]]/12),2))</f>
        <v>0</v>
      </c>
      <c r="T173" s="265">
        <f>IF(tblContractForDeed[[#This Row],[Payment]]=0,0,$V$2)</f>
        <v>0</v>
      </c>
      <c r="U173" s="265">
        <f>IF(tblContractForDeed[[#This Row],[Princ]]=0,0,$V$3)</f>
        <v>0</v>
      </c>
      <c r="V173" s="265">
        <f>SUM(tblContractForDeed[[#This Row],[Princ]],tblContractForDeed[[#This Row],[Int]],tblContractForDeed[[#This Row],[Ins]],tblContractForDeed[[#This Row],[Taxes]])</f>
        <v>0</v>
      </c>
      <c r="W173" s="265">
        <f>SUM(INDEX(tblContractForDeed[Princ],1):INDEX(tblContractForDeed[Princ],ROW()-ROW(tblContractForDeed[#Headers])))</f>
        <v>146500</v>
      </c>
      <c r="X173" s="265">
        <f>IF(tblContractForDeed[[#This Row],[Beg]]&lt;=0,0,tblContractForDeed[[#This Row],[Beg]]-tblContractForDeed[[#This Row],[Princ]])</f>
        <v>0</v>
      </c>
      <c r="Y1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3" s="439">
        <f>IF(INDEX(tblContractForDeed[Payment],ROW()-ROW(tblBuyerOutputs[#Headers]))=0,0,INDEX(tblContractForDeed[Payment],ROW()-ROW(tblBuyerOutputs[#Headers]))-INDEX(tblSubjectToLoan[Payment],ROW()-ROW(tblBuyerOutputs[#Headers])))</f>
        <v>0</v>
      </c>
      <c r="AA173"/>
      <c r="AB173" s="14">
        <f>IF(INDEX(tblContractForDeed[Payment],ROW()-ROW(tblBuyerOutputs[#Headers]))=0,0,INDEX(tblContractForDeed[Payment],ROW()-ROW(tblBuyerOutputs[#Headers]))-INDEX(tblSubjectToLoan[Payment],ROW()-ROW(tblBuyerOutputs[#Headers])))-IFERROR(tblBuyerOutputs[[#This Row],[PMI]],0)</f>
        <v>0</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3" s="265">
        <f>IF(INDEX(tblContractForDeed[End Bal],ROW()-ROW(tblBuyerOutputs[#Headers]))&lt;=0,0,($O$6+IF(ROW()=ROW(tblBuyerOutputs[#Headers])+1,0,INDEX(tblBuyerOutputs[Cumul Appr],ROW()-ROW(tblBuyerOutputs[#Headers])-1)))*$O$2/12)</f>
        <v>0</v>
      </c>
      <c r="AE173" s="587">
        <f>IF(INDEX(tblContractForDeed[End Bal],ROW()-ROW(tblBuyerOutputs[#Headers]))&lt;=0,0,IF(ROW()=ROW(tblBuyerOutputs[#Headers])+1,0,INDEX(tblBuyerOutputs[Cumul Appr],ROW()-ROW(tblBuyerOutputs[#Headers])-1))+tblBuyerOutputs[[#This Row],[Monthly Appr]])</f>
        <v>0</v>
      </c>
      <c r="AF173" s="22"/>
      <c r="AG173" s="14"/>
      <c r="AM173"/>
      <c r="AN173" s="14"/>
      <c r="AP173" s="265"/>
      <c r="AR173" s="14"/>
      <c r="AS173"/>
    </row>
    <row r="174" spans="1:45" x14ac:dyDescent="0.25">
      <c r="A174" s="561">
        <f t="shared" si="32"/>
        <v>50526</v>
      </c>
      <c r="B174" s="265">
        <f t="shared" si="33"/>
        <v>0</v>
      </c>
      <c r="C174" s="14">
        <f t="shared" si="30"/>
        <v>0</v>
      </c>
      <c r="D174" s="14">
        <f t="shared" si="34"/>
        <v>0</v>
      </c>
      <c r="E174" s="14">
        <f t="shared" si="31"/>
        <v>0</v>
      </c>
      <c r="F174" s="14">
        <f t="shared" si="39"/>
        <v>0</v>
      </c>
      <c r="G174" s="14">
        <f t="shared" si="39"/>
        <v>0</v>
      </c>
      <c r="H174" s="14">
        <f t="shared" si="28"/>
        <v>0</v>
      </c>
      <c r="I174" s="265">
        <f t="shared" si="37"/>
        <v>0</v>
      </c>
      <c r="J174" s="265">
        <f t="shared" si="38"/>
        <v>0</v>
      </c>
      <c r="K174" s="265">
        <f t="shared" si="35"/>
        <v>0</v>
      </c>
      <c r="L174" s="373">
        <f t="shared" si="26"/>
        <v>12</v>
      </c>
      <c r="M174" s="373">
        <f t="shared" si="36"/>
        <v>154</v>
      </c>
      <c r="N174" s="561">
        <f>INDEX(tblSubjectToLoan[Date],ROW()-ROW(tblContractForDeed[#Headers]))</f>
        <v>50526</v>
      </c>
      <c r="O174" s="265">
        <f>IF(ROW()=ROW(tblContractForDeed[#Headers])+1,$O$6,IF(INDEX(tblContractForDeed[End Bal],ROW()-ROW(tblContractForDeed[#Headers])-1)&lt;0,0,INDEX(tblContractForDeed[End Bal],ROW()-ROW(tblContractForDeed[#Headers])-1)))</f>
        <v>0</v>
      </c>
      <c r="P174" s="431">
        <f>IF(tblContractForDeed[[#This Row],[Date]]="","",IF(tblContractForDeed[[#This Row],[Date]]&lt;cfdRateChangeDate,cfdRate1,cfdRate2))</f>
        <v>0.03</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4" s="265">
        <f>IF(tblContractForDeed[[#This Row],[Payment]]=0,0,MAX(0,MIN(tblContractForDeed[[#This Row],[Beg]],tblContractForDeed[[#This Row],[Payment]]-tblContractForDeed[[#This Row],[Int]])))</f>
        <v>0</v>
      </c>
      <c r="S174" s="265">
        <f>IF(OR(tblContractForDeed[[#This Row],[Date]]&lt;cfdContractDate,tblContractForDeed[[#This Row],[Date]]&gt;cfdEndDate),0,ROUND(tblContractForDeed[[#This Row],[Beg]]*(tblContractForDeed[[#This Row],[Int Rate]]/12),2))</f>
        <v>0</v>
      </c>
      <c r="T174" s="265">
        <f>IF(tblContractForDeed[[#This Row],[Payment]]=0,0,$V$2)</f>
        <v>0</v>
      </c>
      <c r="U174" s="265">
        <f>IF(tblContractForDeed[[#This Row],[Princ]]=0,0,$V$3)</f>
        <v>0</v>
      </c>
      <c r="V174" s="265">
        <f>SUM(tblContractForDeed[[#This Row],[Princ]],tblContractForDeed[[#This Row],[Int]],tblContractForDeed[[#This Row],[Ins]],tblContractForDeed[[#This Row],[Taxes]])</f>
        <v>0</v>
      </c>
      <c r="W174" s="265">
        <f>SUM(INDEX(tblContractForDeed[Princ],1):INDEX(tblContractForDeed[Princ],ROW()-ROW(tblContractForDeed[#Headers])))</f>
        <v>146500</v>
      </c>
      <c r="X174" s="265">
        <f>IF(tblContractForDeed[[#This Row],[Beg]]&lt;=0,0,tblContractForDeed[[#This Row],[Beg]]-tblContractForDeed[[#This Row],[Princ]])</f>
        <v>0</v>
      </c>
      <c r="Y1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4" s="439">
        <f>IF(INDEX(tblContractForDeed[Payment],ROW()-ROW(tblBuyerOutputs[#Headers]))=0,0,INDEX(tblContractForDeed[Payment],ROW()-ROW(tblBuyerOutputs[#Headers]))-INDEX(tblSubjectToLoan[Payment],ROW()-ROW(tblBuyerOutputs[#Headers])))</f>
        <v>0</v>
      </c>
      <c r="AA174"/>
      <c r="AB174" s="14">
        <f>IF(INDEX(tblContractForDeed[Payment],ROW()-ROW(tblBuyerOutputs[#Headers]))=0,0,INDEX(tblContractForDeed[Payment],ROW()-ROW(tblBuyerOutputs[#Headers]))-INDEX(tblSubjectToLoan[Payment],ROW()-ROW(tblBuyerOutputs[#Headers])))-IFERROR(tblBuyerOutputs[[#This Row],[PMI]],0)</f>
        <v>0</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4" s="265">
        <f>IF(INDEX(tblContractForDeed[End Bal],ROW()-ROW(tblBuyerOutputs[#Headers]))&lt;=0,0,($O$6+IF(ROW()=ROW(tblBuyerOutputs[#Headers])+1,0,INDEX(tblBuyerOutputs[Cumul Appr],ROW()-ROW(tblBuyerOutputs[#Headers])-1)))*$O$2/12)</f>
        <v>0</v>
      </c>
      <c r="AE174" s="587">
        <f>IF(INDEX(tblContractForDeed[End Bal],ROW()-ROW(tblBuyerOutputs[#Headers]))&lt;=0,0,IF(ROW()=ROW(tblBuyerOutputs[#Headers])+1,0,INDEX(tblBuyerOutputs[Cumul Appr],ROW()-ROW(tblBuyerOutputs[#Headers])-1))+tblBuyerOutputs[[#This Row],[Monthly Appr]])</f>
        <v>0</v>
      </c>
      <c r="AF174" s="22"/>
      <c r="AG174" s="14"/>
      <c r="AM174"/>
      <c r="AN174" s="14"/>
      <c r="AP174" s="265"/>
      <c r="AR174" s="14"/>
      <c r="AS174"/>
    </row>
    <row r="175" spans="1:45" ht="15.75" thickBot="1" x14ac:dyDescent="0.3">
      <c r="A175" s="562">
        <f t="shared" si="32"/>
        <v>50557</v>
      </c>
      <c r="B175" s="316">
        <f t="shared" si="33"/>
        <v>0</v>
      </c>
      <c r="C175" s="21">
        <f t="shared" si="30"/>
        <v>0</v>
      </c>
      <c r="D175" s="21">
        <f t="shared" si="34"/>
        <v>0</v>
      </c>
      <c r="E175" s="21">
        <f t="shared" si="31"/>
        <v>0</v>
      </c>
      <c r="F175" s="21">
        <f t="shared" ref="F175:G190" si="40">+F174</f>
        <v>0</v>
      </c>
      <c r="G175" s="21">
        <f t="shared" si="40"/>
        <v>0</v>
      </c>
      <c r="H175" s="21">
        <f t="shared" si="28"/>
        <v>0</v>
      </c>
      <c r="I175" s="316">
        <f t="shared" si="37"/>
        <v>0</v>
      </c>
      <c r="J175" s="316">
        <f t="shared" si="38"/>
        <v>0</v>
      </c>
      <c r="K175" s="316">
        <f t="shared" si="35"/>
        <v>0</v>
      </c>
      <c r="L175" s="374">
        <f t="shared" si="26"/>
        <v>12</v>
      </c>
      <c r="M175" s="374">
        <f t="shared" si="36"/>
        <v>155</v>
      </c>
      <c r="N175" s="562">
        <f>INDEX(tblSubjectToLoan[Date],ROW()-ROW(tblContractForDeed[#Headers]))</f>
        <v>50557</v>
      </c>
      <c r="O175" s="316">
        <f>IF(ROW()=ROW(tblContractForDeed[#Headers])+1,$O$6,IF(INDEX(tblContractForDeed[End Bal],ROW()-ROW(tblContractForDeed[#Headers])-1)&lt;0,0,INDEX(tblContractForDeed[End Bal],ROW()-ROW(tblContractForDeed[#Headers])-1)))</f>
        <v>0</v>
      </c>
      <c r="P175" s="585">
        <f>IF(tblContractForDeed[[#This Row],[Date]]="","",IF(tblContractForDeed[[#This Row],[Date]]&lt;cfdRateChangeDate,cfdRate1,cfdRate2))</f>
        <v>0.03</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5" s="316">
        <f>IF(tblContractForDeed[[#This Row],[Payment]]=0,0,MAX(0,MIN(tblContractForDeed[[#This Row],[Beg]],tblContractForDeed[[#This Row],[Payment]]-tblContractForDeed[[#This Row],[Int]])))</f>
        <v>0</v>
      </c>
      <c r="S175" s="316">
        <f>IF(OR(tblContractForDeed[[#This Row],[Date]]&lt;cfdContractDate,tblContractForDeed[[#This Row],[Date]]&gt;cfdEndDate),0,ROUND(tblContractForDeed[[#This Row],[Beg]]*(tblContractForDeed[[#This Row],[Int Rate]]/12),2))</f>
        <v>0</v>
      </c>
      <c r="T175" s="316">
        <f>IF(tblContractForDeed[[#This Row],[Payment]]=0,0,$V$2)</f>
        <v>0</v>
      </c>
      <c r="U175" s="316">
        <f>IF(tblContractForDeed[[#This Row],[Princ]]=0,0,$V$3)</f>
        <v>0</v>
      </c>
      <c r="V175" s="316">
        <f>SUM(tblContractForDeed[[#This Row],[Princ]],tblContractForDeed[[#This Row],[Int]],tblContractForDeed[[#This Row],[Ins]],tblContractForDeed[[#This Row],[Taxes]])</f>
        <v>0</v>
      </c>
      <c r="W175" s="316">
        <f>SUM(INDEX(tblContractForDeed[Princ],1):INDEX(tblContractForDeed[Princ],ROW()-ROW(tblContractForDeed[#Headers])))</f>
        <v>146500</v>
      </c>
      <c r="X175" s="316">
        <f>IF(tblContractForDeed[[#This Row],[Beg]]&lt;=0,0,tblContractForDeed[[#This Row],[Beg]]-tblContractForDeed[[#This Row],[Princ]])</f>
        <v>0</v>
      </c>
      <c r="Y1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5" s="440">
        <f>IF(INDEX(tblContractForDeed[Payment],ROW()-ROW(tblBuyerOutputs[#Headers]))=0,0,INDEX(tblContractForDeed[Payment],ROW()-ROW(tblBuyerOutputs[#Headers]))-INDEX(tblSubjectToLoan[Payment],ROW()-ROW(tblBuyerOutputs[#Headers])))</f>
        <v>0</v>
      </c>
      <c r="AA175" s="23"/>
      <c r="AB175" s="21">
        <f>IF(INDEX(tblContractForDeed[Payment],ROW()-ROW(tblBuyerOutputs[#Headers]))=0,0,INDEX(tblContractForDeed[Payment],ROW()-ROW(tblBuyerOutputs[#Headers]))-INDEX(tblSubjectToLoan[Payment],ROW()-ROW(tblBuyerOutputs[#Headers])))-IFERROR(tblBuyerOutputs[[#This Row],[PMI]],0)</f>
        <v>0</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5" s="316">
        <f>IF(INDEX(tblContractForDeed[End Bal],ROW()-ROW(tblBuyerOutputs[#Headers]))&lt;=0,0,($O$6+IF(ROW()=ROW(tblBuyerOutputs[#Headers])+1,0,INDEX(tblBuyerOutputs[Cumul Appr],ROW()-ROW(tblBuyerOutputs[#Headers])-1)))*$O$2/12)</f>
        <v>0</v>
      </c>
      <c r="AE175" s="588">
        <f>IF(INDEX(tblContractForDeed[End Bal],ROW()-ROW(tblBuyerOutputs[#Headers]))&lt;=0,0,IF(ROW()=ROW(tblBuyerOutputs[#Headers])+1,0,INDEX(tblBuyerOutputs[Cumul Appr],ROW()-ROW(tblBuyerOutputs[#Headers])-1))+tblBuyerOutputs[[#This Row],[Monthly Appr]])</f>
        <v>0</v>
      </c>
      <c r="AF175" s="22"/>
      <c r="AG175" s="14"/>
      <c r="AM175"/>
      <c r="AN175" s="14"/>
      <c r="AP175" s="265"/>
      <c r="AR175" s="14"/>
      <c r="AS175"/>
    </row>
    <row r="176" spans="1:45" x14ac:dyDescent="0.25">
      <c r="A176" s="561">
        <f t="shared" si="32"/>
        <v>50587</v>
      </c>
      <c r="B176" s="265">
        <f t="shared" si="33"/>
        <v>0</v>
      </c>
      <c r="C176" s="14">
        <f t="shared" si="30"/>
        <v>0</v>
      </c>
      <c r="D176" s="14">
        <f t="shared" si="34"/>
        <v>0</v>
      </c>
      <c r="E176" s="14">
        <f t="shared" si="31"/>
        <v>0</v>
      </c>
      <c r="F176" s="14">
        <f t="shared" si="40"/>
        <v>0</v>
      </c>
      <c r="G176" s="14">
        <f t="shared" si="40"/>
        <v>0</v>
      </c>
      <c r="H176" s="14">
        <f t="shared" si="28"/>
        <v>0</v>
      </c>
      <c r="I176" s="265">
        <f t="shared" si="37"/>
        <v>0</v>
      </c>
      <c r="J176" s="265">
        <f t="shared" si="38"/>
        <v>0</v>
      </c>
      <c r="K176" s="265">
        <f t="shared" si="35"/>
        <v>0</v>
      </c>
      <c r="L176" s="373">
        <f t="shared" si="26"/>
        <v>13</v>
      </c>
      <c r="M176" s="373">
        <f t="shared" si="36"/>
        <v>156</v>
      </c>
      <c r="N176" s="561">
        <f>INDEX(tblSubjectToLoan[Date],ROW()-ROW(tblContractForDeed[#Headers]))</f>
        <v>50587</v>
      </c>
      <c r="O176" s="265">
        <f>IF(ROW()=ROW(tblContractForDeed[#Headers])+1,$O$6,IF(INDEX(tblContractForDeed[End Bal],ROW()-ROW(tblContractForDeed[#Headers])-1)&lt;0,0,INDEX(tblContractForDeed[End Bal],ROW()-ROW(tblContractForDeed[#Headers])-1)))</f>
        <v>0</v>
      </c>
      <c r="P176" s="431">
        <f>IF(tblContractForDeed[[#This Row],[Date]]="","",IF(tblContractForDeed[[#This Row],[Date]]&lt;cfdRateChangeDate,cfdRate1,cfdRate2))</f>
        <v>0.03</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6" s="265">
        <f>IF(tblContractForDeed[[#This Row],[Payment]]=0,0,MAX(0,MIN(tblContractForDeed[[#This Row],[Beg]],tblContractForDeed[[#This Row],[Payment]]-tblContractForDeed[[#This Row],[Int]])))</f>
        <v>0</v>
      </c>
      <c r="S176" s="265">
        <f>IF(OR(tblContractForDeed[[#This Row],[Date]]&lt;cfdContractDate,tblContractForDeed[[#This Row],[Date]]&gt;cfdEndDate),0,ROUND(tblContractForDeed[[#This Row],[Beg]]*(tblContractForDeed[[#This Row],[Int Rate]]/12),2))</f>
        <v>0</v>
      </c>
      <c r="T176" s="265">
        <f>IF(tblContractForDeed[[#This Row],[Payment]]=0,0,$V$2)</f>
        <v>0</v>
      </c>
      <c r="U176" s="265">
        <f>IF(tblContractForDeed[[#This Row],[Princ]]=0,0,$V$3)</f>
        <v>0</v>
      </c>
      <c r="V176" s="265">
        <f>SUM(tblContractForDeed[[#This Row],[Princ]],tblContractForDeed[[#This Row],[Int]],tblContractForDeed[[#This Row],[Ins]],tblContractForDeed[[#This Row],[Taxes]])</f>
        <v>0</v>
      </c>
      <c r="W176" s="265">
        <f>SUM(INDEX(tblContractForDeed[Princ],1):INDEX(tblContractForDeed[Princ],ROW()-ROW(tblContractForDeed[#Headers])))</f>
        <v>146500</v>
      </c>
      <c r="X176" s="265">
        <f>IF(tblContractForDeed[[#This Row],[Beg]]&lt;=0,0,tblContractForDeed[[#This Row],[Beg]]-tblContractForDeed[[#This Row],[Princ]])</f>
        <v>0</v>
      </c>
      <c r="Y1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6" s="439">
        <f>IF(INDEX(tblContractForDeed[Payment],ROW()-ROW(tblBuyerOutputs[#Headers]))=0,0,INDEX(tblContractForDeed[Payment],ROW()-ROW(tblBuyerOutputs[#Headers]))-INDEX(tblSubjectToLoan[Payment],ROW()-ROW(tblBuyerOutputs[#Headers])))</f>
        <v>0</v>
      </c>
      <c r="AA176"/>
      <c r="AB176" s="14">
        <f>IF(INDEX(tblContractForDeed[Payment],ROW()-ROW(tblBuyerOutputs[#Headers]))=0,0,INDEX(tblContractForDeed[Payment],ROW()-ROW(tblBuyerOutputs[#Headers]))-INDEX(tblSubjectToLoan[Payment],ROW()-ROW(tblBuyerOutputs[#Headers])))-IFERROR(tblBuyerOutputs[[#This Row],[PMI]],0)</f>
        <v>0</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6" s="265">
        <f>IF(INDEX(tblContractForDeed[End Bal],ROW()-ROW(tblBuyerOutputs[#Headers]))&lt;=0,0,($O$6+IF(ROW()=ROW(tblBuyerOutputs[#Headers])+1,0,INDEX(tblBuyerOutputs[Cumul Appr],ROW()-ROW(tblBuyerOutputs[#Headers])-1)))*$O$2/12)</f>
        <v>0</v>
      </c>
      <c r="AE176" s="587">
        <f>IF(INDEX(tblContractForDeed[End Bal],ROW()-ROW(tblBuyerOutputs[#Headers]))&lt;=0,0,IF(ROW()=ROW(tblBuyerOutputs[#Headers])+1,0,INDEX(tblBuyerOutputs[Cumul Appr],ROW()-ROW(tblBuyerOutputs[#Headers])-1))+tblBuyerOutputs[[#This Row],[Monthly Appr]])</f>
        <v>0</v>
      </c>
      <c r="AF176" s="22"/>
      <c r="AG176" s="14"/>
      <c r="AM176"/>
      <c r="AN176" s="14"/>
      <c r="AP176" s="265"/>
      <c r="AR176" s="14"/>
      <c r="AS176"/>
    </row>
    <row r="177" spans="1:45" x14ac:dyDescent="0.25">
      <c r="A177" s="561">
        <f t="shared" si="32"/>
        <v>50618</v>
      </c>
      <c r="B177" s="265">
        <f t="shared" si="33"/>
        <v>0</v>
      </c>
      <c r="C177" s="14">
        <f t="shared" si="30"/>
        <v>0</v>
      </c>
      <c r="D177" s="14">
        <f t="shared" si="34"/>
        <v>0</v>
      </c>
      <c r="E177" s="14">
        <f t="shared" si="31"/>
        <v>0</v>
      </c>
      <c r="F177" s="14">
        <f t="shared" si="40"/>
        <v>0</v>
      </c>
      <c r="G177" s="14">
        <f t="shared" si="40"/>
        <v>0</v>
      </c>
      <c r="H177" s="14">
        <f t="shared" si="28"/>
        <v>0</v>
      </c>
      <c r="I177" s="265">
        <f t="shared" si="37"/>
        <v>0</v>
      </c>
      <c r="J177" s="265">
        <f t="shared" si="38"/>
        <v>0</v>
      </c>
      <c r="K177" s="265">
        <f t="shared" si="35"/>
        <v>0</v>
      </c>
      <c r="L177" s="373">
        <f t="shared" si="26"/>
        <v>13</v>
      </c>
      <c r="M177" s="373">
        <f t="shared" si="36"/>
        <v>157</v>
      </c>
      <c r="N177" s="561">
        <f>INDEX(tblSubjectToLoan[Date],ROW()-ROW(tblContractForDeed[#Headers]))</f>
        <v>50618</v>
      </c>
      <c r="O177" s="265">
        <f>IF(ROW()=ROW(tblContractForDeed[#Headers])+1,$O$6,IF(INDEX(tblContractForDeed[End Bal],ROW()-ROW(tblContractForDeed[#Headers])-1)&lt;0,0,INDEX(tblContractForDeed[End Bal],ROW()-ROW(tblContractForDeed[#Headers])-1)))</f>
        <v>0</v>
      </c>
      <c r="P177" s="431">
        <f>IF(tblContractForDeed[[#This Row],[Date]]="","",IF(tblContractForDeed[[#This Row],[Date]]&lt;cfdRateChangeDate,cfdRate1,cfdRate2))</f>
        <v>0.03</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7" s="265">
        <f>IF(tblContractForDeed[[#This Row],[Payment]]=0,0,MAX(0,MIN(tblContractForDeed[[#This Row],[Beg]],tblContractForDeed[[#This Row],[Payment]]-tblContractForDeed[[#This Row],[Int]])))</f>
        <v>0</v>
      </c>
      <c r="S177" s="265">
        <f>IF(OR(tblContractForDeed[[#This Row],[Date]]&lt;cfdContractDate,tblContractForDeed[[#This Row],[Date]]&gt;cfdEndDate),0,ROUND(tblContractForDeed[[#This Row],[Beg]]*(tblContractForDeed[[#This Row],[Int Rate]]/12),2))</f>
        <v>0</v>
      </c>
      <c r="T177" s="265">
        <f>IF(tblContractForDeed[[#This Row],[Payment]]=0,0,$V$2)</f>
        <v>0</v>
      </c>
      <c r="U177" s="265">
        <f>IF(tblContractForDeed[[#This Row],[Princ]]=0,0,$V$3)</f>
        <v>0</v>
      </c>
      <c r="V177" s="265">
        <f>SUM(tblContractForDeed[[#This Row],[Princ]],tblContractForDeed[[#This Row],[Int]],tblContractForDeed[[#This Row],[Ins]],tblContractForDeed[[#This Row],[Taxes]])</f>
        <v>0</v>
      </c>
      <c r="W177" s="265">
        <f>SUM(INDEX(tblContractForDeed[Princ],1):INDEX(tblContractForDeed[Princ],ROW()-ROW(tblContractForDeed[#Headers])))</f>
        <v>146500</v>
      </c>
      <c r="X177" s="265">
        <f>IF(tblContractForDeed[[#This Row],[Beg]]&lt;=0,0,tblContractForDeed[[#This Row],[Beg]]-tblContractForDeed[[#This Row],[Princ]])</f>
        <v>0</v>
      </c>
      <c r="Y1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7" s="439">
        <f>IF(INDEX(tblContractForDeed[Payment],ROW()-ROW(tblBuyerOutputs[#Headers]))=0,0,INDEX(tblContractForDeed[Payment],ROW()-ROW(tblBuyerOutputs[#Headers]))-INDEX(tblSubjectToLoan[Payment],ROW()-ROW(tblBuyerOutputs[#Headers])))</f>
        <v>0</v>
      </c>
      <c r="AA177"/>
      <c r="AB177" s="14">
        <f>IF(INDEX(tblContractForDeed[Payment],ROW()-ROW(tblBuyerOutputs[#Headers]))=0,0,INDEX(tblContractForDeed[Payment],ROW()-ROW(tblBuyerOutputs[#Headers]))-INDEX(tblSubjectToLoan[Payment],ROW()-ROW(tblBuyerOutputs[#Headers])))-IFERROR(tblBuyerOutputs[[#This Row],[PMI]],0)</f>
        <v>0</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7" s="265">
        <f>IF(INDEX(tblContractForDeed[End Bal],ROW()-ROW(tblBuyerOutputs[#Headers]))&lt;=0,0,($O$6+IF(ROW()=ROW(tblBuyerOutputs[#Headers])+1,0,INDEX(tblBuyerOutputs[Cumul Appr],ROW()-ROW(tblBuyerOutputs[#Headers])-1)))*$O$2/12)</f>
        <v>0</v>
      </c>
      <c r="AE177" s="587">
        <f>IF(INDEX(tblContractForDeed[End Bal],ROW()-ROW(tblBuyerOutputs[#Headers]))&lt;=0,0,IF(ROW()=ROW(tblBuyerOutputs[#Headers])+1,0,INDEX(tblBuyerOutputs[Cumul Appr],ROW()-ROW(tblBuyerOutputs[#Headers])-1))+tblBuyerOutputs[[#This Row],[Monthly Appr]])</f>
        <v>0</v>
      </c>
      <c r="AF177" s="22"/>
      <c r="AG177" s="14"/>
      <c r="AM177"/>
      <c r="AN177" s="14"/>
      <c r="AP177" s="265"/>
      <c r="AR177" s="14"/>
      <c r="AS177"/>
    </row>
    <row r="178" spans="1:45" x14ac:dyDescent="0.25">
      <c r="A178" s="561">
        <f t="shared" si="32"/>
        <v>50649</v>
      </c>
      <c r="B178" s="265">
        <f t="shared" si="33"/>
        <v>0</v>
      </c>
      <c r="C178" s="14">
        <f t="shared" si="30"/>
        <v>0</v>
      </c>
      <c r="D178" s="14">
        <f t="shared" si="34"/>
        <v>0</v>
      </c>
      <c r="E178" s="14">
        <f t="shared" si="31"/>
        <v>0</v>
      </c>
      <c r="F178" s="14">
        <f t="shared" si="40"/>
        <v>0</v>
      </c>
      <c r="G178" s="14">
        <f t="shared" si="40"/>
        <v>0</v>
      </c>
      <c r="H178" s="14">
        <f t="shared" si="28"/>
        <v>0</v>
      </c>
      <c r="I178" s="265">
        <f t="shared" si="37"/>
        <v>0</v>
      </c>
      <c r="J178" s="265">
        <f t="shared" si="38"/>
        <v>0</v>
      </c>
      <c r="K178" s="265">
        <f t="shared" si="35"/>
        <v>0</v>
      </c>
      <c r="L178" s="373">
        <f t="shared" si="26"/>
        <v>13</v>
      </c>
      <c r="M178" s="373">
        <f t="shared" si="36"/>
        <v>158</v>
      </c>
      <c r="N178" s="561">
        <f>INDEX(tblSubjectToLoan[Date],ROW()-ROW(tblContractForDeed[#Headers]))</f>
        <v>50649</v>
      </c>
      <c r="O178" s="265">
        <f>IF(ROW()=ROW(tblContractForDeed[#Headers])+1,$O$6,IF(INDEX(tblContractForDeed[End Bal],ROW()-ROW(tblContractForDeed[#Headers])-1)&lt;0,0,INDEX(tblContractForDeed[End Bal],ROW()-ROW(tblContractForDeed[#Headers])-1)))</f>
        <v>0</v>
      </c>
      <c r="P178" s="431">
        <f>IF(tblContractForDeed[[#This Row],[Date]]="","",IF(tblContractForDeed[[#This Row],[Date]]&lt;cfdRateChangeDate,cfdRate1,cfdRate2))</f>
        <v>0.03</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8" s="265">
        <f>IF(tblContractForDeed[[#This Row],[Payment]]=0,0,MAX(0,MIN(tblContractForDeed[[#This Row],[Beg]],tblContractForDeed[[#This Row],[Payment]]-tblContractForDeed[[#This Row],[Int]])))</f>
        <v>0</v>
      </c>
      <c r="S178" s="265">
        <f>IF(OR(tblContractForDeed[[#This Row],[Date]]&lt;cfdContractDate,tblContractForDeed[[#This Row],[Date]]&gt;cfdEndDate),0,ROUND(tblContractForDeed[[#This Row],[Beg]]*(tblContractForDeed[[#This Row],[Int Rate]]/12),2))</f>
        <v>0</v>
      </c>
      <c r="T178" s="265">
        <f>IF(tblContractForDeed[[#This Row],[Payment]]=0,0,$V$2)</f>
        <v>0</v>
      </c>
      <c r="U178" s="265">
        <f>IF(tblContractForDeed[[#This Row],[Princ]]=0,0,$V$3)</f>
        <v>0</v>
      </c>
      <c r="V178" s="265">
        <f>SUM(tblContractForDeed[[#This Row],[Princ]],tblContractForDeed[[#This Row],[Int]],tblContractForDeed[[#This Row],[Ins]],tblContractForDeed[[#This Row],[Taxes]])</f>
        <v>0</v>
      </c>
      <c r="W178" s="265">
        <f>SUM(INDEX(tblContractForDeed[Princ],1):INDEX(tblContractForDeed[Princ],ROW()-ROW(tblContractForDeed[#Headers])))</f>
        <v>146500</v>
      </c>
      <c r="X178" s="265">
        <f>IF(tblContractForDeed[[#This Row],[Beg]]&lt;=0,0,tblContractForDeed[[#This Row],[Beg]]-tblContractForDeed[[#This Row],[Princ]])</f>
        <v>0</v>
      </c>
      <c r="Y1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8" s="439">
        <f>IF(INDEX(tblContractForDeed[Payment],ROW()-ROW(tblBuyerOutputs[#Headers]))=0,0,INDEX(tblContractForDeed[Payment],ROW()-ROW(tblBuyerOutputs[#Headers]))-INDEX(tblSubjectToLoan[Payment],ROW()-ROW(tblBuyerOutputs[#Headers])))</f>
        <v>0</v>
      </c>
      <c r="AA178"/>
      <c r="AB178" s="14">
        <f>IF(INDEX(tblContractForDeed[Payment],ROW()-ROW(tblBuyerOutputs[#Headers]))=0,0,INDEX(tblContractForDeed[Payment],ROW()-ROW(tblBuyerOutputs[#Headers]))-INDEX(tblSubjectToLoan[Payment],ROW()-ROW(tblBuyerOutputs[#Headers])))-IFERROR(tblBuyerOutputs[[#This Row],[PMI]],0)</f>
        <v>0</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8" s="265">
        <f>IF(INDEX(tblContractForDeed[End Bal],ROW()-ROW(tblBuyerOutputs[#Headers]))&lt;=0,0,($O$6+IF(ROW()=ROW(tblBuyerOutputs[#Headers])+1,0,INDEX(tblBuyerOutputs[Cumul Appr],ROW()-ROW(tblBuyerOutputs[#Headers])-1)))*$O$2/12)</f>
        <v>0</v>
      </c>
      <c r="AE178" s="587">
        <f>IF(INDEX(tblContractForDeed[End Bal],ROW()-ROW(tblBuyerOutputs[#Headers]))&lt;=0,0,IF(ROW()=ROW(tblBuyerOutputs[#Headers])+1,0,INDEX(tblBuyerOutputs[Cumul Appr],ROW()-ROW(tblBuyerOutputs[#Headers])-1))+tblBuyerOutputs[[#This Row],[Monthly Appr]])</f>
        <v>0</v>
      </c>
      <c r="AF178" s="22"/>
      <c r="AG178" s="14"/>
      <c r="AM178"/>
      <c r="AN178" s="14"/>
      <c r="AP178" s="265"/>
      <c r="AR178" s="14"/>
      <c r="AS178"/>
    </row>
    <row r="179" spans="1:45" x14ac:dyDescent="0.25">
      <c r="A179" s="561">
        <f t="shared" si="32"/>
        <v>50679</v>
      </c>
      <c r="B179" s="265">
        <f t="shared" si="33"/>
        <v>0</v>
      </c>
      <c r="C179" s="14">
        <f t="shared" si="30"/>
        <v>0</v>
      </c>
      <c r="D179" s="14">
        <f t="shared" si="34"/>
        <v>0</v>
      </c>
      <c r="E179" s="14">
        <f t="shared" si="31"/>
        <v>0</v>
      </c>
      <c r="F179" s="14">
        <f t="shared" si="40"/>
        <v>0</v>
      </c>
      <c r="G179" s="14">
        <f t="shared" si="40"/>
        <v>0</v>
      </c>
      <c r="H179" s="14">
        <f t="shared" si="28"/>
        <v>0</v>
      </c>
      <c r="I179" s="265">
        <f t="shared" si="37"/>
        <v>0</v>
      </c>
      <c r="J179" s="265">
        <f t="shared" si="38"/>
        <v>0</v>
      </c>
      <c r="K179" s="265">
        <f t="shared" si="35"/>
        <v>0</v>
      </c>
      <c r="L179" s="373">
        <f t="shared" si="26"/>
        <v>13</v>
      </c>
      <c r="M179" s="373">
        <f t="shared" si="36"/>
        <v>159</v>
      </c>
      <c r="N179" s="561">
        <f>INDEX(tblSubjectToLoan[Date],ROW()-ROW(tblContractForDeed[#Headers]))</f>
        <v>50679</v>
      </c>
      <c r="O179" s="265">
        <f>IF(ROW()=ROW(tblContractForDeed[#Headers])+1,$O$6,IF(INDEX(tblContractForDeed[End Bal],ROW()-ROW(tblContractForDeed[#Headers])-1)&lt;0,0,INDEX(tblContractForDeed[End Bal],ROW()-ROW(tblContractForDeed[#Headers])-1)))</f>
        <v>0</v>
      </c>
      <c r="P179" s="431">
        <f>IF(tblContractForDeed[[#This Row],[Date]]="","",IF(tblContractForDeed[[#This Row],[Date]]&lt;cfdRateChangeDate,cfdRate1,cfdRate2))</f>
        <v>0.03</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9" s="265">
        <f>IF(tblContractForDeed[[#This Row],[Payment]]=0,0,MAX(0,MIN(tblContractForDeed[[#This Row],[Beg]],tblContractForDeed[[#This Row],[Payment]]-tblContractForDeed[[#This Row],[Int]])))</f>
        <v>0</v>
      </c>
      <c r="S179" s="265">
        <f>IF(OR(tblContractForDeed[[#This Row],[Date]]&lt;cfdContractDate,tblContractForDeed[[#This Row],[Date]]&gt;cfdEndDate),0,ROUND(tblContractForDeed[[#This Row],[Beg]]*(tblContractForDeed[[#This Row],[Int Rate]]/12),2))</f>
        <v>0</v>
      </c>
      <c r="T179" s="265">
        <f>IF(tblContractForDeed[[#This Row],[Payment]]=0,0,$V$2)</f>
        <v>0</v>
      </c>
      <c r="U179" s="265">
        <f>IF(tblContractForDeed[[#This Row],[Princ]]=0,0,$V$3)</f>
        <v>0</v>
      </c>
      <c r="V179" s="265">
        <f>SUM(tblContractForDeed[[#This Row],[Princ]],tblContractForDeed[[#This Row],[Int]],tblContractForDeed[[#This Row],[Ins]],tblContractForDeed[[#This Row],[Taxes]])</f>
        <v>0</v>
      </c>
      <c r="W179" s="265">
        <f>SUM(INDEX(tblContractForDeed[Princ],1):INDEX(tblContractForDeed[Princ],ROW()-ROW(tblContractForDeed[#Headers])))</f>
        <v>146500</v>
      </c>
      <c r="X179" s="265">
        <f>IF(tblContractForDeed[[#This Row],[Beg]]&lt;=0,0,tblContractForDeed[[#This Row],[Beg]]-tblContractForDeed[[#This Row],[Princ]])</f>
        <v>0</v>
      </c>
      <c r="Y1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9" s="439">
        <f>IF(INDEX(tblContractForDeed[Payment],ROW()-ROW(tblBuyerOutputs[#Headers]))=0,0,INDEX(tblContractForDeed[Payment],ROW()-ROW(tblBuyerOutputs[#Headers]))-INDEX(tblSubjectToLoan[Payment],ROW()-ROW(tblBuyerOutputs[#Headers])))</f>
        <v>0</v>
      </c>
      <c r="AA179"/>
      <c r="AB179" s="14">
        <f>IF(INDEX(tblContractForDeed[Payment],ROW()-ROW(tblBuyerOutputs[#Headers]))=0,0,INDEX(tblContractForDeed[Payment],ROW()-ROW(tblBuyerOutputs[#Headers]))-INDEX(tblSubjectToLoan[Payment],ROW()-ROW(tblBuyerOutputs[#Headers])))-IFERROR(tblBuyerOutputs[[#This Row],[PMI]],0)</f>
        <v>0</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9" s="265">
        <f>IF(INDEX(tblContractForDeed[End Bal],ROW()-ROW(tblBuyerOutputs[#Headers]))&lt;=0,0,($O$6+IF(ROW()=ROW(tblBuyerOutputs[#Headers])+1,0,INDEX(tblBuyerOutputs[Cumul Appr],ROW()-ROW(tblBuyerOutputs[#Headers])-1)))*$O$2/12)</f>
        <v>0</v>
      </c>
      <c r="AE179" s="587">
        <f>IF(INDEX(tblContractForDeed[End Bal],ROW()-ROW(tblBuyerOutputs[#Headers]))&lt;=0,0,IF(ROW()=ROW(tblBuyerOutputs[#Headers])+1,0,INDEX(tblBuyerOutputs[Cumul Appr],ROW()-ROW(tblBuyerOutputs[#Headers])-1))+tblBuyerOutputs[[#This Row],[Monthly Appr]])</f>
        <v>0</v>
      </c>
      <c r="AF179" s="22"/>
      <c r="AG179" s="14"/>
      <c r="AM179"/>
      <c r="AN179" s="14"/>
      <c r="AP179" s="265"/>
      <c r="AR179" s="14"/>
      <c r="AS179"/>
    </row>
    <row r="180" spans="1:45" x14ac:dyDescent="0.25">
      <c r="A180" s="561">
        <f t="shared" si="32"/>
        <v>50710</v>
      </c>
      <c r="B180" s="265">
        <f t="shared" si="33"/>
        <v>0</v>
      </c>
      <c r="C180" s="14">
        <f t="shared" si="30"/>
        <v>0</v>
      </c>
      <c r="D180" s="14">
        <f t="shared" si="34"/>
        <v>0</v>
      </c>
      <c r="E180" s="14">
        <f t="shared" si="31"/>
        <v>0</v>
      </c>
      <c r="F180" s="14">
        <f t="shared" si="40"/>
        <v>0</v>
      </c>
      <c r="G180" s="14">
        <f t="shared" si="40"/>
        <v>0</v>
      </c>
      <c r="H180" s="14">
        <f t="shared" si="28"/>
        <v>0</v>
      </c>
      <c r="I180" s="265">
        <f t="shared" si="37"/>
        <v>0</v>
      </c>
      <c r="J180" s="265">
        <f t="shared" si="38"/>
        <v>0</v>
      </c>
      <c r="K180" s="265">
        <f t="shared" si="35"/>
        <v>0</v>
      </c>
      <c r="L180" s="373">
        <f t="shared" ref="L180:L243" si="41">IF(MOD(M180,12)=0,M180/12,L179)</f>
        <v>13</v>
      </c>
      <c r="M180" s="373">
        <f t="shared" si="36"/>
        <v>160</v>
      </c>
      <c r="N180" s="561">
        <f>INDEX(tblSubjectToLoan[Date],ROW()-ROW(tblContractForDeed[#Headers]))</f>
        <v>50710</v>
      </c>
      <c r="O180" s="265">
        <f>IF(ROW()=ROW(tblContractForDeed[#Headers])+1,$O$6,IF(INDEX(tblContractForDeed[End Bal],ROW()-ROW(tblContractForDeed[#Headers])-1)&lt;0,0,INDEX(tblContractForDeed[End Bal],ROW()-ROW(tblContractForDeed[#Headers])-1)))</f>
        <v>0</v>
      </c>
      <c r="P180" s="431">
        <f>IF(tblContractForDeed[[#This Row],[Date]]="","",IF(tblContractForDeed[[#This Row],[Date]]&lt;cfdRateChangeDate,cfdRate1,cfdRate2))</f>
        <v>0.03</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0" s="265">
        <f>IF(tblContractForDeed[[#This Row],[Payment]]=0,0,MAX(0,MIN(tblContractForDeed[[#This Row],[Beg]],tblContractForDeed[[#This Row],[Payment]]-tblContractForDeed[[#This Row],[Int]])))</f>
        <v>0</v>
      </c>
      <c r="S180" s="265">
        <f>IF(OR(tblContractForDeed[[#This Row],[Date]]&lt;cfdContractDate,tblContractForDeed[[#This Row],[Date]]&gt;cfdEndDate),0,ROUND(tblContractForDeed[[#This Row],[Beg]]*(tblContractForDeed[[#This Row],[Int Rate]]/12),2))</f>
        <v>0</v>
      </c>
      <c r="T180" s="265">
        <f>IF(tblContractForDeed[[#This Row],[Payment]]=0,0,$V$2)</f>
        <v>0</v>
      </c>
      <c r="U180" s="265">
        <f>IF(tblContractForDeed[[#This Row],[Princ]]=0,0,$V$3)</f>
        <v>0</v>
      </c>
      <c r="V180" s="265">
        <f>SUM(tblContractForDeed[[#This Row],[Princ]],tblContractForDeed[[#This Row],[Int]],tblContractForDeed[[#This Row],[Ins]],tblContractForDeed[[#This Row],[Taxes]])</f>
        <v>0</v>
      </c>
      <c r="W180" s="265">
        <f>SUM(INDEX(tblContractForDeed[Princ],1):INDEX(tblContractForDeed[Princ],ROW()-ROW(tblContractForDeed[#Headers])))</f>
        <v>146500</v>
      </c>
      <c r="X180" s="265">
        <f>IF(tblContractForDeed[[#This Row],[Beg]]&lt;=0,0,tblContractForDeed[[#This Row],[Beg]]-tblContractForDeed[[#This Row],[Princ]])</f>
        <v>0</v>
      </c>
      <c r="Y1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0" s="439">
        <f>IF(INDEX(tblContractForDeed[Payment],ROW()-ROW(tblBuyerOutputs[#Headers]))=0,0,INDEX(tblContractForDeed[Payment],ROW()-ROW(tblBuyerOutputs[#Headers]))-INDEX(tblSubjectToLoan[Payment],ROW()-ROW(tblBuyerOutputs[#Headers])))</f>
        <v>0</v>
      </c>
      <c r="AA180"/>
      <c r="AB180" s="14">
        <f>IF(INDEX(tblContractForDeed[Payment],ROW()-ROW(tblBuyerOutputs[#Headers]))=0,0,INDEX(tblContractForDeed[Payment],ROW()-ROW(tblBuyerOutputs[#Headers]))-INDEX(tblSubjectToLoan[Payment],ROW()-ROW(tblBuyerOutputs[#Headers])))-IFERROR(tblBuyerOutputs[[#This Row],[PMI]],0)</f>
        <v>0</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0" s="265">
        <f>IF(INDEX(tblContractForDeed[End Bal],ROW()-ROW(tblBuyerOutputs[#Headers]))&lt;=0,0,($O$6+IF(ROW()=ROW(tblBuyerOutputs[#Headers])+1,0,INDEX(tblBuyerOutputs[Cumul Appr],ROW()-ROW(tblBuyerOutputs[#Headers])-1)))*$O$2/12)</f>
        <v>0</v>
      </c>
      <c r="AE180" s="587">
        <f>IF(INDEX(tblContractForDeed[End Bal],ROW()-ROW(tblBuyerOutputs[#Headers]))&lt;=0,0,IF(ROW()=ROW(tblBuyerOutputs[#Headers])+1,0,INDEX(tblBuyerOutputs[Cumul Appr],ROW()-ROW(tblBuyerOutputs[#Headers])-1))+tblBuyerOutputs[[#This Row],[Monthly Appr]])</f>
        <v>0</v>
      </c>
      <c r="AF180" s="22"/>
      <c r="AG180" s="14"/>
      <c r="AM180"/>
      <c r="AN180" s="14"/>
      <c r="AP180" s="265"/>
      <c r="AR180" s="14"/>
      <c r="AS180"/>
    </row>
    <row r="181" spans="1:45" x14ac:dyDescent="0.25">
      <c r="A181" s="561">
        <f t="shared" si="32"/>
        <v>50740</v>
      </c>
      <c r="B181" s="265">
        <f t="shared" si="33"/>
        <v>0</v>
      </c>
      <c r="C181" s="14">
        <f t="shared" si="30"/>
        <v>0</v>
      </c>
      <c r="D181" s="14">
        <f t="shared" si="34"/>
        <v>0</v>
      </c>
      <c r="E181" s="14">
        <f t="shared" si="31"/>
        <v>0</v>
      </c>
      <c r="F181" s="14">
        <f t="shared" si="40"/>
        <v>0</v>
      </c>
      <c r="G181" s="14">
        <f t="shared" si="40"/>
        <v>0</v>
      </c>
      <c r="H181" s="14">
        <f t="shared" si="28"/>
        <v>0</v>
      </c>
      <c r="I181" s="265">
        <f t="shared" si="37"/>
        <v>0</v>
      </c>
      <c r="J181" s="265">
        <f t="shared" si="38"/>
        <v>0</v>
      </c>
      <c r="K181" s="265">
        <f t="shared" si="35"/>
        <v>0</v>
      </c>
      <c r="L181" s="373">
        <f t="shared" si="41"/>
        <v>13</v>
      </c>
      <c r="M181" s="373">
        <f t="shared" si="36"/>
        <v>161</v>
      </c>
      <c r="N181" s="561">
        <f>INDEX(tblSubjectToLoan[Date],ROW()-ROW(tblContractForDeed[#Headers]))</f>
        <v>50740</v>
      </c>
      <c r="O181" s="265">
        <f>IF(ROW()=ROW(tblContractForDeed[#Headers])+1,$O$6,IF(INDEX(tblContractForDeed[End Bal],ROW()-ROW(tblContractForDeed[#Headers])-1)&lt;0,0,INDEX(tblContractForDeed[End Bal],ROW()-ROW(tblContractForDeed[#Headers])-1)))</f>
        <v>0</v>
      </c>
      <c r="P181" s="431">
        <f>IF(tblContractForDeed[[#This Row],[Date]]="","",IF(tblContractForDeed[[#This Row],[Date]]&lt;cfdRateChangeDate,cfdRate1,cfdRate2))</f>
        <v>0.03</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1" s="265">
        <f>IF(tblContractForDeed[[#This Row],[Payment]]=0,0,MAX(0,MIN(tblContractForDeed[[#This Row],[Beg]],tblContractForDeed[[#This Row],[Payment]]-tblContractForDeed[[#This Row],[Int]])))</f>
        <v>0</v>
      </c>
      <c r="S181" s="265">
        <f>IF(OR(tblContractForDeed[[#This Row],[Date]]&lt;cfdContractDate,tblContractForDeed[[#This Row],[Date]]&gt;cfdEndDate),0,ROUND(tblContractForDeed[[#This Row],[Beg]]*(tblContractForDeed[[#This Row],[Int Rate]]/12),2))</f>
        <v>0</v>
      </c>
      <c r="T181" s="265">
        <f>IF(tblContractForDeed[[#This Row],[Payment]]=0,0,$V$2)</f>
        <v>0</v>
      </c>
      <c r="U181" s="265">
        <f>IF(tblContractForDeed[[#This Row],[Princ]]=0,0,$V$3)</f>
        <v>0</v>
      </c>
      <c r="V181" s="265">
        <f>SUM(tblContractForDeed[[#This Row],[Princ]],tblContractForDeed[[#This Row],[Int]],tblContractForDeed[[#This Row],[Ins]],tblContractForDeed[[#This Row],[Taxes]])</f>
        <v>0</v>
      </c>
      <c r="W181" s="265">
        <f>SUM(INDEX(tblContractForDeed[Princ],1):INDEX(tblContractForDeed[Princ],ROW()-ROW(tblContractForDeed[#Headers])))</f>
        <v>146500</v>
      </c>
      <c r="X181" s="265">
        <f>IF(tblContractForDeed[[#This Row],[Beg]]&lt;=0,0,tblContractForDeed[[#This Row],[Beg]]-tblContractForDeed[[#This Row],[Princ]])</f>
        <v>0</v>
      </c>
      <c r="Y1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1" s="439">
        <f>IF(INDEX(tblContractForDeed[Payment],ROW()-ROW(tblBuyerOutputs[#Headers]))=0,0,INDEX(tblContractForDeed[Payment],ROW()-ROW(tblBuyerOutputs[#Headers]))-INDEX(tblSubjectToLoan[Payment],ROW()-ROW(tblBuyerOutputs[#Headers])))</f>
        <v>0</v>
      </c>
      <c r="AA181"/>
      <c r="AB181" s="14">
        <f>IF(INDEX(tblContractForDeed[Payment],ROW()-ROW(tblBuyerOutputs[#Headers]))=0,0,INDEX(tblContractForDeed[Payment],ROW()-ROW(tblBuyerOutputs[#Headers]))-INDEX(tblSubjectToLoan[Payment],ROW()-ROW(tblBuyerOutputs[#Headers])))-IFERROR(tblBuyerOutputs[[#This Row],[PMI]],0)</f>
        <v>0</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1" s="265">
        <f>IF(INDEX(tblContractForDeed[End Bal],ROW()-ROW(tblBuyerOutputs[#Headers]))&lt;=0,0,($O$6+IF(ROW()=ROW(tblBuyerOutputs[#Headers])+1,0,INDEX(tblBuyerOutputs[Cumul Appr],ROW()-ROW(tblBuyerOutputs[#Headers])-1)))*$O$2/12)</f>
        <v>0</v>
      </c>
      <c r="AE181" s="587">
        <f>IF(INDEX(tblContractForDeed[End Bal],ROW()-ROW(tblBuyerOutputs[#Headers]))&lt;=0,0,IF(ROW()=ROW(tblBuyerOutputs[#Headers])+1,0,INDEX(tblBuyerOutputs[Cumul Appr],ROW()-ROW(tblBuyerOutputs[#Headers])-1))+tblBuyerOutputs[[#This Row],[Monthly Appr]])</f>
        <v>0</v>
      </c>
      <c r="AF181" s="22"/>
      <c r="AG181" s="14"/>
      <c r="AM181"/>
      <c r="AN181" s="14"/>
      <c r="AP181" s="265"/>
      <c r="AR181" s="14"/>
      <c r="AS181"/>
    </row>
    <row r="182" spans="1:45" x14ac:dyDescent="0.25">
      <c r="A182" s="561">
        <f t="shared" si="32"/>
        <v>50771</v>
      </c>
      <c r="B182" s="265">
        <f t="shared" si="33"/>
        <v>0</v>
      </c>
      <c r="C182" s="14">
        <f t="shared" si="30"/>
        <v>0</v>
      </c>
      <c r="D182" s="14">
        <f t="shared" si="34"/>
        <v>0</v>
      </c>
      <c r="E182" s="14">
        <f t="shared" si="31"/>
        <v>0</v>
      </c>
      <c r="F182" s="14">
        <f t="shared" si="40"/>
        <v>0</v>
      </c>
      <c r="G182" s="14">
        <f t="shared" si="40"/>
        <v>0</v>
      </c>
      <c r="H182" s="14">
        <f t="shared" si="28"/>
        <v>0</v>
      </c>
      <c r="I182" s="265">
        <f t="shared" si="37"/>
        <v>0</v>
      </c>
      <c r="J182" s="265">
        <f t="shared" si="38"/>
        <v>0</v>
      </c>
      <c r="K182" s="265">
        <f t="shared" si="35"/>
        <v>0</v>
      </c>
      <c r="L182" s="373">
        <f t="shared" si="41"/>
        <v>13</v>
      </c>
      <c r="M182" s="373">
        <f t="shared" si="36"/>
        <v>162</v>
      </c>
      <c r="N182" s="561">
        <f>INDEX(tblSubjectToLoan[Date],ROW()-ROW(tblContractForDeed[#Headers]))</f>
        <v>50771</v>
      </c>
      <c r="O182" s="265">
        <f>IF(ROW()=ROW(tblContractForDeed[#Headers])+1,$O$6,IF(INDEX(tblContractForDeed[End Bal],ROW()-ROW(tblContractForDeed[#Headers])-1)&lt;0,0,INDEX(tblContractForDeed[End Bal],ROW()-ROW(tblContractForDeed[#Headers])-1)))</f>
        <v>0</v>
      </c>
      <c r="P182" s="431">
        <f>IF(tblContractForDeed[[#This Row],[Date]]="","",IF(tblContractForDeed[[#This Row],[Date]]&lt;cfdRateChangeDate,cfdRate1,cfdRate2))</f>
        <v>0.03</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2" s="265">
        <f>IF(tblContractForDeed[[#This Row],[Payment]]=0,0,MAX(0,MIN(tblContractForDeed[[#This Row],[Beg]],tblContractForDeed[[#This Row],[Payment]]-tblContractForDeed[[#This Row],[Int]])))</f>
        <v>0</v>
      </c>
      <c r="S182" s="265">
        <f>IF(OR(tblContractForDeed[[#This Row],[Date]]&lt;cfdContractDate,tblContractForDeed[[#This Row],[Date]]&gt;cfdEndDate),0,ROUND(tblContractForDeed[[#This Row],[Beg]]*(tblContractForDeed[[#This Row],[Int Rate]]/12),2))</f>
        <v>0</v>
      </c>
      <c r="T182" s="265">
        <f>IF(tblContractForDeed[[#This Row],[Payment]]=0,0,$V$2)</f>
        <v>0</v>
      </c>
      <c r="U182" s="265">
        <f>IF(tblContractForDeed[[#This Row],[Princ]]=0,0,$V$3)</f>
        <v>0</v>
      </c>
      <c r="V182" s="265">
        <f>SUM(tblContractForDeed[[#This Row],[Princ]],tblContractForDeed[[#This Row],[Int]],tblContractForDeed[[#This Row],[Ins]],tblContractForDeed[[#This Row],[Taxes]])</f>
        <v>0</v>
      </c>
      <c r="W182" s="265">
        <f>SUM(INDEX(tblContractForDeed[Princ],1):INDEX(tblContractForDeed[Princ],ROW()-ROW(tblContractForDeed[#Headers])))</f>
        <v>146500</v>
      </c>
      <c r="X182" s="265">
        <f>IF(tblContractForDeed[[#This Row],[Beg]]&lt;=0,0,tblContractForDeed[[#This Row],[Beg]]-tblContractForDeed[[#This Row],[Princ]])</f>
        <v>0</v>
      </c>
      <c r="Y1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2" s="439">
        <f>IF(INDEX(tblContractForDeed[Payment],ROW()-ROW(tblBuyerOutputs[#Headers]))=0,0,INDEX(tblContractForDeed[Payment],ROW()-ROW(tblBuyerOutputs[#Headers]))-INDEX(tblSubjectToLoan[Payment],ROW()-ROW(tblBuyerOutputs[#Headers])))</f>
        <v>0</v>
      </c>
      <c r="AA182"/>
      <c r="AB182" s="14">
        <f>IF(INDEX(tblContractForDeed[Payment],ROW()-ROW(tblBuyerOutputs[#Headers]))=0,0,INDEX(tblContractForDeed[Payment],ROW()-ROW(tblBuyerOutputs[#Headers]))-INDEX(tblSubjectToLoan[Payment],ROW()-ROW(tblBuyerOutputs[#Headers])))-IFERROR(tblBuyerOutputs[[#This Row],[PMI]],0)</f>
        <v>0</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2" s="265">
        <f>IF(INDEX(tblContractForDeed[End Bal],ROW()-ROW(tblBuyerOutputs[#Headers]))&lt;=0,0,($O$6+IF(ROW()=ROW(tblBuyerOutputs[#Headers])+1,0,INDEX(tblBuyerOutputs[Cumul Appr],ROW()-ROW(tblBuyerOutputs[#Headers])-1)))*$O$2/12)</f>
        <v>0</v>
      </c>
      <c r="AE182" s="587">
        <f>IF(INDEX(tblContractForDeed[End Bal],ROW()-ROW(tblBuyerOutputs[#Headers]))&lt;=0,0,IF(ROW()=ROW(tblBuyerOutputs[#Headers])+1,0,INDEX(tblBuyerOutputs[Cumul Appr],ROW()-ROW(tblBuyerOutputs[#Headers])-1))+tblBuyerOutputs[[#This Row],[Monthly Appr]])</f>
        <v>0</v>
      </c>
      <c r="AF182" s="22"/>
      <c r="AG182" s="14"/>
      <c r="AM182"/>
      <c r="AN182" s="14"/>
      <c r="AP182" s="265"/>
      <c r="AR182" s="14"/>
      <c r="AS182"/>
    </row>
    <row r="183" spans="1:45" x14ac:dyDescent="0.25">
      <c r="A183" s="561">
        <f t="shared" si="32"/>
        <v>50802</v>
      </c>
      <c r="B183" s="265">
        <f t="shared" si="33"/>
        <v>0</v>
      </c>
      <c r="C183" s="14">
        <f t="shared" si="30"/>
        <v>0</v>
      </c>
      <c r="D183" s="14">
        <f t="shared" si="34"/>
        <v>0</v>
      </c>
      <c r="E183" s="14">
        <f t="shared" si="31"/>
        <v>0</v>
      </c>
      <c r="F183" s="14">
        <f t="shared" si="40"/>
        <v>0</v>
      </c>
      <c r="G183" s="14">
        <f t="shared" si="40"/>
        <v>0</v>
      </c>
      <c r="H183" s="14">
        <f t="shared" si="28"/>
        <v>0</v>
      </c>
      <c r="I183" s="265">
        <f t="shared" si="37"/>
        <v>0</v>
      </c>
      <c r="J183" s="265">
        <f t="shared" si="38"/>
        <v>0</v>
      </c>
      <c r="K183" s="265">
        <f t="shared" si="35"/>
        <v>0</v>
      </c>
      <c r="L183" s="373">
        <f t="shared" si="41"/>
        <v>13</v>
      </c>
      <c r="M183" s="373">
        <f t="shared" si="36"/>
        <v>163</v>
      </c>
      <c r="N183" s="561">
        <f>INDEX(tblSubjectToLoan[Date],ROW()-ROW(tblContractForDeed[#Headers]))</f>
        <v>50802</v>
      </c>
      <c r="O183" s="265">
        <f>IF(ROW()=ROW(tblContractForDeed[#Headers])+1,$O$6,IF(INDEX(tblContractForDeed[End Bal],ROW()-ROW(tblContractForDeed[#Headers])-1)&lt;0,0,INDEX(tblContractForDeed[End Bal],ROW()-ROW(tblContractForDeed[#Headers])-1)))</f>
        <v>0</v>
      </c>
      <c r="P183" s="431">
        <f>IF(tblContractForDeed[[#This Row],[Date]]="","",IF(tblContractForDeed[[#This Row],[Date]]&lt;cfdRateChangeDate,cfdRate1,cfdRate2))</f>
        <v>0.03</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3" s="265">
        <f>IF(tblContractForDeed[[#This Row],[Payment]]=0,0,MAX(0,MIN(tblContractForDeed[[#This Row],[Beg]],tblContractForDeed[[#This Row],[Payment]]-tblContractForDeed[[#This Row],[Int]])))</f>
        <v>0</v>
      </c>
      <c r="S183" s="265">
        <f>IF(OR(tblContractForDeed[[#This Row],[Date]]&lt;cfdContractDate,tblContractForDeed[[#This Row],[Date]]&gt;cfdEndDate),0,ROUND(tblContractForDeed[[#This Row],[Beg]]*(tblContractForDeed[[#This Row],[Int Rate]]/12),2))</f>
        <v>0</v>
      </c>
      <c r="T183" s="265">
        <f>IF(tblContractForDeed[[#This Row],[Payment]]=0,0,$V$2)</f>
        <v>0</v>
      </c>
      <c r="U183" s="265">
        <f>IF(tblContractForDeed[[#This Row],[Princ]]=0,0,$V$3)</f>
        <v>0</v>
      </c>
      <c r="V183" s="265">
        <f>SUM(tblContractForDeed[[#This Row],[Princ]],tblContractForDeed[[#This Row],[Int]],tblContractForDeed[[#This Row],[Ins]],tblContractForDeed[[#This Row],[Taxes]])</f>
        <v>0</v>
      </c>
      <c r="W183" s="265">
        <f>SUM(INDEX(tblContractForDeed[Princ],1):INDEX(tblContractForDeed[Princ],ROW()-ROW(tblContractForDeed[#Headers])))</f>
        <v>146500</v>
      </c>
      <c r="X183" s="265">
        <f>IF(tblContractForDeed[[#This Row],[Beg]]&lt;=0,0,tblContractForDeed[[#This Row],[Beg]]-tblContractForDeed[[#This Row],[Princ]])</f>
        <v>0</v>
      </c>
      <c r="Y1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3" s="439">
        <f>IF(INDEX(tblContractForDeed[Payment],ROW()-ROW(tblBuyerOutputs[#Headers]))=0,0,INDEX(tblContractForDeed[Payment],ROW()-ROW(tblBuyerOutputs[#Headers]))-INDEX(tblSubjectToLoan[Payment],ROW()-ROW(tblBuyerOutputs[#Headers])))</f>
        <v>0</v>
      </c>
      <c r="AA183"/>
      <c r="AB183" s="14">
        <f>IF(INDEX(tblContractForDeed[Payment],ROW()-ROW(tblBuyerOutputs[#Headers]))=0,0,INDEX(tblContractForDeed[Payment],ROW()-ROW(tblBuyerOutputs[#Headers]))-INDEX(tblSubjectToLoan[Payment],ROW()-ROW(tblBuyerOutputs[#Headers])))-IFERROR(tblBuyerOutputs[[#This Row],[PMI]],0)</f>
        <v>0</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3" s="265">
        <f>IF(INDEX(tblContractForDeed[End Bal],ROW()-ROW(tblBuyerOutputs[#Headers]))&lt;=0,0,($O$6+IF(ROW()=ROW(tblBuyerOutputs[#Headers])+1,0,INDEX(tblBuyerOutputs[Cumul Appr],ROW()-ROW(tblBuyerOutputs[#Headers])-1)))*$O$2/12)</f>
        <v>0</v>
      </c>
      <c r="AE183" s="587">
        <f>IF(INDEX(tblContractForDeed[End Bal],ROW()-ROW(tblBuyerOutputs[#Headers]))&lt;=0,0,IF(ROW()=ROW(tblBuyerOutputs[#Headers])+1,0,INDEX(tblBuyerOutputs[Cumul Appr],ROW()-ROW(tblBuyerOutputs[#Headers])-1))+tblBuyerOutputs[[#This Row],[Monthly Appr]])</f>
        <v>0</v>
      </c>
      <c r="AF183" s="22"/>
      <c r="AG183" s="14"/>
      <c r="AM183"/>
      <c r="AN183" s="14"/>
      <c r="AP183" s="265"/>
      <c r="AR183" s="14"/>
      <c r="AS183"/>
    </row>
    <row r="184" spans="1:45" x14ac:dyDescent="0.25">
      <c r="A184" s="561">
        <f t="shared" si="32"/>
        <v>50830</v>
      </c>
      <c r="B184" s="265">
        <f t="shared" si="33"/>
        <v>0</v>
      </c>
      <c r="C184" s="14">
        <f t="shared" si="30"/>
        <v>0</v>
      </c>
      <c r="D184" s="14">
        <f t="shared" si="34"/>
        <v>0</v>
      </c>
      <c r="E184" s="14">
        <f t="shared" si="31"/>
        <v>0</v>
      </c>
      <c r="F184" s="14">
        <f t="shared" si="40"/>
        <v>0</v>
      </c>
      <c r="G184" s="14">
        <f t="shared" si="40"/>
        <v>0</v>
      </c>
      <c r="H184" s="14">
        <f t="shared" si="28"/>
        <v>0</v>
      </c>
      <c r="I184" s="265">
        <f t="shared" si="37"/>
        <v>0</v>
      </c>
      <c r="J184" s="265">
        <f t="shared" si="38"/>
        <v>0</v>
      </c>
      <c r="K184" s="265">
        <f t="shared" si="35"/>
        <v>0</v>
      </c>
      <c r="L184" s="373">
        <f t="shared" si="41"/>
        <v>13</v>
      </c>
      <c r="M184" s="373">
        <f t="shared" si="36"/>
        <v>164</v>
      </c>
      <c r="N184" s="561">
        <f>INDEX(tblSubjectToLoan[Date],ROW()-ROW(tblContractForDeed[#Headers]))</f>
        <v>50830</v>
      </c>
      <c r="O184" s="265">
        <f>IF(ROW()=ROW(tblContractForDeed[#Headers])+1,$O$6,IF(INDEX(tblContractForDeed[End Bal],ROW()-ROW(tblContractForDeed[#Headers])-1)&lt;0,0,INDEX(tblContractForDeed[End Bal],ROW()-ROW(tblContractForDeed[#Headers])-1)))</f>
        <v>0</v>
      </c>
      <c r="P184" s="431">
        <f>IF(tblContractForDeed[[#This Row],[Date]]="","",IF(tblContractForDeed[[#This Row],[Date]]&lt;cfdRateChangeDate,cfdRate1,cfdRate2))</f>
        <v>0.03</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4" s="265">
        <f>IF(tblContractForDeed[[#This Row],[Payment]]=0,0,MAX(0,MIN(tblContractForDeed[[#This Row],[Beg]],tblContractForDeed[[#This Row],[Payment]]-tblContractForDeed[[#This Row],[Int]])))</f>
        <v>0</v>
      </c>
      <c r="S184" s="265">
        <f>IF(OR(tblContractForDeed[[#This Row],[Date]]&lt;cfdContractDate,tblContractForDeed[[#This Row],[Date]]&gt;cfdEndDate),0,ROUND(tblContractForDeed[[#This Row],[Beg]]*(tblContractForDeed[[#This Row],[Int Rate]]/12),2))</f>
        <v>0</v>
      </c>
      <c r="T184" s="265">
        <f>IF(tblContractForDeed[[#This Row],[Payment]]=0,0,$V$2)</f>
        <v>0</v>
      </c>
      <c r="U184" s="265">
        <f>IF(tblContractForDeed[[#This Row],[Princ]]=0,0,$V$3)</f>
        <v>0</v>
      </c>
      <c r="V184" s="265">
        <f>SUM(tblContractForDeed[[#This Row],[Princ]],tblContractForDeed[[#This Row],[Int]],tblContractForDeed[[#This Row],[Ins]],tblContractForDeed[[#This Row],[Taxes]])</f>
        <v>0</v>
      </c>
      <c r="W184" s="265">
        <f>SUM(INDEX(tblContractForDeed[Princ],1):INDEX(tblContractForDeed[Princ],ROW()-ROW(tblContractForDeed[#Headers])))</f>
        <v>146500</v>
      </c>
      <c r="X184" s="265">
        <f>IF(tblContractForDeed[[#This Row],[Beg]]&lt;=0,0,tblContractForDeed[[#This Row],[Beg]]-tblContractForDeed[[#This Row],[Princ]])</f>
        <v>0</v>
      </c>
      <c r="Y1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4" s="439">
        <f>IF(INDEX(tblContractForDeed[Payment],ROW()-ROW(tblBuyerOutputs[#Headers]))=0,0,INDEX(tblContractForDeed[Payment],ROW()-ROW(tblBuyerOutputs[#Headers]))-INDEX(tblSubjectToLoan[Payment],ROW()-ROW(tblBuyerOutputs[#Headers])))</f>
        <v>0</v>
      </c>
      <c r="AA184"/>
      <c r="AB184" s="14">
        <f>IF(INDEX(tblContractForDeed[Payment],ROW()-ROW(tblBuyerOutputs[#Headers]))=0,0,INDEX(tblContractForDeed[Payment],ROW()-ROW(tblBuyerOutputs[#Headers]))-INDEX(tblSubjectToLoan[Payment],ROW()-ROW(tblBuyerOutputs[#Headers])))-IFERROR(tblBuyerOutputs[[#This Row],[PMI]],0)</f>
        <v>0</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4" s="265">
        <f>IF(INDEX(tblContractForDeed[End Bal],ROW()-ROW(tblBuyerOutputs[#Headers]))&lt;=0,0,($O$6+IF(ROW()=ROW(tblBuyerOutputs[#Headers])+1,0,INDEX(tblBuyerOutputs[Cumul Appr],ROW()-ROW(tblBuyerOutputs[#Headers])-1)))*$O$2/12)</f>
        <v>0</v>
      </c>
      <c r="AE184" s="587">
        <f>IF(INDEX(tblContractForDeed[End Bal],ROW()-ROW(tblBuyerOutputs[#Headers]))&lt;=0,0,IF(ROW()=ROW(tblBuyerOutputs[#Headers])+1,0,INDEX(tblBuyerOutputs[Cumul Appr],ROW()-ROW(tblBuyerOutputs[#Headers])-1))+tblBuyerOutputs[[#This Row],[Monthly Appr]])</f>
        <v>0</v>
      </c>
      <c r="AF184" s="22"/>
      <c r="AG184" s="14"/>
      <c r="AM184"/>
      <c r="AN184" s="14"/>
      <c r="AP184" s="265"/>
      <c r="AR184" s="14"/>
      <c r="AS184"/>
    </row>
    <row r="185" spans="1:45" x14ac:dyDescent="0.25">
      <c r="A185" s="561">
        <f t="shared" si="32"/>
        <v>50861</v>
      </c>
      <c r="B185" s="265">
        <f t="shared" si="33"/>
        <v>0</v>
      </c>
      <c r="C185" s="14">
        <f t="shared" si="30"/>
        <v>0</v>
      </c>
      <c r="D185" s="14">
        <f t="shared" si="34"/>
        <v>0</v>
      </c>
      <c r="E185" s="14">
        <f t="shared" si="31"/>
        <v>0</v>
      </c>
      <c r="F185" s="14">
        <f t="shared" si="40"/>
        <v>0</v>
      </c>
      <c r="G185" s="14">
        <f t="shared" si="40"/>
        <v>0</v>
      </c>
      <c r="H185" s="14">
        <f t="shared" si="28"/>
        <v>0</v>
      </c>
      <c r="I185" s="265">
        <f t="shared" si="37"/>
        <v>0</v>
      </c>
      <c r="J185" s="265">
        <f t="shared" si="38"/>
        <v>0</v>
      </c>
      <c r="K185" s="265">
        <f t="shared" si="35"/>
        <v>0</v>
      </c>
      <c r="L185" s="373">
        <f t="shared" si="41"/>
        <v>13</v>
      </c>
      <c r="M185" s="373">
        <f t="shared" si="36"/>
        <v>165</v>
      </c>
      <c r="N185" s="561">
        <f>INDEX(tblSubjectToLoan[Date],ROW()-ROW(tblContractForDeed[#Headers]))</f>
        <v>50861</v>
      </c>
      <c r="O185" s="265">
        <f>IF(ROW()=ROW(tblContractForDeed[#Headers])+1,$O$6,IF(INDEX(tblContractForDeed[End Bal],ROW()-ROW(tblContractForDeed[#Headers])-1)&lt;0,0,INDEX(tblContractForDeed[End Bal],ROW()-ROW(tblContractForDeed[#Headers])-1)))</f>
        <v>0</v>
      </c>
      <c r="P185" s="431">
        <f>IF(tblContractForDeed[[#This Row],[Date]]="","",IF(tblContractForDeed[[#This Row],[Date]]&lt;cfdRateChangeDate,cfdRate1,cfdRate2))</f>
        <v>0.03</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5" s="265">
        <f>IF(tblContractForDeed[[#This Row],[Payment]]=0,0,MAX(0,MIN(tblContractForDeed[[#This Row],[Beg]],tblContractForDeed[[#This Row],[Payment]]-tblContractForDeed[[#This Row],[Int]])))</f>
        <v>0</v>
      </c>
      <c r="S185" s="265">
        <f>IF(OR(tblContractForDeed[[#This Row],[Date]]&lt;cfdContractDate,tblContractForDeed[[#This Row],[Date]]&gt;cfdEndDate),0,ROUND(tblContractForDeed[[#This Row],[Beg]]*(tblContractForDeed[[#This Row],[Int Rate]]/12),2))</f>
        <v>0</v>
      </c>
      <c r="T185" s="265">
        <f>IF(tblContractForDeed[[#This Row],[Payment]]=0,0,$V$2)</f>
        <v>0</v>
      </c>
      <c r="U185" s="265">
        <f>IF(tblContractForDeed[[#This Row],[Princ]]=0,0,$V$3)</f>
        <v>0</v>
      </c>
      <c r="V185" s="265">
        <f>SUM(tblContractForDeed[[#This Row],[Princ]],tblContractForDeed[[#This Row],[Int]],tblContractForDeed[[#This Row],[Ins]],tblContractForDeed[[#This Row],[Taxes]])</f>
        <v>0</v>
      </c>
      <c r="W185" s="265">
        <f>SUM(INDEX(tblContractForDeed[Princ],1):INDEX(tblContractForDeed[Princ],ROW()-ROW(tblContractForDeed[#Headers])))</f>
        <v>146500</v>
      </c>
      <c r="X185" s="265">
        <f>IF(tblContractForDeed[[#This Row],[Beg]]&lt;=0,0,tblContractForDeed[[#This Row],[Beg]]-tblContractForDeed[[#This Row],[Princ]])</f>
        <v>0</v>
      </c>
      <c r="Y1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5" s="439">
        <f>IF(INDEX(tblContractForDeed[Payment],ROW()-ROW(tblBuyerOutputs[#Headers]))=0,0,INDEX(tblContractForDeed[Payment],ROW()-ROW(tblBuyerOutputs[#Headers]))-INDEX(tblSubjectToLoan[Payment],ROW()-ROW(tblBuyerOutputs[#Headers])))</f>
        <v>0</v>
      </c>
      <c r="AA185"/>
      <c r="AB185" s="14">
        <f>IF(INDEX(tblContractForDeed[Payment],ROW()-ROW(tblBuyerOutputs[#Headers]))=0,0,INDEX(tblContractForDeed[Payment],ROW()-ROW(tblBuyerOutputs[#Headers]))-INDEX(tblSubjectToLoan[Payment],ROW()-ROW(tblBuyerOutputs[#Headers])))-IFERROR(tblBuyerOutputs[[#This Row],[PMI]],0)</f>
        <v>0</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5" s="265">
        <f>IF(INDEX(tblContractForDeed[End Bal],ROW()-ROW(tblBuyerOutputs[#Headers]))&lt;=0,0,($O$6+IF(ROW()=ROW(tblBuyerOutputs[#Headers])+1,0,INDEX(tblBuyerOutputs[Cumul Appr],ROW()-ROW(tblBuyerOutputs[#Headers])-1)))*$O$2/12)</f>
        <v>0</v>
      </c>
      <c r="AE185" s="587">
        <f>IF(INDEX(tblContractForDeed[End Bal],ROW()-ROW(tblBuyerOutputs[#Headers]))&lt;=0,0,IF(ROW()=ROW(tblBuyerOutputs[#Headers])+1,0,INDEX(tblBuyerOutputs[Cumul Appr],ROW()-ROW(tblBuyerOutputs[#Headers])-1))+tblBuyerOutputs[[#This Row],[Monthly Appr]])</f>
        <v>0</v>
      </c>
      <c r="AF185" s="22"/>
      <c r="AG185" s="14"/>
      <c r="AM185"/>
      <c r="AN185" s="14"/>
      <c r="AP185" s="265"/>
      <c r="AR185" s="14"/>
      <c r="AS185"/>
    </row>
    <row r="186" spans="1:45" x14ac:dyDescent="0.25">
      <c r="A186" s="561">
        <f t="shared" si="32"/>
        <v>50891</v>
      </c>
      <c r="B186" s="265">
        <f t="shared" si="33"/>
        <v>0</v>
      </c>
      <c r="C186" s="14">
        <f t="shared" si="30"/>
        <v>0</v>
      </c>
      <c r="D186" s="14">
        <f t="shared" si="34"/>
        <v>0</v>
      </c>
      <c r="E186" s="14">
        <f t="shared" si="31"/>
        <v>0</v>
      </c>
      <c r="F186" s="14">
        <f t="shared" si="40"/>
        <v>0</v>
      </c>
      <c r="G186" s="14">
        <f t="shared" si="40"/>
        <v>0</v>
      </c>
      <c r="H186" s="14">
        <f t="shared" si="28"/>
        <v>0</v>
      </c>
      <c r="I186" s="265">
        <f t="shared" si="37"/>
        <v>0</v>
      </c>
      <c r="J186" s="265">
        <f t="shared" si="38"/>
        <v>0</v>
      </c>
      <c r="K186" s="265">
        <f t="shared" si="35"/>
        <v>0</v>
      </c>
      <c r="L186" s="373">
        <f t="shared" si="41"/>
        <v>13</v>
      </c>
      <c r="M186" s="373">
        <f t="shared" si="36"/>
        <v>166</v>
      </c>
      <c r="N186" s="561">
        <f>INDEX(tblSubjectToLoan[Date],ROW()-ROW(tblContractForDeed[#Headers]))</f>
        <v>50891</v>
      </c>
      <c r="O186" s="265">
        <f>IF(ROW()=ROW(tblContractForDeed[#Headers])+1,$O$6,IF(INDEX(tblContractForDeed[End Bal],ROW()-ROW(tblContractForDeed[#Headers])-1)&lt;0,0,INDEX(tblContractForDeed[End Bal],ROW()-ROW(tblContractForDeed[#Headers])-1)))</f>
        <v>0</v>
      </c>
      <c r="P186" s="431">
        <f>IF(tblContractForDeed[[#This Row],[Date]]="","",IF(tblContractForDeed[[#This Row],[Date]]&lt;cfdRateChangeDate,cfdRate1,cfdRate2))</f>
        <v>0.03</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6" s="265">
        <f>IF(tblContractForDeed[[#This Row],[Payment]]=0,0,MAX(0,MIN(tblContractForDeed[[#This Row],[Beg]],tblContractForDeed[[#This Row],[Payment]]-tblContractForDeed[[#This Row],[Int]])))</f>
        <v>0</v>
      </c>
      <c r="S186" s="265">
        <f>IF(OR(tblContractForDeed[[#This Row],[Date]]&lt;cfdContractDate,tblContractForDeed[[#This Row],[Date]]&gt;cfdEndDate),0,ROUND(tblContractForDeed[[#This Row],[Beg]]*(tblContractForDeed[[#This Row],[Int Rate]]/12),2))</f>
        <v>0</v>
      </c>
      <c r="T186" s="265">
        <f>IF(tblContractForDeed[[#This Row],[Payment]]=0,0,$V$2)</f>
        <v>0</v>
      </c>
      <c r="U186" s="265">
        <f>IF(tblContractForDeed[[#This Row],[Princ]]=0,0,$V$3)</f>
        <v>0</v>
      </c>
      <c r="V186" s="265">
        <f>SUM(tblContractForDeed[[#This Row],[Princ]],tblContractForDeed[[#This Row],[Int]],tblContractForDeed[[#This Row],[Ins]],tblContractForDeed[[#This Row],[Taxes]])</f>
        <v>0</v>
      </c>
      <c r="W186" s="265">
        <f>SUM(INDEX(tblContractForDeed[Princ],1):INDEX(tblContractForDeed[Princ],ROW()-ROW(tblContractForDeed[#Headers])))</f>
        <v>146500</v>
      </c>
      <c r="X186" s="265">
        <f>IF(tblContractForDeed[[#This Row],[Beg]]&lt;=0,0,tblContractForDeed[[#This Row],[Beg]]-tblContractForDeed[[#This Row],[Princ]])</f>
        <v>0</v>
      </c>
      <c r="Y1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6" s="439">
        <f>IF(INDEX(tblContractForDeed[Payment],ROW()-ROW(tblBuyerOutputs[#Headers]))=0,0,INDEX(tblContractForDeed[Payment],ROW()-ROW(tblBuyerOutputs[#Headers]))-INDEX(tblSubjectToLoan[Payment],ROW()-ROW(tblBuyerOutputs[#Headers])))</f>
        <v>0</v>
      </c>
      <c r="AA186"/>
      <c r="AB186" s="14">
        <f>IF(INDEX(tblContractForDeed[Payment],ROW()-ROW(tblBuyerOutputs[#Headers]))=0,0,INDEX(tblContractForDeed[Payment],ROW()-ROW(tblBuyerOutputs[#Headers]))-INDEX(tblSubjectToLoan[Payment],ROW()-ROW(tblBuyerOutputs[#Headers])))-IFERROR(tblBuyerOutputs[[#This Row],[PMI]],0)</f>
        <v>0</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6" s="265">
        <f>IF(INDEX(tblContractForDeed[End Bal],ROW()-ROW(tblBuyerOutputs[#Headers]))&lt;=0,0,($O$6+IF(ROW()=ROW(tblBuyerOutputs[#Headers])+1,0,INDEX(tblBuyerOutputs[Cumul Appr],ROW()-ROW(tblBuyerOutputs[#Headers])-1)))*$O$2/12)</f>
        <v>0</v>
      </c>
      <c r="AE186" s="587">
        <f>IF(INDEX(tblContractForDeed[End Bal],ROW()-ROW(tblBuyerOutputs[#Headers]))&lt;=0,0,IF(ROW()=ROW(tblBuyerOutputs[#Headers])+1,0,INDEX(tblBuyerOutputs[Cumul Appr],ROW()-ROW(tblBuyerOutputs[#Headers])-1))+tblBuyerOutputs[[#This Row],[Monthly Appr]])</f>
        <v>0</v>
      </c>
      <c r="AF186" s="22"/>
      <c r="AG186" s="14"/>
      <c r="AM186"/>
      <c r="AN186" s="14"/>
      <c r="AP186" s="265"/>
      <c r="AR186" s="14"/>
      <c r="AS186"/>
    </row>
    <row r="187" spans="1:45" ht="15.75" thickBot="1" x14ac:dyDescent="0.3">
      <c r="A187" s="562">
        <f t="shared" si="32"/>
        <v>50922</v>
      </c>
      <c r="B187" s="316">
        <f t="shared" si="33"/>
        <v>0</v>
      </c>
      <c r="C187" s="21">
        <f t="shared" si="30"/>
        <v>0</v>
      </c>
      <c r="D187" s="21">
        <f t="shared" si="34"/>
        <v>0</v>
      </c>
      <c r="E187" s="21">
        <f t="shared" si="31"/>
        <v>0</v>
      </c>
      <c r="F187" s="21">
        <f t="shared" si="40"/>
        <v>0</v>
      </c>
      <c r="G187" s="21">
        <f t="shared" si="40"/>
        <v>0</v>
      </c>
      <c r="H187" s="21">
        <f t="shared" si="28"/>
        <v>0</v>
      </c>
      <c r="I187" s="316">
        <f t="shared" si="37"/>
        <v>0</v>
      </c>
      <c r="J187" s="316">
        <f t="shared" si="38"/>
        <v>0</v>
      </c>
      <c r="K187" s="316">
        <f t="shared" si="35"/>
        <v>0</v>
      </c>
      <c r="L187" s="374">
        <f t="shared" si="41"/>
        <v>13</v>
      </c>
      <c r="M187" s="374">
        <f t="shared" si="36"/>
        <v>167</v>
      </c>
      <c r="N187" s="562">
        <f>INDEX(tblSubjectToLoan[Date],ROW()-ROW(tblContractForDeed[#Headers]))</f>
        <v>50922</v>
      </c>
      <c r="O187" s="316">
        <f>IF(ROW()=ROW(tblContractForDeed[#Headers])+1,$O$6,IF(INDEX(tblContractForDeed[End Bal],ROW()-ROW(tblContractForDeed[#Headers])-1)&lt;0,0,INDEX(tblContractForDeed[End Bal],ROW()-ROW(tblContractForDeed[#Headers])-1)))</f>
        <v>0</v>
      </c>
      <c r="P187" s="585">
        <f>IF(tblContractForDeed[[#This Row],[Date]]="","",IF(tblContractForDeed[[#This Row],[Date]]&lt;cfdRateChangeDate,cfdRate1,cfdRate2))</f>
        <v>0.03</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7" s="316">
        <f>IF(tblContractForDeed[[#This Row],[Payment]]=0,0,MAX(0,MIN(tblContractForDeed[[#This Row],[Beg]],tblContractForDeed[[#This Row],[Payment]]-tblContractForDeed[[#This Row],[Int]])))</f>
        <v>0</v>
      </c>
      <c r="S187" s="316">
        <f>IF(OR(tblContractForDeed[[#This Row],[Date]]&lt;cfdContractDate,tblContractForDeed[[#This Row],[Date]]&gt;cfdEndDate),0,ROUND(tblContractForDeed[[#This Row],[Beg]]*(tblContractForDeed[[#This Row],[Int Rate]]/12),2))</f>
        <v>0</v>
      </c>
      <c r="T187" s="316">
        <f>IF(tblContractForDeed[[#This Row],[Payment]]=0,0,$V$2)</f>
        <v>0</v>
      </c>
      <c r="U187" s="316">
        <f>IF(tblContractForDeed[[#This Row],[Princ]]=0,0,$V$3)</f>
        <v>0</v>
      </c>
      <c r="V187" s="316">
        <f>SUM(tblContractForDeed[[#This Row],[Princ]],tblContractForDeed[[#This Row],[Int]],tblContractForDeed[[#This Row],[Ins]],tblContractForDeed[[#This Row],[Taxes]])</f>
        <v>0</v>
      </c>
      <c r="W187" s="316">
        <f>SUM(INDEX(tblContractForDeed[Princ],1):INDEX(tblContractForDeed[Princ],ROW()-ROW(tblContractForDeed[#Headers])))</f>
        <v>146500</v>
      </c>
      <c r="X187" s="316">
        <f>IF(tblContractForDeed[[#This Row],[Beg]]&lt;=0,0,tblContractForDeed[[#This Row],[Beg]]-tblContractForDeed[[#This Row],[Princ]])</f>
        <v>0</v>
      </c>
      <c r="Y1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7" s="440">
        <f>IF(INDEX(tblContractForDeed[Payment],ROW()-ROW(tblBuyerOutputs[#Headers]))=0,0,INDEX(tblContractForDeed[Payment],ROW()-ROW(tblBuyerOutputs[#Headers]))-INDEX(tblSubjectToLoan[Payment],ROW()-ROW(tblBuyerOutputs[#Headers])))</f>
        <v>0</v>
      </c>
      <c r="AA187" s="23"/>
      <c r="AB187" s="21">
        <f>IF(INDEX(tblContractForDeed[Payment],ROW()-ROW(tblBuyerOutputs[#Headers]))=0,0,INDEX(tblContractForDeed[Payment],ROW()-ROW(tblBuyerOutputs[#Headers]))-INDEX(tblSubjectToLoan[Payment],ROW()-ROW(tblBuyerOutputs[#Headers])))-IFERROR(tblBuyerOutputs[[#This Row],[PMI]],0)</f>
        <v>0</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7" s="316">
        <f>IF(INDEX(tblContractForDeed[End Bal],ROW()-ROW(tblBuyerOutputs[#Headers]))&lt;=0,0,($O$6+IF(ROW()=ROW(tblBuyerOutputs[#Headers])+1,0,INDEX(tblBuyerOutputs[Cumul Appr],ROW()-ROW(tblBuyerOutputs[#Headers])-1)))*$O$2/12)</f>
        <v>0</v>
      </c>
      <c r="AE187" s="588">
        <f>IF(INDEX(tblContractForDeed[End Bal],ROW()-ROW(tblBuyerOutputs[#Headers]))&lt;=0,0,IF(ROW()=ROW(tblBuyerOutputs[#Headers])+1,0,INDEX(tblBuyerOutputs[Cumul Appr],ROW()-ROW(tblBuyerOutputs[#Headers])-1))+tblBuyerOutputs[[#This Row],[Monthly Appr]])</f>
        <v>0</v>
      </c>
      <c r="AF187" s="22"/>
      <c r="AG187" s="14"/>
      <c r="AM187"/>
      <c r="AN187" s="14"/>
      <c r="AP187" s="265"/>
      <c r="AR187" s="14"/>
      <c r="AS187"/>
    </row>
    <row r="188" spans="1:45" x14ac:dyDescent="0.25">
      <c r="A188" s="561">
        <f t="shared" si="32"/>
        <v>50952</v>
      </c>
      <c r="B188" s="265">
        <f t="shared" si="33"/>
        <v>0</v>
      </c>
      <c r="C188" s="14">
        <f t="shared" si="30"/>
        <v>0</v>
      </c>
      <c r="D188" s="14">
        <f t="shared" si="34"/>
        <v>0</v>
      </c>
      <c r="E188" s="14">
        <f t="shared" si="31"/>
        <v>0</v>
      </c>
      <c r="F188" s="14">
        <f t="shared" si="40"/>
        <v>0</v>
      </c>
      <c r="G188" s="14">
        <f t="shared" si="40"/>
        <v>0</v>
      </c>
      <c r="H188" s="14">
        <f t="shared" si="28"/>
        <v>0</v>
      </c>
      <c r="I188" s="265">
        <f t="shared" si="37"/>
        <v>0</v>
      </c>
      <c r="J188" s="265">
        <f t="shared" si="38"/>
        <v>0</v>
      </c>
      <c r="K188" s="265">
        <f t="shared" si="35"/>
        <v>0</v>
      </c>
      <c r="L188" s="373">
        <f t="shared" si="41"/>
        <v>14</v>
      </c>
      <c r="M188" s="373">
        <f t="shared" si="36"/>
        <v>168</v>
      </c>
      <c r="N188" s="561">
        <f>INDEX(tblSubjectToLoan[Date],ROW()-ROW(tblContractForDeed[#Headers]))</f>
        <v>50952</v>
      </c>
      <c r="O188" s="265">
        <f>IF(ROW()=ROW(tblContractForDeed[#Headers])+1,$O$6,IF(INDEX(tblContractForDeed[End Bal],ROW()-ROW(tblContractForDeed[#Headers])-1)&lt;0,0,INDEX(tblContractForDeed[End Bal],ROW()-ROW(tblContractForDeed[#Headers])-1)))</f>
        <v>0</v>
      </c>
      <c r="P188" s="431">
        <f>IF(tblContractForDeed[[#This Row],[Date]]="","",IF(tblContractForDeed[[#This Row],[Date]]&lt;cfdRateChangeDate,cfdRate1,cfdRate2))</f>
        <v>0.03</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8" s="265">
        <f>IF(tblContractForDeed[[#This Row],[Payment]]=0,0,MAX(0,MIN(tblContractForDeed[[#This Row],[Beg]],tblContractForDeed[[#This Row],[Payment]]-tblContractForDeed[[#This Row],[Int]])))</f>
        <v>0</v>
      </c>
      <c r="S188" s="265">
        <f>IF(OR(tblContractForDeed[[#This Row],[Date]]&lt;cfdContractDate,tblContractForDeed[[#This Row],[Date]]&gt;cfdEndDate),0,ROUND(tblContractForDeed[[#This Row],[Beg]]*(tblContractForDeed[[#This Row],[Int Rate]]/12),2))</f>
        <v>0</v>
      </c>
      <c r="T188" s="265">
        <f>IF(tblContractForDeed[[#This Row],[Payment]]=0,0,$V$2)</f>
        <v>0</v>
      </c>
      <c r="U188" s="265">
        <f>IF(tblContractForDeed[[#This Row],[Princ]]=0,0,$V$3)</f>
        <v>0</v>
      </c>
      <c r="V188" s="265">
        <f>SUM(tblContractForDeed[[#This Row],[Princ]],tblContractForDeed[[#This Row],[Int]],tblContractForDeed[[#This Row],[Ins]],tblContractForDeed[[#This Row],[Taxes]])</f>
        <v>0</v>
      </c>
      <c r="W188" s="265">
        <f>SUM(INDEX(tblContractForDeed[Princ],1):INDEX(tblContractForDeed[Princ],ROW()-ROW(tblContractForDeed[#Headers])))</f>
        <v>146500</v>
      </c>
      <c r="X188" s="265">
        <f>IF(tblContractForDeed[[#This Row],[Beg]]&lt;=0,0,tblContractForDeed[[#This Row],[Beg]]-tblContractForDeed[[#This Row],[Princ]])</f>
        <v>0</v>
      </c>
      <c r="Y1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8" s="439">
        <f>IF(INDEX(tblContractForDeed[Payment],ROW()-ROW(tblBuyerOutputs[#Headers]))=0,0,INDEX(tblContractForDeed[Payment],ROW()-ROW(tblBuyerOutputs[#Headers]))-INDEX(tblSubjectToLoan[Payment],ROW()-ROW(tblBuyerOutputs[#Headers])))</f>
        <v>0</v>
      </c>
      <c r="AA188"/>
      <c r="AB188" s="14">
        <f>IF(INDEX(tblContractForDeed[Payment],ROW()-ROW(tblBuyerOutputs[#Headers]))=0,0,INDEX(tblContractForDeed[Payment],ROW()-ROW(tblBuyerOutputs[#Headers]))-INDEX(tblSubjectToLoan[Payment],ROW()-ROW(tblBuyerOutputs[#Headers])))-IFERROR(tblBuyerOutputs[[#This Row],[PMI]],0)</f>
        <v>0</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8" s="265">
        <f>IF(INDEX(tblContractForDeed[End Bal],ROW()-ROW(tblBuyerOutputs[#Headers]))&lt;=0,0,($O$6+IF(ROW()=ROW(tblBuyerOutputs[#Headers])+1,0,INDEX(tblBuyerOutputs[Cumul Appr],ROW()-ROW(tblBuyerOutputs[#Headers])-1)))*$O$2/12)</f>
        <v>0</v>
      </c>
      <c r="AE188" s="587">
        <f>IF(INDEX(tblContractForDeed[End Bal],ROW()-ROW(tblBuyerOutputs[#Headers]))&lt;=0,0,IF(ROW()=ROW(tblBuyerOutputs[#Headers])+1,0,INDEX(tblBuyerOutputs[Cumul Appr],ROW()-ROW(tblBuyerOutputs[#Headers])-1))+tblBuyerOutputs[[#This Row],[Monthly Appr]])</f>
        <v>0</v>
      </c>
      <c r="AF188" s="22"/>
      <c r="AG188" s="14"/>
      <c r="AM188"/>
      <c r="AN188" s="14"/>
      <c r="AP188" s="265"/>
      <c r="AR188" s="14"/>
      <c r="AS188"/>
    </row>
    <row r="189" spans="1:45" x14ac:dyDescent="0.25">
      <c r="A189" s="561">
        <f t="shared" si="32"/>
        <v>50983</v>
      </c>
      <c r="B189" s="265">
        <f t="shared" si="33"/>
        <v>0</v>
      </c>
      <c r="C189" s="14">
        <f t="shared" si="30"/>
        <v>0</v>
      </c>
      <c r="D189" s="14">
        <f t="shared" si="34"/>
        <v>0</v>
      </c>
      <c r="E189" s="14">
        <f t="shared" si="31"/>
        <v>0</v>
      </c>
      <c r="F189" s="14">
        <f t="shared" si="40"/>
        <v>0</v>
      </c>
      <c r="G189" s="14">
        <f t="shared" si="40"/>
        <v>0</v>
      </c>
      <c r="H189" s="14">
        <f t="shared" si="28"/>
        <v>0</v>
      </c>
      <c r="I189" s="265">
        <f t="shared" si="37"/>
        <v>0</v>
      </c>
      <c r="J189" s="265">
        <f t="shared" si="38"/>
        <v>0</v>
      </c>
      <c r="K189" s="265">
        <f t="shared" si="35"/>
        <v>0</v>
      </c>
      <c r="L189" s="373">
        <f t="shared" si="41"/>
        <v>14</v>
      </c>
      <c r="M189" s="373">
        <f t="shared" si="36"/>
        <v>169</v>
      </c>
      <c r="N189" s="561">
        <f>INDEX(tblSubjectToLoan[Date],ROW()-ROW(tblContractForDeed[#Headers]))</f>
        <v>50983</v>
      </c>
      <c r="O189" s="265">
        <f>IF(ROW()=ROW(tblContractForDeed[#Headers])+1,$O$6,IF(INDEX(tblContractForDeed[End Bal],ROW()-ROW(tblContractForDeed[#Headers])-1)&lt;0,0,INDEX(tblContractForDeed[End Bal],ROW()-ROW(tblContractForDeed[#Headers])-1)))</f>
        <v>0</v>
      </c>
      <c r="P189" s="431">
        <f>IF(tblContractForDeed[[#This Row],[Date]]="","",IF(tblContractForDeed[[#This Row],[Date]]&lt;cfdRateChangeDate,cfdRate1,cfdRate2))</f>
        <v>0.03</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9" s="265">
        <f>IF(tblContractForDeed[[#This Row],[Payment]]=0,0,MAX(0,MIN(tblContractForDeed[[#This Row],[Beg]],tblContractForDeed[[#This Row],[Payment]]-tblContractForDeed[[#This Row],[Int]])))</f>
        <v>0</v>
      </c>
      <c r="S189" s="265">
        <f>IF(OR(tblContractForDeed[[#This Row],[Date]]&lt;cfdContractDate,tblContractForDeed[[#This Row],[Date]]&gt;cfdEndDate),0,ROUND(tblContractForDeed[[#This Row],[Beg]]*(tblContractForDeed[[#This Row],[Int Rate]]/12),2))</f>
        <v>0</v>
      </c>
      <c r="T189" s="265">
        <f>IF(tblContractForDeed[[#This Row],[Payment]]=0,0,$V$2)</f>
        <v>0</v>
      </c>
      <c r="U189" s="265">
        <f>IF(tblContractForDeed[[#This Row],[Princ]]=0,0,$V$3)</f>
        <v>0</v>
      </c>
      <c r="V189" s="265">
        <f>SUM(tblContractForDeed[[#This Row],[Princ]],tblContractForDeed[[#This Row],[Int]],tblContractForDeed[[#This Row],[Ins]],tblContractForDeed[[#This Row],[Taxes]])</f>
        <v>0</v>
      </c>
      <c r="W189" s="265">
        <f>SUM(INDEX(tblContractForDeed[Princ],1):INDEX(tblContractForDeed[Princ],ROW()-ROW(tblContractForDeed[#Headers])))</f>
        <v>146500</v>
      </c>
      <c r="X189" s="265">
        <f>IF(tblContractForDeed[[#This Row],[Beg]]&lt;=0,0,tblContractForDeed[[#This Row],[Beg]]-tblContractForDeed[[#This Row],[Princ]])</f>
        <v>0</v>
      </c>
      <c r="Y1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9" s="439">
        <f>IF(INDEX(tblContractForDeed[Payment],ROW()-ROW(tblBuyerOutputs[#Headers]))=0,0,INDEX(tblContractForDeed[Payment],ROW()-ROW(tblBuyerOutputs[#Headers]))-INDEX(tblSubjectToLoan[Payment],ROW()-ROW(tblBuyerOutputs[#Headers])))</f>
        <v>0</v>
      </c>
      <c r="AA189"/>
      <c r="AB189" s="14">
        <f>IF(INDEX(tblContractForDeed[Payment],ROW()-ROW(tblBuyerOutputs[#Headers]))=0,0,INDEX(tblContractForDeed[Payment],ROW()-ROW(tblBuyerOutputs[#Headers]))-INDEX(tblSubjectToLoan[Payment],ROW()-ROW(tblBuyerOutputs[#Headers])))-IFERROR(tblBuyerOutputs[[#This Row],[PMI]],0)</f>
        <v>0</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9" s="265">
        <f>IF(INDEX(tblContractForDeed[End Bal],ROW()-ROW(tblBuyerOutputs[#Headers]))&lt;=0,0,($O$6+IF(ROW()=ROW(tblBuyerOutputs[#Headers])+1,0,INDEX(tblBuyerOutputs[Cumul Appr],ROW()-ROW(tblBuyerOutputs[#Headers])-1)))*$O$2/12)</f>
        <v>0</v>
      </c>
      <c r="AE189" s="587">
        <f>IF(INDEX(tblContractForDeed[End Bal],ROW()-ROW(tblBuyerOutputs[#Headers]))&lt;=0,0,IF(ROW()=ROW(tblBuyerOutputs[#Headers])+1,0,INDEX(tblBuyerOutputs[Cumul Appr],ROW()-ROW(tblBuyerOutputs[#Headers])-1))+tblBuyerOutputs[[#This Row],[Monthly Appr]])</f>
        <v>0</v>
      </c>
      <c r="AF189" s="22"/>
      <c r="AG189" s="14"/>
      <c r="AM189"/>
      <c r="AN189" s="14"/>
      <c r="AP189" s="265"/>
      <c r="AR189" s="14"/>
      <c r="AS189"/>
    </row>
    <row r="190" spans="1:45" x14ac:dyDescent="0.25">
      <c r="A190" s="561">
        <f t="shared" si="32"/>
        <v>51014</v>
      </c>
      <c r="B190" s="265">
        <f t="shared" si="33"/>
        <v>0</v>
      </c>
      <c r="C190" s="14">
        <f t="shared" si="30"/>
        <v>0</v>
      </c>
      <c r="D190" s="14">
        <f t="shared" si="34"/>
        <v>0</v>
      </c>
      <c r="E190" s="14">
        <f t="shared" si="31"/>
        <v>0</v>
      </c>
      <c r="F190" s="14">
        <f t="shared" si="40"/>
        <v>0</v>
      </c>
      <c r="G190" s="14">
        <f t="shared" si="40"/>
        <v>0</v>
      </c>
      <c r="H190" s="14">
        <f t="shared" si="28"/>
        <v>0</v>
      </c>
      <c r="I190" s="265">
        <f t="shared" si="37"/>
        <v>0</v>
      </c>
      <c r="J190" s="265">
        <f t="shared" si="38"/>
        <v>0</v>
      </c>
      <c r="K190" s="265">
        <f t="shared" si="35"/>
        <v>0</v>
      </c>
      <c r="L190" s="373">
        <f t="shared" si="41"/>
        <v>14</v>
      </c>
      <c r="M190" s="373">
        <f t="shared" si="36"/>
        <v>170</v>
      </c>
      <c r="N190" s="561">
        <f>INDEX(tblSubjectToLoan[Date],ROW()-ROW(tblContractForDeed[#Headers]))</f>
        <v>51014</v>
      </c>
      <c r="O190" s="265">
        <f>IF(ROW()=ROW(tblContractForDeed[#Headers])+1,$O$6,IF(INDEX(tblContractForDeed[End Bal],ROW()-ROW(tblContractForDeed[#Headers])-1)&lt;0,0,INDEX(tblContractForDeed[End Bal],ROW()-ROW(tblContractForDeed[#Headers])-1)))</f>
        <v>0</v>
      </c>
      <c r="P190" s="431">
        <f>IF(tblContractForDeed[[#This Row],[Date]]="","",IF(tblContractForDeed[[#This Row],[Date]]&lt;cfdRateChangeDate,cfdRate1,cfdRate2))</f>
        <v>0.03</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0" s="265">
        <f>IF(tblContractForDeed[[#This Row],[Payment]]=0,0,MAX(0,MIN(tblContractForDeed[[#This Row],[Beg]],tblContractForDeed[[#This Row],[Payment]]-tblContractForDeed[[#This Row],[Int]])))</f>
        <v>0</v>
      </c>
      <c r="S190" s="265">
        <f>IF(OR(tblContractForDeed[[#This Row],[Date]]&lt;cfdContractDate,tblContractForDeed[[#This Row],[Date]]&gt;cfdEndDate),0,ROUND(tblContractForDeed[[#This Row],[Beg]]*(tblContractForDeed[[#This Row],[Int Rate]]/12),2))</f>
        <v>0</v>
      </c>
      <c r="T190" s="265">
        <f>IF(tblContractForDeed[[#This Row],[Payment]]=0,0,$V$2)</f>
        <v>0</v>
      </c>
      <c r="U190" s="265">
        <f>IF(tblContractForDeed[[#This Row],[Princ]]=0,0,$V$3)</f>
        <v>0</v>
      </c>
      <c r="V190" s="265">
        <f>SUM(tblContractForDeed[[#This Row],[Princ]],tblContractForDeed[[#This Row],[Int]],tblContractForDeed[[#This Row],[Ins]],tblContractForDeed[[#This Row],[Taxes]])</f>
        <v>0</v>
      </c>
      <c r="W190" s="265">
        <f>SUM(INDEX(tblContractForDeed[Princ],1):INDEX(tblContractForDeed[Princ],ROW()-ROW(tblContractForDeed[#Headers])))</f>
        <v>146500</v>
      </c>
      <c r="X190" s="265">
        <f>IF(tblContractForDeed[[#This Row],[Beg]]&lt;=0,0,tblContractForDeed[[#This Row],[Beg]]-tblContractForDeed[[#This Row],[Princ]])</f>
        <v>0</v>
      </c>
      <c r="Y1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0" s="439">
        <f>IF(INDEX(tblContractForDeed[Payment],ROW()-ROW(tblBuyerOutputs[#Headers]))=0,0,INDEX(tblContractForDeed[Payment],ROW()-ROW(tblBuyerOutputs[#Headers]))-INDEX(tblSubjectToLoan[Payment],ROW()-ROW(tblBuyerOutputs[#Headers])))</f>
        <v>0</v>
      </c>
      <c r="AA190"/>
      <c r="AB190" s="14">
        <f>IF(INDEX(tblContractForDeed[Payment],ROW()-ROW(tblBuyerOutputs[#Headers]))=0,0,INDEX(tblContractForDeed[Payment],ROW()-ROW(tblBuyerOutputs[#Headers]))-INDEX(tblSubjectToLoan[Payment],ROW()-ROW(tblBuyerOutputs[#Headers])))-IFERROR(tblBuyerOutputs[[#This Row],[PMI]],0)</f>
        <v>0</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0" s="265">
        <f>IF(INDEX(tblContractForDeed[End Bal],ROW()-ROW(tblBuyerOutputs[#Headers]))&lt;=0,0,($O$6+IF(ROW()=ROW(tblBuyerOutputs[#Headers])+1,0,INDEX(tblBuyerOutputs[Cumul Appr],ROW()-ROW(tblBuyerOutputs[#Headers])-1)))*$O$2/12)</f>
        <v>0</v>
      </c>
      <c r="AE190" s="587">
        <f>IF(INDEX(tblContractForDeed[End Bal],ROW()-ROW(tblBuyerOutputs[#Headers]))&lt;=0,0,IF(ROW()=ROW(tblBuyerOutputs[#Headers])+1,0,INDEX(tblBuyerOutputs[Cumul Appr],ROW()-ROW(tblBuyerOutputs[#Headers])-1))+tblBuyerOutputs[[#This Row],[Monthly Appr]])</f>
        <v>0</v>
      </c>
      <c r="AF190" s="22"/>
      <c r="AG190" s="14"/>
      <c r="AM190"/>
      <c r="AN190" s="14"/>
      <c r="AP190" s="265"/>
      <c r="AR190" s="14"/>
      <c r="AS190"/>
    </row>
    <row r="191" spans="1:45" x14ac:dyDescent="0.25">
      <c r="A191" s="561">
        <f t="shared" si="32"/>
        <v>51044</v>
      </c>
      <c r="B191" s="265">
        <f t="shared" si="33"/>
        <v>0</v>
      </c>
      <c r="C191" s="14">
        <f t="shared" si="30"/>
        <v>0</v>
      </c>
      <c r="D191" s="14">
        <f t="shared" si="34"/>
        <v>0</v>
      </c>
      <c r="E191" s="14">
        <f t="shared" si="31"/>
        <v>0</v>
      </c>
      <c r="F191" s="14">
        <f t="shared" ref="F191:G206" si="42">+F190</f>
        <v>0</v>
      </c>
      <c r="G191" s="14">
        <f t="shared" si="42"/>
        <v>0</v>
      </c>
      <c r="H191" s="14">
        <f t="shared" si="28"/>
        <v>0</v>
      </c>
      <c r="I191" s="265">
        <f t="shared" si="37"/>
        <v>0</v>
      </c>
      <c r="J191" s="265">
        <f t="shared" si="38"/>
        <v>0</v>
      </c>
      <c r="K191" s="265">
        <f t="shared" si="35"/>
        <v>0</v>
      </c>
      <c r="L191" s="373">
        <f t="shared" si="41"/>
        <v>14</v>
      </c>
      <c r="M191" s="373">
        <f t="shared" si="36"/>
        <v>171</v>
      </c>
      <c r="N191" s="561">
        <f>INDEX(tblSubjectToLoan[Date],ROW()-ROW(tblContractForDeed[#Headers]))</f>
        <v>51044</v>
      </c>
      <c r="O191" s="265">
        <f>IF(ROW()=ROW(tblContractForDeed[#Headers])+1,$O$6,IF(INDEX(tblContractForDeed[End Bal],ROW()-ROW(tblContractForDeed[#Headers])-1)&lt;0,0,INDEX(tblContractForDeed[End Bal],ROW()-ROW(tblContractForDeed[#Headers])-1)))</f>
        <v>0</v>
      </c>
      <c r="P191" s="431">
        <f>IF(tblContractForDeed[[#This Row],[Date]]="","",IF(tblContractForDeed[[#This Row],[Date]]&lt;cfdRateChangeDate,cfdRate1,cfdRate2))</f>
        <v>0.03</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1" s="265">
        <f>IF(tblContractForDeed[[#This Row],[Payment]]=0,0,MAX(0,MIN(tblContractForDeed[[#This Row],[Beg]],tblContractForDeed[[#This Row],[Payment]]-tblContractForDeed[[#This Row],[Int]])))</f>
        <v>0</v>
      </c>
      <c r="S191" s="265">
        <f>IF(OR(tblContractForDeed[[#This Row],[Date]]&lt;cfdContractDate,tblContractForDeed[[#This Row],[Date]]&gt;cfdEndDate),0,ROUND(tblContractForDeed[[#This Row],[Beg]]*(tblContractForDeed[[#This Row],[Int Rate]]/12),2))</f>
        <v>0</v>
      </c>
      <c r="T191" s="265">
        <f>IF(tblContractForDeed[[#This Row],[Payment]]=0,0,$V$2)</f>
        <v>0</v>
      </c>
      <c r="U191" s="265">
        <f>IF(tblContractForDeed[[#This Row],[Princ]]=0,0,$V$3)</f>
        <v>0</v>
      </c>
      <c r="V191" s="265">
        <f>SUM(tblContractForDeed[[#This Row],[Princ]],tblContractForDeed[[#This Row],[Int]],tblContractForDeed[[#This Row],[Ins]],tblContractForDeed[[#This Row],[Taxes]])</f>
        <v>0</v>
      </c>
      <c r="W191" s="265">
        <f>SUM(INDEX(tblContractForDeed[Princ],1):INDEX(tblContractForDeed[Princ],ROW()-ROW(tblContractForDeed[#Headers])))</f>
        <v>146500</v>
      </c>
      <c r="X191" s="265">
        <f>IF(tblContractForDeed[[#This Row],[Beg]]&lt;=0,0,tblContractForDeed[[#This Row],[Beg]]-tblContractForDeed[[#This Row],[Princ]])</f>
        <v>0</v>
      </c>
      <c r="Y1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1" s="439">
        <f>IF(INDEX(tblContractForDeed[Payment],ROW()-ROW(tblBuyerOutputs[#Headers]))=0,0,INDEX(tblContractForDeed[Payment],ROW()-ROW(tblBuyerOutputs[#Headers]))-INDEX(tblSubjectToLoan[Payment],ROW()-ROW(tblBuyerOutputs[#Headers])))</f>
        <v>0</v>
      </c>
      <c r="AA191"/>
      <c r="AB191" s="14">
        <f>IF(INDEX(tblContractForDeed[Payment],ROW()-ROW(tblBuyerOutputs[#Headers]))=0,0,INDEX(tblContractForDeed[Payment],ROW()-ROW(tblBuyerOutputs[#Headers]))-INDEX(tblSubjectToLoan[Payment],ROW()-ROW(tblBuyerOutputs[#Headers])))-IFERROR(tblBuyerOutputs[[#This Row],[PMI]],0)</f>
        <v>0</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1" s="265">
        <f>IF(INDEX(tblContractForDeed[End Bal],ROW()-ROW(tblBuyerOutputs[#Headers]))&lt;=0,0,($O$6+IF(ROW()=ROW(tblBuyerOutputs[#Headers])+1,0,INDEX(tblBuyerOutputs[Cumul Appr],ROW()-ROW(tblBuyerOutputs[#Headers])-1)))*$O$2/12)</f>
        <v>0</v>
      </c>
      <c r="AE191" s="587">
        <f>IF(INDEX(tblContractForDeed[End Bal],ROW()-ROW(tblBuyerOutputs[#Headers]))&lt;=0,0,IF(ROW()=ROW(tblBuyerOutputs[#Headers])+1,0,INDEX(tblBuyerOutputs[Cumul Appr],ROW()-ROW(tblBuyerOutputs[#Headers])-1))+tblBuyerOutputs[[#This Row],[Monthly Appr]])</f>
        <v>0</v>
      </c>
      <c r="AF191" s="22"/>
      <c r="AG191" s="14"/>
      <c r="AM191"/>
      <c r="AN191" s="14"/>
      <c r="AP191" s="265"/>
      <c r="AR191" s="14"/>
      <c r="AS191"/>
    </row>
    <row r="192" spans="1:45" x14ac:dyDescent="0.25">
      <c r="A192" s="561">
        <f t="shared" si="32"/>
        <v>51075</v>
      </c>
      <c r="B192" s="265">
        <f t="shared" si="33"/>
        <v>0</v>
      </c>
      <c r="C192" s="14">
        <f t="shared" si="30"/>
        <v>0</v>
      </c>
      <c r="D192" s="14">
        <f t="shared" si="34"/>
        <v>0</v>
      </c>
      <c r="E192" s="14">
        <f t="shared" si="31"/>
        <v>0</v>
      </c>
      <c r="F192" s="14">
        <f t="shared" si="42"/>
        <v>0</v>
      </c>
      <c r="G192" s="14">
        <f t="shared" si="42"/>
        <v>0</v>
      </c>
      <c r="H192" s="14">
        <f t="shared" ref="H192:H255" si="43">SUM(D192:G192)</f>
        <v>0</v>
      </c>
      <c r="I192" s="265">
        <f t="shared" si="37"/>
        <v>0</v>
      </c>
      <c r="J192" s="265">
        <f t="shared" si="38"/>
        <v>0</v>
      </c>
      <c r="K192" s="265">
        <f t="shared" si="35"/>
        <v>0</v>
      </c>
      <c r="L192" s="373">
        <f t="shared" si="41"/>
        <v>14</v>
      </c>
      <c r="M192" s="373">
        <f t="shared" si="36"/>
        <v>172</v>
      </c>
      <c r="N192" s="561">
        <f>INDEX(tblSubjectToLoan[Date],ROW()-ROW(tblContractForDeed[#Headers]))</f>
        <v>51075</v>
      </c>
      <c r="O192" s="265">
        <f>IF(ROW()=ROW(tblContractForDeed[#Headers])+1,$O$6,IF(INDEX(tblContractForDeed[End Bal],ROW()-ROW(tblContractForDeed[#Headers])-1)&lt;0,0,INDEX(tblContractForDeed[End Bal],ROW()-ROW(tblContractForDeed[#Headers])-1)))</f>
        <v>0</v>
      </c>
      <c r="P192" s="431">
        <f>IF(tblContractForDeed[[#This Row],[Date]]="","",IF(tblContractForDeed[[#This Row],[Date]]&lt;cfdRateChangeDate,cfdRate1,cfdRate2))</f>
        <v>0.03</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2" s="265">
        <f>IF(tblContractForDeed[[#This Row],[Payment]]=0,0,MAX(0,MIN(tblContractForDeed[[#This Row],[Beg]],tblContractForDeed[[#This Row],[Payment]]-tblContractForDeed[[#This Row],[Int]])))</f>
        <v>0</v>
      </c>
      <c r="S192" s="265">
        <f>IF(OR(tblContractForDeed[[#This Row],[Date]]&lt;cfdContractDate,tblContractForDeed[[#This Row],[Date]]&gt;cfdEndDate),0,ROUND(tblContractForDeed[[#This Row],[Beg]]*(tblContractForDeed[[#This Row],[Int Rate]]/12),2))</f>
        <v>0</v>
      </c>
      <c r="T192" s="265">
        <f>IF(tblContractForDeed[[#This Row],[Payment]]=0,0,$V$2)</f>
        <v>0</v>
      </c>
      <c r="U192" s="265">
        <f>IF(tblContractForDeed[[#This Row],[Princ]]=0,0,$V$3)</f>
        <v>0</v>
      </c>
      <c r="V192" s="265">
        <f>SUM(tblContractForDeed[[#This Row],[Princ]],tblContractForDeed[[#This Row],[Int]],tblContractForDeed[[#This Row],[Ins]],tblContractForDeed[[#This Row],[Taxes]])</f>
        <v>0</v>
      </c>
      <c r="W192" s="265">
        <f>SUM(INDEX(tblContractForDeed[Princ],1):INDEX(tblContractForDeed[Princ],ROW()-ROW(tblContractForDeed[#Headers])))</f>
        <v>146500</v>
      </c>
      <c r="X192" s="265">
        <f>IF(tblContractForDeed[[#This Row],[Beg]]&lt;=0,0,tblContractForDeed[[#This Row],[Beg]]-tblContractForDeed[[#This Row],[Princ]])</f>
        <v>0</v>
      </c>
      <c r="Y1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2" s="439">
        <f>IF(INDEX(tblContractForDeed[Payment],ROW()-ROW(tblBuyerOutputs[#Headers]))=0,0,INDEX(tblContractForDeed[Payment],ROW()-ROW(tblBuyerOutputs[#Headers]))-INDEX(tblSubjectToLoan[Payment],ROW()-ROW(tblBuyerOutputs[#Headers])))</f>
        <v>0</v>
      </c>
      <c r="AA192"/>
      <c r="AB192" s="14">
        <f>IF(INDEX(tblContractForDeed[Payment],ROW()-ROW(tblBuyerOutputs[#Headers]))=0,0,INDEX(tblContractForDeed[Payment],ROW()-ROW(tblBuyerOutputs[#Headers]))-INDEX(tblSubjectToLoan[Payment],ROW()-ROW(tblBuyerOutputs[#Headers])))-IFERROR(tblBuyerOutputs[[#This Row],[PMI]],0)</f>
        <v>0</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2" s="265">
        <f>IF(INDEX(tblContractForDeed[End Bal],ROW()-ROW(tblBuyerOutputs[#Headers]))&lt;=0,0,($O$6+IF(ROW()=ROW(tblBuyerOutputs[#Headers])+1,0,INDEX(tblBuyerOutputs[Cumul Appr],ROW()-ROW(tblBuyerOutputs[#Headers])-1)))*$O$2/12)</f>
        <v>0</v>
      </c>
      <c r="AE192" s="587">
        <f>IF(INDEX(tblContractForDeed[End Bal],ROW()-ROW(tblBuyerOutputs[#Headers]))&lt;=0,0,IF(ROW()=ROW(tblBuyerOutputs[#Headers])+1,0,INDEX(tblBuyerOutputs[Cumul Appr],ROW()-ROW(tblBuyerOutputs[#Headers])-1))+tblBuyerOutputs[[#This Row],[Monthly Appr]])</f>
        <v>0</v>
      </c>
      <c r="AF192" s="22"/>
      <c r="AG192" s="14"/>
      <c r="AM192"/>
      <c r="AN192" s="14"/>
      <c r="AP192" s="265"/>
      <c r="AR192" s="14"/>
      <c r="AS192"/>
    </row>
    <row r="193" spans="1:45" x14ac:dyDescent="0.25">
      <c r="A193" s="561">
        <f t="shared" si="32"/>
        <v>51105</v>
      </c>
      <c r="B193" s="265">
        <f t="shared" si="33"/>
        <v>0</v>
      </c>
      <c r="C193" s="14">
        <f t="shared" si="30"/>
        <v>0</v>
      </c>
      <c r="D193" s="14">
        <f t="shared" si="34"/>
        <v>0</v>
      </c>
      <c r="E193" s="14">
        <f t="shared" si="31"/>
        <v>0</v>
      </c>
      <c r="F193" s="14">
        <f t="shared" si="42"/>
        <v>0</v>
      </c>
      <c r="G193" s="14">
        <f t="shared" si="42"/>
        <v>0</v>
      </c>
      <c r="H193" s="14">
        <f t="shared" si="43"/>
        <v>0</v>
      </c>
      <c r="I193" s="265">
        <f t="shared" si="37"/>
        <v>0</v>
      </c>
      <c r="J193" s="265">
        <f t="shared" si="38"/>
        <v>0</v>
      </c>
      <c r="K193" s="265">
        <f t="shared" si="35"/>
        <v>0</v>
      </c>
      <c r="L193" s="373">
        <f t="shared" si="41"/>
        <v>14</v>
      </c>
      <c r="M193" s="373">
        <f t="shared" si="36"/>
        <v>173</v>
      </c>
      <c r="N193" s="561">
        <f>INDEX(tblSubjectToLoan[Date],ROW()-ROW(tblContractForDeed[#Headers]))</f>
        <v>51105</v>
      </c>
      <c r="O193" s="265">
        <f>IF(ROW()=ROW(tblContractForDeed[#Headers])+1,$O$6,IF(INDEX(tblContractForDeed[End Bal],ROW()-ROW(tblContractForDeed[#Headers])-1)&lt;0,0,INDEX(tblContractForDeed[End Bal],ROW()-ROW(tblContractForDeed[#Headers])-1)))</f>
        <v>0</v>
      </c>
      <c r="P193" s="431">
        <f>IF(tblContractForDeed[[#This Row],[Date]]="","",IF(tblContractForDeed[[#This Row],[Date]]&lt;cfdRateChangeDate,cfdRate1,cfdRate2))</f>
        <v>0.03</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3" s="265">
        <f>IF(tblContractForDeed[[#This Row],[Payment]]=0,0,MAX(0,MIN(tblContractForDeed[[#This Row],[Beg]],tblContractForDeed[[#This Row],[Payment]]-tblContractForDeed[[#This Row],[Int]])))</f>
        <v>0</v>
      </c>
      <c r="S193" s="265">
        <f>IF(OR(tblContractForDeed[[#This Row],[Date]]&lt;cfdContractDate,tblContractForDeed[[#This Row],[Date]]&gt;cfdEndDate),0,ROUND(tblContractForDeed[[#This Row],[Beg]]*(tblContractForDeed[[#This Row],[Int Rate]]/12),2))</f>
        <v>0</v>
      </c>
      <c r="T193" s="265">
        <f>IF(tblContractForDeed[[#This Row],[Payment]]=0,0,$V$2)</f>
        <v>0</v>
      </c>
      <c r="U193" s="265">
        <f>IF(tblContractForDeed[[#This Row],[Princ]]=0,0,$V$3)</f>
        <v>0</v>
      </c>
      <c r="V193" s="265">
        <f>SUM(tblContractForDeed[[#This Row],[Princ]],tblContractForDeed[[#This Row],[Int]],tblContractForDeed[[#This Row],[Ins]],tblContractForDeed[[#This Row],[Taxes]])</f>
        <v>0</v>
      </c>
      <c r="W193" s="265">
        <f>SUM(INDEX(tblContractForDeed[Princ],1):INDEX(tblContractForDeed[Princ],ROW()-ROW(tblContractForDeed[#Headers])))</f>
        <v>146500</v>
      </c>
      <c r="X193" s="265">
        <f>IF(tblContractForDeed[[#This Row],[Beg]]&lt;=0,0,tblContractForDeed[[#This Row],[Beg]]-tblContractForDeed[[#This Row],[Princ]])</f>
        <v>0</v>
      </c>
      <c r="Y1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3" s="439">
        <f>IF(INDEX(tblContractForDeed[Payment],ROW()-ROW(tblBuyerOutputs[#Headers]))=0,0,INDEX(tblContractForDeed[Payment],ROW()-ROW(tblBuyerOutputs[#Headers]))-INDEX(tblSubjectToLoan[Payment],ROW()-ROW(tblBuyerOutputs[#Headers])))</f>
        <v>0</v>
      </c>
      <c r="AA193"/>
      <c r="AB193" s="14">
        <f>IF(INDEX(tblContractForDeed[Payment],ROW()-ROW(tblBuyerOutputs[#Headers]))=0,0,INDEX(tblContractForDeed[Payment],ROW()-ROW(tblBuyerOutputs[#Headers]))-INDEX(tblSubjectToLoan[Payment],ROW()-ROW(tblBuyerOutputs[#Headers])))-IFERROR(tblBuyerOutputs[[#This Row],[PMI]],0)</f>
        <v>0</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3" s="265">
        <f>IF(INDEX(tblContractForDeed[End Bal],ROW()-ROW(tblBuyerOutputs[#Headers]))&lt;=0,0,($O$6+IF(ROW()=ROW(tblBuyerOutputs[#Headers])+1,0,INDEX(tblBuyerOutputs[Cumul Appr],ROW()-ROW(tblBuyerOutputs[#Headers])-1)))*$O$2/12)</f>
        <v>0</v>
      </c>
      <c r="AE193" s="587">
        <f>IF(INDEX(tblContractForDeed[End Bal],ROW()-ROW(tblBuyerOutputs[#Headers]))&lt;=0,0,IF(ROW()=ROW(tblBuyerOutputs[#Headers])+1,0,INDEX(tblBuyerOutputs[Cumul Appr],ROW()-ROW(tblBuyerOutputs[#Headers])-1))+tblBuyerOutputs[[#This Row],[Monthly Appr]])</f>
        <v>0</v>
      </c>
      <c r="AF193" s="22"/>
      <c r="AG193" s="14"/>
      <c r="AM193"/>
      <c r="AN193" s="14"/>
      <c r="AP193" s="265"/>
      <c r="AR193" s="14"/>
      <c r="AS193"/>
    </row>
    <row r="194" spans="1:45" x14ac:dyDescent="0.25">
      <c r="A194" s="561">
        <f t="shared" si="32"/>
        <v>51136</v>
      </c>
      <c r="B194" s="265">
        <f t="shared" si="33"/>
        <v>0</v>
      </c>
      <c r="C194" s="14">
        <f t="shared" si="30"/>
        <v>0</v>
      </c>
      <c r="D194" s="14">
        <f t="shared" si="34"/>
        <v>0</v>
      </c>
      <c r="E194" s="14">
        <f t="shared" si="31"/>
        <v>0</v>
      </c>
      <c r="F194" s="14">
        <f t="shared" si="42"/>
        <v>0</v>
      </c>
      <c r="G194" s="14">
        <f t="shared" si="42"/>
        <v>0</v>
      </c>
      <c r="H194" s="14">
        <f t="shared" si="43"/>
        <v>0</v>
      </c>
      <c r="I194" s="265">
        <f t="shared" si="37"/>
        <v>0</v>
      </c>
      <c r="J194" s="265">
        <f t="shared" si="38"/>
        <v>0</v>
      </c>
      <c r="K194" s="265">
        <f t="shared" si="35"/>
        <v>0</v>
      </c>
      <c r="L194" s="373">
        <f t="shared" si="41"/>
        <v>14</v>
      </c>
      <c r="M194" s="373">
        <f t="shared" si="36"/>
        <v>174</v>
      </c>
      <c r="N194" s="561">
        <f>INDEX(tblSubjectToLoan[Date],ROW()-ROW(tblContractForDeed[#Headers]))</f>
        <v>51136</v>
      </c>
      <c r="O194" s="265">
        <f>IF(ROW()=ROW(tblContractForDeed[#Headers])+1,$O$6,IF(INDEX(tblContractForDeed[End Bal],ROW()-ROW(tblContractForDeed[#Headers])-1)&lt;0,0,INDEX(tblContractForDeed[End Bal],ROW()-ROW(tblContractForDeed[#Headers])-1)))</f>
        <v>0</v>
      </c>
      <c r="P194" s="431">
        <f>IF(tblContractForDeed[[#This Row],[Date]]="","",IF(tblContractForDeed[[#This Row],[Date]]&lt;cfdRateChangeDate,cfdRate1,cfdRate2))</f>
        <v>0.03</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4" s="265">
        <f>IF(tblContractForDeed[[#This Row],[Payment]]=0,0,MAX(0,MIN(tblContractForDeed[[#This Row],[Beg]],tblContractForDeed[[#This Row],[Payment]]-tblContractForDeed[[#This Row],[Int]])))</f>
        <v>0</v>
      </c>
      <c r="S194" s="265">
        <f>IF(OR(tblContractForDeed[[#This Row],[Date]]&lt;cfdContractDate,tblContractForDeed[[#This Row],[Date]]&gt;cfdEndDate),0,ROUND(tblContractForDeed[[#This Row],[Beg]]*(tblContractForDeed[[#This Row],[Int Rate]]/12),2))</f>
        <v>0</v>
      </c>
      <c r="T194" s="265">
        <f>IF(tblContractForDeed[[#This Row],[Payment]]=0,0,$V$2)</f>
        <v>0</v>
      </c>
      <c r="U194" s="265">
        <f>IF(tblContractForDeed[[#This Row],[Princ]]=0,0,$V$3)</f>
        <v>0</v>
      </c>
      <c r="V194" s="265">
        <f>SUM(tblContractForDeed[[#This Row],[Princ]],tblContractForDeed[[#This Row],[Int]],tblContractForDeed[[#This Row],[Ins]],tblContractForDeed[[#This Row],[Taxes]])</f>
        <v>0</v>
      </c>
      <c r="W194" s="265">
        <f>SUM(INDEX(tblContractForDeed[Princ],1):INDEX(tblContractForDeed[Princ],ROW()-ROW(tblContractForDeed[#Headers])))</f>
        <v>146500</v>
      </c>
      <c r="X194" s="265">
        <f>IF(tblContractForDeed[[#This Row],[Beg]]&lt;=0,0,tblContractForDeed[[#This Row],[Beg]]-tblContractForDeed[[#This Row],[Princ]])</f>
        <v>0</v>
      </c>
      <c r="Y1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4" s="439">
        <f>IF(INDEX(tblContractForDeed[Payment],ROW()-ROW(tblBuyerOutputs[#Headers]))=0,0,INDEX(tblContractForDeed[Payment],ROW()-ROW(tblBuyerOutputs[#Headers]))-INDEX(tblSubjectToLoan[Payment],ROW()-ROW(tblBuyerOutputs[#Headers])))</f>
        <v>0</v>
      </c>
      <c r="AA194"/>
      <c r="AB194" s="14">
        <f>IF(INDEX(tblContractForDeed[Payment],ROW()-ROW(tblBuyerOutputs[#Headers]))=0,0,INDEX(tblContractForDeed[Payment],ROW()-ROW(tblBuyerOutputs[#Headers]))-INDEX(tblSubjectToLoan[Payment],ROW()-ROW(tblBuyerOutputs[#Headers])))-IFERROR(tblBuyerOutputs[[#This Row],[PMI]],0)</f>
        <v>0</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4" s="265">
        <f>IF(INDEX(tblContractForDeed[End Bal],ROW()-ROW(tblBuyerOutputs[#Headers]))&lt;=0,0,($O$6+IF(ROW()=ROW(tblBuyerOutputs[#Headers])+1,0,INDEX(tblBuyerOutputs[Cumul Appr],ROW()-ROW(tblBuyerOutputs[#Headers])-1)))*$O$2/12)</f>
        <v>0</v>
      </c>
      <c r="AE194" s="587">
        <f>IF(INDEX(tblContractForDeed[End Bal],ROW()-ROW(tblBuyerOutputs[#Headers]))&lt;=0,0,IF(ROW()=ROW(tblBuyerOutputs[#Headers])+1,0,INDEX(tblBuyerOutputs[Cumul Appr],ROW()-ROW(tblBuyerOutputs[#Headers])-1))+tblBuyerOutputs[[#This Row],[Monthly Appr]])</f>
        <v>0</v>
      </c>
      <c r="AF194" s="22"/>
      <c r="AG194" s="14"/>
      <c r="AM194"/>
      <c r="AN194" s="14"/>
      <c r="AP194" s="265"/>
      <c r="AR194" s="14"/>
      <c r="AS194"/>
    </row>
    <row r="195" spans="1:45" x14ac:dyDescent="0.25">
      <c r="A195" s="561">
        <f t="shared" si="32"/>
        <v>51167</v>
      </c>
      <c r="B195" s="265">
        <f t="shared" si="33"/>
        <v>0</v>
      </c>
      <c r="C195" s="14">
        <f t="shared" si="30"/>
        <v>0</v>
      </c>
      <c r="D195" s="14">
        <f t="shared" si="34"/>
        <v>0</v>
      </c>
      <c r="E195" s="14">
        <f t="shared" si="31"/>
        <v>0</v>
      </c>
      <c r="F195" s="14">
        <f t="shared" si="42"/>
        <v>0</v>
      </c>
      <c r="G195" s="14">
        <f t="shared" si="42"/>
        <v>0</v>
      </c>
      <c r="H195" s="14">
        <f t="shared" si="43"/>
        <v>0</v>
      </c>
      <c r="I195" s="265">
        <f t="shared" si="37"/>
        <v>0</v>
      </c>
      <c r="J195" s="265">
        <f t="shared" si="38"/>
        <v>0</v>
      </c>
      <c r="K195" s="265">
        <f t="shared" si="35"/>
        <v>0</v>
      </c>
      <c r="L195" s="373">
        <f t="shared" si="41"/>
        <v>14</v>
      </c>
      <c r="M195" s="373">
        <f t="shared" si="36"/>
        <v>175</v>
      </c>
      <c r="N195" s="561">
        <f>INDEX(tblSubjectToLoan[Date],ROW()-ROW(tblContractForDeed[#Headers]))</f>
        <v>51167</v>
      </c>
      <c r="O195" s="265">
        <f>IF(ROW()=ROW(tblContractForDeed[#Headers])+1,$O$6,IF(INDEX(tblContractForDeed[End Bal],ROW()-ROW(tblContractForDeed[#Headers])-1)&lt;0,0,INDEX(tblContractForDeed[End Bal],ROW()-ROW(tblContractForDeed[#Headers])-1)))</f>
        <v>0</v>
      </c>
      <c r="P195" s="431">
        <f>IF(tblContractForDeed[[#This Row],[Date]]="","",IF(tblContractForDeed[[#This Row],[Date]]&lt;cfdRateChangeDate,cfdRate1,cfdRate2))</f>
        <v>0.03</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5" s="265">
        <f>IF(tblContractForDeed[[#This Row],[Payment]]=0,0,MAX(0,MIN(tblContractForDeed[[#This Row],[Beg]],tblContractForDeed[[#This Row],[Payment]]-tblContractForDeed[[#This Row],[Int]])))</f>
        <v>0</v>
      </c>
      <c r="S195" s="265">
        <f>IF(OR(tblContractForDeed[[#This Row],[Date]]&lt;cfdContractDate,tblContractForDeed[[#This Row],[Date]]&gt;cfdEndDate),0,ROUND(tblContractForDeed[[#This Row],[Beg]]*(tblContractForDeed[[#This Row],[Int Rate]]/12),2))</f>
        <v>0</v>
      </c>
      <c r="T195" s="265">
        <f>IF(tblContractForDeed[[#This Row],[Payment]]=0,0,$V$2)</f>
        <v>0</v>
      </c>
      <c r="U195" s="265">
        <f>IF(tblContractForDeed[[#This Row],[Princ]]=0,0,$V$3)</f>
        <v>0</v>
      </c>
      <c r="V195" s="265">
        <f>SUM(tblContractForDeed[[#This Row],[Princ]],tblContractForDeed[[#This Row],[Int]],tblContractForDeed[[#This Row],[Ins]],tblContractForDeed[[#This Row],[Taxes]])</f>
        <v>0</v>
      </c>
      <c r="W195" s="265">
        <f>SUM(INDEX(tblContractForDeed[Princ],1):INDEX(tblContractForDeed[Princ],ROW()-ROW(tblContractForDeed[#Headers])))</f>
        <v>146500</v>
      </c>
      <c r="X195" s="265">
        <f>IF(tblContractForDeed[[#This Row],[Beg]]&lt;=0,0,tblContractForDeed[[#This Row],[Beg]]-tblContractForDeed[[#This Row],[Princ]])</f>
        <v>0</v>
      </c>
      <c r="Y1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5" s="439">
        <f>IF(INDEX(tblContractForDeed[Payment],ROW()-ROW(tblBuyerOutputs[#Headers]))=0,0,INDEX(tblContractForDeed[Payment],ROW()-ROW(tblBuyerOutputs[#Headers]))-INDEX(tblSubjectToLoan[Payment],ROW()-ROW(tblBuyerOutputs[#Headers])))</f>
        <v>0</v>
      </c>
      <c r="AA195"/>
      <c r="AB195" s="14">
        <f>IF(INDEX(tblContractForDeed[Payment],ROW()-ROW(tblBuyerOutputs[#Headers]))=0,0,INDEX(tblContractForDeed[Payment],ROW()-ROW(tblBuyerOutputs[#Headers]))-INDEX(tblSubjectToLoan[Payment],ROW()-ROW(tblBuyerOutputs[#Headers])))-IFERROR(tblBuyerOutputs[[#This Row],[PMI]],0)</f>
        <v>0</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5" s="265">
        <f>IF(INDEX(tblContractForDeed[End Bal],ROW()-ROW(tblBuyerOutputs[#Headers]))&lt;=0,0,($O$6+IF(ROW()=ROW(tblBuyerOutputs[#Headers])+1,0,INDEX(tblBuyerOutputs[Cumul Appr],ROW()-ROW(tblBuyerOutputs[#Headers])-1)))*$O$2/12)</f>
        <v>0</v>
      </c>
      <c r="AE195" s="587">
        <f>IF(INDEX(tblContractForDeed[End Bal],ROW()-ROW(tblBuyerOutputs[#Headers]))&lt;=0,0,IF(ROW()=ROW(tblBuyerOutputs[#Headers])+1,0,INDEX(tblBuyerOutputs[Cumul Appr],ROW()-ROW(tblBuyerOutputs[#Headers])-1))+tblBuyerOutputs[[#This Row],[Monthly Appr]])</f>
        <v>0</v>
      </c>
      <c r="AF195" s="22"/>
      <c r="AG195" s="14"/>
      <c r="AM195"/>
      <c r="AN195" s="14"/>
      <c r="AP195" s="265"/>
      <c r="AR195" s="14"/>
      <c r="AS195"/>
    </row>
    <row r="196" spans="1:45" x14ac:dyDescent="0.25">
      <c r="A196" s="561">
        <f t="shared" si="32"/>
        <v>51196</v>
      </c>
      <c r="B196" s="265">
        <f t="shared" si="33"/>
        <v>0</v>
      </c>
      <c r="C196" s="14">
        <f t="shared" si="30"/>
        <v>0</v>
      </c>
      <c r="D196" s="14">
        <f t="shared" si="34"/>
        <v>0</v>
      </c>
      <c r="E196" s="14">
        <f t="shared" si="31"/>
        <v>0</v>
      </c>
      <c r="F196" s="14">
        <f t="shared" si="42"/>
        <v>0</v>
      </c>
      <c r="G196" s="14">
        <f t="shared" si="42"/>
        <v>0</v>
      </c>
      <c r="H196" s="14">
        <f t="shared" si="43"/>
        <v>0</v>
      </c>
      <c r="I196" s="265">
        <f t="shared" si="37"/>
        <v>0</v>
      </c>
      <c r="J196" s="265">
        <f t="shared" si="38"/>
        <v>0</v>
      </c>
      <c r="K196" s="265">
        <f t="shared" si="35"/>
        <v>0</v>
      </c>
      <c r="L196" s="373">
        <f t="shared" si="41"/>
        <v>14</v>
      </c>
      <c r="M196" s="373">
        <f t="shared" si="36"/>
        <v>176</v>
      </c>
      <c r="N196" s="561">
        <f>INDEX(tblSubjectToLoan[Date],ROW()-ROW(tblContractForDeed[#Headers]))</f>
        <v>51196</v>
      </c>
      <c r="O196" s="265">
        <f>IF(ROW()=ROW(tblContractForDeed[#Headers])+1,$O$6,IF(INDEX(tblContractForDeed[End Bal],ROW()-ROW(tblContractForDeed[#Headers])-1)&lt;0,0,INDEX(tblContractForDeed[End Bal],ROW()-ROW(tblContractForDeed[#Headers])-1)))</f>
        <v>0</v>
      </c>
      <c r="P196" s="431">
        <f>IF(tblContractForDeed[[#This Row],[Date]]="","",IF(tblContractForDeed[[#This Row],[Date]]&lt;cfdRateChangeDate,cfdRate1,cfdRate2))</f>
        <v>0.03</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6" s="265">
        <f>IF(tblContractForDeed[[#This Row],[Payment]]=0,0,MAX(0,MIN(tblContractForDeed[[#This Row],[Beg]],tblContractForDeed[[#This Row],[Payment]]-tblContractForDeed[[#This Row],[Int]])))</f>
        <v>0</v>
      </c>
      <c r="S196" s="265">
        <f>IF(OR(tblContractForDeed[[#This Row],[Date]]&lt;cfdContractDate,tblContractForDeed[[#This Row],[Date]]&gt;cfdEndDate),0,ROUND(tblContractForDeed[[#This Row],[Beg]]*(tblContractForDeed[[#This Row],[Int Rate]]/12),2))</f>
        <v>0</v>
      </c>
      <c r="T196" s="265">
        <f>IF(tblContractForDeed[[#This Row],[Payment]]=0,0,$V$2)</f>
        <v>0</v>
      </c>
      <c r="U196" s="265">
        <f>IF(tblContractForDeed[[#This Row],[Princ]]=0,0,$V$3)</f>
        <v>0</v>
      </c>
      <c r="V196" s="265">
        <f>SUM(tblContractForDeed[[#This Row],[Princ]],tblContractForDeed[[#This Row],[Int]],tblContractForDeed[[#This Row],[Ins]],tblContractForDeed[[#This Row],[Taxes]])</f>
        <v>0</v>
      </c>
      <c r="W196" s="265">
        <f>SUM(INDEX(tblContractForDeed[Princ],1):INDEX(tblContractForDeed[Princ],ROW()-ROW(tblContractForDeed[#Headers])))</f>
        <v>146500</v>
      </c>
      <c r="X196" s="265">
        <f>IF(tblContractForDeed[[#This Row],[Beg]]&lt;=0,0,tblContractForDeed[[#This Row],[Beg]]-tblContractForDeed[[#This Row],[Princ]])</f>
        <v>0</v>
      </c>
      <c r="Y1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6" s="439">
        <f>IF(INDEX(tblContractForDeed[Payment],ROW()-ROW(tblBuyerOutputs[#Headers]))=0,0,INDEX(tblContractForDeed[Payment],ROW()-ROW(tblBuyerOutputs[#Headers]))-INDEX(tblSubjectToLoan[Payment],ROW()-ROW(tblBuyerOutputs[#Headers])))</f>
        <v>0</v>
      </c>
      <c r="AA196"/>
      <c r="AB196" s="14">
        <f>IF(INDEX(tblContractForDeed[Payment],ROW()-ROW(tblBuyerOutputs[#Headers]))=0,0,INDEX(tblContractForDeed[Payment],ROW()-ROW(tblBuyerOutputs[#Headers]))-INDEX(tblSubjectToLoan[Payment],ROW()-ROW(tblBuyerOutputs[#Headers])))-IFERROR(tblBuyerOutputs[[#This Row],[PMI]],0)</f>
        <v>0</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6" s="265">
        <f>IF(INDEX(tblContractForDeed[End Bal],ROW()-ROW(tblBuyerOutputs[#Headers]))&lt;=0,0,($O$6+IF(ROW()=ROW(tblBuyerOutputs[#Headers])+1,0,INDEX(tblBuyerOutputs[Cumul Appr],ROW()-ROW(tblBuyerOutputs[#Headers])-1)))*$O$2/12)</f>
        <v>0</v>
      </c>
      <c r="AE196" s="587">
        <f>IF(INDEX(tblContractForDeed[End Bal],ROW()-ROW(tblBuyerOutputs[#Headers]))&lt;=0,0,IF(ROW()=ROW(tblBuyerOutputs[#Headers])+1,0,INDEX(tblBuyerOutputs[Cumul Appr],ROW()-ROW(tblBuyerOutputs[#Headers])-1))+tblBuyerOutputs[[#This Row],[Monthly Appr]])</f>
        <v>0</v>
      </c>
      <c r="AF196" s="22"/>
      <c r="AG196" s="14"/>
      <c r="AM196"/>
      <c r="AN196" s="14"/>
      <c r="AP196" s="265"/>
      <c r="AR196" s="14"/>
      <c r="AS196"/>
    </row>
    <row r="197" spans="1:45" x14ac:dyDescent="0.25">
      <c r="A197" s="561">
        <f t="shared" si="32"/>
        <v>51227</v>
      </c>
      <c r="B197" s="265">
        <f t="shared" si="33"/>
        <v>0</v>
      </c>
      <c r="C197" s="14">
        <f t="shared" si="30"/>
        <v>0</v>
      </c>
      <c r="D197" s="14">
        <f t="shared" si="34"/>
        <v>0</v>
      </c>
      <c r="E197" s="14">
        <f t="shared" si="31"/>
        <v>0</v>
      </c>
      <c r="F197" s="14">
        <f t="shared" si="42"/>
        <v>0</v>
      </c>
      <c r="G197" s="14">
        <f t="shared" si="42"/>
        <v>0</v>
      </c>
      <c r="H197" s="14">
        <f t="shared" si="43"/>
        <v>0</v>
      </c>
      <c r="I197" s="265">
        <f t="shared" si="37"/>
        <v>0</v>
      </c>
      <c r="J197" s="265">
        <f t="shared" si="38"/>
        <v>0</v>
      </c>
      <c r="K197" s="265">
        <f t="shared" si="35"/>
        <v>0</v>
      </c>
      <c r="L197" s="373">
        <f t="shared" si="41"/>
        <v>14</v>
      </c>
      <c r="M197" s="373">
        <f t="shared" si="36"/>
        <v>177</v>
      </c>
      <c r="N197" s="561">
        <f>INDEX(tblSubjectToLoan[Date],ROW()-ROW(tblContractForDeed[#Headers]))</f>
        <v>51227</v>
      </c>
      <c r="O197" s="265">
        <f>IF(ROW()=ROW(tblContractForDeed[#Headers])+1,$O$6,IF(INDEX(tblContractForDeed[End Bal],ROW()-ROW(tblContractForDeed[#Headers])-1)&lt;0,0,INDEX(tblContractForDeed[End Bal],ROW()-ROW(tblContractForDeed[#Headers])-1)))</f>
        <v>0</v>
      </c>
      <c r="P197" s="431">
        <f>IF(tblContractForDeed[[#This Row],[Date]]="","",IF(tblContractForDeed[[#This Row],[Date]]&lt;cfdRateChangeDate,cfdRate1,cfdRate2))</f>
        <v>0.03</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7" s="265">
        <f>IF(tblContractForDeed[[#This Row],[Payment]]=0,0,MAX(0,MIN(tblContractForDeed[[#This Row],[Beg]],tblContractForDeed[[#This Row],[Payment]]-tblContractForDeed[[#This Row],[Int]])))</f>
        <v>0</v>
      </c>
      <c r="S197" s="265">
        <f>IF(OR(tblContractForDeed[[#This Row],[Date]]&lt;cfdContractDate,tblContractForDeed[[#This Row],[Date]]&gt;cfdEndDate),0,ROUND(tblContractForDeed[[#This Row],[Beg]]*(tblContractForDeed[[#This Row],[Int Rate]]/12),2))</f>
        <v>0</v>
      </c>
      <c r="T197" s="265">
        <f>IF(tblContractForDeed[[#This Row],[Payment]]=0,0,$V$2)</f>
        <v>0</v>
      </c>
      <c r="U197" s="265">
        <f>IF(tblContractForDeed[[#This Row],[Princ]]=0,0,$V$3)</f>
        <v>0</v>
      </c>
      <c r="V197" s="265">
        <f>SUM(tblContractForDeed[[#This Row],[Princ]],tblContractForDeed[[#This Row],[Int]],tblContractForDeed[[#This Row],[Ins]],tblContractForDeed[[#This Row],[Taxes]])</f>
        <v>0</v>
      </c>
      <c r="W197" s="265">
        <f>SUM(INDEX(tblContractForDeed[Princ],1):INDEX(tblContractForDeed[Princ],ROW()-ROW(tblContractForDeed[#Headers])))</f>
        <v>146500</v>
      </c>
      <c r="X197" s="265">
        <f>IF(tblContractForDeed[[#This Row],[Beg]]&lt;=0,0,tblContractForDeed[[#This Row],[Beg]]-tblContractForDeed[[#This Row],[Princ]])</f>
        <v>0</v>
      </c>
      <c r="Y1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7" s="439">
        <f>IF(INDEX(tblContractForDeed[Payment],ROW()-ROW(tblBuyerOutputs[#Headers]))=0,0,INDEX(tblContractForDeed[Payment],ROW()-ROW(tblBuyerOutputs[#Headers]))-INDEX(tblSubjectToLoan[Payment],ROW()-ROW(tblBuyerOutputs[#Headers])))</f>
        <v>0</v>
      </c>
      <c r="AA197"/>
      <c r="AB197" s="14">
        <f>IF(INDEX(tblContractForDeed[Payment],ROW()-ROW(tblBuyerOutputs[#Headers]))=0,0,INDEX(tblContractForDeed[Payment],ROW()-ROW(tblBuyerOutputs[#Headers]))-INDEX(tblSubjectToLoan[Payment],ROW()-ROW(tblBuyerOutputs[#Headers])))-IFERROR(tblBuyerOutputs[[#This Row],[PMI]],0)</f>
        <v>0</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7" s="265">
        <f>IF(INDEX(tblContractForDeed[End Bal],ROW()-ROW(tblBuyerOutputs[#Headers]))&lt;=0,0,($O$6+IF(ROW()=ROW(tblBuyerOutputs[#Headers])+1,0,INDEX(tblBuyerOutputs[Cumul Appr],ROW()-ROW(tblBuyerOutputs[#Headers])-1)))*$O$2/12)</f>
        <v>0</v>
      </c>
      <c r="AE197" s="587">
        <f>IF(INDEX(tblContractForDeed[End Bal],ROW()-ROW(tblBuyerOutputs[#Headers]))&lt;=0,0,IF(ROW()=ROW(tblBuyerOutputs[#Headers])+1,0,INDEX(tblBuyerOutputs[Cumul Appr],ROW()-ROW(tblBuyerOutputs[#Headers])-1))+tblBuyerOutputs[[#This Row],[Monthly Appr]])</f>
        <v>0</v>
      </c>
      <c r="AF197" s="22"/>
      <c r="AG197" s="14"/>
      <c r="AM197"/>
      <c r="AN197" s="14"/>
      <c r="AP197" s="265"/>
      <c r="AR197" s="14"/>
      <c r="AS197"/>
    </row>
    <row r="198" spans="1:45" x14ac:dyDescent="0.25">
      <c r="A198" s="561">
        <f t="shared" si="32"/>
        <v>51257</v>
      </c>
      <c r="B198" s="265">
        <f t="shared" si="33"/>
        <v>0</v>
      </c>
      <c r="C198" s="14">
        <f t="shared" si="30"/>
        <v>0</v>
      </c>
      <c r="D198" s="14">
        <f t="shared" si="34"/>
        <v>0</v>
      </c>
      <c r="E198" s="14">
        <f t="shared" si="31"/>
        <v>0</v>
      </c>
      <c r="F198" s="14">
        <f t="shared" si="42"/>
        <v>0</v>
      </c>
      <c r="G198" s="14">
        <f t="shared" si="42"/>
        <v>0</v>
      </c>
      <c r="H198" s="14">
        <f t="shared" si="43"/>
        <v>0</v>
      </c>
      <c r="I198" s="265">
        <f t="shared" si="37"/>
        <v>0</v>
      </c>
      <c r="J198" s="265">
        <f t="shared" si="38"/>
        <v>0</v>
      </c>
      <c r="K198" s="265">
        <f t="shared" si="35"/>
        <v>0</v>
      </c>
      <c r="L198" s="373">
        <f t="shared" si="41"/>
        <v>14</v>
      </c>
      <c r="M198" s="373">
        <f t="shared" si="36"/>
        <v>178</v>
      </c>
      <c r="N198" s="561">
        <f>INDEX(tblSubjectToLoan[Date],ROW()-ROW(tblContractForDeed[#Headers]))</f>
        <v>51257</v>
      </c>
      <c r="O198" s="265">
        <f>IF(ROW()=ROW(tblContractForDeed[#Headers])+1,$O$6,IF(INDEX(tblContractForDeed[End Bal],ROW()-ROW(tblContractForDeed[#Headers])-1)&lt;0,0,INDEX(tblContractForDeed[End Bal],ROW()-ROW(tblContractForDeed[#Headers])-1)))</f>
        <v>0</v>
      </c>
      <c r="P198" s="431">
        <f>IF(tblContractForDeed[[#This Row],[Date]]="","",IF(tblContractForDeed[[#This Row],[Date]]&lt;cfdRateChangeDate,cfdRate1,cfdRate2))</f>
        <v>0.03</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8" s="265">
        <f>IF(tblContractForDeed[[#This Row],[Payment]]=0,0,MAX(0,MIN(tblContractForDeed[[#This Row],[Beg]],tblContractForDeed[[#This Row],[Payment]]-tblContractForDeed[[#This Row],[Int]])))</f>
        <v>0</v>
      </c>
      <c r="S198" s="265">
        <f>IF(OR(tblContractForDeed[[#This Row],[Date]]&lt;cfdContractDate,tblContractForDeed[[#This Row],[Date]]&gt;cfdEndDate),0,ROUND(tblContractForDeed[[#This Row],[Beg]]*(tblContractForDeed[[#This Row],[Int Rate]]/12),2))</f>
        <v>0</v>
      </c>
      <c r="T198" s="265">
        <f>IF(tblContractForDeed[[#This Row],[Payment]]=0,0,$V$2)</f>
        <v>0</v>
      </c>
      <c r="U198" s="265">
        <f>IF(tblContractForDeed[[#This Row],[Princ]]=0,0,$V$3)</f>
        <v>0</v>
      </c>
      <c r="V198" s="265">
        <f>SUM(tblContractForDeed[[#This Row],[Princ]],tblContractForDeed[[#This Row],[Int]],tblContractForDeed[[#This Row],[Ins]],tblContractForDeed[[#This Row],[Taxes]])</f>
        <v>0</v>
      </c>
      <c r="W198" s="265">
        <f>SUM(INDEX(tblContractForDeed[Princ],1):INDEX(tblContractForDeed[Princ],ROW()-ROW(tblContractForDeed[#Headers])))</f>
        <v>146500</v>
      </c>
      <c r="X198" s="265">
        <f>IF(tblContractForDeed[[#This Row],[Beg]]&lt;=0,0,tblContractForDeed[[#This Row],[Beg]]-tblContractForDeed[[#This Row],[Princ]])</f>
        <v>0</v>
      </c>
      <c r="Y1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8" s="439">
        <f>IF(INDEX(tblContractForDeed[Payment],ROW()-ROW(tblBuyerOutputs[#Headers]))=0,0,INDEX(tblContractForDeed[Payment],ROW()-ROW(tblBuyerOutputs[#Headers]))-INDEX(tblSubjectToLoan[Payment],ROW()-ROW(tblBuyerOutputs[#Headers])))</f>
        <v>0</v>
      </c>
      <c r="AA198"/>
      <c r="AB198" s="14">
        <f>IF(INDEX(tblContractForDeed[Payment],ROW()-ROW(tblBuyerOutputs[#Headers]))=0,0,INDEX(tblContractForDeed[Payment],ROW()-ROW(tblBuyerOutputs[#Headers]))-INDEX(tblSubjectToLoan[Payment],ROW()-ROW(tblBuyerOutputs[#Headers])))-IFERROR(tblBuyerOutputs[[#This Row],[PMI]],0)</f>
        <v>0</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8" s="265">
        <f>IF(INDEX(tblContractForDeed[End Bal],ROW()-ROW(tblBuyerOutputs[#Headers]))&lt;=0,0,($O$6+IF(ROW()=ROW(tblBuyerOutputs[#Headers])+1,0,INDEX(tblBuyerOutputs[Cumul Appr],ROW()-ROW(tblBuyerOutputs[#Headers])-1)))*$O$2/12)</f>
        <v>0</v>
      </c>
      <c r="AE198" s="587">
        <f>IF(INDEX(tblContractForDeed[End Bal],ROW()-ROW(tblBuyerOutputs[#Headers]))&lt;=0,0,IF(ROW()=ROW(tblBuyerOutputs[#Headers])+1,0,INDEX(tblBuyerOutputs[Cumul Appr],ROW()-ROW(tblBuyerOutputs[#Headers])-1))+tblBuyerOutputs[[#This Row],[Monthly Appr]])</f>
        <v>0</v>
      </c>
      <c r="AF198" s="22"/>
      <c r="AG198" s="14"/>
      <c r="AM198"/>
      <c r="AN198" s="14"/>
      <c r="AP198" s="265"/>
      <c r="AR198" s="14"/>
      <c r="AS198"/>
    </row>
    <row r="199" spans="1:45" ht="15.75" thickBot="1" x14ac:dyDescent="0.3">
      <c r="A199" s="562">
        <f t="shared" si="32"/>
        <v>51288</v>
      </c>
      <c r="B199" s="316">
        <f t="shared" si="33"/>
        <v>0</v>
      </c>
      <c r="C199" s="21">
        <f t="shared" si="30"/>
        <v>0</v>
      </c>
      <c r="D199" s="21">
        <f t="shared" si="34"/>
        <v>0</v>
      </c>
      <c r="E199" s="21">
        <f t="shared" si="31"/>
        <v>0</v>
      </c>
      <c r="F199" s="21">
        <f t="shared" si="42"/>
        <v>0</v>
      </c>
      <c r="G199" s="21">
        <f t="shared" si="42"/>
        <v>0</v>
      </c>
      <c r="H199" s="21">
        <f t="shared" si="43"/>
        <v>0</v>
      </c>
      <c r="I199" s="316">
        <f t="shared" si="37"/>
        <v>0</v>
      </c>
      <c r="J199" s="316">
        <f t="shared" si="38"/>
        <v>0</v>
      </c>
      <c r="K199" s="316">
        <f t="shared" si="35"/>
        <v>0</v>
      </c>
      <c r="L199" s="374">
        <f t="shared" si="41"/>
        <v>14</v>
      </c>
      <c r="M199" s="374">
        <f t="shared" si="36"/>
        <v>179</v>
      </c>
      <c r="N199" s="562">
        <f>INDEX(tblSubjectToLoan[Date],ROW()-ROW(tblContractForDeed[#Headers]))</f>
        <v>51288</v>
      </c>
      <c r="O199" s="316">
        <f>IF(ROW()=ROW(tblContractForDeed[#Headers])+1,$O$6,IF(INDEX(tblContractForDeed[End Bal],ROW()-ROW(tblContractForDeed[#Headers])-1)&lt;0,0,INDEX(tblContractForDeed[End Bal],ROW()-ROW(tblContractForDeed[#Headers])-1)))</f>
        <v>0</v>
      </c>
      <c r="P199" s="585">
        <f>IF(tblContractForDeed[[#This Row],[Date]]="","",IF(tblContractForDeed[[#This Row],[Date]]&lt;cfdRateChangeDate,cfdRate1,cfdRate2))</f>
        <v>0.03</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9" s="316">
        <f>IF(tblContractForDeed[[#This Row],[Payment]]=0,0,MAX(0,MIN(tblContractForDeed[[#This Row],[Beg]],tblContractForDeed[[#This Row],[Payment]]-tblContractForDeed[[#This Row],[Int]])))</f>
        <v>0</v>
      </c>
      <c r="S199" s="316">
        <f>IF(OR(tblContractForDeed[[#This Row],[Date]]&lt;cfdContractDate,tblContractForDeed[[#This Row],[Date]]&gt;cfdEndDate),0,ROUND(tblContractForDeed[[#This Row],[Beg]]*(tblContractForDeed[[#This Row],[Int Rate]]/12),2))</f>
        <v>0</v>
      </c>
      <c r="T199" s="316">
        <f>IF(tblContractForDeed[[#This Row],[Payment]]=0,0,$V$2)</f>
        <v>0</v>
      </c>
      <c r="U199" s="316">
        <f>IF(tblContractForDeed[[#This Row],[Princ]]=0,0,$V$3)</f>
        <v>0</v>
      </c>
      <c r="V199" s="316">
        <f>SUM(tblContractForDeed[[#This Row],[Princ]],tblContractForDeed[[#This Row],[Int]],tblContractForDeed[[#This Row],[Ins]],tblContractForDeed[[#This Row],[Taxes]])</f>
        <v>0</v>
      </c>
      <c r="W199" s="316">
        <f>SUM(INDEX(tblContractForDeed[Princ],1):INDEX(tblContractForDeed[Princ],ROW()-ROW(tblContractForDeed[#Headers])))</f>
        <v>146500</v>
      </c>
      <c r="X199" s="316">
        <f>IF(tblContractForDeed[[#This Row],[Beg]]&lt;=0,0,tblContractForDeed[[#This Row],[Beg]]-tblContractForDeed[[#This Row],[Princ]])</f>
        <v>0</v>
      </c>
      <c r="Y1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9" s="440">
        <f>IF(INDEX(tblContractForDeed[Payment],ROW()-ROW(tblBuyerOutputs[#Headers]))=0,0,INDEX(tblContractForDeed[Payment],ROW()-ROW(tblBuyerOutputs[#Headers]))-INDEX(tblSubjectToLoan[Payment],ROW()-ROW(tblBuyerOutputs[#Headers])))</f>
        <v>0</v>
      </c>
      <c r="AA199" s="23"/>
      <c r="AB199" s="21">
        <f>IF(INDEX(tblContractForDeed[Payment],ROW()-ROW(tblBuyerOutputs[#Headers]))=0,0,INDEX(tblContractForDeed[Payment],ROW()-ROW(tblBuyerOutputs[#Headers]))-INDEX(tblSubjectToLoan[Payment],ROW()-ROW(tblBuyerOutputs[#Headers])))-IFERROR(tblBuyerOutputs[[#This Row],[PMI]],0)</f>
        <v>0</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9" s="316">
        <f>IF(INDEX(tblContractForDeed[End Bal],ROW()-ROW(tblBuyerOutputs[#Headers]))&lt;=0,0,($O$6+IF(ROW()=ROW(tblBuyerOutputs[#Headers])+1,0,INDEX(tblBuyerOutputs[Cumul Appr],ROW()-ROW(tblBuyerOutputs[#Headers])-1)))*$O$2/12)</f>
        <v>0</v>
      </c>
      <c r="AE199" s="588">
        <f>IF(INDEX(tblContractForDeed[End Bal],ROW()-ROW(tblBuyerOutputs[#Headers]))&lt;=0,0,IF(ROW()=ROW(tblBuyerOutputs[#Headers])+1,0,INDEX(tblBuyerOutputs[Cumul Appr],ROW()-ROW(tblBuyerOutputs[#Headers])-1))+tblBuyerOutputs[[#This Row],[Monthly Appr]])</f>
        <v>0</v>
      </c>
      <c r="AF199" s="22"/>
      <c r="AG199" s="14"/>
      <c r="AM199"/>
      <c r="AN199" s="14"/>
      <c r="AP199" s="265"/>
      <c r="AR199" s="14"/>
      <c r="AS199"/>
    </row>
    <row r="200" spans="1:45" x14ac:dyDescent="0.25">
      <c r="A200" s="561">
        <f t="shared" si="32"/>
        <v>51318</v>
      </c>
      <c r="B200" s="265">
        <f t="shared" si="33"/>
        <v>0</v>
      </c>
      <c r="C200" s="14">
        <f t="shared" si="30"/>
        <v>0</v>
      </c>
      <c r="D200" s="14">
        <f t="shared" si="34"/>
        <v>0</v>
      </c>
      <c r="E200" s="14">
        <f t="shared" si="31"/>
        <v>0</v>
      </c>
      <c r="F200" s="14">
        <f t="shared" si="42"/>
        <v>0</v>
      </c>
      <c r="G200" s="14">
        <f t="shared" si="42"/>
        <v>0</v>
      </c>
      <c r="H200" s="14">
        <f t="shared" si="43"/>
        <v>0</v>
      </c>
      <c r="I200" s="265">
        <f t="shared" si="37"/>
        <v>0</v>
      </c>
      <c r="J200" s="265">
        <f t="shared" si="38"/>
        <v>0</v>
      </c>
      <c r="K200" s="265">
        <f t="shared" si="35"/>
        <v>0</v>
      </c>
      <c r="L200" s="373">
        <f t="shared" si="41"/>
        <v>15</v>
      </c>
      <c r="M200" s="373">
        <f t="shared" si="36"/>
        <v>180</v>
      </c>
      <c r="N200" s="561">
        <f>INDEX(tblSubjectToLoan[Date],ROW()-ROW(tblContractForDeed[#Headers]))</f>
        <v>51318</v>
      </c>
      <c r="O200" s="265">
        <f>IF(ROW()=ROW(tblContractForDeed[#Headers])+1,$O$6,IF(INDEX(tblContractForDeed[End Bal],ROW()-ROW(tblContractForDeed[#Headers])-1)&lt;0,0,INDEX(tblContractForDeed[End Bal],ROW()-ROW(tblContractForDeed[#Headers])-1)))</f>
        <v>0</v>
      </c>
      <c r="P200" s="431">
        <f>IF(tblContractForDeed[[#This Row],[Date]]="","",IF(tblContractForDeed[[#This Row],[Date]]&lt;cfdRateChangeDate,cfdRate1,cfdRate2))</f>
        <v>0.03</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0" s="265">
        <f>IF(tblContractForDeed[[#This Row],[Payment]]=0,0,MAX(0,MIN(tblContractForDeed[[#This Row],[Beg]],tblContractForDeed[[#This Row],[Payment]]-tblContractForDeed[[#This Row],[Int]])))</f>
        <v>0</v>
      </c>
      <c r="S200" s="265">
        <f>IF(OR(tblContractForDeed[[#This Row],[Date]]&lt;cfdContractDate,tblContractForDeed[[#This Row],[Date]]&gt;cfdEndDate),0,ROUND(tblContractForDeed[[#This Row],[Beg]]*(tblContractForDeed[[#This Row],[Int Rate]]/12),2))</f>
        <v>0</v>
      </c>
      <c r="T200" s="265">
        <f>IF(tblContractForDeed[[#This Row],[Payment]]=0,0,$V$2)</f>
        <v>0</v>
      </c>
      <c r="U200" s="265">
        <f>IF(tblContractForDeed[[#This Row],[Princ]]=0,0,$V$3)</f>
        <v>0</v>
      </c>
      <c r="V200" s="265">
        <f>SUM(tblContractForDeed[[#This Row],[Princ]],tblContractForDeed[[#This Row],[Int]],tblContractForDeed[[#This Row],[Ins]],tblContractForDeed[[#This Row],[Taxes]])</f>
        <v>0</v>
      </c>
      <c r="W200" s="265">
        <f>SUM(INDEX(tblContractForDeed[Princ],1):INDEX(tblContractForDeed[Princ],ROW()-ROW(tblContractForDeed[#Headers])))</f>
        <v>146500</v>
      </c>
      <c r="X200" s="265">
        <f>IF(tblContractForDeed[[#This Row],[Beg]]&lt;=0,0,tblContractForDeed[[#This Row],[Beg]]-tblContractForDeed[[#This Row],[Princ]])</f>
        <v>0</v>
      </c>
      <c r="Y2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0" s="439">
        <f>IF(INDEX(tblContractForDeed[Payment],ROW()-ROW(tblBuyerOutputs[#Headers]))=0,0,INDEX(tblContractForDeed[Payment],ROW()-ROW(tblBuyerOutputs[#Headers]))-INDEX(tblSubjectToLoan[Payment],ROW()-ROW(tblBuyerOutputs[#Headers])))</f>
        <v>0</v>
      </c>
      <c r="AA200"/>
      <c r="AB200" s="14">
        <f>IF(INDEX(tblContractForDeed[Payment],ROW()-ROW(tblBuyerOutputs[#Headers]))=0,0,INDEX(tblContractForDeed[Payment],ROW()-ROW(tblBuyerOutputs[#Headers]))-INDEX(tblSubjectToLoan[Payment],ROW()-ROW(tblBuyerOutputs[#Headers])))-IFERROR(tblBuyerOutputs[[#This Row],[PMI]],0)</f>
        <v>0</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0" s="265">
        <f>IF(INDEX(tblContractForDeed[End Bal],ROW()-ROW(tblBuyerOutputs[#Headers]))&lt;=0,0,($O$6+IF(ROW()=ROW(tblBuyerOutputs[#Headers])+1,0,INDEX(tblBuyerOutputs[Cumul Appr],ROW()-ROW(tblBuyerOutputs[#Headers])-1)))*$O$2/12)</f>
        <v>0</v>
      </c>
      <c r="AE200" s="587">
        <f>IF(INDEX(tblContractForDeed[End Bal],ROW()-ROW(tblBuyerOutputs[#Headers]))&lt;=0,0,IF(ROW()=ROW(tblBuyerOutputs[#Headers])+1,0,INDEX(tblBuyerOutputs[Cumul Appr],ROW()-ROW(tblBuyerOutputs[#Headers])-1))+tblBuyerOutputs[[#This Row],[Monthly Appr]])</f>
        <v>0</v>
      </c>
      <c r="AF200" s="22"/>
      <c r="AG200" s="14"/>
      <c r="AM200"/>
      <c r="AN200" s="14"/>
      <c r="AP200" s="265"/>
      <c r="AR200" s="14"/>
      <c r="AS200"/>
    </row>
    <row r="201" spans="1:45" x14ac:dyDescent="0.25">
      <c r="A201" s="561">
        <f t="shared" si="32"/>
        <v>51349</v>
      </c>
      <c r="B201" s="265">
        <f t="shared" si="33"/>
        <v>0</v>
      </c>
      <c r="C201" s="14">
        <f t="shared" si="30"/>
        <v>0</v>
      </c>
      <c r="D201" s="14">
        <f t="shared" si="34"/>
        <v>0</v>
      </c>
      <c r="E201" s="14">
        <f t="shared" si="31"/>
        <v>0</v>
      </c>
      <c r="F201" s="14">
        <f t="shared" si="42"/>
        <v>0</v>
      </c>
      <c r="G201" s="14">
        <f t="shared" si="42"/>
        <v>0</v>
      </c>
      <c r="H201" s="14">
        <f t="shared" si="43"/>
        <v>0</v>
      </c>
      <c r="I201" s="265">
        <f t="shared" si="37"/>
        <v>0</v>
      </c>
      <c r="J201" s="265">
        <f t="shared" si="38"/>
        <v>0</v>
      </c>
      <c r="K201" s="265">
        <f t="shared" si="35"/>
        <v>0</v>
      </c>
      <c r="L201" s="373">
        <f t="shared" si="41"/>
        <v>15</v>
      </c>
      <c r="M201" s="373">
        <f t="shared" si="36"/>
        <v>181</v>
      </c>
      <c r="N201" s="561">
        <f>INDEX(tblSubjectToLoan[Date],ROW()-ROW(tblContractForDeed[#Headers]))</f>
        <v>51349</v>
      </c>
      <c r="O201" s="265">
        <f>IF(ROW()=ROW(tblContractForDeed[#Headers])+1,$O$6,IF(INDEX(tblContractForDeed[End Bal],ROW()-ROW(tblContractForDeed[#Headers])-1)&lt;0,0,INDEX(tblContractForDeed[End Bal],ROW()-ROW(tblContractForDeed[#Headers])-1)))</f>
        <v>0</v>
      </c>
      <c r="P201" s="431">
        <f>IF(tblContractForDeed[[#This Row],[Date]]="","",IF(tblContractForDeed[[#This Row],[Date]]&lt;cfdRateChangeDate,cfdRate1,cfdRate2))</f>
        <v>0.03</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1" s="265">
        <f>IF(tblContractForDeed[[#This Row],[Payment]]=0,0,MAX(0,MIN(tblContractForDeed[[#This Row],[Beg]],tblContractForDeed[[#This Row],[Payment]]-tblContractForDeed[[#This Row],[Int]])))</f>
        <v>0</v>
      </c>
      <c r="S201" s="265">
        <f>IF(OR(tblContractForDeed[[#This Row],[Date]]&lt;cfdContractDate,tblContractForDeed[[#This Row],[Date]]&gt;cfdEndDate),0,ROUND(tblContractForDeed[[#This Row],[Beg]]*(tblContractForDeed[[#This Row],[Int Rate]]/12),2))</f>
        <v>0</v>
      </c>
      <c r="T201" s="265">
        <f>IF(tblContractForDeed[[#This Row],[Payment]]=0,0,$V$2)</f>
        <v>0</v>
      </c>
      <c r="U201" s="265">
        <f>IF(tblContractForDeed[[#This Row],[Princ]]=0,0,$V$3)</f>
        <v>0</v>
      </c>
      <c r="V201" s="265">
        <f>SUM(tblContractForDeed[[#This Row],[Princ]],tblContractForDeed[[#This Row],[Int]],tblContractForDeed[[#This Row],[Ins]],tblContractForDeed[[#This Row],[Taxes]])</f>
        <v>0</v>
      </c>
      <c r="W201" s="265">
        <f>SUM(INDEX(tblContractForDeed[Princ],1):INDEX(tblContractForDeed[Princ],ROW()-ROW(tblContractForDeed[#Headers])))</f>
        <v>146500</v>
      </c>
      <c r="X201" s="265">
        <f>IF(tblContractForDeed[[#This Row],[Beg]]&lt;=0,0,tblContractForDeed[[#This Row],[Beg]]-tblContractForDeed[[#This Row],[Princ]])</f>
        <v>0</v>
      </c>
      <c r="Y2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1" s="439">
        <f>IF(INDEX(tblContractForDeed[Payment],ROW()-ROW(tblBuyerOutputs[#Headers]))=0,0,INDEX(tblContractForDeed[Payment],ROW()-ROW(tblBuyerOutputs[#Headers]))-INDEX(tblSubjectToLoan[Payment],ROW()-ROW(tblBuyerOutputs[#Headers])))</f>
        <v>0</v>
      </c>
      <c r="AA201"/>
      <c r="AB201" s="14">
        <f>IF(INDEX(tblContractForDeed[Payment],ROW()-ROW(tblBuyerOutputs[#Headers]))=0,0,INDEX(tblContractForDeed[Payment],ROW()-ROW(tblBuyerOutputs[#Headers]))-INDEX(tblSubjectToLoan[Payment],ROW()-ROW(tblBuyerOutputs[#Headers])))-IFERROR(tblBuyerOutputs[[#This Row],[PMI]],0)</f>
        <v>0</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1" s="265">
        <f>IF(INDEX(tblContractForDeed[End Bal],ROW()-ROW(tblBuyerOutputs[#Headers]))&lt;=0,0,($O$6+IF(ROW()=ROW(tblBuyerOutputs[#Headers])+1,0,INDEX(tblBuyerOutputs[Cumul Appr],ROW()-ROW(tblBuyerOutputs[#Headers])-1)))*$O$2/12)</f>
        <v>0</v>
      </c>
      <c r="AE201" s="587">
        <f>IF(INDEX(tblContractForDeed[End Bal],ROW()-ROW(tblBuyerOutputs[#Headers]))&lt;=0,0,IF(ROW()=ROW(tblBuyerOutputs[#Headers])+1,0,INDEX(tblBuyerOutputs[Cumul Appr],ROW()-ROW(tblBuyerOutputs[#Headers])-1))+tblBuyerOutputs[[#This Row],[Monthly Appr]])</f>
        <v>0</v>
      </c>
      <c r="AF201" s="22"/>
      <c r="AG201" s="14"/>
      <c r="AM201"/>
      <c r="AN201" s="14"/>
      <c r="AP201" s="265"/>
      <c r="AR201" s="14"/>
      <c r="AS201"/>
    </row>
    <row r="202" spans="1:45" x14ac:dyDescent="0.25">
      <c r="A202" s="561">
        <f t="shared" si="32"/>
        <v>51380</v>
      </c>
      <c r="B202" s="265">
        <f t="shared" si="33"/>
        <v>0</v>
      </c>
      <c r="C202" s="14">
        <f t="shared" si="30"/>
        <v>0</v>
      </c>
      <c r="D202" s="14">
        <f t="shared" si="34"/>
        <v>0</v>
      </c>
      <c r="E202" s="14">
        <f t="shared" si="31"/>
        <v>0</v>
      </c>
      <c r="F202" s="14">
        <f t="shared" si="42"/>
        <v>0</v>
      </c>
      <c r="G202" s="14">
        <f t="shared" si="42"/>
        <v>0</v>
      </c>
      <c r="H202" s="14">
        <f t="shared" si="43"/>
        <v>0</v>
      </c>
      <c r="I202" s="265">
        <f t="shared" si="37"/>
        <v>0</v>
      </c>
      <c r="J202" s="265">
        <f t="shared" si="38"/>
        <v>0</v>
      </c>
      <c r="K202" s="265">
        <f t="shared" si="35"/>
        <v>0</v>
      </c>
      <c r="L202" s="373">
        <f t="shared" si="41"/>
        <v>15</v>
      </c>
      <c r="M202" s="373">
        <f t="shared" si="36"/>
        <v>182</v>
      </c>
      <c r="N202" s="561">
        <f>INDEX(tblSubjectToLoan[Date],ROW()-ROW(tblContractForDeed[#Headers]))</f>
        <v>51380</v>
      </c>
      <c r="O202" s="265">
        <f>IF(ROW()=ROW(tblContractForDeed[#Headers])+1,$O$6,IF(INDEX(tblContractForDeed[End Bal],ROW()-ROW(tblContractForDeed[#Headers])-1)&lt;0,0,INDEX(tblContractForDeed[End Bal],ROW()-ROW(tblContractForDeed[#Headers])-1)))</f>
        <v>0</v>
      </c>
      <c r="P202" s="431">
        <f>IF(tblContractForDeed[[#This Row],[Date]]="","",IF(tblContractForDeed[[#This Row],[Date]]&lt;cfdRateChangeDate,cfdRate1,cfdRate2))</f>
        <v>0.03</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2" s="265">
        <f>IF(tblContractForDeed[[#This Row],[Payment]]=0,0,MAX(0,MIN(tblContractForDeed[[#This Row],[Beg]],tblContractForDeed[[#This Row],[Payment]]-tblContractForDeed[[#This Row],[Int]])))</f>
        <v>0</v>
      </c>
      <c r="S202" s="265">
        <f>IF(OR(tblContractForDeed[[#This Row],[Date]]&lt;cfdContractDate,tblContractForDeed[[#This Row],[Date]]&gt;cfdEndDate),0,ROUND(tblContractForDeed[[#This Row],[Beg]]*(tblContractForDeed[[#This Row],[Int Rate]]/12),2))</f>
        <v>0</v>
      </c>
      <c r="T202" s="265">
        <f>IF(tblContractForDeed[[#This Row],[Payment]]=0,0,$V$2)</f>
        <v>0</v>
      </c>
      <c r="U202" s="265">
        <f>IF(tblContractForDeed[[#This Row],[Princ]]=0,0,$V$3)</f>
        <v>0</v>
      </c>
      <c r="V202" s="265">
        <f>SUM(tblContractForDeed[[#This Row],[Princ]],tblContractForDeed[[#This Row],[Int]],tblContractForDeed[[#This Row],[Ins]],tblContractForDeed[[#This Row],[Taxes]])</f>
        <v>0</v>
      </c>
      <c r="W202" s="265">
        <f>SUM(INDEX(tblContractForDeed[Princ],1):INDEX(tblContractForDeed[Princ],ROW()-ROW(tblContractForDeed[#Headers])))</f>
        <v>146500</v>
      </c>
      <c r="X202" s="265">
        <f>IF(tblContractForDeed[[#This Row],[Beg]]&lt;=0,0,tblContractForDeed[[#This Row],[Beg]]-tblContractForDeed[[#This Row],[Princ]])</f>
        <v>0</v>
      </c>
      <c r="Y2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2" s="439">
        <f>IF(INDEX(tblContractForDeed[Payment],ROW()-ROW(tblBuyerOutputs[#Headers]))=0,0,INDEX(tblContractForDeed[Payment],ROW()-ROW(tblBuyerOutputs[#Headers]))-INDEX(tblSubjectToLoan[Payment],ROW()-ROW(tblBuyerOutputs[#Headers])))</f>
        <v>0</v>
      </c>
      <c r="AA202"/>
      <c r="AB202" s="14">
        <f>IF(INDEX(tblContractForDeed[Payment],ROW()-ROW(tblBuyerOutputs[#Headers]))=0,0,INDEX(tblContractForDeed[Payment],ROW()-ROW(tblBuyerOutputs[#Headers]))-INDEX(tblSubjectToLoan[Payment],ROW()-ROW(tblBuyerOutputs[#Headers])))-IFERROR(tblBuyerOutputs[[#This Row],[PMI]],0)</f>
        <v>0</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2" s="265">
        <f>IF(INDEX(tblContractForDeed[End Bal],ROW()-ROW(tblBuyerOutputs[#Headers]))&lt;=0,0,($O$6+IF(ROW()=ROW(tblBuyerOutputs[#Headers])+1,0,INDEX(tblBuyerOutputs[Cumul Appr],ROW()-ROW(tblBuyerOutputs[#Headers])-1)))*$O$2/12)</f>
        <v>0</v>
      </c>
      <c r="AE202" s="587">
        <f>IF(INDEX(tblContractForDeed[End Bal],ROW()-ROW(tblBuyerOutputs[#Headers]))&lt;=0,0,IF(ROW()=ROW(tblBuyerOutputs[#Headers])+1,0,INDEX(tblBuyerOutputs[Cumul Appr],ROW()-ROW(tblBuyerOutputs[#Headers])-1))+tblBuyerOutputs[[#This Row],[Monthly Appr]])</f>
        <v>0</v>
      </c>
      <c r="AF202" s="22"/>
      <c r="AG202" s="14"/>
      <c r="AM202"/>
      <c r="AN202" s="14"/>
      <c r="AP202" s="265"/>
      <c r="AR202" s="14"/>
      <c r="AS202"/>
    </row>
    <row r="203" spans="1:45" x14ac:dyDescent="0.25">
      <c r="A203" s="561">
        <f t="shared" si="32"/>
        <v>51410</v>
      </c>
      <c r="B203" s="265">
        <f t="shared" si="33"/>
        <v>0</v>
      </c>
      <c r="C203" s="14">
        <f t="shared" si="30"/>
        <v>0</v>
      </c>
      <c r="D203" s="14">
        <f t="shared" si="34"/>
        <v>0</v>
      </c>
      <c r="E203" s="14">
        <f t="shared" si="31"/>
        <v>0</v>
      </c>
      <c r="F203" s="14">
        <f t="shared" si="42"/>
        <v>0</v>
      </c>
      <c r="G203" s="14">
        <f t="shared" si="42"/>
        <v>0</v>
      </c>
      <c r="H203" s="14">
        <f t="shared" si="43"/>
        <v>0</v>
      </c>
      <c r="I203" s="265">
        <f t="shared" si="37"/>
        <v>0</v>
      </c>
      <c r="J203" s="265">
        <f t="shared" si="38"/>
        <v>0</v>
      </c>
      <c r="K203" s="265">
        <f t="shared" si="35"/>
        <v>0</v>
      </c>
      <c r="L203" s="373">
        <f t="shared" si="41"/>
        <v>15</v>
      </c>
      <c r="M203" s="373">
        <f t="shared" si="36"/>
        <v>183</v>
      </c>
      <c r="N203" s="561">
        <f>INDEX(tblSubjectToLoan[Date],ROW()-ROW(tblContractForDeed[#Headers]))</f>
        <v>51410</v>
      </c>
      <c r="O203" s="265">
        <f>IF(ROW()=ROW(tblContractForDeed[#Headers])+1,$O$6,IF(INDEX(tblContractForDeed[End Bal],ROW()-ROW(tblContractForDeed[#Headers])-1)&lt;0,0,INDEX(tblContractForDeed[End Bal],ROW()-ROW(tblContractForDeed[#Headers])-1)))</f>
        <v>0</v>
      </c>
      <c r="P203" s="431">
        <f>IF(tblContractForDeed[[#This Row],[Date]]="","",IF(tblContractForDeed[[#This Row],[Date]]&lt;cfdRateChangeDate,cfdRate1,cfdRate2))</f>
        <v>0.03</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3" s="265">
        <f>IF(tblContractForDeed[[#This Row],[Payment]]=0,0,MAX(0,MIN(tblContractForDeed[[#This Row],[Beg]],tblContractForDeed[[#This Row],[Payment]]-tblContractForDeed[[#This Row],[Int]])))</f>
        <v>0</v>
      </c>
      <c r="S203" s="265">
        <f>IF(OR(tblContractForDeed[[#This Row],[Date]]&lt;cfdContractDate,tblContractForDeed[[#This Row],[Date]]&gt;cfdEndDate),0,ROUND(tblContractForDeed[[#This Row],[Beg]]*(tblContractForDeed[[#This Row],[Int Rate]]/12),2))</f>
        <v>0</v>
      </c>
      <c r="T203" s="265">
        <f>IF(tblContractForDeed[[#This Row],[Payment]]=0,0,$V$2)</f>
        <v>0</v>
      </c>
      <c r="U203" s="265">
        <f>IF(tblContractForDeed[[#This Row],[Princ]]=0,0,$V$3)</f>
        <v>0</v>
      </c>
      <c r="V203" s="265">
        <f>SUM(tblContractForDeed[[#This Row],[Princ]],tblContractForDeed[[#This Row],[Int]],tblContractForDeed[[#This Row],[Ins]],tblContractForDeed[[#This Row],[Taxes]])</f>
        <v>0</v>
      </c>
      <c r="W203" s="265">
        <f>SUM(INDEX(tblContractForDeed[Princ],1):INDEX(tblContractForDeed[Princ],ROW()-ROW(tblContractForDeed[#Headers])))</f>
        <v>146500</v>
      </c>
      <c r="X203" s="265">
        <f>IF(tblContractForDeed[[#This Row],[Beg]]&lt;=0,0,tblContractForDeed[[#This Row],[Beg]]-tblContractForDeed[[#This Row],[Princ]])</f>
        <v>0</v>
      </c>
      <c r="Y2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3" s="439">
        <f>IF(INDEX(tblContractForDeed[Payment],ROW()-ROW(tblBuyerOutputs[#Headers]))=0,0,INDEX(tblContractForDeed[Payment],ROW()-ROW(tblBuyerOutputs[#Headers]))-INDEX(tblSubjectToLoan[Payment],ROW()-ROW(tblBuyerOutputs[#Headers])))</f>
        <v>0</v>
      </c>
      <c r="AA203"/>
      <c r="AB203" s="14">
        <f>IF(INDEX(tblContractForDeed[Payment],ROW()-ROW(tblBuyerOutputs[#Headers]))=0,0,INDEX(tblContractForDeed[Payment],ROW()-ROW(tblBuyerOutputs[#Headers]))-INDEX(tblSubjectToLoan[Payment],ROW()-ROW(tblBuyerOutputs[#Headers])))-IFERROR(tblBuyerOutputs[[#This Row],[PMI]],0)</f>
        <v>0</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3" s="265">
        <f>IF(INDEX(tblContractForDeed[End Bal],ROW()-ROW(tblBuyerOutputs[#Headers]))&lt;=0,0,($O$6+IF(ROW()=ROW(tblBuyerOutputs[#Headers])+1,0,INDEX(tblBuyerOutputs[Cumul Appr],ROW()-ROW(tblBuyerOutputs[#Headers])-1)))*$O$2/12)</f>
        <v>0</v>
      </c>
      <c r="AE203" s="587">
        <f>IF(INDEX(tblContractForDeed[End Bal],ROW()-ROW(tblBuyerOutputs[#Headers]))&lt;=0,0,IF(ROW()=ROW(tblBuyerOutputs[#Headers])+1,0,INDEX(tblBuyerOutputs[Cumul Appr],ROW()-ROW(tblBuyerOutputs[#Headers])-1))+tblBuyerOutputs[[#This Row],[Monthly Appr]])</f>
        <v>0</v>
      </c>
      <c r="AF203" s="22"/>
      <c r="AG203" s="14"/>
      <c r="AM203"/>
      <c r="AN203" s="14"/>
      <c r="AP203" s="265"/>
      <c r="AR203" s="14"/>
      <c r="AS203"/>
    </row>
    <row r="204" spans="1:45" x14ac:dyDescent="0.25">
      <c r="A204" s="561">
        <f t="shared" si="32"/>
        <v>51441</v>
      </c>
      <c r="B204" s="265">
        <f t="shared" si="33"/>
        <v>0</v>
      </c>
      <c r="C204" s="14">
        <f t="shared" si="30"/>
        <v>0</v>
      </c>
      <c r="D204" s="14">
        <f t="shared" si="34"/>
        <v>0</v>
      </c>
      <c r="E204" s="14">
        <f t="shared" si="31"/>
        <v>0</v>
      </c>
      <c r="F204" s="14">
        <f t="shared" si="42"/>
        <v>0</v>
      </c>
      <c r="G204" s="14">
        <f t="shared" si="42"/>
        <v>0</v>
      </c>
      <c r="H204" s="14">
        <f t="shared" si="43"/>
        <v>0</v>
      </c>
      <c r="I204" s="265">
        <f t="shared" si="37"/>
        <v>0</v>
      </c>
      <c r="J204" s="265">
        <f t="shared" si="38"/>
        <v>0</v>
      </c>
      <c r="K204" s="265">
        <f t="shared" si="35"/>
        <v>0</v>
      </c>
      <c r="L204" s="373">
        <f t="shared" si="41"/>
        <v>15</v>
      </c>
      <c r="M204" s="373">
        <f t="shared" si="36"/>
        <v>184</v>
      </c>
      <c r="N204" s="561">
        <f>INDEX(tblSubjectToLoan[Date],ROW()-ROW(tblContractForDeed[#Headers]))</f>
        <v>51441</v>
      </c>
      <c r="O204" s="265">
        <f>IF(ROW()=ROW(tblContractForDeed[#Headers])+1,$O$6,IF(INDEX(tblContractForDeed[End Bal],ROW()-ROW(tblContractForDeed[#Headers])-1)&lt;0,0,INDEX(tblContractForDeed[End Bal],ROW()-ROW(tblContractForDeed[#Headers])-1)))</f>
        <v>0</v>
      </c>
      <c r="P204" s="431">
        <f>IF(tblContractForDeed[[#This Row],[Date]]="","",IF(tblContractForDeed[[#This Row],[Date]]&lt;cfdRateChangeDate,cfdRate1,cfdRate2))</f>
        <v>0.03</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4" s="265">
        <f>IF(tblContractForDeed[[#This Row],[Payment]]=0,0,MAX(0,MIN(tblContractForDeed[[#This Row],[Beg]],tblContractForDeed[[#This Row],[Payment]]-tblContractForDeed[[#This Row],[Int]])))</f>
        <v>0</v>
      </c>
      <c r="S204" s="265">
        <f>IF(OR(tblContractForDeed[[#This Row],[Date]]&lt;cfdContractDate,tblContractForDeed[[#This Row],[Date]]&gt;cfdEndDate),0,ROUND(tblContractForDeed[[#This Row],[Beg]]*(tblContractForDeed[[#This Row],[Int Rate]]/12),2))</f>
        <v>0</v>
      </c>
      <c r="T204" s="265">
        <f>IF(tblContractForDeed[[#This Row],[Payment]]=0,0,$V$2)</f>
        <v>0</v>
      </c>
      <c r="U204" s="265">
        <f>IF(tblContractForDeed[[#This Row],[Princ]]=0,0,$V$3)</f>
        <v>0</v>
      </c>
      <c r="V204" s="265">
        <f>SUM(tblContractForDeed[[#This Row],[Princ]],tblContractForDeed[[#This Row],[Int]],tblContractForDeed[[#This Row],[Ins]],tblContractForDeed[[#This Row],[Taxes]])</f>
        <v>0</v>
      </c>
      <c r="W204" s="265">
        <f>SUM(INDEX(tblContractForDeed[Princ],1):INDEX(tblContractForDeed[Princ],ROW()-ROW(tblContractForDeed[#Headers])))</f>
        <v>146500</v>
      </c>
      <c r="X204" s="265">
        <f>IF(tblContractForDeed[[#This Row],[Beg]]&lt;=0,0,tblContractForDeed[[#This Row],[Beg]]-tblContractForDeed[[#This Row],[Princ]])</f>
        <v>0</v>
      </c>
      <c r="Y2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4" s="439">
        <f>IF(INDEX(tblContractForDeed[Payment],ROW()-ROW(tblBuyerOutputs[#Headers]))=0,0,INDEX(tblContractForDeed[Payment],ROW()-ROW(tblBuyerOutputs[#Headers]))-INDEX(tblSubjectToLoan[Payment],ROW()-ROW(tblBuyerOutputs[#Headers])))</f>
        <v>0</v>
      </c>
      <c r="AA204"/>
      <c r="AB204" s="14">
        <f>IF(INDEX(tblContractForDeed[Payment],ROW()-ROW(tblBuyerOutputs[#Headers]))=0,0,INDEX(tblContractForDeed[Payment],ROW()-ROW(tblBuyerOutputs[#Headers]))-INDEX(tblSubjectToLoan[Payment],ROW()-ROW(tblBuyerOutputs[#Headers])))-IFERROR(tblBuyerOutputs[[#This Row],[PMI]],0)</f>
        <v>0</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4" s="265">
        <f>IF(INDEX(tblContractForDeed[End Bal],ROW()-ROW(tblBuyerOutputs[#Headers]))&lt;=0,0,($O$6+IF(ROW()=ROW(tblBuyerOutputs[#Headers])+1,0,INDEX(tblBuyerOutputs[Cumul Appr],ROW()-ROW(tblBuyerOutputs[#Headers])-1)))*$O$2/12)</f>
        <v>0</v>
      </c>
      <c r="AE204" s="587">
        <f>IF(INDEX(tblContractForDeed[End Bal],ROW()-ROW(tblBuyerOutputs[#Headers]))&lt;=0,0,IF(ROW()=ROW(tblBuyerOutputs[#Headers])+1,0,INDEX(tblBuyerOutputs[Cumul Appr],ROW()-ROW(tblBuyerOutputs[#Headers])-1))+tblBuyerOutputs[[#This Row],[Monthly Appr]])</f>
        <v>0</v>
      </c>
      <c r="AF204" s="22"/>
      <c r="AG204" s="14"/>
      <c r="AM204"/>
      <c r="AN204" s="14"/>
      <c r="AP204" s="265"/>
      <c r="AR204" s="14"/>
      <c r="AS204"/>
    </row>
    <row r="205" spans="1:45" x14ac:dyDescent="0.25">
      <c r="A205" s="561">
        <f t="shared" si="32"/>
        <v>51471</v>
      </c>
      <c r="B205" s="265">
        <f t="shared" si="33"/>
        <v>0</v>
      </c>
      <c r="C205" s="14">
        <f t="shared" si="30"/>
        <v>0</v>
      </c>
      <c r="D205" s="14">
        <f t="shared" si="34"/>
        <v>0</v>
      </c>
      <c r="E205" s="14">
        <f t="shared" si="31"/>
        <v>0</v>
      </c>
      <c r="F205" s="14">
        <f t="shared" si="42"/>
        <v>0</v>
      </c>
      <c r="G205" s="14">
        <f t="shared" si="42"/>
        <v>0</v>
      </c>
      <c r="H205" s="14">
        <f t="shared" si="43"/>
        <v>0</v>
      </c>
      <c r="I205" s="265">
        <f t="shared" si="37"/>
        <v>0</v>
      </c>
      <c r="J205" s="265">
        <f t="shared" si="38"/>
        <v>0</v>
      </c>
      <c r="K205" s="265">
        <f t="shared" si="35"/>
        <v>0</v>
      </c>
      <c r="L205" s="373">
        <f t="shared" si="41"/>
        <v>15</v>
      </c>
      <c r="M205" s="373">
        <f t="shared" si="36"/>
        <v>185</v>
      </c>
      <c r="N205" s="561">
        <f>INDEX(tblSubjectToLoan[Date],ROW()-ROW(tblContractForDeed[#Headers]))</f>
        <v>51471</v>
      </c>
      <c r="O205" s="265">
        <f>IF(ROW()=ROW(tblContractForDeed[#Headers])+1,$O$6,IF(INDEX(tblContractForDeed[End Bal],ROW()-ROW(tblContractForDeed[#Headers])-1)&lt;0,0,INDEX(tblContractForDeed[End Bal],ROW()-ROW(tblContractForDeed[#Headers])-1)))</f>
        <v>0</v>
      </c>
      <c r="P205" s="431">
        <f>IF(tblContractForDeed[[#This Row],[Date]]="","",IF(tblContractForDeed[[#This Row],[Date]]&lt;cfdRateChangeDate,cfdRate1,cfdRate2))</f>
        <v>0.03</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5" s="265">
        <f>IF(tblContractForDeed[[#This Row],[Payment]]=0,0,MAX(0,MIN(tblContractForDeed[[#This Row],[Beg]],tblContractForDeed[[#This Row],[Payment]]-tblContractForDeed[[#This Row],[Int]])))</f>
        <v>0</v>
      </c>
      <c r="S205" s="265">
        <f>IF(OR(tblContractForDeed[[#This Row],[Date]]&lt;cfdContractDate,tblContractForDeed[[#This Row],[Date]]&gt;cfdEndDate),0,ROUND(tblContractForDeed[[#This Row],[Beg]]*(tblContractForDeed[[#This Row],[Int Rate]]/12),2))</f>
        <v>0</v>
      </c>
      <c r="T205" s="265">
        <f>IF(tblContractForDeed[[#This Row],[Payment]]=0,0,$V$2)</f>
        <v>0</v>
      </c>
      <c r="U205" s="265">
        <f>IF(tblContractForDeed[[#This Row],[Princ]]=0,0,$V$3)</f>
        <v>0</v>
      </c>
      <c r="V205" s="265">
        <f>SUM(tblContractForDeed[[#This Row],[Princ]],tblContractForDeed[[#This Row],[Int]],tblContractForDeed[[#This Row],[Ins]],tblContractForDeed[[#This Row],[Taxes]])</f>
        <v>0</v>
      </c>
      <c r="W205" s="265">
        <f>SUM(INDEX(tblContractForDeed[Princ],1):INDEX(tblContractForDeed[Princ],ROW()-ROW(tblContractForDeed[#Headers])))</f>
        <v>146500</v>
      </c>
      <c r="X205" s="265">
        <f>IF(tblContractForDeed[[#This Row],[Beg]]&lt;=0,0,tblContractForDeed[[#This Row],[Beg]]-tblContractForDeed[[#This Row],[Princ]])</f>
        <v>0</v>
      </c>
      <c r="Y2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5" s="439">
        <f>IF(INDEX(tblContractForDeed[Payment],ROW()-ROW(tblBuyerOutputs[#Headers]))=0,0,INDEX(tblContractForDeed[Payment],ROW()-ROW(tblBuyerOutputs[#Headers]))-INDEX(tblSubjectToLoan[Payment],ROW()-ROW(tblBuyerOutputs[#Headers])))</f>
        <v>0</v>
      </c>
      <c r="AA205"/>
      <c r="AB205" s="14">
        <f>IF(INDEX(tblContractForDeed[Payment],ROW()-ROW(tblBuyerOutputs[#Headers]))=0,0,INDEX(tblContractForDeed[Payment],ROW()-ROW(tblBuyerOutputs[#Headers]))-INDEX(tblSubjectToLoan[Payment],ROW()-ROW(tblBuyerOutputs[#Headers])))-IFERROR(tblBuyerOutputs[[#This Row],[PMI]],0)</f>
        <v>0</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5" s="265">
        <f>IF(INDEX(tblContractForDeed[End Bal],ROW()-ROW(tblBuyerOutputs[#Headers]))&lt;=0,0,($O$6+IF(ROW()=ROW(tblBuyerOutputs[#Headers])+1,0,INDEX(tblBuyerOutputs[Cumul Appr],ROW()-ROW(tblBuyerOutputs[#Headers])-1)))*$O$2/12)</f>
        <v>0</v>
      </c>
      <c r="AE205" s="587">
        <f>IF(INDEX(tblContractForDeed[End Bal],ROW()-ROW(tblBuyerOutputs[#Headers]))&lt;=0,0,IF(ROW()=ROW(tblBuyerOutputs[#Headers])+1,0,INDEX(tblBuyerOutputs[Cumul Appr],ROW()-ROW(tblBuyerOutputs[#Headers])-1))+tblBuyerOutputs[[#This Row],[Monthly Appr]])</f>
        <v>0</v>
      </c>
      <c r="AF205" s="22"/>
      <c r="AG205" s="14"/>
      <c r="AM205"/>
      <c r="AN205" s="14"/>
      <c r="AP205" s="265"/>
      <c r="AR205" s="14"/>
      <c r="AS205"/>
    </row>
    <row r="206" spans="1:45" x14ac:dyDescent="0.25">
      <c r="A206" s="561">
        <f t="shared" si="32"/>
        <v>51502</v>
      </c>
      <c r="B206" s="265">
        <f t="shared" si="33"/>
        <v>0</v>
      </c>
      <c r="C206" s="14">
        <f t="shared" si="30"/>
        <v>0</v>
      </c>
      <c r="D206" s="14">
        <f t="shared" si="34"/>
        <v>0</v>
      </c>
      <c r="E206" s="14">
        <f t="shared" si="31"/>
        <v>0</v>
      </c>
      <c r="F206" s="14">
        <f t="shared" si="42"/>
        <v>0</v>
      </c>
      <c r="G206" s="14">
        <f t="shared" si="42"/>
        <v>0</v>
      </c>
      <c r="H206" s="14">
        <f t="shared" si="43"/>
        <v>0</v>
      </c>
      <c r="I206" s="265">
        <f t="shared" si="37"/>
        <v>0</v>
      </c>
      <c r="J206" s="265">
        <f t="shared" si="38"/>
        <v>0</v>
      </c>
      <c r="K206" s="265">
        <f t="shared" si="35"/>
        <v>0</v>
      </c>
      <c r="L206" s="373">
        <f t="shared" si="41"/>
        <v>15</v>
      </c>
      <c r="M206" s="373">
        <f t="shared" si="36"/>
        <v>186</v>
      </c>
      <c r="N206" s="561">
        <f>INDEX(tblSubjectToLoan[Date],ROW()-ROW(tblContractForDeed[#Headers]))</f>
        <v>51502</v>
      </c>
      <c r="O206" s="265">
        <f>IF(ROW()=ROW(tblContractForDeed[#Headers])+1,$O$6,IF(INDEX(tblContractForDeed[End Bal],ROW()-ROW(tblContractForDeed[#Headers])-1)&lt;0,0,INDEX(tblContractForDeed[End Bal],ROW()-ROW(tblContractForDeed[#Headers])-1)))</f>
        <v>0</v>
      </c>
      <c r="P206" s="431">
        <f>IF(tblContractForDeed[[#This Row],[Date]]="","",IF(tblContractForDeed[[#This Row],[Date]]&lt;cfdRateChangeDate,cfdRate1,cfdRate2))</f>
        <v>0.03</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6" s="265">
        <f>IF(tblContractForDeed[[#This Row],[Payment]]=0,0,MAX(0,MIN(tblContractForDeed[[#This Row],[Beg]],tblContractForDeed[[#This Row],[Payment]]-tblContractForDeed[[#This Row],[Int]])))</f>
        <v>0</v>
      </c>
      <c r="S206" s="265">
        <f>IF(OR(tblContractForDeed[[#This Row],[Date]]&lt;cfdContractDate,tblContractForDeed[[#This Row],[Date]]&gt;cfdEndDate),0,ROUND(tblContractForDeed[[#This Row],[Beg]]*(tblContractForDeed[[#This Row],[Int Rate]]/12),2))</f>
        <v>0</v>
      </c>
      <c r="T206" s="265">
        <f>IF(tblContractForDeed[[#This Row],[Payment]]=0,0,$V$2)</f>
        <v>0</v>
      </c>
      <c r="U206" s="265">
        <f>IF(tblContractForDeed[[#This Row],[Princ]]=0,0,$V$3)</f>
        <v>0</v>
      </c>
      <c r="V206" s="265">
        <f>SUM(tblContractForDeed[[#This Row],[Princ]],tblContractForDeed[[#This Row],[Int]],tblContractForDeed[[#This Row],[Ins]],tblContractForDeed[[#This Row],[Taxes]])</f>
        <v>0</v>
      </c>
      <c r="W206" s="265">
        <f>SUM(INDEX(tblContractForDeed[Princ],1):INDEX(tblContractForDeed[Princ],ROW()-ROW(tblContractForDeed[#Headers])))</f>
        <v>146500</v>
      </c>
      <c r="X206" s="265">
        <f>IF(tblContractForDeed[[#This Row],[Beg]]&lt;=0,0,tblContractForDeed[[#This Row],[Beg]]-tblContractForDeed[[#This Row],[Princ]])</f>
        <v>0</v>
      </c>
      <c r="Y2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6" s="439">
        <f>IF(INDEX(tblContractForDeed[Payment],ROW()-ROW(tblBuyerOutputs[#Headers]))=0,0,INDEX(tblContractForDeed[Payment],ROW()-ROW(tblBuyerOutputs[#Headers]))-INDEX(tblSubjectToLoan[Payment],ROW()-ROW(tblBuyerOutputs[#Headers])))</f>
        <v>0</v>
      </c>
      <c r="AA206"/>
      <c r="AB206" s="14">
        <f>IF(INDEX(tblContractForDeed[Payment],ROW()-ROW(tblBuyerOutputs[#Headers]))=0,0,INDEX(tblContractForDeed[Payment],ROW()-ROW(tblBuyerOutputs[#Headers]))-INDEX(tblSubjectToLoan[Payment],ROW()-ROW(tblBuyerOutputs[#Headers])))-IFERROR(tblBuyerOutputs[[#This Row],[PMI]],0)</f>
        <v>0</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6" s="265">
        <f>IF(INDEX(tblContractForDeed[End Bal],ROW()-ROW(tblBuyerOutputs[#Headers]))&lt;=0,0,($O$6+IF(ROW()=ROW(tblBuyerOutputs[#Headers])+1,0,INDEX(tblBuyerOutputs[Cumul Appr],ROW()-ROW(tblBuyerOutputs[#Headers])-1)))*$O$2/12)</f>
        <v>0</v>
      </c>
      <c r="AE206" s="587">
        <f>IF(INDEX(tblContractForDeed[End Bal],ROW()-ROW(tblBuyerOutputs[#Headers]))&lt;=0,0,IF(ROW()=ROW(tblBuyerOutputs[#Headers])+1,0,INDEX(tblBuyerOutputs[Cumul Appr],ROW()-ROW(tblBuyerOutputs[#Headers])-1))+tblBuyerOutputs[[#This Row],[Monthly Appr]])</f>
        <v>0</v>
      </c>
      <c r="AF206" s="22"/>
      <c r="AG206" s="14"/>
      <c r="AM206"/>
      <c r="AN206" s="14"/>
      <c r="AP206" s="265"/>
      <c r="AR206" s="14"/>
      <c r="AS206"/>
    </row>
    <row r="207" spans="1:45" x14ac:dyDescent="0.25">
      <c r="A207" s="561">
        <f t="shared" si="32"/>
        <v>51533</v>
      </c>
      <c r="B207" s="265">
        <f t="shared" si="33"/>
        <v>0</v>
      </c>
      <c r="C207" s="14">
        <f t="shared" si="30"/>
        <v>0</v>
      </c>
      <c r="D207" s="14">
        <f t="shared" si="34"/>
        <v>0</v>
      </c>
      <c r="E207" s="14">
        <f t="shared" si="31"/>
        <v>0</v>
      </c>
      <c r="F207" s="14">
        <f t="shared" ref="F207:G222" si="44">+F206</f>
        <v>0</v>
      </c>
      <c r="G207" s="14">
        <f t="shared" si="44"/>
        <v>0</v>
      </c>
      <c r="H207" s="14">
        <f t="shared" si="43"/>
        <v>0</v>
      </c>
      <c r="I207" s="265">
        <f t="shared" si="37"/>
        <v>0</v>
      </c>
      <c r="J207" s="265">
        <f t="shared" si="38"/>
        <v>0</v>
      </c>
      <c r="K207" s="265">
        <f t="shared" si="35"/>
        <v>0</v>
      </c>
      <c r="L207" s="373">
        <f t="shared" si="41"/>
        <v>15</v>
      </c>
      <c r="M207" s="373">
        <f t="shared" si="36"/>
        <v>187</v>
      </c>
      <c r="N207" s="561">
        <f>INDEX(tblSubjectToLoan[Date],ROW()-ROW(tblContractForDeed[#Headers]))</f>
        <v>51533</v>
      </c>
      <c r="O207" s="265">
        <f>IF(ROW()=ROW(tblContractForDeed[#Headers])+1,$O$6,IF(INDEX(tblContractForDeed[End Bal],ROW()-ROW(tblContractForDeed[#Headers])-1)&lt;0,0,INDEX(tblContractForDeed[End Bal],ROW()-ROW(tblContractForDeed[#Headers])-1)))</f>
        <v>0</v>
      </c>
      <c r="P207" s="431">
        <f>IF(tblContractForDeed[[#This Row],[Date]]="","",IF(tblContractForDeed[[#This Row],[Date]]&lt;cfdRateChangeDate,cfdRate1,cfdRate2))</f>
        <v>0.03</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7" s="265">
        <f>IF(tblContractForDeed[[#This Row],[Payment]]=0,0,MAX(0,MIN(tblContractForDeed[[#This Row],[Beg]],tblContractForDeed[[#This Row],[Payment]]-tblContractForDeed[[#This Row],[Int]])))</f>
        <v>0</v>
      </c>
      <c r="S207" s="265">
        <f>IF(OR(tblContractForDeed[[#This Row],[Date]]&lt;cfdContractDate,tblContractForDeed[[#This Row],[Date]]&gt;cfdEndDate),0,ROUND(tblContractForDeed[[#This Row],[Beg]]*(tblContractForDeed[[#This Row],[Int Rate]]/12),2))</f>
        <v>0</v>
      </c>
      <c r="T207" s="265">
        <f>IF(tblContractForDeed[[#This Row],[Payment]]=0,0,$V$2)</f>
        <v>0</v>
      </c>
      <c r="U207" s="265">
        <f>IF(tblContractForDeed[[#This Row],[Princ]]=0,0,$V$3)</f>
        <v>0</v>
      </c>
      <c r="V207" s="265">
        <f>SUM(tblContractForDeed[[#This Row],[Princ]],tblContractForDeed[[#This Row],[Int]],tblContractForDeed[[#This Row],[Ins]],tblContractForDeed[[#This Row],[Taxes]])</f>
        <v>0</v>
      </c>
      <c r="W207" s="265">
        <f>SUM(INDEX(tblContractForDeed[Princ],1):INDEX(tblContractForDeed[Princ],ROW()-ROW(tblContractForDeed[#Headers])))</f>
        <v>146500</v>
      </c>
      <c r="X207" s="265">
        <f>IF(tblContractForDeed[[#This Row],[Beg]]&lt;=0,0,tblContractForDeed[[#This Row],[Beg]]-tblContractForDeed[[#This Row],[Princ]])</f>
        <v>0</v>
      </c>
      <c r="Y2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7" s="439">
        <f>IF(INDEX(tblContractForDeed[Payment],ROW()-ROW(tblBuyerOutputs[#Headers]))=0,0,INDEX(tblContractForDeed[Payment],ROW()-ROW(tblBuyerOutputs[#Headers]))-INDEX(tblSubjectToLoan[Payment],ROW()-ROW(tblBuyerOutputs[#Headers])))</f>
        <v>0</v>
      </c>
      <c r="AA207"/>
      <c r="AB207" s="14">
        <f>IF(INDEX(tblContractForDeed[Payment],ROW()-ROW(tblBuyerOutputs[#Headers]))=0,0,INDEX(tblContractForDeed[Payment],ROW()-ROW(tblBuyerOutputs[#Headers]))-INDEX(tblSubjectToLoan[Payment],ROW()-ROW(tblBuyerOutputs[#Headers])))-IFERROR(tblBuyerOutputs[[#This Row],[PMI]],0)</f>
        <v>0</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7" s="265">
        <f>IF(INDEX(tblContractForDeed[End Bal],ROW()-ROW(tblBuyerOutputs[#Headers]))&lt;=0,0,($O$6+IF(ROW()=ROW(tblBuyerOutputs[#Headers])+1,0,INDEX(tblBuyerOutputs[Cumul Appr],ROW()-ROW(tblBuyerOutputs[#Headers])-1)))*$O$2/12)</f>
        <v>0</v>
      </c>
      <c r="AE207" s="587">
        <f>IF(INDEX(tblContractForDeed[End Bal],ROW()-ROW(tblBuyerOutputs[#Headers]))&lt;=0,0,IF(ROW()=ROW(tblBuyerOutputs[#Headers])+1,0,INDEX(tblBuyerOutputs[Cumul Appr],ROW()-ROW(tblBuyerOutputs[#Headers])-1))+tblBuyerOutputs[[#This Row],[Monthly Appr]])</f>
        <v>0</v>
      </c>
      <c r="AF207" s="22"/>
      <c r="AG207" s="14"/>
      <c r="AM207"/>
      <c r="AN207" s="14"/>
      <c r="AP207" s="265"/>
      <c r="AR207" s="14"/>
      <c r="AS207"/>
    </row>
    <row r="208" spans="1:45" x14ac:dyDescent="0.25">
      <c r="A208" s="561">
        <f t="shared" si="32"/>
        <v>51561</v>
      </c>
      <c r="B208" s="265">
        <f t="shared" si="33"/>
        <v>0</v>
      </c>
      <c r="C208" s="14">
        <f t="shared" si="30"/>
        <v>0</v>
      </c>
      <c r="D208" s="14">
        <f t="shared" si="34"/>
        <v>0</v>
      </c>
      <c r="E208" s="14">
        <f t="shared" si="31"/>
        <v>0</v>
      </c>
      <c r="F208" s="14">
        <f t="shared" si="44"/>
        <v>0</v>
      </c>
      <c r="G208" s="14">
        <f t="shared" si="44"/>
        <v>0</v>
      </c>
      <c r="H208" s="14">
        <f t="shared" si="43"/>
        <v>0</v>
      </c>
      <c r="I208" s="265">
        <f t="shared" si="37"/>
        <v>0</v>
      </c>
      <c r="J208" s="265">
        <f t="shared" si="38"/>
        <v>0</v>
      </c>
      <c r="K208" s="265">
        <f t="shared" si="35"/>
        <v>0</v>
      </c>
      <c r="L208" s="373">
        <f t="shared" si="41"/>
        <v>15</v>
      </c>
      <c r="M208" s="373">
        <f t="shared" si="36"/>
        <v>188</v>
      </c>
      <c r="N208" s="561">
        <f>INDEX(tblSubjectToLoan[Date],ROW()-ROW(tblContractForDeed[#Headers]))</f>
        <v>51561</v>
      </c>
      <c r="O208" s="265">
        <f>IF(ROW()=ROW(tblContractForDeed[#Headers])+1,$O$6,IF(INDEX(tblContractForDeed[End Bal],ROW()-ROW(tblContractForDeed[#Headers])-1)&lt;0,0,INDEX(tblContractForDeed[End Bal],ROW()-ROW(tblContractForDeed[#Headers])-1)))</f>
        <v>0</v>
      </c>
      <c r="P208" s="431">
        <f>IF(tblContractForDeed[[#This Row],[Date]]="","",IF(tblContractForDeed[[#This Row],[Date]]&lt;cfdRateChangeDate,cfdRate1,cfdRate2))</f>
        <v>0.03</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8" s="265">
        <f>IF(tblContractForDeed[[#This Row],[Payment]]=0,0,MAX(0,MIN(tblContractForDeed[[#This Row],[Beg]],tblContractForDeed[[#This Row],[Payment]]-tblContractForDeed[[#This Row],[Int]])))</f>
        <v>0</v>
      </c>
      <c r="S208" s="265">
        <f>IF(OR(tblContractForDeed[[#This Row],[Date]]&lt;cfdContractDate,tblContractForDeed[[#This Row],[Date]]&gt;cfdEndDate),0,ROUND(tblContractForDeed[[#This Row],[Beg]]*(tblContractForDeed[[#This Row],[Int Rate]]/12),2))</f>
        <v>0</v>
      </c>
      <c r="T208" s="265">
        <f>IF(tblContractForDeed[[#This Row],[Payment]]=0,0,$V$2)</f>
        <v>0</v>
      </c>
      <c r="U208" s="265">
        <f>IF(tblContractForDeed[[#This Row],[Princ]]=0,0,$V$3)</f>
        <v>0</v>
      </c>
      <c r="V208" s="265">
        <f>SUM(tblContractForDeed[[#This Row],[Princ]],tblContractForDeed[[#This Row],[Int]],tblContractForDeed[[#This Row],[Ins]],tblContractForDeed[[#This Row],[Taxes]])</f>
        <v>0</v>
      </c>
      <c r="W208" s="265">
        <f>SUM(INDEX(tblContractForDeed[Princ],1):INDEX(tblContractForDeed[Princ],ROW()-ROW(tblContractForDeed[#Headers])))</f>
        <v>146500</v>
      </c>
      <c r="X208" s="265">
        <f>IF(tblContractForDeed[[#This Row],[Beg]]&lt;=0,0,tblContractForDeed[[#This Row],[Beg]]-tblContractForDeed[[#This Row],[Princ]])</f>
        <v>0</v>
      </c>
      <c r="Y2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8" s="439">
        <f>IF(INDEX(tblContractForDeed[Payment],ROW()-ROW(tblBuyerOutputs[#Headers]))=0,0,INDEX(tblContractForDeed[Payment],ROW()-ROW(tblBuyerOutputs[#Headers]))-INDEX(tblSubjectToLoan[Payment],ROW()-ROW(tblBuyerOutputs[#Headers])))</f>
        <v>0</v>
      </c>
      <c r="AA208"/>
      <c r="AB208" s="14">
        <f>IF(INDEX(tblContractForDeed[Payment],ROW()-ROW(tblBuyerOutputs[#Headers]))=0,0,INDEX(tblContractForDeed[Payment],ROW()-ROW(tblBuyerOutputs[#Headers]))-INDEX(tblSubjectToLoan[Payment],ROW()-ROW(tblBuyerOutputs[#Headers])))-IFERROR(tblBuyerOutputs[[#This Row],[PMI]],0)</f>
        <v>0</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8" s="265">
        <f>IF(INDEX(tblContractForDeed[End Bal],ROW()-ROW(tblBuyerOutputs[#Headers]))&lt;=0,0,($O$6+IF(ROW()=ROW(tblBuyerOutputs[#Headers])+1,0,INDEX(tblBuyerOutputs[Cumul Appr],ROW()-ROW(tblBuyerOutputs[#Headers])-1)))*$O$2/12)</f>
        <v>0</v>
      </c>
      <c r="AE208" s="587">
        <f>IF(INDEX(tblContractForDeed[End Bal],ROW()-ROW(tblBuyerOutputs[#Headers]))&lt;=0,0,IF(ROW()=ROW(tblBuyerOutputs[#Headers])+1,0,INDEX(tblBuyerOutputs[Cumul Appr],ROW()-ROW(tblBuyerOutputs[#Headers])-1))+tblBuyerOutputs[[#This Row],[Monthly Appr]])</f>
        <v>0</v>
      </c>
      <c r="AF208" s="22"/>
      <c r="AG208" s="14"/>
      <c r="AM208"/>
      <c r="AN208" s="14"/>
      <c r="AP208" s="265"/>
      <c r="AR208" s="14"/>
      <c r="AS208"/>
    </row>
    <row r="209" spans="1:45" x14ac:dyDescent="0.25">
      <c r="A209" s="561">
        <f t="shared" si="32"/>
        <v>51592</v>
      </c>
      <c r="B209" s="265">
        <f t="shared" si="33"/>
        <v>0</v>
      </c>
      <c r="C209" s="14">
        <f t="shared" si="30"/>
        <v>0</v>
      </c>
      <c r="D209" s="14">
        <f t="shared" si="34"/>
        <v>0</v>
      </c>
      <c r="E209" s="14">
        <f t="shared" si="31"/>
        <v>0</v>
      </c>
      <c r="F209" s="14">
        <f t="shared" si="44"/>
        <v>0</v>
      </c>
      <c r="G209" s="14">
        <f t="shared" si="44"/>
        <v>0</v>
      </c>
      <c r="H209" s="14">
        <f t="shared" si="43"/>
        <v>0</v>
      </c>
      <c r="I209" s="265">
        <f t="shared" si="37"/>
        <v>0</v>
      </c>
      <c r="J209" s="265">
        <f t="shared" si="38"/>
        <v>0</v>
      </c>
      <c r="K209" s="265">
        <f t="shared" si="35"/>
        <v>0</v>
      </c>
      <c r="L209" s="373">
        <f t="shared" si="41"/>
        <v>15</v>
      </c>
      <c r="M209" s="373">
        <f t="shared" si="36"/>
        <v>189</v>
      </c>
      <c r="N209" s="561">
        <f>INDEX(tblSubjectToLoan[Date],ROW()-ROW(tblContractForDeed[#Headers]))</f>
        <v>51592</v>
      </c>
      <c r="O209" s="265">
        <f>IF(ROW()=ROW(tblContractForDeed[#Headers])+1,$O$6,IF(INDEX(tblContractForDeed[End Bal],ROW()-ROW(tblContractForDeed[#Headers])-1)&lt;0,0,INDEX(tblContractForDeed[End Bal],ROW()-ROW(tblContractForDeed[#Headers])-1)))</f>
        <v>0</v>
      </c>
      <c r="P209" s="431">
        <f>IF(tblContractForDeed[[#This Row],[Date]]="","",IF(tblContractForDeed[[#This Row],[Date]]&lt;cfdRateChangeDate,cfdRate1,cfdRate2))</f>
        <v>0.03</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9" s="265">
        <f>IF(tblContractForDeed[[#This Row],[Payment]]=0,0,MAX(0,MIN(tblContractForDeed[[#This Row],[Beg]],tblContractForDeed[[#This Row],[Payment]]-tblContractForDeed[[#This Row],[Int]])))</f>
        <v>0</v>
      </c>
      <c r="S209" s="265">
        <f>IF(OR(tblContractForDeed[[#This Row],[Date]]&lt;cfdContractDate,tblContractForDeed[[#This Row],[Date]]&gt;cfdEndDate),0,ROUND(tblContractForDeed[[#This Row],[Beg]]*(tblContractForDeed[[#This Row],[Int Rate]]/12),2))</f>
        <v>0</v>
      </c>
      <c r="T209" s="265">
        <f>IF(tblContractForDeed[[#This Row],[Payment]]=0,0,$V$2)</f>
        <v>0</v>
      </c>
      <c r="U209" s="265">
        <f>IF(tblContractForDeed[[#This Row],[Princ]]=0,0,$V$3)</f>
        <v>0</v>
      </c>
      <c r="V209" s="265">
        <f>SUM(tblContractForDeed[[#This Row],[Princ]],tblContractForDeed[[#This Row],[Int]],tblContractForDeed[[#This Row],[Ins]],tblContractForDeed[[#This Row],[Taxes]])</f>
        <v>0</v>
      </c>
      <c r="W209" s="265">
        <f>SUM(INDEX(tblContractForDeed[Princ],1):INDEX(tblContractForDeed[Princ],ROW()-ROW(tblContractForDeed[#Headers])))</f>
        <v>146500</v>
      </c>
      <c r="X209" s="265">
        <f>IF(tblContractForDeed[[#This Row],[Beg]]&lt;=0,0,tblContractForDeed[[#This Row],[Beg]]-tblContractForDeed[[#This Row],[Princ]])</f>
        <v>0</v>
      </c>
      <c r="Y2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9" s="439">
        <f>IF(INDEX(tblContractForDeed[Payment],ROW()-ROW(tblBuyerOutputs[#Headers]))=0,0,INDEX(tblContractForDeed[Payment],ROW()-ROW(tblBuyerOutputs[#Headers]))-INDEX(tblSubjectToLoan[Payment],ROW()-ROW(tblBuyerOutputs[#Headers])))</f>
        <v>0</v>
      </c>
      <c r="AA209"/>
      <c r="AB209" s="14">
        <f>IF(INDEX(tblContractForDeed[Payment],ROW()-ROW(tblBuyerOutputs[#Headers]))=0,0,INDEX(tblContractForDeed[Payment],ROW()-ROW(tblBuyerOutputs[#Headers]))-INDEX(tblSubjectToLoan[Payment],ROW()-ROW(tblBuyerOutputs[#Headers])))-IFERROR(tblBuyerOutputs[[#This Row],[PMI]],0)</f>
        <v>0</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9" s="265">
        <f>IF(INDEX(tblContractForDeed[End Bal],ROW()-ROW(tblBuyerOutputs[#Headers]))&lt;=0,0,($O$6+IF(ROW()=ROW(tblBuyerOutputs[#Headers])+1,0,INDEX(tblBuyerOutputs[Cumul Appr],ROW()-ROW(tblBuyerOutputs[#Headers])-1)))*$O$2/12)</f>
        <v>0</v>
      </c>
      <c r="AE209" s="587">
        <f>IF(INDEX(tblContractForDeed[End Bal],ROW()-ROW(tblBuyerOutputs[#Headers]))&lt;=0,0,IF(ROW()=ROW(tblBuyerOutputs[#Headers])+1,0,INDEX(tblBuyerOutputs[Cumul Appr],ROW()-ROW(tblBuyerOutputs[#Headers])-1))+tblBuyerOutputs[[#This Row],[Monthly Appr]])</f>
        <v>0</v>
      </c>
      <c r="AF209" s="22"/>
      <c r="AG209" s="14"/>
      <c r="AM209"/>
      <c r="AN209" s="14"/>
      <c r="AP209" s="265"/>
      <c r="AR209" s="14"/>
      <c r="AS209"/>
    </row>
    <row r="210" spans="1:45" x14ac:dyDescent="0.25">
      <c r="A210" s="561">
        <f t="shared" si="32"/>
        <v>51622</v>
      </c>
      <c r="B210" s="265">
        <f t="shared" si="33"/>
        <v>0</v>
      </c>
      <c r="C210" s="14">
        <f t="shared" si="30"/>
        <v>0</v>
      </c>
      <c r="D210" s="14">
        <f t="shared" si="34"/>
        <v>0</v>
      </c>
      <c r="E210" s="14">
        <f t="shared" si="31"/>
        <v>0</v>
      </c>
      <c r="F210" s="14">
        <f t="shared" si="44"/>
        <v>0</v>
      </c>
      <c r="G210" s="14">
        <f t="shared" si="44"/>
        <v>0</v>
      </c>
      <c r="H210" s="14">
        <f t="shared" si="43"/>
        <v>0</v>
      </c>
      <c r="I210" s="265">
        <f t="shared" si="37"/>
        <v>0</v>
      </c>
      <c r="J210" s="265">
        <f t="shared" si="38"/>
        <v>0</v>
      </c>
      <c r="K210" s="265">
        <f t="shared" si="35"/>
        <v>0</v>
      </c>
      <c r="L210" s="373">
        <f t="shared" si="41"/>
        <v>15</v>
      </c>
      <c r="M210" s="373">
        <f t="shared" si="36"/>
        <v>190</v>
      </c>
      <c r="N210" s="561">
        <f>INDEX(tblSubjectToLoan[Date],ROW()-ROW(tblContractForDeed[#Headers]))</f>
        <v>51622</v>
      </c>
      <c r="O210" s="265">
        <f>IF(ROW()=ROW(tblContractForDeed[#Headers])+1,$O$6,IF(INDEX(tblContractForDeed[End Bal],ROW()-ROW(tblContractForDeed[#Headers])-1)&lt;0,0,INDEX(tblContractForDeed[End Bal],ROW()-ROW(tblContractForDeed[#Headers])-1)))</f>
        <v>0</v>
      </c>
      <c r="P210" s="431">
        <f>IF(tblContractForDeed[[#This Row],[Date]]="","",IF(tblContractForDeed[[#This Row],[Date]]&lt;cfdRateChangeDate,cfdRate1,cfdRate2))</f>
        <v>0.03</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0" s="265">
        <f>IF(tblContractForDeed[[#This Row],[Payment]]=0,0,MAX(0,MIN(tblContractForDeed[[#This Row],[Beg]],tblContractForDeed[[#This Row],[Payment]]-tblContractForDeed[[#This Row],[Int]])))</f>
        <v>0</v>
      </c>
      <c r="S210" s="265">
        <f>IF(OR(tblContractForDeed[[#This Row],[Date]]&lt;cfdContractDate,tblContractForDeed[[#This Row],[Date]]&gt;cfdEndDate),0,ROUND(tblContractForDeed[[#This Row],[Beg]]*(tblContractForDeed[[#This Row],[Int Rate]]/12),2))</f>
        <v>0</v>
      </c>
      <c r="T210" s="265">
        <f>IF(tblContractForDeed[[#This Row],[Payment]]=0,0,$V$2)</f>
        <v>0</v>
      </c>
      <c r="U210" s="265">
        <f>IF(tblContractForDeed[[#This Row],[Princ]]=0,0,$V$3)</f>
        <v>0</v>
      </c>
      <c r="V210" s="265">
        <f>SUM(tblContractForDeed[[#This Row],[Princ]],tblContractForDeed[[#This Row],[Int]],tblContractForDeed[[#This Row],[Ins]],tblContractForDeed[[#This Row],[Taxes]])</f>
        <v>0</v>
      </c>
      <c r="W210" s="265">
        <f>SUM(INDEX(tblContractForDeed[Princ],1):INDEX(tblContractForDeed[Princ],ROW()-ROW(tblContractForDeed[#Headers])))</f>
        <v>146500</v>
      </c>
      <c r="X210" s="265">
        <f>IF(tblContractForDeed[[#This Row],[Beg]]&lt;=0,0,tblContractForDeed[[#This Row],[Beg]]-tblContractForDeed[[#This Row],[Princ]])</f>
        <v>0</v>
      </c>
      <c r="Y2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0" s="439">
        <f>IF(INDEX(tblContractForDeed[Payment],ROW()-ROW(tblBuyerOutputs[#Headers]))=0,0,INDEX(tblContractForDeed[Payment],ROW()-ROW(tblBuyerOutputs[#Headers]))-INDEX(tblSubjectToLoan[Payment],ROW()-ROW(tblBuyerOutputs[#Headers])))</f>
        <v>0</v>
      </c>
      <c r="AA210"/>
      <c r="AB210" s="14">
        <f>IF(INDEX(tblContractForDeed[Payment],ROW()-ROW(tblBuyerOutputs[#Headers]))=0,0,INDEX(tblContractForDeed[Payment],ROW()-ROW(tblBuyerOutputs[#Headers]))-INDEX(tblSubjectToLoan[Payment],ROW()-ROW(tblBuyerOutputs[#Headers])))-IFERROR(tblBuyerOutputs[[#This Row],[PMI]],0)</f>
        <v>0</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0" s="265">
        <f>IF(INDEX(tblContractForDeed[End Bal],ROW()-ROW(tblBuyerOutputs[#Headers]))&lt;=0,0,($O$6+IF(ROW()=ROW(tblBuyerOutputs[#Headers])+1,0,INDEX(tblBuyerOutputs[Cumul Appr],ROW()-ROW(tblBuyerOutputs[#Headers])-1)))*$O$2/12)</f>
        <v>0</v>
      </c>
      <c r="AE210" s="587">
        <f>IF(INDEX(tblContractForDeed[End Bal],ROW()-ROW(tblBuyerOutputs[#Headers]))&lt;=0,0,IF(ROW()=ROW(tblBuyerOutputs[#Headers])+1,0,INDEX(tblBuyerOutputs[Cumul Appr],ROW()-ROW(tblBuyerOutputs[#Headers])-1))+tblBuyerOutputs[[#This Row],[Monthly Appr]])</f>
        <v>0</v>
      </c>
      <c r="AF210" s="22"/>
      <c r="AG210" s="14"/>
      <c r="AM210"/>
      <c r="AN210" s="14"/>
      <c r="AP210" s="265"/>
      <c r="AR210" s="14"/>
      <c r="AS210"/>
    </row>
    <row r="211" spans="1:45" ht="15.75" thickBot="1" x14ac:dyDescent="0.3">
      <c r="A211" s="562">
        <f t="shared" si="32"/>
        <v>51653</v>
      </c>
      <c r="B211" s="316">
        <f t="shared" si="33"/>
        <v>0</v>
      </c>
      <c r="C211" s="21">
        <f t="shared" si="30"/>
        <v>0</v>
      </c>
      <c r="D211" s="21">
        <f t="shared" si="34"/>
        <v>0</v>
      </c>
      <c r="E211" s="21">
        <f t="shared" si="31"/>
        <v>0</v>
      </c>
      <c r="F211" s="21">
        <f t="shared" si="44"/>
        <v>0</v>
      </c>
      <c r="G211" s="21">
        <f t="shared" si="44"/>
        <v>0</v>
      </c>
      <c r="H211" s="21">
        <f t="shared" si="43"/>
        <v>0</v>
      </c>
      <c r="I211" s="316">
        <f t="shared" si="37"/>
        <v>0</v>
      </c>
      <c r="J211" s="316">
        <f t="shared" si="38"/>
        <v>0</v>
      </c>
      <c r="K211" s="316">
        <f t="shared" si="35"/>
        <v>0</v>
      </c>
      <c r="L211" s="374">
        <f t="shared" si="41"/>
        <v>15</v>
      </c>
      <c r="M211" s="374">
        <f t="shared" si="36"/>
        <v>191</v>
      </c>
      <c r="N211" s="562">
        <f>INDEX(tblSubjectToLoan[Date],ROW()-ROW(tblContractForDeed[#Headers]))</f>
        <v>51653</v>
      </c>
      <c r="O211" s="316">
        <f>IF(ROW()=ROW(tblContractForDeed[#Headers])+1,$O$6,IF(INDEX(tblContractForDeed[End Bal],ROW()-ROW(tblContractForDeed[#Headers])-1)&lt;0,0,INDEX(tblContractForDeed[End Bal],ROW()-ROW(tblContractForDeed[#Headers])-1)))</f>
        <v>0</v>
      </c>
      <c r="P211" s="585">
        <f>IF(tblContractForDeed[[#This Row],[Date]]="","",IF(tblContractForDeed[[#This Row],[Date]]&lt;cfdRateChangeDate,cfdRate1,cfdRate2))</f>
        <v>0.03</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16">
        <f>IF(tblContractForDeed[[#This Row],[Payment]]=0,0,MAX(0,MIN(tblContractForDeed[[#This Row],[Beg]],tblContractForDeed[[#This Row],[Payment]]-tblContractForDeed[[#This Row],[Int]])))</f>
        <v>0</v>
      </c>
      <c r="S211" s="316">
        <f>IF(OR(tblContractForDeed[[#This Row],[Date]]&lt;cfdContractDate,tblContractForDeed[[#This Row],[Date]]&gt;cfdEndDate),0,ROUND(tblContractForDeed[[#This Row],[Beg]]*(tblContractForDeed[[#This Row],[Int Rate]]/12),2))</f>
        <v>0</v>
      </c>
      <c r="T211" s="316">
        <f>IF(tblContractForDeed[[#This Row],[Payment]]=0,0,$V$2)</f>
        <v>0</v>
      </c>
      <c r="U211" s="316">
        <f>IF(tblContractForDeed[[#This Row],[Princ]]=0,0,$V$3)</f>
        <v>0</v>
      </c>
      <c r="V211" s="316">
        <f>SUM(tblContractForDeed[[#This Row],[Princ]],tblContractForDeed[[#This Row],[Int]],tblContractForDeed[[#This Row],[Ins]],tblContractForDeed[[#This Row],[Taxes]])</f>
        <v>0</v>
      </c>
      <c r="W211" s="316">
        <f>SUM(INDEX(tblContractForDeed[Princ],1):INDEX(tblContractForDeed[Princ],ROW()-ROW(tblContractForDeed[#Headers])))</f>
        <v>146500</v>
      </c>
      <c r="X211" s="316">
        <f>IF(tblContractForDeed[[#This Row],[Beg]]&lt;=0,0,tblContractForDeed[[#This Row],[Beg]]-tblContractForDeed[[#This Row],[Princ]])</f>
        <v>0</v>
      </c>
      <c r="Y2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0">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1" s="316">
        <f>IF(INDEX(tblContractForDeed[End Bal],ROW()-ROW(tblBuyerOutputs[#Headers]))&lt;=0,0,($O$6+IF(ROW()=ROW(tblBuyerOutputs[#Headers])+1,0,INDEX(tblBuyerOutputs[Cumul Appr],ROW()-ROW(tblBuyerOutputs[#Headers])-1)))*$O$2/12)</f>
        <v>0</v>
      </c>
      <c r="AE211" s="588">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61">
        <f t="shared" si="32"/>
        <v>51683</v>
      </c>
      <c r="B212" s="265">
        <f t="shared" si="33"/>
        <v>0</v>
      </c>
      <c r="C212" s="14">
        <f t="shared" ref="C212:C275" si="45">IF(A212="",0,IF(B212&lt;=0,0,IF(A212=subjectMortgageEndDate,B212+E212,MIN(subjectPayment,B212+E212))))</f>
        <v>0</v>
      </c>
      <c r="D212" s="14">
        <f t="shared" si="34"/>
        <v>0</v>
      </c>
      <c r="E212" s="14">
        <f t="shared" ref="E212:E275" si="46">IF(OR(A212="",B212&lt;=0),0,ROUND(B212*(subjectInterestRate/12),2))</f>
        <v>0</v>
      </c>
      <c r="F212" s="14">
        <f t="shared" si="44"/>
        <v>0</v>
      </c>
      <c r="G212" s="14">
        <f t="shared" si="44"/>
        <v>0</v>
      </c>
      <c r="H212" s="14">
        <f t="shared" si="43"/>
        <v>0</v>
      </c>
      <c r="I212" s="265">
        <f t="shared" si="37"/>
        <v>0</v>
      </c>
      <c r="J212" s="265">
        <f t="shared" si="38"/>
        <v>0</v>
      </c>
      <c r="K212" s="265">
        <f t="shared" si="35"/>
        <v>0</v>
      </c>
      <c r="L212" s="373">
        <f t="shared" si="41"/>
        <v>16</v>
      </c>
      <c r="M212" s="373">
        <f t="shared" si="36"/>
        <v>192</v>
      </c>
      <c r="N212" s="561">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0.03</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Row],[Payment]]=0,0,$V$2)</f>
        <v>0</v>
      </c>
      <c r="U212" s="265">
        <f>IF(tblContractForDeed[[#This Row],[Princ]]=0,0,$V$3)</f>
        <v>0</v>
      </c>
      <c r="V212" s="265">
        <f>SUM(tblContractForDeed[[#This Row],[Princ]],tblContractForDeed[[#This Row],[Int]],tblContractForDeed[[#This Row],[Ins]],tblContractForDeed[[#This Row],[Taxes]])</f>
        <v>0</v>
      </c>
      <c r="W212" s="265">
        <f>SUM(INDEX(tblContractForDeed[Princ],1):INDEX(tblContractForDeed[Princ],ROW()-ROW(tblContractForDeed[#Headers])))</f>
        <v>146500</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39">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2" s="265">
        <f>IF(INDEX(tblContractForDeed[End Bal],ROW()-ROW(tblBuyerOutputs[#Headers]))&lt;=0,0,($O$6+IF(ROW()=ROW(tblBuyerOutputs[#Headers])+1,0,INDEX(tblBuyerOutputs[Cumul Appr],ROW()-ROW(tblBuyerOutputs[#Headers])-1)))*$O$2/12)</f>
        <v>0</v>
      </c>
      <c r="AE212" s="587">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61">
        <f t="shared" ref="A213:A276" si="47">IF(OR(A212="",A212&gt;=subjectMortgageEndDate),"",EDATE(A212,1))</f>
        <v>51714</v>
      </c>
      <c r="B213" s="265">
        <f t="shared" ref="B213:B276" si="48">IF(A213="",0,MAX(0,K212))</f>
        <v>0</v>
      </c>
      <c r="C213" s="14">
        <f t="shared" si="45"/>
        <v>0</v>
      </c>
      <c r="D213" s="14">
        <f t="shared" ref="D213:D276" si="49">IF(C213=0,0,MAX(0,MIN(B213,C213-E213)))</f>
        <v>0</v>
      </c>
      <c r="E213" s="14">
        <f t="shared" si="46"/>
        <v>0</v>
      </c>
      <c r="F213" s="14">
        <f t="shared" si="44"/>
        <v>0</v>
      </c>
      <c r="G213" s="14">
        <f t="shared" si="44"/>
        <v>0</v>
      </c>
      <c r="H213" s="14">
        <f t="shared" si="43"/>
        <v>0</v>
      </c>
      <c r="I213" s="265">
        <f t="shared" si="37"/>
        <v>0</v>
      </c>
      <c r="J213" s="265">
        <f t="shared" si="38"/>
        <v>0</v>
      </c>
      <c r="K213" s="265">
        <f t="shared" ref="K213:K276" si="50">IF(A213="",0,IF(B213&lt;=0,0,MAX(0,B213-D213)))</f>
        <v>0</v>
      </c>
      <c r="L213" s="373">
        <f t="shared" si="41"/>
        <v>16</v>
      </c>
      <c r="M213" s="373">
        <f t="shared" ref="M213:M276" si="51">IF($A213&lt;&gt;"",M212+1,0)</f>
        <v>193</v>
      </c>
      <c r="N213" s="561">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0.03</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Row],[Payment]]=0,0,$V$2)</f>
        <v>0</v>
      </c>
      <c r="U213" s="265">
        <f>IF(tblContractForDeed[[#This Row],[Princ]]=0,0,$V$3)</f>
        <v>0</v>
      </c>
      <c r="V213" s="265">
        <f>SUM(tblContractForDeed[[#This Row],[Princ]],tblContractForDeed[[#This Row],[Int]],tblContractForDeed[[#This Row],[Ins]],tblContractForDeed[[#This Row],[Taxes]])</f>
        <v>0</v>
      </c>
      <c r="W213" s="265">
        <f>SUM(INDEX(tblContractForDeed[Princ],1):INDEX(tblContractForDeed[Princ],ROW()-ROW(tblContractForDeed[#Headers])))</f>
        <v>146500</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39">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3" s="265">
        <f>IF(INDEX(tblContractForDeed[End Bal],ROW()-ROW(tblBuyerOutputs[#Headers]))&lt;=0,0,($O$6+IF(ROW()=ROW(tblBuyerOutputs[#Headers])+1,0,INDEX(tblBuyerOutputs[Cumul Appr],ROW()-ROW(tblBuyerOutputs[#Headers])-1)))*$O$2/12)</f>
        <v>0</v>
      </c>
      <c r="AE213" s="587">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61">
        <f t="shared" si="47"/>
        <v>51745</v>
      </c>
      <c r="B214" s="265">
        <f t="shared" si="48"/>
        <v>0</v>
      </c>
      <c r="C214" s="14">
        <f t="shared" si="45"/>
        <v>0</v>
      </c>
      <c r="D214" s="14">
        <f t="shared" si="49"/>
        <v>0</v>
      </c>
      <c r="E214" s="14">
        <f t="shared" si="46"/>
        <v>0</v>
      </c>
      <c r="F214" s="14">
        <f t="shared" si="44"/>
        <v>0</v>
      </c>
      <c r="G214" s="14">
        <f t="shared" si="44"/>
        <v>0</v>
      </c>
      <c r="H214" s="14">
        <f t="shared" si="43"/>
        <v>0</v>
      </c>
      <c r="I214" s="265">
        <f t="shared" ref="I214:I277" si="52">$D214+$I213</f>
        <v>0</v>
      </c>
      <c r="J214" s="265">
        <f t="shared" ref="J214:J277" si="53">$E214+$J213</f>
        <v>0</v>
      </c>
      <c r="K214" s="265">
        <f t="shared" si="50"/>
        <v>0</v>
      </c>
      <c r="L214" s="373">
        <f t="shared" si="41"/>
        <v>16</v>
      </c>
      <c r="M214" s="373">
        <f t="shared" si="51"/>
        <v>194</v>
      </c>
      <c r="N214" s="561">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0.03</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Row],[Payment]]=0,0,$V$2)</f>
        <v>0</v>
      </c>
      <c r="U214" s="265">
        <f>IF(tblContractForDeed[[#This Row],[Princ]]=0,0,$V$3)</f>
        <v>0</v>
      </c>
      <c r="V214" s="265">
        <f>SUM(tblContractForDeed[[#This Row],[Princ]],tblContractForDeed[[#This Row],[Int]],tblContractForDeed[[#This Row],[Ins]],tblContractForDeed[[#This Row],[Taxes]])</f>
        <v>0</v>
      </c>
      <c r="W214" s="265">
        <f>SUM(INDEX(tblContractForDeed[Princ],1):INDEX(tblContractForDeed[Princ],ROW()-ROW(tblContractForDeed[#Headers])))</f>
        <v>146500</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39">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4" s="265">
        <f>IF(INDEX(tblContractForDeed[End Bal],ROW()-ROW(tblBuyerOutputs[#Headers]))&lt;=0,0,($O$6+IF(ROW()=ROW(tblBuyerOutputs[#Headers])+1,0,INDEX(tblBuyerOutputs[Cumul Appr],ROW()-ROW(tblBuyerOutputs[#Headers])-1)))*$O$2/12)</f>
        <v>0</v>
      </c>
      <c r="AE214" s="587">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61">
        <f t="shared" si="47"/>
        <v>51775</v>
      </c>
      <c r="B215" s="265">
        <f t="shared" si="48"/>
        <v>0</v>
      </c>
      <c r="C215" s="14">
        <f t="shared" si="45"/>
        <v>0</v>
      </c>
      <c r="D215" s="14">
        <f t="shared" si="49"/>
        <v>0</v>
      </c>
      <c r="E215" s="14">
        <f t="shared" si="46"/>
        <v>0</v>
      </c>
      <c r="F215" s="14">
        <f t="shared" si="44"/>
        <v>0</v>
      </c>
      <c r="G215" s="14">
        <f t="shared" si="44"/>
        <v>0</v>
      </c>
      <c r="H215" s="14">
        <f t="shared" si="43"/>
        <v>0</v>
      </c>
      <c r="I215" s="265">
        <f t="shared" si="52"/>
        <v>0</v>
      </c>
      <c r="J215" s="265">
        <f t="shared" si="53"/>
        <v>0</v>
      </c>
      <c r="K215" s="265">
        <f t="shared" si="50"/>
        <v>0</v>
      </c>
      <c r="L215" s="373">
        <f t="shared" si="41"/>
        <v>16</v>
      </c>
      <c r="M215" s="373">
        <f t="shared" si="51"/>
        <v>195</v>
      </c>
      <c r="N215" s="561">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0.03</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Row],[Payment]]=0,0,$V$2)</f>
        <v>0</v>
      </c>
      <c r="U215" s="265">
        <f>IF(tblContractForDeed[[#This Row],[Princ]]=0,0,$V$3)</f>
        <v>0</v>
      </c>
      <c r="V215" s="265">
        <f>SUM(tblContractForDeed[[#This Row],[Princ]],tblContractForDeed[[#This Row],[Int]],tblContractForDeed[[#This Row],[Ins]],tblContractForDeed[[#This Row],[Taxes]])</f>
        <v>0</v>
      </c>
      <c r="W215" s="265">
        <f>SUM(INDEX(tblContractForDeed[Princ],1):INDEX(tblContractForDeed[Princ],ROW()-ROW(tblContractForDeed[#Headers])))</f>
        <v>146500</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39">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5" s="265">
        <f>IF(INDEX(tblContractForDeed[End Bal],ROW()-ROW(tblBuyerOutputs[#Headers]))&lt;=0,0,($O$6+IF(ROW()=ROW(tblBuyerOutputs[#Headers])+1,0,INDEX(tblBuyerOutputs[Cumul Appr],ROW()-ROW(tblBuyerOutputs[#Headers])-1)))*$O$2/12)</f>
        <v>0</v>
      </c>
      <c r="AE215" s="587">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61">
        <f t="shared" si="47"/>
        <v>51806</v>
      </c>
      <c r="B216" s="265">
        <f t="shared" si="48"/>
        <v>0</v>
      </c>
      <c r="C216" s="14">
        <f t="shared" si="45"/>
        <v>0</v>
      </c>
      <c r="D216" s="14">
        <f t="shared" si="49"/>
        <v>0</v>
      </c>
      <c r="E216" s="14">
        <f t="shared" si="46"/>
        <v>0</v>
      </c>
      <c r="F216" s="14">
        <f t="shared" si="44"/>
        <v>0</v>
      </c>
      <c r="G216" s="14">
        <f t="shared" si="44"/>
        <v>0</v>
      </c>
      <c r="H216" s="14">
        <f t="shared" si="43"/>
        <v>0</v>
      </c>
      <c r="I216" s="265">
        <f t="shared" si="52"/>
        <v>0</v>
      </c>
      <c r="J216" s="265">
        <f t="shared" si="53"/>
        <v>0</v>
      </c>
      <c r="K216" s="265">
        <f t="shared" si="50"/>
        <v>0</v>
      </c>
      <c r="L216" s="373">
        <f t="shared" si="41"/>
        <v>16</v>
      </c>
      <c r="M216" s="373">
        <f t="shared" si="51"/>
        <v>196</v>
      </c>
      <c r="N216" s="561">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0.03</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Row],[Payment]]=0,0,$V$2)</f>
        <v>0</v>
      </c>
      <c r="U216" s="265">
        <f>IF(tblContractForDeed[[#This Row],[Princ]]=0,0,$V$3)</f>
        <v>0</v>
      </c>
      <c r="V216" s="265">
        <f>SUM(tblContractForDeed[[#This Row],[Princ]],tblContractForDeed[[#This Row],[Int]],tblContractForDeed[[#This Row],[Ins]],tblContractForDeed[[#This Row],[Taxes]])</f>
        <v>0</v>
      </c>
      <c r="W216" s="265">
        <f>SUM(INDEX(tblContractForDeed[Princ],1):INDEX(tblContractForDeed[Princ],ROW()-ROW(tblContractForDeed[#Headers])))</f>
        <v>146500</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39">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6" s="265">
        <f>IF(INDEX(tblContractForDeed[End Bal],ROW()-ROW(tblBuyerOutputs[#Headers]))&lt;=0,0,($O$6+IF(ROW()=ROW(tblBuyerOutputs[#Headers])+1,0,INDEX(tblBuyerOutputs[Cumul Appr],ROW()-ROW(tblBuyerOutputs[#Headers])-1)))*$O$2/12)</f>
        <v>0</v>
      </c>
      <c r="AE216" s="587">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61">
        <f t="shared" si="47"/>
        <v>51836</v>
      </c>
      <c r="B217" s="265">
        <f t="shared" si="48"/>
        <v>0</v>
      </c>
      <c r="C217" s="14">
        <f t="shared" si="45"/>
        <v>0</v>
      </c>
      <c r="D217" s="14">
        <f t="shared" si="49"/>
        <v>0</v>
      </c>
      <c r="E217" s="14">
        <f t="shared" si="46"/>
        <v>0</v>
      </c>
      <c r="F217" s="14">
        <f t="shared" si="44"/>
        <v>0</v>
      </c>
      <c r="G217" s="14">
        <f t="shared" si="44"/>
        <v>0</v>
      </c>
      <c r="H217" s="14">
        <f t="shared" si="43"/>
        <v>0</v>
      </c>
      <c r="I217" s="265">
        <f t="shared" si="52"/>
        <v>0</v>
      </c>
      <c r="J217" s="265">
        <f t="shared" si="53"/>
        <v>0</v>
      </c>
      <c r="K217" s="265">
        <f t="shared" si="50"/>
        <v>0</v>
      </c>
      <c r="L217" s="373">
        <f t="shared" si="41"/>
        <v>16</v>
      </c>
      <c r="M217" s="373">
        <f t="shared" si="51"/>
        <v>197</v>
      </c>
      <c r="N217" s="561">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0.03</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Row],[Payment]]=0,0,$V$2)</f>
        <v>0</v>
      </c>
      <c r="U217" s="265">
        <f>IF(tblContractForDeed[[#This Row],[Princ]]=0,0,$V$3)</f>
        <v>0</v>
      </c>
      <c r="V217" s="265">
        <f>SUM(tblContractForDeed[[#This Row],[Princ]],tblContractForDeed[[#This Row],[Int]],tblContractForDeed[[#This Row],[Ins]],tblContractForDeed[[#This Row],[Taxes]])</f>
        <v>0</v>
      </c>
      <c r="W217" s="265">
        <f>SUM(INDEX(tblContractForDeed[Princ],1):INDEX(tblContractForDeed[Princ],ROW()-ROW(tblContractForDeed[#Headers])))</f>
        <v>146500</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39">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7" s="265">
        <f>IF(INDEX(tblContractForDeed[End Bal],ROW()-ROW(tblBuyerOutputs[#Headers]))&lt;=0,0,($O$6+IF(ROW()=ROW(tblBuyerOutputs[#Headers])+1,0,INDEX(tblBuyerOutputs[Cumul Appr],ROW()-ROW(tblBuyerOutputs[#Headers])-1)))*$O$2/12)</f>
        <v>0</v>
      </c>
      <c r="AE217" s="587">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61">
        <f t="shared" si="47"/>
        <v>51867</v>
      </c>
      <c r="B218" s="265">
        <f t="shared" si="48"/>
        <v>0</v>
      </c>
      <c r="C218" s="14">
        <f t="shared" si="45"/>
        <v>0</v>
      </c>
      <c r="D218" s="14">
        <f t="shared" si="49"/>
        <v>0</v>
      </c>
      <c r="E218" s="14">
        <f t="shared" si="46"/>
        <v>0</v>
      </c>
      <c r="F218" s="14">
        <f t="shared" si="44"/>
        <v>0</v>
      </c>
      <c r="G218" s="14">
        <f t="shared" si="44"/>
        <v>0</v>
      </c>
      <c r="H218" s="14">
        <f t="shared" si="43"/>
        <v>0</v>
      </c>
      <c r="I218" s="265">
        <f t="shared" si="52"/>
        <v>0</v>
      </c>
      <c r="J218" s="265">
        <f t="shared" si="53"/>
        <v>0</v>
      </c>
      <c r="K218" s="265">
        <f t="shared" si="50"/>
        <v>0</v>
      </c>
      <c r="L218" s="373">
        <f t="shared" si="41"/>
        <v>16</v>
      </c>
      <c r="M218" s="373">
        <f t="shared" si="51"/>
        <v>198</v>
      </c>
      <c r="N218" s="561">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0.03</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Row],[Payment]]=0,0,$V$2)</f>
        <v>0</v>
      </c>
      <c r="U218" s="265">
        <f>IF(tblContractForDeed[[#This Row],[Princ]]=0,0,$V$3)</f>
        <v>0</v>
      </c>
      <c r="V218" s="265">
        <f>SUM(tblContractForDeed[[#This Row],[Princ]],tblContractForDeed[[#This Row],[Int]],tblContractForDeed[[#This Row],[Ins]],tblContractForDeed[[#This Row],[Taxes]])</f>
        <v>0</v>
      </c>
      <c r="W218" s="265">
        <f>SUM(INDEX(tblContractForDeed[Princ],1):INDEX(tblContractForDeed[Princ],ROW()-ROW(tblContractForDeed[#Headers])))</f>
        <v>146500</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39">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8" s="265">
        <f>IF(INDEX(tblContractForDeed[End Bal],ROW()-ROW(tblBuyerOutputs[#Headers]))&lt;=0,0,($O$6+IF(ROW()=ROW(tblBuyerOutputs[#Headers])+1,0,INDEX(tblBuyerOutputs[Cumul Appr],ROW()-ROW(tblBuyerOutputs[#Headers])-1)))*$O$2/12)</f>
        <v>0</v>
      </c>
      <c r="AE218" s="587">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61">
        <f t="shared" si="47"/>
        <v>51898</v>
      </c>
      <c r="B219" s="265">
        <f t="shared" si="48"/>
        <v>0</v>
      </c>
      <c r="C219" s="14">
        <f t="shared" si="45"/>
        <v>0</v>
      </c>
      <c r="D219" s="14">
        <f t="shared" si="49"/>
        <v>0</v>
      </c>
      <c r="E219" s="14">
        <f t="shared" si="46"/>
        <v>0</v>
      </c>
      <c r="F219" s="14">
        <f t="shared" si="44"/>
        <v>0</v>
      </c>
      <c r="G219" s="14">
        <f t="shared" si="44"/>
        <v>0</v>
      </c>
      <c r="H219" s="14">
        <f t="shared" si="43"/>
        <v>0</v>
      </c>
      <c r="I219" s="265">
        <f t="shared" si="52"/>
        <v>0</v>
      </c>
      <c r="J219" s="265">
        <f t="shared" si="53"/>
        <v>0</v>
      </c>
      <c r="K219" s="265">
        <f t="shared" si="50"/>
        <v>0</v>
      </c>
      <c r="L219" s="373">
        <f t="shared" si="41"/>
        <v>16</v>
      </c>
      <c r="M219" s="373">
        <f t="shared" si="51"/>
        <v>199</v>
      </c>
      <c r="N219" s="561">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0.03</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Row],[Payment]]=0,0,$V$2)</f>
        <v>0</v>
      </c>
      <c r="U219" s="265">
        <f>IF(tblContractForDeed[[#This Row],[Princ]]=0,0,$V$3)</f>
        <v>0</v>
      </c>
      <c r="V219" s="265">
        <f>SUM(tblContractForDeed[[#This Row],[Princ]],tblContractForDeed[[#This Row],[Int]],tblContractForDeed[[#This Row],[Ins]],tblContractForDeed[[#This Row],[Taxes]])</f>
        <v>0</v>
      </c>
      <c r="W219" s="265">
        <f>SUM(INDEX(tblContractForDeed[Princ],1):INDEX(tblContractForDeed[Princ],ROW()-ROW(tblContractForDeed[#Headers])))</f>
        <v>146500</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39">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9" s="265">
        <f>IF(INDEX(tblContractForDeed[End Bal],ROW()-ROW(tblBuyerOutputs[#Headers]))&lt;=0,0,($O$6+IF(ROW()=ROW(tblBuyerOutputs[#Headers])+1,0,INDEX(tblBuyerOutputs[Cumul Appr],ROW()-ROW(tblBuyerOutputs[#Headers])-1)))*$O$2/12)</f>
        <v>0</v>
      </c>
      <c r="AE219" s="587">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61">
        <f t="shared" si="47"/>
        <v>51926</v>
      </c>
      <c r="B220" s="265">
        <f t="shared" si="48"/>
        <v>0</v>
      </c>
      <c r="C220" s="14">
        <f t="shared" si="45"/>
        <v>0</v>
      </c>
      <c r="D220" s="14">
        <f t="shared" si="49"/>
        <v>0</v>
      </c>
      <c r="E220" s="14">
        <f t="shared" si="46"/>
        <v>0</v>
      </c>
      <c r="F220" s="14">
        <f t="shared" si="44"/>
        <v>0</v>
      </c>
      <c r="G220" s="14">
        <f t="shared" si="44"/>
        <v>0</v>
      </c>
      <c r="H220" s="14">
        <f t="shared" si="43"/>
        <v>0</v>
      </c>
      <c r="I220" s="265">
        <f t="shared" si="52"/>
        <v>0</v>
      </c>
      <c r="J220" s="265">
        <f t="shared" si="53"/>
        <v>0</v>
      </c>
      <c r="K220" s="265">
        <f t="shared" si="50"/>
        <v>0</v>
      </c>
      <c r="L220" s="373">
        <f t="shared" si="41"/>
        <v>16</v>
      </c>
      <c r="M220" s="373">
        <f t="shared" si="51"/>
        <v>200</v>
      </c>
      <c r="N220" s="561">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0.03</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Row],[Payment]]=0,0,$V$2)</f>
        <v>0</v>
      </c>
      <c r="U220" s="265">
        <f>IF(tblContractForDeed[[#This Row],[Princ]]=0,0,$V$3)</f>
        <v>0</v>
      </c>
      <c r="V220" s="265">
        <f>SUM(tblContractForDeed[[#This Row],[Princ]],tblContractForDeed[[#This Row],[Int]],tblContractForDeed[[#This Row],[Ins]],tblContractForDeed[[#This Row],[Taxes]])</f>
        <v>0</v>
      </c>
      <c r="W220" s="265">
        <f>SUM(INDEX(tblContractForDeed[Princ],1):INDEX(tblContractForDeed[Princ],ROW()-ROW(tblContractForDeed[#Headers])))</f>
        <v>146500</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39">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0" s="265">
        <f>IF(INDEX(tblContractForDeed[End Bal],ROW()-ROW(tblBuyerOutputs[#Headers]))&lt;=0,0,($O$6+IF(ROW()=ROW(tblBuyerOutputs[#Headers])+1,0,INDEX(tblBuyerOutputs[Cumul Appr],ROW()-ROW(tblBuyerOutputs[#Headers])-1)))*$O$2/12)</f>
        <v>0</v>
      </c>
      <c r="AE220" s="587">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61">
        <f t="shared" si="47"/>
        <v>51957</v>
      </c>
      <c r="B221" s="265">
        <f t="shared" si="48"/>
        <v>0</v>
      </c>
      <c r="C221" s="14">
        <f t="shared" si="45"/>
        <v>0</v>
      </c>
      <c r="D221" s="14">
        <f t="shared" si="49"/>
        <v>0</v>
      </c>
      <c r="E221" s="14">
        <f t="shared" si="46"/>
        <v>0</v>
      </c>
      <c r="F221" s="14">
        <f t="shared" si="44"/>
        <v>0</v>
      </c>
      <c r="G221" s="14">
        <f t="shared" si="44"/>
        <v>0</v>
      </c>
      <c r="H221" s="14">
        <f t="shared" si="43"/>
        <v>0</v>
      </c>
      <c r="I221" s="265">
        <f t="shared" si="52"/>
        <v>0</v>
      </c>
      <c r="J221" s="265">
        <f t="shared" si="53"/>
        <v>0</v>
      </c>
      <c r="K221" s="265">
        <f t="shared" si="50"/>
        <v>0</v>
      </c>
      <c r="L221" s="373">
        <f t="shared" si="41"/>
        <v>16</v>
      </c>
      <c r="M221" s="373">
        <f t="shared" si="51"/>
        <v>201</v>
      </c>
      <c r="N221" s="561">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0.03</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Row],[Payment]]=0,0,$V$2)</f>
        <v>0</v>
      </c>
      <c r="U221" s="265">
        <f>IF(tblContractForDeed[[#This Row],[Princ]]=0,0,$V$3)</f>
        <v>0</v>
      </c>
      <c r="V221" s="265">
        <f>SUM(tblContractForDeed[[#This Row],[Princ]],tblContractForDeed[[#This Row],[Int]],tblContractForDeed[[#This Row],[Ins]],tblContractForDeed[[#This Row],[Taxes]])</f>
        <v>0</v>
      </c>
      <c r="W221" s="265">
        <f>SUM(INDEX(tblContractForDeed[Princ],1):INDEX(tblContractForDeed[Princ],ROW()-ROW(tblContractForDeed[#Headers])))</f>
        <v>146500</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39">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1" s="265">
        <f>IF(INDEX(tblContractForDeed[End Bal],ROW()-ROW(tblBuyerOutputs[#Headers]))&lt;=0,0,($O$6+IF(ROW()=ROW(tblBuyerOutputs[#Headers])+1,0,INDEX(tblBuyerOutputs[Cumul Appr],ROW()-ROW(tblBuyerOutputs[#Headers])-1)))*$O$2/12)</f>
        <v>0</v>
      </c>
      <c r="AE221" s="587">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61">
        <f t="shared" si="47"/>
        <v>51987</v>
      </c>
      <c r="B222" s="265">
        <f t="shared" si="48"/>
        <v>0</v>
      </c>
      <c r="C222" s="14">
        <f t="shared" si="45"/>
        <v>0</v>
      </c>
      <c r="D222" s="14">
        <f t="shared" si="49"/>
        <v>0</v>
      </c>
      <c r="E222" s="14">
        <f t="shared" si="46"/>
        <v>0</v>
      </c>
      <c r="F222" s="14">
        <f t="shared" si="44"/>
        <v>0</v>
      </c>
      <c r="G222" s="14">
        <f t="shared" si="44"/>
        <v>0</v>
      </c>
      <c r="H222" s="14">
        <f t="shared" si="43"/>
        <v>0</v>
      </c>
      <c r="I222" s="265">
        <f t="shared" si="52"/>
        <v>0</v>
      </c>
      <c r="J222" s="265">
        <f t="shared" si="53"/>
        <v>0</v>
      </c>
      <c r="K222" s="265">
        <f t="shared" si="50"/>
        <v>0</v>
      </c>
      <c r="L222" s="373">
        <f t="shared" si="41"/>
        <v>16</v>
      </c>
      <c r="M222" s="373">
        <f t="shared" si="51"/>
        <v>202</v>
      </c>
      <c r="N222" s="561">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0.03</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Row],[Payment]]=0,0,$V$2)</f>
        <v>0</v>
      </c>
      <c r="U222" s="265">
        <f>IF(tblContractForDeed[[#This Row],[Princ]]=0,0,$V$3)</f>
        <v>0</v>
      </c>
      <c r="V222" s="265">
        <f>SUM(tblContractForDeed[[#This Row],[Princ]],tblContractForDeed[[#This Row],[Int]],tblContractForDeed[[#This Row],[Ins]],tblContractForDeed[[#This Row],[Taxes]])</f>
        <v>0</v>
      </c>
      <c r="W222" s="265">
        <f>SUM(INDEX(tblContractForDeed[Princ],1):INDEX(tblContractForDeed[Princ],ROW()-ROW(tblContractForDeed[#Headers])))</f>
        <v>146500</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39">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2" s="265">
        <f>IF(INDEX(tblContractForDeed[End Bal],ROW()-ROW(tblBuyerOutputs[#Headers]))&lt;=0,0,($O$6+IF(ROW()=ROW(tblBuyerOutputs[#Headers])+1,0,INDEX(tblBuyerOutputs[Cumul Appr],ROW()-ROW(tblBuyerOutputs[#Headers])-1)))*$O$2/12)</f>
        <v>0</v>
      </c>
      <c r="AE222" s="587">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62">
        <f t="shared" si="47"/>
        <v>52018</v>
      </c>
      <c r="B223" s="316">
        <f t="shared" si="48"/>
        <v>0</v>
      </c>
      <c r="C223" s="21">
        <f t="shared" si="45"/>
        <v>0</v>
      </c>
      <c r="D223" s="21">
        <f t="shared" si="49"/>
        <v>0</v>
      </c>
      <c r="E223" s="21">
        <f t="shared" si="46"/>
        <v>0</v>
      </c>
      <c r="F223" s="21">
        <f t="shared" ref="F223:G238" si="54">+F222</f>
        <v>0</v>
      </c>
      <c r="G223" s="21">
        <f t="shared" si="54"/>
        <v>0</v>
      </c>
      <c r="H223" s="21">
        <f t="shared" si="43"/>
        <v>0</v>
      </c>
      <c r="I223" s="316">
        <f t="shared" si="52"/>
        <v>0</v>
      </c>
      <c r="J223" s="316">
        <f t="shared" si="53"/>
        <v>0</v>
      </c>
      <c r="K223" s="316">
        <f t="shared" si="50"/>
        <v>0</v>
      </c>
      <c r="L223" s="374">
        <f t="shared" si="41"/>
        <v>16</v>
      </c>
      <c r="M223" s="374">
        <f t="shared" si="51"/>
        <v>203</v>
      </c>
      <c r="N223" s="562">
        <f>INDEX(tblSubjectToLoan[Date],ROW()-ROW(tblContractForDeed[#Headers]))</f>
        <v>52018</v>
      </c>
      <c r="O223" s="316">
        <f>IF(ROW()=ROW(tblContractForDeed[#Headers])+1,$O$6,IF(INDEX(tblContractForDeed[End Bal],ROW()-ROW(tblContractForDeed[#Headers])-1)&lt;0,0,INDEX(tblContractForDeed[End Bal],ROW()-ROW(tblContractForDeed[#Headers])-1)))</f>
        <v>0</v>
      </c>
      <c r="P223" s="585">
        <f>IF(tblContractForDeed[[#This Row],[Date]]="","",IF(tblContractForDeed[[#This Row],[Date]]&lt;cfdRateChangeDate,cfdRate1,cfdRate2))</f>
        <v>0.03</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Row],[Payment]]=0,0,$V$2)</f>
        <v>0</v>
      </c>
      <c r="U223" s="316">
        <f>IF(tblContractForDeed[[#This Row],[Princ]]=0,0,$V$3)</f>
        <v>0</v>
      </c>
      <c r="V223" s="316">
        <f>SUM(tblContractForDeed[[#This Row],[Princ]],tblContractForDeed[[#This Row],[Int]],tblContractForDeed[[#This Row],[Ins]],tblContractForDeed[[#This Row],[Taxes]])</f>
        <v>0</v>
      </c>
      <c r="W223" s="316">
        <f>SUM(INDEX(tblContractForDeed[Princ],1):INDEX(tblContractForDeed[Princ],ROW()-ROW(tblContractForDeed[#Headers])))</f>
        <v>146500</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0">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3" s="316">
        <f>IF(INDEX(tblContractForDeed[End Bal],ROW()-ROW(tblBuyerOutputs[#Headers]))&lt;=0,0,($O$6+IF(ROW()=ROW(tblBuyerOutputs[#Headers])+1,0,INDEX(tblBuyerOutputs[Cumul Appr],ROW()-ROW(tblBuyerOutputs[#Headers])-1)))*$O$2/12)</f>
        <v>0</v>
      </c>
      <c r="AE223" s="588">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61">
        <f t="shared" si="47"/>
        <v>52048</v>
      </c>
      <c r="B224" s="265">
        <f t="shared" si="48"/>
        <v>0</v>
      </c>
      <c r="C224" s="14">
        <f t="shared" si="45"/>
        <v>0</v>
      </c>
      <c r="D224" s="14">
        <f t="shared" si="49"/>
        <v>0</v>
      </c>
      <c r="E224" s="14">
        <f t="shared" si="46"/>
        <v>0</v>
      </c>
      <c r="F224" s="14">
        <f t="shared" si="54"/>
        <v>0</v>
      </c>
      <c r="G224" s="14">
        <f t="shared" si="54"/>
        <v>0</v>
      </c>
      <c r="H224" s="14">
        <f t="shared" si="43"/>
        <v>0</v>
      </c>
      <c r="I224" s="265">
        <f t="shared" si="52"/>
        <v>0</v>
      </c>
      <c r="J224" s="265">
        <f t="shared" si="53"/>
        <v>0</v>
      </c>
      <c r="K224" s="265">
        <f t="shared" si="50"/>
        <v>0</v>
      </c>
      <c r="L224" s="373">
        <f t="shared" si="41"/>
        <v>17</v>
      </c>
      <c r="M224" s="373">
        <f t="shared" si="51"/>
        <v>204</v>
      </c>
      <c r="N224" s="561">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0.03</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Row],[Payment]]=0,0,$V$2)</f>
        <v>0</v>
      </c>
      <c r="U224" s="265">
        <f>IF(tblContractForDeed[[#This Row],[Princ]]=0,0,$V$3)</f>
        <v>0</v>
      </c>
      <c r="V224" s="265">
        <f>SUM(tblContractForDeed[[#This Row],[Princ]],tblContractForDeed[[#This Row],[Int]],tblContractForDeed[[#This Row],[Ins]],tblContractForDeed[[#This Row],[Taxes]])</f>
        <v>0</v>
      </c>
      <c r="W224" s="265">
        <f>SUM(INDEX(tblContractForDeed[Princ],1):INDEX(tblContractForDeed[Princ],ROW()-ROW(tblContractForDeed[#Headers])))</f>
        <v>146500</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39">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4" s="265">
        <f>IF(INDEX(tblContractForDeed[End Bal],ROW()-ROW(tblBuyerOutputs[#Headers]))&lt;=0,0,($O$6+IF(ROW()=ROW(tblBuyerOutputs[#Headers])+1,0,INDEX(tblBuyerOutputs[Cumul Appr],ROW()-ROW(tblBuyerOutputs[#Headers])-1)))*$O$2/12)</f>
        <v>0</v>
      </c>
      <c r="AE224" s="587">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61">
        <f t="shared" si="47"/>
        <v>52079</v>
      </c>
      <c r="B225" s="265">
        <f t="shared" si="48"/>
        <v>0</v>
      </c>
      <c r="C225" s="14">
        <f t="shared" si="45"/>
        <v>0</v>
      </c>
      <c r="D225" s="14">
        <f t="shared" si="49"/>
        <v>0</v>
      </c>
      <c r="E225" s="14">
        <f t="shared" si="46"/>
        <v>0</v>
      </c>
      <c r="F225" s="14">
        <f t="shared" si="54"/>
        <v>0</v>
      </c>
      <c r="G225" s="14">
        <f t="shared" si="54"/>
        <v>0</v>
      </c>
      <c r="H225" s="14">
        <f t="shared" si="43"/>
        <v>0</v>
      </c>
      <c r="I225" s="265">
        <f t="shared" si="52"/>
        <v>0</v>
      </c>
      <c r="J225" s="265">
        <f t="shared" si="53"/>
        <v>0</v>
      </c>
      <c r="K225" s="265">
        <f t="shared" si="50"/>
        <v>0</v>
      </c>
      <c r="L225" s="373">
        <f t="shared" si="41"/>
        <v>17</v>
      </c>
      <c r="M225" s="373">
        <f t="shared" si="51"/>
        <v>205</v>
      </c>
      <c r="N225" s="561">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0.03</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Row],[Payment]]=0,0,$V$2)</f>
        <v>0</v>
      </c>
      <c r="U225" s="265">
        <f>IF(tblContractForDeed[[#This Row],[Princ]]=0,0,$V$3)</f>
        <v>0</v>
      </c>
      <c r="V225" s="265">
        <f>SUM(tblContractForDeed[[#This Row],[Princ]],tblContractForDeed[[#This Row],[Int]],tblContractForDeed[[#This Row],[Ins]],tblContractForDeed[[#This Row],[Taxes]])</f>
        <v>0</v>
      </c>
      <c r="W225" s="265">
        <f>SUM(INDEX(tblContractForDeed[Princ],1):INDEX(tblContractForDeed[Princ],ROW()-ROW(tblContractForDeed[#Headers])))</f>
        <v>146500</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39">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5" s="265">
        <f>IF(INDEX(tblContractForDeed[End Bal],ROW()-ROW(tblBuyerOutputs[#Headers]))&lt;=0,0,($O$6+IF(ROW()=ROW(tblBuyerOutputs[#Headers])+1,0,INDEX(tblBuyerOutputs[Cumul Appr],ROW()-ROW(tblBuyerOutputs[#Headers])-1)))*$O$2/12)</f>
        <v>0</v>
      </c>
      <c r="AE225" s="587">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61">
        <f t="shared" si="47"/>
        <v>52110</v>
      </c>
      <c r="B226" s="265">
        <f t="shared" si="48"/>
        <v>0</v>
      </c>
      <c r="C226" s="14">
        <f t="shared" si="45"/>
        <v>0</v>
      </c>
      <c r="D226" s="14">
        <f t="shared" si="49"/>
        <v>0</v>
      </c>
      <c r="E226" s="14">
        <f t="shared" si="46"/>
        <v>0</v>
      </c>
      <c r="F226" s="14">
        <f t="shared" si="54"/>
        <v>0</v>
      </c>
      <c r="G226" s="14">
        <f t="shared" si="54"/>
        <v>0</v>
      </c>
      <c r="H226" s="14">
        <f t="shared" si="43"/>
        <v>0</v>
      </c>
      <c r="I226" s="265">
        <f t="shared" si="52"/>
        <v>0</v>
      </c>
      <c r="J226" s="265">
        <f t="shared" si="53"/>
        <v>0</v>
      </c>
      <c r="K226" s="265">
        <f t="shared" si="50"/>
        <v>0</v>
      </c>
      <c r="L226" s="373">
        <f t="shared" si="41"/>
        <v>17</v>
      </c>
      <c r="M226" s="373">
        <f t="shared" si="51"/>
        <v>206</v>
      </c>
      <c r="N226" s="561">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0.03</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Row],[Payment]]=0,0,$V$2)</f>
        <v>0</v>
      </c>
      <c r="U226" s="265">
        <f>IF(tblContractForDeed[[#This Row],[Princ]]=0,0,$V$3)</f>
        <v>0</v>
      </c>
      <c r="V226" s="265">
        <f>SUM(tblContractForDeed[[#This Row],[Princ]],tblContractForDeed[[#This Row],[Int]],tblContractForDeed[[#This Row],[Ins]],tblContractForDeed[[#This Row],[Taxes]])</f>
        <v>0</v>
      </c>
      <c r="W226" s="265">
        <f>SUM(INDEX(tblContractForDeed[Princ],1):INDEX(tblContractForDeed[Princ],ROW()-ROW(tblContractForDeed[#Headers])))</f>
        <v>146500</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39">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6" s="265">
        <f>IF(INDEX(tblContractForDeed[End Bal],ROW()-ROW(tblBuyerOutputs[#Headers]))&lt;=0,0,($O$6+IF(ROW()=ROW(tblBuyerOutputs[#Headers])+1,0,INDEX(tblBuyerOutputs[Cumul Appr],ROW()-ROW(tblBuyerOutputs[#Headers])-1)))*$O$2/12)</f>
        <v>0</v>
      </c>
      <c r="AE226" s="587">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61">
        <f t="shared" si="47"/>
        <v>52140</v>
      </c>
      <c r="B227" s="265">
        <f t="shared" si="48"/>
        <v>0</v>
      </c>
      <c r="C227" s="14">
        <f t="shared" si="45"/>
        <v>0</v>
      </c>
      <c r="D227" s="14">
        <f t="shared" si="49"/>
        <v>0</v>
      </c>
      <c r="E227" s="14">
        <f t="shared" si="46"/>
        <v>0</v>
      </c>
      <c r="F227" s="14">
        <f t="shared" si="54"/>
        <v>0</v>
      </c>
      <c r="G227" s="14">
        <f t="shared" si="54"/>
        <v>0</v>
      </c>
      <c r="H227" s="14">
        <f t="shared" si="43"/>
        <v>0</v>
      </c>
      <c r="I227" s="265">
        <f t="shared" si="52"/>
        <v>0</v>
      </c>
      <c r="J227" s="265">
        <f t="shared" si="53"/>
        <v>0</v>
      </c>
      <c r="K227" s="265">
        <f t="shared" si="50"/>
        <v>0</v>
      </c>
      <c r="L227" s="373">
        <f t="shared" si="41"/>
        <v>17</v>
      </c>
      <c r="M227" s="373">
        <f t="shared" si="51"/>
        <v>207</v>
      </c>
      <c r="N227" s="561">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0.03</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Row],[Payment]]=0,0,$V$2)</f>
        <v>0</v>
      </c>
      <c r="U227" s="265">
        <f>IF(tblContractForDeed[[#This Row],[Princ]]=0,0,$V$3)</f>
        <v>0</v>
      </c>
      <c r="V227" s="265">
        <f>SUM(tblContractForDeed[[#This Row],[Princ]],tblContractForDeed[[#This Row],[Int]],tblContractForDeed[[#This Row],[Ins]],tblContractForDeed[[#This Row],[Taxes]])</f>
        <v>0</v>
      </c>
      <c r="W227" s="265">
        <f>SUM(INDEX(tblContractForDeed[Princ],1):INDEX(tblContractForDeed[Princ],ROW()-ROW(tblContractForDeed[#Headers])))</f>
        <v>146500</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39">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7" s="265">
        <f>IF(INDEX(tblContractForDeed[End Bal],ROW()-ROW(tblBuyerOutputs[#Headers]))&lt;=0,0,($O$6+IF(ROW()=ROW(tblBuyerOutputs[#Headers])+1,0,INDEX(tblBuyerOutputs[Cumul Appr],ROW()-ROW(tblBuyerOutputs[#Headers])-1)))*$O$2/12)</f>
        <v>0</v>
      </c>
      <c r="AE227" s="587">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61">
        <f t="shared" si="47"/>
        <v>52171</v>
      </c>
      <c r="B228" s="265">
        <f t="shared" si="48"/>
        <v>0</v>
      </c>
      <c r="C228" s="14">
        <f t="shared" si="45"/>
        <v>0</v>
      </c>
      <c r="D228" s="14">
        <f t="shared" si="49"/>
        <v>0</v>
      </c>
      <c r="E228" s="14">
        <f t="shared" si="46"/>
        <v>0</v>
      </c>
      <c r="F228" s="14">
        <f t="shared" si="54"/>
        <v>0</v>
      </c>
      <c r="G228" s="14">
        <f t="shared" si="54"/>
        <v>0</v>
      </c>
      <c r="H228" s="14">
        <f t="shared" si="43"/>
        <v>0</v>
      </c>
      <c r="I228" s="265">
        <f t="shared" si="52"/>
        <v>0</v>
      </c>
      <c r="J228" s="265">
        <f t="shared" si="53"/>
        <v>0</v>
      </c>
      <c r="K228" s="265">
        <f t="shared" si="50"/>
        <v>0</v>
      </c>
      <c r="L228" s="373">
        <f t="shared" si="41"/>
        <v>17</v>
      </c>
      <c r="M228" s="373">
        <f t="shared" si="51"/>
        <v>208</v>
      </c>
      <c r="N228" s="561">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0.03</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Row],[Payment]]=0,0,$V$2)</f>
        <v>0</v>
      </c>
      <c r="U228" s="265">
        <f>IF(tblContractForDeed[[#This Row],[Princ]]=0,0,$V$3)</f>
        <v>0</v>
      </c>
      <c r="V228" s="265">
        <f>SUM(tblContractForDeed[[#This Row],[Princ]],tblContractForDeed[[#This Row],[Int]],tblContractForDeed[[#This Row],[Ins]],tblContractForDeed[[#This Row],[Taxes]])</f>
        <v>0</v>
      </c>
      <c r="W228" s="265">
        <f>SUM(INDEX(tblContractForDeed[Princ],1):INDEX(tblContractForDeed[Princ],ROW()-ROW(tblContractForDeed[#Headers])))</f>
        <v>146500</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39">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8" s="265">
        <f>IF(INDEX(tblContractForDeed[End Bal],ROW()-ROW(tblBuyerOutputs[#Headers]))&lt;=0,0,($O$6+IF(ROW()=ROW(tblBuyerOutputs[#Headers])+1,0,INDEX(tblBuyerOutputs[Cumul Appr],ROW()-ROW(tblBuyerOutputs[#Headers])-1)))*$O$2/12)</f>
        <v>0</v>
      </c>
      <c r="AE228" s="587">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61">
        <f t="shared" si="47"/>
        <v>52201</v>
      </c>
      <c r="B229" s="265">
        <f t="shared" si="48"/>
        <v>0</v>
      </c>
      <c r="C229" s="14">
        <f t="shared" si="45"/>
        <v>0</v>
      </c>
      <c r="D229" s="14">
        <f t="shared" si="49"/>
        <v>0</v>
      </c>
      <c r="E229" s="14">
        <f t="shared" si="46"/>
        <v>0</v>
      </c>
      <c r="F229" s="14">
        <f t="shared" si="54"/>
        <v>0</v>
      </c>
      <c r="G229" s="14">
        <f t="shared" si="54"/>
        <v>0</v>
      </c>
      <c r="H229" s="14">
        <f t="shared" si="43"/>
        <v>0</v>
      </c>
      <c r="I229" s="265">
        <f t="shared" si="52"/>
        <v>0</v>
      </c>
      <c r="J229" s="265">
        <f t="shared" si="53"/>
        <v>0</v>
      </c>
      <c r="K229" s="265">
        <f t="shared" si="50"/>
        <v>0</v>
      </c>
      <c r="L229" s="373">
        <f t="shared" si="41"/>
        <v>17</v>
      </c>
      <c r="M229" s="373">
        <f t="shared" si="51"/>
        <v>209</v>
      </c>
      <c r="N229" s="561">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0.03</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Row],[Payment]]=0,0,$V$2)</f>
        <v>0</v>
      </c>
      <c r="U229" s="265">
        <f>IF(tblContractForDeed[[#This Row],[Princ]]=0,0,$V$3)</f>
        <v>0</v>
      </c>
      <c r="V229" s="265">
        <f>SUM(tblContractForDeed[[#This Row],[Princ]],tblContractForDeed[[#This Row],[Int]],tblContractForDeed[[#This Row],[Ins]],tblContractForDeed[[#This Row],[Taxes]])</f>
        <v>0</v>
      </c>
      <c r="W229" s="265">
        <f>SUM(INDEX(tblContractForDeed[Princ],1):INDEX(tblContractForDeed[Princ],ROW()-ROW(tblContractForDeed[#Headers])))</f>
        <v>146500</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39">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9" s="265">
        <f>IF(INDEX(tblContractForDeed[End Bal],ROW()-ROW(tblBuyerOutputs[#Headers]))&lt;=0,0,($O$6+IF(ROW()=ROW(tblBuyerOutputs[#Headers])+1,0,INDEX(tblBuyerOutputs[Cumul Appr],ROW()-ROW(tblBuyerOutputs[#Headers])-1)))*$O$2/12)</f>
        <v>0</v>
      </c>
      <c r="AE229" s="587">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61">
        <f t="shared" si="47"/>
        <v>52232</v>
      </c>
      <c r="B230" s="265">
        <f t="shared" si="48"/>
        <v>0</v>
      </c>
      <c r="C230" s="14">
        <f t="shared" si="45"/>
        <v>0</v>
      </c>
      <c r="D230" s="14">
        <f t="shared" si="49"/>
        <v>0</v>
      </c>
      <c r="E230" s="14">
        <f t="shared" si="46"/>
        <v>0</v>
      </c>
      <c r="F230" s="14">
        <f t="shared" si="54"/>
        <v>0</v>
      </c>
      <c r="G230" s="14">
        <f t="shared" si="54"/>
        <v>0</v>
      </c>
      <c r="H230" s="14">
        <f t="shared" si="43"/>
        <v>0</v>
      </c>
      <c r="I230" s="265">
        <f t="shared" si="52"/>
        <v>0</v>
      </c>
      <c r="J230" s="265">
        <f t="shared" si="53"/>
        <v>0</v>
      </c>
      <c r="K230" s="265">
        <f t="shared" si="50"/>
        <v>0</v>
      </c>
      <c r="L230" s="373">
        <f t="shared" si="41"/>
        <v>17</v>
      </c>
      <c r="M230" s="373">
        <f t="shared" si="51"/>
        <v>210</v>
      </c>
      <c r="N230" s="561">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0.03</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Row],[Payment]]=0,0,$V$2)</f>
        <v>0</v>
      </c>
      <c r="U230" s="265">
        <f>IF(tblContractForDeed[[#This Row],[Princ]]=0,0,$V$3)</f>
        <v>0</v>
      </c>
      <c r="V230" s="265">
        <f>SUM(tblContractForDeed[[#This Row],[Princ]],tblContractForDeed[[#This Row],[Int]],tblContractForDeed[[#This Row],[Ins]],tblContractForDeed[[#This Row],[Taxes]])</f>
        <v>0</v>
      </c>
      <c r="W230" s="265">
        <f>SUM(INDEX(tblContractForDeed[Princ],1):INDEX(tblContractForDeed[Princ],ROW()-ROW(tblContractForDeed[#Headers])))</f>
        <v>146500</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39">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0" s="265">
        <f>IF(INDEX(tblContractForDeed[End Bal],ROW()-ROW(tblBuyerOutputs[#Headers]))&lt;=0,0,($O$6+IF(ROW()=ROW(tblBuyerOutputs[#Headers])+1,0,INDEX(tblBuyerOutputs[Cumul Appr],ROW()-ROW(tblBuyerOutputs[#Headers])-1)))*$O$2/12)</f>
        <v>0</v>
      </c>
      <c r="AE230" s="587">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61">
        <f t="shared" si="47"/>
        <v>52263</v>
      </c>
      <c r="B231" s="265">
        <f t="shared" si="48"/>
        <v>0</v>
      </c>
      <c r="C231" s="14">
        <f t="shared" si="45"/>
        <v>0</v>
      </c>
      <c r="D231" s="14">
        <f t="shared" si="49"/>
        <v>0</v>
      </c>
      <c r="E231" s="14">
        <f t="shared" si="46"/>
        <v>0</v>
      </c>
      <c r="F231" s="14">
        <f t="shared" si="54"/>
        <v>0</v>
      </c>
      <c r="G231" s="14">
        <f t="shared" si="54"/>
        <v>0</v>
      </c>
      <c r="H231" s="14">
        <f t="shared" si="43"/>
        <v>0</v>
      </c>
      <c r="I231" s="265">
        <f t="shared" si="52"/>
        <v>0</v>
      </c>
      <c r="J231" s="265">
        <f t="shared" si="53"/>
        <v>0</v>
      </c>
      <c r="K231" s="265">
        <f t="shared" si="50"/>
        <v>0</v>
      </c>
      <c r="L231" s="373">
        <f t="shared" si="41"/>
        <v>17</v>
      </c>
      <c r="M231" s="373">
        <f t="shared" si="51"/>
        <v>211</v>
      </c>
      <c r="N231" s="561">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0.03</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Row],[Payment]]=0,0,$V$2)</f>
        <v>0</v>
      </c>
      <c r="U231" s="265">
        <f>IF(tblContractForDeed[[#This Row],[Princ]]=0,0,$V$3)</f>
        <v>0</v>
      </c>
      <c r="V231" s="265">
        <f>SUM(tblContractForDeed[[#This Row],[Princ]],tblContractForDeed[[#This Row],[Int]],tblContractForDeed[[#This Row],[Ins]],tblContractForDeed[[#This Row],[Taxes]])</f>
        <v>0</v>
      </c>
      <c r="W231" s="265">
        <f>SUM(INDEX(tblContractForDeed[Princ],1):INDEX(tblContractForDeed[Princ],ROW()-ROW(tblContractForDeed[#Headers])))</f>
        <v>146500</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39">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1" s="265">
        <f>IF(INDEX(tblContractForDeed[End Bal],ROW()-ROW(tblBuyerOutputs[#Headers]))&lt;=0,0,($O$6+IF(ROW()=ROW(tblBuyerOutputs[#Headers])+1,0,INDEX(tblBuyerOutputs[Cumul Appr],ROW()-ROW(tblBuyerOutputs[#Headers])-1)))*$O$2/12)</f>
        <v>0</v>
      </c>
      <c r="AE231" s="587">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61">
        <f t="shared" si="47"/>
        <v>52291</v>
      </c>
      <c r="B232" s="265">
        <f t="shared" si="48"/>
        <v>0</v>
      </c>
      <c r="C232" s="14">
        <f t="shared" si="45"/>
        <v>0</v>
      </c>
      <c r="D232" s="14">
        <f t="shared" si="49"/>
        <v>0</v>
      </c>
      <c r="E232" s="14">
        <f t="shared" si="46"/>
        <v>0</v>
      </c>
      <c r="F232" s="14">
        <f t="shared" si="54"/>
        <v>0</v>
      </c>
      <c r="G232" s="14">
        <f t="shared" si="54"/>
        <v>0</v>
      </c>
      <c r="H232" s="14">
        <f t="shared" si="43"/>
        <v>0</v>
      </c>
      <c r="I232" s="265">
        <f t="shared" si="52"/>
        <v>0</v>
      </c>
      <c r="J232" s="265">
        <f t="shared" si="53"/>
        <v>0</v>
      </c>
      <c r="K232" s="265">
        <f t="shared" si="50"/>
        <v>0</v>
      </c>
      <c r="L232" s="373">
        <f t="shared" si="41"/>
        <v>17</v>
      </c>
      <c r="M232" s="373">
        <f t="shared" si="51"/>
        <v>212</v>
      </c>
      <c r="N232" s="561">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0.03</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Row],[Payment]]=0,0,$V$2)</f>
        <v>0</v>
      </c>
      <c r="U232" s="265">
        <f>IF(tblContractForDeed[[#This Row],[Princ]]=0,0,$V$3)</f>
        <v>0</v>
      </c>
      <c r="V232" s="265">
        <f>SUM(tblContractForDeed[[#This Row],[Princ]],tblContractForDeed[[#This Row],[Int]],tblContractForDeed[[#This Row],[Ins]],tblContractForDeed[[#This Row],[Taxes]])</f>
        <v>0</v>
      </c>
      <c r="W232" s="265">
        <f>SUM(INDEX(tblContractForDeed[Princ],1):INDEX(tblContractForDeed[Princ],ROW()-ROW(tblContractForDeed[#Headers])))</f>
        <v>146500</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39">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2" s="265">
        <f>IF(INDEX(tblContractForDeed[End Bal],ROW()-ROW(tblBuyerOutputs[#Headers]))&lt;=0,0,($O$6+IF(ROW()=ROW(tblBuyerOutputs[#Headers])+1,0,INDEX(tblBuyerOutputs[Cumul Appr],ROW()-ROW(tblBuyerOutputs[#Headers])-1)))*$O$2/12)</f>
        <v>0</v>
      </c>
      <c r="AE232" s="587">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61">
        <f t="shared" si="47"/>
        <v>52322</v>
      </c>
      <c r="B233" s="265">
        <f t="shared" si="48"/>
        <v>0</v>
      </c>
      <c r="C233" s="14">
        <f t="shared" si="45"/>
        <v>0</v>
      </c>
      <c r="D233" s="14">
        <f t="shared" si="49"/>
        <v>0</v>
      </c>
      <c r="E233" s="14">
        <f t="shared" si="46"/>
        <v>0</v>
      </c>
      <c r="F233" s="14">
        <f t="shared" si="54"/>
        <v>0</v>
      </c>
      <c r="G233" s="14">
        <f t="shared" si="54"/>
        <v>0</v>
      </c>
      <c r="H233" s="14">
        <f t="shared" si="43"/>
        <v>0</v>
      </c>
      <c r="I233" s="265">
        <f t="shared" si="52"/>
        <v>0</v>
      </c>
      <c r="J233" s="265">
        <f t="shared" si="53"/>
        <v>0</v>
      </c>
      <c r="K233" s="265">
        <f t="shared" si="50"/>
        <v>0</v>
      </c>
      <c r="L233" s="373">
        <f t="shared" si="41"/>
        <v>17</v>
      </c>
      <c r="M233" s="373">
        <f t="shared" si="51"/>
        <v>213</v>
      </c>
      <c r="N233" s="561">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0.03</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Row],[Payment]]=0,0,$V$2)</f>
        <v>0</v>
      </c>
      <c r="U233" s="265">
        <f>IF(tblContractForDeed[[#This Row],[Princ]]=0,0,$V$3)</f>
        <v>0</v>
      </c>
      <c r="V233" s="265">
        <f>SUM(tblContractForDeed[[#This Row],[Princ]],tblContractForDeed[[#This Row],[Int]],tblContractForDeed[[#This Row],[Ins]],tblContractForDeed[[#This Row],[Taxes]])</f>
        <v>0</v>
      </c>
      <c r="W233" s="265">
        <f>SUM(INDEX(tblContractForDeed[Princ],1):INDEX(tblContractForDeed[Princ],ROW()-ROW(tblContractForDeed[#Headers])))</f>
        <v>146500</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39">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3" s="265">
        <f>IF(INDEX(tblContractForDeed[End Bal],ROW()-ROW(tblBuyerOutputs[#Headers]))&lt;=0,0,($O$6+IF(ROW()=ROW(tblBuyerOutputs[#Headers])+1,0,INDEX(tblBuyerOutputs[Cumul Appr],ROW()-ROW(tblBuyerOutputs[#Headers])-1)))*$O$2/12)</f>
        <v>0</v>
      </c>
      <c r="AE233" s="587">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61" t="str">
        <f t="shared" si="47"/>
        <v/>
      </c>
      <c r="B234" s="265">
        <f t="shared" si="48"/>
        <v>0</v>
      </c>
      <c r="C234" s="14">
        <f t="shared" si="45"/>
        <v>0</v>
      </c>
      <c r="D234" s="14">
        <f t="shared" si="49"/>
        <v>0</v>
      </c>
      <c r="E234" s="14">
        <f t="shared" si="46"/>
        <v>0</v>
      </c>
      <c r="F234" s="14">
        <f t="shared" si="54"/>
        <v>0</v>
      </c>
      <c r="G234" s="14">
        <f t="shared" si="54"/>
        <v>0</v>
      </c>
      <c r="H234" s="14">
        <f t="shared" si="43"/>
        <v>0</v>
      </c>
      <c r="I234" s="265">
        <f t="shared" si="52"/>
        <v>0</v>
      </c>
      <c r="J234" s="265">
        <f t="shared" si="53"/>
        <v>0</v>
      </c>
      <c r="K234" s="265">
        <f t="shared" si="50"/>
        <v>0</v>
      </c>
      <c r="L234" s="373">
        <f t="shared" si="41"/>
        <v>0</v>
      </c>
      <c r="M234" s="373">
        <f t="shared" si="51"/>
        <v>0</v>
      </c>
      <c r="N234" s="561"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Row],[Payment]]=0,0,$V$2)</f>
        <v>0</v>
      </c>
      <c r="U234" s="265">
        <f>IF(tblContractForDeed[[#This Row],[Princ]]=0,0,$V$3)</f>
        <v>0</v>
      </c>
      <c r="V234" s="265">
        <f>SUM(tblContractForDeed[[#This Row],[Princ]],tblContractForDeed[[#This Row],[Int]],tblContractForDeed[[#This Row],[Ins]],tblContractForDeed[[#This Row],[Taxes]])</f>
        <v>0</v>
      </c>
      <c r="W234" s="265">
        <f>SUM(INDEX(tblContractForDeed[Princ],1):INDEX(tblContractForDeed[Princ],ROW()-ROW(tblContractForDeed[#Headers])))</f>
        <v>146500</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39">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4" s="265">
        <f>IF(INDEX(tblContractForDeed[End Bal],ROW()-ROW(tblBuyerOutputs[#Headers]))&lt;=0,0,($O$6+IF(ROW()=ROW(tblBuyerOutputs[#Headers])+1,0,INDEX(tblBuyerOutputs[Cumul Appr],ROW()-ROW(tblBuyerOutputs[#Headers])-1)))*$O$2/12)</f>
        <v>0</v>
      </c>
      <c r="AE234" s="587">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62" t="str">
        <f t="shared" si="47"/>
        <v/>
      </c>
      <c r="B235" s="316">
        <f t="shared" si="48"/>
        <v>0</v>
      </c>
      <c r="C235" s="21">
        <f t="shared" si="45"/>
        <v>0</v>
      </c>
      <c r="D235" s="21">
        <f t="shared" si="49"/>
        <v>0</v>
      </c>
      <c r="E235" s="21">
        <f t="shared" si="46"/>
        <v>0</v>
      </c>
      <c r="F235" s="21">
        <f t="shared" si="54"/>
        <v>0</v>
      </c>
      <c r="G235" s="21">
        <f t="shared" si="54"/>
        <v>0</v>
      </c>
      <c r="H235" s="21">
        <f t="shared" si="43"/>
        <v>0</v>
      </c>
      <c r="I235" s="316">
        <f t="shared" si="52"/>
        <v>0</v>
      </c>
      <c r="J235" s="316">
        <f t="shared" si="53"/>
        <v>0</v>
      </c>
      <c r="K235" s="316">
        <f t="shared" si="50"/>
        <v>0</v>
      </c>
      <c r="L235" s="374">
        <f t="shared" si="41"/>
        <v>0</v>
      </c>
      <c r="M235" s="374">
        <f t="shared" si="51"/>
        <v>0</v>
      </c>
      <c r="N235" s="562" t="str">
        <f>INDEX(tblSubjectToLoan[Date],ROW()-ROW(tblContractForDeed[#Headers]))</f>
        <v/>
      </c>
      <c r="O235" s="316">
        <f>IF(ROW()=ROW(tblContractForDeed[#Headers])+1,$O$6,IF(INDEX(tblContractForDeed[End Bal],ROW()-ROW(tblContractForDeed[#Headers])-1)&lt;0,0,INDEX(tblContractForDeed[End Bal],ROW()-ROW(tblContractForDeed[#Headers])-1)))</f>
        <v>0</v>
      </c>
      <c r="P235" s="585"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Row],[Payment]]=0,0,$V$2)</f>
        <v>0</v>
      </c>
      <c r="U235" s="316">
        <f>IF(tblContractForDeed[[#This Row],[Princ]]=0,0,$V$3)</f>
        <v>0</v>
      </c>
      <c r="V235" s="316">
        <f>SUM(tblContractForDeed[[#This Row],[Princ]],tblContractForDeed[[#This Row],[Int]],tblContractForDeed[[#This Row],[Ins]],tblContractForDeed[[#This Row],[Taxes]])</f>
        <v>0</v>
      </c>
      <c r="W235" s="316">
        <f>SUM(INDEX(tblContractForDeed[Princ],1):INDEX(tblContractForDeed[Princ],ROW()-ROW(tblContractForDeed[#Headers])))</f>
        <v>146500</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0">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5" s="316">
        <f>IF(INDEX(tblContractForDeed[End Bal],ROW()-ROW(tblBuyerOutputs[#Headers]))&lt;=0,0,($O$6+IF(ROW()=ROW(tblBuyerOutputs[#Headers])+1,0,INDEX(tblBuyerOutputs[Cumul Appr],ROW()-ROW(tblBuyerOutputs[#Headers])-1)))*$O$2/12)</f>
        <v>0</v>
      </c>
      <c r="AE235" s="588">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61" t="str">
        <f t="shared" si="47"/>
        <v/>
      </c>
      <c r="B236" s="265">
        <f t="shared" si="48"/>
        <v>0</v>
      </c>
      <c r="C236" s="14">
        <f t="shared" si="45"/>
        <v>0</v>
      </c>
      <c r="D236" s="14">
        <f t="shared" si="49"/>
        <v>0</v>
      </c>
      <c r="E236" s="14">
        <f t="shared" si="46"/>
        <v>0</v>
      </c>
      <c r="F236" s="14">
        <f t="shared" si="54"/>
        <v>0</v>
      </c>
      <c r="G236" s="14">
        <f t="shared" si="54"/>
        <v>0</v>
      </c>
      <c r="H236" s="14">
        <f t="shared" si="43"/>
        <v>0</v>
      </c>
      <c r="I236" s="265">
        <f t="shared" si="52"/>
        <v>0</v>
      </c>
      <c r="J236" s="265">
        <f t="shared" si="53"/>
        <v>0</v>
      </c>
      <c r="K236" s="265">
        <f t="shared" si="50"/>
        <v>0</v>
      </c>
      <c r="L236" s="373">
        <f t="shared" si="41"/>
        <v>0</v>
      </c>
      <c r="M236" s="373">
        <f t="shared" si="51"/>
        <v>0</v>
      </c>
      <c r="N236" s="561"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Row],[Payment]]=0,0,$V$2)</f>
        <v>0</v>
      </c>
      <c r="U236" s="265">
        <f>IF(tblContractForDeed[[#This Row],[Princ]]=0,0,$V$3)</f>
        <v>0</v>
      </c>
      <c r="V236" s="265">
        <f>SUM(tblContractForDeed[[#This Row],[Princ]],tblContractForDeed[[#This Row],[Int]],tblContractForDeed[[#This Row],[Ins]],tblContractForDeed[[#This Row],[Taxes]])</f>
        <v>0</v>
      </c>
      <c r="W236" s="265">
        <f>SUM(INDEX(tblContractForDeed[Princ],1):INDEX(tblContractForDeed[Princ],ROW()-ROW(tblContractForDeed[#Headers])))</f>
        <v>146500</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39">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6" s="265">
        <f>IF(INDEX(tblContractForDeed[End Bal],ROW()-ROW(tblBuyerOutputs[#Headers]))&lt;=0,0,($O$6+IF(ROW()=ROW(tblBuyerOutputs[#Headers])+1,0,INDEX(tblBuyerOutputs[Cumul Appr],ROW()-ROW(tblBuyerOutputs[#Headers])-1)))*$O$2/12)</f>
        <v>0</v>
      </c>
      <c r="AE236" s="587">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61" t="str">
        <f t="shared" si="47"/>
        <v/>
      </c>
      <c r="B237" s="265">
        <f t="shared" si="48"/>
        <v>0</v>
      </c>
      <c r="C237" s="14">
        <f t="shared" si="45"/>
        <v>0</v>
      </c>
      <c r="D237" s="14">
        <f t="shared" si="49"/>
        <v>0</v>
      </c>
      <c r="E237" s="14">
        <f t="shared" si="46"/>
        <v>0</v>
      </c>
      <c r="F237" s="14">
        <f t="shared" si="54"/>
        <v>0</v>
      </c>
      <c r="G237" s="14">
        <f t="shared" si="54"/>
        <v>0</v>
      </c>
      <c r="H237" s="14">
        <f t="shared" si="43"/>
        <v>0</v>
      </c>
      <c r="I237" s="265">
        <f t="shared" si="52"/>
        <v>0</v>
      </c>
      <c r="J237" s="265">
        <f t="shared" si="53"/>
        <v>0</v>
      </c>
      <c r="K237" s="265">
        <f t="shared" si="50"/>
        <v>0</v>
      </c>
      <c r="L237" s="373">
        <f t="shared" si="41"/>
        <v>0</v>
      </c>
      <c r="M237" s="373">
        <f t="shared" si="51"/>
        <v>0</v>
      </c>
      <c r="N237" s="561"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Row],[Payment]]=0,0,$V$2)</f>
        <v>0</v>
      </c>
      <c r="U237" s="265">
        <f>IF(tblContractForDeed[[#This Row],[Princ]]=0,0,$V$3)</f>
        <v>0</v>
      </c>
      <c r="V237" s="265">
        <f>SUM(tblContractForDeed[[#This Row],[Princ]],tblContractForDeed[[#This Row],[Int]],tblContractForDeed[[#This Row],[Ins]],tblContractForDeed[[#This Row],[Taxes]])</f>
        <v>0</v>
      </c>
      <c r="W237" s="265">
        <f>SUM(INDEX(tblContractForDeed[Princ],1):INDEX(tblContractForDeed[Princ],ROW()-ROW(tblContractForDeed[#Headers])))</f>
        <v>146500</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39">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7" s="265">
        <f>IF(INDEX(tblContractForDeed[End Bal],ROW()-ROW(tblBuyerOutputs[#Headers]))&lt;=0,0,($O$6+IF(ROW()=ROW(tblBuyerOutputs[#Headers])+1,0,INDEX(tblBuyerOutputs[Cumul Appr],ROW()-ROW(tblBuyerOutputs[#Headers])-1)))*$O$2/12)</f>
        <v>0</v>
      </c>
      <c r="AE237" s="587">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61" t="str">
        <f t="shared" si="47"/>
        <v/>
      </c>
      <c r="B238" s="265">
        <f t="shared" si="48"/>
        <v>0</v>
      </c>
      <c r="C238" s="14">
        <f t="shared" si="45"/>
        <v>0</v>
      </c>
      <c r="D238" s="14">
        <f t="shared" si="49"/>
        <v>0</v>
      </c>
      <c r="E238" s="14">
        <f t="shared" si="46"/>
        <v>0</v>
      </c>
      <c r="F238" s="14">
        <f t="shared" si="54"/>
        <v>0</v>
      </c>
      <c r="G238" s="14">
        <f t="shared" si="54"/>
        <v>0</v>
      </c>
      <c r="H238" s="14">
        <f t="shared" si="43"/>
        <v>0</v>
      </c>
      <c r="I238" s="265">
        <f t="shared" si="52"/>
        <v>0</v>
      </c>
      <c r="J238" s="265">
        <f t="shared" si="53"/>
        <v>0</v>
      </c>
      <c r="K238" s="265">
        <f t="shared" si="50"/>
        <v>0</v>
      </c>
      <c r="L238" s="373">
        <f t="shared" si="41"/>
        <v>0</v>
      </c>
      <c r="M238" s="373">
        <f t="shared" si="51"/>
        <v>0</v>
      </c>
      <c r="N238" s="561"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Row],[Payment]]=0,0,$V$2)</f>
        <v>0</v>
      </c>
      <c r="U238" s="265">
        <f>IF(tblContractForDeed[[#This Row],[Princ]]=0,0,$V$3)</f>
        <v>0</v>
      </c>
      <c r="V238" s="265">
        <f>SUM(tblContractForDeed[[#This Row],[Princ]],tblContractForDeed[[#This Row],[Int]],tblContractForDeed[[#This Row],[Ins]],tblContractForDeed[[#This Row],[Taxes]])</f>
        <v>0</v>
      </c>
      <c r="W238" s="265">
        <f>SUM(INDEX(tblContractForDeed[Princ],1):INDEX(tblContractForDeed[Princ],ROW()-ROW(tblContractForDeed[#Headers])))</f>
        <v>146500</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39">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8" s="265">
        <f>IF(INDEX(tblContractForDeed[End Bal],ROW()-ROW(tblBuyerOutputs[#Headers]))&lt;=0,0,($O$6+IF(ROW()=ROW(tblBuyerOutputs[#Headers])+1,0,INDEX(tblBuyerOutputs[Cumul Appr],ROW()-ROW(tblBuyerOutputs[#Headers])-1)))*$O$2/12)</f>
        <v>0</v>
      </c>
      <c r="AE238" s="587">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61" t="str">
        <f t="shared" si="47"/>
        <v/>
      </c>
      <c r="B239" s="265">
        <f t="shared" si="48"/>
        <v>0</v>
      </c>
      <c r="C239" s="14">
        <f t="shared" si="45"/>
        <v>0</v>
      </c>
      <c r="D239" s="14">
        <f t="shared" si="49"/>
        <v>0</v>
      </c>
      <c r="E239" s="14">
        <f t="shared" si="46"/>
        <v>0</v>
      </c>
      <c r="F239" s="14">
        <f t="shared" ref="F239:G254" si="55">+F238</f>
        <v>0</v>
      </c>
      <c r="G239" s="14">
        <f t="shared" si="55"/>
        <v>0</v>
      </c>
      <c r="H239" s="14">
        <f t="shared" si="43"/>
        <v>0</v>
      </c>
      <c r="I239" s="265">
        <f t="shared" si="52"/>
        <v>0</v>
      </c>
      <c r="J239" s="265">
        <f t="shared" si="53"/>
        <v>0</v>
      </c>
      <c r="K239" s="265">
        <f t="shared" si="50"/>
        <v>0</v>
      </c>
      <c r="L239" s="373">
        <f t="shared" si="41"/>
        <v>0</v>
      </c>
      <c r="M239" s="373">
        <f t="shared" si="51"/>
        <v>0</v>
      </c>
      <c r="N239" s="561"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Row],[Payment]]=0,0,$V$2)</f>
        <v>0</v>
      </c>
      <c r="U239" s="265">
        <f>IF(tblContractForDeed[[#This Row],[Princ]]=0,0,$V$3)</f>
        <v>0</v>
      </c>
      <c r="V239" s="265">
        <f>SUM(tblContractForDeed[[#This Row],[Princ]],tblContractForDeed[[#This Row],[Int]],tblContractForDeed[[#This Row],[Ins]],tblContractForDeed[[#This Row],[Taxes]])</f>
        <v>0</v>
      </c>
      <c r="W239" s="265">
        <f>SUM(INDEX(tblContractForDeed[Princ],1):INDEX(tblContractForDeed[Princ],ROW()-ROW(tblContractForDeed[#Headers])))</f>
        <v>146500</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39">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9" s="265">
        <f>IF(INDEX(tblContractForDeed[End Bal],ROW()-ROW(tblBuyerOutputs[#Headers]))&lt;=0,0,($O$6+IF(ROW()=ROW(tblBuyerOutputs[#Headers])+1,0,INDEX(tblBuyerOutputs[Cumul Appr],ROW()-ROW(tblBuyerOutputs[#Headers])-1)))*$O$2/12)</f>
        <v>0</v>
      </c>
      <c r="AE239" s="587">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61" t="str">
        <f t="shared" si="47"/>
        <v/>
      </c>
      <c r="B240" s="265">
        <f t="shared" si="48"/>
        <v>0</v>
      </c>
      <c r="C240" s="14">
        <f t="shared" si="45"/>
        <v>0</v>
      </c>
      <c r="D240" s="14">
        <f t="shared" si="49"/>
        <v>0</v>
      </c>
      <c r="E240" s="14">
        <f t="shared" si="46"/>
        <v>0</v>
      </c>
      <c r="F240" s="14">
        <f t="shared" si="55"/>
        <v>0</v>
      </c>
      <c r="G240" s="14">
        <f t="shared" si="55"/>
        <v>0</v>
      </c>
      <c r="H240" s="14">
        <f t="shared" si="43"/>
        <v>0</v>
      </c>
      <c r="I240" s="265">
        <f t="shared" si="52"/>
        <v>0</v>
      </c>
      <c r="J240" s="265">
        <f t="shared" si="53"/>
        <v>0</v>
      </c>
      <c r="K240" s="265">
        <f t="shared" si="50"/>
        <v>0</v>
      </c>
      <c r="L240" s="373">
        <f t="shared" si="41"/>
        <v>0</v>
      </c>
      <c r="M240" s="373">
        <f t="shared" si="51"/>
        <v>0</v>
      </c>
      <c r="N240" s="561"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Row],[Payment]]=0,0,$V$2)</f>
        <v>0</v>
      </c>
      <c r="U240" s="265">
        <f>IF(tblContractForDeed[[#This Row],[Princ]]=0,0,$V$3)</f>
        <v>0</v>
      </c>
      <c r="V240" s="265">
        <f>SUM(tblContractForDeed[[#This Row],[Princ]],tblContractForDeed[[#This Row],[Int]],tblContractForDeed[[#This Row],[Ins]],tblContractForDeed[[#This Row],[Taxes]])</f>
        <v>0</v>
      </c>
      <c r="W240" s="265">
        <f>SUM(INDEX(tblContractForDeed[Princ],1):INDEX(tblContractForDeed[Princ],ROW()-ROW(tblContractForDeed[#Headers])))</f>
        <v>146500</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39">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0" s="265">
        <f>IF(INDEX(tblContractForDeed[End Bal],ROW()-ROW(tblBuyerOutputs[#Headers]))&lt;=0,0,($O$6+IF(ROW()=ROW(tblBuyerOutputs[#Headers])+1,0,INDEX(tblBuyerOutputs[Cumul Appr],ROW()-ROW(tblBuyerOutputs[#Headers])-1)))*$O$2/12)</f>
        <v>0</v>
      </c>
      <c r="AE240" s="587">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61" t="str">
        <f t="shared" si="47"/>
        <v/>
      </c>
      <c r="B241" s="265">
        <f t="shared" si="48"/>
        <v>0</v>
      </c>
      <c r="C241" s="14">
        <f t="shared" si="45"/>
        <v>0</v>
      </c>
      <c r="D241" s="14">
        <f t="shared" si="49"/>
        <v>0</v>
      </c>
      <c r="E241" s="14">
        <f t="shared" si="46"/>
        <v>0</v>
      </c>
      <c r="F241" s="14">
        <f t="shared" si="55"/>
        <v>0</v>
      </c>
      <c r="G241" s="14">
        <f t="shared" si="55"/>
        <v>0</v>
      </c>
      <c r="H241" s="14">
        <f t="shared" si="43"/>
        <v>0</v>
      </c>
      <c r="I241" s="265">
        <f t="shared" si="52"/>
        <v>0</v>
      </c>
      <c r="J241" s="265">
        <f t="shared" si="53"/>
        <v>0</v>
      </c>
      <c r="K241" s="265">
        <f t="shared" si="50"/>
        <v>0</v>
      </c>
      <c r="L241" s="373">
        <f t="shared" si="41"/>
        <v>0</v>
      </c>
      <c r="M241" s="373">
        <f t="shared" si="51"/>
        <v>0</v>
      </c>
      <c r="N241" s="561"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Row],[Payment]]=0,0,$V$2)</f>
        <v>0</v>
      </c>
      <c r="U241" s="265">
        <f>IF(tblContractForDeed[[#This Row],[Princ]]=0,0,$V$3)</f>
        <v>0</v>
      </c>
      <c r="V241" s="265">
        <f>SUM(tblContractForDeed[[#This Row],[Princ]],tblContractForDeed[[#This Row],[Int]],tblContractForDeed[[#This Row],[Ins]],tblContractForDeed[[#This Row],[Taxes]])</f>
        <v>0</v>
      </c>
      <c r="W241" s="265">
        <f>SUM(INDEX(tblContractForDeed[Princ],1):INDEX(tblContractForDeed[Princ],ROW()-ROW(tblContractForDeed[#Headers])))</f>
        <v>146500</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39">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1" s="265">
        <f>IF(INDEX(tblContractForDeed[End Bal],ROW()-ROW(tblBuyerOutputs[#Headers]))&lt;=0,0,($O$6+IF(ROW()=ROW(tblBuyerOutputs[#Headers])+1,0,INDEX(tblBuyerOutputs[Cumul Appr],ROW()-ROW(tblBuyerOutputs[#Headers])-1)))*$O$2/12)</f>
        <v>0</v>
      </c>
      <c r="AE241" s="587">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61" t="str">
        <f t="shared" si="47"/>
        <v/>
      </c>
      <c r="B242" s="265">
        <f t="shared" si="48"/>
        <v>0</v>
      </c>
      <c r="C242" s="14">
        <f t="shared" si="45"/>
        <v>0</v>
      </c>
      <c r="D242" s="14">
        <f t="shared" si="49"/>
        <v>0</v>
      </c>
      <c r="E242" s="14">
        <f t="shared" si="46"/>
        <v>0</v>
      </c>
      <c r="F242" s="14">
        <f t="shared" si="55"/>
        <v>0</v>
      </c>
      <c r="G242" s="14">
        <f t="shared" si="55"/>
        <v>0</v>
      </c>
      <c r="H242" s="14">
        <f t="shared" si="43"/>
        <v>0</v>
      </c>
      <c r="I242" s="265">
        <f t="shared" si="52"/>
        <v>0</v>
      </c>
      <c r="J242" s="265">
        <f t="shared" si="53"/>
        <v>0</v>
      </c>
      <c r="K242" s="265">
        <f t="shared" si="50"/>
        <v>0</v>
      </c>
      <c r="L242" s="373">
        <f t="shared" si="41"/>
        <v>0</v>
      </c>
      <c r="M242" s="373">
        <f t="shared" si="51"/>
        <v>0</v>
      </c>
      <c r="N242" s="561"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Row],[Payment]]=0,0,$V$2)</f>
        <v>0</v>
      </c>
      <c r="U242" s="265">
        <f>IF(tblContractForDeed[[#This Row],[Princ]]=0,0,$V$3)</f>
        <v>0</v>
      </c>
      <c r="V242" s="265">
        <f>SUM(tblContractForDeed[[#This Row],[Princ]],tblContractForDeed[[#This Row],[Int]],tblContractForDeed[[#This Row],[Ins]],tblContractForDeed[[#This Row],[Taxes]])</f>
        <v>0</v>
      </c>
      <c r="W242" s="265">
        <f>SUM(INDEX(tblContractForDeed[Princ],1):INDEX(tblContractForDeed[Princ],ROW()-ROW(tblContractForDeed[#Headers])))</f>
        <v>146500</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39">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2" s="265">
        <f>IF(INDEX(tblContractForDeed[End Bal],ROW()-ROW(tblBuyerOutputs[#Headers]))&lt;=0,0,($O$6+IF(ROW()=ROW(tblBuyerOutputs[#Headers])+1,0,INDEX(tblBuyerOutputs[Cumul Appr],ROW()-ROW(tblBuyerOutputs[#Headers])-1)))*$O$2/12)</f>
        <v>0</v>
      </c>
      <c r="AE242" s="587">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61" t="str">
        <f t="shared" si="47"/>
        <v/>
      </c>
      <c r="B243" s="265">
        <f t="shared" si="48"/>
        <v>0</v>
      </c>
      <c r="C243" s="14">
        <f t="shared" si="45"/>
        <v>0</v>
      </c>
      <c r="D243" s="14">
        <f t="shared" si="49"/>
        <v>0</v>
      </c>
      <c r="E243" s="14">
        <f t="shared" si="46"/>
        <v>0</v>
      </c>
      <c r="F243" s="14">
        <f t="shared" si="55"/>
        <v>0</v>
      </c>
      <c r="G243" s="14">
        <f t="shared" si="55"/>
        <v>0</v>
      </c>
      <c r="H243" s="14">
        <f t="shared" si="43"/>
        <v>0</v>
      </c>
      <c r="I243" s="265">
        <f t="shared" si="52"/>
        <v>0</v>
      </c>
      <c r="J243" s="265">
        <f t="shared" si="53"/>
        <v>0</v>
      </c>
      <c r="K243" s="265">
        <f t="shared" si="50"/>
        <v>0</v>
      </c>
      <c r="L243" s="373">
        <f t="shared" si="41"/>
        <v>0</v>
      </c>
      <c r="M243" s="373">
        <f t="shared" si="51"/>
        <v>0</v>
      </c>
      <c r="N243" s="561"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Row],[Payment]]=0,0,$V$2)</f>
        <v>0</v>
      </c>
      <c r="U243" s="265">
        <f>IF(tblContractForDeed[[#This Row],[Princ]]=0,0,$V$3)</f>
        <v>0</v>
      </c>
      <c r="V243" s="265">
        <f>SUM(tblContractForDeed[[#This Row],[Princ]],tblContractForDeed[[#This Row],[Int]],tblContractForDeed[[#This Row],[Ins]],tblContractForDeed[[#This Row],[Taxes]])</f>
        <v>0</v>
      </c>
      <c r="W243" s="265">
        <f>SUM(INDEX(tblContractForDeed[Princ],1):INDEX(tblContractForDeed[Princ],ROW()-ROW(tblContractForDeed[#Headers])))</f>
        <v>146500</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39">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3" s="265">
        <f>IF(INDEX(tblContractForDeed[End Bal],ROW()-ROW(tblBuyerOutputs[#Headers]))&lt;=0,0,($O$6+IF(ROW()=ROW(tblBuyerOutputs[#Headers])+1,0,INDEX(tblBuyerOutputs[Cumul Appr],ROW()-ROW(tblBuyerOutputs[#Headers])-1)))*$O$2/12)</f>
        <v>0</v>
      </c>
      <c r="AE243" s="587">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61" t="str">
        <f t="shared" si="47"/>
        <v/>
      </c>
      <c r="B244" s="265">
        <f t="shared" si="48"/>
        <v>0</v>
      </c>
      <c r="C244" s="14">
        <f t="shared" si="45"/>
        <v>0</v>
      </c>
      <c r="D244" s="14">
        <f t="shared" si="49"/>
        <v>0</v>
      </c>
      <c r="E244" s="14">
        <f t="shared" si="46"/>
        <v>0</v>
      </c>
      <c r="F244" s="14">
        <f t="shared" si="55"/>
        <v>0</v>
      </c>
      <c r="G244" s="14">
        <f t="shared" si="55"/>
        <v>0</v>
      </c>
      <c r="H244" s="14">
        <f t="shared" si="43"/>
        <v>0</v>
      </c>
      <c r="I244" s="265">
        <f t="shared" si="52"/>
        <v>0</v>
      </c>
      <c r="J244" s="265">
        <f t="shared" si="53"/>
        <v>0</v>
      </c>
      <c r="K244" s="265">
        <f t="shared" si="50"/>
        <v>0</v>
      </c>
      <c r="L244" s="373">
        <f t="shared" ref="L244:L307" si="56">IF(MOD(M244,12)=0,M244/12,L243)</f>
        <v>0</v>
      </c>
      <c r="M244" s="373">
        <f t="shared" si="51"/>
        <v>0</v>
      </c>
      <c r="N244" s="561"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Row],[Payment]]=0,0,$V$2)</f>
        <v>0</v>
      </c>
      <c r="U244" s="265">
        <f>IF(tblContractForDeed[[#This Row],[Princ]]=0,0,$V$3)</f>
        <v>0</v>
      </c>
      <c r="V244" s="265">
        <f>SUM(tblContractForDeed[[#This Row],[Princ]],tblContractForDeed[[#This Row],[Int]],tblContractForDeed[[#This Row],[Ins]],tblContractForDeed[[#This Row],[Taxes]])</f>
        <v>0</v>
      </c>
      <c r="W244" s="265">
        <f>SUM(INDEX(tblContractForDeed[Princ],1):INDEX(tblContractForDeed[Princ],ROW()-ROW(tblContractForDeed[#Headers])))</f>
        <v>146500</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39">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4" s="265">
        <f>IF(INDEX(tblContractForDeed[End Bal],ROW()-ROW(tblBuyerOutputs[#Headers]))&lt;=0,0,($O$6+IF(ROW()=ROW(tblBuyerOutputs[#Headers])+1,0,INDEX(tblBuyerOutputs[Cumul Appr],ROW()-ROW(tblBuyerOutputs[#Headers])-1)))*$O$2/12)</f>
        <v>0</v>
      </c>
      <c r="AE244" s="587">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61" t="str">
        <f t="shared" si="47"/>
        <v/>
      </c>
      <c r="B245" s="265">
        <f t="shared" si="48"/>
        <v>0</v>
      </c>
      <c r="C245" s="14">
        <f t="shared" si="45"/>
        <v>0</v>
      </c>
      <c r="D245" s="14">
        <f t="shared" si="49"/>
        <v>0</v>
      </c>
      <c r="E245" s="14">
        <f t="shared" si="46"/>
        <v>0</v>
      </c>
      <c r="F245" s="14">
        <f t="shared" si="55"/>
        <v>0</v>
      </c>
      <c r="G245" s="14">
        <f t="shared" si="55"/>
        <v>0</v>
      </c>
      <c r="H245" s="14">
        <f t="shared" si="43"/>
        <v>0</v>
      </c>
      <c r="I245" s="265">
        <f t="shared" si="52"/>
        <v>0</v>
      </c>
      <c r="J245" s="265">
        <f t="shared" si="53"/>
        <v>0</v>
      </c>
      <c r="K245" s="265">
        <f t="shared" si="50"/>
        <v>0</v>
      </c>
      <c r="L245" s="373">
        <f t="shared" si="56"/>
        <v>0</v>
      </c>
      <c r="M245" s="373">
        <f t="shared" si="51"/>
        <v>0</v>
      </c>
      <c r="N245" s="561"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Row],[Payment]]=0,0,$V$2)</f>
        <v>0</v>
      </c>
      <c r="U245" s="265">
        <f>IF(tblContractForDeed[[#This Row],[Princ]]=0,0,$V$3)</f>
        <v>0</v>
      </c>
      <c r="V245" s="265">
        <f>SUM(tblContractForDeed[[#This Row],[Princ]],tblContractForDeed[[#This Row],[Int]],tblContractForDeed[[#This Row],[Ins]],tblContractForDeed[[#This Row],[Taxes]])</f>
        <v>0</v>
      </c>
      <c r="W245" s="265">
        <f>SUM(INDEX(tblContractForDeed[Princ],1):INDEX(tblContractForDeed[Princ],ROW()-ROW(tblContractForDeed[#Headers])))</f>
        <v>146500</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39">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5" s="265">
        <f>IF(INDEX(tblContractForDeed[End Bal],ROW()-ROW(tblBuyerOutputs[#Headers]))&lt;=0,0,($O$6+IF(ROW()=ROW(tblBuyerOutputs[#Headers])+1,0,INDEX(tblBuyerOutputs[Cumul Appr],ROW()-ROW(tblBuyerOutputs[#Headers])-1)))*$O$2/12)</f>
        <v>0</v>
      </c>
      <c r="AE245" s="587">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61" t="str">
        <f t="shared" si="47"/>
        <v/>
      </c>
      <c r="B246" s="265">
        <f t="shared" si="48"/>
        <v>0</v>
      </c>
      <c r="C246" s="14">
        <f t="shared" si="45"/>
        <v>0</v>
      </c>
      <c r="D246" s="14">
        <f t="shared" si="49"/>
        <v>0</v>
      </c>
      <c r="E246" s="14">
        <f t="shared" si="46"/>
        <v>0</v>
      </c>
      <c r="F246" s="14">
        <f t="shared" si="55"/>
        <v>0</v>
      </c>
      <c r="G246" s="14">
        <f t="shared" si="55"/>
        <v>0</v>
      </c>
      <c r="H246" s="14">
        <f t="shared" si="43"/>
        <v>0</v>
      </c>
      <c r="I246" s="265">
        <f t="shared" si="52"/>
        <v>0</v>
      </c>
      <c r="J246" s="265">
        <f t="shared" si="53"/>
        <v>0</v>
      </c>
      <c r="K246" s="265">
        <f t="shared" si="50"/>
        <v>0</v>
      </c>
      <c r="L246" s="373">
        <f t="shared" si="56"/>
        <v>0</v>
      </c>
      <c r="M246" s="373">
        <f t="shared" si="51"/>
        <v>0</v>
      </c>
      <c r="N246" s="561"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Row],[Payment]]=0,0,$V$2)</f>
        <v>0</v>
      </c>
      <c r="U246" s="265">
        <f>IF(tblContractForDeed[[#This Row],[Princ]]=0,0,$V$3)</f>
        <v>0</v>
      </c>
      <c r="V246" s="265">
        <f>SUM(tblContractForDeed[[#This Row],[Princ]],tblContractForDeed[[#This Row],[Int]],tblContractForDeed[[#This Row],[Ins]],tblContractForDeed[[#This Row],[Taxes]])</f>
        <v>0</v>
      </c>
      <c r="W246" s="265">
        <f>SUM(INDEX(tblContractForDeed[Princ],1):INDEX(tblContractForDeed[Princ],ROW()-ROW(tblContractForDeed[#Headers])))</f>
        <v>146500</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39">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6" s="265">
        <f>IF(INDEX(tblContractForDeed[End Bal],ROW()-ROW(tblBuyerOutputs[#Headers]))&lt;=0,0,($O$6+IF(ROW()=ROW(tblBuyerOutputs[#Headers])+1,0,INDEX(tblBuyerOutputs[Cumul Appr],ROW()-ROW(tblBuyerOutputs[#Headers])-1)))*$O$2/12)</f>
        <v>0</v>
      </c>
      <c r="AE246" s="587">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62" t="str">
        <f t="shared" si="47"/>
        <v/>
      </c>
      <c r="B247" s="316">
        <f t="shared" si="48"/>
        <v>0</v>
      </c>
      <c r="C247" s="21">
        <f t="shared" si="45"/>
        <v>0</v>
      </c>
      <c r="D247" s="21">
        <f t="shared" si="49"/>
        <v>0</v>
      </c>
      <c r="E247" s="21">
        <f t="shared" si="46"/>
        <v>0</v>
      </c>
      <c r="F247" s="21">
        <f t="shared" si="55"/>
        <v>0</v>
      </c>
      <c r="G247" s="21">
        <f t="shared" si="55"/>
        <v>0</v>
      </c>
      <c r="H247" s="21">
        <f t="shared" si="43"/>
        <v>0</v>
      </c>
      <c r="I247" s="316">
        <f t="shared" si="52"/>
        <v>0</v>
      </c>
      <c r="J247" s="316">
        <f t="shared" si="53"/>
        <v>0</v>
      </c>
      <c r="K247" s="316">
        <f t="shared" si="50"/>
        <v>0</v>
      </c>
      <c r="L247" s="374">
        <f t="shared" si="56"/>
        <v>0</v>
      </c>
      <c r="M247" s="374">
        <f t="shared" si="51"/>
        <v>0</v>
      </c>
      <c r="N247" s="562" t="str">
        <f>INDEX(tblSubjectToLoan[Date],ROW()-ROW(tblContractForDeed[#Headers]))</f>
        <v/>
      </c>
      <c r="O247" s="316">
        <f>IF(ROW()=ROW(tblContractForDeed[#Headers])+1,$O$6,IF(INDEX(tblContractForDeed[End Bal],ROW()-ROW(tblContractForDeed[#Headers])-1)&lt;0,0,INDEX(tblContractForDeed[End Bal],ROW()-ROW(tblContractForDeed[#Headers])-1)))</f>
        <v>0</v>
      </c>
      <c r="P247" s="585"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Row],[Payment]]=0,0,$V$2)</f>
        <v>0</v>
      </c>
      <c r="U247" s="316">
        <f>IF(tblContractForDeed[[#This Row],[Princ]]=0,0,$V$3)</f>
        <v>0</v>
      </c>
      <c r="V247" s="316">
        <f>SUM(tblContractForDeed[[#This Row],[Princ]],tblContractForDeed[[#This Row],[Int]],tblContractForDeed[[#This Row],[Ins]],tblContractForDeed[[#This Row],[Taxes]])</f>
        <v>0</v>
      </c>
      <c r="W247" s="316">
        <f>SUM(INDEX(tblContractForDeed[Princ],1):INDEX(tblContractForDeed[Princ],ROW()-ROW(tblContractForDeed[#Headers])))</f>
        <v>146500</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0">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7" s="316">
        <f>IF(INDEX(tblContractForDeed[End Bal],ROW()-ROW(tblBuyerOutputs[#Headers]))&lt;=0,0,($O$6+IF(ROW()=ROW(tblBuyerOutputs[#Headers])+1,0,INDEX(tblBuyerOutputs[Cumul Appr],ROW()-ROW(tblBuyerOutputs[#Headers])-1)))*$O$2/12)</f>
        <v>0</v>
      </c>
      <c r="AE247" s="588">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61" t="str">
        <f t="shared" si="47"/>
        <v/>
      </c>
      <c r="B248" s="265">
        <f t="shared" si="48"/>
        <v>0</v>
      </c>
      <c r="C248" s="14">
        <f t="shared" si="45"/>
        <v>0</v>
      </c>
      <c r="D248" s="14">
        <f t="shared" si="49"/>
        <v>0</v>
      </c>
      <c r="E248" s="14">
        <f t="shared" si="46"/>
        <v>0</v>
      </c>
      <c r="F248" s="14">
        <f t="shared" si="55"/>
        <v>0</v>
      </c>
      <c r="G248" s="14">
        <f t="shared" si="55"/>
        <v>0</v>
      </c>
      <c r="H248" s="14">
        <f t="shared" si="43"/>
        <v>0</v>
      </c>
      <c r="I248" s="265">
        <f t="shared" si="52"/>
        <v>0</v>
      </c>
      <c r="J248" s="265">
        <f t="shared" si="53"/>
        <v>0</v>
      </c>
      <c r="K248" s="265">
        <f t="shared" si="50"/>
        <v>0</v>
      </c>
      <c r="L248" s="373">
        <f t="shared" si="56"/>
        <v>0</v>
      </c>
      <c r="M248" s="373">
        <f t="shared" si="51"/>
        <v>0</v>
      </c>
      <c r="N248" s="561"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Row],[Payment]]=0,0,$V$2)</f>
        <v>0</v>
      </c>
      <c r="U248" s="265">
        <f>IF(tblContractForDeed[[#This Row],[Princ]]=0,0,$V$3)</f>
        <v>0</v>
      </c>
      <c r="V248" s="265">
        <f>SUM(tblContractForDeed[[#This Row],[Princ]],tblContractForDeed[[#This Row],[Int]],tblContractForDeed[[#This Row],[Ins]],tblContractForDeed[[#This Row],[Taxes]])</f>
        <v>0</v>
      </c>
      <c r="W248" s="265">
        <f>SUM(INDEX(tblContractForDeed[Princ],1):INDEX(tblContractForDeed[Princ],ROW()-ROW(tblContractForDeed[#Headers])))</f>
        <v>146500</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39">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8" s="265">
        <f>IF(INDEX(tblContractForDeed[End Bal],ROW()-ROW(tblBuyerOutputs[#Headers]))&lt;=0,0,($O$6+IF(ROW()=ROW(tblBuyerOutputs[#Headers])+1,0,INDEX(tblBuyerOutputs[Cumul Appr],ROW()-ROW(tblBuyerOutputs[#Headers])-1)))*$O$2/12)</f>
        <v>0</v>
      </c>
      <c r="AE248" s="587">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61" t="str">
        <f t="shared" si="47"/>
        <v/>
      </c>
      <c r="B249" s="265">
        <f t="shared" si="48"/>
        <v>0</v>
      </c>
      <c r="C249" s="14">
        <f t="shared" si="45"/>
        <v>0</v>
      </c>
      <c r="D249" s="14">
        <f t="shared" si="49"/>
        <v>0</v>
      </c>
      <c r="E249" s="14">
        <f t="shared" si="46"/>
        <v>0</v>
      </c>
      <c r="F249" s="14">
        <f t="shared" si="55"/>
        <v>0</v>
      </c>
      <c r="G249" s="14">
        <f t="shared" si="55"/>
        <v>0</v>
      </c>
      <c r="H249" s="14">
        <f t="shared" si="43"/>
        <v>0</v>
      </c>
      <c r="I249" s="265">
        <f t="shared" si="52"/>
        <v>0</v>
      </c>
      <c r="J249" s="265">
        <f t="shared" si="53"/>
        <v>0</v>
      </c>
      <c r="K249" s="265">
        <f t="shared" si="50"/>
        <v>0</v>
      </c>
      <c r="L249" s="373">
        <f t="shared" si="56"/>
        <v>0</v>
      </c>
      <c r="M249" s="373">
        <f t="shared" si="51"/>
        <v>0</v>
      </c>
      <c r="N249" s="561"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Row],[Payment]]=0,0,$V$2)</f>
        <v>0</v>
      </c>
      <c r="U249" s="265">
        <f>IF(tblContractForDeed[[#This Row],[Princ]]=0,0,$V$3)</f>
        <v>0</v>
      </c>
      <c r="V249" s="265">
        <f>SUM(tblContractForDeed[[#This Row],[Princ]],tblContractForDeed[[#This Row],[Int]],tblContractForDeed[[#This Row],[Ins]],tblContractForDeed[[#This Row],[Taxes]])</f>
        <v>0</v>
      </c>
      <c r="W249" s="265">
        <f>SUM(INDEX(tblContractForDeed[Princ],1):INDEX(tblContractForDeed[Princ],ROW()-ROW(tblContractForDeed[#Headers])))</f>
        <v>146500</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39">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9" s="265">
        <f>IF(INDEX(tblContractForDeed[End Bal],ROW()-ROW(tblBuyerOutputs[#Headers]))&lt;=0,0,($O$6+IF(ROW()=ROW(tblBuyerOutputs[#Headers])+1,0,INDEX(tblBuyerOutputs[Cumul Appr],ROW()-ROW(tblBuyerOutputs[#Headers])-1)))*$O$2/12)</f>
        <v>0</v>
      </c>
      <c r="AE249" s="587">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61" t="str">
        <f t="shared" si="47"/>
        <v/>
      </c>
      <c r="B250" s="265">
        <f t="shared" si="48"/>
        <v>0</v>
      </c>
      <c r="C250" s="14">
        <f t="shared" si="45"/>
        <v>0</v>
      </c>
      <c r="D250" s="14">
        <f t="shared" si="49"/>
        <v>0</v>
      </c>
      <c r="E250" s="14">
        <f t="shared" si="46"/>
        <v>0</v>
      </c>
      <c r="F250" s="14">
        <f t="shared" si="55"/>
        <v>0</v>
      </c>
      <c r="G250" s="14">
        <f t="shared" si="55"/>
        <v>0</v>
      </c>
      <c r="H250" s="14">
        <f t="shared" si="43"/>
        <v>0</v>
      </c>
      <c r="I250" s="265">
        <f t="shared" si="52"/>
        <v>0</v>
      </c>
      <c r="J250" s="265">
        <f t="shared" si="53"/>
        <v>0</v>
      </c>
      <c r="K250" s="265">
        <f t="shared" si="50"/>
        <v>0</v>
      </c>
      <c r="L250" s="373">
        <f t="shared" si="56"/>
        <v>0</v>
      </c>
      <c r="M250" s="373">
        <f t="shared" si="51"/>
        <v>0</v>
      </c>
      <c r="N250" s="561"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Row],[Payment]]=0,0,$V$2)</f>
        <v>0</v>
      </c>
      <c r="U250" s="265">
        <f>IF(tblContractForDeed[[#This Row],[Princ]]=0,0,$V$3)</f>
        <v>0</v>
      </c>
      <c r="V250" s="265">
        <f>SUM(tblContractForDeed[[#This Row],[Princ]],tblContractForDeed[[#This Row],[Int]],tblContractForDeed[[#This Row],[Ins]],tblContractForDeed[[#This Row],[Taxes]])</f>
        <v>0</v>
      </c>
      <c r="W250" s="265">
        <f>SUM(INDEX(tblContractForDeed[Princ],1):INDEX(tblContractForDeed[Princ],ROW()-ROW(tblContractForDeed[#Headers])))</f>
        <v>146500</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39">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0" s="265">
        <f>IF(INDEX(tblContractForDeed[End Bal],ROW()-ROW(tblBuyerOutputs[#Headers]))&lt;=0,0,($O$6+IF(ROW()=ROW(tblBuyerOutputs[#Headers])+1,0,INDEX(tblBuyerOutputs[Cumul Appr],ROW()-ROW(tblBuyerOutputs[#Headers])-1)))*$O$2/12)</f>
        <v>0</v>
      </c>
      <c r="AE250" s="587">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61" t="str">
        <f t="shared" si="47"/>
        <v/>
      </c>
      <c r="B251" s="265">
        <f t="shared" si="48"/>
        <v>0</v>
      </c>
      <c r="C251" s="14">
        <f t="shared" si="45"/>
        <v>0</v>
      </c>
      <c r="D251" s="14">
        <f t="shared" si="49"/>
        <v>0</v>
      </c>
      <c r="E251" s="14">
        <f t="shared" si="46"/>
        <v>0</v>
      </c>
      <c r="F251" s="14">
        <f t="shared" si="55"/>
        <v>0</v>
      </c>
      <c r="G251" s="14">
        <f t="shared" si="55"/>
        <v>0</v>
      </c>
      <c r="H251" s="14">
        <f t="shared" si="43"/>
        <v>0</v>
      </c>
      <c r="I251" s="265">
        <f t="shared" si="52"/>
        <v>0</v>
      </c>
      <c r="J251" s="265">
        <f t="shared" si="53"/>
        <v>0</v>
      </c>
      <c r="K251" s="265">
        <f t="shared" si="50"/>
        <v>0</v>
      </c>
      <c r="L251" s="373">
        <f t="shared" si="56"/>
        <v>0</v>
      </c>
      <c r="M251" s="373">
        <f t="shared" si="51"/>
        <v>0</v>
      </c>
      <c r="N251" s="561"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Row],[Payment]]=0,0,$V$2)</f>
        <v>0</v>
      </c>
      <c r="U251" s="265">
        <f>IF(tblContractForDeed[[#This Row],[Princ]]=0,0,$V$3)</f>
        <v>0</v>
      </c>
      <c r="V251" s="265">
        <f>SUM(tblContractForDeed[[#This Row],[Princ]],tblContractForDeed[[#This Row],[Int]],tblContractForDeed[[#This Row],[Ins]],tblContractForDeed[[#This Row],[Taxes]])</f>
        <v>0</v>
      </c>
      <c r="W251" s="265">
        <f>SUM(INDEX(tblContractForDeed[Princ],1):INDEX(tblContractForDeed[Princ],ROW()-ROW(tblContractForDeed[#Headers])))</f>
        <v>146500</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39">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1" s="265">
        <f>IF(INDEX(tblContractForDeed[End Bal],ROW()-ROW(tblBuyerOutputs[#Headers]))&lt;=0,0,($O$6+IF(ROW()=ROW(tblBuyerOutputs[#Headers])+1,0,INDEX(tblBuyerOutputs[Cumul Appr],ROW()-ROW(tblBuyerOutputs[#Headers])-1)))*$O$2/12)</f>
        <v>0</v>
      </c>
      <c r="AE251" s="587">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61" t="str">
        <f t="shared" si="47"/>
        <v/>
      </c>
      <c r="B252" s="265">
        <f t="shared" si="48"/>
        <v>0</v>
      </c>
      <c r="C252" s="14">
        <f t="shared" si="45"/>
        <v>0</v>
      </c>
      <c r="D252" s="14">
        <f t="shared" si="49"/>
        <v>0</v>
      </c>
      <c r="E252" s="14">
        <f t="shared" si="46"/>
        <v>0</v>
      </c>
      <c r="F252" s="14">
        <f t="shared" si="55"/>
        <v>0</v>
      </c>
      <c r="G252" s="14">
        <f t="shared" si="55"/>
        <v>0</v>
      </c>
      <c r="H252" s="14">
        <f t="shared" si="43"/>
        <v>0</v>
      </c>
      <c r="I252" s="265">
        <f t="shared" si="52"/>
        <v>0</v>
      </c>
      <c r="J252" s="265">
        <f t="shared" si="53"/>
        <v>0</v>
      </c>
      <c r="K252" s="265">
        <f t="shared" si="50"/>
        <v>0</v>
      </c>
      <c r="L252" s="373">
        <f t="shared" si="56"/>
        <v>0</v>
      </c>
      <c r="M252" s="373">
        <f t="shared" si="51"/>
        <v>0</v>
      </c>
      <c r="N252" s="561"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Row],[Payment]]=0,0,$V$2)</f>
        <v>0</v>
      </c>
      <c r="U252" s="265">
        <f>IF(tblContractForDeed[[#This Row],[Princ]]=0,0,$V$3)</f>
        <v>0</v>
      </c>
      <c r="V252" s="265">
        <f>SUM(tblContractForDeed[[#This Row],[Princ]],tblContractForDeed[[#This Row],[Int]],tblContractForDeed[[#This Row],[Ins]],tblContractForDeed[[#This Row],[Taxes]])</f>
        <v>0</v>
      </c>
      <c r="W252" s="265">
        <f>SUM(INDEX(tblContractForDeed[Princ],1):INDEX(tblContractForDeed[Princ],ROW()-ROW(tblContractForDeed[#Headers])))</f>
        <v>146500</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39">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2" s="265">
        <f>IF(INDEX(tblContractForDeed[End Bal],ROW()-ROW(tblBuyerOutputs[#Headers]))&lt;=0,0,($O$6+IF(ROW()=ROW(tblBuyerOutputs[#Headers])+1,0,INDEX(tblBuyerOutputs[Cumul Appr],ROW()-ROW(tblBuyerOutputs[#Headers])-1)))*$O$2/12)</f>
        <v>0</v>
      </c>
      <c r="AE252" s="587">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61" t="str">
        <f t="shared" si="47"/>
        <v/>
      </c>
      <c r="B253" s="265">
        <f t="shared" si="48"/>
        <v>0</v>
      </c>
      <c r="C253" s="14">
        <f t="shared" si="45"/>
        <v>0</v>
      </c>
      <c r="D253" s="14">
        <f t="shared" si="49"/>
        <v>0</v>
      </c>
      <c r="E253" s="14">
        <f t="shared" si="46"/>
        <v>0</v>
      </c>
      <c r="F253" s="14">
        <f t="shared" si="55"/>
        <v>0</v>
      </c>
      <c r="G253" s="14">
        <f t="shared" si="55"/>
        <v>0</v>
      </c>
      <c r="H253" s="14">
        <f t="shared" si="43"/>
        <v>0</v>
      </c>
      <c r="I253" s="265">
        <f t="shared" si="52"/>
        <v>0</v>
      </c>
      <c r="J253" s="265">
        <f t="shared" si="53"/>
        <v>0</v>
      </c>
      <c r="K253" s="265">
        <f t="shared" si="50"/>
        <v>0</v>
      </c>
      <c r="L253" s="373">
        <f t="shared" si="56"/>
        <v>0</v>
      </c>
      <c r="M253" s="373">
        <f t="shared" si="51"/>
        <v>0</v>
      </c>
      <c r="N253" s="561"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Row],[Payment]]=0,0,$V$2)</f>
        <v>0</v>
      </c>
      <c r="U253" s="265">
        <f>IF(tblContractForDeed[[#This Row],[Princ]]=0,0,$V$3)</f>
        <v>0</v>
      </c>
      <c r="V253" s="265">
        <f>SUM(tblContractForDeed[[#This Row],[Princ]],tblContractForDeed[[#This Row],[Int]],tblContractForDeed[[#This Row],[Ins]],tblContractForDeed[[#This Row],[Taxes]])</f>
        <v>0</v>
      </c>
      <c r="W253" s="265">
        <f>SUM(INDEX(tblContractForDeed[Princ],1):INDEX(tblContractForDeed[Princ],ROW()-ROW(tblContractForDeed[#Headers])))</f>
        <v>146500</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39">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3" s="265">
        <f>IF(INDEX(tblContractForDeed[End Bal],ROW()-ROW(tblBuyerOutputs[#Headers]))&lt;=0,0,($O$6+IF(ROW()=ROW(tblBuyerOutputs[#Headers])+1,0,INDEX(tblBuyerOutputs[Cumul Appr],ROW()-ROW(tblBuyerOutputs[#Headers])-1)))*$O$2/12)</f>
        <v>0</v>
      </c>
      <c r="AE253" s="587">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61" t="str">
        <f t="shared" si="47"/>
        <v/>
      </c>
      <c r="B254" s="265">
        <f t="shared" si="48"/>
        <v>0</v>
      </c>
      <c r="C254" s="14">
        <f t="shared" si="45"/>
        <v>0</v>
      </c>
      <c r="D254" s="14">
        <f t="shared" si="49"/>
        <v>0</v>
      </c>
      <c r="E254" s="14">
        <f t="shared" si="46"/>
        <v>0</v>
      </c>
      <c r="F254" s="14">
        <f t="shared" si="55"/>
        <v>0</v>
      </c>
      <c r="G254" s="14">
        <f t="shared" si="55"/>
        <v>0</v>
      </c>
      <c r="H254" s="14">
        <f t="shared" si="43"/>
        <v>0</v>
      </c>
      <c r="I254" s="265">
        <f t="shared" si="52"/>
        <v>0</v>
      </c>
      <c r="J254" s="265">
        <f t="shared" si="53"/>
        <v>0</v>
      </c>
      <c r="K254" s="265">
        <f t="shared" si="50"/>
        <v>0</v>
      </c>
      <c r="L254" s="373">
        <f t="shared" si="56"/>
        <v>0</v>
      </c>
      <c r="M254" s="373">
        <f t="shared" si="51"/>
        <v>0</v>
      </c>
      <c r="N254" s="561"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Row],[Payment]]=0,0,$V$2)</f>
        <v>0</v>
      </c>
      <c r="U254" s="265">
        <f>IF(tblContractForDeed[[#This Row],[Princ]]=0,0,$V$3)</f>
        <v>0</v>
      </c>
      <c r="V254" s="265">
        <f>SUM(tblContractForDeed[[#This Row],[Princ]],tblContractForDeed[[#This Row],[Int]],tblContractForDeed[[#This Row],[Ins]],tblContractForDeed[[#This Row],[Taxes]])</f>
        <v>0</v>
      </c>
      <c r="W254" s="265">
        <f>SUM(INDEX(tblContractForDeed[Princ],1):INDEX(tblContractForDeed[Princ],ROW()-ROW(tblContractForDeed[#Headers])))</f>
        <v>146500</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39">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4" s="265">
        <f>IF(INDEX(tblContractForDeed[End Bal],ROW()-ROW(tblBuyerOutputs[#Headers]))&lt;=0,0,($O$6+IF(ROW()=ROW(tblBuyerOutputs[#Headers])+1,0,INDEX(tblBuyerOutputs[Cumul Appr],ROW()-ROW(tblBuyerOutputs[#Headers])-1)))*$O$2/12)</f>
        <v>0</v>
      </c>
      <c r="AE254" s="587">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61" t="str">
        <f t="shared" si="47"/>
        <v/>
      </c>
      <c r="B255" s="265">
        <f t="shared" si="48"/>
        <v>0</v>
      </c>
      <c r="C255" s="14">
        <f t="shared" si="45"/>
        <v>0</v>
      </c>
      <c r="D255" s="14">
        <f t="shared" si="49"/>
        <v>0</v>
      </c>
      <c r="E255" s="14">
        <f t="shared" si="46"/>
        <v>0</v>
      </c>
      <c r="F255" s="14">
        <f t="shared" ref="F255:G270" si="57">+F254</f>
        <v>0</v>
      </c>
      <c r="G255" s="14">
        <f t="shared" si="57"/>
        <v>0</v>
      </c>
      <c r="H255" s="14">
        <f t="shared" si="43"/>
        <v>0</v>
      </c>
      <c r="I255" s="265">
        <f t="shared" si="52"/>
        <v>0</v>
      </c>
      <c r="J255" s="265">
        <f t="shared" si="53"/>
        <v>0</v>
      </c>
      <c r="K255" s="265">
        <f t="shared" si="50"/>
        <v>0</v>
      </c>
      <c r="L255" s="373">
        <f t="shared" si="56"/>
        <v>0</v>
      </c>
      <c r="M255" s="373">
        <f t="shared" si="51"/>
        <v>0</v>
      </c>
      <c r="N255" s="561"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Row],[Payment]]=0,0,$V$2)</f>
        <v>0</v>
      </c>
      <c r="U255" s="265">
        <f>IF(tblContractForDeed[[#This Row],[Princ]]=0,0,$V$3)</f>
        <v>0</v>
      </c>
      <c r="V255" s="265">
        <f>SUM(tblContractForDeed[[#This Row],[Princ]],tblContractForDeed[[#This Row],[Int]],tblContractForDeed[[#This Row],[Ins]],tblContractForDeed[[#This Row],[Taxes]])</f>
        <v>0</v>
      </c>
      <c r="W255" s="265">
        <f>SUM(INDEX(tblContractForDeed[Princ],1):INDEX(tblContractForDeed[Princ],ROW()-ROW(tblContractForDeed[#Headers])))</f>
        <v>146500</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39">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5" s="265">
        <f>IF(INDEX(tblContractForDeed[End Bal],ROW()-ROW(tblBuyerOutputs[#Headers]))&lt;=0,0,($O$6+IF(ROW()=ROW(tblBuyerOutputs[#Headers])+1,0,INDEX(tblBuyerOutputs[Cumul Appr],ROW()-ROW(tblBuyerOutputs[#Headers])-1)))*$O$2/12)</f>
        <v>0</v>
      </c>
      <c r="AE255" s="587">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61" t="str">
        <f t="shared" si="47"/>
        <v/>
      </c>
      <c r="B256" s="265">
        <f t="shared" si="48"/>
        <v>0</v>
      </c>
      <c r="C256" s="14">
        <f t="shared" si="45"/>
        <v>0</v>
      </c>
      <c r="D256" s="14">
        <f t="shared" si="49"/>
        <v>0</v>
      </c>
      <c r="E256" s="14">
        <f t="shared" si="46"/>
        <v>0</v>
      </c>
      <c r="F256" s="14">
        <f t="shared" si="57"/>
        <v>0</v>
      </c>
      <c r="G256" s="14">
        <f t="shared" si="57"/>
        <v>0</v>
      </c>
      <c r="H256" s="14">
        <f t="shared" ref="H256:H319" si="58">SUM(D256:G256)</f>
        <v>0</v>
      </c>
      <c r="I256" s="265">
        <f t="shared" si="52"/>
        <v>0</v>
      </c>
      <c r="J256" s="265">
        <f t="shared" si="53"/>
        <v>0</v>
      </c>
      <c r="K256" s="265">
        <f t="shared" si="50"/>
        <v>0</v>
      </c>
      <c r="L256" s="373">
        <f t="shared" si="56"/>
        <v>0</v>
      </c>
      <c r="M256" s="373">
        <f t="shared" si="51"/>
        <v>0</v>
      </c>
      <c r="N256" s="561"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Row],[Payment]]=0,0,$V$2)</f>
        <v>0</v>
      </c>
      <c r="U256" s="265">
        <f>IF(tblContractForDeed[[#This Row],[Princ]]=0,0,$V$3)</f>
        <v>0</v>
      </c>
      <c r="V256" s="265">
        <f>SUM(tblContractForDeed[[#This Row],[Princ]],tblContractForDeed[[#This Row],[Int]],tblContractForDeed[[#This Row],[Ins]],tblContractForDeed[[#This Row],[Taxes]])</f>
        <v>0</v>
      </c>
      <c r="W256" s="265">
        <f>SUM(INDEX(tblContractForDeed[Princ],1):INDEX(tblContractForDeed[Princ],ROW()-ROW(tblContractForDeed[#Headers])))</f>
        <v>146500</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39">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6" s="265">
        <f>IF(INDEX(tblContractForDeed[End Bal],ROW()-ROW(tblBuyerOutputs[#Headers]))&lt;=0,0,($O$6+IF(ROW()=ROW(tblBuyerOutputs[#Headers])+1,0,INDEX(tblBuyerOutputs[Cumul Appr],ROW()-ROW(tblBuyerOutputs[#Headers])-1)))*$O$2/12)</f>
        <v>0</v>
      </c>
      <c r="AE256" s="587">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61" t="str">
        <f t="shared" si="47"/>
        <v/>
      </c>
      <c r="B257" s="265">
        <f t="shared" si="48"/>
        <v>0</v>
      </c>
      <c r="C257" s="14">
        <f t="shared" si="45"/>
        <v>0</v>
      </c>
      <c r="D257" s="14">
        <f t="shared" si="49"/>
        <v>0</v>
      </c>
      <c r="E257" s="14">
        <f t="shared" si="46"/>
        <v>0</v>
      </c>
      <c r="F257" s="14">
        <f t="shared" si="57"/>
        <v>0</v>
      </c>
      <c r="G257" s="14">
        <f t="shared" si="57"/>
        <v>0</v>
      </c>
      <c r="H257" s="14">
        <f t="shared" si="58"/>
        <v>0</v>
      </c>
      <c r="I257" s="265">
        <f t="shared" si="52"/>
        <v>0</v>
      </c>
      <c r="J257" s="265">
        <f t="shared" si="53"/>
        <v>0</v>
      </c>
      <c r="K257" s="265">
        <f t="shared" si="50"/>
        <v>0</v>
      </c>
      <c r="L257" s="373">
        <f t="shared" si="56"/>
        <v>0</v>
      </c>
      <c r="M257" s="373">
        <f t="shared" si="51"/>
        <v>0</v>
      </c>
      <c r="N257" s="561"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Row],[Payment]]=0,0,$V$2)</f>
        <v>0</v>
      </c>
      <c r="U257" s="265">
        <f>IF(tblContractForDeed[[#This Row],[Princ]]=0,0,$V$3)</f>
        <v>0</v>
      </c>
      <c r="V257" s="265">
        <f>SUM(tblContractForDeed[[#This Row],[Princ]],tblContractForDeed[[#This Row],[Int]],tblContractForDeed[[#This Row],[Ins]],tblContractForDeed[[#This Row],[Taxes]])</f>
        <v>0</v>
      </c>
      <c r="W257" s="265">
        <f>SUM(INDEX(tblContractForDeed[Princ],1):INDEX(tblContractForDeed[Princ],ROW()-ROW(tblContractForDeed[#Headers])))</f>
        <v>146500</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39">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7" s="265">
        <f>IF(INDEX(tblContractForDeed[End Bal],ROW()-ROW(tblBuyerOutputs[#Headers]))&lt;=0,0,($O$6+IF(ROW()=ROW(tblBuyerOutputs[#Headers])+1,0,INDEX(tblBuyerOutputs[Cumul Appr],ROW()-ROW(tblBuyerOutputs[#Headers])-1)))*$O$2/12)</f>
        <v>0</v>
      </c>
      <c r="AE257" s="587">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61" t="str">
        <f t="shared" si="47"/>
        <v/>
      </c>
      <c r="B258" s="265">
        <f t="shared" si="48"/>
        <v>0</v>
      </c>
      <c r="C258" s="14">
        <f t="shared" si="45"/>
        <v>0</v>
      </c>
      <c r="D258" s="14">
        <f t="shared" si="49"/>
        <v>0</v>
      </c>
      <c r="E258" s="14">
        <f t="shared" si="46"/>
        <v>0</v>
      </c>
      <c r="F258" s="14">
        <f t="shared" si="57"/>
        <v>0</v>
      </c>
      <c r="G258" s="14">
        <f t="shared" si="57"/>
        <v>0</v>
      </c>
      <c r="H258" s="14">
        <f t="shared" si="58"/>
        <v>0</v>
      </c>
      <c r="I258" s="265">
        <f t="shared" si="52"/>
        <v>0</v>
      </c>
      <c r="J258" s="265">
        <f t="shared" si="53"/>
        <v>0</v>
      </c>
      <c r="K258" s="265">
        <f t="shared" si="50"/>
        <v>0</v>
      </c>
      <c r="L258" s="373">
        <f t="shared" si="56"/>
        <v>0</v>
      </c>
      <c r="M258" s="373">
        <f t="shared" si="51"/>
        <v>0</v>
      </c>
      <c r="N258" s="561"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Row],[Payment]]=0,0,$V$2)</f>
        <v>0</v>
      </c>
      <c r="U258" s="265">
        <f>IF(tblContractForDeed[[#This Row],[Princ]]=0,0,$V$3)</f>
        <v>0</v>
      </c>
      <c r="V258" s="265">
        <f>SUM(tblContractForDeed[[#This Row],[Princ]],tblContractForDeed[[#This Row],[Int]],tblContractForDeed[[#This Row],[Ins]],tblContractForDeed[[#This Row],[Taxes]])</f>
        <v>0</v>
      </c>
      <c r="W258" s="265">
        <f>SUM(INDEX(tblContractForDeed[Princ],1):INDEX(tblContractForDeed[Princ],ROW()-ROW(tblContractForDeed[#Headers])))</f>
        <v>146500</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39">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8" s="265">
        <f>IF(INDEX(tblContractForDeed[End Bal],ROW()-ROW(tblBuyerOutputs[#Headers]))&lt;=0,0,($O$6+IF(ROW()=ROW(tblBuyerOutputs[#Headers])+1,0,INDEX(tblBuyerOutputs[Cumul Appr],ROW()-ROW(tblBuyerOutputs[#Headers])-1)))*$O$2/12)</f>
        <v>0</v>
      </c>
      <c r="AE258" s="587">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62" t="str">
        <f t="shared" si="47"/>
        <v/>
      </c>
      <c r="B259" s="316">
        <f t="shared" si="48"/>
        <v>0</v>
      </c>
      <c r="C259" s="21">
        <f t="shared" si="45"/>
        <v>0</v>
      </c>
      <c r="D259" s="21">
        <f t="shared" si="49"/>
        <v>0</v>
      </c>
      <c r="E259" s="21">
        <f t="shared" si="46"/>
        <v>0</v>
      </c>
      <c r="F259" s="21">
        <f t="shared" si="57"/>
        <v>0</v>
      </c>
      <c r="G259" s="21">
        <f t="shared" si="57"/>
        <v>0</v>
      </c>
      <c r="H259" s="21">
        <f t="shared" si="58"/>
        <v>0</v>
      </c>
      <c r="I259" s="316">
        <f t="shared" si="52"/>
        <v>0</v>
      </c>
      <c r="J259" s="316">
        <f t="shared" si="53"/>
        <v>0</v>
      </c>
      <c r="K259" s="316">
        <f t="shared" si="50"/>
        <v>0</v>
      </c>
      <c r="L259" s="374">
        <f t="shared" si="56"/>
        <v>0</v>
      </c>
      <c r="M259" s="374">
        <f t="shared" si="51"/>
        <v>0</v>
      </c>
      <c r="N259" s="562" t="str">
        <f>INDEX(tblSubjectToLoan[Date],ROW()-ROW(tblContractForDeed[#Headers]))</f>
        <v/>
      </c>
      <c r="O259" s="316">
        <f>IF(ROW()=ROW(tblContractForDeed[#Headers])+1,$O$6,IF(INDEX(tblContractForDeed[End Bal],ROW()-ROW(tblContractForDeed[#Headers])-1)&lt;0,0,INDEX(tblContractForDeed[End Bal],ROW()-ROW(tblContractForDeed[#Headers])-1)))</f>
        <v>0</v>
      </c>
      <c r="P259" s="585"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Row],[Payment]]=0,0,$V$2)</f>
        <v>0</v>
      </c>
      <c r="U259" s="316">
        <f>IF(tblContractForDeed[[#This Row],[Princ]]=0,0,$V$3)</f>
        <v>0</v>
      </c>
      <c r="V259" s="316">
        <f>SUM(tblContractForDeed[[#This Row],[Princ]],tblContractForDeed[[#This Row],[Int]],tblContractForDeed[[#This Row],[Ins]],tblContractForDeed[[#This Row],[Taxes]])</f>
        <v>0</v>
      </c>
      <c r="W259" s="316">
        <f>SUM(INDEX(tblContractForDeed[Princ],1):INDEX(tblContractForDeed[Princ],ROW()-ROW(tblContractForDeed[#Headers])))</f>
        <v>146500</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0">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9" s="316">
        <f>IF(INDEX(tblContractForDeed[End Bal],ROW()-ROW(tblBuyerOutputs[#Headers]))&lt;=0,0,($O$6+IF(ROW()=ROW(tblBuyerOutputs[#Headers])+1,0,INDEX(tblBuyerOutputs[Cumul Appr],ROW()-ROW(tblBuyerOutputs[#Headers])-1)))*$O$2/12)</f>
        <v>0</v>
      </c>
      <c r="AE259" s="588">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61" t="str">
        <f t="shared" si="47"/>
        <v/>
      </c>
      <c r="B260" s="265">
        <f t="shared" si="48"/>
        <v>0</v>
      </c>
      <c r="C260" s="14">
        <f t="shared" si="45"/>
        <v>0</v>
      </c>
      <c r="D260" s="14">
        <f t="shared" si="49"/>
        <v>0</v>
      </c>
      <c r="E260" s="14">
        <f t="shared" si="46"/>
        <v>0</v>
      </c>
      <c r="F260" s="14">
        <f t="shared" si="57"/>
        <v>0</v>
      </c>
      <c r="G260" s="14">
        <f t="shared" si="57"/>
        <v>0</v>
      </c>
      <c r="H260" s="14">
        <f t="shared" si="58"/>
        <v>0</v>
      </c>
      <c r="I260" s="265">
        <f t="shared" si="52"/>
        <v>0</v>
      </c>
      <c r="J260" s="265">
        <f t="shared" si="53"/>
        <v>0</v>
      </c>
      <c r="K260" s="265">
        <f t="shared" si="50"/>
        <v>0</v>
      </c>
      <c r="L260" s="373">
        <f t="shared" si="56"/>
        <v>0</v>
      </c>
      <c r="M260" s="373">
        <f t="shared" si="51"/>
        <v>0</v>
      </c>
      <c r="N260" s="561"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Row],[Payment]]=0,0,$V$2)</f>
        <v>0</v>
      </c>
      <c r="U260" s="265">
        <f>IF(tblContractForDeed[[#This Row],[Princ]]=0,0,$V$3)</f>
        <v>0</v>
      </c>
      <c r="V260" s="265">
        <f>SUM(tblContractForDeed[[#This Row],[Princ]],tblContractForDeed[[#This Row],[Int]],tblContractForDeed[[#This Row],[Ins]],tblContractForDeed[[#This Row],[Taxes]])</f>
        <v>0</v>
      </c>
      <c r="W260" s="265">
        <f>SUM(INDEX(tblContractForDeed[Princ],1):INDEX(tblContractForDeed[Princ],ROW()-ROW(tblContractForDeed[#Headers])))</f>
        <v>146500</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39">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0" s="265">
        <f>IF(INDEX(tblContractForDeed[End Bal],ROW()-ROW(tblBuyerOutputs[#Headers]))&lt;=0,0,($O$6+IF(ROW()=ROW(tblBuyerOutputs[#Headers])+1,0,INDEX(tblBuyerOutputs[Cumul Appr],ROW()-ROW(tblBuyerOutputs[#Headers])-1)))*$O$2/12)</f>
        <v>0</v>
      </c>
      <c r="AE260" s="587">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61" t="str">
        <f t="shared" si="47"/>
        <v/>
      </c>
      <c r="B261" s="265">
        <f t="shared" si="48"/>
        <v>0</v>
      </c>
      <c r="C261" s="14">
        <f t="shared" si="45"/>
        <v>0</v>
      </c>
      <c r="D261" s="14">
        <f t="shared" si="49"/>
        <v>0</v>
      </c>
      <c r="E261" s="14">
        <f t="shared" si="46"/>
        <v>0</v>
      </c>
      <c r="F261" s="14">
        <f t="shared" si="57"/>
        <v>0</v>
      </c>
      <c r="G261" s="14">
        <f t="shared" si="57"/>
        <v>0</v>
      </c>
      <c r="H261" s="14">
        <f t="shared" si="58"/>
        <v>0</v>
      </c>
      <c r="I261" s="265">
        <f t="shared" si="52"/>
        <v>0</v>
      </c>
      <c r="J261" s="265">
        <f t="shared" si="53"/>
        <v>0</v>
      </c>
      <c r="K261" s="265">
        <f t="shared" si="50"/>
        <v>0</v>
      </c>
      <c r="L261" s="373">
        <f t="shared" si="56"/>
        <v>0</v>
      </c>
      <c r="M261" s="373">
        <f t="shared" si="51"/>
        <v>0</v>
      </c>
      <c r="N261" s="561"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Row],[Payment]]=0,0,$V$2)</f>
        <v>0</v>
      </c>
      <c r="U261" s="265">
        <f>IF(tblContractForDeed[[#This Row],[Princ]]=0,0,$V$3)</f>
        <v>0</v>
      </c>
      <c r="V261" s="265">
        <f>SUM(tblContractForDeed[[#This Row],[Princ]],tblContractForDeed[[#This Row],[Int]],tblContractForDeed[[#This Row],[Ins]],tblContractForDeed[[#This Row],[Taxes]])</f>
        <v>0</v>
      </c>
      <c r="W261" s="265">
        <f>SUM(INDEX(tblContractForDeed[Princ],1):INDEX(tblContractForDeed[Princ],ROW()-ROW(tblContractForDeed[#Headers])))</f>
        <v>146500</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39">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1" s="265">
        <f>IF(INDEX(tblContractForDeed[End Bal],ROW()-ROW(tblBuyerOutputs[#Headers]))&lt;=0,0,($O$6+IF(ROW()=ROW(tblBuyerOutputs[#Headers])+1,0,INDEX(tblBuyerOutputs[Cumul Appr],ROW()-ROW(tblBuyerOutputs[#Headers])-1)))*$O$2/12)</f>
        <v>0</v>
      </c>
      <c r="AE261" s="587">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61" t="str">
        <f t="shared" si="47"/>
        <v/>
      </c>
      <c r="B262" s="265">
        <f t="shared" si="48"/>
        <v>0</v>
      </c>
      <c r="C262" s="14">
        <f t="shared" si="45"/>
        <v>0</v>
      </c>
      <c r="D262" s="14">
        <f t="shared" si="49"/>
        <v>0</v>
      </c>
      <c r="E262" s="14">
        <f t="shared" si="46"/>
        <v>0</v>
      </c>
      <c r="F262" s="14">
        <f t="shared" si="57"/>
        <v>0</v>
      </c>
      <c r="G262" s="14">
        <f t="shared" si="57"/>
        <v>0</v>
      </c>
      <c r="H262" s="14">
        <f t="shared" si="58"/>
        <v>0</v>
      </c>
      <c r="I262" s="265">
        <f t="shared" si="52"/>
        <v>0</v>
      </c>
      <c r="J262" s="265">
        <f t="shared" si="53"/>
        <v>0</v>
      </c>
      <c r="K262" s="265">
        <f t="shared" si="50"/>
        <v>0</v>
      </c>
      <c r="L262" s="373">
        <f t="shared" si="56"/>
        <v>0</v>
      </c>
      <c r="M262" s="373">
        <f t="shared" si="51"/>
        <v>0</v>
      </c>
      <c r="N262" s="561"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Row],[Payment]]=0,0,$V$2)</f>
        <v>0</v>
      </c>
      <c r="U262" s="265">
        <f>IF(tblContractForDeed[[#This Row],[Princ]]=0,0,$V$3)</f>
        <v>0</v>
      </c>
      <c r="V262" s="265">
        <f>SUM(tblContractForDeed[[#This Row],[Princ]],tblContractForDeed[[#This Row],[Int]],tblContractForDeed[[#This Row],[Ins]],tblContractForDeed[[#This Row],[Taxes]])</f>
        <v>0</v>
      </c>
      <c r="W262" s="265">
        <f>SUM(INDEX(tblContractForDeed[Princ],1):INDEX(tblContractForDeed[Princ],ROW()-ROW(tblContractForDeed[#Headers])))</f>
        <v>146500</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39">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2" s="265">
        <f>IF(INDEX(tblContractForDeed[End Bal],ROW()-ROW(tblBuyerOutputs[#Headers]))&lt;=0,0,($O$6+IF(ROW()=ROW(tblBuyerOutputs[#Headers])+1,0,INDEX(tblBuyerOutputs[Cumul Appr],ROW()-ROW(tblBuyerOutputs[#Headers])-1)))*$O$2/12)</f>
        <v>0</v>
      </c>
      <c r="AE262" s="587">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61" t="str">
        <f t="shared" si="47"/>
        <v/>
      </c>
      <c r="B263" s="265">
        <f t="shared" si="48"/>
        <v>0</v>
      </c>
      <c r="C263" s="14">
        <f t="shared" si="45"/>
        <v>0</v>
      </c>
      <c r="D263" s="14">
        <f t="shared" si="49"/>
        <v>0</v>
      </c>
      <c r="E263" s="14">
        <f t="shared" si="46"/>
        <v>0</v>
      </c>
      <c r="F263" s="14">
        <f t="shared" si="57"/>
        <v>0</v>
      </c>
      <c r="G263" s="14">
        <f t="shared" si="57"/>
        <v>0</v>
      </c>
      <c r="H263" s="14">
        <f t="shared" si="58"/>
        <v>0</v>
      </c>
      <c r="I263" s="265">
        <f t="shared" si="52"/>
        <v>0</v>
      </c>
      <c r="J263" s="265">
        <f t="shared" si="53"/>
        <v>0</v>
      </c>
      <c r="K263" s="265">
        <f t="shared" si="50"/>
        <v>0</v>
      </c>
      <c r="L263" s="373">
        <f t="shared" si="56"/>
        <v>0</v>
      </c>
      <c r="M263" s="373">
        <f t="shared" si="51"/>
        <v>0</v>
      </c>
      <c r="N263" s="561"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Row],[Payment]]=0,0,$V$2)</f>
        <v>0</v>
      </c>
      <c r="U263" s="265">
        <f>IF(tblContractForDeed[[#This Row],[Princ]]=0,0,$V$3)</f>
        <v>0</v>
      </c>
      <c r="V263" s="265">
        <f>SUM(tblContractForDeed[[#This Row],[Princ]],tblContractForDeed[[#This Row],[Int]],tblContractForDeed[[#This Row],[Ins]],tblContractForDeed[[#This Row],[Taxes]])</f>
        <v>0</v>
      </c>
      <c r="W263" s="265">
        <f>SUM(INDEX(tblContractForDeed[Princ],1):INDEX(tblContractForDeed[Princ],ROW()-ROW(tblContractForDeed[#Headers])))</f>
        <v>146500</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39">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3" s="265">
        <f>IF(INDEX(tblContractForDeed[End Bal],ROW()-ROW(tblBuyerOutputs[#Headers]))&lt;=0,0,($O$6+IF(ROW()=ROW(tblBuyerOutputs[#Headers])+1,0,INDEX(tblBuyerOutputs[Cumul Appr],ROW()-ROW(tblBuyerOutputs[#Headers])-1)))*$O$2/12)</f>
        <v>0</v>
      </c>
      <c r="AE263" s="587">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61" t="str">
        <f t="shared" si="47"/>
        <v/>
      </c>
      <c r="B264" s="265">
        <f t="shared" si="48"/>
        <v>0</v>
      </c>
      <c r="C264" s="14">
        <f t="shared" si="45"/>
        <v>0</v>
      </c>
      <c r="D264" s="14">
        <f t="shared" si="49"/>
        <v>0</v>
      </c>
      <c r="E264" s="14">
        <f t="shared" si="46"/>
        <v>0</v>
      </c>
      <c r="F264" s="14">
        <f t="shared" si="57"/>
        <v>0</v>
      </c>
      <c r="G264" s="14">
        <f t="shared" si="57"/>
        <v>0</v>
      </c>
      <c r="H264" s="14">
        <f t="shared" si="58"/>
        <v>0</v>
      </c>
      <c r="I264" s="265">
        <f t="shared" si="52"/>
        <v>0</v>
      </c>
      <c r="J264" s="265">
        <f t="shared" si="53"/>
        <v>0</v>
      </c>
      <c r="K264" s="265">
        <f t="shared" si="50"/>
        <v>0</v>
      </c>
      <c r="L264" s="373">
        <f t="shared" si="56"/>
        <v>0</v>
      </c>
      <c r="M264" s="373">
        <f t="shared" si="51"/>
        <v>0</v>
      </c>
      <c r="N264" s="561"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Row],[Payment]]=0,0,$V$2)</f>
        <v>0</v>
      </c>
      <c r="U264" s="265">
        <f>IF(tblContractForDeed[[#This Row],[Princ]]=0,0,$V$3)</f>
        <v>0</v>
      </c>
      <c r="V264" s="265">
        <f>SUM(tblContractForDeed[[#This Row],[Princ]],tblContractForDeed[[#This Row],[Int]],tblContractForDeed[[#This Row],[Ins]],tblContractForDeed[[#This Row],[Taxes]])</f>
        <v>0</v>
      </c>
      <c r="W264" s="265">
        <f>SUM(INDEX(tblContractForDeed[Princ],1):INDEX(tblContractForDeed[Princ],ROW()-ROW(tblContractForDeed[#Headers])))</f>
        <v>146500</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39">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4" s="265">
        <f>IF(INDEX(tblContractForDeed[End Bal],ROW()-ROW(tblBuyerOutputs[#Headers]))&lt;=0,0,($O$6+IF(ROW()=ROW(tblBuyerOutputs[#Headers])+1,0,INDEX(tblBuyerOutputs[Cumul Appr],ROW()-ROW(tblBuyerOutputs[#Headers])-1)))*$O$2/12)</f>
        <v>0</v>
      </c>
      <c r="AE264" s="587">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61" t="str">
        <f t="shared" si="47"/>
        <v/>
      </c>
      <c r="B265" s="265">
        <f t="shared" si="48"/>
        <v>0</v>
      </c>
      <c r="C265" s="14">
        <f t="shared" si="45"/>
        <v>0</v>
      </c>
      <c r="D265" s="14">
        <f t="shared" si="49"/>
        <v>0</v>
      </c>
      <c r="E265" s="14">
        <f t="shared" si="46"/>
        <v>0</v>
      </c>
      <c r="F265" s="14">
        <f t="shared" si="57"/>
        <v>0</v>
      </c>
      <c r="G265" s="14">
        <f t="shared" si="57"/>
        <v>0</v>
      </c>
      <c r="H265" s="14">
        <f t="shared" si="58"/>
        <v>0</v>
      </c>
      <c r="I265" s="265">
        <f t="shared" si="52"/>
        <v>0</v>
      </c>
      <c r="J265" s="265">
        <f t="shared" si="53"/>
        <v>0</v>
      </c>
      <c r="K265" s="265">
        <f t="shared" si="50"/>
        <v>0</v>
      </c>
      <c r="L265" s="373">
        <f t="shared" si="56"/>
        <v>0</v>
      </c>
      <c r="M265" s="373">
        <f t="shared" si="51"/>
        <v>0</v>
      </c>
      <c r="N265" s="561"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Row],[Payment]]=0,0,$V$2)</f>
        <v>0</v>
      </c>
      <c r="U265" s="265">
        <f>IF(tblContractForDeed[[#This Row],[Princ]]=0,0,$V$3)</f>
        <v>0</v>
      </c>
      <c r="V265" s="265">
        <f>SUM(tblContractForDeed[[#This Row],[Princ]],tblContractForDeed[[#This Row],[Int]],tblContractForDeed[[#This Row],[Ins]],tblContractForDeed[[#This Row],[Taxes]])</f>
        <v>0</v>
      </c>
      <c r="W265" s="265">
        <f>SUM(INDEX(tblContractForDeed[Princ],1):INDEX(tblContractForDeed[Princ],ROW()-ROW(tblContractForDeed[#Headers])))</f>
        <v>146500</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39">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5" s="265">
        <f>IF(INDEX(tblContractForDeed[End Bal],ROW()-ROW(tblBuyerOutputs[#Headers]))&lt;=0,0,($O$6+IF(ROW()=ROW(tblBuyerOutputs[#Headers])+1,0,INDEX(tblBuyerOutputs[Cumul Appr],ROW()-ROW(tblBuyerOutputs[#Headers])-1)))*$O$2/12)</f>
        <v>0</v>
      </c>
      <c r="AE265" s="587">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61" t="str">
        <f t="shared" si="47"/>
        <v/>
      </c>
      <c r="B266" s="265">
        <f t="shared" si="48"/>
        <v>0</v>
      </c>
      <c r="C266" s="14">
        <f t="shared" si="45"/>
        <v>0</v>
      </c>
      <c r="D266" s="14">
        <f t="shared" si="49"/>
        <v>0</v>
      </c>
      <c r="E266" s="14">
        <f t="shared" si="46"/>
        <v>0</v>
      </c>
      <c r="F266" s="14">
        <f t="shared" si="57"/>
        <v>0</v>
      </c>
      <c r="G266" s="14">
        <f t="shared" si="57"/>
        <v>0</v>
      </c>
      <c r="H266" s="14">
        <f t="shared" si="58"/>
        <v>0</v>
      </c>
      <c r="I266" s="265">
        <f t="shared" si="52"/>
        <v>0</v>
      </c>
      <c r="J266" s="265">
        <f t="shared" si="53"/>
        <v>0</v>
      </c>
      <c r="K266" s="265">
        <f t="shared" si="50"/>
        <v>0</v>
      </c>
      <c r="L266" s="373">
        <f t="shared" si="56"/>
        <v>0</v>
      </c>
      <c r="M266" s="373">
        <f t="shared" si="51"/>
        <v>0</v>
      </c>
      <c r="N266" s="561"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Row],[Payment]]=0,0,$V$2)</f>
        <v>0</v>
      </c>
      <c r="U266" s="265">
        <f>IF(tblContractForDeed[[#This Row],[Princ]]=0,0,$V$3)</f>
        <v>0</v>
      </c>
      <c r="V266" s="265">
        <f>SUM(tblContractForDeed[[#This Row],[Princ]],tblContractForDeed[[#This Row],[Int]],tblContractForDeed[[#This Row],[Ins]],tblContractForDeed[[#This Row],[Taxes]])</f>
        <v>0</v>
      </c>
      <c r="W266" s="265">
        <f>SUM(INDEX(tblContractForDeed[Princ],1):INDEX(tblContractForDeed[Princ],ROW()-ROW(tblContractForDeed[#Headers])))</f>
        <v>146500</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39">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6" s="265">
        <f>IF(INDEX(tblContractForDeed[End Bal],ROW()-ROW(tblBuyerOutputs[#Headers]))&lt;=0,0,($O$6+IF(ROW()=ROW(tblBuyerOutputs[#Headers])+1,0,INDEX(tblBuyerOutputs[Cumul Appr],ROW()-ROW(tblBuyerOutputs[#Headers])-1)))*$O$2/12)</f>
        <v>0</v>
      </c>
      <c r="AE266" s="587">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61" t="str">
        <f t="shared" si="47"/>
        <v/>
      </c>
      <c r="B267" s="265">
        <f t="shared" si="48"/>
        <v>0</v>
      </c>
      <c r="C267" s="14">
        <f t="shared" si="45"/>
        <v>0</v>
      </c>
      <c r="D267" s="14">
        <f t="shared" si="49"/>
        <v>0</v>
      </c>
      <c r="E267" s="14">
        <f t="shared" si="46"/>
        <v>0</v>
      </c>
      <c r="F267" s="14">
        <f t="shared" si="57"/>
        <v>0</v>
      </c>
      <c r="G267" s="14">
        <f t="shared" si="57"/>
        <v>0</v>
      </c>
      <c r="H267" s="14">
        <f t="shared" si="58"/>
        <v>0</v>
      </c>
      <c r="I267" s="265">
        <f t="shared" si="52"/>
        <v>0</v>
      </c>
      <c r="J267" s="265">
        <f t="shared" si="53"/>
        <v>0</v>
      </c>
      <c r="K267" s="265">
        <f t="shared" si="50"/>
        <v>0</v>
      </c>
      <c r="L267" s="373">
        <f t="shared" si="56"/>
        <v>0</v>
      </c>
      <c r="M267" s="373">
        <f t="shared" si="51"/>
        <v>0</v>
      </c>
      <c r="N267" s="561"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Row],[Payment]]=0,0,$V$2)</f>
        <v>0</v>
      </c>
      <c r="U267" s="265">
        <f>IF(tblContractForDeed[[#This Row],[Princ]]=0,0,$V$3)</f>
        <v>0</v>
      </c>
      <c r="V267" s="265">
        <f>SUM(tblContractForDeed[[#This Row],[Princ]],tblContractForDeed[[#This Row],[Int]],tblContractForDeed[[#This Row],[Ins]],tblContractForDeed[[#This Row],[Taxes]])</f>
        <v>0</v>
      </c>
      <c r="W267" s="265">
        <f>SUM(INDEX(tblContractForDeed[Princ],1):INDEX(tblContractForDeed[Princ],ROW()-ROW(tblContractForDeed[#Headers])))</f>
        <v>146500</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39">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7" s="265">
        <f>IF(INDEX(tblContractForDeed[End Bal],ROW()-ROW(tblBuyerOutputs[#Headers]))&lt;=0,0,($O$6+IF(ROW()=ROW(tblBuyerOutputs[#Headers])+1,0,INDEX(tblBuyerOutputs[Cumul Appr],ROW()-ROW(tblBuyerOutputs[#Headers])-1)))*$O$2/12)</f>
        <v>0</v>
      </c>
      <c r="AE267" s="587">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61" t="str">
        <f t="shared" si="47"/>
        <v/>
      </c>
      <c r="B268" s="265">
        <f t="shared" si="48"/>
        <v>0</v>
      </c>
      <c r="C268" s="14">
        <f t="shared" si="45"/>
        <v>0</v>
      </c>
      <c r="D268" s="14">
        <f t="shared" si="49"/>
        <v>0</v>
      </c>
      <c r="E268" s="14">
        <f t="shared" si="46"/>
        <v>0</v>
      </c>
      <c r="F268" s="14">
        <f t="shared" si="57"/>
        <v>0</v>
      </c>
      <c r="G268" s="14">
        <f t="shared" si="57"/>
        <v>0</v>
      </c>
      <c r="H268" s="14">
        <f t="shared" si="58"/>
        <v>0</v>
      </c>
      <c r="I268" s="265">
        <f t="shared" si="52"/>
        <v>0</v>
      </c>
      <c r="J268" s="265">
        <f t="shared" si="53"/>
        <v>0</v>
      </c>
      <c r="K268" s="265">
        <f t="shared" si="50"/>
        <v>0</v>
      </c>
      <c r="L268" s="373">
        <f t="shared" si="56"/>
        <v>0</v>
      </c>
      <c r="M268" s="373">
        <f t="shared" si="51"/>
        <v>0</v>
      </c>
      <c r="N268" s="561"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Row],[Payment]]=0,0,$V$2)</f>
        <v>0</v>
      </c>
      <c r="U268" s="265">
        <f>IF(tblContractForDeed[[#This Row],[Princ]]=0,0,$V$3)</f>
        <v>0</v>
      </c>
      <c r="V268" s="265">
        <f>SUM(tblContractForDeed[[#This Row],[Princ]],tblContractForDeed[[#This Row],[Int]],tblContractForDeed[[#This Row],[Ins]],tblContractForDeed[[#This Row],[Taxes]])</f>
        <v>0</v>
      </c>
      <c r="W268" s="265">
        <f>SUM(INDEX(tblContractForDeed[Princ],1):INDEX(tblContractForDeed[Princ],ROW()-ROW(tblContractForDeed[#Headers])))</f>
        <v>146500</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39">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8" s="265">
        <f>IF(INDEX(tblContractForDeed[End Bal],ROW()-ROW(tblBuyerOutputs[#Headers]))&lt;=0,0,($O$6+IF(ROW()=ROW(tblBuyerOutputs[#Headers])+1,0,INDEX(tblBuyerOutputs[Cumul Appr],ROW()-ROW(tblBuyerOutputs[#Headers])-1)))*$O$2/12)</f>
        <v>0</v>
      </c>
      <c r="AE268" s="587">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61" t="str">
        <f t="shared" si="47"/>
        <v/>
      </c>
      <c r="B269" s="265">
        <f t="shared" si="48"/>
        <v>0</v>
      </c>
      <c r="C269" s="14">
        <f t="shared" si="45"/>
        <v>0</v>
      </c>
      <c r="D269" s="14">
        <f t="shared" si="49"/>
        <v>0</v>
      </c>
      <c r="E269" s="14">
        <f t="shared" si="46"/>
        <v>0</v>
      </c>
      <c r="F269" s="14">
        <f t="shared" si="57"/>
        <v>0</v>
      </c>
      <c r="G269" s="14">
        <f t="shared" si="57"/>
        <v>0</v>
      </c>
      <c r="H269" s="14">
        <f t="shared" si="58"/>
        <v>0</v>
      </c>
      <c r="I269" s="265">
        <f t="shared" si="52"/>
        <v>0</v>
      </c>
      <c r="J269" s="265">
        <f t="shared" si="53"/>
        <v>0</v>
      </c>
      <c r="K269" s="265">
        <f t="shared" si="50"/>
        <v>0</v>
      </c>
      <c r="L269" s="373">
        <f t="shared" si="56"/>
        <v>0</v>
      </c>
      <c r="M269" s="373">
        <f t="shared" si="51"/>
        <v>0</v>
      </c>
      <c r="N269" s="561"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Row],[Payment]]=0,0,$V$2)</f>
        <v>0</v>
      </c>
      <c r="U269" s="265">
        <f>IF(tblContractForDeed[[#This Row],[Princ]]=0,0,$V$3)</f>
        <v>0</v>
      </c>
      <c r="V269" s="265">
        <f>SUM(tblContractForDeed[[#This Row],[Princ]],tblContractForDeed[[#This Row],[Int]],tblContractForDeed[[#This Row],[Ins]],tblContractForDeed[[#This Row],[Taxes]])</f>
        <v>0</v>
      </c>
      <c r="W269" s="265">
        <f>SUM(INDEX(tblContractForDeed[Princ],1):INDEX(tblContractForDeed[Princ],ROW()-ROW(tblContractForDeed[#Headers])))</f>
        <v>146500</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39">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9" s="265">
        <f>IF(INDEX(tblContractForDeed[End Bal],ROW()-ROW(tblBuyerOutputs[#Headers]))&lt;=0,0,($O$6+IF(ROW()=ROW(tblBuyerOutputs[#Headers])+1,0,INDEX(tblBuyerOutputs[Cumul Appr],ROW()-ROW(tblBuyerOutputs[#Headers])-1)))*$O$2/12)</f>
        <v>0</v>
      </c>
      <c r="AE269" s="587">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61" t="str">
        <f t="shared" si="47"/>
        <v/>
      </c>
      <c r="B270" s="265">
        <f t="shared" si="48"/>
        <v>0</v>
      </c>
      <c r="C270" s="14">
        <f t="shared" si="45"/>
        <v>0</v>
      </c>
      <c r="D270" s="14">
        <f t="shared" si="49"/>
        <v>0</v>
      </c>
      <c r="E270" s="14">
        <f t="shared" si="46"/>
        <v>0</v>
      </c>
      <c r="F270" s="14">
        <f t="shared" si="57"/>
        <v>0</v>
      </c>
      <c r="G270" s="14">
        <f t="shared" si="57"/>
        <v>0</v>
      </c>
      <c r="H270" s="14">
        <f t="shared" si="58"/>
        <v>0</v>
      </c>
      <c r="I270" s="265">
        <f t="shared" si="52"/>
        <v>0</v>
      </c>
      <c r="J270" s="265">
        <f t="shared" si="53"/>
        <v>0</v>
      </c>
      <c r="K270" s="265">
        <f t="shared" si="50"/>
        <v>0</v>
      </c>
      <c r="L270" s="373">
        <f t="shared" si="56"/>
        <v>0</v>
      </c>
      <c r="M270" s="373">
        <f t="shared" si="51"/>
        <v>0</v>
      </c>
      <c r="N270" s="561"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Row],[Payment]]=0,0,$V$2)</f>
        <v>0</v>
      </c>
      <c r="U270" s="265">
        <f>IF(tblContractForDeed[[#This Row],[Princ]]=0,0,$V$3)</f>
        <v>0</v>
      </c>
      <c r="V270" s="265">
        <f>SUM(tblContractForDeed[[#This Row],[Princ]],tblContractForDeed[[#This Row],[Int]],tblContractForDeed[[#This Row],[Ins]],tblContractForDeed[[#This Row],[Taxes]])</f>
        <v>0</v>
      </c>
      <c r="W270" s="265">
        <f>SUM(INDEX(tblContractForDeed[Princ],1):INDEX(tblContractForDeed[Princ],ROW()-ROW(tblContractForDeed[#Headers])))</f>
        <v>146500</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39">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0" s="265">
        <f>IF(INDEX(tblContractForDeed[End Bal],ROW()-ROW(tblBuyerOutputs[#Headers]))&lt;=0,0,($O$6+IF(ROW()=ROW(tblBuyerOutputs[#Headers])+1,0,INDEX(tblBuyerOutputs[Cumul Appr],ROW()-ROW(tblBuyerOutputs[#Headers])-1)))*$O$2/12)</f>
        <v>0</v>
      </c>
      <c r="AE270" s="587">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62" t="str">
        <f t="shared" si="47"/>
        <v/>
      </c>
      <c r="B271" s="316">
        <f t="shared" si="48"/>
        <v>0</v>
      </c>
      <c r="C271" s="21">
        <f t="shared" si="45"/>
        <v>0</v>
      </c>
      <c r="D271" s="21">
        <f t="shared" si="49"/>
        <v>0</v>
      </c>
      <c r="E271" s="21">
        <f t="shared" si="46"/>
        <v>0</v>
      </c>
      <c r="F271" s="21">
        <f t="shared" ref="F271:G286" si="59">+F270</f>
        <v>0</v>
      </c>
      <c r="G271" s="21">
        <f t="shared" si="59"/>
        <v>0</v>
      </c>
      <c r="H271" s="21">
        <f t="shared" si="58"/>
        <v>0</v>
      </c>
      <c r="I271" s="316">
        <f t="shared" si="52"/>
        <v>0</v>
      </c>
      <c r="J271" s="316">
        <f t="shared" si="53"/>
        <v>0</v>
      </c>
      <c r="K271" s="316">
        <f t="shared" si="50"/>
        <v>0</v>
      </c>
      <c r="L271" s="374">
        <f t="shared" si="56"/>
        <v>0</v>
      </c>
      <c r="M271" s="374">
        <f t="shared" si="51"/>
        <v>0</v>
      </c>
      <c r="N271" s="562" t="str">
        <f>INDEX(tblSubjectToLoan[Date],ROW()-ROW(tblContractForDeed[#Headers]))</f>
        <v/>
      </c>
      <c r="O271" s="316">
        <f>IF(ROW()=ROW(tblContractForDeed[#Headers])+1,$O$6,IF(INDEX(tblContractForDeed[End Bal],ROW()-ROW(tblContractForDeed[#Headers])-1)&lt;0,0,INDEX(tblContractForDeed[End Bal],ROW()-ROW(tblContractForDeed[#Headers])-1)))</f>
        <v>0</v>
      </c>
      <c r="P271" s="585"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Row],[Payment]]=0,0,$V$2)</f>
        <v>0</v>
      </c>
      <c r="U271" s="316">
        <f>IF(tblContractForDeed[[#This Row],[Princ]]=0,0,$V$3)</f>
        <v>0</v>
      </c>
      <c r="V271" s="316">
        <f>SUM(tblContractForDeed[[#This Row],[Princ]],tblContractForDeed[[#This Row],[Int]],tblContractForDeed[[#This Row],[Ins]],tblContractForDeed[[#This Row],[Taxes]])</f>
        <v>0</v>
      </c>
      <c r="W271" s="316">
        <f>SUM(INDEX(tblContractForDeed[Princ],1):INDEX(tblContractForDeed[Princ],ROW()-ROW(tblContractForDeed[#Headers])))</f>
        <v>146500</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0">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1" s="316">
        <f>IF(INDEX(tblContractForDeed[End Bal],ROW()-ROW(tblBuyerOutputs[#Headers]))&lt;=0,0,($O$6+IF(ROW()=ROW(tblBuyerOutputs[#Headers])+1,0,INDEX(tblBuyerOutputs[Cumul Appr],ROW()-ROW(tblBuyerOutputs[#Headers])-1)))*$O$2/12)</f>
        <v>0</v>
      </c>
      <c r="AE271" s="588">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61" t="str">
        <f t="shared" si="47"/>
        <v/>
      </c>
      <c r="B272" s="265">
        <f t="shared" si="48"/>
        <v>0</v>
      </c>
      <c r="C272" s="14">
        <f t="shared" si="45"/>
        <v>0</v>
      </c>
      <c r="D272" s="14">
        <f t="shared" si="49"/>
        <v>0</v>
      </c>
      <c r="E272" s="14">
        <f t="shared" si="46"/>
        <v>0</v>
      </c>
      <c r="F272" s="14">
        <f t="shared" si="59"/>
        <v>0</v>
      </c>
      <c r="G272" s="14">
        <f t="shared" si="59"/>
        <v>0</v>
      </c>
      <c r="H272" s="14">
        <f t="shared" si="58"/>
        <v>0</v>
      </c>
      <c r="I272" s="265">
        <f t="shared" si="52"/>
        <v>0</v>
      </c>
      <c r="J272" s="265">
        <f t="shared" si="53"/>
        <v>0</v>
      </c>
      <c r="K272" s="265">
        <f t="shared" si="50"/>
        <v>0</v>
      </c>
      <c r="L272" s="373">
        <f t="shared" si="56"/>
        <v>0</v>
      </c>
      <c r="M272" s="373">
        <f t="shared" si="51"/>
        <v>0</v>
      </c>
      <c r="N272" s="561"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Row],[Payment]]=0,0,$V$2)</f>
        <v>0</v>
      </c>
      <c r="U272" s="265">
        <f>IF(tblContractForDeed[[#This Row],[Princ]]=0,0,$V$3)</f>
        <v>0</v>
      </c>
      <c r="V272" s="265">
        <f>SUM(tblContractForDeed[[#This Row],[Princ]],tblContractForDeed[[#This Row],[Int]],tblContractForDeed[[#This Row],[Ins]],tblContractForDeed[[#This Row],[Taxes]])</f>
        <v>0</v>
      </c>
      <c r="W272" s="265">
        <f>SUM(INDEX(tblContractForDeed[Princ],1):INDEX(tblContractForDeed[Princ],ROW()-ROW(tblContractForDeed[#Headers])))</f>
        <v>146500</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39">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2" s="265">
        <f>IF(INDEX(tblContractForDeed[End Bal],ROW()-ROW(tblBuyerOutputs[#Headers]))&lt;=0,0,($O$6+IF(ROW()=ROW(tblBuyerOutputs[#Headers])+1,0,INDEX(tblBuyerOutputs[Cumul Appr],ROW()-ROW(tblBuyerOutputs[#Headers])-1)))*$O$2/12)</f>
        <v>0</v>
      </c>
      <c r="AE272" s="587">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61" t="str">
        <f t="shared" si="47"/>
        <v/>
      </c>
      <c r="B273" s="265">
        <f t="shared" si="48"/>
        <v>0</v>
      </c>
      <c r="C273" s="14">
        <f t="shared" si="45"/>
        <v>0</v>
      </c>
      <c r="D273" s="14">
        <f t="shared" si="49"/>
        <v>0</v>
      </c>
      <c r="E273" s="14">
        <f t="shared" si="46"/>
        <v>0</v>
      </c>
      <c r="F273" s="14">
        <f t="shared" si="59"/>
        <v>0</v>
      </c>
      <c r="G273" s="14">
        <f t="shared" si="59"/>
        <v>0</v>
      </c>
      <c r="H273" s="14">
        <f t="shared" si="58"/>
        <v>0</v>
      </c>
      <c r="I273" s="265">
        <f t="shared" si="52"/>
        <v>0</v>
      </c>
      <c r="J273" s="265">
        <f t="shared" si="53"/>
        <v>0</v>
      </c>
      <c r="K273" s="265">
        <f t="shared" si="50"/>
        <v>0</v>
      </c>
      <c r="L273" s="373">
        <f t="shared" si="56"/>
        <v>0</v>
      </c>
      <c r="M273" s="373">
        <f t="shared" si="51"/>
        <v>0</v>
      </c>
      <c r="N273" s="561"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Row],[Payment]]=0,0,$V$2)</f>
        <v>0</v>
      </c>
      <c r="U273" s="265">
        <f>IF(tblContractForDeed[[#This Row],[Princ]]=0,0,$V$3)</f>
        <v>0</v>
      </c>
      <c r="V273" s="265">
        <f>SUM(tblContractForDeed[[#This Row],[Princ]],tblContractForDeed[[#This Row],[Int]],tblContractForDeed[[#This Row],[Ins]],tblContractForDeed[[#This Row],[Taxes]])</f>
        <v>0</v>
      </c>
      <c r="W273" s="265">
        <f>SUM(INDEX(tblContractForDeed[Princ],1):INDEX(tblContractForDeed[Princ],ROW()-ROW(tblContractForDeed[#Headers])))</f>
        <v>146500</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39">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3" s="265">
        <f>IF(INDEX(tblContractForDeed[End Bal],ROW()-ROW(tblBuyerOutputs[#Headers]))&lt;=0,0,($O$6+IF(ROW()=ROW(tblBuyerOutputs[#Headers])+1,0,INDEX(tblBuyerOutputs[Cumul Appr],ROW()-ROW(tblBuyerOutputs[#Headers])-1)))*$O$2/12)</f>
        <v>0</v>
      </c>
      <c r="AE273" s="587">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61" t="str">
        <f t="shared" si="47"/>
        <v/>
      </c>
      <c r="B274" s="265">
        <f t="shared" si="48"/>
        <v>0</v>
      </c>
      <c r="C274" s="14">
        <f t="shared" si="45"/>
        <v>0</v>
      </c>
      <c r="D274" s="14">
        <f t="shared" si="49"/>
        <v>0</v>
      </c>
      <c r="E274" s="14">
        <f t="shared" si="46"/>
        <v>0</v>
      </c>
      <c r="F274" s="14">
        <f t="shared" si="59"/>
        <v>0</v>
      </c>
      <c r="G274" s="14">
        <f t="shared" si="59"/>
        <v>0</v>
      </c>
      <c r="H274" s="14">
        <f t="shared" si="58"/>
        <v>0</v>
      </c>
      <c r="I274" s="265">
        <f t="shared" si="52"/>
        <v>0</v>
      </c>
      <c r="J274" s="265">
        <f t="shared" si="53"/>
        <v>0</v>
      </c>
      <c r="K274" s="265">
        <f t="shared" si="50"/>
        <v>0</v>
      </c>
      <c r="L274" s="373">
        <f t="shared" si="56"/>
        <v>0</v>
      </c>
      <c r="M274" s="373">
        <f t="shared" si="51"/>
        <v>0</v>
      </c>
      <c r="N274" s="561"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Row],[Payment]]=0,0,$V$2)</f>
        <v>0</v>
      </c>
      <c r="U274" s="265">
        <f>IF(tblContractForDeed[[#This Row],[Princ]]=0,0,$V$3)</f>
        <v>0</v>
      </c>
      <c r="V274" s="265">
        <f>SUM(tblContractForDeed[[#This Row],[Princ]],tblContractForDeed[[#This Row],[Int]],tblContractForDeed[[#This Row],[Ins]],tblContractForDeed[[#This Row],[Taxes]])</f>
        <v>0</v>
      </c>
      <c r="W274" s="265">
        <f>SUM(INDEX(tblContractForDeed[Princ],1):INDEX(tblContractForDeed[Princ],ROW()-ROW(tblContractForDeed[#Headers])))</f>
        <v>146500</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39">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4" s="265">
        <f>IF(INDEX(tblContractForDeed[End Bal],ROW()-ROW(tblBuyerOutputs[#Headers]))&lt;=0,0,($O$6+IF(ROW()=ROW(tblBuyerOutputs[#Headers])+1,0,INDEX(tblBuyerOutputs[Cumul Appr],ROW()-ROW(tblBuyerOutputs[#Headers])-1)))*$O$2/12)</f>
        <v>0</v>
      </c>
      <c r="AE274" s="587">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61" t="str">
        <f t="shared" si="47"/>
        <v/>
      </c>
      <c r="B275" s="265">
        <f t="shared" si="48"/>
        <v>0</v>
      </c>
      <c r="C275" s="14">
        <f t="shared" si="45"/>
        <v>0</v>
      </c>
      <c r="D275" s="14">
        <f t="shared" si="49"/>
        <v>0</v>
      </c>
      <c r="E275" s="14">
        <f t="shared" si="46"/>
        <v>0</v>
      </c>
      <c r="F275" s="14">
        <f t="shared" si="59"/>
        <v>0</v>
      </c>
      <c r="G275" s="14">
        <f t="shared" si="59"/>
        <v>0</v>
      </c>
      <c r="H275" s="14">
        <f t="shared" si="58"/>
        <v>0</v>
      </c>
      <c r="I275" s="265">
        <f t="shared" si="52"/>
        <v>0</v>
      </c>
      <c r="J275" s="265">
        <f t="shared" si="53"/>
        <v>0</v>
      </c>
      <c r="K275" s="265">
        <f t="shared" si="50"/>
        <v>0</v>
      </c>
      <c r="L275" s="373">
        <f t="shared" si="56"/>
        <v>0</v>
      </c>
      <c r="M275" s="373">
        <f t="shared" si="51"/>
        <v>0</v>
      </c>
      <c r="N275" s="561"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Row],[Payment]]=0,0,$V$2)</f>
        <v>0</v>
      </c>
      <c r="U275" s="265">
        <f>IF(tblContractForDeed[[#This Row],[Princ]]=0,0,$V$3)</f>
        <v>0</v>
      </c>
      <c r="V275" s="265">
        <f>SUM(tblContractForDeed[[#This Row],[Princ]],tblContractForDeed[[#This Row],[Int]],tblContractForDeed[[#This Row],[Ins]],tblContractForDeed[[#This Row],[Taxes]])</f>
        <v>0</v>
      </c>
      <c r="W275" s="265">
        <f>SUM(INDEX(tblContractForDeed[Princ],1):INDEX(tblContractForDeed[Princ],ROW()-ROW(tblContractForDeed[#Headers])))</f>
        <v>146500</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39">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5" s="265">
        <f>IF(INDEX(tblContractForDeed[End Bal],ROW()-ROW(tblBuyerOutputs[#Headers]))&lt;=0,0,($O$6+IF(ROW()=ROW(tblBuyerOutputs[#Headers])+1,0,INDEX(tblBuyerOutputs[Cumul Appr],ROW()-ROW(tblBuyerOutputs[#Headers])-1)))*$O$2/12)</f>
        <v>0</v>
      </c>
      <c r="AE275" s="587">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61" t="str">
        <f t="shared" si="47"/>
        <v/>
      </c>
      <c r="B276" s="265">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0</v>
      </c>
      <c r="G276" s="14">
        <f t="shared" si="59"/>
        <v>0</v>
      </c>
      <c r="H276" s="14">
        <f t="shared" si="58"/>
        <v>0</v>
      </c>
      <c r="I276" s="265">
        <f t="shared" si="52"/>
        <v>0</v>
      </c>
      <c r="J276" s="265">
        <f t="shared" si="53"/>
        <v>0</v>
      </c>
      <c r="K276" s="265">
        <f t="shared" si="50"/>
        <v>0</v>
      </c>
      <c r="L276" s="373">
        <f t="shared" si="56"/>
        <v>0</v>
      </c>
      <c r="M276" s="373">
        <f t="shared" si="51"/>
        <v>0</v>
      </c>
      <c r="N276" s="561"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Row],[Payment]]=0,0,$V$2)</f>
        <v>0</v>
      </c>
      <c r="U276" s="265">
        <f>IF(tblContractForDeed[[#This Row],[Princ]]=0,0,$V$3)</f>
        <v>0</v>
      </c>
      <c r="V276" s="265">
        <f>SUM(tblContractForDeed[[#This Row],[Princ]],tblContractForDeed[[#This Row],[Int]],tblContractForDeed[[#This Row],[Ins]],tblContractForDeed[[#This Row],[Taxes]])</f>
        <v>0</v>
      </c>
      <c r="W276" s="265">
        <f>SUM(INDEX(tblContractForDeed[Princ],1):INDEX(tblContractForDeed[Princ],ROW()-ROW(tblContractForDeed[#Headers])))</f>
        <v>146500</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39">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6" s="265">
        <f>IF(INDEX(tblContractForDeed[End Bal],ROW()-ROW(tblBuyerOutputs[#Headers]))&lt;=0,0,($O$6+IF(ROW()=ROW(tblBuyerOutputs[#Headers])+1,0,INDEX(tblBuyerOutputs[Cumul Appr],ROW()-ROW(tblBuyerOutputs[#Headers])-1)))*$O$2/12)</f>
        <v>0</v>
      </c>
      <c r="AE276" s="587">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61" t="str">
        <f t="shared" ref="A277:A340" si="62">IF(OR(A276="",A276&gt;=subjectMortgageEndDate),"",EDATE(A276,1))</f>
        <v/>
      </c>
      <c r="B277" s="265">
        <f t="shared" ref="B277:B340" si="63">IF(A277="",0,MAX(0,K276))</f>
        <v>0</v>
      </c>
      <c r="C277" s="14">
        <f t="shared" si="60"/>
        <v>0</v>
      </c>
      <c r="D277" s="14">
        <f t="shared" ref="D277:D340" si="64">IF(C277=0,0,MAX(0,MIN(B277,C277-E277)))</f>
        <v>0</v>
      </c>
      <c r="E277" s="14">
        <f t="shared" si="61"/>
        <v>0</v>
      </c>
      <c r="F277" s="14">
        <f t="shared" si="59"/>
        <v>0</v>
      </c>
      <c r="G277" s="14">
        <f t="shared" si="59"/>
        <v>0</v>
      </c>
      <c r="H277" s="14">
        <f t="shared" si="58"/>
        <v>0</v>
      </c>
      <c r="I277" s="265">
        <f t="shared" si="52"/>
        <v>0</v>
      </c>
      <c r="J277" s="265">
        <f t="shared" si="53"/>
        <v>0</v>
      </c>
      <c r="K277" s="265">
        <f t="shared" ref="K277:K340" si="65">IF(A277="",0,IF(B277&lt;=0,0,MAX(0,B277-D277)))</f>
        <v>0</v>
      </c>
      <c r="L277" s="373">
        <f t="shared" si="56"/>
        <v>0</v>
      </c>
      <c r="M277" s="373">
        <f t="shared" ref="M277:M340" si="66">IF($A277&lt;&gt;"",M276+1,0)</f>
        <v>0</v>
      </c>
      <c r="N277" s="561"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Row],[Payment]]=0,0,$V$2)</f>
        <v>0</v>
      </c>
      <c r="U277" s="265">
        <f>IF(tblContractForDeed[[#This Row],[Princ]]=0,0,$V$3)</f>
        <v>0</v>
      </c>
      <c r="V277" s="265">
        <f>SUM(tblContractForDeed[[#This Row],[Princ]],tblContractForDeed[[#This Row],[Int]],tblContractForDeed[[#This Row],[Ins]],tblContractForDeed[[#This Row],[Taxes]])</f>
        <v>0</v>
      </c>
      <c r="W277" s="265">
        <f>SUM(INDEX(tblContractForDeed[Princ],1):INDEX(tblContractForDeed[Princ],ROW()-ROW(tblContractForDeed[#Headers])))</f>
        <v>146500</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39">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7" s="265">
        <f>IF(INDEX(tblContractForDeed[End Bal],ROW()-ROW(tblBuyerOutputs[#Headers]))&lt;=0,0,($O$6+IF(ROW()=ROW(tblBuyerOutputs[#Headers])+1,0,INDEX(tblBuyerOutputs[Cumul Appr],ROW()-ROW(tblBuyerOutputs[#Headers])-1)))*$O$2/12)</f>
        <v>0</v>
      </c>
      <c r="AE277" s="587">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61" t="str">
        <f t="shared" si="62"/>
        <v/>
      </c>
      <c r="B278" s="265">
        <f t="shared" si="63"/>
        <v>0</v>
      </c>
      <c r="C278" s="14">
        <f t="shared" si="60"/>
        <v>0</v>
      </c>
      <c r="D278" s="14">
        <f t="shared" si="64"/>
        <v>0</v>
      </c>
      <c r="E278" s="14">
        <f t="shared" si="61"/>
        <v>0</v>
      </c>
      <c r="F278" s="14">
        <f t="shared" si="59"/>
        <v>0</v>
      </c>
      <c r="G278" s="14">
        <f t="shared" si="59"/>
        <v>0</v>
      </c>
      <c r="H278" s="14">
        <f t="shared" si="58"/>
        <v>0</v>
      </c>
      <c r="I278" s="265">
        <f t="shared" ref="I278:I341" si="67">$D278+$I277</f>
        <v>0</v>
      </c>
      <c r="J278" s="265">
        <f t="shared" ref="J278:J341" si="68">$E278+$J277</f>
        <v>0</v>
      </c>
      <c r="K278" s="265">
        <f t="shared" si="65"/>
        <v>0</v>
      </c>
      <c r="L278" s="373">
        <f t="shared" si="56"/>
        <v>0</v>
      </c>
      <c r="M278" s="373">
        <f t="shared" si="66"/>
        <v>0</v>
      </c>
      <c r="N278" s="561"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Row],[Payment]]=0,0,$V$2)</f>
        <v>0</v>
      </c>
      <c r="U278" s="265">
        <f>IF(tblContractForDeed[[#This Row],[Princ]]=0,0,$V$3)</f>
        <v>0</v>
      </c>
      <c r="V278" s="265">
        <f>SUM(tblContractForDeed[[#This Row],[Princ]],tblContractForDeed[[#This Row],[Int]],tblContractForDeed[[#This Row],[Ins]],tblContractForDeed[[#This Row],[Taxes]])</f>
        <v>0</v>
      </c>
      <c r="W278" s="265">
        <f>SUM(INDEX(tblContractForDeed[Princ],1):INDEX(tblContractForDeed[Princ],ROW()-ROW(tblContractForDeed[#Headers])))</f>
        <v>146500</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39">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8" s="265">
        <f>IF(INDEX(tblContractForDeed[End Bal],ROW()-ROW(tblBuyerOutputs[#Headers]))&lt;=0,0,($O$6+IF(ROW()=ROW(tblBuyerOutputs[#Headers])+1,0,INDEX(tblBuyerOutputs[Cumul Appr],ROW()-ROW(tblBuyerOutputs[#Headers])-1)))*$O$2/12)</f>
        <v>0</v>
      </c>
      <c r="AE278" s="587">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61" t="str">
        <f t="shared" si="62"/>
        <v/>
      </c>
      <c r="B279" s="265">
        <f t="shared" si="63"/>
        <v>0</v>
      </c>
      <c r="C279" s="14">
        <f t="shared" si="60"/>
        <v>0</v>
      </c>
      <c r="D279" s="14">
        <f t="shared" si="64"/>
        <v>0</v>
      </c>
      <c r="E279" s="14">
        <f t="shared" si="61"/>
        <v>0</v>
      </c>
      <c r="F279" s="14">
        <f t="shared" si="59"/>
        <v>0</v>
      </c>
      <c r="G279" s="14">
        <f t="shared" si="59"/>
        <v>0</v>
      </c>
      <c r="H279" s="14">
        <f t="shared" si="58"/>
        <v>0</v>
      </c>
      <c r="I279" s="265">
        <f t="shared" si="67"/>
        <v>0</v>
      </c>
      <c r="J279" s="265">
        <f t="shared" si="68"/>
        <v>0</v>
      </c>
      <c r="K279" s="265">
        <f t="shared" si="65"/>
        <v>0</v>
      </c>
      <c r="L279" s="373">
        <f t="shared" si="56"/>
        <v>0</v>
      </c>
      <c r="M279" s="373">
        <f t="shared" si="66"/>
        <v>0</v>
      </c>
      <c r="N279" s="561"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Row],[Payment]]=0,0,$V$2)</f>
        <v>0</v>
      </c>
      <c r="U279" s="265">
        <f>IF(tblContractForDeed[[#This Row],[Princ]]=0,0,$V$3)</f>
        <v>0</v>
      </c>
      <c r="V279" s="265">
        <f>SUM(tblContractForDeed[[#This Row],[Princ]],tblContractForDeed[[#This Row],[Int]],tblContractForDeed[[#This Row],[Ins]],tblContractForDeed[[#This Row],[Taxes]])</f>
        <v>0</v>
      </c>
      <c r="W279" s="265">
        <f>SUM(INDEX(tblContractForDeed[Princ],1):INDEX(tblContractForDeed[Princ],ROW()-ROW(tblContractForDeed[#Headers])))</f>
        <v>146500</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39">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9" s="265">
        <f>IF(INDEX(tblContractForDeed[End Bal],ROW()-ROW(tblBuyerOutputs[#Headers]))&lt;=0,0,($O$6+IF(ROW()=ROW(tblBuyerOutputs[#Headers])+1,0,INDEX(tblBuyerOutputs[Cumul Appr],ROW()-ROW(tblBuyerOutputs[#Headers])-1)))*$O$2/12)</f>
        <v>0</v>
      </c>
      <c r="AE279" s="587">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61" t="str">
        <f t="shared" si="62"/>
        <v/>
      </c>
      <c r="B280" s="265">
        <f t="shared" si="63"/>
        <v>0</v>
      </c>
      <c r="C280" s="14">
        <f t="shared" si="60"/>
        <v>0</v>
      </c>
      <c r="D280" s="14">
        <f t="shared" si="64"/>
        <v>0</v>
      </c>
      <c r="E280" s="14">
        <f t="shared" si="61"/>
        <v>0</v>
      </c>
      <c r="F280" s="14">
        <f t="shared" si="59"/>
        <v>0</v>
      </c>
      <c r="G280" s="14">
        <f t="shared" si="59"/>
        <v>0</v>
      </c>
      <c r="H280" s="14">
        <f t="shared" si="58"/>
        <v>0</v>
      </c>
      <c r="I280" s="265">
        <f t="shared" si="67"/>
        <v>0</v>
      </c>
      <c r="J280" s="265">
        <f t="shared" si="68"/>
        <v>0</v>
      </c>
      <c r="K280" s="265">
        <f t="shared" si="65"/>
        <v>0</v>
      </c>
      <c r="L280" s="373">
        <f t="shared" si="56"/>
        <v>0</v>
      </c>
      <c r="M280" s="373">
        <f t="shared" si="66"/>
        <v>0</v>
      </c>
      <c r="N280" s="561"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Row],[Payment]]=0,0,$V$2)</f>
        <v>0</v>
      </c>
      <c r="U280" s="265">
        <f>IF(tblContractForDeed[[#This Row],[Princ]]=0,0,$V$3)</f>
        <v>0</v>
      </c>
      <c r="V280" s="265">
        <f>SUM(tblContractForDeed[[#This Row],[Princ]],tblContractForDeed[[#This Row],[Int]],tblContractForDeed[[#This Row],[Ins]],tblContractForDeed[[#This Row],[Taxes]])</f>
        <v>0</v>
      </c>
      <c r="W280" s="265">
        <f>SUM(INDEX(tblContractForDeed[Princ],1):INDEX(tblContractForDeed[Princ],ROW()-ROW(tblContractForDeed[#Headers])))</f>
        <v>146500</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39">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0" s="265">
        <f>IF(INDEX(tblContractForDeed[End Bal],ROW()-ROW(tblBuyerOutputs[#Headers]))&lt;=0,0,($O$6+IF(ROW()=ROW(tblBuyerOutputs[#Headers])+1,0,INDEX(tblBuyerOutputs[Cumul Appr],ROW()-ROW(tblBuyerOutputs[#Headers])-1)))*$O$2/12)</f>
        <v>0</v>
      </c>
      <c r="AE280" s="587">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61" t="str">
        <f t="shared" si="62"/>
        <v/>
      </c>
      <c r="B281" s="265">
        <f t="shared" si="63"/>
        <v>0</v>
      </c>
      <c r="C281" s="14">
        <f t="shared" si="60"/>
        <v>0</v>
      </c>
      <c r="D281" s="14">
        <f t="shared" si="64"/>
        <v>0</v>
      </c>
      <c r="E281" s="14">
        <f t="shared" si="61"/>
        <v>0</v>
      </c>
      <c r="F281" s="14">
        <f t="shared" si="59"/>
        <v>0</v>
      </c>
      <c r="G281" s="14">
        <f t="shared" si="59"/>
        <v>0</v>
      </c>
      <c r="H281" s="14">
        <f t="shared" si="58"/>
        <v>0</v>
      </c>
      <c r="I281" s="265">
        <f t="shared" si="67"/>
        <v>0</v>
      </c>
      <c r="J281" s="265">
        <f t="shared" si="68"/>
        <v>0</v>
      </c>
      <c r="K281" s="265">
        <f t="shared" si="65"/>
        <v>0</v>
      </c>
      <c r="L281" s="373">
        <f t="shared" si="56"/>
        <v>0</v>
      </c>
      <c r="M281" s="373">
        <f t="shared" si="66"/>
        <v>0</v>
      </c>
      <c r="N281" s="561"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Row],[Payment]]=0,0,$V$2)</f>
        <v>0</v>
      </c>
      <c r="U281" s="265">
        <f>IF(tblContractForDeed[[#This Row],[Princ]]=0,0,$V$3)</f>
        <v>0</v>
      </c>
      <c r="V281" s="265">
        <f>SUM(tblContractForDeed[[#This Row],[Princ]],tblContractForDeed[[#This Row],[Int]],tblContractForDeed[[#This Row],[Ins]],tblContractForDeed[[#This Row],[Taxes]])</f>
        <v>0</v>
      </c>
      <c r="W281" s="265">
        <f>SUM(INDEX(tblContractForDeed[Princ],1):INDEX(tblContractForDeed[Princ],ROW()-ROW(tblContractForDeed[#Headers])))</f>
        <v>146500</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39">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1" s="265">
        <f>IF(INDEX(tblContractForDeed[End Bal],ROW()-ROW(tblBuyerOutputs[#Headers]))&lt;=0,0,($O$6+IF(ROW()=ROW(tblBuyerOutputs[#Headers])+1,0,INDEX(tblBuyerOutputs[Cumul Appr],ROW()-ROW(tblBuyerOutputs[#Headers])-1)))*$O$2/12)</f>
        <v>0</v>
      </c>
      <c r="AE281" s="587">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61" t="str">
        <f t="shared" si="62"/>
        <v/>
      </c>
      <c r="B282" s="265">
        <f t="shared" si="63"/>
        <v>0</v>
      </c>
      <c r="C282" s="14">
        <f t="shared" si="60"/>
        <v>0</v>
      </c>
      <c r="D282" s="14">
        <f t="shared" si="64"/>
        <v>0</v>
      </c>
      <c r="E282" s="14">
        <f t="shared" si="61"/>
        <v>0</v>
      </c>
      <c r="F282" s="14">
        <f t="shared" si="59"/>
        <v>0</v>
      </c>
      <c r="G282" s="14">
        <f t="shared" si="59"/>
        <v>0</v>
      </c>
      <c r="H282" s="14">
        <f t="shared" si="58"/>
        <v>0</v>
      </c>
      <c r="I282" s="265">
        <f t="shared" si="67"/>
        <v>0</v>
      </c>
      <c r="J282" s="265">
        <f t="shared" si="68"/>
        <v>0</v>
      </c>
      <c r="K282" s="265">
        <f t="shared" si="65"/>
        <v>0</v>
      </c>
      <c r="L282" s="373">
        <f t="shared" si="56"/>
        <v>0</v>
      </c>
      <c r="M282" s="373">
        <f t="shared" si="66"/>
        <v>0</v>
      </c>
      <c r="N282" s="561"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Row],[Payment]]=0,0,$V$2)</f>
        <v>0</v>
      </c>
      <c r="U282" s="265">
        <f>IF(tblContractForDeed[[#This Row],[Princ]]=0,0,$V$3)</f>
        <v>0</v>
      </c>
      <c r="V282" s="265">
        <f>SUM(tblContractForDeed[[#This Row],[Princ]],tblContractForDeed[[#This Row],[Int]],tblContractForDeed[[#This Row],[Ins]],tblContractForDeed[[#This Row],[Taxes]])</f>
        <v>0</v>
      </c>
      <c r="W282" s="265">
        <f>SUM(INDEX(tblContractForDeed[Princ],1):INDEX(tblContractForDeed[Princ],ROW()-ROW(tblContractForDeed[#Headers])))</f>
        <v>146500</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39">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2" s="265">
        <f>IF(INDEX(tblContractForDeed[End Bal],ROW()-ROW(tblBuyerOutputs[#Headers]))&lt;=0,0,($O$6+IF(ROW()=ROW(tblBuyerOutputs[#Headers])+1,0,INDEX(tblBuyerOutputs[Cumul Appr],ROW()-ROW(tblBuyerOutputs[#Headers])-1)))*$O$2/12)</f>
        <v>0</v>
      </c>
      <c r="AE282" s="587">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62" t="str">
        <f t="shared" si="62"/>
        <v/>
      </c>
      <c r="B283" s="316">
        <f t="shared" si="63"/>
        <v>0</v>
      </c>
      <c r="C283" s="21">
        <f t="shared" si="60"/>
        <v>0</v>
      </c>
      <c r="D283" s="21">
        <f t="shared" si="64"/>
        <v>0</v>
      </c>
      <c r="E283" s="21">
        <f t="shared" si="61"/>
        <v>0</v>
      </c>
      <c r="F283" s="21">
        <f t="shared" si="59"/>
        <v>0</v>
      </c>
      <c r="G283" s="21">
        <f t="shared" si="59"/>
        <v>0</v>
      </c>
      <c r="H283" s="21">
        <f t="shared" si="58"/>
        <v>0</v>
      </c>
      <c r="I283" s="316">
        <f t="shared" si="67"/>
        <v>0</v>
      </c>
      <c r="J283" s="316">
        <f t="shared" si="68"/>
        <v>0</v>
      </c>
      <c r="K283" s="316">
        <f t="shared" si="65"/>
        <v>0</v>
      </c>
      <c r="L283" s="374">
        <f t="shared" si="56"/>
        <v>0</v>
      </c>
      <c r="M283" s="374">
        <f t="shared" si="66"/>
        <v>0</v>
      </c>
      <c r="N283" s="562" t="str">
        <f>INDEX(tblSubjectToLoan[Date],ROW()-ROW(tblContractForDeed[#Headers]))</f>
        <v/>
      </c>
      <c r="O283" s="316">
        <f>IF(ROW()=ROW(tblContractForDeed[#Headers])+1,$O$6,IF(INDEX(tblContractForDeed[End Bal],ROW()-ROW(tblContractForDeed[#Headers])-1)&lt;0,0,INDEX(tblContractForDeed[End Bal],ROW()-ROW(tblContractForDeed[#Headers])-1)))</f>
        <v>0</v>
      </c>
      <c r="P283" s="585"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Row],[Payment]]=0,0,$V$2)</f>
        <v>0</v>
      </c>
      <c r="U283" s="316">
        <f>IF(tblContractForDeed[[#This Row],[Princ]]=0,0,$V$3)</f>
        <v>0</v>
      </c>
      <c r="V283" s="316">
        <f>SUM(tblContractForDeed[[#This Row],[Princ]],tblContractForDeed[[#This Row],[Int]],tblContractForDeed[[#This Row],[Ins]],tblContractForDeed[[#This Row],[Taxes]])</f>
        <v>0</v>
      </c>
      <c r="W283" s="316">
        <f>SUM(INDEX(tblContractForDeed[Princ],1):INDEX(tblContractForDeed[Princ],ROW()-ROW(tblContractForDeed[#Headers])))</f>
        <v>146500</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0">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3" s="316">
        <f>IF(INDEX(tblContractForDeed[End Bal],ROW()-ROW(tblBuyerOutputs[#Headers]))&lt;=0,0,($O$6+IF(ROW()=ROW(tblBuyerOutputs[#Headers])+1,0,INDEX(tblBuyerOutputs[Cumul Appr],ROW()-ROW(tblBuyerOutputs[#Headers])-1)))*$O$2/12)</f>
        <v>0</v>
      </c>
      <c r="AE283" s="588">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61" t="str">
        <f t="shared" si="62"/>
        <v/>
      </c>
      <c r="B284" s="265">
        <f t="shared" si="63"/>
        <v>0</v>
      </c>
      <c r="C284" s="14">
        <f t="shared" si="60"/>
        <v>0</v>
      </c>
      <c r="D284" s="14">
        <f t="shared" si="64"/>
        <v>0</v>
      </c>
      <c r="E284" s="14">
        <f t="shared" si="61"/>
        <v>0</v>
      </c>
      <c r="F284" s="14">
        <f t="shared" si="59"/>
        <v>0</v>
      </c>
      <c r="G284" s="14">
        <f t="shared" si="59"/>
        <v>0</v>
      </c>
      <c r="H284" s="14">
        <f t="shared" si="58"/>
        <v>0</v>
      </c>
      <c r="I284" s="265">
        <f t="shared" si="67"/>
        <v>0</v>
      </c>
      <c r="J284" s="265">
        <f t="shared" si="68"/>
        <v>0</v>
      </c>
      <c r="K284" s="265">
        <f t="shared" si="65"/>
        <v>0</v>
      </c>
      <c r="L284" s="373">
        <f t="shared" si="56"/>
        <v>0</v>
      </c>
      <c r="M284" s="373">
        <f t="shared" si="66"/>
        <v>0</v>
      </c>
      <c r="N284" s="561"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Row],[Payment]]=0,0,$V$2)</f>
        <v>0</v>
      </c>
      <c r="U284" s="265">
        <f>IF(tblContractForDeed[[#This Row],[Princ]]=0,0,$V$3)</f>
        <v>0</v>
      </c>
      <c r="V284" s="265">
        <f>SUM(tblContractForDeed[[#This Row],[Princ]],tblContractForDeed[[#This Row],[Int]],tblContractForDeed[[#This Row],[Ins]],tblContractForDeed[[#This Row],[Taxes]])</f>
        <v>0</v>
      </c>
      <c r="W284" s="265">
        <f>SUM(INDEX(tblContractForDeed[Princ],1):INDEX(tblContractForDeed[Princ],ROW()-ROW(tblContractForDeed[#Headers])))</f>
        <v>146500</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39">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4" s="265">
        <f>IF(INDEX(tblContractForDeed[End Bal],ROW()-ROW(tblBuyerOutputs[#Headers]))&lt;=0,0,($O$6+IF(ROW()=ROW(tblBuyerOutputs[#Headers])+1,0,INDEX(tblBuyerOutputs[Cumul Appr],ROW()-ROW(tblBuyerOutputs[#Headers])-1)))*$O$2/12)</f>
        <v>0</v>
      </c>
      <c r="AE284" s="587">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61" t="str">
        <f t="shared" si="62"/>
        <v/>
      </c>
      <c r="B285" s="265">
        <f t="shared" si="63"/>
        <v>0</v>
      </c>
      <c r="C285" s="14">
        <f t="shared" si="60"/>
        <v>0</v>
      </c>
      <c r="D285" s="14">
        <f t="shared" si="64"/>
        <v>0</v>
      </c>
      <c r="E285" s="14">
        <f t="shared" si="61"/>
        <v>0</v>
      </c>
      <c r="F285" s="14">
        <f t="shared" si="59"/>
        <v>0</v>
      </c>
      <c r="G285" s="14">
        <f t="shared" si="59"/>
        <v>0</v>
      </c>
      <c r="H285" s="14">
        <f t="shared" si="58"/>
        <v>0</v>
      </c>
      <c r="I285" s="265">
        <f t="shared" si="67"/>
        <v>0</v>
      </c>
      <c r="J285" s="265">
        <f t="shared" si="68"/>
        <v>0</v>
      </c>
      <c r="K285" s="265">
        <f t="shared" si="65"/>
        <v>0</v>
      </c>
      <c r="L285" s="373">
        <f t="shared" si="56"/>
        <v>0</v>
      </c>
      <c r="M285" s="373">
        <f t="shared" si="66"/>
        <v>0</v>
      </c>
      <c r="N285" s="561"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Row],[Payment]]=0,0,$V$2)</f>
        <v>0</v>
      </c>
      <c r="U285" s="265">
        <f>IF(tblContractForDeed[[#This Row],[Princ]]=0,0,$V$3)</f>
        <v>0</v>
      </c>
      <c r="V285" s="265">
        <f>SUM(tblContractForDeed[[#This Row],[Princ]],tblContractForDeed[[#This Row],[Int]],tblContractForDeed[[#This Row],[Ins]],tblContractForDeed[[#This Row],[Taxes]])</f>
        <v>0</v>
      </c>
      <c r="W285" s="265">
        <f>SUM(INDEX(tblContractForDeed[Princ],1):INDEX(tblContractForDeed[Princ],ROW()-ROW(tblContractForDeed[#Headers])))</f>
        <v>146500</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39">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5" s="265">
        <f>IF(INDEX(tblContractForDeed[End Bal],ROW()-ROW(tblBuyerOutputs[#Headers]))&lt;=0,0,($O$6+IF(ROW()=ROW(tblBuyerOutputs[#Headers])+1,0,INDEX(tblBuyerOutputs[Cumul Appr],ROW()-ROW(tblBuyerOutputs[#Headers])-1)))*$O$2/12)</f>
        <v>0</v>
      </c>
      <c r="AE285" s="587">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61" t="str">
        <f t="shared" si="62"/>
        <v/>
      </c>
      <c r="B286" s="265">
        <f t="shared" si="63"/>
        <v>0</v>
      </c>
      <c r="C286" s="14">
        <f t="shared" si="60"/>
        <v>0</v>
      </c>
      <c r="D286" s="14">
        <f t="shared" si="64"/>
        <v>0</v>
      </c>
      <c r="E286" s="14">
        <f t="shared" si="61"/>
        <v>0</v>
      </c>
      <c r="F286" s="14">
        <f t="shared" si="59"/>
        <v>0</v>
      </c>
      <c r="G286" s="14">
        <f t="shared" si="59"/>
        <v>0</v>
      </c>
      <c r="H286" s="14">
        <f t="shared" si="58"/>
        <v>0</v>
      </c>
      <c r="I286" s="265">
        <f t="shared" si="67"/>
        <v>0</v>
      </c>
      <c r="J286" s="265">
        <f t="shared" si="68"/>
        <v>0</v>
      </c>
      <c r="K286" s="265">
        <f t="shared" si="65"/>
        <v>0</v>
      </c>
      <c r="L286" s="373">
        <f t="shared" si="56"/>
        <v>0</v>
      </c>
      <c r="M286" s="373">
        <f t="shared" si="66"/>
        <v>0</v>
      </c>
      <c r="N286" s="561"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Row],[Payment]]=0,0,$V$2)</f>
        <v>0</v>
      </c>
      <c r="U286" s="265">
        <f>IF(tblContractForDeed[[#This Row],[Princ]]=0,0,$V$3)</f>
        <v>0</v>
      </c>
      <c r="V286" s="265">
        <f>SUM(tblContractForDeed[[#This Row],[Princ]],tblContractForDeed[[#This Row],[Int]],tblContractForDeed[[#This Row],[Ins]],tblContractForDeed[[#This Row],[Taxes]])</f>
        <v>0</v>
      </c>
      <c r="W286" s="265">
        <f>SUM(INDEX(tblContractForDeed[Princ],1):INDEX(tblContractForDeed[Princ],ROW()-ROW(tblContractForDeed[#Headers])))</f>
        <v>146500</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39">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6" s="265">
        <f>IF(INDEX(tblContractForDeed[End Bal],ROW()-ROW(tblBuyerOutputs[#Headers]))&lt;=0,0,($O$6+IF(ROW()=ROW(tblBuyerOutputs[#Headers])+1,0,INDEX(tblBuyerOutputs[Cumul Appr],ROW()-ROW(tblBuyerOutputs[#Headers])-1)))*$O$2/12)</f>
        <v>0</v>
      </c>
      <c r="AE286" s="587">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61" t="str">
        <f t="shared" si="62"/>
        <v/>
      </c>
      <c r="B287" s="265">
        <f t="shared" si="63"/>
        <v>0</v>
      </c>
      <c r="C287" s="14">
        <f t="shared" si="60"/>
        <v>0</v>
      </c>
      <c r="D287" s="14">
        <f t="shared" si="64"/>
        <v>0</v>
      </c>
      <c r="E287" s="14">
        <f t="shared" si="61"/>
        <v>0</v>
      </c>
      <c r="F287" s="14">
        <f t="shared" ref="F287:G302" si="69">+F286</f>
        <v>0</v>
      </c>
      <c r="G287" s="14">
        <f t="shared" si="69"/>
        <v>0</v>
      </c>
      <c r="H287" s="14">
        <f t="shared" si="58"/>
        <v>0</v>
      </c>
      <c r="I287" s="265">
        <f t="shared" si="67"/>
        <v>0</v>
      </c>
      <c r="J287" s="265">
        <f t="shared" si="68"/>
        <v>0</v>
      </c>
      <c r="K287" s="265">
        <f t="shared" si="65"/>
        <v>0</v>
      </c>
      <c r="L287" s="373">
        <f t="shared" si="56"/>
        <v>0</v>
      </c>
      <c r="M287" s="373">
        <f t="shared" si="66"/>
        <v>0</v>
      </c>
      <c r="N287" s="561"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Row],[Payment]]=0,0,$V$2)</f>
        <v>0</v>
      </c>
      <c r="U287" s="265">
        <f>IF(tblContractForDeed[[#This Row],[Princ]]=0,0,$V$3)</f>
        <v>0</v>
      </c>
      <c r="V287" s="265">
        <f>SUM(tblContractForDeed[[#This Row],[Princ]],tblContractForDeed[[#This Row],[Int]],tblContractForDeed[[#This Row],[Ins]],tblContractForDeed[[#This Row],[Taxes]])</f>
        <v>0</v>
      </c>
      <c r="W287" s="265">
        <f>SUM(INDEX(tblContractForDeed[Princ],1):INDEX(tblContractForDeed[Princ],ROW()-ROW(tblContractForDeed[#Headers])))</f>
        <v>146500</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39">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7" s="265">
        <f>IF(INDEX(tblContractForDeed[End Bal],ROW()-ROW(tblBuyerOutputs[#Headers]))&lt;=0,0,($O$6+IF(ROW()=ROW(tblBuyerOutputs[#Headers])+1,0,INDEX(tblBuyerOutputs[Cumul Appr],ROW()-ROW(tblBuyerOutputs[#Headers])-1)))*$O$2/12)</f>
        <v>0</v>
      </c>
      <c r="AE287" s="587">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61" t="str">
        <f t="shared" si="62"/>
        <v/>
      </c>
      <c r="B288" s="265">
        <f t="shared" si="63"/>
        <v>0</v>
      </c>
      <c r="C288" s="14">
        <f t="shared" si="60"/>
        <v>0</v>
      </c>
      <c r="D288" s="14">
        <f t="shared" si="64"/>
        <v>0</v>
      </c>
      <c r="E288" s="14">
        <f t="shared" si="61"/>
        <v>0</v>
      </c>
      <c r="F288" s="14">
        <f t="shared" si="69"/>
        <v>0</v>
      </c>
      <c r="G288" s="14">
        <f t="shared" si="69"/>
        <v>0</v>
      </c>
      <c r="H288" s="14">
        <f t="shared" si="58"/>
        <v>0</v>
      </c>
      <c r="I288" s="265">
        <f t="shared" si="67"/>
        <v>0</v>
      </c>
      <c r="J288" s="265">
        <f t="shared" si="68"/>
        <v>0</v>
      </c>
      <c r="K288" s="265">
        <f t="shared" si="65"/>
        <v>0</v>
      </c>
      <c r="L288" s="373">
        <f t="shared" si="56"/>
        <v>0</v>
      </c>
      <c r="M288" s="373">
        <f t="shared" si="66"/>
        <v>0</v>
      </c>
      <c r="N288" s="561"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Row],[Payment]]=0,0,$V$2)</f>
        <v>0</v>
      </c>
      <c r="U288" s="265">
        <f>IF(tblContractForDeed[[#This Row],[Princ]]=0,0,$V$3)</f>
        <v>0</v>
      </c>
      <c r="V288" s="265">
        <f>SUM(tblContractForDeed[[#This Row],[Princ]],tblContractForDeed[[#This Row],[Int]],tblContractForDeed[[#This Row],[Ins]],tblContractForDeed[[#This Row],[Taxes]])</f>
        <v>0</v>
      </c>
      <c r="W288" s="265">
        <f>SUM(INDEX(tblContractForDeed[Princ],1):INDEX(tblContractForDeed[Princ],ROW()-ROW(tblContractForDeed[#Headers])))</f>
        <v>146500</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39">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8" s="265">
        <f>IF(INDEX(tblContractForDeed[End Bal],ROW()-ROW(tblBuyerOutputs[#Headers]))&lt;=0,0,($O$6+IF(ROW()=ROW(tblBuyerOutputs[#Headers])+1,0,INDEX(tblBuyerOutputs[Cumul Appr],ROW()-ROW(tblBuyerOutputs[#Headers])-1)))*$O$2/12)</f>
        <v>0</v>
      </c>
      <c r="AE288" s="587">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61" t="str">
        <f t="shared" si="62"/>
        <v/>
      </c>
      <c r="B289" s="265">
        <f t="shared" si="63"/>
        <v>0</v>
      </c>
      <c r="C289" s="14">
        <f t="shared" si="60"/>
        <v>0</v>
      </c>
      <c r="D289" s="14">
        <f t="shared" si="64"/>
        <v>0</v>
      </c>
      <c r="E289" s="14">
        <f t="shared" si="61"/>
        <v>0</v>
      </c>
      <c r="F289" s="14">
        <f t="shared" si="69"/>
        <v>0</v>
      </c>
      <c r="G289" s="14">
        <f t="shared" si="69"/>
        <v>0</v>
      </c>
      <c r="H289" s="14">
        <f t="shared" si="58"/>
        <v>0</v>
      </c>
      <c r="I289" s="265">
        <f t="shared" si="67"/>
        <v>0</v>
      </c>
      <c r="J289" s="265">
        <f t="shared" si="68"/>
        <v>0</v>
      </c>
      <c r="K289" s="265">
        <f t="shared" si="65"/>
        <v>0</v>
      </c>
      <c r="L289" s="373">
        <f t="shared" si="56"/>
        <v>0</v>
      </c>
      <c r="M289" s="373">
        <f t="shared" si="66"/>
        <v>0</v>
      </c>
      <c r="N289" s="561"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Row],[Payment]]=0,0,$V$2)</f>
        <v>0</v>
      </c>
      <c r="U289" s="265">
        <f>IF(tblContractForDeed[[#This Row],[Princ]]=0,0,$V$3)</f>
        <v>0</v>
      </c>
      <c r="V289" s="265">
        <f>SUM(tblContractForDeed[[#This Row],[Princ]],tblContractForDeed[[#This Row],[Int]],tblContractForDeed[[#This Row],[Ins]],tblContractForDeed[[#This Row],[Taxes]])</f>
        <v>0</v>
      </c>
      <c r="W289" s="265">
        <f>SUM(INDEX(tblContractForDeed[Princ],1):INDEX(tblContractForDeed[Princ],ROW()-ROW(tblContractForDeed[#Headers])))</f>
        <v>146500</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39">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9" s="265">
        <f>IF(INDEX(tblContractForDeed[End Bal],ROW()-ROW(tblBuyerOutputs[#Headers]))&lt;=0,0,($O$6+IF(ROW()=ROW(tblBuyerOutputs[#Headers])+1,0,INDEX(tblBuyerOutputs[Cumul Appr],ROW()-ROW(tblBuyerOutputs[#Headers])-1)))*$O$2/12)</f>
        <v>0</v>
      </c>
      <c r="AE289" s="587">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61" t="str">
        <f t="shared" si="62"/>
        <v/>
      </c>
      <c r="B290" s="265">
        <f t="shared" si="63"/>
        <v>0</v>
      </c>
      <c r="C290" s="14">
        <f t="shared" si="60"/>
        <v>0</v>
      </c>
      <c r="D290" s="14">
        <f t="shared" si="64"/>
        <v>0</v>
      </c>
      <c r="E290" s="14">
        <f t="shared" si="61"/>
        <v>0</v>
      </c>
      <c r="F290" s="14">
        <f t="shared" si="69"/>
        <v>0</v>
      </c>
      <c r="G290" s="14">
        <f t="shared" si="69"/>
        <v>0</v>
      </c>
      <c r="H290" s="14">
        <f t="shared" si="58"/>
        <v>0</v>
      </c>
      <c r="I290" s="265">
        <f t="shared" si="67"/>
        <v>0</v>
      </c>
      <c r="J290" s="265">
        <f t="shared" si="68"/>
        <v>0</v>
      </c>
      <c r="K290" s="265">
        <f t="shared" si="65"/>
        <v>0</v>
      </c>
      <c r="L290" s="373">
        <f t="shared" si="56"/>
        <v>0</v>
      </c>
      <c r="M290" s="373">
        <f t="shared" si="66"/>
        <v>0</v>
      </c>
      <c r="N290" s="561"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Row],[Payment]]=0,0,$V$2)</f>
        <v>0</v>
      </c>
      <c r="U290" s="265">
        <f>IF(tblContractForDeed[[#This Row],[Princ]]=0,0,$V$3)</f>
        <v>0</v>
      </c>
      <c r="V290" s="265">
        <f>SUM(tblContractForDeed[[#This Row],[Princ]],tblContractForDeed[[#This Row],[Int]],tblContractForDeed[[#This Row],[Ins]],tblContractForDeed[[#This Row],[Taxes]])</f>
        <v>0</v>
      </c>
      <c r="W290" s="265">
        <f>SUM(INDEX(tblContractForDeed[Princ],1):INDEX(tblContractForDeed[Princ],ROW()-ROW(tblContractForDeed[#Headers])))</f>
        <v>146500</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39">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0" s="265">
        <f>IF(INDEX(tblContractForDeed[End Bal],ROW()-ROW(tblBuyerOutputs[#Headers]))&lt;=0,0,($O$6+IF(ROW()=ROW(tblBuyerOutputs[#Headers])+1,0,INDEX(tblBuyerOutputs[Cumul Appr],ROW()-ROW(tblBuyerOutputs[#Headers])-1)))*$O$2/12)</f>
        <v>0</v>
      </c>
      <c r="AE290" s="587">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61" t="str">
        <f t="shared" si="62"/>
        <v/>
      </c>
      <c r="B291" s="265">
        <f t="shared" si="63"/>
        <v>0</v>
      </c>
      <c r="C291" s="14">
        <f t="shared" si="60"/>
        <v>0</v>
      </c>
      <c r="D291" s="14">
        <f t="shared" si="64"/>
        <v>0</v>
      </c>
      <c r="E291" s="14">
        <f t="shared" si="61"/>
        <v>0</v>
      </c>
      <c r="F291" s="14">
        <f t="shared" si="69"/>
        <v>0</v>
      </c>
      <c r="G291" s="14">
        <f t="shared" si="69"/>
        <v>0</v>
      </c>
      <c r="H291" s="14">
        <f t="shared" si="58"/>
        <v>0</v>
      </c>
      <c r="I291" s="265">
        <f t="shared" si="67"/>
        <v>0</v>
      </c>
      <c r="J291" s="265">
        <f t="shared" si="68"/>
        <v>0</v>
      </c>
      <c r="K291" s="265">
        <f t="shared" si="65"/>
        <v>0</v>
      </c>
      <c r="L291" s="373">
        <f t="shared" si="56"/>
        <v>0</v>
      </c>
      <c r="M291" s="373">
        <f t="shared" si="66"/>
        <v>0</v>
      </c>
      <c r="N291" s="561"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Row],[Payment]]=0,0,$V$2)</f>
        <v>0</v>
      </c>
      <c r="U291" s="265">
        <f>IF(tblContractForDeed[[#This Row],[Princ]]=0,0,$V$3)</f>
        <v>0</v>
      </c>
      <c r="V291" s="265">
        <f>SUM(tblContractForDeed[[#This Row],[Princ]],tblContractForDeed[[#This Row],[Int]],tblContractForDeed[[#This Row],[Ins]],tblContractForDeed[[#This Row],[Taxes]])</f>
        <v>0</v>
      </c>
      <c r="W291" s="265">
        <f>SUM(INDEX(tblContractForDeed[Princ],1):INDEX(tblContractForDeed[Princ],ROW()-ROW(tblContractForDeed[#Headers])))</f>
        <v>146500</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39">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1" s="265">
        <f>IF(INDEX(tblContractForDeed[End Bal],ROW()-ROW(tblBuyerOutputs[#Headers]))&lt;=0,0,($O$6+IF(ROW()=ROW(tblBuyerOutputs[#Headers])+1,0,INDEX(tblBuyerOutputs[Cumul Appr],ROW()-ROW(tblBuyerOutputs[#Headers])-1)))*$O$2/12)</f>
        <v>0</v>
      </c>
      <c r="AE291" s="587">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61" t="str">
        <f t="shared" si="62"/>
        <v/>
      </c>
      <c r="B292" s="265">
        <f t="shared" si="63"/>
        <v>0</v>
      </c>
      <c r="C292" s="14">
        <f t="shared" si="60"/>
        <v>0</v>
      </c>
      <c r="D292" s="14">
        <f t="shared" si="64"/>
        <v>0</v>
      </c>
      <c r="E292" s="14">
        <f t="shared" si="61"/>
        <v>0</v>
      </c>
      <c r="F292" s="14">
        <f t="shared" si="69"/>
        <v>0</v>
      </c>
      <c r="G292" s="14">
        <f t="shared" si="69"/>
        <v>0</v>
      </c>
      <c r="H292" s="14">
        <f t="shared" si="58"/>
        <v>0</v>
      </c>
      <c r="I292" s="265">
        <f t="shared" si="67"/>
        <v>0</v>
      </c>
      <c r="J292" s="265">
        <f t="shared" si="68"/>
        <v>0</v>
      </c>
      <c r="K292" s="265">
        <f t="shared" si="65"/>
        <v>0</v>
      </c>
      <c r="L292" s="373">
        <f t="shared" si="56"/>
        <v>0</v>
      </c>
      <c r="M292" s="373">
        <f t="shared" si="66"/>
        <v>0</v>
      </c>
      <c r="N292" s="561"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Row],[Payment]]=0,0,$V$2)</f>
        <v>0</v>
      </c>
      <c r="U292" s="265">
        <f>IF(tblContractForDeed[[#This Row],[Princ]]=0,0,$V$3)</f>
        <v>0</v>
      </c>
      <c r="V292" s="265">
        <f>SUM(tblContractForDeed[[#This Row],[Princ]],tblContractForDeed[[#This Row],[Int]],tblContractForDeed[[#This Row],[Ins]],tblContractForDeed[[#This Row],[Taxes]])</f>
        <v>0</v>
      </c>
      <c r="W292" s="265">
        <f>SUM(INDEX(tblContractForDeed[Princ],1):INDEX(tblContractForDeed[Princ],ROW()-ROW(tblContractForDeed[#Headers])))</f>
        <v>146500</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39">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2" s="265">
        <f>IF(INDEX(tblContractForDeed[End Bal],ROW()-ROW(tblBuyerOutputs[#Headers]))&lt;=0,0,($O$6+IF(ROW()=ROW(tblBuyerOutputs[#Headers])+1,0,INDEX(tblBuyerOutputs[Cumul Appr],ROW()-ROW(tblBuyerOutputs[#Headers])-1)))*$O$2/12)</f>
        <v>0</v>
      </c>
      <c r="AE292" s="587">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61" t="str">
        <f t="shared" si="62"/>
        <v/>
      </c>
      <c r="B293" s="265">
        <f t="shared" si="63"/>
        <v>0</v>
      </c>
      <c r="C293" s="14">
        <f t="shared" si="60"/>
        <v>0</v>
      </c>
      <c r="D293" s="14">
        <f t="shared" si="64"/>
        <v>0</v>
      </c>
      <c r="E293" s="14">
        <f t="shared" si="61"/>
        <v>0</v>
      </c>
      <c r="F293" s="14">
        <f t="shared" si="69"/>
        <v>0</v>
      </c>
      <c r="G293" s="14">
        <f t="shared" si="69"/>
        <v>0</v>
      </c>
      <c r="H293" s="14">
        <f t="shared" si="58"/>
        <v>0</v>
      </c>
      <c r="I293" s="265">
        <f t="shared" si="67"/>
        <v>0</v>
      </c>
      <c r="J293" s="265">
        <f t="shared" si="68"/>
        <v>0</v>
      </c>
      <c r="K293" s="265">
        <f t="shared" si="65"/>
        <v>0</v>
      </c>
      <c r="L293" s="373">
        <f t="shared" si="56"/>
        <v>0</v>
      </c>
      <c r="M293" s="373">
        <f t="shared" si="66"/>
        <v>0</v>
      </c>
      <c r="N293" s="561"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Row],[Payment]]=0,0,$V$2)</f>
        <v>0</v>
      </c>
      <c r="U293" s="265">
        <f>IF(tblContractForDeed[[#This Row],[Princ]]=0,0,$V$3)</f>
        <v>0</v>
      </c>
      <c r="V293" s="265">
        <f>SUM(tblContractForDeed[[#This Row],[Princ]],tblContractForDeed[[#This Row],[Int]],tblContractForDeed[[#This Row],[Ins]],tblContractForDeed[[#This Row],[Taxes]])</f>
        <v>0</v>
      </c>
      <c r="W293" s="265">
        <f>SUM(INDEX(tblContractForDeed[Princ],1):INDEX(tblContractForDeed[Princ],ROW()-ROW(tblContractForDeed[#Headers])))</f>
        <v>146500</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39">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3" s="265">
        <f>IF(INDEX(tblContractForDeed[End Bal],ROW()-ROW(tblBuyerOutputs[#Headers]))&lt;=0,0,($O$6+IF(ROW()=ROW(tblBuyerOutputs[#Headers])+1,0,INDEX(tblBuyerOutputs[Cumul Appr],ROW()-ROW(tblBuyerOutputs[#Headers])-1)))*$O$2/12)</f>
        <v>0</v>
      </c>
      <c r="AE293" s="587">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61" t="str">
        <f t="shared" si="62"/>
        <v/>
      </c>
      <c r="B294" s="265">
        <f t="shared" si="63"/>
        <v>0</v>
      </c>
      <c r="C294" s="14">
        <f t="shared" si="60"/>
        <v>0</v>
      </c>
      <c r="D294" s="14">
        <f t="shared" si="64"/>
        <v>0</v>
      </c>
      <c r="E294" s="14">
        <f t="shared" si="61"/>
        <v>0</v>
      </c>
      <c r="F294" s="14">
        <f t="shared" si="69"/>
        <v>0</v>
      </c>
      <c r="G294" s="14">
        <f t="shared" si="69"/>
        <v>0</v>
      </c>
      <c r="H294" s="14">
        <f t="shared" si="58"/>
        <v>0</v>
      </c>
      <c r="I294" s="265">
        <f t="shared" si="67"/>
        <v>0</v>
      </c>
      <c r="J294" s="265">
        <f t="shared" si="68"/>
        <v>0</v>
      </c>
      <c r="K294" s="265">
        <f t="shared" si="65"/>
        <v>0</v>
      </c>
      <c r="L294" s="373">
        <f t="shared" si="56"/>
        <v>0</v>
      </c>
      <c r="M294" s="373">
        <f t="shared" si="66"/>
        <v>0</v>
      </c>
      <c r="N294" s="561"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Row],[Payment]]=0,0,$V$2)</f>
        <v>0</v>
      </c>
      <c r="U294" s="265">
        <f>IF(tblContractForDeed[[#This Row],[Princ]]=0,0,$V$3)</f>
        <v>0</v>
      </c>
      <c r="V294" s="265">
        <f>SUM(tblContractForDeed[[#This Row],[Princ]],tblContractForDeed[[#This Row],[Int]],tblContractForDeed[[#This Row],[Ins]],tblContractForDeed[[#This Row],[Taxes]])</f>
        <v>0</v>
      </c>
      <c r="W294" s="265">
        <f>SUM(INDEX(tblContractForDeed[Princ],1):INDEX(tblContractForDeed[Princ],ROW()-ROW(tblContractForDeed[#Headers])))</f>
        <v>146500</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39">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4" s="265">
        <f>IF(INDEX(tblContractForDeed[End Bal],ROW()-ROW(tblBuyerOutputs[#Headers]))&lt;=0,0,($O$6+IF(ROW()=ROW(tblBuyerOutputs[#Headers])+1,0,INDEX(tblBuyerOutputs[Cumul Appr],ROW()-ROW(tblBuyerOutputs[#Headers])-1)))*$O$2/12)</f>
        <v>0</v>
      </c>
      <c r="AE294" s="587">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62" t="str">
        <f t="shared" si="62"/>
        <v/>
      </c>
      <c r="B295" s="316">
        <f t="shared" si="63"/>
        <v>0</v>
      </c>
      <c r="C295" s="21">
        <f t="shared" si="60"/>
        <v>0</v>
      </c>
      <c r="D295" s="21">
        <f t="shared" si="64"/>
        <v>0</v>
      </c>
      <c r="E295" s="21">
        <f t="shared" si="61"/>
        <v>0</v>
      </c>
      <c r="F295" s="21">
        <f t="shared" si="69"/>
        <v>0</v>
      </c>
      <c r="G295" s="21">
        <f t="shared" si="69"/>
        <v>0</v>
      </c>
      <c r="H295" s="21">
        <f t="shared" si="58"/>
        <v>0</v>
      </c>
      <c r="I295" s="316">
        <f t="shared" si="67"/>
        <v>0</v>
      </c>
      <c r="J295" s="316">
        <f t="shared" si="68"/>
        <v>0</v>
      </c>
      <c r="K295" s="316">
        <f t="shared" si="65"/>
        <v>0</v>
      </c>
      <c r="L295" s="374">
        <f t="shared" si="56"/>
        <v>0</v>
      </c>
      <c r="M295" s="374">
        <f t="shared" si="66"/>
        <v>0</v>
      </c>
      <c r="N295" s="562" t="str">
        <f>INDEX(tblSubjectToLoan[Date],ROW()-ROW(tblContractForDeed[#Headers]))</f>
        <v/>
      </c>
      <c r="O295" s="316">
        <f>IF(ROW()=ROW(tblContractForDeed[#Headers])+1,$O$6,IF(INDEX(tblContractForDeed[End Bal],ROW()-ROW(tblContractForDeed[#Headers])-1)&lt;0,0,INDEX(tblContractForDeed[End Bal],ROW()-ROW(tblContractForDeed[#Headers])-1)))</f>
        <v>0</v>
      </c>
      <c r="P295" s="585"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Row],[Payment]]=0,0,$V$2)</f>
        <v>0</v>
      </c>
      <c r="U295" s="316">
        <f>IF(tblContractForDeed[[#This Row],[Princ]]=0,0,$V$3)</f>
        <v>0</v>
      </c>
      <c r="V295" s="316">
        <f>SUM(tblContractForDeed[[#This Row],[Princ]],tblContractForDeed[[#This Row],[Int]],tblContractForDeed[[#This Row],[Ins]],tblContractForDeed[[#This Row],[Taxes]])</f>
        <v>0</v>
      </c>
      <c r="W295" s="316">
        <f>SUM(INDEX(tblContractForDeed[Princ],1):INDEX(tblContractForDeed[Princ],ROW()-ROW(tblContractForDeed[#Headers])))</f>
        <v>146500</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0">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5" s="316">
        <f>IF(INDEX(tblContractForDeed[End Bal],ROW()-ROW(tblBuyerOutputs[#Headers]))&lt;=0,0,($O$6+IF(ROW()=ROW(tblBuyerOutputs[#Headers])+1,0,INDEX(tblBuyerOutputs[Cumul Appr],ROW()-ROW(tblBuyerOutputs[#Headers])-1)))*$O$2/12)</f>
        <v>0</v>
      </c>
      <c r="AE295" s="588">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61" t="str">
        <f t="shared" si="62"/>
        <v/>
      </c>
      <c r="B296" s="265">
        <f t="shared" si="63"/>
        <v>0</v>
      </c>
      <c r="C296" s="14">
        <f t="shared" si="60"/>
        <v>0</v>
      </c>
      <c r="D296" s="14">
        <f t="shared" si="64"/>
        <v>0</v>
      </c>
      <c r="E296" s="14">
        <f t="shared" si="61"/>
        <v>0</v>
      </c>
      <c r="F296" s="14">
        <f t="shared" si="69"/>
        <v>0</v>
      </c>
      <c r="G296" s="14">
        <f t="shared" si="69"/>
        <v>0</v>
      </c>
      <c r="H296" s="14">
        <f t="shared" si="58"/>
        <v>0</v>
      </c>
      <c r="I296" s="265">
        <f t="shared" si="67"/>
        <v>0</v>
      </c>
      <c r="J296" s="265">
        <f t="shared" si="68"/>
        <v>0</v>
      </c>
      <c r="K296" s="265">
        <f t="shared" si="65"/>
        <v>0</v>
      </c>
      <c r="L296" s="373">
        <f t="shared" si="56"/>
        <v>0</v>
      </c>
      <c r="M296" s="373">
        <f t="shared" si="66"/>
        <v>0</v>
      </c>
      <c r="N296" s="561"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Row],[Payment]]=0,0,$V$2)</f>
        <v>0</v>
      </c>
      <c r="U296" s="265">
        <f>IF(tblContractForDeed[[#This Row],[Princ]]=0,0,$V$3)</f>
        <v>0</v>
      </c>
      <c r="V296" s="265">
        <f>SUM(tblContractForDeed[[#This Row],[Princ]],tblContractForDeed[[#This Row],[Int]],tblContractForDeed[[#This Row],[Ins]],tblContractForDeed[[#This Row],[Taxes]])</f>
        <v>0</v>
      </c>
      <c r="W296" s="265">
        <f>SUM(INDEX(tblContractForDeed[Princ],1):INDEX(tblContractForDeed[Princ],ROW()-ROW(tblContractForDeed[#Headers])))</f>
        <v>146500</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39">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6" s="265">
        <f>IF(INDEX(tblContractForDeed[End Bal],ROW()-ROW(tblBuyerOutputs[#Headers]))&lt;=0,0,($O$6+IF(ROW()=ROW(tblBuyerOutputs[#Headers])+1,0,INDEX(tblBuyerOutputs[Cumul Appr],ROW()-ROW(tblBuyerOutputs[#Headers])-1)))*$O$2/12)</f>
        <v>0</v>
      </c>
      <c r="AE296" s="587">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61" t="str">
        <f t="shared" si="62"/>
        <v/>
      </c>
      <c r="B297" s="265">
        <f t="shared" si="63"/>
        <v>0</v>
      </c>
      <c r="C297" s="14">
        <f t="shared" si="60"/>
        <v>0</v>
      </c>
      <c r="D297" s="14">
        <f t="shared" si="64"/>
        <v>0</v>
      </c>
      <c r="E297" s="14">
        <f t="shared" si="61"/>
        <v>0</v>
      </c>
      <c r="F297" s="14">
        <f t="shared" si="69"/>
        <v>0</v>
      </c>
      <c r="G297" s="14">
        <f t="shared" si="69"/>
        <v>0</v>
      </c>
      <c r="H297" s="14">
        <f t="shared" si="58"/>
        <v>0</v>
      </c>
      <c r="I297" s="265">
        <f t="shared" si="67"/>
        <v>0</v>
      </c>
      <c r="J297" s="265">
        <f t="shared" si="68"/>
        <v>0</v>
      </c>
      <c r="K297" s="265">
        <f t="shared" si="65"/>
        <v>0</v>
      </c>
      <c r="L297" s="373">
        <f t="shared" si="56"/>
        <v>0</v>
      </c>
      <c r="M297" s="373">
        <f t="shared" si="66"/>
        <v>0</v>
      </c>
      <c r="N297" s="561"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Row],[Payment]]=0,0,$V$2)</f>
        <v>0</v>
      </c>
      <c r="U297" s="265">
        <f>IF(tblContractForDeed[[#This Row],[Princ]]=0,0,$V$3)</f>
        <v>0</v>
      </c>
      <c r="V297" s="265">
        <f>SUM(tblContractForDeed[[#This Row],[Princ]],tblContractForDeed[[#This Row],[Int]],tblContractForDeed[[#This Row],[Ins]],tblContractForDeed[[#This Row],[Taxes]])</f>
        <v>0</v>
      </c>
      <c r="W297" s="265">
        <f>SUM(INDEX(tblContractForDeed[Princ],1):INDEX(tblContractForDeed[Princ],ROW()-ROW(tblContractForDeed[#Headers])))</f>
        <v>146500</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39">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7" s="265">
        <f>IF(INDEX(tblContractForDeed[End Bal],ROW()-ROW(tblBuyerOutputs[#Headers]))&lt;=0,0,($O$6+IF(ROW()=ROW(tblBuyerOutputs[#Headers])+1,0,INDEX(tblBuyerOutputs[Cumul Appr],ROW()-ROW(tblBuyerOutputs[#Headers])-1)))*$O$2/12)</f>
        <v>0</v>
      </c>
      <c r="AE297" s="587">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61" t="str">
        <f t="shared" si="62"/>
        <v/>
      </c>
      <c r="B298" s="265">
        <f t="shared" si="63"/>
        <v>0</v>
      </c>
      <c r="C298" s="14">
        <f t="shared" si="60"/>
        <v>0</v>
      </c>
      <c r="D298" s="14">
        <f t="shared" si="64"/>
        <v>0</v>
      </c>
      <c r="E298" s="14">
        <f t="shared" si="61"/>
        <v>0</v>
      </c>
      <c r="F298" s="14">
        <f t="shared" si="69"/>
        <v>0</v>
      </c>
      <c r="G298" s="14">
        <f t="shared" si="69"/>
        <v>0</v>
      </c>
      <c r="H298" s="14">
        <f t="shared" si="58"/>
        <v>0</v>
      </c>
      <c r="I298" s="265">
        <f t="shared" si="67"/>
        <v>0</v>
      </c>
      <c r="J298" s="265">
        <f t="shared" si="68"/>
        <v>0</v>
      </c>
      <c r="K298" s="265">
        <f t="shared" si="65"/>
        <v>0</v>
      </c>
      <c r="L298" s="373">
        <f t="shared" si="56"/>
        <v>0</v>
      </c>
      <c r="M298" s="373">
        <f t="shared" si="66"/>
        <v>0</v>
      </c>
      <c r="N298" s="561"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Row],[Payment]]=0,0,$V$2)</f>
        <v>0</v>
      </c>
      <c r="U298" s="265">
        <f>IF(tblContractForDeed[[#This Row],[Princ]]=0,0,$V$3)</f>
        <v>0</v>
      </c>
      <c r="V298" s="265">
        <f>SUM(tblContractForDeed[[#This Row],[Princ]],tblContractForDeed[[#This Row],[Int]],tblContractForDeed[[#This Row],[Ins]],tblContractForDeed[[#This Row],[Taxes]])</f>
        <v>0</v>
      </c>
      <c r="W298" s="265">
        <f>SUM(INDEX(tblContractForDeed[Princ],1):INDEX(tblContractForDeed[Princ],ROW()-ROW(tblContractForDeed[#Headers])))</f>
        <v>146500</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39">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8" s="265">
        <f>IF(INDEX(tblContractForDeed[End Bal],ROW()-ROW(tblBuyerOutputs[#Headers]))&lt;=0,0,($O$6+IF(ROW()=ROW(tblBuyerOutputs[#Headers])+1,0,INDEX(tblBuyerOutputs[Cumul Appr],ROW()-ROW(tblBuyerOutputs[#Headers])-1)))*$O$2/12)</f>
        <v>0</v>
      </c>
      <c r="AE298" s="587">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61" t="str">
        <f t="shared" si="62"/>
        <v/>
      </c>
      <c r="B299" s="265">
        <f t="shared" si="63"/>
        <v>0</v>
      </c>
      <c r="C299" s="14">
        <f t="shared" si="60"/>
        <v>0</v>
      </c>
      <c r="D299" s="14">
        <f t="shared" si="64"/>
        <v>0</v>
      </c>
      <c r="E299" s="14">
        <f t="shared" si="61"/>
        <v>0</v>
      </c>
      <c r="F299" s="14">
        <f t="shared" si="69"/>
        <v>0</v>
      </c>
      <c r="G299" s="14">
        <f t="shared" si="69"/>
        <v>0</v>
      </c>
      <c r="H299" s="14">
        <f t="shared" si="58"/>
        <v>0</v>
      </c>
      <c r="I299" s="265">
        <f t="shared" si="67"/>
        <v>0</v>
      </c>
      <c r="J299" s="265">
        <f t="shared" si="68"/>
        <v>0</v>
      </c>
      <c r="K299" s="265">
        <f t="shared" si="65"/>
        <v>0</v>
      </c>
      <c r="L299" s="373">
        <f t="shared" si="56"/>
        <v>0</v>
      </c>
      <c r="M299" s="373">
        <f t="shared" si="66"/>
        <v>0</v>
      </c>
      <c r="N299" s="561"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Row],[Payment]]=0,0,$V$2)</f>
        <v>0</v>
      </c>
      <c r="U299" s="265">
        <f>IF(tblContractForDeed[[#This Row],[Princ]]=0,0,$V$3)</f>
        <v>0</v>
      </c>
      <c r="V299" s="265">
        <f>SUM(tblContractForDeed[[#This Row],[Princ]],tblContractForDeed[[#This Row],[Int]],tblContractForDeed[[#This Row],[Ins]],tblContractForDeed[[#This Row],[Taxes]])</f>
        <v>0</v>
      </c>
      <c r="W299" s="265">
        <f>SUM(INDEX(tblContractForDeed[Princ],1):INDEX(tblContractForDeed[Princ],ROW()-ROW(tblContractForDeed[#Headers])))</f>
        <v>146500</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39">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9" s="265">
        <f>IF(INDEX(tblContractForDeed[End Bal],ROW()-ROW(tblBuyerOutputs[#Headers]))&lt;=0,0,($O$6+IF(ROW()=ROW(tblBuyerOutputs[#Headers])+1,0,INDEX(tblBuyerOutputs[Cumul Appr],ROW()-ROW(tblBuyerOutputs[#Headers])-1)))*$O$2/12)</f>
        <v>0</v>
      </c>
      <c r="AE299" s="587">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61" t="str">
        <f t="shared" si="62"/>
        <v/>
      </c>
      <c r="B300" s="265">
        <f t="shared" si="63"/>
        <v>0</v>
      </c>
      <c r="C300" s="14">
        <f t="shared" si="60"/>
        <v>0</v>
      </c>
      <c r="D300" s="14">
        <f t="shared" si="64"/>
        <v>0</v>
      </c>
      <c r="E300" s="14">
        <f t="shared" si="61"/>
        <v>0</v>
      </c>
      <c r="F300" s="14">
        <f t="shared" si="69"/>
        <v>0</v>
      </c>
      <c r="G300" s="14">
        <f t="shared" si="69"/>
        <v>0</v>
      </c>
      <c r="H300" s="14">
        <f t="shared" si="58"/>
        <v>0</v>
      </c>
      <c r="I300" s="265">
        <f t="shared" si="67"/>
        <v>0</v>
      </c>
      <c r="J300" s="265">
        <f t="shared" si="68"/>
        <v>0</v>
      </c>
      <c r="K300" s="265">
        <f t="shared" si="65"/>
        <v>0</v>
      </c>
      <c r="L300" s="373">
        <f t="shared" si="56"/>
        <v>0</v>
      </c>
      <c r="M300" s="373">
        <f t="shared" si="66"/>
        <v>0</v>
      </c>
      <c r="N300" s="561"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Row],[Payment]]=0,0,$V$2)</f>
        <v>0</v>
      </c>
      <c r="U300" s="265">
        <f>IF(tblContractForDeed[[#This Row],[Princ]]=0,0,$V$3)</f>
        <v>0</v>
      </c>
      <c r="V300" s="265">
        <f>SUM(tblContractForDeed[[#This Row],[Princ]],tblContractForDeed[[#This Row],[Int]],tblContractForDeed[[#This Row],[Ins]],tblContractForDeed[[#This Row],[Taxes]])</f>
        <v>0</v>
      </c>
      <c r="W300" s="265">
        <f>SUM(INDEX(tblContractForDeed[Princ],1):INDEX(tblContractForDeed[Princ],ROW()-ROW(tblContractForDeed[#Headers])))</f>
        <v>146500</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39">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0" s="265">
        <f>IF(INDEX(tblContractForDeed[End Bal],ROW()-ROW(tblBuyerOutputs[#Headers]))&lt;=0,0,($O$6+IF(ROW()=ROW(tblBuyerOutputs[#Headers])+1,0,INDEX(tblBuyerOutputs[Cumul Appr],ROW()-ROW(tblBuyerOutputs[#Headers])-1)))*$O$2/12)</f>
        <v>0</v>
      </c>
      <c r="AE300" s="587">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61" t="str">
        <f t="shared" si="62"/>
        <v/>
      </c>
      <c r="B301" s="265">
        <f t="shared" si="63"/>
        <v>0</v>
      </c>
      <c r="C301" s="14">
        <f t="shared" si="60"/>
        <v>0</v>
      </c>
      <c r="D301" s="14">
        <f t="shared" si="64"/>
        <v>0</v>
      </c>
      <c r="E301" s="14">
        <f t="shared" si="61"/>
        <v>0</v>
      </c>
      <c r="F301" s="14">
        <f t="shared" si="69"/>
        <v>0</v>
      </c>
      <c r="G301" s="14">
        <f t="shared" si="69"/>
        <v>0</v>
      </c>
      <c r="H301" s="14">
        <f t="shared" si="58"/>
        <v>0</v>
      </c>
      <c r="I301" s="265">
        <f t="shared" si="67"/>
        <v>0</v>
      </c>
      <c r="J301" s="265">
        <f t="shared" si="68"/>
        <v>0</v>
      </c>
      <c r="K301" s="265">
        <f t="shared" si="65"/>
        <v>0</v>
      </c>
      <c r="L301" s="373">
        <f t="shared" si="56"/>
        <v>0</v>
      </c>
      <c r="M301" s="373">
        <f t="shared" si="66"/>
        <v>0</v>
      </c>
      <c r="N301" s="561"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Row],[Payment]]=0,0,$V$2)</f>
        <v>0</v>
      </c>
      <c r="U301" s="265">
        <f>IF(tblContractForDeed[[#This Row],[Princ]]=0,0,$V$3)</f>
        <v>0</v>
      </c>
      <c r="V301" s="265">
        <f>SUM(tblContractForDeed[[#This Row],[Princ]],tblContractForDeed[[#This Row],[Int]],tblContractForDeed[[#This Row],[Ins]],tblContractForDeed[[#This Row],[Taxes]])</f>
        <v>0</v>
      </c>
      <c r="W301" s="265">
        <f>SUM(INDEX(tblContractForDeed[Princ],1):INDEX(tblContractForDeed[Princ],ROW()-ROW(tblContractForDeed[#Headers])))</f>
        <v>146500</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39">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1" s="265">
        <f>IF(INDEX(tblContractForDeed[End Bal],ROW()-ROW(tblBuyerOutputs[#Headers]))&lt;=0,0,($O$6+IF(ROW()=ROW(tblBuyerOutputs[#Headers])+1,0,INDEX(tblBuyerOutputs[Cumul Appr],ROW()-ROW(tblBuyerOutputs[#Headers])-1)))*$O$2/12)</f>
        <v>0</v>
      </c>
      <c r="AE301" s="587">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61" t="str">
        <f t="shared" si="62"/>
        <v/>
      </c>
      <c r="B302" s="265">
        <f t="shared" si="63"/>
        <v>0</v>
      </c>
      <c r="C302" s="14">
        <f t="shared" si="60"/>
        <v>0</v>
      </c>
      <c r="D302" s="14">
        <f t="shared" si="64"/>
        <v>0</v>
      </c>
      <c r="E302" s="14">
        <f t="shared" si="61"/>
        <v>0</v>
      </c>
      <c r="F302" s="14">
        <f t="shared" si="69"/>
        <v>0</v>
      </c>
      <c r="G302" s="14">
        <f t="shared" si="69"/>
        <v>0</v>
      </c>
      <c r="H302" s="14">
        <f t="shared" si="58"/>
        <v>0</v>
      </c>
      <c r="I302" s="265">
        <f t="shared" si="67"/>
        <v>0</v>
      </c>
      <c r="J302" s="265">
        <f t="shared" si="68"/>
        <v>0</v>
      </c>
      <c r="K302" s="265">
        <f t="shared" si="65"/>
        <v>0</v>
      </c>
      <c r="L302" s="373">
        <f t="shared" si="56"/>
        <v>0</v>
      </c>
      <c r="M302" s="373">
        <f t="shared" si="66"/>
        <v>0</v>
      </c>
      <c r="N302" s="561"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Row],[Payment]]=0,0,$V$2)</f>
        <v>0</v>
      </c>
      <c r="U302" s="265">
        <f>IF(tblContractForDeed[[#This Row],[Princ]]=0,0,$V$3)</f>
        <v>0</v>
      </c>
      <c r="V302" s="265">
        <f>SUM(tblContractForDeed[[#This Row],[Princ]],tblContractForDeed[[#This Row],[Int]],tblContractForDeed[[#This Row],[Ins]],tblContractForDeed[[#This Row],[Taxes]])</f>
        <v>0</v>
      </c>
      <c r="W302" s="265">
        <f>SUM(INDEX(tblContractForDeed[Princ],1):INDEX(tblContractForDeed[Princ],ROW()-ROW(tblContractForDeed[#Headers])))</f>
        <v>146500</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39">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2" s="265">
        <f>IF(INDEX(tblContractForDeed[End Bal],ROW()-ROW(tblBuyerOutputs[#Headers]))&lt;=0,0,($O$6+IF(ROW()=ROW(tblBuyerOutputs[#Headers])+1,0,INDEX(tblBuyerOutputs[Cumul Appr],ROW()-ROW(tblBuyerOutputs[#Headers])-1)))*$O$2/12)</f>
        <v>0</v>
      </c>
      <c r="AE302" s="587">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61" t="str">
        <f t="shared" si="62"/>
        <v/>
      </c>
      <c r="B303" s="265">
        <f t="shared" si="63"/>
        <v>0</v>
      </c>
      <c r="C303" s="14">
        <f t="shared" si="60"/>
        <v>0</v>
      </c>
      <c r="D303" s="14">
        <f t="shared" si="64"/>
        <v>0</v>
      </c>
      <c r="E303" s="14">
        <f t="shared" si="61"/>
        <v>0</v>
      </c>
      <c r="F303" s="14">
        <f t="shared" ref="F303:G318" si="70">+F302</f>
        <v>0</v>
      </c>
      <c r="G303" s="14">
        <f t="shared" si="70"/>
        <v>0</v>
      </c>
      <c r="H303" s="14">
        <f t="shared" si="58"/>
        <v>0</v>
      </c>
      <c r="I303" s="265">
        <f t="shared" si="67"/>
        <v>0</v>
      </c>
      <c r="J303" s="265">
        <f t="shared" si="68"/>
        <v>0</v>
      </c>
      <c r="K303" s="265">
        <f t="shared" si="65"/>
        <v>0</v>
      </c>
      <c r="L303" s="373">
        <f t="shared" si="56"/>
        <v>0</v>
      </c>
      <c r="M303" s="373">
        <f t="shared" si="66"/>
        <v>0</v>
      </c>
      <c r="N303" s="561"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Row],[Payment]]=0,0,$V$2)</f>
        <v>0</v>
      </c>
      <c r="U303" s="265">
        <f>IF(tblContractForDeed[[#This Row],[Princ]]=0,0,$V$3)</f>
        <v>0</v>
      </c>
      <c r="V303" s="265">
        <f>SUM(tblContractForDeed[[#This Row],[Princ]],tblContractForDeed[[#This Row],[Int]],tblContractForDeed[[#This Row],[Ins]],tblContractForDeed[[#This Row],[Taxes]])</f>
        <v>0</v>
      </c>
      <c r="W303" s="265">
        <f>SUM(INDEX(tblContractForDeed[Princ],1):INDEX(tblContractForDeed[Princ],ROW()-ROW(tblContractForDeed[#Headers])))</f>
        <v>146500</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39">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3" s="265">
        <f>IF(INDEX(tblContractForDeed[End Bal],ROW()-ROW(tblBuyerOutputs[#Headers]))&lt;=0,0,($O$6+IF(ROW()=ROW(tblBuyerOutputs[#Headers])+1,0,INDEX(tblBuyerOutputs[Cumul Appr],ROW()-ROW(tblBuyerOutputs[#Headers])-1)))*$O$2/12)</f>
        <v>0</v>
      </c>
      <c r="AE303" s="587">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61" t="str">
        <f t="shared" si="62"/>
        <v/>
      </c>
      <c r="B304" s="265">
        <f t="shared" si="63"/>
        <v>0</v>
      </c>
      <c r="C304" s="14">
        <f t="shared" si="60"/>
        <v>0</v>
      </c>
      <c r="D304" s="14">
        <f t="shared" si="64"/>
        <v>0</v>
      </c>
      <c r="E304" s="14">
        <f t="shared" si="61"/>
        <v>0</v>
      </c>
      <c r="F304" s="14">
        <f t="shared" si="70"/>
        <v>0</v>
      </c>
      <c r="G304" s="14">
        <f t="shared" si="70"/>
        <v>0</v>
      </c>
      <c r="H304" s="14">
        <f t="shared" si="58"/>
        <v>0</v>
      </c>
      <c r="I304" s="265">
        <f t="shared" si="67"/>
        <v>0</v>
      </c>
      <c r="J304" s="265">
        <f t="shared" si="68"/>
        <v>0</v>
      </c>
      <c r="K304" s="265">
        <f t="shared" si="65"/>
        <v>0</v>
      </c>
      <c r="L304" s="373">
        <f t="shared" si="56"/>
        <v>0</v>
      </c>
      <c r="M304" s="373">
        <f t="shared" si="66"/>
        <v>0</v>
      </c>
      <c r="N304" s="561"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Row],[Payment]]=0,0,$V$2)</f>
        <v>0</v>
      </c>
      <c r="U304" s="265">
        <f>IF(tblContractForDeed[[#This Row],[Princ]]=0,0,$V$3)</f>
        <v>0</v>
      </c>
      <c r="V304" s="265">
        <f>SUM(tblContractForDeed[[#This Row],[Princ]],tblContractForDeed[[#This Row],[Int]],tblContractForDeed[[#This Row],[Ins]],tblContractForDeed[[#This Row],[Taxes]])</f>
        <v>0</v>
      </c>
      <c r="W304" s="265">
        <f>SUM(INDEX(tblContractForDeed[Princ],1):INDEX(tblContractForDeed[Princ],ROW()-ROW(tblContractForDeed[#Headers])))</f>
        <v>146500</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39">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4" s="265">
        <f>IF(INDEX(tblContractForDeed[End Bal],ROW()-ROW(tblBuyerOutputs[#Headers]))&lt;=0,0,($O$6+IF(ROW()=ROW(tblBuyerOutputs[#Headers])+1,0,INDEX(tblBuyerOutputs[Cumul Appr],ROW()-ROW(tblBuyerOutputs[#Headers])-1)))*$O$2/12)</f>
        <v>0</v>
      </c>
      <c r="AE304" s="587">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61" t="str">
        <f t="shared" si="62"/>
        <v/>
      </c>
      <c r="B305" s="265">
        <f t="shared" si="63"/>
        <v>0</v>
      </c>
      <c r="C305" s="14">
        <f t="shared" si="60"/>
        <v>0</v>
      </c>
      <c r="D305" s="14">
        <f t="shared" si="64"/>
        <v>0</v>
      </c>
      <c r="E305" s="14">
        <f t="shared" si="61"/>
        <v>0</v>
      </c>
      <c r="F305" s="14">
        <f t="shared" si="70"/>
        <v>0</v>
      </c>
      <c r="G305" s="14">
        <f t="shared" si="70"/>
        <v>0</v>
      </c>
      <c r="H305" s="14">
        <f t="shared" si="58"/>
        <v>0</v>
      </c>
      <c r="I305" s="265">
        <f t="shared" si="67"/>
        <v>0</v>
      </c>
      <c r="J305" s="265">
        <f t="shared" si="68"/>
        <v>0</v>
      </c>
      <c r="K305" s="265">
        <f t="shared" si="65"/>
        <v>0</v>
      </c>
      <c r="L305" s="373">
        <f t="shared" si="56"/>
        <v>0</v>
      </c>
      <c r="M305" s="373">
        <f t="shared" si="66"/>
        <v>0</v>
      </c>
      <c r="N305" s="561"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Row],[Payment]]=0,0,$V$2)</f>
        <v>0</v>
      </c>
      <c r="U305" s="265">
        <f>IF(tblContractForDeed[[#This Row],[Princ]]=0,0,$V$3)</f>
        <v>0</v>
      </c>
      <c r="V305" s="265">
        <f>SUM(tblContractForDeed[[#This Row],[Princ]],tblContractForDeed[[#This Row],[Int]],tblContractForDeed[[#This Row],[Ins]],tblContractForDeed[[#This Row],[Taxes]])</f>
        <v>0</v>
      </c>
      <c r="W305" s="265">
        <f>SUM(INDEX(tblContractForDeed[Princ],1):INDEX(tblContractForDeed[Princ],ROW()-ROW(tblContractForDeed[#Headers])))</f>
        <v>146500</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39">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5" s="265">
        <f>IF(INDEX(tblContractForDeed[End Bal],ROW()-ROW(tblBuyerOutputs[#Headers]))&lt;=0,0,($O$6+IF(ROW()=ROW(tblBuyerOutputs[#Headers])+1,0,INDEX(tblBuyerOutputs[Cumul Appr],ROW()-ROW(tblBuyerOutputs[#Headers])-1)))*$O$2/12)</f>
        <v>0</v>
      </c>
      <c r="AE305" s="587">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61" t="str">
        <f t="shared" si="62"/>
        <v/>
      </c>
      <c r="B306" s="265">
        <f t="shared" si="63"/>
        <v>0</v>
      </c>
      <c r="C306" s="14">
        <f t="shared" si="60"/>
        <v>0</v>
      </c>
      <c r="D306" s="14">
        <f t="shared" si="64"/>
        <v>0</v>
      </c>
      <c r="E306" s="14">
        <f t="shared" si="61"/>
        <v>0</v>
      </c>
      <c r="F306" s="14">
        <f t="shared" si="70"/>
        <v>0</v>
      </c>
      <c r="G306" s="14">
        <f t="shared" si="70"/>
        <v>0</v>
      </c>
      <c r="H306" s="14">
        <f t="shared" si="58"/>
        <v>0</v>
      </c>
      <c r="I306" s="265">
        <f t="shared" si="67"/>
        <v>0</v>
      </c>
      <c r="J306" s="265">
        <f t="shared" si="68"/>
        <v>0</v>
      </c>
      <c r="K306" s="265">
        <f t="shared" si="65"/>
        <v>0</v>
      </c>
      <c r="L306" s="373">
        <f t="shared" si="56"/>
        <v>0</v>
      </c>
      <c r="M306" s="373">
        <f t="shared" si="66"/>
        <v>0</v>
      </c>
      <c r="N306" s="561"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Row],[Payment]]=0,0,$V$2)</f>
        <v>0</v>
      </c>
      <c r="U306" s="265">
        <f>IF(tblContractForDeed[[#This Row],[Princ]]=0,0,$V$3)</f>
        <v>0</v>
      </c>
      <c r="V306" s="265">
        <f>SUM(tblContractForDeed[[#This Row],[Princ]],tblContractForDeed[[#This Row],[Int]],tblContractForDeed[[#This Row],[Ins]],tblContractForDeed[[#This Row],[Taxes]])</f>
        <v>0</v>
      </c>
      <c r="W306" s="265">
        <f>SUM(INDEX(tblContractForDeed[Princ],1):INDEX(tblContractForDeed[Princ],ROW()-ROW(tblContractForDeed[#Headers])))</f>
        <v>146500</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39">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6" s="265">
        <f>IF(INDEX(tblContractForDeed[End Bal],ROW()-ROW(tblBuyerOutputs[#Headers]))&lt;=0,0,($O$6+IF(ROW()=ROW(tblBuyerOutputs[#Headers])+1,0,INDEX(tblBuyerOutputs[Cumul Appr],ROW()-ROW(tblBuyerOutputs[#Headers])-1)))*$O$2/12)</f>
        <v>0</v>
      </c>
      <c r="AE306" s="587">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62" t="str">
        <f t="shared" si="62"/>
        <v/>
      </c>
      <c r="B307" s="316">
        <f t="shared" si="63"/>
        <v>0</v>
      </c>
      <c r="C307" s="21">
        <f t="shared" si="60"/>
        <v>0</v>
      </c>
      <c r="D307" s="21">
        <f t="shared" si="64"/>
        <v>0</v>
      </c>
      <c r="E307" s="21">
        <f t="shared" si="61"/>
        <v>0</v>
      </c>
      <c r="F307" s="21">
        <f t="shared" si="70"/>
        <v>0</v>
      </c>
      <c r="G307" s="21">
        <f t="shared" si="70"/>
        <v>0</v>
      </c>
      <c r="H307" s="21">
        <f t="shared" si="58"/>
        <v>0</v>
      </c>
      <c r="I307" s="316">
        <f t="shared" si="67"/>
        <v>0</v>
      </c>
      <c r="J307" s="316">
        <f t="shared" si="68"/>
        <v>0</v>
      </c>
      <c r="K307" s="316">
        <f t="shared" si="65"/>
        <v>0</v>
      </c>
      <c r="L307" s="374">
        <f t="shared" si="56"/>
        <v>0</v>
      </c>
      <c r="M307" s="374">
        <f t="shared" si="66"/>
        <v>0</v>
      </c>
      <c r="N307" s="562" t="str">
        <f>INDEX(tblSubjectToLoan[Date],ROW()-ROW(tblContractForDeed[#Headers]))</f>
        <v/>
      </c>
      <c r="O307" s="316">
        <f>IF(ROW()=ROW(tblContractForDeed[#Headers])+1,$O$6,IF(INDEX(tblContractForDeed[End Bal],ROW()-ROW(tblContractForDeed[#Headers])-1)&lt;0,0,INDEX(tblContractForDeed[End Bal],ROW()-ROW(tblContractForDeed[#Headers])-1)))</f>
        <v>0</v>
      </c>
      <c r="P307" s="585"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Row],[Payment]]=0,0,$V$2)</f>
        <v>0</v>
      </c>
      <c r="U307" s="316">
        <f>IF(tblContractForDeed[[#This Row],[Princ]]=0,0,$V$3)</f>
        <v>0</v>
      </c>
      <c r="V307" s="316">
        <f>SUM(tblContractForDeed[[#This Row],[Princ]],tblContractForDeed[[#This Row],[Int]],tblContractForDeed[[#This Row],[Ins]],tblContractForDeed[[#This Row],[Taxes]])</f>
        <v>0</v>
      </c>
      <c r="W307" s="316">
        <f>SUM(INDEX(tblContractForDeed[Princ],1):INDEX(tblContractForDeed[Princ],ROW()-ROW(tblContractForDeed[#Headers])))</f>
        <v>146500</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0">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7" s="316">
        <f>IF(INDEX(tblContractForDeed[End Bal],ROW()-ROW(tblBuyerOutputs[#Headers]))&lt;=0,0,($O$6+IF(ROW()=ROW(tblBuyerOutputs[#Headers])+1,0,INDEX(tblBuyerOutputs[Cumul Appr],ROW()-ROW(tblBuyerOutputs[#Headers])-1)))*$O$2/12)</f>
        <v>0</v>
      </c>
      <c r="AE307" s="588">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61" t="str">
        <f t="shared" si="62"/>
        <v/>
      </c>
      <c r="B308" s="265">
        <f t="shared" si="63"/>
        <v>0</v>
      </c>
      <c r="C308" s="14">
        <f t="shared" si="60"/>
        <v>0</v>
      </c>
      <c r="D308" s="14">
        <f t="shared" si="64"/>
        <v>0</v>
      </c>
      <c r="E308" s="14">
        <f t="shared" si="61"/>
        <v>0</v>
      </c>
      <c r="F308" s="14">
        <f t="shared" si="70"/>
        <v>0</v>
      </c>
      <c r="G308" s="14">
        <f t="shared" si="70"/>
        <v>0</v>
      </c>
      <c r="H308" s="14">
        <f t="shared" si="58"/>
        <v>0</v>
      </c>
      <c r="I308" s="265">
        <f t="shared" si="67"/>
        <v>0</v>
      </c>
      <c r="J308" s="265">
        <f t="shared" si="68"/>
        <v>0</v>
      </c>
      <c r="K308" s="265">
        <f t="shared" si="65"/>
        <v>0</v>
      </c>
      <c r="L308" s="373">
        <f t="shared" ref="L308:L371" si="71">IF(MOD(M308,12)=0,M308/12,L307)</f>
        <v>0</v>
      </c>
      <c r="M308" s="373">
        <f t="shared" si="66"/>
        <v>0</v>
      </c>
      <c r="N308" s="561"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Row],[Payment]]=0,0,$V$2)</f>
        <v>0</v>
      </c>
      <c r="U308" s="265">
        <f>IF(tblContractForDeed[[#This Row],[Princ]]=0,0,$V$3)</f>
        <v>0</v>
      </c>
      <c r="V308" s="265">
        <f>SUM(tblContractForDeed[[#This Row],[Princ]],tblContractForDeed[[#This Row],[Int]],tblContractForDeed[[#This Row],[Ins]],tblContractForDeed[[#This Row],[Taxes]])</f>
        <v>0</v>
      </c>
      <c r="W308" s="265">
        <f>SUM(INDEX(tblContractForDeed[Princ],1):INDEX(tblContractForDeed[Princ],ROW()-ROW(tblContractForDeed[#Headers])))</f>
        <v>146500</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39">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8" s="265">
        <f>IF(INDEX(tblContractForDeed[End Bal],ROW()-ROW(tblBuyerOutputs[#Headers]))&lt;=0,0,($O$6+IF(ROW()=ROW(tblBuyerOutputs[#Headers])+1,0,INDEX(tblBuyerOutputs[Cumul Appr],ROW()-ROW(tblBuyerOutputs[#Headers])-1)))*$O$2/12)</f>
        <v>0</v>
      </c>
      <c r="AE308" s="587">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61" t="str">
        <f t="shared" si="62"/>
        <v/>
      </c>
      <c r="B309" s="265">
        <f t="shared" si="63"/>
        <v>0</v>
      </c>
      <c r="C309" s="14">
        <f t="shared" si="60"/>
        <v>0</v>
      </c>
      <c r="D309" s="14">
        <f t="shared" si="64"/>
        <v>0</v>
      </c>
      <c r="E309" s="14">
        <f t="shared" si="61"/>
        <v>0</v>
      </c>
      <c r="F309" s="14">
        <f t="shared" si="70"/>
        <v>0</v>
      </c>
      <c r="G309" s="14">
        <f t="shared" si="70"/>
        <v>0</v>
      </c>
      <c r="H309" s="14">
        <f t="shared" si="58"/>
        <v>0</v>
      </c>
      <c r="I309" s="265">
        <f t="shared" si="67"/>
        <v>0</v>
      </c>
      <c r="J309" s="265">
        <f t="shared" si="68"/>
        <v>0</v>
      </c>
      <c r="K309" s="265">
        <f t="shared" si="65"/>
        <v>0</v>
      </c>
      <c r="L309" s="373">
        <f t="shared" si="71"/>
        <v>0</v>
      </c>
      <c r="M309" s="373">
        <f t="shared" si="66"/>
        <v>0</v>
      </c>
      <c r="N309" s="561"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Row],[Payment]]=0,0,$V$2)</f>
        <v>0</v>
      </c>
      <c r="U309" s="265">
        <f>IF(tblContractForDeed[[#This Row],[Princ]]=0,0,$V$3)</f>
        <v>0</v>
      </c>
      <c r="V309" s="265">
        <f>SUM(tblContractForDeed[[#This Row],[Princ]],tblContractForDeed[[#This Row],[Int]],tblContractForDeed[[#This Row],[Ins]],tblContractForDeed[[#This Row],[Taxes]])</f>
        <v>0</v>
      </c>
      <c r="W309" s="265">
        <f>SUM(INDEX(tblContractForDeed[Princ],1):INDEX(tblContractForDeed[Princ],ROW()-ROW(tblContractForDeed[#Headers])))</f>
        <v>146500</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39">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9" s="265">
        <f>IF(INDEX(tblContractForDeed[End Bal],ROW()-ROW(tblBuyerOutputs[#Headers]))&lt;=0,0,($O$6+IF(ROW()=ROW(tblBuyerOutputs[#Headers])+1,0,INDEX(tblBuyerOutputs[Cumul Appr],ROW()-ROW(tblBuyerOutputs[#Headers])-1)))*$O$2/12)</f>
        <v>0</v>
      </c>
      <c r="AE309" s="587">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61" t="str">
        <f t="shared" si="62"/>
        <v/>
      </c>
      <c r="B310" s="265">
        <f t="shared" si="63"/>
        <v>0</v>
      </c>
      <c r="C310" s="14">
        <f t="shared" si="60"/>
        <v>0</v>
      </c>
      <c r="D310" s="14">
        <f t="shared" si="64"/>
        <v>0</v>
      </c>
      <c r="E310" s="14">
        <f t="shared" si="61"/>
        <v>0</v>
      </c>
      <c r="F310" s="14">
        <f t="shared" si="70"/>
        <v>0</v>
      </c>
      <c r="G310" s="14">
        <f t="shared" si="70"/>
        <v>0</v>
      </c>
      <c r="H310" s="14">
        <f t="shared" si="58"/>
        <v>0</v>
      </c>
      <c r="I310" s="265">
        <f t="shared" si="67"/>
        <v>0</v>
      </c>
      <c r="J310" s="265">
        <f t="shared" si="68"/>
        <v>0</v>
      </c>
      <c r="K310" s="265">
        <f t="shared" si="65"/>
        <v>0</v>
      </c>
      <c r="L310" s="373">
        <f t="shared" si="71"/>
        <v>0</v>
      </c>
      <c r="M310" s="373">
        <f t="shared" si="66"/>
        <v>0</v>
      </c>
      <c r="N310" s="561"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Row],[Payment]]=0,0,$V$2)</f>
        <v>0</v>
      </c>
      <c r="U310" s="265">
        <f>IF(tblContractForDeed[[#This Row],[Princ]]=0,0,$V$3)</f>
        <v>0</v>
      </c>
      <c r="V310" s="265">
        <f>SUM(tblContractForDeed[[#This Row],[Princ]],tblContractForDeed[[#This Row],[Int]],tblContractForDeed[[#This Row],[Ins]],tblContractForDeed[[#This Row],[Taxes]])</f>
        <v>0</v>
      </c>
      <c r="W310" s="265">
        <f>SUM(INDEX(tblContractForDeed[Princ],1):INDEX(tblContractForDeed[Princ],ROW()-ROW(tblContractForDeed[#Headers])))</f>
        <v>146500</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39">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0" s="265">
        <f>IF(INDEX(tblContractForDeed[End Bal],ROW()-ROW(tblBuyerOutputs[#Headers]))&lt;=0,0,($O$6+IF(ROW()=ROW(tblBuyerOutputs[#Headers])+1,0,INDEX(tblBuyerOutputs[Cumul Appr],ROW()-ROW(tblBuyerOutputs[#Headers])-1)))*$O$2/12)</f>
        <v>0</v>
      </c>
      <c r="AE310" s="587">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61" t="str">
        <f t="shared" si="62"/>
        <v/>
      </c>
      <c r="B311" s="265">
        <f t="shared" si="63"/>
        <v>0</v>
      </c>
      <c r="C311" s="14">
        <f t="shared" si="60"/>
        <v>0</v>
      </c>
      <c r="D311" s="14">
        <f t="shared" si="64"/>
        <v>0</v>
      </c>
      <c r="E311" s="14">
        <f t="shared" si="61"/>
        <v>0</v>
      </c>
      <c r="F311" s="14">
        <f t="shared" si="70"/>
        <v>0</v>
      </c>
      <c r="G311" s="14">
        <f t="shared" si="70"/>
        <v>0</v>
      </c>
      <c r="H311" s="14">
        <f t="shared" si="58"/>
        <v>0</v>
      </c>
      <c r="I311" s="265">
        <f t="shared" si="67"/>
        <v>0</v>
      </c>
      <c r="J311" s="265">
        <f t="shared" si="68"/>
        <v>0</v>
      </c>
      <c r="K311" s="265">
        <f t="shared" si="65"/>
        <v>0</v>
      </c>
      <c r="L311" s="373">
        <f t="shared" si="71"/>
        <v>0</v>
      </c>
      <c r="M311" s="373">
        <f t="shared" si="66"/>
        <v>0</v>
      </c>
      <c r="N311" s="561"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Row],[Payment]]=0,0,$V$2)</f>
        <v>0</v>
      </c>
      <c r="U311" s="265">
        <f>IF(tblContractForDeed[[#This Row],[Princ]]=0,0,$V$3)</f>
        <v>0</v>
      </c>
      <c r="V311" s="265">
        <f>SUM(tblContractForDeed[[#This Row],[Princ]],tblContractForDeed[[#This Row],[Int]],tblContractForDeed[[#This Row],[Ins]],tblContractForDeed[[#This Row],[Taxes]])</f>
        <v>0</v>
      </c>
      <c r="W311" s="265">
        <f>SUM(INDEX(tblContractForDeed[Princ],1):INDEX(tblContractForDeed[Princ],ROW()-ROW(tblContractForDeed[#Headers])))</f>
        <v>146500</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39">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1" s="265">
        <f>IF(INDEX(tblContractForDeed[End Bal],ROW()-ROW(tblBuyerOutputs[#Headers]))&lt;=0,0,($O$6+IF(ROW()=ROW(tblBuyerOutputs[#Headers])+1,0,INDEX(tblBuyerOutputs[Cumul Appr],ROW()-ROW(tblBuyerOutputs[#Headers])-1)))*$O$2/12)</f>
        <v>0</v>
      </c>
      <c r="AE311" s="587">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61" t="str">
        <f t="shared" si="62"/>
        <v/>
      </c>
      <c r="B312" s="265">
        <f t="shared" si="63"/>
        <v>0</v>
      </c>
      <c r="C312" s="14">
        <f t="shared" si="60"/>
        <v>0</v>
      </c>
      <c r="D312" s="14">
        <f t="shared" si="64"/>
        <v>0</v>
      </c>
      <c r="E312" s="14">
        <f t="shared" si="61"/>
        <v>0</v>
      </c>
      <c r="F312" s="14">
        <f t="shared" si="70"/>
        <v>0</v>
      </c>
      <c r="G312" s="14">
        <f t="shared" si="70"/>
        <v>0</v>
      </c>
      <c r="H312" s="14">
        <f t="shared" si="58"/>
        <v>0</v>
      </c>
      <c r="I312" s="265">
        <f t="shared" si="67"/>
        <v>0</v>
      </c>
      <c r="J312" s="265">
        <f t="shared" si="68"/>
        <v>0</v>
      </c>
      <c r="K312" s="265">
        <f t="shared" si="65"/>
        <v>0</v>
      </c>
      <c r="L312" s="373">
        <f t="shared" si="71"/>
        <v>0</v>
      </c>
      <c r="M312" s="373">
        <f t="shared" si="66"/>
        <v>0</v>
      </c>
      <c r="N312" s="561"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Row],[Payment]]=0,0,$V$2)</f>
        <v>0</v>
      </c>
      <c r="U312" s="265">
        <f>IF(tblContractForDeed[[#This Row],[Princ]]=0,0,$V$3)</f>
        <v>0</v>
      </c>
      <c r="V312" s="265">
        <f>SUM(tblContractForDeed[[#This Row],[Princ]],tblContractForDeed[[#This Row],[Int]],tblContractForDeed[[#This Row],[Ins]],tblContractForDeed[[#This Row],[Taxes]])</f>
        <v>0</v>
      </c>
      <c r="W312" s="265">
        <f>SUM(INDEX(tblContractForDeed[Princ],1):INDEX(tblContractForDeed[Princ],ROW()-ROW(tblContractForDeed[#Headers])))</f>
        <v>146500</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39">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2" s="265">
        <f>IF(INDEX(tblContractForDeed[End Bal],ROW()-ROW(tblBuyerOutputs[#Headers]))&lt;=0,0,($O$6+IF(ROW()=ROW(tblBuyerOutputs[#Headers])+1,0,INDEX(tblBuyerOutputs[Cumul Appr],ROW()-ROW(tblBuyerOutputs[#Headers])-1)))*$O$2/12)</f>
        <v>0</v>
      </c>
      <c r="AE312" s="587">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61" t="str">
        <f t="shared" si="62"/>
        <v/>
      </c>
      <c r="B313" s="265">
        <f t="shared" si="63"/>
        <v>0</v>
      </c>
      <c r="C313" s="14">
        <f t="shared" si="60"/>
        <v>0</v>
      </c>
      <c r="D313" s="14">
        <f t="shared" si="64"/>
        <v>0</v>
      </c>
      <c r="E313" s="14">
        <f t="shared" si="61"/>
        <v>0</v>
      </c>
      <c r="F313" s="14">
        <f t="shared" si="70"/>
        <v>0</v>
      </c>
      <c r="G313" s="14">
        <f t="shared" si="70"/>
        <v>0</v>
      </c>
      <c r="H313" s="14">
        <f t="shared" si="58"/>
        <v>0</v>
      </c>
      <c r="I313" s="265">
        <f t="shared" si="67"/>
        <v>0</v>
      </c>
      <c r="J313" s="265">
        <f t="shared" si="68"/>
        <v>0</v>
      </c>
      <c r="K313" s="265">
        <f t="shared" si="65"/>
        <v>0</v>
      </c>
      <c r="L313" s="373">
        <f t="shared" si="71"/>
        <v>0</v>
      </c>
      <c r="M313" s="373">
        <f t="shared" si="66"/>
        <v>0</v>
      </c>
      <c r="N313" s="561"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Row],[Payment]]=0,0,$V$2)</f>
        <v>0</v>
      </c>
      <c r="U313" s="265">
        <f>IF(tblContractForDeed[[#This Row],[Princ]]=0,0,$V$3)</f>
        <v>0</v>
      </c>
      <c r="V313" s="265">
        <f>SUM(tblContractForDeed[[#This Row],[Princ]],tblContractForDeed[[#This Row],[Int]],tblContractForDeed[[#This Row],[Ins]],tblContractForDeed[[#This Row],[Taxes]])</f>
        <v>0</v>
      </c>
      <c r="W313" s="265">
        <f>SUM(INDEX(tblContractForDeed[Princ],1):INDEX(tblContractForDeed[Princ],ROW()-ROW(tblContractForDeed[#Headers])))</f>
        <v>146500</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39">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3" s="265">
        <f>IF(INDEX(tblContractForDeed[End Bal],ROW()-ROW(tblBuyerOutputs[#Headers]))&lt;=0,0,($O$6+IF(ROW()=ROW(tblBuyerOutputs[#Headers])+1,0,INDEX(tblBuyerOutputs[Cumul Appr],ROW()-ROW(tblBuyerOutputs[#Headers])-1)))*$O$2/12)</f>
        <v>0</v>
      </c>
      <c r="AE313" s="587">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61" t="str">
        <f t="shared" si="62"/>
        <v/>
      </c>
      <c r="B314" s="265">
        <f t="shared" si="63"/>
        <v>0</v>
      </c>
      <c r="C314" s="14">
        <f t="shared" si="60"/>
        <v>0</v>
      </c>
      <c r="D314" s="14">
        <f t="shared" si="64"/>
        <v>0</v>
      </c>
      <c r="E314" s="14">
        <f t="shared" si="61"/>
        <v>0</v>
      </c>
      <c r="F314" s="14">
        <f t="shared" si="70"/>
        <v>0</v>
      </c>
      <c r="G314" s="14">
        <f t="shared" si="70"/>
        <v>0</v>
      </c>
      <c r="H314" s="14">
        <f t="shared" si="58"/>
        <v>0</v>
      </c>
      <c r="I314" s="265">
        <f t="shared" si="67"/>
        <v>0</v>
      </c>
      <c r="J314" s="265">
        <f t="shared" si="68"/>
        <v>0</v>
      </c>
      <c r="K314" s="265">
        <f t="shared" si="65"/>
        <v>0</v>
      </c>
      <c r="L314" s="373">
        <f t="shared" si="71"/>
        <v>0</v>
      </c>
      <c r="M314" s="373">
        <f t="shared" si="66"/>
        <v>0</v>
      </c>
      <c r="N314" s="561"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Row],[Payment]]=0,0,$V$2)</f>
        <v>0</v>
      </c>
      <c r="U314" s="265">
        <f>IF(tblContractForDeed[[#This Row],[Princ]]=0,0,$V$3)</f>
        <v>0</v>
      </c>
      <c r="V314" s="265">
        <f>SUM(tblContractForDeed[[#This Row],[Princ]],tblContractForDeed[[#This Row],[Int]],tblContractForDeed[[#This Row],[Ins]],tblContractForDeed[[#This Row],[Taxes]])</f>
        <v>0</v>
      </c>
      <c r="W314" s="265">
        <f>SUM(INDEX(tblContractForDeed[Princ],1):INDEX(tblContractForDeed[Princ],ROW()-ROW(tblContractForDeed[#Headers])))</f>
        <v>146500</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39">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4" s="265">
        <f>IF(INDEX(tblContractForDeed[End Bal],ROW()-ROW(tblBuyerOutputs[#Headers]))&lt;=0,0,($O$6+IF(ROW()=ROW(tblBuyerOutputs[#Headers])+1,0,INDEX(tblBuyerOutputs[Cumul Appr],ROW()-ROW(tblBuyerOutputs[#Headers])-1)))*$O$2/12)</f>
        <v>0</v>
      </c>
      <c r="AE314" s="587">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61" t="str">
        <f t="shared" si="62"/>
        <v/>
      </c>
      <c r="B315" s="265">
        <f t="shared" si="63"/>
        <v>0</v>
      </c>
      <c r="C315" s="14">
        <f t="shared" si="60"/>
        <v>0</v>
      </c>
      <c r="D315" s="14">
        <f t="shared" si="64"/>
        <v>0</v>
      </c>
      <c r="E315" s="14">
        <f t="shared" si="61"/>
        <v>0</v>
      </c>
      <c r="F315" s="14">
        <f t="shared" si="70"/>
        <v>0</v>
      </c>
      <c r="G315" s="14">
        <f t="shared" si="70"/>
        <v>0</v>
      </c>
      <c r="H315" s="14">
        <f t="shared" si="58"/>
        <v>0</v>
      </c>
      <c r="I315" s="265">
        <f t="shared" si="67"/>
        <v>0</v>
      </c>
      <c r="J315" s="265">
        <f t="shared" si="68"/>
        <v>0</v>
      </c>
      <c r="K315" s="265">
        <f t="shared" si="65"/>
        <v>0</v>
      </c>
      <c r="L315" s="373">
        <f t="shared" si="71"/>
        <v>0</v>
      </c>
      <c r="M315" s="373">
        <f t="shared" si="66"/>
        <v>0</v>
      </c>
      <c r="N315" s="561"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Row],[Payment]]=0,0,$V$2)</f>
        <v>0</v>
      </c>
      <c r="U315" s="265">
        <f>IF(tblContractForDeed[[#This Row],[Princ]]=0,0,$V$3)</f>
        <v>0</v>
      </c>
      <c r="V315" s="265">
        <f>SUM(tblContractForDeed[[#This Row],[Princ]],tblContractForDeed[[#This Row],[Int]],tblContractForDeed[[#This Row],[Ins]],tblContractForDeed[[#This Row],[Taxes]])</f>
        <v>0</v>
      </c>
      <c r="W315" s="265">
        <f>SUM(INDEX(tblContractForDeed[Princ],1):INDEX(tblContractForDeed[Princ],ROW()-ROW(tblContractForDeed[#Headers])))</f>
        <v>146500</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39">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5" s="265">
        <f>IF(INDEX(tblContractForDeed[End Bal],ROW()-ROW(tblBuyerOutputs[#Headers]))&lt;=0,0,($O$6+IF(ROW()=ROW(tblBuyerOutputs[#Headers])+1,0,INDEX(tblBuyerOutputs[Cumul Appr],ROW()-ROW(tblBuyerOutputs[#Headers])-1)))*$O$2/12)</f>
        <v>0</v>
      </c>
      <c r="AE315" s="587">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61" t="str">
        <f t="shared" si="62"/>
        <v/>
      </c>
      <c r="B316" s="265">
        <f t="shared" si="63"/>
        <v>0</v>
      </c>
      <c r="C316" s="14">
        <f t="shared" si="60"/>
        <v>0</v>
      </c>
      <c r="D316" s="14">
        <f t="shared" si="64"/>
        <v>0</v>
      </c>
      <c r="E316" s="14">
        <f t="shared" si="61"/>
        <v>0</v>
      </c>
      <c r="F316" s="14">
        <f t="shared" si="70"/>
        <v>0</v>
      </c>
      <c r="G316" s="14">
        <f t="shared" si="70"/>
        <v>0</v>
      </c>
      <c r="H316" s="14">
        <f t="shared" si="58"/>
        <v>0</v>
      </c>
      <c r="I316" s="265">
        <f t="shared" si="67"/>
        <v>0</v>
      </c>
      <c r="J316" s="265">
        <f t="shared" si="68"/>
        <v>0</v>
      </c>
      <c r="K316" s="265">
        <f t="shared" si="65"/>
        <v>0</v>
      </c>
      <c r="L316" s="373">
        <f t="shared" si="71"/>
        <v>0</v>
      </c>
      <c r="M316" s="373">
        <f t="shared" si="66"/>
        <v>0</v>
      </c>
      <c r="N316" s="561"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Row],[Payment]]=0,0,$V$2)</f>
        <v>0</v>
      </c>
      <c r="U316" s="265">
        <f>IF(tblContractForDeed[[#This Row],[Princ]]=0,0,$V$3)</f>
        <v>0</v>
      </c>
      <c r="V316" s="265">
        <f>SUM(tblContractForDeed[[#This Row],[Princ]],tblContractForDeed[[#This Row],[Int]],tblContractForDeed[[#This Row],[Ins]],tblContractForDeed[[#This Row],[Taxes]])</f>
        <v>0</v>
      </c>
      <c r="W316" s="265">
        <f>SUM(INDEX(tblContractForDeed[Princ],1):INDEX(tblContractForDeed[Princ],ROW()-ROW(tblContractForDeed[#Headers])))</f>
        <v>146500</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39">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6" s="265">
        <f>IF(INDEX(tblContractForDeed[End Bal],ROW()-ROW(tblBuyerOutputs[#Headers]))&lt;=0,0,($O$6+IF(ROW()=ROW(tblBuyerOutputs[#Headers])+1,0,INDEX(tblBuyerOutputs[Cumul Appr],ROW()-ROW(tblBuyerOutputs[#Headers])-1)))*$O$2/12)</f>
        <v>0</v>
      </c>
      <c r="AE316" s="587">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61" t="str">
        <f t="shared" si="62"/>
        <v/>
      </c>
      <c r="B317" s="265">
        <f t="shared" si="63"/>
        <v>0</v>
      </c>
      <c r="C317" s="14">
        <f t="shared" si="60"/>
        <v>0</v>
      </c>
      <c r="D317" s="14">
        <f t="shared" si="64"/>
        <v>0</v>
      </c>
      <c r="E317" s="14">
        <f t="shared" si="61"/>
        <v>0</v>
      </c>
      <c r="F317" s="14">
        <f t="shared" si="70"/>
        <v>0</v>
      </c>
      <c r="G317" s="14">
        <f t="shared" si="70"/>
        <v>0</v>
      </c>
      <c r="H317" s="14">
        <f t="shared" si="58"/>
        <v>0</v>
      </c>
      <c r="I317" s="265">
        <f t="shared" si="67"/>
        <v>0</v>
      </c>
      <c r="J317" s="265">
        <f t="shared" si="68"/>
        <v>0</v>
      </c>
      <c r="K317" s="265">
        <f t="shared" si="65"/>
        <v>0</v>
      </c>
      <c r="L317" s="373">
        <f t="shared" si="71"/>
        <v>0</v>
      </c>
      <c r="M317" s="373">
        <f t="shared" si="66"/>
        <v>0</v>
      </c>
      <c r="N317" s="561"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Row],[Payment]]=0,0,$V$2)</f>
        <v>0</v>
      </c>
      <c r="U317" s="265">
        <f>IF(tblContractForDeed[[#This Row],[Princ]]=0,0,$V$3)</f>
        <v>0</v>
      </c>
      <c r="V317" s="265">
        <f>SUM(tblContractForDeed[[#This Row],[Princ]],tblContractForDeed[[#This Row],[Int]],tblContractForDeed[[#This Row],[Ins]],tblContractForDeed[[#This Row],[Taxes]])</f>
        <v>0</v>
      </c>
      <c r="W317" s="265">
        <f>SUM(INDEX(tblContractForDeed[Princ],1):INDEX(tblContractForDeed[Princ],ROW()-ROW(tblContractForDeed[#Headers])))</f>
        <v>146500</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39">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7" s="265">
        <f>IF(INDEX(tblContractForDeed[End Bal],ROW()-ROW(tblBuyerOutputs[#Headers]))&lt;=0,0,($O$6+IF(ROW()=ROW(tblBuyerOutputs[#Headers])+1,0,INDEX(tblBuyerOutputs[Cumul Appr],ROW()-ROW(tblBuyerOutputs[#Headers])-1)))*$O$2/12)</f>
        <v>0</v>
      </c>
      <c r="AE317" s="587">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61" t="str">
        <f t="shared" si="62"/>
        <v/>
      </c>
      <c r="B318" s="265">
        <f t="shared" si="63"/>
        <v>0</v>
      </c>
      <c r="C318" s="14">
        <f t="shared" si="60"/>
        <v>0</v>
      </c>
      <c r="D318" s="14">
        <f t="shared" si="64"/>
        <v>0</v>
      </c>
      <c r="E318" s="14">
        <f t="shared" si="61"/>
        <v>0</v>
      </c>
      <c r="F318" s="14">
        <f t="shared" si="70"/>
        <v>0</v>
      </c>
      <c r="G318" s="14">
        <f t="shared" si="70"/>
        <v>0</v>
      </c>
      <c r="H318" s="14">
        <f t="shared" si="58"/>
        <v>0</v>
      </c>
      <c r="I318" s="265">
        <f t="shared" si="67"/>
        <v>0</v>
      </c>
      <c r="J318" s="265">
        <f t="shared" si="68"/>
        <v>0</v>
      </c>
      <c r="K318" s="265">
        <f t="shared" si="65"/>
        <v>0</v>
      </c>
      <c r="L318" s="373">
        <f t="shared" si="71"/>
        <v>0</v>
      </c>
      <c r="M318" s="373">
        <f t="shared" si="66"/>
        <v>0</v>
      </c>
      <c r="N318" s="561"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Row],[Payment]]=0,0,$V$2)</f>
        <v>0</v>
      </c>
      <c r="U318" s="265">
        <f>IF(tblContractForDeed[[#This Row],[Princ]]=0,0,$V$3)</f>
        <v>0</v>
      </c>
      <c r="V318" s="265">
        <f>SUM(tblContractForDeed[[#This Row],[Princ]],tblContractForDeed[[#This Row],[Int]],tblContractForDeed[[#This Row],[Ins]],tblContractForDeed[[#This Row],[Taxes]])</f>
        <v>0</v>
      </c>
      <c r="W318" s="265">
        <f>SUM(INDEX(tblContractForDeed[Princ],1):INDEX(tblContractForDeed[Princ],ROW()-ROW(tblContractForDeed[#Headers])))</f>
        <v>146500</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39">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8" s="265">
        <f>IF(INDEX(tblContractForDeed[End Bal],ROW()-ROW(tblBuyerOutputs[#Headers]))&lt;=0,0,($O$6+IF(ROW()=ROW(tblBuyerOutputs[#Headers])+1,0,INDEX(tblBuyerOutputs[Cumul Appr],ROW()-ROW(tblBuyerOutputs[#Headers])-1)))*$O$2/12)</f>
        <v>0</v>
      </c>
      <c r="AE318" s="587">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62" t="str">
        <f t="shared" si="62"/>
        <v/>
      </c>
      <c r="B319" s="316">
        <f t="shared" si="63"/>
        <v>0</v>
      </c>
      <c r="C319" s="21">
        <f t="shared" si="60"/>
        <v>0</v>
      </c>
      <c r="D319" s="21">
        <f t="shared" si="64"/>
        <v>0</v>
      </c>
      <c r="E319" s="21">
        <f t="shared" si="61"/>
        <v>0</v>
      </c>
      <c r="F319" s="21">
        <f t="shared" ref="F319:G334" si="72">+F318</f>
        <v>0</v>
      </c>
      <c r="G319" s="21">
        <f t="shared" si="72"/>
        <v>0</v>
      </c>
      <c r="H319" s="21">
        <f t="shared" si="58"/>
        <v>0</v>
      </c>
      <c r="I319" s="316">
        <f t="shared" si="67"/>
        <v>0</v>
      </c>
      <c r="J319" s="316">
        <f t="shared" si="68"/>
        <v>0</v>
      </c>
      <c r="K319" s="316">
        <f t="shared" si="65"/>
        <v>0</v>
      </c>
      <c r="L319" s="374">
        <f t="shared" si="71"/>
        <v>0</v>
      </c>
      <c r="M319" s="374">
        <f t="shared" si="66"/>
        <v>0</v>
      </c>
      <c r="N319" s="562" t="str">
        <f>INDEX(tblSubjectToLoan[Date],ROW()-ROW(tblContractForDeed[#Headers]))</f>
        <v/>
      </c>
      <c r="O319" s="316">
        <f>IF(ROW()=ROW(tblContractForDeed[#Headers])+1,$O$6,IF(INDEX(tblContractForDeed[End Bal],ROW()-ROW(tblContractForDeed[#Headers])-1)&lt;0,0,INDEX(tblContractForDeed[End Bal],ROW()-ROW(tblContractForDeed[#Headers])-1)))</f>
        <v>0</v>
      </c>
      <c r="P319" s="585"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Row],[Payment]]=0,0,$V$2)</f>
        <v>0</v>
      </c>
      <c r="U319" s="316">
        <f>IF(tblContractForDeed[[#This Row],[Princ]]=0,0,$V$3)</f>
        <v>0</v>
      </c>
      <c r="V319" s="316">
        <f>SUM(tblContractForDeed[[#This Row],[Princ]],tblContractForDeed[[#This Row],[Int]],tblContractForDeed[[#This Row],[Ins]],tblContractForDeed[[#This Row],[Taxes]])</f>
        <v>0</v>
      </c>
      <c r="W319" s="316">
        <f>SUM(INDEX(tblContractForDeed[Princ],1):INDEX(tblContractForDeed[Princ],ROW()-ROW(tblContractForDeed[#Headers])))</f>
        <v>146500</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0">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9" s="316">
        <f>IF(INDEX(tblContractForDeed[End Bal],ROW()-ROW(tblBuyerOutputs[#Headers]))&lt;=0,0,($O$6+IF(ROW()=ROW(tblBuyerOutputs[#Headers])+1,0,INDEX(tblBuyerOutputs[Cumul Appr],ROW()-ROW(tblBuyerOutputs[#Headers])-1)))*$O$2/12)</f>
        <v>0</v>
      </c>
      <c r="AE319" s="588">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61" t="str">
        <f t="shared" si="62"/>
        <v/>
      </c>
      <c r="B320" s="265">
        <f t="shared" si="63"/>
        <v>0</v>
      </c>
      <c r="C320" s="14">
        <f t="shared" si="60"/>
        <v>0</v>
      </c>
      <c r="D320" s="14">
        <f t="shared" si="64"/>
        <v>0</v>
      </c>
      <c r="E320" s="14">
        <f t="shared" si="61"/>
        <v>0</v>
      </c>
      <c r="F320" s="14">
        <f t="shared" si="72"/>
        <v>0</v>
      </c>
      <c r="G320" s="14">
        <f t="shared" si="72"/>
        <v>0</v>
      </c>
      <c r="H320" s="14">
        <f t="shared" ref="H320:H383" si="73">SUM(D320:G320)</f>
        <v>0</v>
      </c>
      <c r="I320" s="265">
        <f t="shared" si="67"/>
        <v>0</v>
      </c>
      <c r="J320" s="265">
        <f t="shared" si="68"/>
        <v>0</v>
      </c>
      <c r="K320" s="265">
        <f t="shared" si="65"/>
        <v>0</v>
      </c>
      <c r="L320" s="373">
        <f t="shared" si="71"/>
        <v>0</v>
      </c>
      <c r="M320" s="373">
        <f t="shared" si="66"/>
        <v>0</v>
      </c>
      <c r="N320" s="561"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Row],[Payment]]=0,0,$V$2)</f>
        <v>0</v>
      </c>
      <c r="U320" s="265">
        <f>IF(tblContractForDeed[[#This Row],[Princ]]=0,0,$V$3)</f>
        <v>0</v>
      </c>
      <c r="V320" s="265">
        <f>SUM(tblContractForDeed[[#This Row],[Princ]],tblContractForDeed[[#This Row],[Int]],tblContractForDeed[[#This Row],[Ins]],tblContractForDeed[[#This Row],[Taxes]])</f>
        <v>0</v>
      </c>
      <c r="W320" s="265">
        <f>SUM(INDEX(tblContractForDeed[Princ],1):INDEX(tblContractForDeed[Princ],ROW()-ROW(tblContractForDeed[#Headers])))</f>
        <v>146500</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39">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0" s="265">
        <f>IF(INDEX(tblContractForDeed[End Bal],ROW()-ROW(tblBuyerOutputs[#Headers]))&lt;=0,0,($O$6+IF(ROW()=ROW(tblBuyerOutputs[#Headers])+1,0,INDEX(tblBuyerOutputs[Cumul Appr],ROW()-ROW(tblBuyerOutputs[#Headers])-1)))*$O$2/12)</f>
        <v>0</v>
      </c>
      <c r="AE320" s="587">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61" t="str">
        <f t="shared" si="62"/>
        <v/>
      </c>
      <c r="B321" s="265">
        <f t="shared" si="63"/>
        <v>0</v>
      </c>
      <c r="C321" s="14">
        <f t="shared" si="60"/>
        <v>0</v>
      </c>
      <c r="D321" s="14">
        <f t="shared" si="64"/>
        <v>0</v>
      </c>
      <c r="E321" s="14">
        <f t="shared" si="61"/>
        <v>0</v>
      </c>
      <c r="F321" s="14">
        <f t="shared" si="72"/>
        <v>0</v>
      </c>
      <c r="G321" s="14">
        <f t="shared" si="72"/>
        <v>0</v>
      </c>
      <c r="H321" s="14">
        <f t="shared" si="73"/>
        <v>0</v>
      </c>
      <c r="I321" s="265">
        <f t="shared" si="67"/>
        <v>0</v>
      </c>
      <c r="J321" s="265">
        <f t="shared" si="68"/>
        <v>0</v>
      </c>
      <c r="K321" s="265">
        <f t="shared" si="65"/>
        <v>0</v>
      </c>
      <c r="L321" s="373">
        <f t="shared" si="71"/>
        <v>0</v>
      </c>
      <c r="M321" s="373">
        <f t="shared" si="66"/>
        <v>0</v>
      </c>
      <c r="N321" s="561"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Row],[Payment]]=0,0,$V$2)</f>
        <v>0</v>
      </c>
      <c r="U321" s="265">
        <f>IF(tblContractForDeed[[#This Row],[Princ]]=0,0,$V$3)</f>
        <v>0</v>
      </c>
      <c r="V321" s="265">
        <f>SUM(tblContractForDeed[[#This Row],[Princ]],tblContractForDeed[[#This Row],[Int]],tblContractForDeed[[#This Row],[Ins]],tblContractForDeed[[#This Row],[Taxes]])</f>
        <v>0</v>
      </c>
      <c r="W321" s="265">
        <f>SUM(INDEX(tblContractForDeed[Princ],1):INDEX(tblContractForDeed[Princ],ROW()-ROW(tblContractForDeed[#Headers])))</f>
        <v>146500</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39">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1" s="265">
        <f>IF(INDEX(tblContractForDeed[End Bal],ROW()-ROW(tblBuyerOutputs[#Headers]))&lt;=0,0,($O$6+IF(ROW()=ROW(tblBuyerOutputs[#Headers])+1,0,INDEX(tblBuyerOutputs[Cumul Appr],ROW()-ROW(tblBuyerOutputs[#Headers])-1)))*$O$2/12)</f>
        <v>0</v>
      </c>
      <c r="AE321" s="587">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61" t="str">
        <f t="shared" si="62"/>
        <v/>
      </c>
      <c r="B322" s="265">
        <f t="shared" si="63"/>
        <v>0</v>
      </c>
      <c r="C322" s="14">
        <f t="shared" si="60"/>
        <v>0</v>
      </c>
      <c r="D322" s="14">
        <f t="shared" si="64"/>
        <v>0</v>
      </c>
      <c r="E322" s="14">
        <f t="shared" si="61"/>
        <v>0</v>
      </c>
      <c r="F322" s="14">
        <f t="shared" si="72"/>
        <v>0</v>
      </c>
      <c r="G322" s="14">
        <f t="shared" si="72"/>
        <v>0</v>
      </c>
      <c r="H322" s="14">
        <f t="shared" si="73"/>
        <v>0</v>
      </c>
      <c r="I322" s="265">
        <f t="shared" si="67"/>
        <v>0</v>
      </c>
      <c r="J322" s="265">
        <f t="shared" si="68"/>
        <v>0</v>
      </c>
      <c r="K322" s="265">
        <f t="shared" si="65"/>
        <v>0</v>
      </c>
      <c r="L322" s="373">
        <f t="shared" si="71"/>
        <v>0</v>
      </c>
      <c r="M322" s="373">
        <f t="shared" si="66"/>
        <v>0</v>
      </c>
      <c r="N322" s="561"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Row],[Payment]]=0,0,$V$2)</f>
        <v>0</v>
      </c>
      <c r="U322" s="265">
        <f>IF(tblContractForDeed[[#This Row],[Princ]]=0,0,$V$3)</f>
        <v>0</v>
      </c>
      <c r="V322" s="265">
        <f>SUM(tblContractForDeed[[#This Row],[Princ]],tblContractForDeed[[#This Row],[Int]],tblContractForDeed[[#This Row],[Ins]],tblContractForDeed[[#This Row],[Taxes]])</f>
        <v>0</v>
      </c>
      <c r="W322" s="265">
        <f>SUM(INDEX(tblContractForDeed[Princ],1):INDEX(tblContractForDeed[Princ],ROW()-ROW(tblContractForDeed[#Headers])))</f>
        <v>146500</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39">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2" s="265">
        <f>IF(INDEX(tblContractForDeed[End Bal],ROW()-ROW(tblBuyerOutputs[#Headers]))&lt;=0,0,($O$6+IF(ROW()=ROW(tblBuyerOutputs[#Headers])+1,0,INDEX(tblBuyerOutputs[Cumul Appr],ROW()-ROW(tblBuyerOutputs[#Headers])-1)))*$O$2/12)</f>
        <v>0</v>
      </c>
      <c r="AE322" s="587">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61" t="str">
        <f t="shared" si="62"/>
        <v/>
      </c>
      <c r="B323" s="265">
        <f t="shared" si="63"/>
        <v>0</v>
      </c>
      <c r="C323" s="14">
        <f t="shared" si="60"/>
        <v>0</v>
      </c>
      <c r="D323" s="14">
        <f t="shared" si="64"/>
        <v>0</v>
      </c>
      <c r="E323" s="14">
        <f t="shared" si="61"/>
        <v>0</v>
      </c>
      <c r="F323" s="14">
        <f t="shared" si="72"/>
        <v>0</v>
      </c>
      <c r="G323" s="14">
        <f t="shared" si="72"/>
        <v>0</v>
      </c>
      <c r="H323" s="14">
        <f t="shared" si="73"/>
        <v>0</v>
      </c>
      <c r="I323" s="265">
        <f t="shared" si="67"/>
        <v>0</v>
      </c>
      <c r="J323" s="265">
        <f t="shared" si="68"/>
        <v>0</v>
      </c>
      <c r="K323" s="265">
        <f t="shared" si="65"/>
        <v>0</v>
      </c>
      <c r="L323" s="373">
        <f t="shared" si="71"/>
        <v>0</v>
      </c>
      <c r="M323" s="373">
        <f t="shared" si="66"/>
        <v>0</v>
      </c>
      <c r="N323" s="561"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Row],[Payment]]=0,0,$V$2)</f>
        <v>0</v>
      </c>
      <c r="U323" s="265">
        <f>IF(tblContractForDeed[[#This Row],[Princ]]=0,0,$V$3)</f>
        <v>0</v>
      </c>
      <c r="V323" s="265">
        <f>SUM(tblContractForDeed[[#This Row],[Princ]],tblContractForDeed[[#This Row],[Int]],tblContractForDeed[[#This Row],[Ins]],tblContractForDeed[[#This Row],[Taxes]])</f>
        <v>0</v>
      </c>
      <c r="W323" s="265">
        <f>SUM(INDEX(tblContractForDeed[Princ],1):INDEX(tblContractForDeed[Princ],ROW()-ROW(tblContractForDeed[#Headers])))</f>
        <v>146500</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39">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3" s="265">
        <f>IF(INDEX(tblContractForDeed[End Bal],ROW()-ROW(tblBuyerOutputs[#Headers]))&lt;=0,0,($O$6+IF(ROW()=ROW(tblBuyerOutputs[#Headers])+1,0,INDEX(tblBuyerOutputs[Cumul Appr],ROW()-ROW(tblBuyerOutputs[#Headers])-1)))*$O$2/12)</f>
        <v>0</v>
      </c>
      <c r="AE323" s="587">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61" t="str">
        <f t="shared" si="62"/>
        <v/>
      </c>
      <c r="B324" s="265">
        <f t="shared" si="63"/>
        <v>0</v>
      </c>
      <c r="C324" s="14">
        <f t="shared" si="60"/>
        <v>0</v>
      </c>
      <c r="D324" s="14">
        <f t="shared" si="64"/>
        <v>0</v>
      </c>
      <c r="E324" s="14">
        <f t="shared" si="61"/>
        <v>0</v>
      </c>
      <c r="F324" s="14">
        <f t="shared" si="72"/>
        <v>0</v>
      </c>
      <c r="G324" s="14">
        <f t="shared" si="72"/>
        <v>0</v>
      </c>
      <c r="H324" s="14">
        <f t="shared" si="73"/>
        <v>0</v>
      </c>
      <c r="I324" s="265">
        <f t="shared" si="67"/>
        <v>0</v>
      </c>
      <c r="J324" s="265">
        <f t="shared" si="68"/>
        <v>0</v>
      </c>
      <c r="K324" s="265">
        <f t="shared" si="65"/>
        <v>0</v>
      </c>
      <c r="L324" s="373">
        <f t="shared" si="71"/>
        <v>0</v>
      </c>
      <c r="M324" s="373">
        <f t="shared" si="66"/>
        <v>0</v>
      </c>
      <c r="N324" s="561"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Row],[Payment]]=0,0,$V$2)</f>
        <v>0</v>
      </c>
      <c r="U324" s="265">
        <f>IF(tblContractForDeed[[#This Row],[Princ]]=0,0,$V$3)</f>
        <v>0</v>
      </c>
      <c r="V324" s="265">
        <f>SUM(tblContractForDeed[[#This Row],[Princ]],tblContractForDeed[[#This Row],[Int]],tblContractForDeed[[#This Row],[Ins]],tblContractForDeed[[#This Row],[Taxes]])</f>
        <v>0</v>
      </c>
      <c r="W324" s="265">
        <f>SUM(INDEX(tblContractForDeed[Princ],1):INDEX(tblContractForDeed[Princ],ROW()-ROW(tblContractForDeed[#Headers])))</f>
        <v>146500</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39">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4" s="265">
        <f>IF(INDEX(tblContractForDeed[End Bal],ROW()-ROW(tblBuyerOutputs[#Headers]))&lt;=0,0,($O$6+IF(ROW()=ROW(tblBuyerOutputs[#Headers])+1,0,INDEX(tblBuyerOutputs[Cumul Appr],ROW()-ROW(tblBuyerOutputs[#Headers])-1)))*$O$2/12)</f>
        <v>0</v>
      </c>
      <c r="AE324" s="587">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61" t="str">
        <f t="shared" si="62"/>
        <v/>
      </c>
      <c r="B325" s="265">
        <f t="shared" si="63"/>
        <v>0</v>
      </c>
      <c r="C325" s="14">
        <f t="shared" si="60"/>
        <v>0</v>
      </c>
      <c r="D325" s="14">
        <f t="shared" si="64"/>
        <v>0</v>
      </c>
      <c r="E325" s="14">
        <f t="shared" si="61"/>
        <v>0</v>
      </c>
      <c r="F325" s="14">
        <f t="shared" si="72"/>
        <v>0</v>
      </c>
      <c r="G325" s="14">
        <f t="shared" si="72"/>
        <v>0</v>
      </c>
      <c r="H325" s="14">
        <f t="shared" si="73"/>
        <v>0</v>
      </c>
      <c r="I325" s="265">
        <f t="shared" si="67"/>
        <v>0</v>
      </c>
      <c r="J325" s="265">
        <f t="shared" si="68"/>
        <v>0</v>
      </c>
      <c r="K325" s="265">
        <f t="shared" si="65"/>
        <v>0</v>
      </c>
      <c r="L325" s="373">
        <f t="shared" si="71"/>
        <v>0</v>
      </c>
      <c r="M325" s="373">
        <f t="shared" si="66"/>
        <v>0</v>
      </c>
      <c r="N325" s="561"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Row],[Payment]]=0,0,$V$2)</f>
        <v>0</v>
      </c>
      <c r="U325" s="265">
        <f>IF(tblContractForDeed[[#This Row],[Princ]]=0,0,$V$3)</f>
        <v>0</v>
      </c>
      <c r="V325" s="265">
        <f>SUM(tblContractForDeed[[#This Row],[Princ]],tblContractForDeed[[#This Row],[Int]],tblContractForDeed[[#This Row],[Ins]],tblContractForDeed[[#This Row],[Taxes]])</f>
        <v>0</v>
      </c>
      <c r="W325" s="265">
        <f>SUM(INDEX(tblContractForDeed[Princ],1):INDEX(tblContractForDeed[Princ],ROW()-ROW(tblContractForDeed[#Headers])))</f>
        <v>146500</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39">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5" s="265">
        <f>IF(INDEX(tblContractForDeed[End Bal],ROW()-ROW(tblBuyerOutputs[#Headers]))&lt;=0,0,($O$6+IF(ROW()=ROW(tblBuyerOutputs[#Headers])+1,0,INDEX(tblBuyerOutputs[Cumul Appr],ROW()-ROW(tblBuyerOutputs[#Headers])-1)))*$O$2/12)</f>
        <v>0</v>
      </c>
      <c r="AE325" s="587">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61" t="str">
        <f t="shared" si="62"/>
        <v/>
      </c>
      <c r="B326" s="265">
        <f t="shared" si="63"/>
        <v>0</v>
      </c>
      <c r="C326" s="14">
        <f t="shared" si="60"/>
        <v>0</v>
      </c>
      <c r="D326" s="14">
        <f t="shared" si="64"/>
        <v>0</v>
      </c>
      <c r="E326" s="14">
        <f t="shared" si="61"/>
        <v>0</v>
      </c>
      <c r="F326" s="14">
        <f t="shared" si="72"/>
        <v>0</v>
      </c>
      <c r="G326" s="14">
        <f t="shared" si="72"/>
        <v>0</v>
      </c>
      <c r="H326" s="14">
        <f t="shared" si="73"/>
        <v>0</v>
      </c>
      <c r="I326" s="265">
        <f t="shared" si="67"/>
        <v>0</v>
      </c>
      <c r="J326" s="265">
        <f t="shared" si="68"/>
        <v>0</v>
      </c>
      <c r="K326" s="265">
        <f t="shared" si="65"/>
        <v>0</v>
      </c>
      <c r="L326" s="373">
        <f t="shared" si="71"/>
        <v>0</v>
      </c>
      <c r="M326" s="373">
        <f t="shared" si="66"/>
        <v>0</v>
      </c>
      <c r="N326" s="561"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Row],[Payment]]=0,0,$V$2)</f>
        <v>0</v>
      </c>
      <c r="U326" s="265">
        <f>IF(tblContractForDeed[[#This Row],[Princ]]=0,0,$V$3)</f>
        <v>0</v>
      </c>
      <c r="V326" s="265">
        <f>SUM(tblContractForDeed[[#This Row],[Princ]],tblContractForDeed[[#This Row],[Int]],tblContractForDeed[[#This Row],[Ins]],tblContractForDeed[[#This Row],[Taxes]])</f>
        <v>0</v>
      </c>
      <c r="W326" s="265">
        <f>SUM(INDEX(tblContractForDeed[Princ],1):INDEX(tblContractForDeed[Princ],ROW()-ROW(tblContractForDeed[#Headers])))</f>
        <v>146500</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39">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6" s="265">
        <f>IF(INDEX(tblContractForDeed[End Bal],ROW()-ROW(tblBuyerOutputs[#Headers]))&lt;=0,0,($O$6+IF(ROW()=ROW(tblBuyerOutputs[#Headers])+1,0,INDEX(tblBuyerOutputs[Cumul Appr],ROW()-ROW(tblBuyerOutputs[#Headers])-1)))*$O$2/12)</f>
        <v>0</v>
      </c>
      <c r="AE326" s="587">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61" t="str">
        <f t="shared" si="62"/>
        <v/>
      </c>
      <c r="B327" s="265">
        <f t="shared" si="63"/>
        <v>0</v>
      </c>
      <c r="C327" s="14">
        <f t="shared" si="60"/>
        <v>0</v>
      </c>
      <c r="D327" s="14">
        <f t="shared" si="64"/>
        <v>0</v>
      </c>
      <c r="E327" s="14">
        <f t="shared" si="61"/>
        <v>0</v>
      </c>
      <c r="F327" s="14">
        <f t="shared" si="72"/>
        <v>0</v>
      </c>
      <c r="G327" s="14">
        <f t="shared" si="72"/>
        <v>0</v>
      </c>
      <c r="H327" s="14">
        <f t="shared" si="73"/>
        <v>0</v>
      </c>
      <c r="I327" s="265">
        <f t="shared" si="67"/>
        <v>0</v>
      </c>
      <c r="J327" s="265">
        <f t="shared" si="68"/>
        <v>0</v>
      </c>
      <c r="K327" s="265">
        <f t="shared" si="65"/>
        <v>0</v>
      </c>
      <c r="L327" s="373">
        <f t="shared" si="71"/>
        <v>0</v>
      </c>
      <c r="M327" s="373">
        <f t="shared" si="66"/>
        <v>0</v>
      </c>
      <c r="N327" s="561"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Row],[Payment]]=0,0,$V$2)</f>
        <v>0</v>
      </c>
      <c r="U327" s="265">
        <f>IF(tblContractForDeed[[#This Row],[Princ]]=0,0,$V$3)</f>
        <v>0</v>
      </c>
      <c r="V327" s="265">
        <f>SUM(tblContractForDeed[[#This Row],[Princ]],tblContractForDeed[[#This Row],[Int]],tblContractForDeed[[#This Row],[Ins]],tblContractForDeed[[#This Row],[Taxes]])</f>
        <v>0</v>
      </c>
      <c r="W327" s="265">
        <f>SUM(INDEX(tblContractForDeed[Princ],1):INDEX(tblContractForDeed[Princ],ROW()-ROW(tblContractForDeed[#Headers])))</f>
        <v>146500</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39">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7" s="265">
        <f>IF(INDEX(tblContractForDeed[End Bal],ROW()-ROW(tblBuyerOutputs[#Headers]))&lt;=0,0,($O$6+IF(ROW()=ROW(tblBuyerOutputs[#Headers])+1,0,INDEX(tblBuyerOutputs[Cumul Appr],ROW()-ROW(tblBuyerOutputs[#Headers])-1)))*$O$2/12)</f>
        <v>0</v>
      </c>
      <c r="AE327" s="587">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61" t="str">
        <f t="shared" si="62"/>
        <v/>
      </c>
      <c r="B328" s="265">
        <f t="shared" si="63"/>
        <v>0</v>
      </c>
      <c r="C328" s="14">
        <f t="shared" si="60"/>
        <v>0</v>
      </c>
      <c r="D328" s="14">
        <f t="shared" si="64"/>
        <v>0</v>
      </c>
      <c r="E328" s="14">
        <f t="shared" si="61"/>
        <v>0</v>
      </c>
      <c r="F328" s="14">
        <f t="shared" si="72"/>
        <v>0</v>
      </c>
      <c r="G328" s="14">
        <f t="shared" si="72"/>
        <v>0</v>
      </c>
      <c r="H328" s="14">
        <f t="shared" si="73"/>
        <v>0</v>
      </c>
      <c r="I328" s="265">
        <f t="shared" si="67"/>
        <v>0</v>
      </c>
      <c r="J328" s="265">
        <f t="shared" si="68"/>
        <v>0</v>
      </c>
      <c r="K328" s="265">
        <f t="shared" si="65"/>
        <v>0</v>
      </c>
      <c r="L328" s="373">
        <f t="shared" si="71"/>
        <v>0</v>
      </c>
      <c r="M328" s="373">
        <f t="shared" si="66"/>
        <v>0</v>
      </c>
      <c r="N328" s="561"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Row],[Payment]]=0,0,$V$2)</f>
        <v>0</v>
      </c>
      <c r="U328" s="265">
        <f>IF(tblContractForDeed[[#This Row],[Princ]]=0,0,$V$3)</f>
        <v>0</v>
      </c>
      <c r="V328" s="265">
        <f>SUM(tblContractForDeed[[#This Row],[Princ]],tblContractForDeed[[#This Row],[Int]],tblContractForDeed[[#This Row],[Ins]],tblContractForDeed[[#This Row],[Taxes]])</f>
        <v>0</v>
      </c>
      <c r="W328" s="265">
        <f>SUM(INDEX(tblContractForDeed[Princ],1):INDEX(tblContractForDeed[Princ],ROW()-ROW(tblContractForDeed[#Headers])))</f>
        <v>146500</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39">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8" s="265">
        <f>IF(INDEX(tblContractForDeed[End Bal],ROW()-ROW(tblBuyerOutputs[#Headers]))&lt;=0,0,($O$6+IF(ROW()=ROW(tblBuyerOutputs[#Headers])+1,0,INDEX(tblBuyerOutputs[Cumul Appr],ROW()-ROW(tblBuyerOutputs[#Headers])-1)))*$O$2/12)</f>
        <v>0</v>
      </c>
      <c r="AE328" s="587">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61" t="str">
        <f t="shared" si="62"/>
        <v/>
      </c>
      <c r="B329" s="265">
        <f t="shared" si="63"/>
        <v>0</v>
      </c>
      <c r="C329" s="14">
        <f t="shared" si="60"/>
        <v>0</v>
      </c>
      <c r="D329" s="14">
        <f t="shared" si="64"/>
        <v>0</v>
      </c>
      <c r="E329" s="14">
        <f t="shared" si="61"/>
        <v>0</v>
      </c>
      <c r="F329" s="14">
        <f t="shared" si="72"/>
        <v>0</v>
      </c>
      <c r="G329" s="14">
        <f t="shared" si="72"/>
        <v>0</v>
      </c>
      <c r="H329" s="14">
        <f t="shared" si="73"/>
        <v>0</v>
      </c>
      <c r="I329" s="265">
        <f t="shared" si="67"/>
        <v>0</v>
      </c>
      <c r="J329" s="265">
        <f t="shared" si="68"/>
        <v>0</v>
      </c>
      <c r="K329" s="265">
        <f t="shared" si="65"/>
        <v>0</v>
      </c>
      <c r="L329" s="373">
        <f t="shared" si="71"/>
        <v>0</v>
      </c>
      <c r="M329" s="373">
        <f t="shared" si="66"/>
        <v>0</v>
      </c>
      <c r="N329" s="561"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Row],[Payment]]=0,0,$V$2)</f>
        <v>0</v>
      </c>
      <c r="U329" s="265">
        <f>IF(tblContractForDeed[[#This Row],[Princ]]=0,0,$V$3)</f>
        <v>0</v>
      </c>
      <c r="V329" s="265">
        <f>SUM(tblContractForDeed[[#This Row],[Princ]],tblContractForDeed[[#This Row],[Int]],tblContractForDeed[[#This Row],[Ins]],tblContractForDeed[[#This Row],[Taxes]])</f>
        <v>0</v>
      </c>
      <c r="W329" s="265">
        <f>SUM(INDEX(tblContractForDeed[Princ],1):INDEX(tblContractForDeed[Princ],ROW()-ROW(tblContractForDeed[#Headers])))</f>
        <v>146500</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39">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9" s="265">
        <f>IF(INDEX(tblContractForDeed[End Bal],ROW()-ROW(tblBuyerOutputs[#Headers]))&lt;=0,0,($O$6+IF(ROW()=ROW(tblBuyerOutputs[#Headers])+1,0,INDEX(tblBuyerOutputs[Cumul Appr],ROW()-ROW(tblBuyerOutputs[#Headers])-1)))*$O$2/12)</f>
        <v>0</v>
      </c>
      <c r="AE329" s="587">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61" t="str">
        <f t="shared" si="62"/>
        <v/>
      </c>
      <c r="B330" s="265">
        <f t="shared" si="63"/>
        <v>0</v>
      </c>
      <c r="C330" s="14">
        <f t="shared" si="60"/>
        <v>0</v>
      </c>
      <c r="D330" s="14">
        <f t="shared" si="64"/>
        <v>0</v>
      </c>
      <c r="E330" s="14">
        <f t="shared" si="61"/>
        <v>0</v>
      </c>
      <c r="F330" s="14">
        <f t="shared" si="72"/>
        <v>0</v>
      </c>
      <c r="G330" s="14">
        <f t="shared" si="72"/>
        <v>0</v>
      </c>
      <c r="H330" s="14">
        <f t="shared" si="73"/>
        <v>0</v>
      </c>
      <c r="I330" s="265">
        <f t="shared" si="67"/>
        <v>0</v>
      </c>
      <c r="J330" s="265">
        <f t="shared" si="68"/>
        <v>0</v>
      </c>
      <c r="K330" s="265">
        <f t="shared" si="65"/>
        <v>0</v>
      </c>
      <c r="L330" s="373">
        <f t="shared" si="71"/>
        <v>0</v>
      </c>
      <c r="M330" s="373">
        <f t="shared" si="66"/>
        <v>0</v>
      </c>
      <c r="N330" s="561"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Row],[Payment]]=0,0,$V$2)</f>
        <v>0</v>
      </c>
      <c r="U330" s="265">
        <f>IF(tblContractForDeed[[#This Row],[Princ]]=0,0,$V$3)</f>
        <v>0</v>
      </c>
      <c r="V330" s="265">
        <f>SUM(tblContractForDeed[[#This Row],[Princ]],tblContractForDeed[[#This Row],[Int]],tblContractForDeed[[#This Row],[Ins]],tblContractForDeed[[#This Row],[Taxes]])</f>
        <v>0</v>
      </c>
      <c r="W330" s="265">
        <f>SUM(INDEX(tblContractForDeed[Princ],1):INDEX(tblContractForDeed[Princ],ROW()-ROW(tblContractForDeed[#Headers])))</f>
        <v>146500</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39">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0" s="265">
        <f>IF(INDEX(tblContractForDeed[End Bal],ROW()-ROW(tblBuyerOutputs[#Headers]))&lt;=0,0,($O$6+IF(ROW()=ROW(tblBuyerOutputs[#Headers])+1,0,INDEX(tblBuyerOutputs[Cumul Appr],ROW()-ROW(tblBuyerOutputs[#Headers])-1)))*$O$2/12)</f>
        <v>0</v>
      </c>
      <c r="AE330" s="587">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62" t="str">
        <f t="shared" si="62"/>
        <v/>
      </c>
      <c r="B331" s="316">
        <f t="shared" si="63"/>
        <v>0</v>
      </c>
      <c r="C331" s="21">
        <f t="shared" si="60"/>
        <v>0</v>
      </c>
      <c r="D331" s="21">
        <f t="shared" si="64"/>
        <v>0</v>
      </c>
      <c r="E331" s="21">
        <f t="shared" si="61"/>
        <v>0</v>
      </c>
      <c r="F331" s="21">
        <f t="shared" si="72"/>
        <v>0</v>
      </c>
      <c r="G331" s="21">
        <f t="shared" si="72"/>
        <v>0</v>
      </c>
      <c r="H331" s="21">
        <f t="shared" si="73"/>
        <v>0</v>
      </c>
      <c r="I331" s="316">
        <f t="shared" si="67"/>
        <v>0</v>
      </c>
      <c r="J331" s="316">
        <f t="shared" si="68"/>
        <v>0</v>
      </c>
      <c r="K331" s="316">
        <f t="shared" si="65"/>
        <v>0</v>
      </c>
      <c r="L331" s="374">
        <f t="shared" si="71"/>
        <v>0</v>
      </c>
      <c r="M331" s="374">
        <f t="shared" si="66"/>
        <v>0</v>
      </c>
      <c r="N331" s="562" t="str">
        <f>INDEX(tblSubjectToLoan[Date],ROW()-ROW(tblContractForDeed[#Headers]))</f>
        <v/>
      </c>
      <c r="O331" s="316">
        <f>IF(ROW()=ROW(tblContractForDeed[#Headers])+1,$O$6,IF(INDEX(tblContractForDeed[End Bal],ROW()-ROW(tblContractForDeed[#Headers])-1)&lt;0,0,INDEX(tblContractForDeed[End Bal],ROW()-ROW(tblContractForDeed[#Headers])-1)))</f>
        <v>0</v>
      </c>
      <c r="P331" s="585"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Row],[Payment]]=0,0,$V$2)</f>
        <v>0</v>
      </c>
      <c r="U331" s="316">
        <f>IF(tblContractForDeed[[#This Row],[Princ]]=0,0,$V$3)</f>
        <v>0</v>
      </c>
      <c r="V331" s="316">
        <f>SUM(tblContractForDeed[[#This Row],[Princ]],tblContractForDeed[[#This Row],[Int]],tblContractForDeed[[#This Row],[Ins]],tblContractForDeed[[#This Row],[Taxes]])</f>
        <v>0</v>
      </c>
      <c r="W331" s="316">
        <f>SUM(INDEX(tblContractForDeed[Princ],1):INDEX(tblContractForDeed[Princ],ROW()-ROW(tblContractForDeed[#Headers])))</f>
        <v>146500</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0">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1" s="316">
        <f>IF(INDEX(tblContractForDeed[End Bal],ROW()-ROW(tblBuyerOutputs[#Headers]))&lt;=0,0,($O$6+IF(ROW()=ROW(tblBuyerOutputs[#Headers])+1,0,INDEX(tblBuyerOutputs[Cumul Appr],ROW()-ROW(tblBuyerOutputs[#Headers])-1)))*$O$2/12)</f>
        <v>0</v>
      </c>
      <c r="AE331" s="588">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61" t="str">
        <f t="shared" si="62"/>
        <v/>
      </c>
      <c r="B332" s="265">
        <f t="shared" si="63"/>
        <v>0</v>
      </c>
      <c r="C332" s="14">
        <f t="shared" si="60"/>
        <v>0</v>
      </c>
      <c r="D332" s="14">
        <f t="shared" si="64"/>
        <v>0</v>
      </c>
      <c r="E332" s="14">
        <f t="shared" si="61"/>
        <v>0</v>
      </c>
      <c r="F332" s="14">
        <f t="shared" si="72"/>
        <v>0</v>
      </c>
      <c r="G332" s="14">
        <f t="shared" si="72"/>
        <v>0</v>
      </c>
      <c r="H332" s="14">
        <f t="shared" si="73"/>
        <v>0</v>
      </c>
      <c r="I332" s="265">
        <f t="shared" si="67"/>
        <v>0</v>
      </c>
      <c r="J332" s="265">
        <f t="shared" si="68"/>
        <v>0</v>
      </c>
      <c r="K332" s="265">
        <f t="shared" si="65"/>
        <v>0</v>
      </c>
      <c r="L332" s="373">
        <f t="shared" si="71"/>
        <v>0</v>
      </c>
      <c r="M332" s="373">
        <f t="shared" si="66"/>
        <v>0</v>
      </c>
      <c r="N332" s="561"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Row],[Payment]]=0,0,$V$2)</f>
        <v>0</v>
      </c>
      <c r="U332" s="265">
        <f>IF(tblContractForDeed[[#This Row],[Princ]]=0,0,$V$3)</f>
        <v>0</v>
      </c>
      <c r="V332" s="265">
        <f>SUM(tblContractForDeed[[#This Row],[Princ]],tblContractForDeed[[#This Row],[Int]],tblContractForDeed[[#This Row],[Ins]],tblContractForDeed[[#This Row],[Taxes]])</f>
        <v>0</v>
      </c>
      <c r="W332" s="265">
        <f>SUM(INDEX(tblContractForDeed[Princ],1):INDEX(tblContractForDeed[Princ],ROW()-ROW(tblContractForDeed[#Headers])))</f>
        <v>146500</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39">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2" s="265">
        <f>IF(INDEX(tblContractForDeed[End Bal],ROW()-ROW(tblBuyerOutputs[#Headers]))&lt;=0,0,($O$6+IF(ROW()=ROW(tblBuyerOutputs[#Headers])+1,0,INDEX(tblBuyerOutputs[Cumul Appr],ROW()-ROW(tblBuyerOutputs[#Headers])-1)))*$O$2/12)</f>
        <v>0</v>
      </c>
      <c r="AE332" s="587">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61" t="str">
        <f t="shared" si="62"/>
        <v/>
      </c>
      <c r="B333" s="265">
        <f t="shared" si="63"/>
        <v>0</v>
      </c>
      <c r="C333" s="14">
        <f t="shared" si="60"/>
        <v>0</v>
      </c>
      <c r="D333" s="14">
        <f t="shared" si="64"/>
        <v>0</v>
      </c>
      <c r="E333" s="14">
        <f t="shared" si="61"/>
        <v>0</v>
      </c>
      <c r="F333" s="14">
        <f t="shared" si="72"/>
        <v>0</v>
      </c>
      <c r="G333" s="14">
        <f t="shared" si="72"/>
        <v>0</v>
      </c>
      <c r="H333" s="14">
        <f t="shared" si="73"/>
        <v>0</v>
      </c>
      <c r="I333" s="265">
        <f t="shared" si="67"/>
        <v>0</v>
      </c>
      <c r="J333" s="265">
        <f t="shared" si="68"/>
        <v>0</v>
      </c>
      <c r="K333" s="265">
        <f t="shared" si="65"/>
        <v>0</v>
      </c>
      <c r="L333" s="373">
        <f t="shared" si="71"/>
        <v>0</v>
      </c>
      <c r="M333" s="373">
        <f t="shared" si="66"/>
        <v>0</v>
      </c>
      <c r="N333" s="561"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Row],[Payment]]=0,0,$V$2)</f>
        <v>0</v>
      </c>
      <c r="U333" s="265">
        <f>IF(tblContractForDeed[[#This Row],[Princ]]=0,0,$V$3)</f>
        <v>0</v>
      </c>
      <c r="V333" s="265">
        <f>SUM(tblContractForDeed[[#This Row],[Princ]],tblContractForDeed[[#This Row],[Int]],tblContractForDeed[[#This Row],[Ins]],tblContractForDeed[[#This Row],[Taxes]])</f>
        <v>0</v>
      </c>
      <c r="W333" s="265">
        <f>SUM(INDEX(tblContractForDeed[Princ],1):INDEX(tblContractForDeed[Princ],ROW()-ROW(tblContractForDeed[#Headers])))</f>
        <v>146500</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39">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3" s="265">
        <f>IF(INDEX(tblContractForDeed[End Bal],ROW()-ROW(tblBuyerOutputs[#Headers]))&lt;=0,0,($O$6+IF(ROW()=ROW(tblBuyerOutputs[#Headers])+1,0,INDEX(tblBuyerOutputs[Cumul Appr],ROW()-ROW(tblBuyerOutputs[#Headers])-1)))*$O$2/12)</f>
        <v>0</v>
      </c>
      <c r="AE333" s="587">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61" t="str">
        <f t="shared" si="62"/>
        <v/>
      </c>
      <c r="B334" s="265">
        <f t="shared" si="63"/>
        <v>0</v>
      </c>
      <c r="C334" s="14">
        <f t="shared" si="60"/>
        <v>0</v>
      </c>
      <c r="D334" s="14">
        <f t="shared" si="64"/>
        <v>0</v>
      </c>
      <c r="E334" s="14">
        <f t="shared" si="61"/>
        <v>0</v>
      </c>
      <c r="F334" s="14">
        <f t="shared" si="72"/>
        <v>0</v>
      </c>
      <c r="G334" s="14">
        <f t="shared" si="72"/>
        <v>0</v>
      </c>
      <c r="H334" s="14">
        <f t="shared" si="73"/>
        <v>0</v>
      </c>
      <c r="I334" s="265">
        <f t="shared" si="67"/>
        <v>0</v>
      </c>
      <c r="J334" s="265">
        <f t="shared" si="68"/>
        <v>0</v>
      </c>
      <c r="K334" s="265">
        <f t="shared" si="65"/>
        <v>0</v>
      </c>
      <c r="L334" s="373">
        <f t="shared" si="71"/>
        <v>0</v>
      </c>
      <c r="M334" s="373">
        <f t="shared" si="66"/>
        <v>0</v>
      </c>
      <c r="N334" s="561"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Row],[Payment]]=0,0,$V$2)</f>
        <v>0</v>
      </c>
      <c r="U334" s="265">
        <f>IF(tblContractForDeed[[#This Row],[Princ]]=0,0,$V$3)</f>
        <v>0</v>
      </c>
      <c r="V334" s="265">
        <f>SUM(tblContractForDeed[[#This Row],[Princ]],tblContractForDeed[[#This Row],[Int]],tblContractForDeed[[#This Row],[Ins]],tblContractForDeed[[#This Row],[Taxes]])</f>
        <v>0</v>
      </c>
      <c r="W334" s="265">
        <f>SUM(INDEX(tblContractForDeed[Princ],1):INDEX(tblContractForDeed[Princ],ROW()-ROW(tblContractForDeed[#Headers])))</f>
        <v>146500</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39">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4" s="265">
        <f>IF(INDEX(tblContractForDeed[End Bal],ROW()-ROW(tblBuyerOutputs[#Headers]))&lt;=0,0,($O$6+IF(ROW()=ROW(tblBuyerOutputs[#Headers])+1,0,INDEX(tblBuyerOutputs[Cumul Appr],ROW()-ROW(tblBuyerOutputs[#Headers])-1)))*$O$2/12)</f>
        <v>0</v>
      </c>
      <c r="AE334" s="587">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61" t="str">
        <f t="shared" si="62"/>
        <v/>
      </c>
      <c r="B335" s="265">
        <f t="shared" si="63"/>
        <v>0</v>
      </c>
      <c r="C335" s="14">
        <f t="shared" si="60"/>
        <v>0</v>
      </c>
      <c r="D335" s="14">
        <f t="shared" si="64"/>
        <v>0</v>
      </c>
      <c r="E335" s="14">
        <f t="shared" si="61"/>
        <v>0</v>
      </c>
      <c r="F335" s="14">
        <f t="shared" ref="F335:G350" si="74">+F334</f>
        <v>0</v>
      </c>
      <c r="G335" s="14">
        <f t="shared" si="74"/>
        <v>0</v>
      </c>
      <c r="H335" s="14">
        <f t="shared" si="73"/>
        <v>0</v>
      </c>
      <c r="I335" s="265">
        <f t="shared" si="67"/>
        <v>0</v>
      </c>
      <c r="J335" s="265">
        <f t="shared" si="68"/>
        <v>0</v>
      </c>
      <c r="K335" s="265">
        <f t="shared" si="65"/>
        <v>0</v>
      </c>
      <c r="L335" s="373">
        <f t="shared" si="71"/>
        <v>0</v>
      </c>
      <c r="M335" s="373">
        <f t="shared" si="66"/>
        <v>0</v>
      </c>
      <c r="N335" s="561"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Row],[Payment]]=0,0,$V$2)</f>
        <v>0</v>
      </c>
      <c r="U335" s="265">
        <f>IF(tblContractForDeed[[#This Row],[Princ]]=0,0,$V$3)</f>
        <v>0</v>
      </c>
      <c r="V335" s="265">
        <f>SUM(tblContractForDeed[[#This Row],[Princ]],tblContractForDeed[[#This Row],[Int]],tblContractForDeed[[#This Row],[Ins]],tblContractForDeed[[#This Row],[Taxes]])</f>
        <v>0</v>
      </c>
      <c r="W335" s="265">
        <f>SUM(INDEX(tblContractForDeed[Princ],1):INDEX(tblContractForDeed[Princ],ROW()-ROW(tblContractForDeed[#Headers])))</f>
        <v>146500</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39">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5" s="265">
        <f>IF(INDEX(tblContractForDeed[End Bal],ROW()-ROW(tblBuyerOutputs[#Headers]))&lt;=0,0,($O$6+IF(ROW()=ROW(tblBuyerOutputs[#Headers])+1,0,INDEX(tblBuyerOutputs[Cumul Appr],ROW()-ROW(tblBuyerOutputs[#Headers])-1)))*$O$2/12)</f>
        <v>0</v>
      </c>
      <c r="AE335" s="587">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61" t="str">
        <f t="shared" si="62"/>
        <v/>
      </c>
      <c r="B336" s="265">
        <f t="shared" si="63"/>
        <v>0</v>
      </c>
      <c r="C336" s="14">
        <f t="shared" si="60"/>
        <v>0</v>
      </c>
      <c r="D336" s="14">
        <f t="shared" si="64"/>
        <v>0</v>
      </c>
      <c r="E336" s="14">
        <f t="shared" si="61"/>
        <v>0</v>
      </c>
      <c r="F336" s="14">
        <f t="shared" si="74"/>
        <v>0</v>
      </c>
      <c r="G336" s="14">
        <f t="shared" si="74"/>
        <v>0</v>
      </c>
      <c r="H336" s="14">
        <f t="shared" si="73"/>
        <v>0</v>
      </c>
      <c r="I336" s="265">
        <f t="shared" si="67"/>
        <v>0</v>
      </c>
      <c r="J336" s="265">
        <f t="shared" si="68"/>
        <v>0</v>
      </c>
      <c r="K336" s="265">
        <f t="shared" si="65"/>
        <v>0</v>
      </c>
      <c r="L336" s="373">
        <f t="shared" si="71"/>
        <v>0</v>
      </c>
      <c r="M336" s="373">
        <f t="shared" si="66"/>
        <v>0</v>
      </c>
      <c r="N336" s="561"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Row],[Payment]]=0,0,$V$2)</f>
        <v>0</v>
      </c>
      <c r="U336" s="265">
        <f>IF(tblContractForDeed[[#This Row],[Princ]]=0,0,$V$3)</f>
        <v>0</v>
      </c>
      <c r="V336" s="265">
        <f>SUM(tblContractForDeed[[#This Row],[Princ]],tblContractForDeed[[#This Row],[Int]],tblContractForDeed[[#This Row],[Ins]],tblContractForDeed[[#This Row],[Taxes]])</f>
        <v>0</v>
      </c>
      <c r="W336" s="265">
        <f>SUM(INDEX(tblContractForDeed[Princ],1):INDEX(tblContractForDeed[Princ],ROW()-ROW(tblContractForDeed[#Headers])))</f>
        <v>146500</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39">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6" s="265">
        <f>IF(INDEX(tblContractForDeed[End Bal],ROW()-ROW(tblBuyerOutputs[#Headers]))&lt;=0,0,($O$6+IF(ROW()=ROW(tblBuyerOutputs[#Headers])+1,0,INDEX(tblBuyerOutputs[Cumul Appr],ROW()-ROW(tblBuyerOutputs[#Headers])-1)))*$O$2/12)</f>
        <v>0</v>
      </c>
      <c r="AE336" s="587">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61" t="str">
        <f t="shared" si="62"/>
        <v/>
      </c>
      <c r="B337" s="265">
        <f t="shared" si="63"/>
        <v>0</v>
      </c>
      <c r="C337" s="14">
        <f t="shared" si="60"/>
        <v>0</v>
      </c>
      <c r="D337" s="14">
        <f t="shared" si="64"/>
        <v>0</v>
      </c>
      <c r="E337" s="14">
        <f t="shared" si="61"/>
        <v>0</v>
      </c>
      <c r="F337" s="14">
        <f t="shared" si="74"/>
        <v>0</v>
      </c>
      <c r="G337" s="14">
        <f t="shared" si="74"/>
        <v>0</v>
      </c>
      <c r="H337" s="14">
        <f t="shared" si="73"/>
        <v>0</v>
      </c>
      <c r="I337" s="265">
        <f t="shared" si="67"/>
        <v>0</v>
      </c>
      <c r="J337" s="265">
        <f t="shared" si="68"/>
        <v>0</v>
      </c>
      <c r="K337" s="265">
        <f t="shared" si="65"/>
        <v>0</v>
      </c>
      <c r="L337" s="373">
        <f t="shared" si="71"/>
        <v>0</v>
      </c>
      <c r="M337" s="373">
        <f t="shared" si="66"/>
        <v>0</v>
      </c>
      <c r="N337" s="561"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Row],[Payment]]=0,0,$V$2)</f>
        <v>0</v>
      </c>
      <c r="U337" s="265">
        <f>IF(tblContractForDeed[[#This Row],[Princ]]=0,0,$V$3)</f>
        <v>0</v>
      </c>
      <c r="V337" s="265">
        <f>SUM(tblContractForDeed[[#This Row],[Princ]],tblContractForDeed[[#This Row],[Int]],tblContractForDeed[[#This Row],[Ins]],tblContractForDeed[[#This Row],[Taxes]])</f>
        <v>0</v>
      </c>
      <c r="W337" s="265">
        <f>SUM(INDEX(tblContractForDeed[Princ],1):INDEX(tblContractForDeed[Princ],ROW()-ROW(tblContractForDeed[#Headers])))</f>
        <v>146500</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39">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7" s="265">
        <f>IF(INDEX(tblContractForDeed[End Bal],ROW()-ROW(tblBuyerOutputs[#Headers]))&lt;=0,0,($O$6+IF(ROW()=ROW(tblBuyerOutputs[#Headers])+1,0,INDEX(tblBuyerOutputs[Cumul Appr],ROW()-ROW(tblBuyerOutputs[#Headers])-1)))*$O$2/12)</f>
        <v>0</v>
      </c>
      <c r="AE337" s="587">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61" t="str">
        <f t="shared" si="62"/>
        <v/>
      </c>
      <c r="B338" s="265">
        <f t="shared" si="63"/>
        <v>0</v>
      </c>
      <c r="C338" s="14">
        <f t="shared" si="60"/>
        <v>0</v>
      </c>
      <c r="D338" s="14">
        <f t="shared" si="64"/>
        <v>0</v>
      </c>
      <c r="E338" s="14">
        <f t="shared" si="61"/>
        <v>0</v>
      </c>
      <c r="F338" s="14">
        <f t="shared" si="74"/>
        <v>0</v>
      </c>
      <c r="G338" s="14">
        <f t="shared" si="74"/>
        <v>0</v>
      </c>
      <c r="H338" s="14">
        <f t="shared" si="73"/>
        <v>0</v>
      </c>
      <c r="I338" s="265">
        <f t="shared" si="67"/>
        <v>0</v>
      </c>
      <c r="J338" s="265">
        <f t="shared" si="68"/>
        <v>0</v>
      </c>
      <c r="K338" s="265">
        <f t="shared" si="65"/>
        <v>0</v>
      </c>
      <c r="L338" s="373">
        <f t="shared" si="71"/>
        <v>0</v>
      </c>
      <c r="M338" s="373">
        <f t="shared" si="66"/>
        <v>0</v>
      </c>
      <c r="N338" s="561"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Row],[Payment]]=0,0,$V$2)</f>
        <v>0</v>
      </c>
      <c r="U338" s="265">
        <f>IF(tblContractForDeed[[#This Row],[Princ]]=0,0,$V$3)</f>
        <v>0</v>
      </c>
      <c r="V338" s="265">
        <f>SUM(tblContractForDeed[[#This Row],[Princ]],tblContractForDeed[[#This Row],[Int]],tblContractForDeed[[#This Row],[Ins]],tblContractForDeed[[#This Row],[Taxes]])</f>
        <v>0</v>
      </c>
      <c r="W338" s="265">
        <f>SUM(INDEX(tblContractForDeed[Princ],1):INDEX(tblContractForDeed[Princ],ROW()-ROW(tblContractForDeed[#Headers])))</f>
        <v>146500</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39">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8" s="265">
        <f>IF(INDEX(tblContractForDeed[End Bal],ROW()-ROW(tblBuyerOutputs[#Headers]))&lt;=0,0,($O$6+IF(ROW()=ROW(tblBuyerOutputs[#Headers])+1,0,INDEX(tblBuyerOutputs[Cumul Appr],ROW()-ROW(tblBuyerOutputs[#Headers])-1)))*$O$2/12)</f>
        <v>0</v>
      </c>
      <c r="AE338" s="587">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61" t="str">
        <f t="shared" si="62"/>
        <v/>
      </c>
      <c r="B339" s="265">
        <f t="shared" si="63"/>
        <v>0</v>
      </c>
      <c r="C339" s="14">
        <f t="shared" si="60"/>
        <v>0</v>
      </c>
      <c r="D339" s="14">
        <f t="shared" si="64"/>
        <v>0</v>
      </c>
      <c r="E339" s="14">
        <f t="shared" si="61"/>
        <v>0</v>
      </c>
      <c r="F339" s="14">
        <f t="shared" si="74"/>
        <v>0</v>
      </c>
      <c r="G339" s="14">
        <f t="shared" si="74"/>
        <v>0</v>
      </c>
      <c r="H339" s="14">
        <f t="shared" si="73"/>
        <v>0</v>
      </c>
      <c r="I339" s="265">
        <f t="shared" si="67"/>
        <v>0</v>
      </c>
      <c r="J339" s="265">
        <f t="shared" si="68"/>
        <v>0</v>
      </c>
      <c r="K339" s="265">
        <f t="shared" si="65"/>
        <v>0</v>
      </c>
      <c r="L339" s="373">
        <f t="shared" si="71"/>
        <v>0</v>
      </c>
      <c r="M339" s="373">
        <f t="shared" si="66"/>
        <v>0</v>
      </c>
      <c r="N339" s="561"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Row],[Payment]]=0,0,$V$2)</f>
        <v>0</v>
      </c>
      <c r="U339" s="265">
        <f>IF(tblContractForDeed[[#This Row],[Princ]]=0,0,$V$3)</f>
        <v>0</v>
      </c>
      <c r="V339" s="265">
        <f>SUM(tblContractForDeed[[#This Row],[Princ]],tblContractForDeed[[#This Row],[Int]],tblContractForDeed[[#This Row],[Ins]],tblContractForDeed[[#This Row],[Taxes]])</f>
        <v>0</v>
      </c>
      <c r="W339" s="265">
        <f>SUM(INDEX(tblContractForDeed[Princ],1):INDEX(tblContractForDeed[Princ],ROW()-ROW(tblContractForDeed[#Headers])))</f>
        <v>146500</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39">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9" s="265">
        <f>IF(INDEX(tblContractForDeed[End Bal],ROW()-ROW(tblBuyerOutputs[#Headers]))&lt;=0,0,($O$6+IF(ROW()=ROW(tblBuyerOutputs[#Headers])+1,0,INDEX(tblBuyerOutputs[Cumul Appr],ROW()-ROW(tblBuyerOutputs[#Headers])-1)))*$O$2/12)</f>
        <v>0</v>
      </c>
      <c r="AE339" s="587">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61" t="str">
        <f t="shared" si="62"/>
        <v/>
      </c>
      <c r="B340" s="265">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0</v>
      </c>
      <c r="G340" s="14">
        <f t="shared" si="74"/>
        <v>0</v>
      </c>
      <c r="H340" s="14">
        <f t="shared" si="73"/>
        <v>0</v>
      </c>
      <c r="I340" s="265">
        <f t="shared" si="67"/>
        <v>0</v>
      </c>
      <c r="J340" s="265">
        <f t="shared" si="68"/>
        <v>0</v>
      </c>
      <c r="K340" s="265">
        <f t="shared" si="65"/>
        <v>0</v>
      </c>
      <c r="L340" s="373">
        <f t="shared" si="71"/>
        <v>0</v>
      </c>
      <c r="M340" s="373">
        <f t="shared" si="66"/>
        <v>0</v>
      </c>
      <c r="N340" s="561"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Row],[Payment]]=0,0,$V$2)</f>
        <v>0</v>
      </c>
      <c r="U340" s="265">
        <f>IF(tblContractForDeed[[#This Row],[Princ]]=0,0,$V$3)</f>
        <v>0</v>
      </c>
      <c r="V340" s="265">
        <f>SUM(tblContractForDeed[[#This Row],[Princ]],tblContractForDeed[[#This Row],[Int]],tblContractForDeed[[#This Row],[Ins]],tblContractForDeed[[#This Row],[Taxes]])</f>
        <v>0</v>
      </c>
      <c r="W340" s="265">
        <f>SUM(INDEX(tblContractForDeed[Princ],1):INDEX(tblContractForDeed[Princ],ROW()-ROW(tblContractForDeed[#Headers])))</f>
        <v>146500</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39">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0" s="265">
        <f>IF(INDEX(tblContractForDeed[End Bal],ROW()-ROW(tblBuyerOutputs[#Headers]))&lt;=0,0,($O$6+IF(ROW()=ROW(tblBuyerOutputs[#Headers])+1,0,INDEX(tblBuyerOutputs[Cumul Appr],ROW()-ROW(tblBuyerOutputs[#Headers])-1)))*$O$2/12)</f>
        <v>0</v>
      </c>
      <c r="AE340" s="587">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61" t="str">
        <f t="shared" ref="A341:A404" si="77">IF(OR(A340="",A340&gt;=subjectMortgageEndDate),"",EDATE(A340,1))</f>
        <v/>
      </c>
      <c r="B341" s="265">
        <f t="shared" ref="B341:B404" si="78">IF(A341="",0,MAX(0,K340))</f>
        <v>0</v>
      </c>
      <c r="C341" s="14">
        <f t="shared" si="75"/>
        <v>0</v>
      </c>
      <c r="D341" s="14">
        <f t="shared" ref="D341:D404" si="79">IF(C341=0,0,MAX(0,MIN(B341,C341-E341)))</f>
        <v>0</v>
      </c>
      <c r="E341" s="14">
        <f t="shared" si="76"/>
        <v>0</v>
      </c>
      <c r="F341" s="14">
        <f t="shared" si="74"/>
        <v>0</v>
      </c>
      <c r="G341" s="14">
        <f t="shared" si="74"/>
        <v>0</v>
      </c>
      <c r="H341" s="14">
        <f t="shared" si="73"/>
        <v>0</v>
      </c>
      <c r="I341" s="265">
        <f t="shared" si="67"/>
        <v>0</v>
      </c>
      <c r="J341" s="265">
        <f t="shared" si="68"/>
        <v>0</v>
      </c>
      <c r="K341" s="265">
        <f t="shared" ref="K341:K404" si="80">IF(A341="",0,IF(B341&lt;=0,0,MAX(0,B341-D341)))</f>
        <v>0</v>
      </c>
      <c r="L341" s="373">
        <f t="shared" si="71"/>
        <v>0</v>
      </c>
      <c r="M341" s="373">
        <f t="shared" ref="M341:M404" si="81">IF($A341&lt;&gt;"",M340+1,0)</f>
        <v>0</v>
      </c>
      <c r="N341" s="561"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Row],[Payment]]=0,0,$V$2)</f>
        <v>0</v>
      </c>
      <c r="U341" s="265">
        <f>IF(tblContractForDeed[[#This Row],[Princ]]=0,0,$V$3)</f>
        <v>0</v>
      </c>
      <c r="V341" s="265">
        <f>SUM(tblContractForDeed[[#This Row],[Princ]],tblContractForDeed[[#This Row],[Int]],tblContractForDeed[[#This Row],[Ins]],tblContractForDeed[[#This Row],[Taxes]])</f>
        <v>0</v>
      </c>
      <c r="W341" s="265">
        <f>SUM(INDEX(tblContractForDeed[Princ],1):INDEX(tblContractForDeed[Princ],ROW()-ROW(tblContractForDeed[#Headers])))</f>
        <v>146500</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39">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1" s="265">
        <f>IF(INDEX(tblContractForDeed[End Bal],ROW()-ROW(tblBuyerOutputs[#Headers]))&lt;=0,0,($O$6+IF(ROW()=ROW(tblBuyerOutputs[#Headers])+1,0,INDEX(tblBuyerOutputs[Cumul Appr],ROW()-ROW(tblBuyerOutputs[#Headers])-1)))*$O$2/12)</f>
        <v>0</v>
      </c>
      <c r="AE341" s="587">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61" t="str">
        <f t="shared" si="77"/>
        <v/>
      </c>
      <c r="B342" s="265">
        <f t="shared" si="78"/>
        <v>0</v>
      </c>
      <c r="C342" s="14">
        <f t="shared" si="75"/>
        <v>0</v>
      </c>
      <c r="D342" s="14">
        <f t="shared" si="79"/>
        <v>0</v>
      </c>
      <c r="E342" s="14">
        <f t="shared" si="76"/>
        <v>0</v>
      </c>
      <c r="F342" s="14">
        <f t="shared" si="74"/>
        <v>0</v>
      </c>
      <c r="G342" s="14">
        <f t="shared" si="74"/>
        <v>0</v>
      </c>
      <c r="H342" s="14">
        <f t="shared" si="73"/>
        <v>0</v>
      </c>
      <c r="I342" s="265">
        <f t="shared" ref="I342:I405" si="82">$D342+$I341</f>
        <v>0</v>
      </c>
      <c r="J342" s="265">
        <f t="shared" ref="J342:J405" si="83">$E342+$J341</f>
        <v>0</v>
      </c>
      <c r="K342" s="265">
        <f t="shared" si="80"/>
        <v>0</v>
      </c>
      <c r="L342" s="373">
        <f t="shared" si="71"/>
        <v>0</v>
      </c>
      <c r="M342" s="373">
        <f t="shared" si="81"/>
        <v>0</v>
      </c>
      <c r="N342" s="561"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Row],[Payment]]=0,0,$V$2)</f>
        <v>0</v>
      </c>
      <c r="U342" s="265">
        <f>IF(tblContractForDeed[[#This Row],[Princ]]=0,0,$V$3)</f>
        <v>0</v>
      </c>
      <c r="V342" s="265">
        <f>SUM(tblContractForDeed[[#This Row],[Princ]],tblContractForDeed[[#This Row],[Int]],tblContractForDeed[[#This Row],[Ins]],tblContractForDeed[[#This Row],[Taxes]])</f>
        <v>0</v>
      </c>
      <c r="W342" s="265">
        <f>SUM(INDEX(tblContractForDeed[Princ],1):INDEX(tblContractForDeed[Princ],ROW()-ROW(tblContractForDeed[#Headers])))</f>
        <v>146500</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39">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2" s="265">
        <f>IF(INDEX(tblContractForDeed[End Bal],ROW()-ROW(tblBuyerOutputs[#Headers]))&lt;=0,0,($O$6+IF(ROW()=ROW(tblBuyerOutputs[#Headers])+1,0,INDEX(tblBuyerOutputs[Cumul Appr],ROW()-ROW(tblBuyerOutputs[#Headers])-1)))*$O$2/12)</f>
        <v>0</v>
      </c>
      <c r="AE342" s="587">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62" t="str">
        <f t="shared" si="77"/>
        <v/>
      </c>
      <c r="B343" s="316">
        <f t="shared" si="78"/>
        <v>0</v>
      </c>
      <c r="C343" s="21">
        <f t="shared" si="75"/>
        <v>0</v>
      </c>
      <c r="D343" s="21">
        <f t="shared" si="79"/>
        <v>0</v>
      </c>
      <c r="E343" s="21">
        <f t="shared" si="76"/>
        <v>0</v>
      </c>
      <c r="F343" s="21">
        <f t="shared" si="74"/>
        <v>0</v>
      </c>
      <c r="G343" s="21">
        <f t="shared" si="74"/>
        <v>0</v>
      </c>
      <c r="H343" s="21">
        <f t="shared" si="73"/>
        <v>0</v>
      </c>
      <c r="I343" s="316">
        <f t="shared" si="82"/>
        <v>0</v>
      </c>
      <c r="J343" s="316">
        <f t="shared" si="83"/>
        <v>0</v>
      </c>
      <c r="K343" s="316">
        <f t="shared" si="80"/>
        <v>0</v>
      </c>
      <c r="L343" s="374">
        <f t="shared" si="71"/>
        <v>0</v>
      </c>
      <c r="M343" s="374">
        <f t="shared" si="81"/>
        <v>0</v>
      </c>
      <c r="N343" s="562" t="str">
        <f>INDEX(tblSubjectToLoan[Date],ROW()-ROW(tblContractForDeed[#Headers]))</f>
        <v/>
      </c>
      <c r="O343" s="316">
        <f>IF(ROW()=ROW(tblContractForDeed[#Headers])+1,$O$6,IF(INDEX(tblContractForDeed[End Bal],ROW()-ROW(tblContractForDeed[#Headers])-1)&lt;0,0,INDEX(tblContractForDeed[End Bal],ROW()-ROW(tblContractForDeed[#Headers])-1)))</f>
        <v>0</v>
      </c>
      <c r="P343" s="585"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Row],[Payment]]=0,0,$V$2)</f>
        <v>0</v>
      </c>
      <c r="U343" s="316">
        <f>IF(tblContractForDeed[[#This Row],[Princ]]=0,0,$V$3)</f>
        <v>0</v>
      </c>
      <c r="V343" s="316">
        <f>SUM(tblContractForDeed[[#This Row],[Princ]],tblContractForDeed[[#This Row],[Int]],tblContractForDeed[[#This Row],[Ins]],tblContractForDeed[[#This Row],[Taxes]])</f>
        <v>0</v>
      </c>
      <c r="W343" s="316">
        <f>SUM(INDEX(tblContractForDeed[Princ],1):INDEX(tblContractForDeed[Princ],ROW()-ROW(tblContractForDeed[#Headers])))</f>
        <v>146500</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0">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3" s="316">
        <f>IF(INDEX(tblContractForDeed[End Bal],ROW()-ROW(tblBuyerOutputs[#Headers]))&lt;=0,0,($O$6+IF(ROW()=ROW(tblBuyerOutputs[#Headers])+1,0,INDEX(tblBuyerOutputs[Cumul Appr],ROW()-ROW(tblBuyerOutputs[#Headers])-1)))*$O$2/12)</f>
        <v>0</v>
      </c>
      <c r="AE343" s="588">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61" t="str">
        <f t="shared" si="77"/>
        <v/>
      </c>
      <c r="B344" s="265">
        <f t="shared" si="78"/>
        <v>0</v>
      </c>
      <c r="C344" s="14">
        <f t="shared" si="75"/>
        <v>0</v>
      </c>
      <c r="D344" s="14">
        <f t="shared" si="79"/>
        <v>0</v>
      </c>
      <c r="E344" s="14">
        <f t="shared" si="76"/>
        <v>0</v>
      </c>
      <c r="F344" s="14">
        <f t="shared" si="74"/>
        <v>0</v>
      </c>
      <c r="G344" s="14">
        <f t="shared" si="74"/>
        <v>0</v>
      </c>
      <c r="H344" s="14">
        <f t="shared" si="73"/>
        <v>0</v>
      </c>
      <c r="I344" s="265">
        <f t="shared" si="82"/>
        <v>0</v>
      </c>
      <c r="J344" s="265">
        <f t="shared" si="83"/>
        <v>0</v>
      </c>
      <c r="K344" s="265">
        <f t="shared" si="80"/>
        <v>0</v>
      </c>
      <c r="L344" s="373">
        <f t="shared" si="71"/>
        <v>0</v>
      </c>
      <c r="M344" s="373">
        <f t="shared" si="81"/>
        <v>0</v>
      </c>
      <c r="N344" s="561"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Row],[Payment]]=0,0,$V$2)</f>
        <v>0</v>
      </c>
      <c r="U344" s="265">
        <f>IF(tblContractForDeed[[#This Row],[Princ]]=0,0,$V$3)</f>
        <v>0</v>
      </c>
      <c r="V344" s="265">
        <f>SUM(tblContractForDeed[[#This Row],[Princ]],tblContractForDeed[[#This Row],[Int]],tblContractForDeed[[#This Row],[Ins]],tblContractForDeed[[#This Row],[Taxes]])</f>
        <v>0</v>
      </c>
      <c r="W344" s="265">
        <f>SUM(INDEX(tblContractForDeed[Princ],1):INDEX(tblContractForDeed[Princ],ROW()-ROW(tblContractForDeed[#Headers])))</f>
        <v>146500</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39">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4" s="265">
        <f>IF(INDEX(tblContractForDeed[End Bal],ROW()-ROW(tblBuyerOutputs[#Headers]))&lt;=0,0,($O$6+IF(ROW()=ROW(tblBuyerOutputs[#Headers])+1,0,INDEX(tblBuyerOutputs[Cumul Appr],ROW()-ROW(tblBuyerOutputs[#Headers])-1)))*$O$2/12)</f>
        <v>0</v>
      </c>
      <c r="AE344" s="587">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61" t="str">
        <f t="shared" si="77"/>
        <v/>
      </c>
      <c r="B345" s="265">
        <f t="shared" si="78"/>
        <v>0</v>
      </c>
      <c r="C345" s="14">
        <f t="shared" si="75"/>
        <v>0</v>
      </c>
      <c r="D345" s="14">
        <f t="shared" si="79"/>
        <v>0</v>
      </c>
      <c r="E345" s="14">
        <f t="shared" si="76"/>
        <v>0</v>
      </c>
      <c r="F345" s="14">
        <f t="shared" si="74"/>
        <v>0</v>
      </c>
      <c r="G345" s="14">
        <f t="shared" si="74"/>
        <v>0</v>
      </c>
      <c r="H345" s="14">
        <f t="shared" si="73"/>
        <v>0</v>
      </c>
      <c r="I345" s="265">
        <f t="shared" si="82"/>
        <v>0</v>
      </c>
      <c r="J345" s="265">
        <f t="shared" si="83"/>
        <v>0</v>
      </c>
      <c r="K345" s="265">
        <f t="shared" si="80"/>
        <v>0</v>
      </c>
      <c r="L345" s="373">
        <f t="shared" si="71"/>
        <v>0</v>
      </c>
      <c r="M345" s="373">
        <f t="shared" si="81"/>
        <v>0</v>
      </c>
      <c r="N345" s="561"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Row],[Payment]]=0,0,$V$2)</f>
        <v>0</v>
      </c>
      <c r="U345" s="265">
        <f>IF(tblContractForDeed[[#This Row],[Princ]]=0,0,$V$3)</f>
        <v>0</v>
      </c>
      <c r="V345" s="265">
        <f>SUM(tblContractForDeed[[#This Row],[Princ]],tblContractForDeed[[#This Row],[Int]],tblContractForDeed[[#This Row],[Ins]],tblContractForDeed[[#This Row],[Taxes]])</f>
        <v>0</v>
      </c>
      <c r="W345" s="265">
        <f>SUM(INDEX(tblContractForDeed[Princ],1):INDEX(tblContractForDeed[Princ],ROW()-ROW(tblContractForDeed[#Headers])))</f>
        <v>146500</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39">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5" s="265">
        <f>IF(INDEX(tblContractForDeed[End Bal],ROW()-ROW(tblBuyerOutputs[#Headers]))&lt;=0,0,($O$6+IF(ROW()=ROW(tblBuyerOutputs[#Headers])+1,0,INDEX(tblBuyerOutputs[Cumul Appr],ROW()-ROW(tblBuyerOutputs[#Headers])-1)))*$O$2/12)</f>
        <v>0</v>
      </c>
      <c r="AE345" s="587">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61" t="str">
        <f t="shared" si="77"/>
        <v/>
      </c>
      <c r="B346" s="265">
        <f t="shared" si="78"/>
        <v>0</v>
      </c>
      <c r="C346" s="14">
        <f t="shared" si="75"/>
        <v>0</v>
      </c>
      <c r="D346" s="14">
        <f t="shared" si="79"/>
        <v>0</v>
      </c>
      <c r="E346" s="14">
        <f t="shared" si="76"/>
        <v>0</v>
      </c>
      <c r="F346" s="14">
        <f t="shared" si="74"/>
        <v>0</v>
      </c>
      <c r="G346" s="14">
        <f t="shared" si="74"/>
        <v>0</v>
      </c>
      <c r="H346" s="14">
        <f t="shared" si="73"/>
        <v>0</v>
      </c>
      <c r="I346" s="265">
        <f t="shared" si="82"/>
        <v>0</v>
      </c>
      <c r="J346" s="265">
        <f t="shared" si="83"/>
        <v>0</v>
      </c>
      <c r="K346" s="265">
        <f t="shared" si="80"/>
        <v>0</v>
      </c>
      <c r="L346" s="373">
        <f t="shared" si="71"/>
        <v>0</v>
      </c>
      <c r="M346" s="373">
        <f t="shared" si="81"/>
        <v>0</v>
      </c>
      <c r="N346" s="561"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Row],[Payment]]=0,0,$V$2)</f>
        <v>0</v>
      </c>
      <c r="U346" s="265">
        <f>IF(tblContractForDeed[[#This Row],[Princ]]=0,0,$V$3)</f>
        <v>0</v>
      </c>
      <c r="V346" s="265">
        <f>SUM(tblContractForDeed[[#This Row],[Princ]],tblContractForDeed[[#This Row],[Int]],tblContractForDeed[[#This Row],[Ins]],tblContractForDeed[[#This Row],[Taxes]])</f>
        <v>0</v>
      </c>
      <c r="W346" s="265">
        <f>SUM(INDEX(tblContractForDeed[Princ],1):INDEX(tblContractForDeed[Princ],ROW()-ROW(tblContractForDeed[#Headers])))</f>
        <v>146500</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39">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6" s="265">
        <f>IF(INDEX(tblContractForDeed[End Bal],ROW()-ROW(tblBuyerOutputs[#Headers]))&lt;=0,0,($O$6+IF(ROW()=ROW(tblBuyerOutputs[#Headers])+1,0,INDEX(tblBuyerOutputs[Cumul Appr],ROW()-ROW(tblBuyerOutputs[#Headers])-1)))*$O$2/12)</f>
        <v>0</v>
      </c>
      <c r="AE346" s="587">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61" t="str">
        <f t="shared" si="77"/>
        <v/>
      </c>
      <c r="B347" s="265">
        <f t="shared" si="78"/>
        <v>0</v>
      </c>
      <c r="C347" s="14">
        <f t="shared" si="75"/>
        <v>0</v>
      </c>
      <c r="D347" s="14">
        <f t="shared" si="79"/>
        <v>0</v>
      </c>
      <c r="E347" s="14">
        <f t="shared" si="76"/>
        <v>0</v>
      </c>
      <c r="F347" s="14">
        <f t="shared" si="74"/>
        <v>0</v>
      </c>
      <c r="G347" s="14">
        <f t="shared" si="74"/>
        <v>0</v>
      </c>
      <c r="H347" s="14">
        <f t="shared" si="73"/>
        <v>0</v>
      </c>
      <c r="I347" s="265">
        <f t="shared" si="82"/>
        <v>0</v>
      </c>
      <c r="J347" s="265">
        <f t="shared" si="83"/>
        <v>0</v>
      </c>
      <c r="K347" s="265">
        <f t="shared" si="80"/>
        <v>0</v>
      </c>
      <c r="L347" s="373">
        <f t="shared" si="71"/>
        <v>0</v>
      </c>
      <c r="M347" s="373">
        <f t="shared" si="81"/>
        <v>0</v>
      </c>
      <c r="N347" s="561"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Row],[Payment]]=0,0,$V$2)</f>
        <v>0</v>
      </c>
      <c r="U347" s="265">
        <f>IF(tblContractForDeed[[#This Row],[Princ]]=0,0,$V$3)</f>
        <v>0</v>
      </c>
      <c r="V347" s="265">
        <f>SUM(tblContractForDeed[[#This Row],[Princ]],tblContractForDeed[[#This Row],[Int]],tblContractForDeed[[#This Row],[Ins]],tblContractForDeed[[#This Row],[Taxes]])</f>
        <v>0</v>
      </c>
      <c r="W347" s="265">
        <f>SUM(INDEX(tblContractForDeed[Princ],1):INDEX(tblContractForDeed[Princ],ROW()-ROW(tblContractForDeed[#Headers])))</f>
        <v>146500</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39">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7" s="265">
        <f>IF(INDEX(tblContractForDeed[End Bal],ROW()-ROW(tblBuyerOutputs[#Headers]))&lt;=0,0,($O$6+IF(ROW()=ROW(tblBuyerOutputs[#Headers])+1,0,INDEX(tblBuyerOutputs[Cumul Appr],ROW()-ROW(tblBuyerOutputs[#Headers])-1)))*$O$2/12)</f>
        <v>0</v>
      </c>
      <c r="AE347" s="587">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61" t="str">
        <f t="shared" si="77"/>
        <v/>
      </c>
      <c r="B348" s="265">
        <f t="shared" si="78"/>
        <v>0</v>
      </c>
      <c r="C348" s="14">
        <f t="shared" si="75"/>
        <v>0</v>
      </c>
      <c r="D348" s="14">
        <f t="shared" si="79"/>
        <v>0</v>
      </c>
      <c r="E348" s="14">
        <f t="shared" si="76"/>
        <v>0</v>
      </c>
      <c r="F348" s="14">
        <f t="shared" si="74"/>
        <v>0</v>
      </c>
      <c r="G348" s="14">
        <f t="shared" si="74"/>
        <v>0</v>
      </c>
      <c r="H348" s="14">
        <f t="shared" si="73"/>
        <v>0</v>
      </c>
      <c r="I348" s="265">
        <f t="shared" si="82"/>
        <v>0</v>
      </c>
      <c r="J348" s="265">
        <f t="shared" si="83"/>
        <v>0</v>
      </c>
      <c r="K348" s="265">
        <f t="shared" si="80"/>
        <v>0</v>
      </c>
      <c r="L348" s="373">
        <f t="shared" si="71"/>
        <v>0</v>
      </c>
      <c r="M348" s="373">
        <f t="shared" si="81"/>
        <v>0</v>
      </c>
      <c r="N348" s="561"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Row],[Payment]]=0,0,$V$2)</f>
        <v>0</v>
      </c>
      <c r="U348" s="265">
        <f>IF(tblContractForDeed[[#This Row],[Princ]]=0,0,$V$3)</f>
        <v>0</v>
      </c>
      <c r="V348" s="265">
        <f>SUM(tblContractForDeed[[#This Row],[Princ]],tblContractForDeed[[#This Row],[Int]],tblContractForDeed[[#This Row],[Ins]],tblContractForDeed[[#This Row],[Taxes]])</f>
        <v>0</v>
      </c>
      <c r="W348" s="265">
        <f>SUM(INDEX(tblContractForDeed[Princ],1):INDEX(tblContractForDeed[Princ],ROW()-ROW(tblContractForDeed[#Headers])))</f>
        <v>146500</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39">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8" s="265">
        <f>IF(INDEX(tblContractForDeed[End Bal],ROW()-ROW(tblBuyerOutputs[#Headers]))&lt;=0,0,($O$6+IF(ROW()=ROW(tblBuyerOutputs[#Headers])+1,0,INDEX(tblBuyerOutputs[Cumul Appr],ROW()-ROW(tblBuyerOutputs[#Headers])-1)))*$O$2/12)</f>
        <v>0</v>
      </c>
      <c r="AE348" s="587">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61" t="str">
        <f t="shared" si="77"/>
        <v/>
      </c>
      <c r="B349" s="265">
        <f t="shared" si="78"/>
        <v>0</v>
      </c>
      <c r="C349" s="14">
        <f t="shared" si="75"/>
        <v>0</v>
      </c>
      <c r="D349" s="14">
        <f t="shared" si="79"/>
        <v>0</v>
      </c>
      <c r="E349" s="14">
        <f t="shared" si="76"/>
        <v>0</v>
      </c>
      <c r="F349" s="14">
        <f t="shared" si="74"/>
        <v>0</v>
      </c>
      <c r="G349" s="14">
        <f t="shared" si="74"/>
        <v>0</v>
      </c>
      <c r="H349" s="14">
        <f t="shared" si="73"/>
        <v>0</v>
      </c>
      <c r="I349" s="265">
        <f t="shared" si="82"/>
        <v>0</v>
      </c>
      <c r="J349" s="265">
        <f t="shared" si="83"/>
        <v>0</v>
      </c>
      <c r="K349" s="265">
        <f t="shared" si="80"/>
        <v>0</v>
      </c>
      <c r="L349" s="373">
        <f t="shared" si="71"/>
        <v>0</v>
      </c>
      <c r="M349" s="373">
        <f t="shared" si="81"/>
        <v>0</v>
      </c>
      <c r="N349" s="561"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Row],[Payment]]=0,0,$V$2)</f>
        <v>0</v>
      </c>
      <c r="U349" s="265">
        <f>IF(tblContractForDeed[[#This Row],[Princ]]=0,0,$V$3)</f>
        <v>0</v>
      </c>
      <c r="V349" s="265">
        <f>SUM(tblContractForDeed[[#This Row],[Princ]],tblContractForDeed[[#This Row],[Int]],tblContractForDeed[[#This Row],[Ins]],tblContractForDeed[[#This Row],[Taxes]])</f>
        <v>0</v>
      </c>
      <c r="W349" s="265">
        <f>SUM(INDEX(tblContractForDeed[Princ],1):INDEX(tblContractForDeed[Princ],ROW()-ROW(tblContractForDeed[#Headers])))</f>
        <v>146500</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39">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9" s="265">
        <f>IF(INDEX(tblContractForDeed[End Bal],ROW()-ROW(tblBuyerOutputs[#Headers]))&lt;=0,0,($O$6+IF(ROW()=ROW(tblBuyerOutputs[#Headers])+1,0,INDEX(tblBuyerOutputs[Cumul Appr],ROW()-ROW(tblBuyerOutputs[#Headers])-1)))*$O$2/12)</f>
        <v>0</v>
      </c>
      <c r="AE349" s="587">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61" t="str">
        <f t="shared" si="77"/>
        <v/>
      </c>
      <c r="B350" s="265">
        <f t="shared" si="78"/>
        <v>0</v>
      </c>
      <c r="C350" s="14">
        <f t="shared" si="75"/>
        <v>0</v>
      </c>
      <c r="D350" s="14">
        <f t="shared" si="79"/>
        <v>0</v>
      </c>
      <c r="E350" s="14">
        <f t="shared" si="76"/>
        <v>0</v>
      </c>
      <c r="F350" s="14">
        <f t="shared" si="74"/>
        <v>0</v>
      </c>
      <c r="G350" s="14">
        <f t="shared" si="74"/>
        <v>0</v>
      </c>
      <c r="H350" s="14">
        <f t="shared" si="73"/>
        <v>0</v>
      </c>
      <c r="I350" s="265">
        <f t="shared" si="82"/>
        <v>0</v>
      </c>
      <c r="J350" s="265">
        <f t="shared" si="83"/>
        <v>0</v>
      </c>
      <c r="K350" s="265">
        <f t="shared" si="80"/>
        <v>0</v>
      </c>
      <c r="L350" s="373">
        <f t="shared" si="71"/>
        <v>0</v>
      </c>
      <c r="M350" s="373">
        <f t="shared" si="81"/>
        <v>0</v>
      </c>
      <c r="N350" s="561"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Row],[Payment]]=0,0,$V$2)</f>
        <v>0</v>
      </c>
      <c r="U350" s="265">
        <f>IF(tblContractForDeed[[#This Row],[Princ]]=0,0,$V$3)</f>
        <v>0</v>
      </c>
      <c r="V350" s="265">
        <f>SUM(tblContractForDeed[[#This Row],[Princ]],tblContractForDeed[[#This Row],[Int]],tblContractForDeed[[#This Row],[Ins]],tblContractForDeed[[#This Row],[Taxes]])</f>
        <v>0</v>
      </c>
      <c r="W350" s="265">
        <f>SUM(INDEX(tblContractForDeed[Princ],1):INDEX(tblContractForDeed[Princ],ROW()-ROW(tblContractForDeed[#Headers])))</f>
        <v>146500</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39">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0" s="265">
        <f>IF(INDEX(tblContractForDeed[End Bal],ROW()-ROW(tblBuyerOutputs[#Headers]))&lt;=0,0,($O$6+IF(ROW()=ROW(tblBuyerOutputs[#Headers])+1,0,INDEX(tblBuyerOutputs[Cumul Appr],ROW()-ROW(tblBuyerOutputs[#Headers])-1)))*$O$2/12)</f>
        <v>0</v>
      </c>
      <c r="AE350" s="587">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61" t="str">
        <f t="shared" si="77"/>
        <v/>
      </c>
      <c r="B351" s="265">
        <f t="shared" si="78"/>
        <v>0</v>
      </c>
      <c r="C351" s="14">
        <f t="shared" si="75"/>
        <v>0</v>
      </c>
      <c r="D351" s="14">
        <f t="shared" si="79"/>
        <v>0</v>
      </c>
      <c r="E351" s="14">
        <f t="shared" si="76"/>
        <v>0</v>
      </c>
      <c r="F351" s="14">
        <f t="shared" ref="F351:G366" si="84">+F350</f>
        <v>0</v>
      </c>
      <c r="G351" s="14">
        <f t="shared" si="84"/>
        <v>0</v>
      </c>
      <c r="H351" s="14">
        <f t="shared" si="73"/>
        <v>0</v>
      </c>
      <c r="I351" s="265">
        <f t="shared" si="82"/>
        <v>0</v>
      </c>
      <c r="J351" s="265">
        <f t="shared" si="83"/>
        <v>0</v>
      </c>
      <c r="K351" s="265">
        <f t="shared" si="80"/>
        <v>0</v>
      </c>
      <c r="L351" s="373">
        <f t="shared" si="71"/>
        <v>0</v>
      </c>
      <c r="M351" s="373">
        <f t="shared" si="81"/>
        <v>0</v>
      </c>
      <c r="N351" s="561"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Row],[Payment]]=0,0,$V$2)</f>
        <v>0</v>
      </c>
      <c r="U351" s="265">
        <f>IF(tblContractForDeed[[#This Row],[Princ]]=0,0,$V$3)</f>
        <v>0</v>
      </c>
      <c r="V351" s="265">
        <f>SUM(tblContractForDeed[[#This Row],[Princ]],tblContractForDeed[[#This Row],[Int]],tblContractForDeed[[#This Row],[Ins]],tblContractForDeed[[#This Row],[Taxes]])</f>
        <v>0</v>
      </c>
      <c r="W351" s="265">
        <f>SUM(INDEX(tblContractForDeed[Princ],1):INDEX(tblContractForDeed[Princ],ROW()-ROW(tblContractForDeed[#Headers])))</f>
        <v>146500</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39">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1" s="265">
        <f>IF(INDEX(tblContractForDeed[End Bal],ROW()-ROW(tblBuyerOutputs[#Headers]))&lt;=0,0,($O$6+IF(ROW()=ROW(tblBuyerOutputs[#Headers])+1,0,INDEX(tblBuyerOutputs[Cumul Appr],ROW()-ROW(tblBuyerOutputs[#Headers])-1)))*$O$2/12)</f>
        <v>0</v>
      </c>
      <c r="AE351" s="587">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61" t="str">
        <f t="shared" si="77"/>
        <v/>
      </c>
      <c r="B352" s="265">
        <f t="shared" si="78"/>
        <v>0</v>
      </c>
      <c r="C352" s="14">
        <f t="shared" si="75"/>
        <v>0</v>
      </c>
      <c r="D352" s="14">
        <f t="shared" si="79"/>
        <v>0</v>
      </c>
      <c r="E352" s="14">
        <f t="shared" si="76"/>
        <v>0</v>
      </c>
      <c r="F352" s="14">
        <f t="shared" si="84"/>
        <v>0</v>
      </c>
      <c r="G352" s="14">
        <f t="shared" si="84"/>
        <v>0</v>
      </c>
      <c r="H352" s="14">
        <f t="shared" si="73"/>
        <v>0</v>
      </c>
      <c r="I352" s="265">
        <f t="shared" si="82"/>
        <v>0</v>
      </c>
      <c r="J352" s="265">
        <f t="shared" si="83"/>
        <v>0</v>
      </c>
      <c r="K352" s="265">
        <f t="shared" si="80"/>
        <v>0</v>
      </c>
      <c r="L352" s="373">
        <f t="shared" si="71"/>
        <v>0</v>
      </c>
      <c r="M352" s="373">
        <f t="shared" si="81"/>
        <v>0</v>
      </c>
      <c r="N352" s="561"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Row],[Payment]]=0,0,$V$2)</f>
        <v>0</v>
      </c>
      <c r="U352" s="265">
        <f>IF(tblContractForDeed[[#This Row],[Princ]]=0,0,$V$3)</f>
        <v>0</v>
      </c>
      <c r="V352" s="265">
        <f>SUM(tblContractForDeed[[#This Row],[Princ]],tblContractForDeed[[#This Row],[Int]],tblContractForDeed[[#This Row],[Ins]],tblContractForDeed[[#This Row],[Taxes]])</f>
        <v>0</v>
      </c>
      <c r="W352" s="265">
        <f>SUM(INDEX(tblContractForDeed[Princ],1):INDEX(tblContractForDeed[Princ],ROW()-ROW(tblContractForDeed[#Headers])))</f>
        <v>146500</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39">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2" s="265">
        <f>IF(INDEX(tblContractForDeed[End Bal],ROW()-ROW(tblBuyerOutputs[#Headers]))&lt;=0,0,($O$6+IF(ROW()=ROW(tblBuyerOutputs[#Headers])+1,0,INDEX(tblBuyerOutputs[Cumul Appr],ROW()-ROW(tblBuyerOutputs[#Headers])-1)))*$O$2/12)</f>
        <v>0</v>
      </c>
      <c r="AE352" s="587">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61" t="str">
        <f t="shared" si="77"/>
        <v/>
      </c>
      <c r="B353" s="265">
        <f t="shared" si="78"/>
        <v>0</v>
      </c>
      <c r="C353" s="14">
        <f t="shared" si="75"/>
        <v>0</v>
      </c>
      <c r="D353" s="14">
        <f t="shared" si="79"/>
        <v>0</v>
      </c>
      <c r="E353" s="14">
        <f t="shared" si="76"/>
        <v>0</v>
      </c>
      <c r="F353" s="14">
        <f t="shared" si="84"/>
        <v>0</v>
      </c>
      <c r="G353" s="14">
        <f t="shared" si="84"/>
        <v>0</v>
      </c>
      <c r="H353" s="14">
        <f t="shared" si="73"/>
        <v>0</v>
      </c>
      <c r="I353" s="265">
        <f t="shared" si="82"/>
        <v>0</v>
      </c>
      <c r="J353" s="265">
        <f t="shared" si="83"/>
        <v>0</v>
      </c>
      <c r="K353" s="265">
        <f t="shared" si="80"/>
        <v>0</v>
      </c>
      <c r="L353" s="373">
        <f t="shared" si="71"/>
        <v>0</v>
      </c>
      <c r="M353" s="373">
        <f t="shared" si="81"/>
        <v>0</v>
      </c>
      <c r="N353" s="561"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Row],[Payment]]=0,0,$V$2)</f>
        <v>0</v>
      </c>
      <c r="U353" s="265">
        <f>IF(tblContractForDeed[[#This Row],[Princ]]=0,0,$V$3)</f>
        <v>0</v>
      </c>
      <c r="V353" s="265">
        <f>SUM(tblContractForDeed[[#This Row],[Princ]],tblContractForDeed[[#This Row],[Int]],tblContractForDeed[[#This Row],[Ins]],tblContractForDeed[[#This Row],[Taxes]])</f>
        <v>0</v>
      </c>
      <c r="W353" s="265">
        <f>SUM(INDEX(tblContractForDeed[Princ],1):INDEX(tblContractForDeed[Princ],ROW()-ROW(tblContractForDeed[#Headers])))</f>
        <v>146500</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39">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3" s="265">
        <f>IF(INDEX(tblContractForDeed[End Bal],ROW()-ROW(tblBuyerOutputs[#Headers]))&lt;=0,0,($O$6+IF(ROW()=ROW(tblBuyerOutputs[#Headers])+1,0,INDEX(tblBuyerOutputs[Cumul Appr],ROW()-ROW(tblBuyerOutputs[#Headers])-1)))*$O$2/12)</f>
        <v>0</v>
      </c>
      <c r="AE353" s="587">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61" t="str">
        <f t="shared" si="77"/>
        <v/>
      </c>
      <c r="B354" s="265">
        <f t="shared" si="78"/>
        <v>0</v>
      </c>
      <c r="C354" s="14">
        <f t="shared" si="75"/>
        <v>0</v>
      </c>
      <c r="D354" s="14">
        <f t="shared" si="79"/>
        <v>0</v>
      </c>
      <c r="E354" s="14">
        <f t="shared" si="76"/>
        <v>0</v>
      </c>
      <c r="F354" s="14">
        <f t="shared" si="84"/>
        <v>0</v>
      </c>
      <c r="G354" s="14">
        <f t="shared" si="84"/>
        <v>0</v>
      </c>
      <c r="H354" s="14">
        <f t="shared" si="73"/>
        <v>0</v>
      </c>
      <c r="I354" s="265">
        <f t="shared" si="82"/>
        <v>0</v>
      </c>
      <c r="J354" s="265">
        <f t="shared" si="83"/>
        <v>0</v>
      </c>
      <c r="K354" s="265">
        <f t="shared" si="80"/>
        <v>0</v>
      </c>
      <c r="L354" s="373">
        <f t="shared" si="71"/>
        <v>0</v>
      </c>
      <c r="M354" s="373">
        <f t="shared" si="81"/>
        <v>0</v>
      </c>
      <c r="N354" s="561"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Row],[Payment]]=0,0,$V$2)</f>
        <v>0</v>
      </c>
      <c r="U354" s="265">
        <f>IF(tblContractForDeed[[#This Row],[Princ]]=0,0,$V$3)</f>
        <v>0</v>
      </c>
      <c r="V354" s="265">
        <f>SUM(tblContractForDeed[[#This Row],[Princ]],tblContractForDeed[[#This Row],[Int]],tblContractForDeed[[#This Row],[Ins]],tblContractForDeed[[#This Row],[Taxes]])</f>
        <v>0</v>
      </c>
      <c r="W354" s="265">
        <f>SUM(INDEX(tblContractForDeed[Princ],1):INDEX(tblContractForDeed[Princ],ROW()-ROW(tblContractForDeed[#Headers])))</f>
        <v>146500</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39">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4" s="265">
        <f>IF(INDEX(tblContractForDeed[End Bal],ROW()-ROW(tblBuyerOutputs[#Headers]))&lt;=0,0,($O$6+IF(ROW()=ROW(tblBuyerOutputs[#Headers])+1,0,INDEX(tblBuyerOutputs[Cumul Appr],ROW()-ROW(tblBuyerOutputs[#Headers])-1)))*$O$2/12)</f>
        <v>0</v>
      </c>
      <c r="AE354" s="587">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62" t="str">
        <f t="shared" si="77"/>
        <v/>
      </c>
      <c r="B355" s="316">
        <f t="shared" si="78"/>
        <v>0</v>
      </c>
      <c r="C355" s="21">
        <f t="shared" si="75"/>
        <v>0</v>
      </c>
      <c r="D355" s="21">
        <f t="shared" si="79"/>
        <v>0</v>
      </c>
      <c r="E355" s="21">
        <f t="shared" si="76"/>
        <v>0</v>
      </c>
      <c r="F355" s="21">
        <f t="shared" si="84"/>
        <v>0</v>
      </c>
      <c r="G355" s="21">
        <f t="shared" si="84"/>
        <v>0</v>
      </c>
      <c r="H355" s="21">
        <f t="shared" si="73"/>
        <v>0</v>
      </c>
      <c r="I355" s="316">
        <f t="shared" si="82"/>
        <v>0</v>
      </c>
      <c r="J355" s="316">
        <f t="shared" si="83"/>
        <v>0</v>
      </c>
      <c r="K355" s="316">
        <f t="shared" si="80"/>
        <v>0</v>
      </c>
      <c r="L355" s="374">
        <f t="shared" si="71"/>
        <v>0</v>
      </c>
      <c r="M355" s="374">
        <f t="shared" si="81"/>
        <v>0</v>
      </c>
      <c r="N355" s="562" t="str">
        <f>INDEX(tblSubjectToLoan[Date],ROW()-ROW(tblContractForDeed[#Headers]))</f>
        <v/>
      </c>
      <c r="O355" s="316">
        <f>IF(ROW()=ROW(tblContractForDeed[#Headers])+1,$O$6,IF(INDEX(tblContractForDeed[End Bal],ROW()-ROW(tblContractForDeed[#Headers])-1)&lt;0,0,INDEX(tblContractForDeed[End Bal],ROW()-ROW(tblContractForDeed[#Headers])-1)))</f>
        <v>0</v>
      </c>
      <c r="P355" s="585"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Row],[Payment]]=0,0,$V$2)</f>
        <v>0</v>
      </c>
      <c r="U355" s="316">
        <f>IF(tblContractForDeed[[#This Row],[Princ]]=0,0,$V$3)</f>
        <v>0</v>
      </c>
      <c r="V355" s="316">
        <f>SUM(tblContractForDeed[[#This Row],[Princ]],tblContractForDeed[[#This Row],[Int]],tblContractForDeed[[#This Row],[Ins]],tblContractForDeed[[#This Row],[Taxes]])</f>
        <v>0</v>
      </c>
      <c r="W355" s="316">
        <f>SUM(INDEX(tblContractForDeed[Princ],1):INDEX(tblContractForDeed[Princ],ROW()-ROW(tblContractForDeed[#Headers])))</f>
        <v>146500</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0">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5" s="316">
        <f>IF(INDEX(tblContractForDeed[End Bal],ROW()-ROW(tblBuyerOutputs[#Headers]))&lt;=0,0,($O$6+IF(ROW()=ROW(tblBuyerOutputs[#Headers])+1,0,INDEX(tblBuyerOutputs[Cumul Appr],ROW()-ROW(tblBuyerOutputs[#Headers])-1)))*$O$2/12)</f>
        <v>0</v>
      </c>
      <c r="AE355" s="588">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61" t="str">
        <f t="shared" si="77"/>
        <v/>
      </c>
      <c r="B356" s="265">
        <f t="shared" si="78"/>
        <v>0</v>
      </c>
      <c r="C356" s="14">
        <f t="shared" si="75"/>
        <v>0</v>
      </c>
      <c r="D356" s="14">
        <f t="shared" si="79"/>
        <v>0</v>
      </c>
      <c r="E356" s="14">
        <f t="shared" si="76"/>
        <v>0</v>
      </c>
      <c r="F356" s="14">
        <f t="shared" si="84"/>
        <v>0</v>
      </c>
      <c r="G356" s="14">
        <f t="shared" si="84"/>
        <v>0</v>
      </c>
      <c r="H356" s="14">
        <f t="shared" si="73"/>
        <v>0</v>
      </c>
      <c r="I356" s="265">
        <f t="shared" si="82"/>
        <v>0</v>
      </c>
      <c r="J356" s="265">
        <f t="shared" si="83"/>
        <v>0</v>
      </c>
      <c r="K356" s="265">
        <f t="shared" si="80"/>
        <v>0</v>
      </c>
      <c r="L356" s="373">
        <f t="shared" si="71"/>
        <v>0</v>
      </c>
      <c r="M356" s="373">
        <f t="shared" si="81"/>
        <v>0</v>
      </c>
      <c r="N356" s="561"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Row],[Payment]]=0,0,$V$2)</f>
        <v>0</v>
      </c>
      <c r="U356" s="265">
        <f>IF(tblContractForDeed[[#This Row],[Princ]]=0,0,$V$3)</f>
        <v>0</v>
      </c>
      <c r="V356" s="265">
        <f>SUM(tblContractForDeed[[#This Row],[Princ]],tblContractForDeed[[#This Row],[Int]],tblContractForDeed[[#This Row],[Ins]],tblContractForDeed[[#This Row],[Taxes]])</f>
        <v>0</v>
      </c>
      <c r="W356" s="265">
        <f>SUM(INDEX(tblContractForDeed[Princ],1):INDEX(tblContractForDeed[Princ],ROW()-ROW(tblContractForDeed[#Headers])))</f>
        <v>146500</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39">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6" s="265">
        <f>IF(INDEX(tblContractForDeed[End Bal],ROW()-ROW(tblBuyerOutputs[#Headers]))&lt;=0,0,($O$6+IF(ROW()=ROW(tblBuyerOutputs[#Headers])+1,0,INDEX(tblBuyerOutputs[Cumul Appr],ROW()-ROW(tblBuyerOutputs[#Headers])-1)))*$O$2/12)</f>
        <v>0</v>
      </c>
      <c r="AE356" s="587">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61" t="str">
        <f t="shared" si="77"/>
        <v/>
      </c>
      <c r="B357" s="265">
        <f t="shared" si="78"/>
        <v>0</v>
      </c>
      <c r="C357" s="14">
        <f t="shared" si="75"/>
        <v>0</v>
      </c>
      <c r="D357" s="14">
        <f t="shared" si="79"/>
        <v>0</v>
      </c>
      <c r="E357" s="14">
        <f t="shared" si="76"/>
        <v>0</v>
      </c>
      <c r="F357" s="14">
        <f t="shared" si="84"/>
        <v>0</v>
      </c>
      <c r="G357" s="14">
        <f t="shared" si="84"/>
        <v>0</v>
      </c>
      <c r="H357" s="14">
        <f t="shared" si="73"/>
        <v>0</v>
      </c>
      <c r="I357" s="265">
        <f t="shared" si="82"/>
        <v>0</v>
      </c>
      <c r="J357" s="265">
        <f t="shared" si="83"/>
        <v>0</v>
      </c>
      <c r="K357" s="265">
        <f t="shared" si="80"/>
        <v>0</v>
      </c>
      <c r="L357" s="373">
        <f t="shared" si="71"/>
        <v>0</v>
      </c>
      <c r="M357" s="373">
        <f t="shared" si="81"/>
        <v>0</v>
      </c>
      <c r="N357" s="561"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Row],[Payment]]=0,0,$V$2)</f>
        <v>0</v>
      </c>
      <c r="U357" s="265">
        <f>IF(tblContractForDeed[[#This Row],[Princ]]=0,0,$V$3)</f>
        <v>0</v>
      </c>
      <c r="V357" s="265">
        <f>SUM(tblContractForDeed[[#This Row],[Princ]],tblContractForDeed[[#This Row],[Int]],tblContractForDeed[[#This Row],[Ins]],tblContractForDeed[[#This Row],[Taxes]])</f>
        <v>0</v>
      </c>
      <c r="W357" s="265">
        <f>SUM(INDEX(tblContractForDeed[Princ],1):INDEX(tblContractForDeed[Princ],ROW()-ROW(tblContractForDeed[#Headers])))</f>
        <v>146500</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39">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7" s="265">
        <f>IF(INDEX(tblContractForDeed[End Bal],ROW()-ROW(tblBuyerOutputs[#Headers]))&lt;=0,0,($O$6+IF(ROW()=ROW(tblBuyerOutputs[#Headers])+1,0,INDEX(tblBuyerOutputs[Cumul Appr],ROW()-ROW(tblBuyerOutputs[#Headers])-1)))*$O$2/12)</f>
        <v>0</v>
      </c>
      <c r="AE357" s="587">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61" t="str">
        <f t="shared" si="77"/>
        <v/>
      </c>
      <c r="B358" s="265">
        <f t="shared" si="78"/>
        <v>0</v>
      </c>
      <c r="C358" s="14">
        <f t="shared" si="75"/>
        <v>0</v>
      </c>
      <c r="D358" s="14">
        <f t="shared" si="79"/>
        <v>0</v>
      </c>
      <c r="E358" s="14">
        <f t="shared" si="76"/>
        <v>0</v>
      </c>
      <c r="F358" s="14">
        <f t="shared" si="84"/>
        <v>0</v>
      </c>
      <c r="G358" s="14">
        <f t="shared" si="84"/>
        <v>0</v>
      </c>
      <c r="H358" s="14">
        <f t="shared" si="73"/>
        <v>0</v>
      </c>
      <c r="I358" s="265">
        <f t="shared" si="82"/>
        <v>0</v>
      </c>
      <c r="J358" s="265">
        <f t="shared" si="83"/>
        <v>0</v>
      </c>
      <c r="K358" s="265">
        <f t="shared" si="80"/>
        <v>0</v>
      </c>
      <c r="L358" s="373">
        <f t="shared" si="71"/>
        <v>0</v>
      </c>
      <c r="M358" s="373">
        <f t="shared" si="81"/>
        <v>0</v>
      </c>
      <c r="N358" s="561"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Row],[Payment]]=0,0,$V$2)</f>
        <v>0</v>
      </c>
      <c r="U358" s="265">
        <f>IF(tblContractForDeed[[#This Row],[Princ]]=0,0,$V$3)</f>
        <v>0</v>
      </c>
      <c r="V358" s="265">
        <f>SUM(tblContractForDeed[[#This Row],[Princ]],tblContractForDeed[[#This Row],[Int]],tblContractForDeed[[#This Row],[Ins]],tblContractForDeed[[#This Row],[Taxes]])</f>
        <v>0</v>
      </c>
      <c r="W358" s="265">
        <f>SUM(INDEX(tblContractForDeed[Princ],1):INDEX(tblContractForDeed[Princ],ROW()-ROW(tblContractForDeed[#Headers])))</f>
        <v>146500</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39">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8" s="265">
        <f>IF(INDEX(tblContractForDeed[End Bal],ROW()-ROW(tblBuyerOutputs[#Headers]))&lt;=0,0,($O$6+IF(ROW()=ROW(tblBuyerOutputs[#Headers])+1,0,INDEX(tblBuyerOutputs[Cumul Appr],ROW()-ROW(tblBuyerOutputs[#Headers])-1)))*$O$2/12)</f>
        <v>0</v>
      </c>
      <c r="AE358" s="587">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61" t="str">
        <f t="shared" si="77"/>
        <v/>
      </c>
      <c r="B359" s="265">
        <f t="shared" si="78"/>
        <v>0</v>
      </c>
      <c r="C359" s="14">
        <f t="shared" si="75"/>
        <v>0</v>
      </c>
      <c r="D359" s="14">
        <f t="shared" si="79"/>
        <v>0</v>
      </c>
      <c r="E359" s="14">
        <f t="shared" si="76"/>
        <v>0</v>
      </c>
      <c r="F359" s="14">
        <f t="shared" si="84"/>
        <v>0</v>
      </c>
      <c r="G359" s="14">
        <f t="shared" si="84"/>
        <v>0</v>
      </c>
      <c r="H359" s="14">
        <f t="shared" si="73"/>
        <v>0</v>
      </c>
      <c r="I359" s="265">
        <f t="shared" si="82"/>
        <v>0</v>
      </c>
      <c r="J359" s="265">
        <f t="shared" si="83"/>
        <v>0</v>
      </c>
      <c r="K359" s="265">
        <f t="shared" si="80"/>
        <v>0</v>
      </c>
      <c r="L359" s="373">
        <f t="shared" si="71"/>
        <v>0</v>
      </c>
      <c r="M359" s="373">
        <f t="shared" si="81"/>
        <v>0</v>
      </c>
      <c r="N359" s="561"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Row],[Payment]]=0,0,$V$2)</f>
        <v>0</v>
      </c>
      <c r="U359" s="265">
        <f>IF(tblContractForDeed[[#This Row],[Princ]]=0,0,$V$3)</f>
        <v>0</v>
      </c>
      <c r="V359" s="265">
        <f>SUM(tblContractForDeed[[#This Row],[Princ]],tblContractForDeed[[#This Row],[Int]],tblContractForDeed[[#This Row],[Ins]],tblContractForDeed[[#This Row],[Taxes]])</f>
        <v>0</v>
      </c>
      <c r="W359" s="265">
        <f>SUM(INDEX(tblContractForDeed[Princ],1):INDEX(tblContractForDeed[Princ],ROW()-ROW(tblContractForDeed[#Headers])))</f>
        <v>146500</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39">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9" s="265">
        <f>IF(INDEX(tblContractForDeed[End Bal],ROW()-ROW(tblBuyerOutputs[#Headers]))&lt;=0,0,($O$6+IF(ROW()=ROW(tblBuyerOutputs[#Headers])+1,0,INDEX(tblBuyerOutputs[Cumul Appr],ROW()-ROW(tblBuyerOutputs[#Headers])-1)))*$O$2/12)</f>
        <v>0</v>
      </c>
      <c r="AE359" s="587">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61" t="str">
        <f t="shared" si="77"/>
        <v/>
      </c>
      <c r="B360" s="265">
        <f t="shared" si="78"/>
        <v>0</v>
      </c>
      <c r="C360" s="14">
        <f t="shared" si="75"/>
        <v>0</v>
      </c>
      <c r="D360" s="14">
        <f t="shared" si="79"/>
        <v>0</v>
      </c>
      <c r="E360" s="14">
        <f t="shared" si="76"/>
        <v>0</v>
      </c>
      <c r="F360" s="14">
        <f t="shared" si="84"/>
        <v>0</v>
      </c>
      <c r="G360" s="14">
        <f t="shared" si="84"/>
        <v>0</v>
      </c>
      <c r="H360" s="14">
        <f t="shared" si="73"/>
        <v>0</v>
      </c>
      <c r="I360" s="265">
        <f t="shared" si="82"/>
        <v>0</v>
      </c>
      <c r="J360" s="265">
        <f t="shared" si="83"/>
        <v>0</v>
      </c>
      <c r="K360" s="265">
        <f t="shared" si="80"/>
        <v>0</v>
      </c>
      <c r="L360" s="373">
        <f t="shared" si="71"/>
        <v>0</v>
      </c>
      <c r="M360" s="373">
        <f t="shared" si="81"/>
        <v>0</v>
      </c>
      <c r="N360" s="561"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Row],[Payment]]=0,0,$V$2)</f>
        <v>0</v>
      </c>
      <c r="U360" s="265">
        <f>IF(tblContractForDeed[[#This Row],[Princ]]=0,0,$V$3)</f>
        <v>0</v>
      </c>
      <c r="V360" s="265">
        <f>SUM(tblContractForDeed[[#This Row],[Princ]],tblContractForDeed[[#This Row],[Int]],tblContractForDeed[[#This Row],[Ins]],tblContractForDeed[[#This Row],[Taxes]])</f>
        <v>0</v>
      </c>
      <c r="W360" s="265">
        <f>SUM(INDEX(tblContractForDeed[Princ],1):INDEX(tblContractForDeed[Princ],ROW()-ROW(tblContractForDeed[#Headers])))</f>
        <v>146500</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39">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0" s="265">
        <f>IF(INDEX(tblContractForDeed[End Bal],ROW()-ROW(tblBuyerOutputs[#Headers]))&lt;=0,0,($O$6+IF(ROW()=ROW(tblBuyerOutputs[#Headers])+1,0,INDEX(tblBuyerOutputs[Cumul Appr],ROW()-ROW(tblBuyerOutputs[#Headers])-1)))*$O$2/12)</f>
        <v>0</v>
      </c>
      <c r="AE360" s="587">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61" t="str">
        <f t="shared" si="77"/>
        <v/>
      </c>
      <c r="B361" s="265">
        <f t="shared" si="78"/>
        <v>0</v>
      </c>
      <c r="C361" s="14">
        <f t="shared" si="75"/>
        <v>0</v>
      </c>
      <c r="D361" s="14">
        <f t="shared" si="79"/>
        <v>0</v>
      </c>
      <c r="E361" s="14">
        <f t="shared" si="76"/>
        <v>0</v>
      </c>
      <c r="F361" s="14">
        <f t="shared" si="84"/>
        <v>0</v>
      </c>
      <c r="G361" s="14">
        <f t="shared" si="84"/>
        <v>0</v>
      </c>
      <c r="H361" s="14">
        <f t="shared" si="73"/>
        <v>0</v>
      </c>
      <c r="I361" s="265">
        <f t="shared" si="82"/>
        <v>0</v>
      </c>
      <c r="J361" s="265">
        <f t="shared" si="83"/>
        <v>0</v>
      </c>
      <c r="K361" s="265">
        <f t="shared" si="80"/>
        <v>0</v>
      </c>
      <c r="L361" s="373">
        <f t="shared" si="71"/>
        <v>0</v>
      </c>
      <c r="M361" s="373">
        <f t="shared" si="81"/>
        <v>0</v>
      </c>
      <c r="N361" s="561"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Row],[Payment]]=0,0,$V$2)</f>
        <v>0</v>
      </c>
      <c r="U361" s="265">
        <f>IF(tblContractForDeed[[#This Row],[Princ]]=0,0,$V$3)</f>
        <v>0</v>
      </c>
      <c r="V361" s="265">
        <f>SUM(tblContractForDeed[[#This Row],[Princ]],tblContractForDeed[[#This Row],[Int]],tblContractForDeed[[#This Row],[Ins]],tblContractForDeed[[#This Row],[Taxes]])</f>
        <v>0</v>
      </c>
      <c r="W361" s="265">
        <f>SUM(INDEX(tblContractForDeed[Princ],1):INDEX(tblContractForDeed[Princ],ROW()-ROW(tblContractForDeed[#Headers])))</f>
        <v>146500</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39">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1" s="265">
        <f>IF(INDEX(tblContractForDeed[End Bal],ROW()-ROW(tblBuyerOutputs[#Headers]))&lt;=0,0,($O$6+IF(ROW()=ROW(tblBuyerOutputs[#Headers])+1,0,INDEX(tblBuyerOutputs[Cumul Appr],ROW()-ROW(tblBuyerOutputs[#Headers])-1)))*$O$2/12)</f>
        <v>0</v>
      </c>
      <c r="AE361" s="587">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61" t="str">
        <f t="shared" si="77"/>
        <v/>
      </c>
      <c r="B362" s="265">
        <f t="shared" si="78"/>
        <v>0</v>
      </c>
      <c r="C362" s="14">
        <f t="shared" si="75"/>
        <v>0</v>
      </c>
      <c r="D362" s="14">
        <f t="shared" si="79"/>
        <v>0</v>
      </c>
      <c r="E362" s="14">
        <f t="shared" si="76"/>
        <v>0</v>
      </c>
      <c r="F362" s="14">
        <f t="shared" si="84"/>
        <v>0</v>
      </c>
      <c r="G362" s="14">
        <f t="shared" si="84"/>
        <v>0</v>
      </c>
      <c r="H362" s="14">
        <f t="shared" si="73"/>
        <v>0</v>
      </c>
      <c r="I362" s="265">
        <f t="shared" si="82"/>
        <v>0</v>
      </c>
      <c r="J362" s="265">
        <f t="shared" si="83"/>
        <v>0</v>
      </c>
      <c r="K362" s="265">
        <f t="shared" si="80"/>
        <v>0</v>
      </c>
      <c r="L362" s="373">
        <f t="shared" si="71"/>
        <v>0</v>
      </c>
      <c r="M362" s="373">
        <f t="shared" si="81"/>
        <v>0</v>
      </c>
      <c r="N362" s="561"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Row],[Payment]]=0,0,$V$2)</f>
        <v>0</v>
      </c>
      <c r="U362" s="265">
        <f>IF(tblContractForDeed[[#This Row],[Princ]]=0,0,$V$3)</f>
        <v>0</v>
      </c>
      <c r="V362" s="265">
        <f>SUM(tblContractForDeed[[#This Row],[Princ]],tblContractForDeed[[#This Row],[Int]],tblContractForDeed[[#This Row],[Ins]],tblContractForDeed[[#This Row],[Taxes]])</f>
        <v>0</v>
      </c>
      <c r="W362" s="265">
        <f>SUM(INDEX(tblContractForDeed[Princ],1):INDEX(tblContractForDeed[Princ],ROW()-ROW(tblContractForDeed[#Headers])))</f>
        <v>146500</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39">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2" s="265">
        <f>IF(INDEX(tblContractForDeed[End Bal],ROW()-ROW(tblBuyerOutputs[#Headers]))&lt;=0,0,($O$6+IF(ROW()=ROW(tblBuyerOutputs[#Headers])+1,0,INDEX(tblBuyerOutputs[Cumul Appr],ROW()-ROW(tblBuyerOutputs[#Headers])-1)))*$O$2/12)</f>
        <v>0</v>
      </c>
      <c r="AE362" s="587">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61" t="str">
        <f t="shared" si="77"/>
        <v/>
      </c>
      <c r="B363" s="265">
        <f t="shared" si="78"/>
        <v>0</v>
      </c>
      <c r="C363" s="14">
        <f t="shared" si="75"/>
        <v>0</v>
      </c>
      <c r="D363" s="14">
        <f t="shared" si="79"/>
        <v>0</v>
      </c>
      <c r="E363" s="14">
        <f t="shared" si="76"/>
        <v>0</v>
      </c>
      <c r="F363" s="14">
        <f t="shared" si="84"/>
        <v>0</v>
      </c>
      <c r="G363" s="14">
        <f t="shared" si="84"/>
        <v>0</v>
      </c>
      <c r="H363" s="14">
        <f t="shared" si="73"/>
        <v>0</v>
      </c>
      <c r="I363" s="265">
        <f t="shared" si="82"/>
        <v>0</v>
      </c>
      <c r="J363" s="265">
        <f t="shared" si="83"/>
        <v>0</v>
      </c>
      <c r="K363" s="265">
        <f t="shared" si="80"/>
        <v>0</v>
      </c>
      <c r="L363" s="373">
        <f t="shared" si="71"/>
        <v>0</v>
      </c>
      <c r="M363" s="373">
        <f t="shared" si="81"/>
        <v>0</v>
      </c>
      <c r="N363" s="561"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Row],[Payment]]=0,0,$V$2)</f>
        <v>0</v>
      </c>
      <c r="U363" s="265">
        <f>IF(tblContractForDeed[[#This Row],[Princ]]=0,0,$V$3)</f>
        <v>0</v>
      </c>
      <c r="V363" s="265">
        <f>SUM(tblContractForDeed[[#This Row],[Princ]],tblContractForDeed[[#This Row],[Int]],tblContractForDeed[[#This Row],[Ins]],tblContractForDeed[[#This Row],[Taxes]])</f>
        <v>0</v>
      </c>
      <c r="W363" s="265">
        <f>SUM(INDEX(tblContractForDeed[Princ],1):INDEX(tblContractForDeed[Princ],ROW()-ROW(tblContractForDeed[#Headers])))</f>
        <v>146500</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39">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3" s="265">
        <f>IF(INDEX(tblContractForDeed[End Bal],ROW()-ROW(tblBuyerOutputs[#Headers]))&lt;=0,0,($O$6+IF(ROW()=ROW(tblBuyerOutputs[#Headers])+1,0,INDEX(tblBuyerOutputs[Cumul Appr],ROW()-ROW(tblBuyerOutputs[#Headers])-1)))*$O$2/12)</f>
        <v>0</v>
      </c>
      <c r="AE363" s="587">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61" t="str">
        <f t="shared" si="77"/>
        <v/>
      </c>
      <c r="B364" s="265">
        <f t="shared" si="78"/>
        <v>0</v>
      </c>
      <c r="C364" s="14">
        <f t="shared" si="75"/>
        <v>0</v>
      </c>
      <c r="D364" s="14">
        <f t="shared" si="79"/>
        <v>0</v>
      </c>
      <c r="E364" s="14">
        <f t="shared" si="76"/>
        <v>0</v>
      </c>
      <c r="F364" s="14">
        <f t="shared" si="84"/>
        <v>0</v>
      </c>
      <c r="G364" s="14">
        <f t="shared" si="84"/>
        <v>0</v>
      </c>
      <c r="H364" s="14">
        <f t="shared" si="73"/>
        <v>0</v>
      </c>
      <c r="I364" s="265">
        <f t="shared" si="82"/>
        <v>0</v>
      </c>
      <c r="J364" s="265">
        <f t="shared" si="83"/>
        <v>0</v>
      </c>
      <c r="K364" s="265">
        <f t="shared" si="80"/>
        <v>0</v>
      </c>
      <c r="L364" s="373">
        <f t="shared" si="71"/>
        <v>0</v>
      </c>
      <c r="M364" s="373">
        <f t="shared" si="81"/>
        <v>0</v>
      </c>
      <c r="N364" s="561"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Row],[Payment]]=0,0,$V$2)</f>
        <v>0</v>
      </c>
      <c r="U364" s="265">
        <f>IF(tblContractForDeed[[#This Row],[Princ]]=0,0,$V$3)</f>
        <v>0</v>
      </c>
      <c r="V364" s="265">
        <f>SUM(tblContractForDeed[[#This Row],[Princ]],tblContractForDeed[[#This Row],[Int]],tblContractForDeed[[#This Row],[Ins]],tblContractForDeed[[#This Row],[Taxes]])</f>
        <v>0</v>
      </c>
      <c r="W364" s="265">
        <f>SUM(INDEX(tblContractForDeed[Princ],1):INDEX(tblContractForDeed[Princ],ROW()-ROW(tblContractForDeed[#Headers])))</f>
        <v>146500</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39">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4" s="265">
        <f>IF(INDEX(tblContractForDeed[End Bal],ROW()-ROW(tblBuyerOutputs[#Headers]))&lt;=0,0,($O$6+IF(ROW()=ROW(tblBuyerOutputs[#Headers])+1,0,INDEX(tblBuyerOutputs[Cumul Appr],ROW()-ROW(tblBuyerOutputs[#Headers])-1)))*$O$2/12)</f>
        <v>0</v>
      </c>
      <c r="AE364" s="587">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61" t="str">
        <f t="shared" si="77"/>
        <v/>
      </c>
      <c r="B365" s="265">
        <f t="shared" si="78"/>
        <v>0</v>
      </c>
      <c r="C365" s="14">
        <f t="shared" si="75"/>
        <v>0</v>
      </c>
      <c r="D365" s="14">
        <f t="shared" si="79"/>
        <v>0</v>
      </c>
      <c r="E365" s="14">
        <f t="shared" si="76"/>
        <v>0</v>
      </c>
      <c r="F365" s="14">
        <f t="shared" si="84"/>
        <v>0</v>
      </c>
      <c r="G365" s="14">
        <f t="shared" si="84"/>
        <v>0</v>
      </c>
      <c r="H365" s="14">
        <f t="shared" si="73"/>
        <v>0</v>
      </c>
      <c r="I365" s="265">
        <f t="shared" si="82"/>
        <v>0</v>
      </c>
      <c r="J365" s="265">
        <f t="shared" si="83"/>
        <v>0</v>
      </c>
      <c r="K365" s="265">
        <f t="shared" si="80"/>
        <v>0</v>
      </c>
      <c r="L365" s="373">
        <f t="shared" si="71"/>
        <v>0</v>
      </c>
      <c r="M365" s="373">
        <f t="shared" si="81"/>
        <v>0</v>
      </c>
      <c r="N365" s="561"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Row],[Payment]]=0,0,$V$2)</f>
        <v>0</v>
      </c>
      <c r="U365" s="265">
        <f>IF(tblContractForDeed[[#This Row],[Princ]]=0,0,$V$3)</f>
        <v>0</v>
      </c>
      <c r="V365" s="265">
        <f>SUM(tblContractForDeed[[#This Row],[Princ]],tblContractForDeed[[#This Row],[Int]],tblContractForDeed[[#This Row],[Ins]],tblContractForDeed[[#This Row],[Taxes]])</f>
        <v>0</v>
      </c>
      <c r="W365" s="265">
        <f>SUM(INDEX(tblContractForDeed[Princ],1):INDEX(tblContractForDeed[Princ],ROW()-ROW(tblContractForDeed[#Headers])))</f>
        <v>146500</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39">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5" s="265">
        <f>IF(INDEX(tblContractForDeed[End Bal],ROW()-ROW(tblBuyerOutputs[#Headers]))&lt;=0,0,($O$6+IF(ROW()=ROW(tblBuyerOutputs[#Headers])+1,0,INDEX(tblBuyerOutputs[Cumul Appr],ROW()-ROW(tblBuyerOutputs[#Headers])-1)))*$O$2/12)</f>
        <v>0</v>
      </c>
      <c r="AE365" s="587">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61" t="str">
        <f t="shared" si="77"/>
        <v/>
      </c>
      <c r="B366" s="265">
        <f t="shared" si="78"/>
        <v>0</v>
      </c>
      <c r="C366" s="14">
        <f t="shared" si="75"/>
        <v>0</v>
      </c>
      <c r="D366" s="14">
        <f t="shared" si="79"/>
        <v>0</v>
      </c>
      <c r="E366" s="14">
        <f t="shared" si="76"/>
        <v>0</v>
      </c>
      <c r="F366" s="14">
        <f t="shared" si="84"/>
        <v>0</v>
      </c>
      <c r="G366" s="14">
        <f t="shared" si="84"/>
        <v>0</v>
      </c>
      <c r="H366" s="14">
        <f t="shared" si="73"/>
        <v>0</v>
      </c>
      <c r="I366" s="265">
        <f t="shared" si="82"/>
        <v>0</v>
      </c>
      <c r="J366" s="265">
        <f t="shared" si="83"/>
        <v>0</v>
      </c>
      <c r="K366" s="265">
        <f t="shared" si="80"/>
        <v>0</v>
      </c>
      <c r="L366" s="373">
        <f t="shared" si="71"/>
        <v>0</v>
      </c>
      <c r="M366" s="373">
        <f t="shared" si="81"/>
        <v>0</v>
      </c>
      <c r="N366" s="561"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Row],[Payment]]=0,0,$V$2)</f>
        <v>0</v>
      </c>
      <c r="U366" s="265">
        <f>IF(tblContractForDeed[[#This Row],[Princ]]=0,0,$V$3)</f>
        <v>0</v>
      </c>
      <c r="V366" s="265">
        <f>SUM(tblContractForDeed[[#This Row],[Princ]],tblContractForDeed[[#This Row],[Int]],tblContractForDeed[[#This Row],[Ins]],tblContractForDeed[[#This Row],[Taxes]])</f>
        <v>0</v>
      </c>
      <c r="W366" s="265">
        <f>SUM(INDEX(tblContractForDeed[Princ],1):INDEX(tblContractForDeed[Princ],ROW()-ROW(tblContractForDeed[#Headers])))</f>
        <v>146500</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39">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6" s="265">
        <f>IF(INDEX(tblContractForDeed[End Bal],ROW()-ROW(tblBuyerOutputs[#Headers]))&lt;=0,0,($O$6+IF(ROW()=ROW(tblBuyerOutputs[#Headers])+1,0,INDEX(tblBuyerOutputs[Cumul Appr],ROW()-ROW(tblBuyerOutputs[#Headers])-1)))*$O$2/12)</f>
        <v>0</v>
      </c>
      <c r="AE366" s="587">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62" t="str">
        <f t="shared" si="77"/>
        <v/>
      </c>
      <c r="B367" s="316">
        <f t="shared" si="78"/>
        <v>0</v>
      </c>
      <c r="C367" s="21">
        <f t="shared" si="75"/>
        <v>0</v>
      </c>
      <c r="D367" s="21">
        <f t="shared" si="79"/>
        <v>0</v>
      </c>
      <c r="E367" s="21">
        <f t="shared" si="76"/>
        <v>0</v>
      </c>
      <c r="F367" s="21">
        <f t="shared" ref="F367:G382" si="85">+F366</f>
        <v>0</v>
      </c>
      <c r="G367" s="21">
        <f t="shared" si="85"/>
        <v>0</v>
      </c>
      <c r="H367" s="21">
        <f t="shared" si="73"/>
        <v>0</v>
      </c>
      <c r="I367" s="316">
        <f t="shared" si="82"/>
        <v>0</v>
      </c>
      <c r="J367" s="316">
        <f t="shared" si="83"/>
        <v>0</v>
      </c>
      <c r="K367" s="316">
        <f t="shared" si="80"/>
        <v>0</v>
      </c>
      <c r="L367" s="374">
        <f t="shared" si="71"/>
        <v>0</v>
      </c>
      <c r="M367" s="374">
        <f t="shared" si="81"/>
        <v>0</v>
      </c>
      <c r="N367" s="562" t="str">
        <f>INDEX(tblSubjectToLoan[Date],ROW()-ROW(tblContractForDeed[#Headers]))</f>
        <v/>
      </c>
      <c r="O367" s="316">
        <f>IF(ROW()=ROW(tblContractForDeed[#Headers])+1,$O$6,IF(INDEX(tblContractForDeed[End Bal],ROW()-ROW(tblContractForDeed[#Headers])-1)&lt;0,0,INDEX(tblContractForDeed[End Bal],ROW()-ROW(tblContractForDeed[#Headers])-1)))</f>
        <v>0</v>
      </c>
      <c r="P367" s="585"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Row],[Payment]]=0,0,$V$2)</f>
        <v>0</v>
      </c>
      <c r="U367" s="316">
        <f>IF(tblContractForDeed[[#This Row],[Princ]]=0,0,$V$3)</f>
        <v>0</v>
      </c>
      <c r="V367" s="316">
        <f>SUM(tblContractForDeed[[#This Row],[Princ]],tblContractForDeed[[#This Row],[Int]],tblContractForDeed[[#This Row],[Ins]],tblContractForDeed[[#This Row],[Taxes]])</f>
        <v>0</v>
      </c>
      <c r="W367" s="316">
        <f>SUM(INDEX(tblContractForDeed[Princ],1):INDEX(tblContractForDeed[Princ],ROW()-ROW(tblContractForDeed[#Headers])))</f>
        <v>146500</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0">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7" s="316">
        <f>IF(INDEX(tblContractForDeed[End Bal],ROW()-ROW(tblBuyerOutputs[#Headers]))&lt;=0,0,($O$6+IF(ROW()=ROW(tblBuyerOutputs[#Headers])+1,0,INDEX(tblBuyerOutputs[Cumul Appr],ROW()-ROW(tblBuyerOutputs[#Headers])-1)))*$O$2/12)</f>
        <v>0</v>
      </c>
      <c r="AE367" s="588">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61" t="str">
        <f t="shared" si="77"/>
        <v/>
      </c>
      <c r="B368" s="265">
        <f t="shared" si="78"/>
        <v>0</v>
      </c>
      <c r="C368" s="14">
        <f t="shared" si="75"/>
        <v>0</v>
      </c>
      <c r="D368" s="14">
        <f t="shared" si="79"/>
        <v>0</v>
      </c>
      <c r="E368" s="14">
        <f t="shared" si="76"/>
        <v>0</v>
      </c>
      <c r="F368" s="14">
        <f t="shared" si="85"/>
        <v>0</v>
      </c>
      <c r="G368" s="14">
        <f t="shared" si="85"/>
        <v>0</v>
      </c>
      <c r="H368" s="14">
        <f t="shared" si="73"/>
        <v>0</v>
      </c>
      <c r="I368" s="265">
        <f t="shared" si="82"/>
        <v>0</v>
      </c>
      <c r="J368" s="265">
        <f t="shared" si="83"/>
        <v>0</v>
      </c>
      <c r="K368" s="265">
        <f t="shared" si="80"/>
        <v>0</v>
      </c>
      <c r="L368" s="373">
        <f t="shared" si="71"/>
        <v>0</v>
      </c>
      <c r="M368" s="373">
        <f t="shared" si="81"/>
        <v>0</v>
      </c>
      <c r="N368" s="561"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Row],[Payment]]=0,0,$V$2)</f>
        <v>0</v>
      </c>
      <c r="U368" s="265">
        <f>IF(tblContractForDeed[[#This Row],[Princ]]=0,0,$V$3)</f>
        <v>0</v>
      </c>
      <c r="V368" s="265">
        <f>SUM(tblContractForDeed[[#This Row],[Princ]],tblContractForDeed[[#This Row],[Int]],tblContractForDeed[[#This Row],[Ins]],tblContractForDeed[[#This Row],[Taxes]])</f>
        <v>0</v>
      </c>
      <c r="W368" s="265">
        <f>SUM(INDEX(tblContractForDeed[Princ],1):INDEX(tblContractForDeed[Princ],ROW()-ROW(tblContractForDeed[#Headers])))</f>
        <v>146500</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39">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8" s="265">
        <f>IF(INDEX(tblContractForDeed[End Bal],ROW()-ROW(tblBuyerOutputs[#Headers]))&lt;=0,0,($O$6+IF(ROW()=ROW(tblBuyerOutputs[#Headers])+1,0,INDEX(tblBuyerOutputs[Cumul Appr],ROW()-ROW(tblBuyerOutputs[#Headers])-1)))*$O$2/12)</f>
        <v>0</v>
      </c>
      <c r="AE368" s="587">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61" t="str">
        <f t="shared" si="77"/>
        <v/>
      </c>
      <c r="B369" s="265">
        <f t="shared" si="78"/>
        <v>0</v>
      </c>
      <c r="C369" s="14">
        <f t="shared" si="75"/>
        <v>0</v>
      </c>
      <c r="D369" s="14">
        <f t="shared" si="79"/>
        <v>0</v>
      </c>
      <c r="E369" s="14">
        <f t="shared" si="76"/>
        <v>0</v>
      </c>
      <c r="F369" s="14">
        <f t="shared" si="85"/>
        <v>0</v>
      </c>
      <c r="G369" s="14">
        <f t="shared" si="85"/>
        <v>0</v>
      </c>
      <c r="H369" s="14">
        <f t="shared" si="73"/>
        <v>0</v>
      </c>
      <c r="I369" s="265">
        <f t="shared" si="82"/>
        <v>0</v>
      </c>
      <c r="J369" s="265">
        <f t="shared" si="83"/>
        <v>0</v>
      </c>
      <c r="K369" s="265">
        <f t="shared" si="80"/>
        <v>0</v>
      </c>
      <c r="L369" s="373">
        <f t="shared" si="71"/>
        <v>0</v>
      </c>
      <c r="M369" s="373">
        <f t="shared" si="81"/>
        <v>0</v>
      </c>
      <c r="N369" s="561"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Row],[Payment]]=0,0,$V$2)</f>
        <v>0</v>
      </c>
      <c r="U369" s="265">
        <f>IF(tblContractForDeed[[#This Row],[Princ]]=0,0,$V$3)</f>
        <v>0</v>
      </c>
      <c r="V369" s="265">
        <f>SUM(tblContractForDeed[[#This Row],[Princ]],tblContractForDeed[[#This Row],[Int]],tblContractForDeed[[#This Row],[Ins]],tblContractForDeed[[#This Row],[Taxes]])</f>
        <v>0</v>
      </c>
      <c r="W369" s="265">
        <f>SUM(INDEX(tblContractForDeed[Princ],1):INDEX(tblContractForDeed[Princ],ROW()-ROW(tblContractForDeed[#Headers])))</f>
        <v>146500</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39">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9" s="265">
        <f>IF(INDEX(tblContractForDeed[End Bal],ROW()-ROW(tblBuyerOutputs[#Headers]))&lt;=0,0,($O$6+IF(ROW()=ROW(tblBuyerOutputs[#Headers])+1,0,INDEX(tblBuyerOutputs[Cumul Appr],ROW()-ROW(tblBuyerOutputs[#Headers])-1)))*$O$2/12)</f>
        <v>0</v>
      </c>
      <c r="AE369" s="587">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61" t="str">
        <f t="shared" si="77"/>
        <v/>
      </c>
      <c r="B370" s="265">
        <f t="shared" si="78"/>
        <v>0</v>
      </c>
      <c r="C370" s="14">
        <f t="shared" si="75"/>
        <v>0</v>
      </c>
      <c r="D370" s="14">
        <f t="shared" si="79"/>
        <v>0</v>
      </c>
      <c r="E370" s="14">
        <f t="shared" si="76"/>
        <v>0</v>
      </c>
      <c r="F370" s="14">
        <f t="shared" si="85"/>
        <v>0</v>
      </c>
      <c r="G370" s="14">
        <f t="shared" si="85"/>
        <v>0</v>
      </c>
      <c r="H370" s="14">
        <f t="shared" si="73"/>
        <v>0</v>
      </c>
      <c r="I370" s="265">
        <f t="shared" si="82"/>
        <v>0</v>
      </c>
      <c r="J370" s="265">
        <f t="shared" si="83"/>
        <v>0</v>
      </c>
      <c r="K370" s="265">
        <f t="shared" si="80"/>
        <v>0</v>
      </c>
      <c r="L370" s="373">
        <f t="shared" si="71"/>
        <v>0</v>
      </c>
      <c r="M370" s="373">
        <f t="shared" si="81"/>
        <v>0</v>
      </c>
      <c r="N370" s="561"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Row],[Payment]]=0,0,$V$2)</f>
        <v>0</v>
      </c>
      <c r="U370" s="265">
        <f>IF(tblContractForDeed[[#This Row],[Princ]]=0,0,$V$3)</f>
        <v>0</v>
      </c>
      <c r="V370" s="265">
        <f>SUM(tblContractForDeed[[#This Row],[Princ]],tblContractForDeed[[#This Row],[Int]],tblContractForDeed[[#This Row],[Ins]],tblContractForDeed[[#This Row],[Taxes]])</f>
        <v>0</v>
      </c>
      <c r="W370" s="265">
        <f>SUM(INDEX(tblContractForDeed[Princ],1):INDEX(tblContractForDeed[Princ],ROW()-ROW(tblContractForDeed[#Headers])))</f>
        <v>146500</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39">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0" s="265">
        <f>IF(INDEX(tblContractForDeed[End Bal],ROW()-ROW(tblBuyerOutputs[#Headers]))&lt;=0,0,($O$6+IF(ROW()=ROW(tblBuyerOutputs[#Headers])+1,0,INDEX(tblBuyerOutputs[Cumul Appr],ROW()-ROW(tblBuyerOutputs[#Headers])-1)))*$O$2/12)</f>
        <v>0</v>
      </c>
      <c r="AE370" s="587">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61" t="str">
        <f t="shared" si="77"/>
        <v/>
      </c>
      <c r="B371" s="265">
        <f t="shared" si="78"/>
        <v>0</v>
      </c>
      <c r="C371" s="14">
        <f t="shared" si="75"/>
        <v>0</v>
      </c>
      <c r="D371" s="14">
        <f t="shared" si="79"/>
        <v>0</v>
      </c>
      <c r="E371" s="14">
        <f t="shared" si="76"/>
        <v>0</v>
      </c>
      <c r="F371" s="14">
        <f t="shared" si="85"/>
        <v>0</v>
      </c>
      <c r="G371" s="14">
        <f t="shared" si="85"/>
        <v>0</v>
      </c>
      <c r="H371" s="14">
        <f t="shared" si="73"/>
        <v>0</v>
      </c>
      <c r="I371" s="265">
        <f t="shared" si="82"/>
        <v>0</v>
      </c>
      <c r="J371" s="265">
        <f t="shared" si="83"/>
        <v>0</v>
      </c>
      <c r="K371" s="265">
        <f t="shared" si="80"/>
        <v>0</v>
      </c>
      <c r="L371" s="373">
        <f t="shared" si="71"/>
        <v>0</v>
      </c>
      <c r="M371" s="373">
        <f t="shared" si="81"/>
        <v>0</v>
      </c>
      <c r="N371" s="561"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Row],[Payment]]=0,0,$V$2)</f>
        <v>0</v>
      </c>
      <c r="U371" s="265">
        <f>IF(tblContractForDeed[[#This Row],[Princ]]=0,0,$V$3)</f>
        <v>0</v>
      </c>
      <c r="V371" s="265">
        <f>SUM(tblContractForDeed[[#This Row],[Princ]],tblContractForDeed[[#This Row],[Int]],tblContractForDeed[[#This Row],[Ins]],tblContractForDeed[[#This Row],[Taxes]])</f>
        <v>0</v>
      </c>
      <c r="W371" s="265">
        <f>SUM(INDEX(tblContractForDeed[Princ],1):INDEX(tblContractForDeed[Princ],ROW()-ROW(tblContractForDeed[#Headers])))</f>
        <v>146500</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39">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1" s="265">
        <f>IF(INDEX(tblContractForDeed[End Bal],ROW()-ROW(tblBuyerOutputs[#Headers]))&lt;=0,0,($O$6+IF(ROW()=ROW(tblBuyerOutputs[#Headers])+1,0,INDEX(tblBuyerOutputs[Cumul Appr],ROW()-ROW(tblBuyerOutputs[#Headers])-1)))*$O$2/12)</f>
        <v>0</v>
      </c>
      <c r="AE371" s="587">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61" t="str">
        <f t="shared" si="77"/>
        <v/>
      </c>
      <c r="B372" s="265">
        <f t="shared" si="78"/>
        <v>0</v>
      </c>
      <c r="C372" s="14">
        <f t="shared" si="75"/>
        <v>0</v>
      </c>
      <c r="D372" s="14">
        <f t="shared" si="79"/>
        <v>0</v>
      </c>
      <c r="E372" s="14">
        <f t="shared" si="76"/>
        <v>0</v>
      </c>
      <c r="F372" s="14">
        <f t="shared" si="85"/>
        <v>0</v>
      </c>
      <c r="G372" s="14">
        <f t="shared" si="85"/>
        <v>0</v>
      </c>
      <c r="H372" s="14">
        <f t="shared" si="73"/>
        <v>0</v>
      </c>
      <c r="I372" s="265">
        <f t="shared" si="82"/>
        <v>0</v>
      </c>
      <c r="J372" s="265">
        <f t="shared" si="83"/>
        <v>0</v>
      </c>
      <c r="K372" s="265">
        <f t="shared" si="80"/>
        <v>0</v>
      </c>
      <c r="L372" s="373">
        <f t="shared" ref="L372:L435" si="86">IF(MOD(M372,12)=0,M372/12,L371)</f>
        <v>0</v>
      </c>
      <c r="M372" s="373">
        <f t="shared" si="81"/>
        <v>0</v>
      </c>
      <c r="N372" s="561"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Row],[Payment]]=0,0,$V$2)</f>
        <v>0</v>
      </c>
      <c r="U372" s="265">
        <f>IF(tblContractForDeed[[#This Row],[Princ]]=0,0,$V$3)</f>
        <v>0</v>
      </c>
      <c r="V372" s="265">
        <f>SUM(tblContractForDeed[[#This Row],[Princ]],tblContractForDeed[[#This Row],[Int]],tblContractForDeed[[#This Row],[Ins]],tblContractForDeed[[#This Row],[Taxes]])</f>
        <v>0</v>
      </c>
      <c r="W372" s="265">
        <f>SUM(INDEX(tblContractForDeed[Princ],1):INDEX(tblContractForDeed[Princ],ROW()-ROW(tblContractForDeed[#Headers])))</f>
        <v>146500</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39">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2" s="265">
        <f>IF(INDEX(tblContractForDeed[End Bal],ROW()-ROW(tblBuyerOutputs[#Headers]))&lt;=0,0,($O$6+IF(ROW()=ROW(tblBuyerOutputs[#Headers])+1,0,INDEX(tblBuyerOutputs[Cumul Appr],ROW()-ROW(tblBuyerOutputs[#Headers])-1)))*$O$2/12)</f>
        <v>0</v>
      </c>
      <c r="AE372" s="587">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61" t="str">
        <f t="shared" si="77"/>
        <v/>
      </c>
      <c r="B373" s="265">
        <f t="shared" si="78"/>
        <v>0</v>
      </c>
      <c r="C373" s="14">
        <f t="shared" si="75"/>
        <v>0</v>
      </c>
      <c r="D373" s="14">
        <f t="shared" si="79"/>
        <v>0</v>
      </c>
      <c r="E373" s="14">
        <f t="shared" si="76"/>
        <v>0</v>
      </c>
      <c r="F373" s="14">
        <f t="shared" si="85"/>
        <v>0</v>
      </c>
      <c r="G373" s="14">
        <f t="shared" si="85"/>
        <v>0</v>
      </c>
      <c r="H373" s="14">
        <f t="shared" si="73"/>
        <v>0</v>
      </c>
      <c r="I373" s="265">
        <f t="shared" si="82"/>
        <v>0</v>
      </c>
      <c r="J373" s="265">
        <f t="shared" si="83"/>
        <v>0</v>
      </c>
      <c r="K373" s="265">
        <f t="shared" si="80"/>
        <v>0</v>
      </c>
      <c r="L373" s="373">
        <f t="shared" si="86"/>
        <v>0</v>
      </c>
      <c r="M373" s="373">
        <f t="shared" si="81"/>
        <v>0</v>
      </c>
      <c r="N373" s="561"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Row],[Payment]]=0,0,$V$2)</f>
        <v>0</v>
      </c>
      <c r="U373" s="265">
        <f>IF(tblContractForDeed[[#This Row],[Princ]]=0,0,$V$3)</f>
        <v>0</v>
      </c>
      <c r="V373" s="265">
        <f>SUM(tblContractForDeed[[#This Row],[Princ]],tblContractForDeed[[#This Row],[Int]],tblContractForDeed[[#This Row],[Ins]],tblContractForDeed[[#This Row],[Taxes]])</f>
        <v>0</v>
      </c>
      <c r="W373" s="265">
        <f>SUM(INDEX(tblContractForDeed[Princ],1):INDEX(tblContractForDeed[Princ],ROW()-ROW(tblContractForDeed[#Headers])))</f>
        <v>146500</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39">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3" s="265">
        <f>IF(INDEX(tblContractForDeed[End Bal],ROW()-ROW(tblBuyerOutputs[#Headers]))&lt;=0,0,($O$6+IF(ROW()=ROW(tblBuyerOutputs[#Headers])+1,0,INDEX(tblBuyerOutputs[Cumul Appr],ROW()-ROW(tblBuyerOutputs[#Headers])-1)))*$O$2/12)</f>
        <v>0</v>
      </c>
      <c r="AE373" s="587">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61" t="str">
        <f t="shared" si="77"/>
        <v/>
      </c>
      <c r="B374" s="265">
        <f t="shared" si="78"/>
        <v>0</v>
      </c>
      <c r="C374" s="14">
        <f t="shared" si="75"/>
        <v>0</v>
      </c>
      <c r="D374" s="14">
        <f t="shared" si="79"/>
        <v>0</v>
      </c>
      <c r="E374" s="14">
        <f t="shared" si="76"/>
        <v>0</v>
      </c>
      <c r="F374" s="14">
        <f t="shared" si="85"/>
        <v>0</v>
      </c>
      <c r="G374" s="14">
        <f t="shared" si="85"/>
        <v>0</v>
      </c>
      <c r="H374" s="14">
        <f t="shared" si="73"/>
        <v>0</v>
      </c>
      <c r="I374" s="265">
        <f t="shared" si="82"/>
        <v>0</v>
      </c>
      <c r="J374" s="265">
        <f t="shared" si="83"/>
        <v>0</v>
      </c>
      <c r="K374" s="265">
        <f t="shared" si="80"/>
        <v>0</v>
      </c>
      <c r="L374" s="373">
        <f t="shared" si="86"/>
        <v>0</v>
      </c>
      <c r="M374" s="373">
        <f t="shared" si="81"/>
        <v>0</v>
      </c>
      <c r="N374" s="561"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Row],[Payment]]=0,0,$V$2)</f>
        <v>0</v>
      </c>
      <c r="U374" s="265">
        <f>IF(tblContractForDeed[[#This Row],[Princ]]=0,0,$V$3)</f>
        <v>0</v>
      </c>
      <c r="V374" s="265">
        <f>SUM(tblContractForDeed[[#This Row],[Princ]],tblContractForDeed[[#This Row],[Int]],tblContractForDeed[[#This Row],[Ins]],tblContractForDeed[[#This Row],[Taxes]])</f>
        <v>0</v>
      </c>
      <c r="W374" s="265">
        <f>SUM(INDEX(tblContractForDeed[Princ],1):INDEX(tblContractForDeed[Princ],ROW()-ROW(tblContractForDeed[#Headers])))</f>
        <v>146500</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39">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4" s="265">
        <f>IF(INDEX(tblContractForDeed[End Bal],ROW()-ROW(tblBuyerOutputs[#Headers]))&lt;=0,0,($O$6+IF(ROW()=ROW(tblBuyerOutputs[#Headers])+1,0,INDEX(tblBuyerOutputs[Cumul Appr],ROW()-ROW(tblBuyerOutputs[#Headers])-1)))*$O$2/12)</f>
        <v>0</v>
      </c>
      <c r="AE374" s="587">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61" t="str">
        <f t="shared" si="77"/>
        <v/>
      </c>
      <c r="B375" s="265">
        <f t="shared" si="78"/>
        <v>0</v>
      </c>
      <c r="C375" s="14">
        <f t="shared" si="75"/>
        <v>0</v>
      </c>
      <c r="D375" s="14">
        <f t="shared" si="79"/>
        <v>0</v>
      </c>
      <c r="E375" s="14">
        <f t="shared" si="76"/>
        <v>0</v>
      </c>
      <c r="F375" s="14">
        <f t="shared" si="85"/>
        <v>0</v>
      </c>
      <c r="G375" s="14">
        <f t="shared" si="85"/>
        <v>0</v>
      </c>
      <c r="H375" s="14">
        <f t="shared" si="73"/>
        <v>0</v>
      </c>
      <c r="I375" s="265">
        <f t="shared" si="82"/>
        <v>0</v>
      </c>
      <c r="J375" s="265">
        <f t="shared" si="83"/>
        <v>0</v>
      </c>
      <c r="K375" s="265">
        <f t="shared" si="80"/>
        <v>0</v>
      </c>
      <c r="L375" s="373">
        <f t="shared" si="86"/>
        <v>0</v>
      </c>
      <c r="M375" s="373">
        <f t="shared" si="81"/>
        <v>0</v>
      </c>
      <c r="N375" s="561"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Row],[Payment]]=0,0,$V$2)</f>
        <v>0</v>
      </c>
      <c r="U375" s="265">
        <f>IF(tblContractForDeed[[#This Row],[Princ]]=0,0,$V$3)</f>
        <v>0</v>
      </c>
      <c r="V375" s="265">
        <f>SUM(tblContractForDeed[[#This Row],[Princ]],tblContractForDeed[[#This Row],[Int]],tblContractForDeed[[#This Row],[Ins]],tblContractForDeed[[#This Row],[Taxes]])</f>
        <v>0</v>
      </c>
      <c r="W375" s="265">
        <f>SUM(INDEX(tblContractForDeed[Princ],1):INDEX(tblContractForDeed[Princ],ROW()-ROW(tblContractForDeed[#Headers])))</f>
        <v>146500</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39">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5" s="265">
        <f>IF(INDEX(tblContractForDeed[End Bal],ROW()-ROW(tblBuyerOutputs[#Headers]))&lt;=0,0,($O$6+IF(ROW()=ROW(tblBuyerOutputs[#Headers])+1,0,INDEX(tblBuyerOutputs[Cumul Appr],ROW()-ROW(tblBuyerOutputs[#Headers])-1)))*$O$2/12)</f>
        <v>0</v>
      </c>
      <c r="AE375" s="587">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61" t="str">
        <f t="shared" si="77"/>
        <v/>
      </c>
      <c r="B376" s="265">
        <f t="shared" si="78"/>
        <v>0</v>
      </c>
      <c r="C376" s="14">
        <f t="shared" si="75"/>
        <v>0</v>
      </c>
      <c r="D376" s="14">
        <f t="shared" si="79"/>
        <v>0</v>
      </c>
      <c r="E376" s="14">
        <f t="shared" si="76"/>
        <v>0</v>
      </c>
      <c r="F376" s="14">
        <f t="shared" si="85"/>
        <v>0</v>
      </c>
      <c r="G376" s="14">
        <f t="shared" si="85"/>
        <v>0</v>
      </c>
      <c r="H376" s="14">
        <f t="shared" si="73"/>
        <v>0</v>
      </c>
      <c r="I376" s="265">
        <f t="shared" si="82"/>
        <v>0</v>
      </c>
      <c r="J376" s="265">
        <f t="shared" si="83"/>
        <v>0</v>
      </c>
      <c r="K376" s="265">
        <f t="shared" si="80"/>
        <v>0</v>
      </c>
      <c r="L376" s="373">
        <f t="shared" si="86"/>
        <v>0</v>
      </c>
      <c r="M376" s="373">
        <f t="shared" si="81"/>
        <v>0</v>
      </c>
      <c r="N376" s="561"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Row],[Payment]]=0,0,$V$2)</f>
        <v>0</v>
      </c>
      <c r="U376" s="265">
        <f>IF(tblContractForDeed[[#This Row],[Princ]]=0,0,$V$3)</f>
        <v>0</v>
      </c>
      <c r="V376" s="265">
        <f>SUM(tblContractForDeed[[#This Row],[Princ]],tblContractForDeed[[#This Row],[Int]],tblContractForDeed[[#This Row],[Ins]],tblContractForDeed[[#This Row],[Taxes]])</f>
        <v>0</v>
      </c>
      <c r="W376" s="265">
        <f>SUM(INDEX(tblContractForDeed[Princ],1):INDEX(tblContractForDeed[Princ],ROW()-ROW(tblContractForDeed[#Headers])))</f>
        <v>146500</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39">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6" s="265">
        <f>IF(INDEX(tblContractForDeed[End Bal],ROW()-ROW(tblBuyerOutputs[#Headers]))&lt;=0,0,($O$6+IF(ROW()=ROW(tblBuyerOutputs[#Headers])+1,0,INDEX(tblBuyerOutputs[Cumul Appr],ROW()-ROW(tblBuyerOutputs[#Headers])-1)))*$O$2/12)</f>
        <v>0</v>
      </c>
      <c r="AE376" s="587">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61" t="str">
        <f t="shared" si="77"/>
        <v/>
      </c>
      <c r="B377" s="265">
        <f t="shared" si="78"/>
        <v>0</v>
      </c>
      <c r="C377" s="14">
        <f t="shared" si="75"/>
        <v>0</v>
      </c>
      <c r="D377" s="14">
        <f t="shared" si="79"/>
        <v>0</v>
      </c>
      <c r="E377" s="14">
        <f t="shared" si="76"/>
        <v>0</v>
      </c>
      <c r="F377" s="14">
        <f t="shared" si="85"/>
        <v>0</v>
      </c>
      <c r="G377" s="14">
        <f t="shared" si="85"/>
        <v>0</v>
      </c>
      <c r="H377" s="14">
        <f t="shared" si="73"/>
        <v>0</v>
      </c>
      <c r="I377" s="265">
        <f t="shared" si="82"/>
        <v>0</v>
      </c>
      <c r="J377" s="265">
        <f t="shared" si="83"/>
        <v>0</v>
      </c>
      <c r="K377" s="265">
        <f t="shared" si="80"/>
        <v>0</v>
      </c>
      <c r="L377" s="373">
        <f t="shared" si="86"/>
        <v>0</v>
      </c>
      <c r="M377" s="373">
        <f t="shared" si="81"/>
        <v>0</v>
      </c>
      <c r="N377" s="561"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Row],[Payment]]=0,0,$V$2)</f>
        <v>0</v>
      </c>
      <c r="U377" s="265">
        <f>IF(tblContractForDeed[[#This Row],[Princ]]=0,0,$V$3)</f>
        <v>0</v>
      </c>
      <c r="V377" s="265">
        <f>SUM(tblContractForDeed[[#This Row],[Princ]],tblContractForDeed[[#This Row],[Int]],tblContractForDeed[[#This Row],[Ins]],tblContractForDeed[[#This Row],[Taxes]])</f>
        <v>0</v>
      </c>
      <c r="W377" s="265">
        <f>SUM(INDEX(tblContractForDeed[Princ],1):INDEX(tblContractForDeed[Princ],ROW()-ROW(tblContractForDeed[#Headers])))</f>
        <v>146500</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39">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7" s="265">
        <f>IF(INDEX(tblContractForDeed[End Bal],ROW()-ROW(tblBuyerOutputs[#Headers]))&lt;=0,0,($O$6+IF(ROW()=ROW(tblBuyerOutputs[#Headers])+1,0,INDEX(tblBuyerOutputs[Cumul Appr],ROW()-ROW(tblBuyerOutputs[#Headers])-1)))*$O$2/12)</f>
        <v>0</v>
      </c>
      <c r="AE377" s="587">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61" t="str">
        <f t="shared" si="77"/>
        <v/>
      </c>
      <c r="B378" s="265">
        <f t="shared" si="78"/>
        <v>0</v>
      </c>
      <c r="C378" s="14">
        <f t="shared" si="75"/>
        <v>0</v>
      </c>
      <c r="D378" s="14">
        <f t="shared" si="79"/>
        <v>0</v>
      </c>
      <c r="E378" s="14">
        <f t="shared" si="76"/>
        <v>0</v>
      </c>
      <c r="F378" s="14">
        <f t="shared" si="85"/>
        <v>0</v>
      </c>
      <c r="G378" s="14">
        <f t="shared" si="85"/>
        <v>0</v>
      </c>
      <c r="H378" s="14">
        <f t="shared" si="73"/>
        <v>0</v>
      </c>
      <c r="I378" s="265">
        <f t="shared" si="82"/>
        <v>0</v>
      </c>
      <c r="J378" s="265">
        <f t="shared" si="83"/>
        <v>0</v>
      </c>
      <c r="K378" s="265">
        <f t="shared" si="80"/>
        <v>0</v>
      </c>
      <c r="L378" s="373">
        <f t="shared" si="86"/>
        <v>0</v>
      </c>
      <c r="M378" s="373">
        <f t="shared" si="81"/>
        <v>0</v>
      </c>
      <c r="N378" s="561"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Row],[Payment]]=0,0,$V$2)</f>
        <v>0</v>
      </c>
      <c r="U378" s="265">
        <f>IF(tblContractForDeed[[#This Row],[Princ]]=0,0,$V$3)</f>
        <v>0</v>
      </c>
      <c r="V378" s="265">
        <f>SUM(tblContractForDeed[[#This Row],[Princ]],tblContractForDeed[[#This Row],[Int]],tblContractForDeed[[#This Row],[Ins]],tblContractForDeed[[#This Row],[Taxes]])</f>
        <v>0</v>
      </c>
      <c r="W378" s="265">
        <f>SUM(INDEX(tblContractForDeed[Princ],1):INDEX(tblContractForDeed[Princ],ROW()-ROW(tblContractForDeed[#Headers])))</f>
        <v>146500</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39">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8" s="265">
        <f>IF(INDEX(tblContractForDeed[End Bal],ROW()-ROW(tblBuyerOutputs[#Headers]))&lt;=0,0,($O$6+IF(ROW()=ROW(tblBuyerOutputs[#Headers])+1,0,INDEX(tblBuyerOutputs[Cumul Appr],ROW()-ROW(tblBuyerOutputs[#Headers])-1)))*$O$2/12)</f>
        <v>0</v>
      </c>
      <c r="AE378" s="587">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62" t="str">
        <f t="shared" si="77"/>
        <v/>
      </c>
      <c r="B379" s="316">
        <f t="shared" si="78"/>
        <v>0</v>
      </c>
      <c r="C379" s="21">
        <f t="shared" si="75"/>
        <v>0</v>
      </c>
      <c r="D379" s="21">
        <f t="shared" si="79"/>
        <v>0</v>
      </c>
      <c r="E379" s="21">
        <f t="shared" si="76"/>
        <v>0</v>
      </c>
      <c r="F379" s="21">
        <f t="shared" si="85"/>
        <v>0</v>
      </c>
      <c r="G379" s="21">
        <f t="shared" si="85"/>
        <v>0</v>
      </c>
      <c r="H379" s="21">
        <f t="shared" si="73"/>
        <v>0</v>
      </c>
      <c r="I379" s="316">
        <f t="shared" si="82"/>
        <v>0</v>
      </c>
      <c r="J379" s="316">
        <f t="shared" si="83"/>
        <v>0</v>
      </c>
      <c r="K379" s="316">
        <f t="shared" si="80"/>
        <v>0</v>
      </c>
      <c r="L379" s="374">
        <f t="shared" si="86"/>
        <v>0</v>
      </c>
      <c r="M379" s="374">
        <f t="shared" si="81"/>
        <v>0</v>
      </c>
      <c r="N379" s="562" t="str">
        <f>INDEX(tblSubjectToLoan[Date],ROW()-ROW(tblContractForDeed[#Headers]))</f>
        <v/>
      </c>
      <c r="O379" s="316">
        <f>IF(ROW()=ROW(tblContractForDeed[#Headers])+1,$O$6,IF(INDEX(tblContractForDeed[End Bal],ROW()-ROW(tblContractForDeed[#Headers])-1)&lt;0,0,INDEX(tblContractForDeed[End Bal],ROW()-ROW(tblContractForDeed[#Headers])-1)))</f>
        <v>0</v>
      </c>
      <c r="P379" s="585"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Row],[Payment]]=0,0,$V$2)</f>
        <v>0</v>
      </c>
      <c r="U379" s="316">
        <f>IF(tblContractForDeed[[#This Row],[Princ]]=0,0,$V$3)</f>
        <v>0</v>
      </c>
      <c r="V379" s="316">
        <f>SUM(tblContractForDeed[[#This Row],[Princ]],tblContractForDeed[[#This Row],[Int]],tblContractForDeed[[#This Row],[Ins]],tblContractForDeed[[#This Row],[Taxes]])</f>
        <v>0</v>
      </c>
      <c r="W379" s="316">
        <f>SUM(INDEX(tblContractForDeed[Princ],1):INDEX(tblContractForDeed[Princ],ROW()-ROW(tblContractForDeed[#Headers])))</f>
        <v>146500</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0">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9" s="316">
        <f>IF(INDEX(tblContractForDeed[End Bal],ROW()-ROW(tblBuyerOutputs[#Headers]))&lt;=0,0,($O$6+IF(ROW()=ROW(tblBuyerOutputs[#Headers])+1,0,INDEX(tblBuyerOutputs[Cumul Appr],ROW()-ROW(tblBuyerOutputs[#Headers])-1)))*$O$2/12)</f>
        <v>0</v>
      </c>
      <c r="AE379" s="588">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61" t="str">
        <f t="shared" si="77"/>
        <v/>
      </c>
      <c r="B380" s="265">
        <f t="shared" si="78"/>
        <v>0</v>
      </c>
      <c r="C380" s="14">
        <f t="shared" si="75"/>
        <v>0</v>
      </c>
      <c r="D380" s="14">
        <f t="shared" si="79"/>
        <v>0</v>
      </c>
      <c r="E380" s="14">
        <f t="shared" si="76"/>
        <v>0</v>
      </c>
      <c r="F380" s="14">
        <f t="shared" si="85"/>
        <v>0</v>
      </c>
      <c r="G380" s="14">
        <f t="shared" si="85"/>
        <v>0</v>
      </c>
      <c r="H380" s="14">
        <f t="shared" si="73"/>
        <v>0</v>
      </c>
      <c r="I380" s="265">
        <f t="shared" si="82"/>
        <v>0</v>
      </c>
      <c r="J380" s="265">
        <f t="shared" si="83"/>
        <v>0</v>
      </c>
      <c r="K380" s="265">
        <f t="shared" si="80"/>
        <v>0</v>
      </c>
      <c r="L380" s="373">
        <f t="shared" si="86"/>
        <v>0</v>
      </c>
      <c r="M380" s="373">
        <f t="shared" si="81"/>
        <v>0</v>
      </c>
      <c r="N380" s="561"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Row],[Payment]]=0,0,$V$2)</f>
        <v>0</v>
      </c>
      <c r="U380" s="265">
        <f>IF(tblContractForDeed[[#This Row],[Princ]]=0,0,$V$3)</f>
        <v>0</v>
      </c>
      <c r="V380" s="265">
        <f>SUM(tblContractForDeed[[#This Row],[Princ]],tblContractForDeed[[#This Row],[Int]],tblContractForDeed[[#This Row],[Ins]],tblContractForDeed[[#This Row],[Taxes]])</f>
        <v>0</v>
      </c>
      <c r="W380" s="265">
        <f>SUM(INDEX(tblContractForDeed[Princ],1):INDEX(tblContractForDeed[Princ],ROW()-ROW(tblContractForDeed[#Headers])))</f>
        <v>146500</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39">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0" s="265">
        <f>IF(INDEX(tblContractForDeed[End Bal],ROW()-ROW(tblBuyerOutputs[#Headers]))&lt;=0,0,($O$6+IF(ROW()=ROW(tblBuyerOutputs[#Headers])+1,0,INDEX(tblBuyerOutputs[Cumul Appr],ROW()-ROW(tblBuyerOutputs[#Headers])-1)))*$O$2/12)</f>
        <v>0</v>
      </c>
      <c r="AE380" s="587">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61" t="str">
        <f t="shared" si="77"/>
        <v/>
      </c>
      <c r="B381" s="265">
        <f t="shared" si="78"/>
        <v>0</v>
      </c>
      <c r="C381" s="14">
        <f t="shared" si="75"/>
        <v>0</v>
      </c>
      <c r="D381" s="14">
        <f t="shared" si="79"/>
        <v>0</v>
      </c>
      <c r="E381" s="14">
        <f t="shared" si="76"/>
        <v>0</v>
      </c>
      <c r="F381" s="14">
        <f t="shared" si="85"/>
        <v>0</v>
      </c>
      <c r="G381" s="14">
        <f t="shared" si="85"/>
        <v>0</v>
      </c>
      <c r="H381" s="14">
        <f t="shared" si="73"/>
        <v>0</v>
      </c>
      <c r="I381" s="265">
        <f t="shared" si="82"/>
        <v>0</v>
      </c>
      <c r="J381" s="265">
        <f t="shared" si="83"/>
        <v>0</v>
      </c>
      <c r="K381" s="265">
        <f t="shared" si="80"/>
        <v>0</v>
      </c>
      <c r="L381" s="373">
        <f t="shared" si="86"/>
        <v>0</v>
      </c>
      <c r="M381" s="373">
        <f t="shared" si="81"/>
        <v>0</v>
      </c>
      <c r="N381" s="561"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Row],[Payment]]=0,0,$V$2)</f>
        <v>0</v>
      </c>
      <c r="U381" s="265">
        <f>IF(tblContractForDeed[[#This Row],[Princ]]=0,0,$V$3)</f>
        <v>0</v>
      </c>
      <c r="V381" s="265">
        <f>SUM(tblContractForDeed[[#This Row],[Princ]],tblContractForDeed[[#This Row],[Int]],tblContractForDeed[[#This Row],[Ins]],tblContractForDeed[[#This Row],[Taxes]])</f>
        <v>0</v>
      </c>
      <c r="W381" s="265">
        <f>SUM(INDEX(tblContractForDeed[Princ],1):INDEX(tblContractForDeed[Princ],ROW()-ROW(tblContractForDeed[#Headers])))</f>
        <v>146500</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39">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1" s="265">
        <f>IF(INDEX(tblContractForDeed[End Bal],ROW()-ROW(tblBuyerOutputs[#Headers]))&lt;=0,0,($O$6+IF(ROW()=ROW(tblBuyerOutputs[#Headers])+1,0,INDEX(tblBuyerOutputs[Cumul Appr],ROW()-ROW(tblBuyerOutputs[#Headers])-1)))*$O$2/12)</f>
        <v>0</v>
      </c>
      <c r="AE381" s="587">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61" t="str">
        <f t="shared" si="77"/>
        <v/>
      </c>
      <c r="B382" s="265">
        <f t="shared" si="78"/>
        <v>0</v>
      </c>
      <c r="C382" s="14">
        <f t="shared" si="75"/>
        <v>0</v>
      </c>
      <c r="D382" s="14">
        <f t="shared" si="79"/>
        <v>0</v>
      </c>
      <c r="E382" s="14">
        <f t="shared" si="76"/>
        <v>0</v>
      </c>
      <c r="F382" s="14">
        <f t="shared" si="85"/>
        <v>0</v>
      </c>
      <c r="G382" s="14">
        <f t="shared" si="85"/>
        <v>0</v>
      </c>
      <c r="H382" s="14">
        <f t="shared" si="73"/>
        <v>0</v>
      </c>
      <c r="I382" s="265">
        <f t="shared" si="82"/>
        <v>0</v>
      </c>
      <c r="J382" s="265">
        <f t="shared" si="83"/>
        <v>0</v>
      </c>
      <c r="K382" s="265">
        <f t="shared" si="80"/>
        <v>0</v>
      </c>
      <c r="L382" s="373">
        <f t="shared" si="86"/>
        <v>0</v>
      </c>
      <c r="M382" s="373">
        <f t="shared" si="81"/>
        <v>0</v>
      </c>
      <c r="N382" s="561"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Row],[Payment]]=0,0,$V$2)</f>
        <v>0</v>
      </c>
      <c r="U382" s="265">
        <f>IF(tblContractForDeed[[#This Row],[Princ]]=0,0,$V$3)</f>
        <v>0</v>
      </c>
      <c r="V382" s="265">
        <f>SUM(tblContractForDeed[[#This Row],[Princ]],tblContractForDeed[[#This Row],[Int]],tblContractForDeed[[#This Row],[Ins]],tblContractForDeed[[#This Row],[Taxes]])</f>
        <v>0</v>
      </c>
      <c r="W382" s="265">
        <f>SUM(INDEX(tblContractForDeed[Princ],1):INDEX(tblContractForDeed[Princ],ROW()-ROW(tblContractForDeed[#Headers])))</f>
        <v>146500</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39">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2" s="265">
        <f>IF(INDEX(tblContractForDeed[End Bal],ROW()-ROW(tblBuyerOutputs[#Headers]))&lt;=0,0,($O$6+IF(ROW()=ROW(tblBuyerOutputs[#Headers])+1,0,INDEX(tblBuyerOutputs[Cumul Appr],ROW()-ROW(tblBuyerOutputs[#Headers])-1)))*$O$2/12)</f>
        <v>0</v>
      </c>
      <c r="AE382" s="587">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61" t="str">
        <f t="shared" si="77"/>
        <v/>
      </c>
      <c r="B383" s="265">
        <f t="shared" si="78"/>
        <v>0</v>
      </c>
      <c r="C383" s="14">
        <f t="shared" si="75"/>
        <v>0</v>
      </c>
      <c r="D383" s="14">
        <f t="shared" si="79"/>
        <v>0</v>
      </c>
      <c r="E383" s="14">
        <f t="shared" si="76"/>
        <v>0</v>
      </c>
      <c r="F383" s="14">
        <f t="shared" ref="F383:G398" si="87">+F382</f>
        <v>0</v>
      </c>
      <c r="G383" s="14">
        <f t="shared" si="87"/>
        <v>0</v>
      </c>
      <c r="H383" s="14">
        <f t="shared" si="73"/>
        <v>0</v>
      </c>
      <c r="I383" s="265">
        <f t="shared" si="82"/>
        <v>0</v>
      </c>
      <c r="J383" s="265">
        <f t="shared" si="83"/>
        <v>0</v>
      </c>
      <c r="K383" s="265">
        <f t="shared" si="80"/>
        <v>0</v>
      </c>
      <c r="L383" s="373">
        <f t="shared" si="86"/>
        <v>0</v>
      </c>
      <c r="M383" s="373">
        <f t="shared" si="81"/>
        <v>0</v>
      </c>
      <c r="N383" s="561"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Row],[Payment]]=0,0,$V$2)</f>
        <v>0</v>
      </c>
      <c r="U383" s="265">
        <f>IF(tblContractForDeed[[#This Row],[Princ]]=0,0,$V$3)</f>
        <v>0</v>
      </c>
      <c r="V383" s="265">
        <f>SUM(tblContractForDeed[[#This Row],[Princ]],tblContractForDeed[[#This Row],[Int]],tblContractForDeed[[#This Row],[Ins]],tblContractForDeed[[#This Row],[Taxes]])</f>
        <v>0</v>
      </c>
      <c r="W383" s="265">
        <f>SUM(INDEX(tblContractForDeed[Princ],1):INDEX(tblContractForDeed[Princ],ROW()-ROW(tblContractForDeed[#Headers])))</f>
        <v>146500</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39">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3" s="265">
        <f>IF(INDEX(tblContractForDeed[End Bal],ROW()-ROW(tblBuyerOutputs[#Headers]))&lt;=0,0,($O$6+IF(ROW()=ROW(tblBuyerOutputs[#Headers])+1,0,INDEX(tblBuyerOutputs[Cumul Appr],ROW()-ROW(tblBuyerOutputs[#Headers])-1)))*$O$2/12)</f>
        <v>0</v>
      </c>
      <c r="AE383" s="587">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61" t="str">
        <f t="shared" si="77"/>
        <v/>
      </c>
      <c r="B384" s="265">
        <f t="shared" si="78"/>
        <v>0</v>
      </c>
      <c r="C384" s="14">
        <f t="shared" si="75"/>
        <v>0</v>
      </c>
      <c r="D384" s="14">
        <f t="shared" si="79"/>
        <v>0</v>
      </c>
      <c r="E384" s="14">
        <f t="shared" si="76"/>
        <v>0</v>
      </c>
      <c r="F384" s="14">
        <f t="shared" si="87"/>
        <v>0</v>
      </c>
      <c r="G384" s="14">
        <f t="shared" si="87"/>
        <v>0</v>
      </c>
      <c r="H384" s="14">
        <f t="shared" ref="H384:H447" si="88">SUM(D384:G384)</f>
        <v>0</v>
      </c>
      <c r="I384" s="265">
        <f t="shared" si="82"/>
        <v>0</v>
      </c>
      <c r="J384" s="265">
        <f t="shared" si="83"/>
        <v>0</v>
      </c>
      <c r="K384" s="265">
        <f t="shared" si="80"/>
        <v>0</v>
      </c>
      <c r="L384" s="373">
        <f t="shared" si="86"/>
        <v>0</v>
      </c>
      <c r="M384" s="373">
        <f t="shared" si="81"/>
        <v>0</v>
      </c>
      <c r="N384" s="561"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Row],[Payment]]=0,0,$V$2)</f>
        <v>0</v>
      </c>
      <c r="U384" s="265">
        <f>IF(tblContractForDeed[[#This Row],[Princ]]=0,0,$V$3)</f>
        <v>0</v>
      </c>
      <c r="V384" s="265">
        <f>SUM(tblContractForDeed[[#This Row],[Princ]],tblContractForDeed[[#This Row],[Int]],tblContractForDeed[[#This Row],[Ins]],tblContractForDeed[[#This Row],[Taxes]])</f>
        <v>0</v>
      </c>
      <c r="W384" s="265">
        <f>SUM(INDEX(tblContractForDeed[Princ],1):INDEX(tblContractForDeed[Princ],ROW()-ROW(tblContractForDeed[#Headers])))</f>
        <v>146500</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39">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4" s="265">
        <f>IF(INDEX(tblContractForDeed[End Bal],ROW()-ROW(tblBuyerOutputs[#Headers]))&lt;=0,0,($O$6+IF(ROW()=ROW(tblBuyerOutputs[#Headers])+1,0,INDEX(tblBuyerOutputs[Cumul Appr],ROW()-ROW(tblBuyerOutputs[#Headers])-1)))*$O$2/12)</f>
        <v>0</v>
      </c>
      <c r="AE384" s="587">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61" t="str">
        <f t="shared" si="77"/>
        <v/>
      </c>
      <c r="B385" s="265">
        <f t="shared" si="78"/>
        <v>0</v>
      </c>
      <c r="C385" s="14">
        <f t="shared" si="75"/>
        <v>0</v>
      </c>
      <c r="D385" s="14">
        <f t="shared" si="79"/>
        <v>0</v>
      </c>
      <c r="E385" s="14">
        <f t="shared" si="76"/>
        <v>0</v>
      </c>
      <c r="F385" s="14">
        <f t="shared" si="87"/>
        <v>0</v>
      </c>
      <c r="G385" s="14">
        <f t="shared" si="87"/>
        <v>0</v>
      </c>
      <c r="H385" s="14">
        <f t="shared" si="88"/>
        <v>0</v>
      </c>
      <c r="I385" s="265">
        <f t="shared" si="82"/>
        <v>0</v>
      </c>
      <c r="J385" s="265">
        <f t="shared" si="83"/>
        <v>0</v>
      </c>
      <c r="K385" s="265">
        <f t="shared" si="80"/>
        <v>0</v>
      </c>
      <c r="L385" s="373">
        <f t="shared" si="86"/>
        <v>0</v>
      </c>
      <c r="M385" s="373">
        <f t="shared" si="81"/>
        <v>0</v>
      </c>
      <c r="N385" s="561"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Row],[Payment]]=0,0,$V$2)</f>
        <v>0</v>
      </c>
      <c r="U385" s="265">
        <f>IF(tblContractForDeed[[#This Row],[Princ]]=0,0,$V$3)</f>
        <v>0</v>
      </c>
      <c r="V385" s="265">
        <f>SUM(tblContractForDeed[[#This Row],[Princ]],tblContractForDeed[[#This Row],[Int]],tblContractForDeed[[#This Row],[Ins]],tblContractForDeed[[#This Row],[Taxes]])</f>
        <v>0</v>
      </c>
      <c r="W385" s="265">
        <f>SUM(INDEX(tblContractForDeed[Princ],1):INDEX(tblContractForDeed[Princ],ROW()-ROW(tblContractForDeed[#Headers])))</f>
        <v>146500</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39">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5" s="265">
        <f>IF(INDEX(tblContractForDeed[End Bal],ROW()-ROW(tblBuyerOutputs[#Headers]))&lt;=0,0,($O$6+IF(ROW()=ROW(tblBuyerOutputs[#Headers])+1,0,INDEX(tblBuyerOutputs[Cumul Appr],ROW()-ROW(tblBuyerOutputs[#Headers])-1)))*$O$2/12)</f>
        <v>0</v>
      </c>
      <c r="AE385" s="587">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61" t="str">
        <f t="shared" si="77"/>
        <v/>
      </c>
      <c r="B386" s="265">
        <f t="shared" si="78"/>
        <v>0</v>
      </c>
      <c r="C386" s="14">
        <f t="shared" si="75"/>
        <v>0</v>
      </c>
      <c r="D386" s="14">
        <f t="shared" si="79"/>
        <v>0</v>
      </c>
      <c r="E386" s="14">
        <f t="shared" si="76"/>
        <v>0</v>
      </c>
      <c r="F386" s="14">
        <f t="shared" si="87"/>
        <v>0</v>
      </c>
      <c r="G386" s="14">
        <f t="shared" si="87"/>
        <v>0</v>
      </c>
      <c r="H386" s="14">
        <f t="shared" si="88"/>
        <v>0</v>
      </c>
      <c r="I386" s="265">
        <f t="shared" si="82"/>
        <v>0</v>
      </c>
      <c r="J386" s="265">
        <f t="shared" si="83"/>
        <v>0</v>
      </c>
      <c r="K386" s="265">
        <f t="shared" si="80"/>
        <v>0</v>
      </c>
      <c r="L386" s="373">
        <f t="shared" si="86"/>
        <v>0</v>
      </c>
      <c r="M386" s="373">
        <f t="shared" si="81"/>
        <v>0</v>
      </c>
      <c r="N386" s="561"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Row],[Payment]]=0,0,$V$2)</f>
        <v>0</v>
      </c>
      <c r="U386" s="265">
        <f>IF(tblContractForDeed[[#This Row],[Princ]]=0,0,$V$3)</f>
        <v>0</v>
      </c>
      <c r="V386" s="265">
        <f>SUM(tblContractForDeed[[#This Row],[Princ]],tblContractForDeed[[#This Row],[Int]],tblContractForDeed[[#This Row],[Ins]],tblContractForDeed[[#This Row],[Taxes]])</f>
        <v>0</v>
      </c>
      <c r="W386" s="265">
        <f>SUM(INDEX(tblContractForDeed[Princ],1):INDEX(tblContractForDeed[Princ],ROW()-ROW(tblContractForDeed[#Headers])))</f>
        <v>146500</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39">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6" s="265">
        <f>IF(INDEX(tblContractForDeed[End Bal],ROW()-ROW(tblBuyerOutputs[#Headers]))&lt;=0,0,($O$6+IF(ROW()=ROW(tblBuyerOutputs[#Headers])+1,0,INDEX(tblBuyerOutputs[Cumul Appr],ROW()-ROW(tblBuyerOutputs[#Headers])-1)))*$O$2/12)</f>
        <v>0</v>
      </c>
      <c r="AE386" s="587">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61" t="str">
        <f t="shared" si="77"/>
        <v/>
      </c>
      <c r="B387" s="265">
        <f t="shared" si="78"/>
        <v>0</v>
      </c>
      <c r="C387" s="14">
        <f t="shared" si="75"/>
        <v>0</v>
      </c>
      <c r="D387" s="14">
        <f t="shared" si="79"/>
        <v>0</v>
      </c>
      <c r="E387" s="14">
        <f t="shared" si="76"/>
        <v>0</v>
      </c>
      <c r="F387" s="14">
        <f t="shared" si="87"/>
        <v>0</v>
      </c>
      <c r="G387" s="14">
        <f t="shared" si="87"/>
        <v>0</v>
      </c>
      <c r="H387" s="14">
        <f t="shared" si="88"/>
        <v>0</v>
      </c>
      <c r="I387" s="265">
        <f t="shared" si="82"/>
        <v>0</v>
      </c>
      <c r="J387" s="265">
        <f t="shared" si="83"/>
        <v>0</v>
      </c>
      <c r="K387" s="265">
        <f t="shared" si="80"/>
        <v>0</v>
      </c>
      <c r="L387" s="373">
        <f t="shared" si="86"/>
        <v>0</v>
      </c>
      <c r="M387" s="373">
        <f t="shared" si="81"/>
        <v>0</v>
      </c>
      <c r="N387" s="561"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Row],[Payment]]=0,0,$V$2)</f>
        <v>0</v>
      </c>
      <c r="U387" s="265">
        <f>IF(tblContractForDeed[[#This Row],[Princ]]=0,0,$V$3)</f>
        <v>0</v>
      </c>
      <c r="V387" s="265">
        <f>SUM(tblContractForDeed[[#This Row],[Princ]],tblContractForDeed[[#This Row],[Int]],tblContractForDeed[[#This Row],[Ins]],tblContractForDeed[[#This Row],[Taxes]])</f>
        <v>0</v>
      </c>
      <c r="W387" s="265">
        <f>SUM(INDEX(tblContractForDeed[Princ],1):INDEX(tblContractForDeed[Princ],ROW()-ROW(tblContractForDeed[#Headers])))</f>
        <v>146500</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39">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7" s="265">
        <f>IF(INDEX(tblContractForDeed[End Bal],ROW()-ROW(tblBuyerOutputs[#Headers]))&lt;=0,0,($O$6+IF(ROW()=ROW(tblBuyerOutputs[#Headers])+1,0,INDEX(tblBuyerOutputs[Cumul Appr],ROW()-ROW(tblBuyerOutputs[#Headers])-1)))*$O$2/12)</f>
        <v>0</v>
      </c>
      <c r="AE387" s="587">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61" t="str">
        <f t="shared" si="77"/>
        <v/>
      </c>
      <c r="B388" s="265">
        <f t="shared" si="78"/>
        <v>0</v>
      </c>
      <c r="C388" s="14">
        <f t="shared" si="75"/>
        <v>0</v>
      </c>
      <c r="D388" s="14">
        <f t="shared" si="79"/>
        <v>0</v>
      </c>
      <c r="E388" s="14">
        <f t="shared" si="76"/>
        <v>0</v>
      </c>
      <c r="F388" s="14">
        <f t="shared" si="87"/>
        <v>0</v>
      </c>
      <c r="G388" s="14">
        <f t="shared" si="87"/>
        <v>0</v>
      </c>
      <c r="H388" s="14">
        <f t="shared" si="88"/>
        <v>0</v>
      </c>
      <c r="I388" s="265">
        <f t="shared" si="82"/>
        <v>0</v>
      </c>
      <c r="J388" s="265">
        <f t="shared" si="83"/>
        <v>0</v>
      </c>
      <c r="K388" s="265">
        <f t="shared" si="80"/>
        <v>0</v>
      </c>
      <c r="L388" s="373">
        <f t="shared" si="86"/>
        <v>0</v>
      </c>
      <c r="M388" s="373">
        <f t="shared" si="81"/>
        <v>0</v>
      </c>
      <c r="N388" s="561"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Row],[Payment]]=0,0,$V$2)</f>
        <v>0</v>
      </c>
      <c r="U388" s="265">
        <f>IF(tblContractForDeed[[#This Row],[Princ]]=0,0,$V$3)</f>
        <v>0</v>
      </c>
      <c r="V388" s="265">
        <f>SUM(tblContractForDeed[[#This Row],[Princ]],tblContractForDeed[[#This Row],[Int]],tblContractForDeed[[#This Row],[Ins]],tblContractForDeed[[#This Row],[Taxes]])</f>
        <v>0</v>
      </c>
      <c r="W388" s="265">
        <f>SUM(INDEX(tblContractForDeed[Princ],1):INDEX(tblContractForDeed[Princ],ROW()-ROW(tblContractForDeed[#Headers])))</f>
        <v>146500</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39">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8" s="265">
        <f>IF(INDEX(tblContractForDeed[End Bal],ROW()-ROW(tblBuyerOutputs[#Headers]))&lt;=0,0,($O$6+IF(ROW()=ROW(tblBuyerOutputs[#Headers])+1,0,INDEX(tblBuyerOutputs[Cumul Appr],ROW()-ROW(tblBuyerOutputs[#Headers])-1)))*$O$2/12)</f>
        <v>0</v>
      </c>
      <c r="AE388" s="587">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61" t="str">
        <f t="shared" si="77"/>
        <v/>
      </c>
      <c r="B389" s="265">
        <f t="shared" si="78"/>
        <v>0</v>
      </c>
      <c r="C389" s="14">
        <f t="shared" si="75"/>
        <v>0</v>
      </c>
      <c r="D389" s="14">
        <f t="shared" si="79"/>
        <v>0</v>
      </c>
      <c r="E389" s="14">
        <f t="shared" si="76"/>
        <v>0</v>
      </c>
      <c r="F389" s="14">
        <f t="shared" si="87"/>
        <v>0</v>
      </c>
      <c r="G389" s="14">
        <f t="shared" si="87"/>
        <v>0</v>
      </c>
      <c r="H389" s="14">
        <f t="shared" si="88"/>
        <v>0</v>
      </c>
      <c r="I389" s="265">
        <f t="shared" si="82"/>
        <v>0</v>
      </c>
      <c r="J389" s="265">
        <f t="shared" si="83"/>
        <v>0</v>
      </c>
      <c r="K389" s="265">
        <f t="shared" si="80"/>
        <v>0</v>
      </c>
      <c r="L389" s="373">
        <f t="shared" si="86"/>
        <v>0</v>
      </c>
      <c r="M389" s="373">
        <f t="shared" si="81"/>
        <v>0</v>
      </c>
      <c r="N389" s="561"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Row],[Payment]]=0,0,$V$2)</f>
        <v>0</v>
      </c>
      <c r="U389" s="265">
        <f>IF(tblContractForDeed[[#This Row],[Princ]]=0,0,$V$3)</f>
        <v>0</v>
      </c>
      <c r="V389" s="265">
        <f>SUM(tblContractForDeed[[#This Row],[Princ]],tblContractForDeed[[#This Row],[Int]],tblContractForDeed[[#This Row],[Ins]],tblContractForDeed[[#This Row],[Taxes]])</f>
        <v>0</v>
      </c>
      <c r="W389" s="265">
        <f>SUM(INDEX(tblContractForDeed[Princ],1):INDEX(tblContractForDeed[Princ],ROW()-ROW(tblContractForDeed[#Headers])))</f>
        <v>146500</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39">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9" s="265">
        <f>IF(INDEX(tblContractForDeed[End Bal],ROW()-ROW(tblBuyerOutputs[#Headers]))&lt;=0,0,($O$6+IF(ROW()=ROW(tblBuyerOutputs[#Headers])+1,0,INDEX(tblBuyerOutputs[Cumul Appr],ROW()-ROW(tblBuyerOutputs[#Headers])-1)))*$O$2/12)</f>
        <v>0</v>
      </c>
      <c r="AE389" s="587">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61" t="str">
        <f t="shared" si="77"/>
        <v/>
      </c>
      <c r="B390" s="265">
        <f t="shared" si="78"/>
        <v>0</v>
      </c>
      <c r="C390" s="14">
        <f t="shared" si="75"/>
        <v>0</v>
      </c>
      <c r="D390" s="14">
        <f t="shared" si="79"/>
        <v>0</v>
      </c>
      <c r="E390" s="14">
        <f t="shared" si="76"/>
        <v>0</v>
      </c>
      <c r="F390" s="14">
        <f t="shared" si="87"/>
        <v>0</v>
      </c>
      <c r="G390" s="14">
        <f t="shared" si="87"/>
        <v>0</v>
      </c>
      <c r="H390" s="14">
        <f t="shared" si="88"/>
        <v>0</v>
      </c>
      <c r="I390" s="265">
        <f t="shared" si="82"/>
        <v>0</v>
      </c>
      <c r="J390" s="265">
        <f t="shared" si="83"/>
        <v>0</v>
      </c>
      <c r="K390" s="265">
        <f t="shared" si="80"/>
        <v>0</v>
      </c>
      <c r="L390" s="373">
        <f t="shared" si="86"/>
        <v>0</v>
      </c>
      <c r="M390" s="373">
        <f t="shared" si="81"/>
        <v>0</v>
      </c>
      <c r="N390" s="561"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Row],[Payment]]=0,0,$V$2)</f>
        <v>0</v>
      </c>
      <c r="U390" s="265">
        <f>IF(tblContractForDeed[[#This Row],[Princ]]=0,0,$V$3)</f>
        <v>0</v>
      </c>
      <c r="V390" s="265">
        <f>SUM(tblContractForDeed[[#This Row],[Princ]],tblContractForDeed[[#This Row],[Int]],tblContractForDeed[[#This Row],[Ins]],tblContractForDeed[[#This Row],[Taxes]])</f>
        <v>0</v>
      </c>
      <c r="W390" s="265">
        <f>SUM(INDEX(tblContractForDeed[Princ],1):INDEX(tblContractForDeed[Princ],ROW()-ROW(tblContractForDeed[#Headers])))</f>
        <v>146500</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39">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0" s="265">
        <f>IF(INDEX(tblContractForDeed[End Bal],ROW()-ROW(tblBuyerOutputs[#Headers]))&lt;=0,0,($O$6+IF(ROW()=ROW(tblBuyerOutputs[#Headers])+1,0,INDEX(tblBuyerOutputs[Cumul Appr],ROW()-ROW(tblBuyerOutputs[#Headers])-1)))*$O$2/12)</f>
        <v>0</v>
      </c>
      <c r="AE390" s="587">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62" t="str">
        <f t="shared" si="77"/>
        <v/>
      </c>
      <c r="B391" s="316">
        <f t="shared" si="78"/>
        <v>0</v>
      </c>
      <c r="C391" s="21">
        <f t="shared" si="75"/>
        <v>0</v>
      </c>
      <c r="D391" s="21">
        <f t="shared" si="79"/>
        <v>0</v>
      </c>
      <c r="E391" s="21">
        <f t="shared" si="76"/>
        <v>0</v>
      </c>
      <c r="F391" s="21">
        <f t="shared" si="87"/>
        <v>0</v>
      </c>
      <c r="G391" s="21">
        <f t="shared" si="87"/>
        <v>0</v>
      </c>
      <c r="H391" s="21">
        <f t="shared" si="88"/>
        <v>0</v>
      </c>
      <c r="I391" s="316">
        <f t="shared" si="82"/>
        <v>0</v>
      </c>
      <c r="J391" s="316">
        <f t="shared" si="83"/>
        <v>0</v>
      </c>
      <c r="K391" s="316">
        <f t="shared" si="80"/>
        <v>0</v>
      </c>
      <c r="L391" s="374">
        <f t="shared" si="86"/>
        <v>0</v>
      </c>
      <c r="M391" s="374">
        <f t="shared" si="81"/>
        <v>0</v>
      </c>
      <c r="N391" s="562" t="str">
        <f>INDEX(tblSubjectToLoan[Date],ROW()-ROW(tblContractForDeed[#Headers]))</f>
        <v/>
      </c>
      <c r="O391" s="316">
        <f>IF(ROW()=ROW(tblContractForDeed[#Headers])+1,$O$6,IF(INDEX(tblContractForDeed[End Bal],ROW()-ROW(tblContractForDeed[#Headers])-1)&lt;0,0,INDEX(tblContractForDeed[End Bal],ROW()-ROW(tblContractForDeed[#Headers])-1)))</f>
        <v>0</v>
      </c>
      <c r="P391" s="585"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Row],[Payment]]=0,0,$V$2)</f>
        <v>0</v>
      </c>
      <c r="U391" s="316">
        <f>IF(tblContractForDeed[[#This Row],[Princ]]=0,0,$V$3)</f>
        <v>0</v>
      </c>
      <c r="V391" s="316">
        <f>SUM(tblContractForDeed[[#This Row],[Princ]],tblContractForDeed[[#This Row],[Int]],tblContractForDeed[[#This Row],[Ins]],tblContractForDeed[[#This Row],[Taxes]])</f>
        <v>0</v>
      </c>
      <c r="W391" s="316">
        <f>SUM(INDEX(tblContractForDeed[Princ],1):INDEX(tblContractForDeed[Princ],ROW()-ROW(tblContractForDeed[#Headers])))</f>
        <v>146500</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0">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1" s="316">
        <f>IF(INDEX(tblContractForDeed[End Bal],ROW()-ROW(tblBuyerOutputs[#Headers]))&lt;=0,0,($O$6+IF(ROW()=ROW(tblBuyerOutputs[#Headers])+1,0,INDEX(tblBuyerOutputs[Cumul Appr],ROW()-ROW(tblBuyerOutputs[#Headers])-1)))*$O$2/12)</f>
        <v>0</v>
      </c>
      <c r="AE391" s="588">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61" t="str">
        <f t="shared" si="77"/>
        <v/>
      </c>
      <c r="B392" s="265">
        <f t="shared" si="78"/>
        <v>0</v>
      </c>
      <c r="C392" s="14">
        <f t="shared" si="75"/>
        <v>0</v>
      </c>
      <c r="D392" s="14">
        <f t="shared" si="79"/>
        <v>0</v>
      </c>
      <c r="E392" s="14">
        <f t="shared" si="76"/>
        <v>0</v>
      </c>
      <c r="F392" s="14">
        <f t="shared" si="87"/>
        <v>0</v>
      </c>
      <c r="G392" s="14">
        <f t="shared" si="87"/>
        <v>0</v>
      </c>
      <c r="H392" s="14">
        <f t="shared" si="88"/>
        <v>0</v>
      </c>
      <c r="I392" s="265">
        <f t="shared" si="82"/>
        <v>0</v>
      </c>
      <c r="J392" s="265">
        <f t="shared" si="83"/>
        <v>0</v>
      </c>
      <c r="K392" s="265">
        <f t="shared" si="80"/>
        <v>0</v>
      </c>
      <c r="L392" s="373">
        <f t="shared" si="86"/>
        <v>0</v>
      </c>
      <c r="M392" s="373">
        <f t="shared" si="81"/>
        <v>0</v>
      </c>
      <c r="N392" s="561"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Row],[Payment]]=0,0,$V$2)</f>
        <v>0</v>
      </c>
      <c r="U392" s="265">
        <f>IF(tblContractForDeed[[#This Row],[Princ]]=0,0,$V$3)</f>
        <v>0</v>
      </c>
      <c r="V392" s="265">
        <f>SUM(tblContractForDeed[[#This Row],[Princ]],tblContractForDeed[[#This Row],[Int]],tblContractForDeed[[#This Row],[Ins]],tblContractForDeed[[#This Row],[Taxes]])</f>
        <v>0</v>
      </c>
      <c r="W392" s="265">
        <f>SUM(INDEX(tblContractForDeed[Princ],1):INDEX(tblContractForDeed[Princ],ROW()-ROW(tblContractForDeed[#Headers])))</f>
        <v>146500</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39">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2" s="265">
        <f>IF(INDEX(tblContractForDeed[End Bal],ROW()-ROW(tblBuyerOutputs[#Headers]))&lt;=0,0,($O$6+IF(ROW()=ROW(tblBuyerOutputs[#Headers])+1,0,INDEX(tblBuyerOutputs[Cumul Appr],ROW()-ROW(tblBuyerOutputs[#Headers])-1)))*$O$2/12)</f>
        <v>0</v>
      </c>
      <c r="AE392" s="587">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61" t="str">
        <f t="shared" si="77"/>
        <v/>
      </c>
      <c r="B393" s="265">
        <f t="shared" si="78"/>
        <v>0</v>
      </c>
      <c r="C393" s="14">
        <f t="shared" si="75"/>
        <v>0</v>
      </c>
      <c r="D393" s="14">
        <f t="shared" si="79"/>
        <v>0</v>
      </c>
      <c r="E393" s="14">
        <f t="shared" si="76"/>
        <v>0</v>
      </c>
      <c r="F393" s="14">
        <f t="shared" si="87"/>
        <v>0</v>
      </c>
      <c r="G393" s="14">
        <f t="shared" si="87"/>
        <v>0</v>
      </c>
      <c r="H393" s="14">
        <f t="shared" si="88"/>
        <v>0</v>
      </c>
      <c r="I393" s="265">
        <f t="shared" si="82"/>
        <v>0</v>
      </c>
      <c r="J393" s="265">
        <f t="shared" si="83"/>
        <v>0</v>
      </c>
      <c r="K393" s="265">
        <f t="shared" si="80"/>
        <v>0</v>
      </c>
      <c r="L393" s="373">
        <f t="shared" si="86"/>
        <v>0</v>
      </c>
      <c r="M393" s="373">
        <f t="shared" si="81"/>
        <v>0</v>
      </c>
      <c r="N393" s="561"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Row],[Payment]]=0,0,$V$2)</f>
        <v>0</v>
      </c>
      <c r="U393" s="265">
        <f>IF(tblContractForDeed[[#This Row],[Princ]]=0,0,$V$3)</f>
        <v>0</v>
      </c>
      <c r="V393" s="265">
        <f>SUM(tblContractForDeed[[#This Row],[Princ]],tblContractForDeed[[#This Row],[Int]],tblContractForDeed[[#This Row],[Ins]],tblContractForDeed[[#This Row],[Taxes]])</f>
        <v>0</v>
      </c>
      <c r="W393" s="265">
        <f>SUM(INDEX(tblContractForDeed[Princ],1):INDEX(tblContractForDeed[Princ],ROW()-ROW(tblContractForDeed[#Headers])))</f>
        <v>146500</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39">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3" s="265">
        <f>IF(INDEX(tblContractForDeed[End Bal],ROW()-ROW(tblBuyerOutputs[#Headers]))&lt;=0,0,($O$6+IF(ROW()=ROW(tblBuyerOutputs[#Headers])+1,0,INDEX(tblBuyerOutputs[Cumul Appr],ROW()-ROW(tblBuyerOutputs[#Headers])-1)))*$O$2/12)</f>
        <v>0</v>
      </c>
      <c r="AE393" s="587">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61" t="str">
        <f t="shared" si="77"/>
        <v/>
      </c>
      <c r="B394" s="265">
        <f t="shared" si="78"/>
        <v>0</v>
      </c>
      <c r="C394" s="14">
        <f t="shared" si="75"/>
        <v>0</v>
      </c>
      <c r="D394" s="14">
        <f t="shared" si="79"/>
        <v>0</v>
      </c>
      <c r="E394" s="14">
        <f t="shared" si="76"/>
        <v>0</v>
      </c>
      <c r="F394" s="14">
        <f t="shared" si="87"/>
        <v>0</v>
      </c>
      <c r="G394" s="14">
        <f t="shared" si="87"/>
        <v>0</v>
      </c>
      <c r="H394" s="14">
        <f t="shared" si="88"/>
        <v>0</v>
      </c>
      <c r="I394" s="265">
        <f t="shared" si="82"/>
        <v>0</v>
      </c>
      <c r="J394" s="265">
        <f t="shared" si="83"/>
        <v>0</v>
      </c>
      <c r="K394" s="265">
        <f t="shared" si="80"/>
        <v>0</v>
      </c>
      <c r="L394" s="373">
        <f t="shared" si="86"/>
        <v>0</v>
      </c>
      <c r="M394" s="373">
        <f t="shared" si="81"/>
        <v>0</v>
      </c>
      <c r="N394" s="561"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Row],[Payment]]=0,0,$V$2)</f>
        <v>0</v>
      </c>
      <c r="U394" s="265">
        <f>IF(tblContractForDeed[[#This Row],[Princ]]=0,0,$V$3)</f>
        <v>0</v>
      </c>
      <c r="V394" s="265">
        <f>SUM(tblContractForDeed[[#This Row],[Princ]],tblContractForDeed[[#This Row],[Int]],tblContractForDeed[[#This Row],[Ins]],tblContractForDeed[[#This Row],[Taxes]])</f>
        <v>0</v>
      </c>
      <c r="W394" s="265">
        <f>SUM(INDEX(tblContractForDeed[Princ],1):INDEX(tblContractForDeed[Princ],ROW()-ROW(tblContractForDeed[#Headers])))</f>
        <v>146500</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39">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4" s="265">
        <f>IF(INDEX(tblContractForDeed[End Bal],ROW()-ROW(tblBuyerOutputs[#Headers]))&lt;=0,0,($O$6+IF(ROW()=ROW(tblBuyerOutputs[#Headers])+1,0,INDEX(tblBuyerOutputs[Cumul Appr],ROW()-ROW(tblBuyerOutputs[#Headers])-1)))*$O$2/12)</f>
        <v>0</v>
      </c>
      <c r="AE394" s="587">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61" t="str">
        <f t="shared" si="77"/>
        <v/>
      </c>
      <c r="B395" s="265">
        <f t="shared" si="78"/>
        <v>0</v>
      </c>
      <c r="C395" s="14">
        <f t="shared" si="75"/>
        <v>0</v>
      </c>
      <c r="D395" s="14">
        <f t="shared" si="79"/>
        <v>0</v>
      </c>
      <c r="E395" s="14">
        <f t="shared" si="76"/>
        <v>0</v>
      </c>
      <c r="F395" s="14">
        <f t="shared" si="87"/>
        <v>0</v>
      </c>
      <c r="G395" s="14">
        <f t="shared" si="87"/>
        <v>0</v>
      </c>
      <c r="H395" s="14">
        <f t="shared" si="88"/>
        <v>0</v>
      </c>
      <c r="I395" s="265">
        <f t="shared" si="82"/>
        <v>0</v>
      </c>
      <c r="J395" s="265">
        <f t="shared" si="83"/>
        <v>0</v>
      </c>
      <c r="K395" s="265">
        <f t="shared" si="80"/>
        <v>0</v>
      </c>
      <c r="L395" s="373">
        <f t="shared" si="86"/>
        <v>0</v>
      </c>
      <c r="M395" s="373">
        <f t="shared" si="81"/>
        <v>0</v>
      </c>
      <c r="N395" s="561"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Row],[Payment]]=0,0,$V$2)</f>
        <v>0</v>
      </c>
      <c r="U395" s="265">
        <f>IF(tblContractForDeed[[#This Row],[Princ]]=0,0,$V$3)</f>
        <v>0</v>
      </c>
      <c r="V395" s="265">
        <f>SUM(tblContractForDeed[[#This Row],[Princ]],tblContractForDeed[[#This Row],[Int]],tblContractForDeed[[#This Row],[Ins]],tblContractForDeed[[#This Row],[Taxes]])</f>
        <v>0</v>
      </c>
      <c r="W395" s="265">
        <f>SUM(INDEX(tblContractForDeed[Princ],1):INDEX(tblContractForDeed[Princ],ROW()-ROW(tblContractForDeed[#Headers])))</f>
        <v>146500</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39">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5" s="265">
        <f>IF(INDEX(tblContractForDeed[End Bal],ROW()-ROW(tblBuyerOutputs[#Headers]))&lt;=0,0,($O$6+IF(ROW()=ROW(tblBuyerOutputs[#Headers])+1,0,INDEX(tblBuyerOutputs[Cumul Appr],ROW()-ROW(tblBuyerOutputs[#Headers])-1)))*$O$2/12)</f>
        <v>0</v>
      </c>
      <c r="AE395" s="587">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61" t="str">
        <f t="shared" si="77"/>
        <v/>
      </c>
      <c r="B396" s="265">
        <f t="shared" si="78"/>
        <v>0</v>
      </c>
      <c r="C396" s="14">
        <f t="shared" si="75"/>
        <v>0</v>
      </c>
      <c r="D396" s="14">
        <f t="shared" si="79"/>
        <v>0</v>
      </c>
      <c r="E396" s="14">
        <f t="shared" si="76"/>
        <v>0</v>
      </c>
      <c r="F396" s="14">
        <f t="shared" si="87"/>
        <v>0</v>
      </c>
      <c r="G396" s="14">
        <f t="shared" si="87"/>
        <v>0</v>
      </c>
      <c r="H396" s="14">
        <f t="shared" si="88"/>
        <v>0</v>
      </c>
      <c r="I396" s="265">
        <f t="shared" si="82"/>
        <v>0</v>
      </c>
      <c r="J396" s="265">
        <f t="shared" si="83"/>
        <v>0</v>
      </c>
      <c r="K396" s="265">
        <f t="shared" si="80"/>
        <v>0</v>
      </c>
      <c r="L396" s="373">
        <f t="shared" si="86"/>
        <v>0</v>
      </c>
      <c r="M396" s="373">
        <f t="shared" si="81"/>
        <v>0</v>
      </c>
      <c r="N396" s="561"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Row],[Payment]]=0,0,$V$2)</f>
        <v>0</v>
      </c>
      <c r="U396" s="265">
        <f>IF(tblContractForDeed[[#This Row],[Princ]]=0,0,$V$3)</f>
        <v>0</v>
      </c>
      <c r="V396" s="265">
        <f>SUM(tblContractForDeed[[#This Row],[Princ]],tblContractForDeed[[#This Row],[Int]],tblContractForDeed[[#This Row],[Ins]],tblContractForDeed[[#This Row],[Taxes]])</f>
        <v>0</v>
      </c>
      <c r="W396" s="265">
        <f>SUM(INDEX(tblContractForDeed[Princ],1):INDEX(tblContractForDeed[Princ],ROW()-ROW(tblContractForDeed[#Headers])))</f>
        <v>146500</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39">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6" s="265">
        <f>IF(INDEX(tblContractForDeed[End Bal],ROW()-ROW(tblBuyerOutputs[#Headers]))&lt;=0,0,($O$6+IF(ROW()=ROW(tblBuyerOutputs[#Headers])+1,0,INDEX(tblBuyerOutputs[Cumul Appr],ROW()-ROW(tblBuyerOutputs[#Headers])-1)))*$O$2/12)</f>
        <v>0</v>
      </c>
      <c r="AE396" s="587">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61" t="str">
        <f t="shared" si="77"/>
        <v/>
      </c>
      <c r="B397" s="265">
        <f t="shared" si="78"/>
        <v>0</v>
      </c>
      <c r="C397" s="14">
        <f t="shared" si="75"/>
        <v>0</v>
      </c>
      <c r="D397" s="14">
        <f t="shared" si="79"/>
        <v>0</v>
      </c>
      <c r="E397" s="14">
        <f t="shared" si="76"/>
        <v>0</v>
      </c>
      <c r="F397" s="14">
        <f t="shared" si="87"/>
        <v>0</v>
      </c>
      <c r="G397" s="14">
        <f t="shared" si="87"/>
        <v>0</v>
      </c>
      <c r="H397" s="14">
        <f t="shared" si="88"/>
        <v>0</v>
      </c>
      <c r="I397" s="265">
        <f t="shared" si="82"/>
        <v>0</v>
      </c>
      <c r="J397" s="265">
        <f t="shared" si="83"/>
        <v>0</v>
      </c>
      <c r="K397" s="265">
        <f t="shared" si="80"/>
        <v>0</v>
      </c>
      <c r="L397" s="373">
        <f t="shared" si="86"/>
        <v>0</v>
      </c>
      <c r="M397" s="373">
        <f t="shared" si="81"/>
        <v>0</v>
      </c>
      <c r="N397" s="561"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Row],[Payment]]=0,0,$V$2)</f>
        <v>0</v>
      </c>
      <c r="U397" s="265">
        <f>IF(tblContractForDeed[[#This Row],[Princ]]=0,0,$V$3)</f>
        <v>0</v>
      </c>
      <c r="V397" s="265">
        <f>SUM(tblContractForDeed[[#This Row],[Princ]],tblContractForDeed[[#This Row],[Int]],tblContractForDeed[[#This Row],[Ins]],tblContractForDeed[[#This Row],[Taxes]])</f>
        <v>0</v>
      </c>
      <c r="W397" s="265">
        <f>SUM(INDEX(tblContractForDeed[Princ],1):INDEX(tblContractForDeed[Princ],ROW()-ROW(tblContractForDeed[#Headers])))</f>
        <v>146500</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39">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7" s="265">
        <f>IF(INDEX(tblContractForDeed[End Bal],ROW()-ROW(tblBuyerOutputs[#Headers]))&lt;=0,0,($O$6+IF(ROW()=ROW(tblBuyerOutputs[#Headers])+1,0,INDEX(tblBuyerOutputs[Cumul Appr],ROW()-ROW(tblBuyerOutputs[#Headers])-1)))*$O$2/12)</f>
        <v>0</v>
      </c>
      <c r="AE397" s="587">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61" t="str">
        <f t="shared" si="77"/>
        <v/>
      </c>
      <c r="B398" s="265">
        <f t="shared" si="78"/>
        <v>0</v>
      </c>
      <c r="C398" s="14">
        <f t="shared" si="75"/>
        <v>0</v>
      </c>
      <c r="D398" s="14">
        <f t="shared" si="79"/>
        <v>0</v>
      </c>
      <c r="E398" s="14">
        <f t="shared" si="76"/>
        <v>0</v>
      </c>
      <c r="F398" s="14">
        <f t="shared" si="87"/>
        <v>0</v>
      </c>
      <c r="G398" s="14">
        <f t="shared" si="87"/>
        <v>0</v>
      </c>
      <c r="H398" s="14">
        <f t="shared" si="88"/>
        <v>0</v>
      </c>
      <c r="I398" s="265">
        <f t="shared" si="82"/>
        <v>0</v>
      </c>
      <c r="J398" s="265">
        <f t="shared" si="83"/>
        <v>0</v>
      </c>
      <c r="K398" s="265">
        <f t="shared" si="80"/>
        <v>0</v>
      </c>
      <c r="L398" s="373">
        <f t="shared" si="86"/>
        <v>0</v>
      </c>
      <c r="M398" s="373">
        <f t="shared" si="81"/>
        <v>0</v>
      </c>
      <c r="N398" s="561"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Row],[Payment]]=0,0,$V$2)</f>
        <v>0</v>
      </c>
      <c r="U398" s="265">
        <f>IF(tblContractForDeed[[#This Row],[Princ]]=0,0,$V$3)</f>
        <v>0</v>
      </c>
      <c r="V398" s="265">
        <f>SUM(tblContractForDeed[[#This Row],[Princ]],tblContractForDeed[[#This Row],[Int]],tblContractForDeed[[#This Row],[Ins]],tblContractForDeed[[#This Row],[Taxes]])</f>
        <v>0</v>
      </c>
      <c r="W398" s="265">
        <f>SUM(INDEX(tblContractForDeed[Princ],1):INDEX(tblContractForDeed[Princ],ROW()-ROW(tblContractForDeed[#Headers])))</f>
        <v>146500</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39">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8" s="265">
        <f>IF(INDEX(tblContractForDeed[End Bal],ROW()-ROW(tblBuyerOutputs[#Headers]))&lt;=0,0,($O$6+IF(ROW()=ROW(tblBuyerOutputs[#Headers])+1,0,INDEX(tblBuyerOutputs[Cumul Appr],ROW()-ROW(tblBuyerOutputs[#Headers])-1)))*$O$2/12)</f>
        <v>0</v>
      </c>
      <c r="AE398" s="587">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61" t="str">
        <f t="shared" si="77"/>
        <v/>
      </c>
      <c r="B399" s="265">
        <f t="shared" si="78"/>
        <v>0</v>
      </c>
      <c r="C399" s="14">
        <f t="shared" si="75"/>
        <v>0</v>
      </c>
      <c r="D399" s="14">
        <f t="shared" si="79"/>
        <v>0</v>
      </c>
      <c r="E399" s="14">
        <f t="shared" si="76"/>
        <v>0</v>
      </c>
      <c r="F399" s="14">
        <f t="shared" ref="F399:G414" si="89">+F398</f>
        <v>0</v>
      </c>
      <c r="G399" s="14">
        <f t="shared" si="89"/>
        <v>0</v>
      </c>
      <c r="H399" s="14">
        <f t="shared" si="88"/>
        <v>0</v>
      </c>
      <c r="I399" s="265">
        <f t="shared" si="82"/>
        <v>0</v>
      </c>
      <c r="J399" s="265">
        <f t="shared" si="83"/>
        <v>0</v>
      </c>
      <c r="K399" s="265">
        <f t="shared" si="80"/>
        <v>0</v>
      </c>
      <c r="L399" s="373">
        <f t="shared" si="86"/>
        <v>0</v>
      </c>
      <c r="M399" s="373">
        <f t="shared" si="81"/>
        <v>0</v>
      </c>
      <c r="N399" s="561"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Row],[Payment]]=0,0,$V$2)</f>
        <v>0</v>
      </c>
      <c r="U399" s="265">
        <f>IF(tblContractForDeed[[#This Row],[Princ]]=0,0,$V$3)</f>
        <v>0</v>
      </c>
      <c r="V399" s="265">
        <f>SUM(tblContractForDeed[[#This Row],[Princ]],tblContractForDeed[[#This Row],[Int]],tblContractForDeed[[#This Row],[Ins]],tblContractForDeed[[#This Row],[Taxes]])</f>
        <v>0</v>
      </c>
      <c r="W399" s="265">
        <f>SUM(INDEX(tblContractForDeed[Princ],1):INDEX(tblContractForDeed[Princ],ROW()-ROW(tblContractForDeed[#Headers])))</f>
        <v>146500</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39">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9" s="265">
        <f>IF(INDEX(tblContractForDeed[End Bal],ROW()-ROW(tblBuyerOutputs[#Headers]))&lt;=0,0,($O$6+IF(ROW()=ROW(tblBuyerOutputs[#Headers])+1,0,INDEX(tblBuyerOutputs[Cumul Appr],ROW()-ROW(tblBuyerOutputs[#Headers])-1)))*$O$2/12)</f>
        <v>0</v>
      </c>
      <c r="AE399" s="587">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61" t="str">
        <f t="shared" si="77"/>
        <v/>
      </c>
      <c r="B400" s="265">
        <f t="shared" si="78"/>
        <v>0</v>
      </c>
      <c r="C400" s="14">
        <f t="shared" si="75"/>
        <v>0</v>
      </c>
      <c r="D400" s="14">
        <f t="shared" si="79"/>
        <v>0</v>
      </c>
      <c r="E400" s="14">
        <f t="shared" si="76"/>
        <v>0</v>
      </c>
      <c r="F400" s="14">
        <f t="shared" si="89"/>
        <v>0</v>
      </c>
      <c r="G400" s="14">
        <f t="shared" si="89"/>
        <v>0</v>
      </c>
      <c r="H400" s="14">
        <f t="shared" si="88"/>
        <v>0</v>
      </c>
      <c r="I400" s="265">
        <f t="shared" si="82"/>
        <v>0</v>
      </c>
      <c r="J400" s="265">
        <f t="shared" si="83"/>
        <v>0</v>
      </c>
      <c r="K400" s="265">
        <f t="shared" si="80"/>
        <v>0</v>
      </c>
      <c r="L400" s="373">
        <f t="shared" si="86"/>
        <v>0</v>
      </c>
      <c r="M400" s="373">
        <f t="shared" si="81"/>
        <v>0</v>
      </c>
      <c r="N400" s="561"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Row],[Payment]]=0,0,$V$2)</f>
        <v>0</v>
      </c>
      <c r="U400" s="265">
        <f>IF(tblContractForDeed[[#This Row],[Princ]]=0,0,$V$3)</f>
        <v>0</v>
      </c>
      <c r="V400" s="265">
        <f>SUM(tblContractForDeed[[#This Row],[Princ]],tblContractForDeed[[#This Row],[Int]],tblContractForDeed[[#This Row],[Ins]],tblContractForDeed[[#This Row],[Taxes]])</f>
        <v>0</v>
      </c>
      <c r="W400" s="265">
        <f>SUM(INDEX(tblContractForDeed[Princ],1):INDEX(tblContractForDeed[Princ],ROW()-ROW(tblContractForDeed[#Headers])))</f>
        <v>146500</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39">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0" s="265">
        <f>IF(INDEX(tblContractForDeed[End Bal],ROW()-ROW(tblBuyerOutputs[#Headers]))&lt;=0,0,($O$6+IF(ROW()=ROW(tblBuyerOutputs[#Headers])+1,0,INDEX(tblBuyerOutputs[Cumul Appr],ROW()-ROW(tblBuyerOutputs[#Headers])-1)))*$O$2/12)</f>
        <v>0</v>
      </c>
      <c r="AE400" s="587">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61" t="str">
        <f t="shared" si="77"/>
        <v/>
      </c>
      <c r="B401" s="265">
        <f t="shared" si="78"/>
        <v>0</v>
      </c>
      <c r="C401" s="14">
        <f t="shared" si="75"/>
        <v>0</v>
      </c>
      <c r="D401" s="14">
        <f t="shared" si="79"/>
        <v>0</v>
      </c>
      <c r="E401" s="14">
        <f t="shared" si="76"/>
        <v>0</v>
      </c>
      <c r="F401" s="14">
        <f t="shared" si="89"/>
        <v>0</v>
      </c>
      <c r="G401" s="14">
        <f t="shared" si="89"/>
        <v>0</v>
      </c>
      <c r="H401" s="14">
        <f t="shared" si="88"/>
        <v>0</v>
      </c>
      <c r="I401" s="265">
        <f t="shared" si="82"/>
        <v>0</v>
      </c>
      <c r="J401" s="265">
        <f t="shared" si="83"/>
        <v>0</v>
      </c>
      <c r="K401" s="265">
        <f t="shared" si="80"/>
        <v>0</v>
      </c>
      <c r="L401" s="373">
        <f t="shared" si="86"/>
        <v>0</v>
      </c>
      <c r="M401" s="373">
        <f t="shared" si="81"/>
        <v>0</v>
      </c>
      <c r="N401" s="561"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Row],[Payment]]=0,0,$V$2)</f>
        <v>0</v>
      </c>
      <c r="U401" s="265">
        <f>IF(tblContractForDeed[[#This Row],[Princ]]=0,0,$V$3)</f>
        <v>0</v>
      </c>
      <c r="V401" s="265">
        <f>SUM(tblContractForDeed[[#This Row],[Princ]],tblContractForDeed[[#This Row],[Int]],tblContractForDeed[[#This Row],[Ins]],tblContractForDeed[[#This Row],[Taxes]])</f>
        <v>0</v>
      </c>
      <c r="W401" s="265">
        <f>SUM(INDEX(tblContractForDeed[Princ],1):INDEX(tblContractForDeed[Princ],ROW()-ROW(tblContractForDeed[#Headers])))</f>
        <v>146500</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39">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1" s="265">
        <f>IF(INDEX(tblContractForDeed[End Bal],ROW()-ROW(tblBuyerOutputs[#Headers]))&lt;=0,0,($O$6+IF(ROW()=ROW(tblBuyerOutputs[#Headers])+1,0,INDEX(tblBuyerOutputs[Cumul Appr],ROW()-ROW(tblBuyerOutputs[#Headers])-1)))*$O$2/12)</f>
        <v>0</v>
      </c>
      <c r="AE401" s="587">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61" t="str">
        <f t="shared" si="77"/>
        <v/>
      </c>
      <c r="B402" s="265">
        <f t="shared" si="78"/>
        <v>0</v>
      </c>
      <c r="C402" s="14">
        <f t="shared" si="75"/>
        <v>0</v>
      </c>
      <c r="D402" s="14">
        <f t="shared" si="79"/>
        <v>0</v>
      </c>
      <c r="E402" s="14">
        <f t="shared" si="76"/>
        <v>0</v>
      </c>
      <c r="F402" s="14">
        <f t="shared" si="89"/>
        <v>0</v>
      </c>
      <c r="G402" s="14">
        <f t="shared" si="89"/>
        <v>0</v>
      </c>
      <c r="H402" s="14">
        <f t="shared" si="88"/>
        <v>0</v>
      </c>
      <c r="I402" s="265">
        <f t="shared" si="82"/>
        <v>0</v>
      </c>
      <c r="J402" s="265">
        <f t="shared" si="83"/>
        <v>0</v>
      </c>
      <c r="K402" s="265">
        <f t="shared" si="80"/>
        <v>0</v>
      </c>
      <c r="L402" s="373">
        <f t="shared" si="86"/>
        <v>0</v>
      </c>
      <c r="M402" s="373">
        <f t="shared" si="81"/>
        <v>0</v>
      </c>
      <c r="N402" s="561"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Row],[Payment]]=0,0,$V$2)</f>
        <v>0</v>
      </c>
      <c r="U402" s="265">
        <f>IF(tblContractForDeed[[#This Row],[Princ]]=0,0,$V$3)</f>
        <v>0</v>
      </c>
      <c r="V402" s="265">
        <f>SUM(tblContractForDeed[[#This Row],[Princ]],tblContractForDeed[[#This Row],[Int]],tblContractForDeed[[#This Row],[Ins]],tblContractForDeed[[#This Row],[Taxes]])</f>
        <v>0</v>
      </c>
      <c r="W402" s="265">
        <f>SUM(INDEX(tblContractForDeed[Princ],1):INDEX(tblContractForDeed[Princ],ROW()-ROW(tblContractForDeed[#Headers])))</f>
        <v>146500</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39">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2" s="265">
        <f>IF(INDEX(tblContractForDeed[End Bal],ROW()-ROW(tblBuyerOutputs[#Headers]))&lt;=0,0,($O$6+IF(ROW()=ROW(tblBuyerOutputs[#Headers])+1,0,INDEX(tblBuyerOutputs[Cumul Appr],ROW()-ROW(tblBuyerOutputs[#Headers])-1)))*$O$2/12)</f>
        <v>0</v>
      </c>
      <c r="AE402" s="587">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62" t="str">
        <f t="shared" si="77"/>
        <v/>
      </c>
      <c r="B403" s="316">
        <f t="shared" si="78"/>
        <v>0</v>
      </c>
      <c r="C403" s="21">
        <f t="shared" si="75"/>
        <v>0</v>
      </c>
      <c r="D403" s="21">
        <f t="shared" si="79"/>
        <v>0</v>
      </c>
      <c r="E403" s="21">
        <f t="shared" si="76"/>
        <v>0</v>
      </c>
      <c r="F403" s="21">
        <f t="shared" si="89"/>
        <v>0</v>
      </c>
      <c r="G403" s="21">
        <f t="shared" si="89"/>
        <v>0</v>
      </c>
      <c r="H403" s="21">
        <f t="shared" si="88"/>
        <v>0</v>
      </c>
      <c r="I403" s="316">
        <f t="shared" si="82"/>
        <v>0</v>
      </c>
      <c r="J403" s="316">
        <f t="shared" si="83"/>
        <v>0</v>
      </c>
      <c r="K403" s="316">
        <f t="shared" si="80"/>
        <v>0</v>
      </c>
      <c r="L403" s="374">
        <f t="shared" si="86"/>
        <v>0</v>
      </c>
      <c r="M403" s="374">
        <f t="shared" si="81"/>
        <v>0</v>
      </c>
      <c r="N403" s="562" t="str">
        <f>INDEX(tblSubjectToLoan[Date],ROW()-ROW(tblContractForDeed[#Headers]))</f>
        <v/>
      </c>
      <c r="O403" s="316">
        <f>IF(ROW()=ROW(tblContractForDeed[#Headers])+1,$O$6,IF(INDEX(tblContractForDeed[End Bal],ROW()-ROW(tblContractForDeed[#Headers])-1)&lt;0,0,INDEX(tblContractForDeed[End Bal],ROW()-ROW(tblContractForDeed[#Headers])-1)))</f>
        <v>0</v>
      </c>
      <c r="P403" s="585"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Row],[Payment]]=0,0,$V$2)</f>
        <v>0</v>
      </c>
      <c r="U403" s="316">
        <f>IF(tblContractForDeed[[#This Row],[Princ]]=0,0,$V$3)</f>
        <v>0</v>
      </c>
      <c r="V403" s="316">
        <f>SUM(tblContractForDeed[[#This Row],[Princ]],tblContractForDeed[[#This Row],[Int]],tblContractForDeed[[#This Row],[Ins]],tblContractForDeed[[#This Row],[Taxes]])</f>
        <v>0</v>
      </c>
      <c r="W403" s="316">
        <f>SUM(INDEX(tblContractForDeed[Princ],1):INDEX(tblContractForDeed[Princ],ROW()-ROW(tblContractForDeed[#Headers])))</f>
        <v>146500</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0">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3" s="316">
        <f>IF(INDEX(tblContractForDeed[End Bal],ROW()-ROW(tblBuyerOutputs[#Headers]))&lt;=0,0,($O$6+IF(ROW()=ROW(tblBuyerOutputs[#Headers])+1,0,INDEX(tblBuyerOutputs[Cumul Appr],ROW()-ROW(tblBuyerOutputs[#Headers])-1)))*$O$2/12)</f>
        <v>0</v>
      </c>
      <c r="AE403" s="588">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61" t="str">
        <f t="shared" si="77"/>
        <v/>
      </c>
      <c r="B404" s="265">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0</v>
      </c>
      <c r="G404" s="14">
        <f t="shared" si="89"/>
        <v>0</v>
      </c>
      <c r="H404" s="14">
        <f t="shared" si="88"/>
        <v>0</v>
      </c>
      <c r="I404" s="265">
        <f t="shared" si="82"/>
        <v>0</v>
      </c>
      <c r="J404" s="265">
        <f t="shared" si="83"/>
        <v>0</v>
      </c>
      <c r="K404" s="265">
        <f t="shared" si="80"/>
        <v>0</v>
      </c>
      <c r="L404" s="373">
        <f t="shared" si="86"/>
        <v>0</v>
      </c>
      <c r="M404" s="373">
        <f t="shared" si="81"/>
        <v>0</v>
      </c>
      <c r="N404" s="561"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Row],[Payment]]=0,0,$V$2)</f>
        <v>0</v>
      </c>
      <c r="U404" s="265">
        <f>IF(tblContractForDeed[[#This Row],[Princ]]=0,0,$V$3)</f>
        <v>0</v>
      </c>
      <c r="V404" s="265">
        <f>SUM(tblContractForDeed[[#This Row],[Princ]],tblContractForDeed[[#This Row],[Int]],tblContractForDeed[[#This Row],[Ins]],tblContractForDeed[[#This Row],[Taxes]])</f>
        <v>0</v>
      </c>
      <c r="W404" s="265">
        <f>SUM(INDEX(tblContractForDeed[Princ],1):INDEX(tblContractForDeed[Princ],ROW()-ROW(tblContractForDeed[#Headers])))</f>
        <v>146500</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39">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4" s="265">
        <f>IF(INDEX(tblContractForDeed[End Bal],ROW()-ROW(tblBuyerOutputs[#Headers]))&lt;=0,0,($O$6+IF(ROW()=ROW(tblBuyerOutputs[#Headers])+1,0,INDEX(tblBuyerOutputs[Cumul Appr],ROW()-ROW(tblBuyerOutputs[#Headers])-1)))*$O$2/12)</f>
        <v>0</v>
      </c>
      <c r="AE404" s="587">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61" t="str">
        <f t="shared" ref="A405:A468" si="92">IF(OR(A404="",A404&gt;=subjectMortgageEndDate),"",EDATE(A404,1))</f>
        <v/>
      </c>
      <c r="B405" s="265">
        <f t="shared" ref="B405:B468" si="93">IF(A405="",0,MAX(0,K404))</f>
        <v>0</v>
      </c>
      <c r="C405" s="14">
        <f t="shared" si="90"/>
        <v>0</v>
      </c>
      <c r="D405" s="14">
        <f t="shared" ref="D405:D468" si="94">IF(C405=0,0,MAX(0,MIN(B405,C405-E405)))</f>
        <v>0</v>
      </c>
      <c r="E405" s="14">
        <f t="shared" si="91"/>
        <v>0</v>
      </c>
      <c r="F405" s="14">
        <f t="shared" si="89"/>
        <v>0</v>
      </c>
      <c r="G405" s="14">
        <f t="shared" si="89"/>
        <v>0</v>
      </c>
      <c r="H405" s="14">
        <f t="shared" si="88"/>
        <v>0</v>
      </c>
      <c r="I405" s="265">
        <f t="shared" si="82"/>
        <v>0</v>
      </c>
      <c r="J405" s="265">
        <f t="shared" si="83"/>
        <v>0</v>
      </c>
      <c r="K405" s="265">
        <f t="shared" ref="K405:K468" si="95">IF(A405="",0,IF(B405&lt;=0,0,MAX(0,B405-D405)))</f>
        <v>0</v>
      </c>
      <c r="L405" s="373">
        <f t="shared" si="86"/>
        <v>0</v>
      </c>
      <c r="M405" s="373">
        <f t="shared" ref="M405:M468" si="96">IF($A405&lt;&gt;"",M404+1,0)</f>
        <v>0</v>
      </c>
      <c r="N405" s="561"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Row],[Payment]]=0,0,$V$2)</f>
        <v>0</v>
      </c>
      <c r="U405" s="265">
        <f>IF(tblContractForDeed[[#This Row],[Princ]]=0,0,$V$3)</f>
        <v>0</v>
      </c>
      <c r="V405" s="265">
        <f>SUM(tblContractForDeed[[#This Row],[Princ]],tblContractForDeed[[#This Row],[Int]],tblContractForDeed[[#This Row],[Ins]],tblContractForDeed[[#This Row],[Taxes]])</f>
        <v>0</v>
      </c>
      <c r="W405" s="265">
        <f>SUM(INDEX(tblContractForDeed[Princ],1):INDEX(tblContractForDeed[Princ],ROW()-ROW(tblContractForDeed[#Headers])))</f>
        <v>146500</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39">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5" s="265">
        <f>IF(INDEX(tblContractForDeed[End Bal],ROW()-ROW(tblBuyerOutputs[#Headers]))&lt;=0,0,($O$6+IF(ROW()=ROW(tblBuyerOutputs[#Headers])+1,0,INDEX(tblBuyerOutputs[Cumul Appr],ROW()-ROW(tblBuyerOutputs[#Headers])-1)))*$O$2/12)</f>
        <v>0</v>
      </c>
      <c r="AE405" s="587">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61" t="str">
        <f t="shared" si="92"/>
        <v/>
      </c>
      <c r="B406" s="265">
        <f t="shared" si="93"/>
        <v>0</v>
      </c>
      <c r="C406" s="14">
        <f t="shared" si="90"/>
        <v>0</v>
      </c>
      <c r="D406" s="14">
        <f t="shared" si="94"/>
        <v>0</v>
      </c>
      <c r="E406" s="14">
        <f t="shared" si="91"/>
        <v>0</v>
      </c>
      <c r="F406" s="14">
        <f t="shared" si="89"/>
        <v>0</v>
      </c>
      <c r="G406" s="14">
        <f t="shared" si="89"/>
        <v>0</v>
      </c>
      <c r="H406" s="14">
        <f t="shared" si="88"/>
        <v>0</v>
      </c>
      <c r="I406" s="265">
        <f t="shared" ref="I406:I469" si="97">$D406+$I405</f>
        <v>0</v>
      </c>
      <c r="J406" s="265">
        <f t="shared" ref="J406:J469" si="98">$E406+$J405</f>
        <v>0</v>
      </c>
      <c r="K406" s="265">
        <f t="shared" si="95"/>
        <v>0</v>
      </c>
      <c r="L406" s="373">
        <f t="shared" si="86"/>
        <v>0</v>
      </c>
      <c r="M406" s="373">
        <f t="shared" si="96"/>
        <v>0</v>
      </c>
      <c r="N406" s="561"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Row],[Payment]]=0,0,$V$2)</f>
        <v>0</v>
      </c>
      <c r="U406" s="265">
        <f>IF(tblContractForDeed[[#This Row],[Princ]]=0,0,$V$3)</f>
        <v>0</v>
      </c>
      <c r="V406" s="265">
        <f>SUM(tblContractForDeed[[#This Row],[Princ]],tblContractForDeed[[#This Row],[Int]],tblContractForDeed[[#This Row],[Ins]],tblContractForDeed[[#This Row],[Taxes]])</f>
        <v>0</v>
      </c>
      <c r="W406" s="265">
        <f>SUM(INDEX(tblContractForDeed[Princ],1):INDEX(tblContractForDeed[Princ],ROW()-ROW(tblContractForDeed[#Headers])))</f>
        <v>146500</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39">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6" s="265">
        <f>IF(INDEX(tblContractForDeed[End Bal],ROW()-ROW(tblBuyerOutputs[#Headers]))&lt;=0,0,($O$6+IF(ROW()=ROW(tblBuyerOutputs[#Headers])+1,0,INDEX(tblBuyerOutputs[Cumul Appr],ROW()-ROW(tblBuyerOutputs[#Headers])-1)))*$O$2/12)</f>
        <v>0</v>
      </c>
      <c r="AE406" s="587">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61" t="str">
        <f t="shared" si="92"/>
        <v/>
      </c>
      <c r="B407" s="265">
        <f t="shared" si="93"/>
        <v>0</v>
      </c>
      <c r="C407" s="14">
        <f t="shared" si="90"/>
        <v>0</v>
      </c>
      <c r="D407" s="14">
        <f t="shared" si="94"/>
        <v>0</v>
      </c>
      <c r="E407" s="14">
        <f t="shared" si="91"/>
        <v>0</v>
      </c>
      <c r="F407" s="14">
        <f t="shared" si="89"/>
        <v>0</v>
      </c>
      <c r="G407" s="14">
        <f t="shared" si="89"/>
        <v>0</v>
      </c>
      <c r="H407" s="14">
        <f t="shared" si="88"/>
        <v>0</v>
      </c>
      <c r="I407" s="265">
        <f t="shared" si="97"/>
        <v>0</v>
      </c>
      <c r="J407" s="265">
        <f t="shared" si="98"/>
        <v>0</v>
      </c>
      <c r="K407" s="265">
        <f t="shared" si="95"/>
        <v>0</v>
      </c>
      <c r="L407" s="373">
        <f t="shared" si="86"/>
        <v>0</v>
      </c>
      <c r="M407" s="373">
        <f t="shared" si="96"/>
        <v>0</v>
      </c>
      <c r="N407" s="561"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Row],[Payment]]=0,0,$V$2)</f>
        <v>0</v>
      </c>
      <c r="U407" s="265">
        <f>IF(tblContractForDeed[[#This Row],[Princ]]=0,0,$V$3)</f>
        <v>0</v>
      </c>
      <c r="V407" s="265">
        <f>SUM(tblContractForDeed[[#This Row],[Princ]],tblContractForDeed[[#This Row],[Int]],tblContractForDeed[[#This Row],[Ins]],tblContractForDeed[[#This Row],[Taxes]])</f>
        <v>0</v>
      </c>
      <c r="W407" s="265">
        <f>SUM(INDEX(tblContractForDeed[Princ],1):INDEX(tblContractForDeed[Princ],ROW()-ROW(tblContractForDeed[#Headers])))</f>
        <v>146500</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39">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7" s="265">
        <f>IF(INDEX(tblContractForDeed[End Bal],ROW()-ROW(tblBuyerOutputs[#Headers]))&lt;=0,0,($O$6+IF(ROW()=ROW(tblBuyerOutputs[#Headers])+1,0,INDEX(tblBuyerOutputs[Cumul Appr],ROW()-ROW(tblBuyerOutputs[#Headers])-1)))*$O$2/12)</f>
        <v>0</v>
      </c>
      <c r="AE407" s="587">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61" t="str">
        <f t="shared" si="92"/>
        <v/>
      </c>
      <c r="B408" s="265">
        <f t="shared" si="93"/>
        <v>0</v>
      </c>
      <c r="C408" s="14">
        <f t="shared" si="90"/>
        <v>0</v>
      </c>
      <c r="D408" s="14">
        <f t="shared" si="94"/>
        <v>0</v>
      </c>
      <c r="E408" s="14">
        <f t="shared" si="91"/>
        <v>0</v>
      </c>
      <c r="F408" s="14">
        <f t="shared" si="89"/>
        <v>0</v>
      </c>
      <c r="G408" s="14">
        <f t="shared" si="89"/>
        <v>0</v>
      </c>
      <c r="H408" s="14">
        <f t="shared" si="88"/>
        <v>0</v>
      </c>
      <c r="I408" s="265">
        <f t="shared" si="97"/>
        <v>0</v>
      </c>
      <c r="J408" s="265">
        <f t="shared" si="98"/>
        <v>0</v>
      </c>
      <c r="K408" s="265">
        <f t="shared" si="95"/>
        <v>0</v>
      </c>
      <c r="L408" s="373">
        <f t="shared" si="86"/>
        <v>0</v>
      </c>
      <c r="M408" s="373">
        <f t="shared" si="96"/>
        <v>0</v>
      </c>
      <c r="N408" s="561"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Row],[Payment]]=0,0,$V$2)</f>
        <v>0</v>
      </c>
      <c r="U408" s="265">
        <f>IF(tblContractForDeed[[#This Row],[Princ]]=0,0,$V$3)</f>
        <v>0</v>
      </c>
      <c r="V408" s="265">
        <f>SUM(tblContractForDeed[[#This Row],[Princ]],tblContractForDeed[[#This Row],[Int]],tblContractForDeed[[#This Row],[Ins]],tblContractForDeed[[#This Row],[Taxes]])</f>
        <v>0</v>
      </c>
      <c r="W408" s="265">
        <f>SUM(INDEX(tblContractForDeed[Princ],1):INDEX(tblContractForDeed[Princ],ROW()-ROW(tblContractForDeed[#Headers])))</f>
        <v>146500</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39">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8" s="265">
        <f>IF(INDEX(tblContractForDeed[End Bal],ROW()-ROW(tblBuyerOutputs[#Headers]))&lt;=0,0,($O$6+IF(ROW()=ROW(tblBuyerOutputs[#Headers])+1,0,INDEX(tblBuyerOutputs[Cumul Appr],ROW()-ROW(tblBuyerOutputs[#Headers])-1)))*$O$2/12)</f>
        <v>0</v>
      </c>
      <c r="AE408" s="587">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61" t="str">
        <f t="shared" si="92"/>
        <v/>
      </c>
      <c r="B409" s="265">
        <f t="shared" si="93"/>
        <v>0</v>
      </c>
      <c r="C409" s="14">
        <f t="shared" si="90"/>
        <v>0</v>
      </c>
      <c r="D409" s="14">
        <f t="shared" si="94"/>
        <v>0</v>
      </c>
      <c r="E409" s="14">
        <f t="shared" si="91"/>
        <v>0</v>
      </c>
      <c r="F409" s="14">
        <f t="shared" si="89"/>
        <v>0</v>
      </c>
      <c r="G409" s="14">
        <f t="shared" si="89"/>
        <v>0</v>
      </c>
      <c r="H409" s="14">
        <f t="shared" si="88"/>
        <v>0</v>
      </c>
      <c r="I409" s="265">
        <f t="shared" si="97"/>
        <v>0</v>
      </c>
      <c r="J409" s="265">
        <f t="shared" si="98"/>
        <v>0</v>
      </c>
      <c r="K409" s="265">
        <f t="shared" si="95"/>
        <v>0</v>
      </c>
      <c r="L409" s="373">
        <f t="shared" si="86"/>
        <v>0</v>
      </c>
      <c r="M409" s="373">
        <f t="shared" si="96"/>
        <v>0</v>
      </c>
      <c r="N409" s="561"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Row],[Payment]]=0,0,$V$2)</f>
        <v>0</v>
      </c>
      <c r="U409" s="265">
        <f>IF(tblContractForDeed[[#This Row],[Princ]]=0,0,$V$3)</f>
        <v>0</v>
      </c>
      <c r="V409" s="265">
        <f>SUM(tblContractForDeed[[#This Row],[Princ]],tblContractForDeed[[#This Row],[Int]],tblContractForDeed[[#This Row],[Ins]],tblContractForDeed[[#This Row],[Taxes]])</f>
        <v>0</v>
      </c>
      <c r="W409" s="265">
        <f>SUM(INDEX(tblContractForDeed[Princ],1):INDEX(tblContractForDeed[Princ],ROW()-ROW(tblContractForDeed[#Headers])))</f>
        <v>146500</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39">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9" s="265">
        <f>IF(INDEX(tblContractForDeed[End Bal],ROW()-ROW(tblBuyerOutputs[#Headers]))&lt;=0,0,($O$6+IF(ROW()=ROW(tblBuyerOutputs[#Headers])+1,0,INDEX(tblBuyerOutputs[Cumul Appr],ROW()-ROW(tblBuyerOutputs[#Headers])-1)))*$O$2/12)</f>
        <v>0</v>
      </c>
      <c r="AE409" s="587">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61" t="str">
        <f t="shared" si="92"/>
        <v/>
      </c>
      <c r="B410" s="265">
        <f t="shared" si="93"/>
        <v>0</v>
      </c>
      <c r="C410" s="14">
        <f t="shared" si="90"/>
        <v>0</v>
      </c>
      <c r="D410" s="14">
        <f t="shared" si="94"/>
        <v>0</v>
      </c>
      <c r="E410" s="14">
        <f t="shared" si="91"/>
        <v>0</v>
      </c>
      <c r="F410" s="14">
        <f t="shared" si="89"/>
        <v>0</v>
      </c>
      <c r="G410" s="14">
        <f t="shared" si="89"/>
        <v>0</v>
      </c>
      <c r="H410" s="14">
        <f t="shared" si="88"/>
        <v>0</v>
      </c>
      <c r="I410" s="265">
        <f t="shared" si="97"/>
        <v>0</v>
      </c>
      <c r="J410" s="265">
        <f t="shared" si="98"/>
        <v>0</v>
      </c>
      <c r="K410" s="265">
        <f t="shared" si="95"/>
        <v>0</v>
      </c>
      <c r="L410" s="373">
        <f t="shared" si="86"/>
        <v>0</v>
      </c>
      <c r="M410" s="373">
        <f t="shared" si="96"/>
        <v>0</v>
      </c>
      <c r="N410" s="561"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Row],[Payment]]=0,0,$V$2)</f>
        <v>0</v>
      </c>
      <c r="U410" s="265">
        <f>IF(tblContractForDeed[[#This Row],[Princ]]=0,0,$V$3)</f>
        <v>0</v>
      </c>
      <c r="V410" s="265">
        <f>SUM(tblContractForDeed[[#This Row],[Princ]],tblContractForDeed[[#This Row],[Int]],tblContractForDeed[[#This Row],[Ins]],tblContractForDeed[[#This Row],[Taxes]])</f>
        <v>0</v>
      </c>
      <c r="W410" s="265">
        <f>SUM(INDEX(tblContractForDeed[Princ],1):INDEX(tblContractForDeed[Princ],ROW()-ROW(tblContractForDeed[#Headers])))</f>
        <v>146500</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39">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0" s="265">
        <f>IF(INDEX(tblContractForDeed[End Bal],ROW()-ROW(tblBuyerOutputs[#Headers]))&lt;=0,0,($O$6+IF(ROW()=ROW(tblBuyerOutputs[#Headers])+1,0,INDEX(tblBuyerOutputs[Cumul Appr],ROW()-ROW(tblBuyerOutputs[#Headers])-1)))*$O$2/12)</f>
        <v>0</v>
      </c>
      <c r="AE410" s="587">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61" t="str">
        <f t="shared" si="92"/>
        <v/>
      </c>
      <c r="B411" s="265">
        <f t="shared" si="93"/>
        <v>0</v>
      </c>
      <c r="C411" s="14">
        <f t="shared" si="90"/>
        <v>0</v>
      </c>
      <c r="D411" s="14">
        <f t="shared" si="94"/>
        <v>0</v>
      </c>
      <c r="E411" s="14">
        <f t="shared" si="91"/>
        <v>0</v>
      </c>
      <c r="F411" s="14">
        <f t="shared" si="89"/>
        <v>0</v>
      </c>
      <c r="G411" s="14">
        <f t="shared" si="89"/>
        <v>0</v>
      </c>
      <c r="H411" s="14">
        <f t="shared" si="88"/>
        <v>0</v>
      </c>
      <c r="I411" s="265">
        <f t="shared" si="97"/>
        <v>0</v>
      </c>
      <c r="J411" s="265">
        <f t="shared" si="98"/>
        <v>0</v>
      </c>
      <c r="K411" s="265">
        <f t="shared" si="95"/>
        <v>0</v>
      </c>
      <c r="L411" s="373">
        <f t="shared" si="86"/>
        <v>0</v>
      </c>
      <c r="M411" s="373">
        <f t="shared" si="96"/>
        <v>0</v>
      </c>
      <c r="N411" s="561"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Row],[Payment]]=0,0,$V$2)</f>
        <v>0</v>
      </c>
      <c r="U411" s="265">
        <f>IF(tblContractForDeed[[#This Row],[Princ]]=0,0,$V$3)</f>
        <v>0</v>
      </c>
      <c r="V411" s="265">
        <f>SUM(tblContractForDeed[[#This Row],[Princ]],tblContractForDeed[[#This Row],[Int]],tblContractForDeed[[#This Row],[Ins]],tblContractForDeed[[#This Row],[Taxes]])</f>
        <v>0</v>
      </c>
      <c r="W411" s="265">
        <f>SUM(INDEX(tblContractForDeed[Princ],1):INDEX(tblContractForDeed[Princ],ROW()-ROW(tblContractForDeed[#Headers])))</f>
        <v>146500</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39">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1" s="265">
        <f>IF(INDEX(tblContractForDeed[End Bal],ROW()-ROW(tblBuyerOutputs[#Headers]))&lt;=0,0,($O$6+IF(ROW()=ROW(tblBuyerOutputs[#Headers])+1,0,INDEX(tblBuyerOutputs[Cumul Appr],ROW()-ROW(tblBuyerOutputs[#Headers])-1)))*$O$2/12)</f>
        <v>0</v>
      </c>
      <c r="AE411" s="587">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61" t="str">
        <f t="shared" si="92"/>
        <v/>
      </c>
      <c r="B412" s="265">
        <f t="shared" si="93"/>
        <v>0</v>
      </c>
      <c r="C412" s="14">
        <f t="shared" si="90"/>
        <v>0</v>
      </c>
      <c r="D412" s="14">
        <f t="shared" si="94"/>
        <v>0</v>
      </c>
      <c r="E412" s="14">
        <f t="shared" si="91"/>
        <v>0</v>
      </c>
      <c r="F412" s="14">
        <f t="shared" si="89"/>
        <v>0</v>
      </c>
      <c r="G412" s="14">
        <f t="shared" si="89"/>
        <v>0</v>
      </c>
      <c r="H412" s="14">
        <f t="shared" si="88"/>
        <v>0</v>
      </c>
      <c r="I412" s="265">
        <f t="shared" si="97"/>
        <v>0</v>
      </c>
      <c r="J412" s="265">
        <f t="shared" si="98"/>
        <v>0</v>
      </c>
      <c r="K412" s="265">
        <f t="shared" si="95"/>
        <v>0</v>
      </c>
      <c r="L412" s="373">
        <f t="shared" si="86"/>
        <v>0</v>
      </c>
      <c r="M412" s="373">
        <f t="shared" si="96"/>
        <v>0</v>
      </c>
      <c r="N412" s="561"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Row],[Payment]]=0,0,$V$2)</f>
        <v>0</v>
      </c>
      <c r="U412" s="265">
        <f>IF(tblContractForDeed[[#This Row],[Princ]]=0,0,$V$3)</f>
        <v>0</v>
      </c>
      <c r="V412" s="265">
        <f>SUM(tblContractForDeed[[#This Row],[Princ]],tblContractForDeed[[#This Row],[Int]],tblContractForDeed[[#This Row],[Ins]],tblContractForDeed[[#This Row],[Taxes]])</f>
        <v>0</v>
      </c>
      <c r="W412" s="265">
        <f>SUM(INDEX(tblContractForDeed[Princ],1):INDEX(tblContractForDeed[Princ],ROW()-ROW(tblContractForDeed[#Headers])))</f>
        <v>146500</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39">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2" s="265">
        <f>IF(INDEX(tblContractForDeed[End Bal],ROW()-ROW(tblBuyerOutputs[#Headers]))&lt;=0,0,($O$6+IF(ROW()=ROW(tblBuyerOutputs[#Headers])+1,0,INDEX(tblBuyerOutputs[Cumul Appr],ROW()-ROW(tblBuyerOutputs[#Headers])-1)))*$O$2/12)</f>
        <v>0</v>
      </c>
      <c r="AE412" s="587">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61" t="str">
        <f t="shared" si="92"/>
        <v/>
      </c>
      <c r="B413" s="265">
        <f t="shared" si="93"/>
        <v>0</v>
      </c>
      <c r="C413" s="14">
        <f t="shared" si="90"/>
        <v>0</v>
      </c>
      <c r="D413" s="14">
        <f t="shared" si="94"/>
        <v>0</v>
      </c>
      <c r="E413" s="14">
        <f t="shared" si="91"/>
        <v>0</v>
      </c>
      <c r="F413" s="14">
        <f t="shared" si="89"/>
        <v>0</v>
      </c>
      <c r="G413" s="14">
        <f t="shared" si="89"/>
        <v>0</v>
      </c>
      <c r="H413" s="14">
        <f t="shared" si="88"/>
        <v>0</v>
      </c>
      <c r="I413" s="265">
        <f t="shared" si="97"/>
        <v>0</v>
      </c>
      <c r="J413" s="265">
        <f t="shared" si="98"/>
        <v>0</v>
      </c>
      <c r="K413" s="265">
        <f t="shared" si="95"/>
        <v>0</v>
      </c>
      <c r="L413" s="373">
        <f t="shared" si="86"/>
        <v>0</v>
      </c>
      <c r="M413" s="373">
        <f t="shared" si="96"/>
        <v>0</v>
      </c>
      <c r="N413" s="561"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Row],[Payment]]=0,0,$V$2)</f>
        <v>0</v>
      </c>
      <c r="U413" s="265">
        <f>IF(tblContractForDeed[[#This Row],[Princ]]=0,0,$V$3)</f>
        <v>0</v>
      </c>
      <c r="V413" s="265">
        <f>SUM(tblContractForDeed[[#This Row],[Princ]],tblContractForDeed[[#This Row],[Int]],tblContractForDeed[[#This Row],[Ins]],tblContractForDeed[[#This Row],[Taxes]])</f>
        <v>0</v>
      </c>
      <c r="W413" s="265">
        <f>SUM(INDEX(tblContractForDeed[Princ],1):INDEX(tblContractForDeed[Princ],ROW()-ROW(tblContractForDeed[#Headers])))</f>
        <v>146500</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39">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3" s="265">
        <f>IF(INDEX(tblContractForDeed[End Bal],ROW()-ROW(tblBuyerOutputs[#Headers]))&lt;=0,0,($O$6+IF(ROW()=ROW(tblBuyerOutputs[#Headers])+1,0,INDEX(tblBuyerOutputs[Cumul Appr],ROW()-ROW(tblBuyerOutputs[#Headers])-1)))*$O$2/12)</f>
        <v>0</v>
      </c>
      <c r="AE413" s="587">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61" t="str">
        <f t="shared" si="92"/>
        <v/>
      </c>
      <c r="B414" s="265">
        <f t="shared" si="93"/>
        <v>0</v>
      </c>
      <c r="C414" s="14">
        <f t="shared" si="90"/>
        <v>0</v>
      </c>
      <c r="D414" s="14">
        <f t="shared" si="94"/>
        <v>0</v>
      </c>
      <c r="E414" s="14">
        <f t="shared" si="91"/>
        <v>0</v>
      </c>
      <c r="F414" s="14">
        <f t="shared" si="89"/>
        <v>0</v>
      </c>
      <c r="G414" s="14">
        <f t="shared" si="89"/>
        <v>0</v>
      </c>
      <c r="H414" s="14">
        <f t="shared" si="88"/>
        <v>0</v>
      </c>
      <c r="I414" s="265">
        <f t="shared" si="97"/>
        <v>0</v>
      </c>
      <c r="J414" s="265">
        <f t="shared" si="98"/>
        <v>0</v>
      </c>
      <c r="K414" s="265">
        <f t="shared" si="95"/>
        <v>0</v>
      </c>
      <c r="L414" s="373">
        <f t="shared" si="86"/>
        <v>0</v>
      </c>
      <c r="M414" s="373">
        <f t="shared" si="96"/>
        <v>0</v>
      </c>
      <c r="N414" s="561"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Row],[Payment]]=0,0,$V$2)</f>
        <v>0</v>
      </c>
      <c r="U414" s="265">
        <f>IF(tblContractForDeed[[#This Row],[Princ]]=0,0,$V$3)</f>
        <v>0</v>
      </c>
      <c r="V414" s="265">
        <f>SUM(tblContractForDeed[[#This Row],[Princ]],tblContractForDeed[[#This Row],[Int]],tblContractForDeed[[#This Row],[Ins]],tblContractForDeed[[#This Row],[Taxes]])</f>
        <v>0</v>
      </c>
      <c r="W414" s="265">
        <f>SUM(INDEX(tblContractForDeed[Princ],1):INDEX(tblContractForDeed[Princ],ROW()-ROW(tblContractForDeed[#Headers])))</f>
        <v>146500</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39">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4" s="265">
        <f>IF(INDEX(tblContractForDeed[End Bal],ROW()-ROW(tblBuyerOutputs[#Headers]))&lt;=0,0,($O$6+IF(ROW()=ROW(tblBuyerOutputs[#Headers])+1,0,INDEX(tblBuyerOutputs[Cumul Appr],ROW()-ROW(tblBuyerOutputs[#Headers])-1)))*$O$2/12)</f>
        <v>0</v>
      </c>
      <c r="AE414" s="587">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62" t="str">
        <f t="shared" si="92"/>
        <v/>
      </c>
      <c r="B415" s="316">
        <f t="shared" si="93"/>
        <v>0</v>
      </c>
      <c r="C415" s="21">
        <f t="shared" si="90"/>
        <v>0</v>
      </c>
      <c r="D415" s="21">
        <f t="shared" si="94"/>
        <v>0</v>
      </c>
      <c r="E415" s="21">
        <f t="shared" si="91"/>
        <v>0</v>
      </c>
      <c r="F415" s="21">
        <f t="shared" ref="F415:G430" si="99">+F414</f>
        <v>0</v>
      </c>
      <c r="G415" s="21">
        <f t="shared" si="99"/>
        <v>0</v>
      </c>
      <c r="H415" s="21">
        <f t="shared" si="88"/>
        <v>0</v>
      </c>
      <c r="I415" s="316">
        <f t="shared" si="97"/>
        <v>0</v>
      </c>
      <c r="J415" s="316">
        <f t="shared" si="98"/>
        <v>0</v>
      </c>
      <c r="K415" s="316">
        <f t="shared" si="95"/>
        <v>0</v>
      </c>
      <c r="L415" s="374">
        <f t="shared" si="86"/>
        <v>0</v>
      </c>
      <c r="M415" s="374">
        <f t="shared" si="96"/>
        <v>0</v>
      </c>
      <c r="N415" s="562" t="str">
        <f>INDEX(tblSubjectToLoan[Date],ROW()-ROW(tblContractForDeed[#Headers]))</f>
        <v/>
      </c>
      <c r="O415" s="316">
        <f>IF(ROW()=ROW(tblContractForDeed[#Headers])+1,$O$6,IF(INDEX(tblContractForDeed[End Bal],ROW()-ROW(tblContractForDeed[#Headers])-1)&lt;0,0,INDEX(tblContractForDeed[End Bal],ROW()-ROW(tblContractForDeed[#Headers])-1)))</f>
        <v>0</v>
      </c>
      <c r="P415" s="585"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Row],[Payment]]=0,0,$V$2)</f>
        <v>0</v>
      </c>
      <c r="U415" s="316">
        <f>IF(tblContractForDeed[[#This Row],[Princ]]=0,0,$V$3)</f>
        <v>0</v>
      </c>
      <c r="V415" s="316">
        <f>SUM(tblContractForDeed[[#This Row],[Princ]],tblContractForDeed[[#This Row],[Int]],tblContractForDeed[[#This Row],[Ins]],tblContractForDeed[[#This Row],[Taxes]])</f>
        <v>0</v>
      </c>
      <c r="W415" s="316">
        <f>SUM(INDEX(tblContractForDeed[Princ],1):INDEX(tblContractForDeed[Princ],ROW()-ROW(tblContractForDeed[#Headers])))</f>
        <v>146500</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0">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5" s="316">
        <f>IF(INDEX(tblContractForDeed[End Bal],ROW()-ROW(tblBuyerOutputs[#Headers]))&lt;=0,0,($O$6+IF(ROW()=ROW(tblBuyerOutputs[#Headers])+1,0,INDEX(tblBuyerOutputs[Cumul Appr],ROW()-ROW(tblBuyerOutputs[#Headers])-1)))*$O$2/12)</f>
        <v>0</v>
      </c>
      <c r="AE415" s="588">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61" t="str">
        <f t="shared" si="92"/>
        <v/>
      </c>
      <c r="B416" s="265">
        <f t="shared" si="93"/>
        <v>0</v>
      </c>
      <c r="C416" s="14">
        <f t="shared" si="90"/>
        <v>0</v>
      </c>
      <c r="D416" s="14">
        <f t="shared" si="94"/>
        <v>0</v>
      </c>
      <c r="E416" s="14">
        <f t="shared" si="91"/>
        <v>0</v>
      </c>
      <c r="F416" s="14">
        <f t="shared" si="99"/>
        <v>0</v>
      </c>
      <c r="G416" s="14">
        <f t="shared" si="99"/>
        <v>0</v>
      </c>
      <c r="H416" s="14">
        <f t="shared" si="88"/>
        <v>0</v>
      </c>
      <c r="I416" s="265">
        <f t="shared" si="97"/>
        <v>0</v>
      </c>
      <c r="J416" s="265">
        <f t="shared" si="98"/>
        <v>0</v>
      </c>
      <c r="K416" s="265">
        <f t="shared" si="95"/>
        <v>0</v>
      </c>
      <c r="L416" s="373">
        <f t="shared" si="86"/>
        <v>0</v>
      </c>
      <c r="M416" s="373">
        <f t="shared" si="96"/>
        <v>0</v>
      </c>
      <c r="N416" s="561"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Row],[Payment]]=0,0,$V$2)</f>
        <v>0</v>
      </c>
      <c r="U416" s="265">
        <f>IF(tblContractForDeed[[#This Row],[Princ]]=0,0,$V$3)</f>
        <v>0</v>
      </c>
      <c r="V416" s="265">
        <f>SUM(tblContractForDeed[[#This Row],[Princ]],tblContractForDeed[[#This Row],[Int]],tblContractForDeed[[#This Row],[Ins]],tblContractForDeed[[#This Row],[Taxes]])</f>
        <v>0</v>
      </c>
      <c r="W416" s="265">
        <f>SUM(INDEX(tblContractForDeed[Princ],1):INDEX(tblContractForDeed[Princ],ROW()-ROW(tblContractForDeed[#Headers])))</f>
        <v>146500</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39">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6" s="265">
        <f>IF(INDEX(tblContractForDeed[End Bal],ROW()-ROW(tblBuyerOutputs[#Headers]))&lt;=0,0,($O$6+IF(ROW()=ROW(tblBuyerOutputs[#Headers])+1,0,INDEX(tblBuyerOutputs[Cumul Appr],ROW()-ROW(tblBuyerOutputs[#Headers])-1)))*$O$2/12)</f>
        <v>0</v>
      </c>
      <c r="AE416" s="587">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61" t="str">
        <f t="shared" si="92"/>
        <v/>
      </c>
      <c r="B417" s="265">
        <f t="shared" si="93"/>
        <v>0</v>
      </c>
      <c r="C417" s="14">
        <f t="shared" si="90"/>
        <v>0</v>
      </c>
      <c r="D417" s="14">
        <f t="shared" si="94"/>
        <v>0</v>
      </c>
      <c r="E417" s="14">
        <f t="shared" si="91"/>
        <v>0</v>
      </c>
      <c r="F417" s="14">
        <f t="shared" si="99"/>
        <v>0</v>
      </c>
      <c r="G417" s="14">
        <f t="shared" si="99"/>
        <v>0</v>
      </c>
      <c r="H417" s="14">
        <f t="shared" si="88"/>
        <v>0</v>
      </c>
      <c r="I417" s="265">
        <f t="shared" si="97"/>
        <v>0</v>
      </c>
      <c r="J417" s="265">
        <f t="shared" si="98"/>
        <v>0</v>
      </c>
      <c r="K417" s="265">
        <f t="shared" si="95"/>
        <v>0</v>
      </c>
      <c r="L417" s="373">
        <f t="shared" si="86"/>
        <v>0</v>
      </c>
      <c r="M417" s="373">
        <f t="shared" si="96"/>
        <v>0</v>
      </c>
      <c r="N417" s="561"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Row],[Payment]]=0,0,$V$2)</f>
        <v>0</v>
      </c>
      <c r="U417" s="265">
        <f>IF(tblContractForDeed[[#This Row],[Princ]]=0,0,$V$3)</f>
        <v>0</v>
      </c>
      <c r="V417" s="265">
        <f>SUM(tblContractForDeed[[#This Row],[Princ]],tblContractForDeed[[#This Row],[Int]],tblContractForDeed[[#This Row],[Ins]],tblContractForDeed[[#This Row],[Taxes]])</f>
        <v>0</v>
      </c>
      <c r="W417" s="265">
        <f>SUM(INDEX(tblContractForDeed[Princ],1):INDEX(tblContractForDeed[Princ],ROW()-ROW(tblContractForDeed[#Headers])))</f>
        <v>146500</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39">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7" s="265">
        <f>IF(INDEX(tblContractForDeed[End Bal],ROW()-ROW(tblBuyerOutputs[#Headers]))&lt;=0,0,($O$6+IF(ROW()=ROW(tblBuyerOutputs[#Headers])+1,0,INDEX(tblBuyerOutputs[Cumul Appr],ROW()-ROW(tblBuyerOutputs[#Headers])-1)))*$O$2/12)</f>
        <v>0</v>
      </c>
      <c r="AE417" s="587">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61" t="str">
        <f t="shared" si="92"/>
        <v/>
      </c>
      <c r="B418" s="265">
        <f t="shared" si="93"/>
        <v>0</v>
      </c>
      <c r="C418" s="14">
        <f t="shared" si="90"/>
        <v>0</v>
      </c>
      <c r="D418" s="14">
        <f t="shared" si="94"/>
        <v>0</v>
      </c>
      <c r="E418" s="14">
        <f t="shared" si="91"/>
        <v>0</v>
      </c>
      <c r="F418" s="14">
        <f t="shared" si="99"/>
        <v>0</v>
      </c>
      <c r="G418" s="14">
        <f t="shared" si="99"/>
        <v>0</v>
      </c>
      <c r="H418" s="14">
        <f t="shared" si="88"/>
        <v>0</v>
      </c>
      <c r="I418" s="265">
        <f t="shared" si="97"/>
        <v>0</v>
      </c>
      <c r="J418" s="265">
        <f t="shared" si="98"/>
        <v>0</v>
      </c>
      <c r="K418" s="265">
        <f t="shared" si="95"/>
        <v>0</v>
      </c>
      <c r="L418" s="373">
        <f t="shared" si="86"/>
        <v>0</v>
      </c>
      <c r="M418" s="373">
        <f t="shared" si="96"/>
        <v>0</v>
      </c>
      <c r="N418" s="561"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Row],[Payment]]=0,0,$V$2)</f>
        <v>0</v>
      </c>
      <c r="U418" s="265">
        <f>IF(tblContractForDeed[[#This Row],[Princ]]=0,0,$V$3)</f>
        <v>0</v>
      </c>
      <c r="V418" s="265">
        <f>SUM(tblContractForDeed[[#This Row],[Princ]],tblContractForDeed[[#This Row],[Int]],tblContractForDeed[[#This Row],[Ins]],tblContractForDeed[[#This Row],[Taxes]])</f>
        <v>0</v>
      </c>
      <c r="W418" s="265">
        <f>SUM(INDEX(tblContractForDeed[Princ],1):INDEX(tblContractForDeed[Princ],ROW()-ROW(tblContractForDeed[#Headers])))</f>
        <v>146500</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39">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8" s="265">
        <f>IF(INDEX(tblContractForDeed[End Bal],ROW()-ROW(tblBuyerOutputs[#Headers]))&lt;=0,0,($O$6+IF(ROW()=ROW(tblBuyerOutputs[#Headers])+1,0,INDEX(tblBuyerOutputs[Cumul Appr],ROW()-ROW(tblBuyerOutputs[#Headers])-1)))*$O$2/12)</f>
        <v>0</v>
      </c>
      <c r="AE418" s="587">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61" t="str">
        <f t="shared" si="92"/>
        <v/>
      </c>
      <c r="B419" s="265">
        <f t="shared" si="93"/>
        <v>0</v>
      </c>
      <c r="C419" s="14">
        <f t="shared" si="90"/>
        <v>0</v>
      </c>
      <c r="D419" s="14">
        <f t="shared" si="94"/>
        <v>0</v>
      </c>
      <c r="E419" s="14">
        <f t="shared" si="91"/>
        <v>0</v>
      </c>
      <c r="F419" s="14">
        <f t="shared" si="99"/>
        <v>0</v>
      </c>
      <c r="G419" s="14">
        <f t="shared" si="99"/>
        <v>0</v>
      </c>
      <c r="H419" s="14">
        <f t="shared" si="88"/>
        <v>0</v>
      </c>
      <c r="I419" s="265">
        <f t="shared" si="97"/>
        <v>0</v>
      </c>
      <c r="J419" s="265">
        <f t="shared" si="98"/>
        <v>0</v>
      </c>
      <c r="K419" s="265">
        <f t="shared" si="95"/>
        <v>0</v>
      </c>
      <c r="L419" s="373">
        <f t="shared" si="86"/>
        <v>0</v>
      </c>
      <c r="M419" s="373">
        <f t="shared" si="96"/>
        <v>0</v>
      </c>
      <c r="N419" s="561"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Row],[Payment]]=0,0,$V$2)</f>
        <v>0</v>
      </c>
      <c r="U419" s="265">
        <f>IF(tblContractForDeed[[#This Row],[Princ]]=0,0,$V$3)</f>
        <v>0</v>
      </c>
      <c r="V419" s="265">
        <f>SUM(tblContractForDeed[[#This Row],[Princ]],tblContractForDeed[[#This Row],[Int]],tblContractForDeed[[#This Row],[Ins]],tblContractForDeed[[#This Row],[Taxes]])</f>
        <v>0</v>
      </c>
      <c r="W419" s="265">
        <f>SUM(INDEX(tblContractForDeed[Princ],1):INDEX(tblContractForDeed[Princ],ROW()-ROW(tblContractForDeed[#Headers])))</f>
        <v>146500</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39">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9" s="265">
        <f>IF(INDEX(tblContractForDeed[End Bal],ROW()-ROW(tblBuyerOutputs[#Headers]))&lt;=0,0,($O$6+IF(ROW()=ROW(tblBuyerOutputs[#Headers])+1,0,INDEX(tblBuyerOutputs[Cumul Appr],ROW()-ROW(tblBuyerOutputs[#Headers])-1)))*$O$2/12)</f>
        <v>0</v>
      </c>
      <c r="AE419" s="587">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61" t="str">
        <f t="shared" si="92"/>
        <v/>
      </c>
      <c r="B420" s="265">
        <f t="shared" si="93"/>
        <v>0</v>
      </c>
      <c r="C420" s="14">
        <f t="shared" si="90"/>
        <v>0</v>
      </c>
      <c r="D420" s="14">
        <f t="shared" si="94"/>
        <v>0</v>
      </c>
      <c r="E420" s="14">
        <f t="shared" si="91"/>
        <v>0</v>
      </c>
      <c r="F420" s="14">
        <f t="shared" si="99"/>
        <v>0</v>
      </c>
      <c r="G420" s="14">
        <f t="shared" si="99"/>
        <v>0</v>
      </c>
      <c r="H420" s="14">
        <f t="shared" si="88"/>
        <v>0</v>
      </c>
      <c r="I420" s="265">
        <f t="shared" si="97"/>
        <v>0</v>
      </c>
      <c r="J420" s="265">
        <f t="shared" si="98"/>
        <v>0</v>
      </c>
      <c r="K420" s="265">
        <f t="shared" si="95"/>
        <v>0</v>
      </c>
      <c r="L420" s="373">
        <f t="shared" si="86"/>
        <v>0</v>
      </c>
      <c r="M420" s="373">
        <f t="shared" si="96"/>
        <v>0</v>
      </c>
      <c r="N420" s="561"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Row],[Payment]]=0,0,$V$2)</f>
        <v>0</v>
      </c>
      <c r="U420" s="265">
        <f>IF(tblContractForDeed[[#This Row],[Princ]]=0,0,$V$3)</f>
        <v>0</v>
      </c>
      <c r="V420" s="265">
        <f>SUM(tblContractForDeed[[#This Row],[Princ]],tblContractForDeed[[#This Row],[Int]],tblContractForDeed[[#This Row],[Ins]],tblContractForDeed[[#This Row],[Taxes]])</f>
        <v>0</v>
      </c>
      <c r="W420" s="265">
        <f>SUM(INDEX(tblContractForDeed[Princ],1):INDEX(tblContractForDeed[Princ],ROW()-ROW(tblContractForDeed[#Headers])))</f>
        <v>146500</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39">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0" s="265">
        <f>IF(INDEX(tblContractForDeed[End Bal],ROW()-ROW(tblBuyerOutputs[#Headers]))&lt;=0,0,($O$6+IF(ROW()=ROW(tblBuyerOutputs[#Headers])+1,0,INDEX(tblBuyerOutputs[Cumul Appr],ROW()-ROW(tblBuyerOutputs[#Headers])-1)))*$O$2/12)</f>
        <v>0</v>
      </c>
      <c r="AE420" s="587">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61" t="str">
        <f t="shared" si="92"/>
        <v/>
      </c>
      <c r="B421" s="265">
        <f t="shared" si="93"/>
        <v>0</v>
      </c>
      <c r="C421" s="14">
        <f t="shared" si="90"/>
        <v>0</v>
      </c>
      <c r="D421" s="14">
        <f t="shared" si="94"/>
        <v>0</v>
      </c>
      <c r="E421" s="14">
        <f t="shared" si="91"/>
        <v>0</v>
      </c>
      <c r="F421" s="14">
        <f t="shared" si="99"/>
        <v>0</v>
      </c>
      <c r="G421" s="14">
        <f t="shared" si="99"/>
        <v>0</v>
      </c>
      <c r="H421" s="14">
        <f t="shared" si="88"/>
        <v>0</v>
      </c>
      <c r="I421" s="265">
        <f t="shared" si="97"/>
        <v>0</v>
      </c>
      <c r="J421" s="265">
        <f t="shared" si="98"/>
        <v>0</v>
      </c>
      <c r="K421" s="265">
        <f t="shared" si="95"/>
        <v>0</v>
      </c>
      <c r="L421" s="373">
        <f t="shared" si="86"/>
        <v>0</v>
      </c>
      <c r="M421" s="373">
        <f t="shared" si="96"/>
        <v>0</v>
      </c>
      <c r="N421" s="561"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Row],[Payment]]=0,0,$V$2)</f>
        <v>0</v>
      </c>
      <c r="U421" s="265">
        <f>IF(tblContractForDeed[[#This Row],[Princ]]=0,0,$V$3)</f>
        <v>0</v>
      </c>
      <c r="V421" s="265">
        <f>SUM(tblContractForDeed[[#This Row],[Princ]],tblContractForDeed[[#This Row],[Int]],tblContractForDeed[[#This Row],[Ins]],tblContractForDeed[[#This Row],[Taxes]])</f>
        <v>0</v>
      </c>
      <c r="W421" s="265">
        <f>SUM(INDEX(tblContractForDeed[Princ],1):INDEX(tblContractForDeed[Princ],ROW()-ROW(tblContractForDeed[#Headers])))</f>
        <v>146500</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39">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1" s="265">
        <f>IF(INDEX(tblContractForDeed[End Bal],ROW()-ROW(tblBuyerOutputs[#Headers]))&lt;=0,0,($O$6+IF(ROW()=ROW(tblBuyerOutputs[#Headers])+1,0,INDEX(tblBuyerOutputs[Cumul Appr],ROW()-ROW(tblBuyerOutputs[#Headers])-1)))*$O$2/12)</f>
        <v>0</v>
      </c>
      <c r="AE421" s="587">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61" t="str">
        <f t="shared" si="92"/>
        <v/>
      </c>
      <c r="B422" s="265">
        <f t="shared" si="93"/>
        <v>0</v>
      </c>
      <c r="C422" s="14">
        <f t="shared" si="90"/>
        <v>0</v>
      </c>
      <c r="D422" s="14">
        <f t="shared" si="94"/>
        <v>0</v>
      </c>
      <c r="E422" s="14">
        <f t="shared" si="91"/>
        <v>0</v>
      </c>
      <c r="F422" s="14">
        <f t="shared" si="99"/>
        <v>0</v>
      </c>
      <c r="G422" s="14">
        <f t="shared" si="99"/>
        <v>0</v>
      </c>
      <c r="H422" s="14">
        <f t="shared" si="88"/>
        <v>0</v>
      </c>
      <c r="I422" s="265">
        <f t="shared" si="97"/>
        <v>0</v>
      </c>
      <c r="J422" s="265">
        <f t="shared" si="98"/>
        <v>0</v>
      </c>
      <c r="K422" s="265">
        <f t="shared" si="95"/>
        <v>0</v>
      </c>
      <c r="L422" s="373">
        <f t="shared" si="86"/>
        <v>0</v>
      </c>
      <c r="M422" s="373">
        <f t="shared" si="96"/>
        <v>0</v>
      </c>
      <c r="N422" s="561"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Row],[Payment]]=0,0,$V$2)</f>
        <v>0</v>
      </c>
      <c r="U422" s="265">
        <f>IF(tblContractForDeed[[#This Row],[Princ]]=0,0,$V$3)</f>
        <v>0</v>
      </c>
      <c r="V422" s="265">
        <f>SUM(tblContractForDeed[[#This Row],[Princ]],tblContractForDeed[[#This Row],[Int]],tblContractForDeed[[#This Row],[Ins]],tblContractForDeed[[#This Row],[Taxes]])</f>
        <v>0</v>
      </c>
      <c r="W422" s="265">
        <f>SUM(INDEX(tblContractForDeed[Princ],1):INDEX(tblContractForDeed[Princ],ROW()-ROW(tblContractForDeed[#Headers])))</f>
        <v>146500</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39">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2" s="265">
        <f>IF(INDEX(tblContractForDeed[End Bal],ROW()-ROW(tblBuyerOutputs[#Headers]))&lt;=0,0,($O$6+IF(ROW()=ROW(tblBuyerOutputs[#Headers])+1,0,INDEX(tblBuyerOutputs[Cumul Appr],ROW()-ROW(tblBuyerOutputs[#Headers])-1)))*$O$2/12)</f>
        <v>0</v>
      </c>
      <c r="AE422" s="587">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61" t="str">
        <f t="shared" si="92"/>
        <v/>
      </c>
      <c r="B423" s="265">
        <f t="shared" si="93"/>
        <v>0</v>
      </c>
      <c r="C423" s="14">
        <f t="shared" si="90"/>
        <v>0</v>
      </c>
      <c r="D423" s="14">
        <f t="shared" si="94"/>
        <v>0</v>
      </c>
      <c r="E423" s="14">
        <f t="shared" si="91"/>
        <v>0</v>
      </c>
      <c r="F423" s="14">
        <f t="shared" si="99"/>
        <v>0</v>
      </c>
      <c r="G423" s="14">
        <f t="shared" si="99"/>
        <v>0</v>
      </c>
      <c r="H423" s="14">
        <f t="shared" si="88"/>
        <v>0</v>
      </c>
      <c r="I423" s="265">
        <f t="shared" si="97"/>
        <v>0</v>
      </c>
      <c r="J423" s="265">
        <f t="shared" si="98"/>
        <v>0</v>
      </c>
      <c r="K423" s="265">
        <f t="shared" si="95"/>
        <v>0</v>
      </c>
      <c r="L423" s="373">
        <f t="shared" si="86"/>
        <v>0</v>
      </c>
      <c r="M423" s="373">
        <f t="shared" si="96"/>
        <v>0</v>
      </c>
      <c r="N423" s="561"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Row],[Payment]]=0,0,$V$2)</f>
        <v>0</v>
      </c>
      <c r="U423" s="265">
        <f>IF(tblContractForDeed[[#This Row],[Princ]]=0,0,$V$3)</f>
        <v>0</v>
      </c>
      <c r="V423" s="265">
        <f>SUM(tblContractForDeed[[#This Row],[Princ]],tblContractForDeed[[#This Row],[Int]],tblContractForDeed[[#This Row],[Ins]],tblContractForDeed[[#This Row],[Taxes]])</f>
        <v>0</v>
      </c>
      <c r="W423" s="265">
        <f>SUM(INDEX(tblContractForDeed[Princ],1):INDEX(tblContractForDeed[Princ],ROW()-ROW(tblContractForDeed[#Headers])))</f>
        <v>146500</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39">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3" s="265">
        <f>IF(INDEX(tblContractForDeed[End Bal],ROW()-ROW(tblBuyerOutputs[#Headers]))&lt;=0,0,($O$6+IF(ROW()=ROW(tblBuyerOutputs[#Headers])+1,0,INDEX(tblBuyerOutputs[Cumul Appr],ROW()-ROW(tblBuyerOutputs[#Headers])-1)))*$O$2/12)</f>
        <v>0</v>
      </c>
      <c r="AE423" s="587">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61" t="str">
        <f t="shared" si="92"/>
        <v/>
      </c>
      <c r="B424" s="265">
        <f t="shared" si="93"/>
        <v>0</v>
      </c>
      <c r="C424" s="14">
        <f t="shared" si="90"/>
        <v>0</v>
      </c>
      <c r="D424" s="14">
        <f t="shared" si="94"/>
        <v>0</v>
      </c>
      <c r="E424" s="14">
        <f t="shared" si="91"/>
        <v>0</v>
      </c>
      <c r="F424" s="14">
        <f t="shared" si="99"/>
        <v>0</v>
      </c>
      <c r="G424" s="14">
        <f t="shared" si="99"/>
        <v>0</v>
      </c>
      <c r="H424" s="14">
        <f t="shared" si="88"/>
        <v>0</v>
      </c>
      <c r="I424" s="265">
        <f t="shared" si="97"/>
        <v>0</v>
      </c>
      <c r="J424" s="265">
        <f t="shared" si="98"/>
        <v>0</v>
      </c>
      <c r="K424" s="265">
        <f t="shared" si="95"/>
        <v>0</v>
      </c>
      <c r="L424" s="373">
        <f t="shared" si="86"/>
        <v>0</v>
      </c>
      <c r="M424" s="373">
        <f t="shared" si="96"/>
        <v>0</v>
      </c>
      <c r="N424" s="561"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Row],[Payment]]=0,0,$V$2)</f>
        <v>0</v>
      </c>
      <c r="U424" s="265">
        <f>IF(tblContractForDeed[[#This Row],[Princ]]=0,0,$V$3)</f>
        <v>0</v>
      </c>
      <c r="V424" s="265">
        <f>SUM(tblContractForDeed[[#This Row],[Princ]],tblContractForDeed[[#This Row],[Int]],tblContractForDeed[[#This Row],[Ins]],tblContractForDeed[[#This Row],[Taxes]])</f>
        <v>0</v>
      </c>
      <c r="W424" s="265">
        <f>SUM(INDEX(tblContractForDeed[Princ],1):INDEX(tblContractForDeed[Princ],ROW()-ROW(tblContractForDeed[#Headers])))</f>
        <v>146500</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39">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4" s="265">
        <f>IF(INDEX(tblContractForDeed[End Bal],ROW()-ROW(tblBuyerOutputs[#Headers]))&lt;=0,0,($O$6+IF(ROW()=ROW(tblBuyerOutputs[#Headers])+1,0,INDEX(tblBuyerOutputs[Cumul Appr],ROW()-ROW(tblBuyerOutputs[#Headers])-1)))*$O$2/12)</f>
        <v>0</v>
      </c>
      <c r="AE424" s="587">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61" t="str">
        <f t="shared" si="92"/>
        <v/>
      </c>
      <c r="B425" s="265">
        <f t="shared" si="93"/>
        <v>0</v>
      </c>
      <c r="C425" s="14">
        <f t="shared" si="90"/>
        <v>0</v>
      </c>
      <c r="D425" s="14">
        <f t="shared" si="94"/>
        <v>0</v>
      </c>
      <c r="E425" s="14">
        <f t="shared" si="91"/>
        <v>0</v>
      </c>
      <c r="F425" s="14">
        <f t="shared" si="99"/>
        <v>0</v>
      </c>
      <c r="G425" s="14">
        <f t="shared" si="99"/>
        <v>0</v>
      </c>
      <c r="H425" s="14">
        <f t="shared" si="88"/>
        <v>0</v>
      </c>
      <c r="I425" s="265">
        <f t="shared" si="97"/>
        <v>0</v>
      </c>
      <c r="J425" s="265">
        <f t="shared" si="98"/>
        <v>0</v>
      </c>
      <c r="K425" s="265">
        <f t="shared" si="95"/>
        <v>0</v>
      </c>
      <c r="L425" s="373">
        <f t="shared" si="86"/>
        <v>0</v>
      </c>
      <c r="M425" s="373">
        <f t="shared" si="96"/>
        <v>0</v>
      </c>
      <c r="N425" s="561"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Row],[Payment]]=0,0,$V$2)</f>
        <v>0</v>
      </c>
      <c r="U425" s="265">
        <f>IF(tblContractForDeed[[#This Row],[Princ]]=0,0,$V$3)</f>
        <v>0</v>
      </c>
      <c r="V425" s="265">
        <f>SUM(tblContractForDeed[[#This Row],[Princ]],tblContractForDeed[[#This Row],[Int]],tblContractForDeed[[#This Row],[Ins]],tblContractForDeed[[#This Row],[Taxes]])</f>
        <v>0</v>
      </c>
      <c r="W425" s="265">
        <f>SUM(INDEX(tblContractForDeed[Princ],1):INDEX(tblContractForDeed[Princ],ROW()-ROW(tblContractForDeed[#Headers])))</f>
        <v>146500</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39">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5" s="265">
        <f>IF(INDEX(tblContractForDeed[End Bal],ROW()-ROW(tblBuyerOutputs[#Headers]))&lt;=0,0,($O$6+IF(ROW()=ROW(tblBuyerOutputs[#Headers])+1,0,INDEX(tblBuyerOutputs[Cumul Appr],ROW()-ROW(tblBuyerOutputs[#Headers])-1)))*$O$2/12)</f>
        <v>0</v>
      </c>
      <c r="AE425" s="587">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61" t="str">
        <f t="shared" si="92"/>
        <v/>
      </c>
      <c r="B426" s="265">
        <f t="shared" si="93"/>
        <v>0</v>
      </c>
      <c r="C426" s="14">
        <f t="shared" si="90"/>
        <v>0</v>
      </c>
      <c r="D426" s="14">
        <f t="shared" si="94"/>
        <v>0</v>
      </c>
      <c r="E426" s="14">
        <f t="shared" si="91"/>
        <v>0</v>
      </c>
      <c r="F426" s="14">
        <f t="shared" si="99"/>
        <v>0</v>
      </c>
      <c r="G426" s="14">
        <f t="shared" si="99"/>
        <v>0</v>
      </c>
      <c r="H426" s="14">
        <f t="shared" si="88"/>
        <v>0</v>
      </c>
      <c r="I426" s="265">
        <f t="shared" si="97"/>
        <v>0</v>
      </c>
      <c r="J426" s="265">
        <f t="shared" si="98"/>
        <v>0</v>
      </c>
      <c r="K426" s="265">
        <f t="shared" si="95"/>
        <v>0</v>
      </c>
      <c r="L426" s="373">
        <f t="shared" si="86"/>
        <v>0</v>
      </c>
      <c r="M426" s="373">
        <f t="shared" si="96"/>
        <v>0</v>
      </c>
      <c r="N426" s="561"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Row],[Payment]]=0,0,$V$2)</f>
        <v>0</v>
      </c>
      <c r="U426" s="265">
        <f>IF(tblContractForDeed[[#This Row],[Princ]]=0,0,$V$3)</f>
        <v>0</v>
      </c>
      <c r="V426" s="265">
        <f>SUM(tblContractForDeed[[#This Row],[Princ]],tblContractForDeed[[#This Row],[Int]],tblContractForDeed[[#This Row],[Ins]],tblContractForDeed[[#This Row],[Taxes]])</f>
        <v>0</v>
      </c>
      <c r="W426" s="265">
        <f>SUM(INDEX(tblContractForDeed[Princ],1):INDEX(tblContractForDeed[Princ],ROW()-ROW(tblContractForDeed[#Headers])))</f>
        <v>146500</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39">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6" s="265">
        <f>IF(INDEX(tblContractForDeed[End Bal],ROW()-ROW(tblBuyerOutputs[#Headers]))&lt;=0,0,($O$6+IF(ROW()=ROW(tblBuyerOutputs[#Headers])+1,0,INDEX(tblBuyerOutputs[Cumul Appr],ROW()-ROW(tblBuyerOutputs[#Headers])-1)))*$O$2/12)</f>
        <v>0</v>
      </c>
      <c r="AE426" s="587">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62" t="str">
        <f t="shared" si="92"/>
        <v/>
      </c>
      <c r="B427" s="316">
        <f t="shared" si="93"/>
        <v>0</v>
      </c>
      <c r="C427" s="21">
        <f t="shared" si="90"/>
        <v>0</v>
      </c>
      <c r="D427" s="21">
        <f t="shared" si="94"/>
        <v>0</v>
      </c>
      <c r="E427" s="21">
        <f t="shared" si="91"/>
        <v>0</v>
      </c>
      <c r="F427" s="21">
        <f t="shared" si="99"/>
        <v>0</v>
      </c>
      <c r="G427" s="21">
        <f t="shared" si="99"/>
        <v>0</v>
      </c>
      <c r="H427" s="21">
        <f t="shared" si="88"/>
        <v>0</v>
      </c>
      <c r="I427" s="316">
        <f t="shared" si="97"/>
        <v>0</v>
      </c>
      <c r="J427" s="316">
        <f t="shared" si="98"/>
        <v>0</v>
      </c>
      <c r="K427" s="316">
        <f t="shared" si="95"/>
        <v>0</v>
      </c>
      <c r="L427" s="374">
        <f t="shared" si="86"/>
        <v>0</v>
      </c>
      <c r="M427" s="374">
        <f t="shared" si="96"/>
        <v>0</v>
      </c>
      <c r="N427" s="562" t="str">
        <f>INDEX(tblSubjectToLoan[Date],ROW()-ROW(tblContractForDeed[#Headers]))</f>
        <v/>
      </c>
      <c r="O427" s="316">
        <f>IF(ROW()=ROW(tblContractForDeed[#Headers])+1,$O$6,IF(INDEX(tblContractForDeed[End Bal],ROW()-ROW(tblContractForDeed[#Headers])-1)&lt;0,0,INDEX(tblContractForDeed[End Bal],ROW()-ROW(tblContractForDeed[#Headers])-1)))</f>
        <v>0</v>
      </c>
      <c r="P427" s="585"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Row],[Payment]]=0,0,$V$2)</f>
        <v>0</v>
      </c>
      <c r="U427" s="316">
        <f>IF(tblContractForDeed[[#This Row],[Princ]]=0,0,$V$3)</f>
        <v>0</v>
      </c>
      <c r="V427" s="316">
        <f>SUM(tblContractForDeed[[#This Row],[Princ]],tblContractForDeed[[#This Row],[Int]],tblContractForDeed[[#This Row],[Ins]],tblContractForDeed[[#This Row],[Taxes]])</f>
        <v>0</v>
      </c>
      <c r="W427" s="316">
        <f>SUM(INDEX(tblContractForDeed[Princ],1):INDEX(tblContractForDeed[Princ],ROW()-ROW(tblContractForDeed[#Headers])))</f>
        <v>146500</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0">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7" s="316">
        <f>IF(INDEX(tblContractForDeed[End Bal],ROW()-ROW(tblBuyerOutputs[#Headers]))&lt;=0,0,($O$6+IF(ROW()=ROW(tblBuyerOutputs[#Headers])+1,0,INDEX(tblBuyerOutputs[Cumul Appr],ROW()-ROW(tblBuyerOutputs[#Headers])-1)))*$O$2/12)</f>
        <v>0</v>
      </c>
      <c r="AE427" s="588">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61" t="str">
        <f t="shared" si="92"/>
        <v/>
      </c>
      <c r="B428" s="265">
        <f t="shared" si="93"/>
        <v>0</v>
      </c>
      <c r="C428" s="14">
        <f t="shared" si="90"/>
        <v>0</v>
      </c>
      <c r="D428" s="14">
        <f t="shared" si="94"/>
        <v>0</v>
      </c>
      <c r="E428" s="14">
        <f t="shared" si="91"/>
        <v>0</v>
      </c>
      <c r="F428" s="14">
        <f t="shared" si="99"/>
        <v>0</v>
      </c>
      <c r="G428" s="14">
        <f t="shared" si="99"/>
        <v>0</v>
      </c>
      <c r="H428" s="14">
        <f t="shared" si="88"/>
        <v>0</v>
      </c>
      <c r="I428" s="265">
        <f t="shared" si="97"/>
        <v>0</v>
      </c>
      <c r="J428" s="265">
        <f t="shared" si="98"/>
        <v>0</v>
      </c>
      <c r="K428" s="265">
        <f t="shared" si="95"/>
        <v>0</v>
      </c>
      <c r="L428" s="373">
        <f t="shared" si="86"/>
        <v>0</v>
      </c>
      <c r="M428" s="373">
        <f t="shared" si="96"/>
        <v>0</v>
      </c>
      <c r="N428" s="561"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Row],[Payment]]=0,0,$V$2)</f>
        <v>0</v>
      </c>
      <c r="U428" s="265">
        <f>IF(tblContractForDeed[[#This Row],[Princ]]=0,0,$V$3)</f>
        <v>0</v>
      </c>
      <c r="V428" s="265">
        <f>SUM(tblContractForDeed[[#This Row],[Princ]],tblContractForDeed[[#This Row],[Int]],tblContractForDeed[[#This Row],[Ins]],tblContractForDeed[[#This Row],[Taxes]])</f>
        <v>0</v>
      </c>
      <c r="W428" s="265">
        <f>SUM(INDEX(tblContractForDeed[Princ],1):INDEX(tblContractForDeed[Princ],ROW()-ROW(tblContractForDeed[#Headers])))</f>
        <v>146500</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39">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8" s="265">
        <f>IF(INDEX(tblContractForDeed[End Bal],ROW()-ROW(tblBuyerOutputs[#Headers]))&lt;=0,0,($O$6+IF(ROW()=ROW(tblBuyerOutputs[#Headers])+1,0,INDEX(tblBuyerOutputs[Cumul Appr],ROW()-ROW(tblBuyerOutputs[#Headers])-1)))*$O$2/12)</f>
        <v>0</v>
      </c>
      <c r="AE428" s="587">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61" t="str">
        <f t="shared" si="92"/>
        <v/>
      </c>
      <c r="B429" s="265">
        <f t="shared" si="93"/>
        <v>0</v>
      </c>
      <c r="C429" s="14">
        <f t="shared" si="90"/>
        <v>0</v>
      </c>
      <c r="D429" s="14">
        <f t="shared" si="94"/>
        <v>0</v>
      </c>
      <c r="E429" s="14">
        <f t="shared" si="91"/>
        <v>0</v>
      </c>
      <c r="F429" s="14">
        <f t="shared" si="99"/>
        <v>0</v>
      </c>
      <c r="G429" s="14">
        <f t="shared" si="99"/>
        <v>0</v>
      </c>
      <c r="H429" s="14">
        <f t="shared" si="88"/>
        <v>0</v>
      </c>
      <c r="I429" s="265">
        <f t="shared" si="97"/>
        <v>0</v>
      </c>
      <c r="J429" s="265">
        <f t="shared" si="98"/>
        <v>0</v>
      </c>
      <c r="K429" s="265">
        <f t="shared" si="95"/>
        <v>0</v>
      </c>
      <c r="L429" s="373">
        <f t="shared" si="86"/>
        <v>0</v>
      </c>
      <c r="M429" s="373">
        <f t="shared" si="96"/>
        <v>0</v>
      </c>
      <c r="N429" s="561"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Row],[Payment]]=0,0,$V$2)</f>
        <v>0</v>
      </c>
      <c r="U429" s="265">
        <f>IF(tblContractForDeed[[#This Row],[Princ]]=0,0,$V$3)</f>
        <v>0</v>
      </c>
      <c r="V429" s="265">
        <f>SUM(tblContractForDeed[[#This Row],[Princ]],tblContractForDeed[[#This Row],[Int]],tblContractForDeed[[#This Row],[Ins]],tblContractForDeed[[#This Row],[Taxes]])</f>
        <v>0</v>
      </c>
      <c r="W429" s="265">
        <f>SUM(INDEX(tblContractForDeed[Princ],1):INDEX(tblContractForDeed[Princ],ROW()-ROW(tblContractForDeed[#Headers])))</f>
        <v>146500</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39">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9" s="265">
        <f>IF(INDEX(tblContractForDeed[End Bal],ROW()-ROW(tblBuyerOutputs[#Headers]))&lt;=0,0,($O$6+IF(ROW()=ROW(tblBuyerOutputs[#Headers])+1,0,INDEX(tblBuyerOutputs[Cumul Appr],ROW()-ROW(tblBuyerOutputs[#Headers])-1)))*$O$2/12)</f>
        <v>0</v>
      </c>
      <c r="AE429" s="587">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61" t="str">
        <f t="shared" si="92"/>
        <v/>
      </c>
      <c r="B430" s="265">
        <f t="shared" si="93"/>
        <v>0</v>
      </c>
      <c r="C430" s="14">
        <f t="shared" si="90"/>
        <v>0</v>
      </c>
      <c r="D430" s="14">
        <f t="shared" si="94"/>
        <v>0</v>
      </c>
      <c r="E430" s="14">
        <f t="shared" si="91"/>
        <v>0</v>
      </c>
      <c r="F430" s="14">
        <f t="shared" si="99"/>
        <v>0</v>
      </c>
      <c r="G430" s="14">
        <f t="shared" si="99"/>
        <v>0</v>
      </c>
      <c r="H430" s="14">
        <f t="shared" si="88"/>
        <v>0</v>
      </c>
      <c r="I430" s="265">
        <f t="shared" si="97"/>
        <v>0</v>
      </c>
      <c r="J430" s="265">
        <f t="shared" si="98"/>
        <v>0</v>
      </c>
      <c r="K430" s="265">
        <f t="shared" si="95"/>
        <v>0</v>
      </c>
      <c r="L430" s="373">
        <f t="shared" si="86"/>
        <v>0</v>
      </c>
      <c r="M430" s="373">
        <f t="shared" si="96"/>
        <v>0</v>
      </c>
      <c r="N430" s="561"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Row],[Payment]]=0,0,$V$2)</f>
        <v>0</v>
      </c>
      <c r="U430" s="265">
        <f>IF(tblContractForDeed[[#This Row],[Princ]]=0,0,$V$3)</f>
        <v>0</v>
      </c>
      <c r="V430" s="265">
        <f>SUM(tblContractForDeed[[#This Row],[Princ]],tblContractForDeed[[#This Row],[Int]],tblContractForDeed[[#This Row],[Ins]],tblContractForDeed[[#This Row],[Taxes]])</f>
        <v>0</v>
      </c>
      <c r="W430" s="265">
        <f>SUM(INDEX(tblContractForDeed[Princ],1):INDEX(tblContractForDeed[Princ],ROW()-ROW(tblContractForDeed[#Headers])))</f>
        <v>146500</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39">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0" s="265">
        <f>IF(INDEX(tblContractForDeed[End Bal],ROW()-ROW(tblBuyerOutputs[#Headers]))&lt;=0,0,($O$6+IF(ROW()=ROW(tblBuyerOutputs[#Headers])+1,0,INDEX(tblBuyerOutputs[Cumul Appr],ROW()-ROW(tblBuyerOutputs[#Headers])-1)))*$O$2/12)</f>
        <v>0</v>
      </c>
      <c r="AE430" s="587">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61" t="str">
        <f t="shared" si="92"/>
        <v/>
      </c>
      <c r="B431" s="265">
        <f t="shared" si="93"/>
        <v>0</v>
      </c>
      <c r="C431" s="14">
        <f t="shared" si="90"/>
        <v>0</v>
      </c>
      <c r="D431" s="14">
        <f t="shared" si="94"/>
        <v>0</v>
      </c>
      <c r="E431" s="14">
        <f t="shared" si="91"/>
        <v>0</v>
      </c>
      <c r="F431" s="14">
        <f t="shared" ref="F431:G446" si="100">+F430</f>
        <v>0</v>
      </c>
      <c r="G431" s="14">
        <f t="shared" si="100"/>
        <v>0</v>
      </c>
      <c r="H431" s="14">
        <f t="shared" si="88"/>
        <v>0</v>
      </c>
      <c r="I431" s="265">
        <f t="shared" si="97"/>
        <v>0</v>
      </c>
      <c r="J431" s="265">
        <f t="shared" si="98"/>
        <v>0</v>
      </c>
      <c r="K431" s="265">
        <f t="shared" si="95"/>
        <v>0</v>
      </c>
      <c r="L431" s="373">
        <f t="shared" si="86"/>
        <v>0</v>
      </c>
      <c r="M431" s="373">
        <f t="shared" si="96"/>
        <v>0</v>
      </c>
      <c r="N431" s="561"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Row],[Payment]]=0,0,$V$2)</f>
        <v>0</v>
      </c>
      <c r="U431" s="265">
        <f>IF(tblContractForDeed[[#This Row],[Princ]]=0,0,$V$3)</f>
        <v>0</v>
      </c>
      <c r="V431" s="265">
        <f>SUM(tblContractForDeed[[#This Row],[Princ]],tblContractForDeed[[#This Row],[Int]],tblContractForDeed[[#This Row],[Ins]],tblContractForDeed[[#This Row],[Taxes]])</f>
        <v>0</v>
      </c>
      <c r="W431" s="265">
        <f>SUM(INDEX(tblContractForDeed[Princ],1):INDEX(tblContractForDeed[Princ],ROW()-ROW(tblContractForDeed[#Headers])))</f>
        <v>146500</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39">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1" s="265">
        <f>IF(INDEX(tblContractForDeed[End Bal],ROW()-ROW(tblBuyerOutputs[#Headers]))&lt;=0,0,($O$6+IF(ROW()=ROW(tblBuyerOutputs[#Headers])+1,0,INDEX(tblBuyerOutputs[Cumul Appr],ROW()-ROW(tblBuyerOutputs[#Headers])-1)))*$O$2/12)</f>
        <v>0</v>
      </c>
      <c r="AE431" s="587">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61" t="str">
        <f t="shared" si="92"/>
        <v/>
      </c>
      <c r="B432" s="265">
        <f t="shared" si="93"/>
        <v>0</v>
      </c>
      <c r="C432" s="14">
        <f t="shared" si="90"/>
        <v>0</v>
      </c>
      <c r="D432" s="14">
        <f t="shared" si="94"/>
        <v>0</v>
      </c>
      <c r="E432" s="14">
        <f t="shared" si="91"/>
        <v>0</v>
      </c>
      <c r="F432" s="14">
        <f t="shared" si="100"/>
        <v>0</v>
      </c>
      <c r="G432" s="14">
        <f t="shared" si="100"/>
        <v>0</v>
      </c>
      <c r="H432" s="14">
        <f t="shared" si="88"/>
        <v>0</v>
      </c>
      <c r="I432" s="265">
        <f t="shared" si="97"/>
        <v>0</v>
      </c>
      <c r="J432" s="265">
        <f t="shared" si="98"/>
        <v>0</v>
      </c>
      <c r="K432" s="265">
        <f t="shared" si="95"/>
        <v>0</v>
      </c>
      <c r="L432" s="373">
        <f t="shared" si="86"/>
        <v>0</v>
      </c>
      <c r="M432" s="373">
        <f t="shared" si="96"/>
        <v>0</v>
      </c>
      <c r="N432" s="561"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Row],[Payment]]=0,0,$V$2)</f>
        <v>0</v>
      </c>
      <c r="U432" s="265">
        <f>IF(tblContractForDeed[[#This Row],[Princ]]=0,0,$V$3)</f>
        <v>0</v>
      </c>
      <c r="V432" s="265">
        <f>SUM(tblContractForDeed[[#This Row],[Princ]],tblContractForDeed[[#This Row],[Int]],tblContractForDeed[[#This Row],[Ins]],tblContractForDeed[[#This Row],[Taxes]])</f>
        <v>0</v>
      </c>
      <c r="W432" s="265">
        <f>SUM(INDEX(tblContractForDeed[Princ],1):INDEX(tblContractForDeed[Princ],ROW()-ROW(tblContractForDeed[#Headers])))</f>
        <v>146500</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39">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2" s="265">
        <f>IF(INDEX(tblContractForDeed[End Bal],ROW()-ROW(tblBuyerOutputs[#Headers]))&lt;=0,0,($O$6+IF(ROW()=ROW(tblBuyerOutputs[#Headers])+1,0,INDEX(tblBuyerOutputs[Cumul Appr],ROW()-ROW(tblBuyerOutputs[#Headers])-1)))*$O$2/12)</f>
        <v>0</v>
      </c>
      <c r="AE432" s="587">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61" t="str">
        <f t="shared" si="92"/>
        <v/>
      </c>
      <c r="B433" s="265">
        <f t="shared" si="93"/>
        <v>0</v>
      </c>
      <c r="C433" s="14">
        <f t="shared" si="90"/>
        <v>0</v>
      </c>
      <c r="D433" s="14">
        <f t="shared" si="94"/>
        <v>0</v>
      </c>
      <c r="E433" s="14">
        <f t="shared" si="91"/>
        <v>0</v>
      </c>
      <c r="F433" s="14">
        <f t="shared" si="100"/>
        <v>0</v>
      </c>
      <c r="G433" s="14">
        <f t="shared" si="100"/>
        <v>0</v>
      </c>
      <c r="H433" s="14">
        <f t="shared" si="88"/>
        <v>0</v>
      </c>
      <c r="I433" s="265">
        <f t="shared" si="97"/>
        <v>0</v>
      </c>
      <c r="J433" s="265">
        <f t="shared" si="98"/>
        <v>0</v>
      </c>
      <c r="K433" s="265">
        <f t="shared" si="95"/>
        <v>0</v>
      </c>
      <c r="L433" s="373">
        <f t="shared" si="86"/>
        <v>0</v>
      </c>
      <c r="M433" s="373">
        <f t="shared" si="96"/>
        <v>0</v>
      </c>
      <c r="N433" s="561"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Row],[Payment]]=0,0,$V$2)</f>
        <v>0</v>
      </c>
      <c r="U433" s="265">
        <f>IF(tblContractForDeed[[#This Row],[Princ]]=0,0,$V$3)</f>
        <v>0</v>
      </c>
      <c r="V433" s="265">
        <f>SUM(tblContractForDeed[[#This Row],[Princ]],tblContractForDeed[[#This Row],[Int]],tblContractForDeed[[#This Row],[Ins]],tblContractForDeed[[#This Row],[Taxes]])</f>
        <v>0</v>
      </c>
      <c r="W433" s="265">
        <f>SUM(INDEX(tblContractForDeed[Princ],1):INDEX(tblContractForDeed[Princ],ROW()-ROW(tblContractForDeed[#Headers])))</f>
        <v>146500</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39">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3" s="265">
        <f>IF(INDEX(tblContractForDeed[End Bal],ROW()-ROW(tblBuyerOutputs[#Headers]))&lt;=0,0,($O$6+IF(ROW()=ROW(tblBuyerOutputs[#Headers])+1,0,INDEX(tblBuyerOutputs[Cumul Appr],ROW()-ROW(tblBuyerOutputs[#Headers])-1)))*$O$2/12)</f>
        <v>0</v>
      </c>
      <c r="AE433" s="587">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61" t="str">
        <f t="shared" si="92"/>
        <v/>
      </c>
      <c r="B434" s="265">
        <f t="shared" si="93"/>
        <v>0</v>
      </c>
      <c r="C434" s="14">
        <f t="shared" si="90"/>
        <v>0</v>
      </c>
      <c r="D434" s="14">
        <f t="shared" si="94"/>
        <v>0</v>
      </c>
      <c r="E434" s="14">
        <f t="shared" si="91"/>
        <v>0</v>
      </c>
      <c r="F434" s="14">
        <f t="shared" si="100"/>
        <v>0</v>
      </c>
      <c r="G434" s="14">
        <f t="shared" si="100"/>
        <v>0</v>
      </c>
      <c r="H434" s="14">
        <f t="shared" si="88"/>
        <v>0</v>
      </c>
      <c r="I434" s="265">
        <f t="shared" si="97"/>
        <v>0</v>
      </c>
      <c r="J434" s="265">
        <f t="shared" si="98"/>
        <v>0</v>
      </c>
      <c r="K434" s="265">
        <f t="shared" si="95"/>
        <v>0</v>
      </c>
      <c r="L434" s="373">
        <f t="shared" si="86"/>
        <v>0</v>
      </c>
      <c r="M434" s="373">
        <f t="shared" si="96"/>
        <v>0</v>
      </c>
      <c r="N434" s="561"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Row],[Payment]]=0,0,$V$2)</f>
        <v>0</v>
      </c>
      <c r="U434" s="265">
        <f>IF(tblContractForDeed[[#This Row],[Princ]]=0,0,$V$3)</f>
        <v>0</v>
      </c>
      <c r="V434" s="265">
        <f>SUM(tblContractForDeed[[#This Row],[Princ]],tblContractForDeed[[#This Row],[Int]],tblContractForDeed[[#This Row],[Ins]],tblContractForDeed[[#This Row],[Taxes]])</f>
        <v>0</v>
      </c>
      <c r="W434" s="265">
        <f>SUM(INDEX(tblContractForDeed[Princ],1):INDEX(tblContractForDeed[Princ],ROW()-ROW(tblContractForDeed[#Headers])))</f>
        <v>146500</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39">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4" s="265">
        <f>IF(INDEX(tblContractForDeed[End Bal],ROW()-ROW(tblBuyerOutputs[#Headers]))&lt;=0,0,($O$6+IF(ROW()=ROW(tblBuyerOutputs[#Headers])+1,0,INDEX(tblBuyerOutputs[Cumul Appr],ROW()-ROW(tblBuyerOutputs[#Headers])-1)))*$O$2/12)</f>
        <v>0</v>
      </c>
      <c r="AE434" s="587">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61" t="str">
        <f t="shared" si="92"/>
        <v/>
      </c>
      <c r="B435" s="265">
        <f t="shared" si="93"/>
        <v>0</v>
      </c>
      <c r="C435" s="14">
        <f t="shared" si="90"/>
        <v>0</v>
      </c>
      <c r="D435" s="14">
        <f t="shared" si="94"/>
        <v>0</v>
      </c>
      <c r="E435" s="14">
        <f t="shared" si="91"/>
        <v>0</v>
      </c>
      <c r="F435" s="14">
        <f t="shared" si="100"/>
        <v>0</v>
      </c>
      <c r="G435" s="14">
        <f t="shared" si="100"/>
        <v>0</v>
      </c>
      <c r="H435" s="14">
        <f t="shared" si="88"/>
        <v>0</v>
      </c>
      <c r="I435" s="265">
        <f t="shared" si="97"/>
        <v>0</v>
      </c>
      <c r="J435" s="265">
        <f t="shared" si="98"/>
        <v>0</v>
      </c>
      <c r="K435" s="265">
        <f t="shared" si="95"/>
        <v>0</v>
      </c>
      <c r="L435" s="373">
        <f t="shared" si="86"/>
        <v>0</v>
      </c>
      <c r="M435" s="373">
        <f t="shared" si="96"/>
        <v>0</v>
      </c>
      <c r="N435" s="561"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Row],[Payment]]=0,0,$V$2)</f>
        <v>0</v>
      </c>
      <c r="U435" s="265">
        <f>IF(tblContractForDeed[[#This Row],[Princ]]=0,0,$V$3)</f>
        <v>0</v>
      </c>
      <c r="V435" s="265">
        <f>SUM(tblContractForDeed[[#This Row],[Princ]],tblContractForDeed[[#This Row],[Int]],tblContractForDeed[[#This Row],[Ins]],tblContractForDeed[[#This Row],[Taxes]])</f>
        <v>0</v>
      </c>
      <c r="W435" s="265">
        <f>SUM(INDEX(tblContractForDeed[Princ],1):INDEX(tblContractForDeed[Princ],ROW()-ROW(tblContractForDeed[#Headers])))</f>
        <v>146500</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39">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5" s="265">
        <f>IF(INDEX(tblContractForDeed[End Bal],ROW()-ROW(tblBuyerOutputs[#Headers]))&lt;=0,0,($O$6+IF(ROW()=ROW(tblBuyerOutputs[#Headers])+1,0,INDEX(tblBuyerOutputs[Cumul Appr],ROW()-ROW(tblBuyerOutputs[#Headers])-1)))*$O$2/12)</f>
        <v>0</v>
      </c>
      <c r="AE435" s="587">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61" t="str">
        <f t="shared" si="92"/>
        <v/>
      </c>
      <c r="B436" s="265">
        <f t="shared" si="93"/>
        <v>0</v>
      </c>
      <c r="C436" s="14">
        <f t="shared" si="90"/>
        <v>0</v>
      </c>
      <c r="D436" s="14">
        <f t="shared" si="94"/>
        <v>0</v>
      </c>
      <c r="E436" s="14">
        <f t="shared" si="91"/>
        <v>0</v>
      </c>
      <c r="F436" s="14">
        <f t="shared" si="100"/>
        <v>0</v>
      </c>
      <c r="G436" s="14">
        <f t="shared" si="100"/>
        <v>0</v>
      </c>
      <c r="H436" s="14">
        <f t="shared" si="88"/>
        <v>0</v>
      </c>
      <c r="I436" s="265">
        <f t="shared" si="97"/>
        <v>0</v>
      </c>
      <c r="J436" s="265">
        <f t="shared" si="98"/>
        <v>0</v>
      </c>
      <c r="K436" s="265">
        <f t="shared" si="95"/>
        <v>0</v>
      </c>
      <c r="L436" s="373">
        <f t="shared" ref="L436:L499" si="101">IF(MOD(M436,12)=0,M436/12,L435)</f>
        <v>0</v>
      </c>
      <c r="M436" s="373">
        <f t="shared" si="96"/>
        <v>0</v>
      </c>
      <c r="N436" s="561"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Row],[Payment]]=0,0,$V$2)</f>
        <v>0</v>
      </c>
      <c r="U436" s="265">
        <f>IF(tblContractForDeed[[#This Row],[Princ]]=0,0,$V$3)</f>
        <v>0</v>
      </c>
      <c r="V436" s="265">
        <f>SUM(tblContractForDeed[[#This Row],[Princ]],tblContractForDeed[[#This Row],[Int]],tblContractForDeed[[#This Row],[Ins]],tblContractForDeed[[#This Row],[Taxes]])</f>
        <v>0</v>
      </c>
      <c r="W436" s="265">
        <f>SUM(INDEX(tblContractForDeed[Princ],1):INDEX(tblContractForDeed[Princ],ROW()-ROW(tblContractForDeed[#Headers])))</f>
        <v>146500</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39">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6" s="265">
        <f>IF(INDEX(tblContractForDeed[End Bal],ROW()-ROW(tblBuyerOutputs[#Headers]))&lt;=0,0,($O$6+IF(ROW()=ROW(tblBuyerOutputs[#Headers])+1,0,INDEX(tblBuyerOutputs[Cumul Appr],ROW()-ROW(tblBuyerOutputs[#Headers])-1)))*$O$2/12)</f>
        <v>0</v>
      </c>
      <c r="AE436" s="587">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61" t="str">
        <f t="shared" si="92"/>
        <v/>
      </c>
      <c r="B437" s="265">
        <f t="shared" si="93"/>
        <v>0</v>
      </c>
      <c r="C437" s="14">
        <f t="shared" si="90"/>
        <v>0</v>
      </c>
      <c r="D437" s="14">
        <f t="shared" si="94"/>
        <v>0</v>
      </c>
      <c r="E437" s="14">
        <f t="shared" si="91"/>
        <v>0</v>
      </c>
      <c r="F437" s="14">
        <f t="shared" si="100"/>
        <v>0</v>
      </c>
      <c r="G437" s="14">
        <f t="shared" si="100"/>
        <v>0</v>
      </c>
      <c r="H437" s="14">
        <f t="shared" si="88"/>
        <v>0</v>
      </c>
      <c r="I437" s="265">
        <f t="shared" si="97"/>
        <v>0</v>
      </c>
      <c r="J437" s="265">
        <f t="shared" si="98"/>
        <v>0</v>
      </c>
      <c r="K437" s="265">
        <f t="shared" si="95"/>
        <v>0</v>
      </c>
      <c r="L437" s="373">
        <f t="shared" si="101"/>
        <v>0</v>
      </c>
      <c r="M437" s="373">
        <f t="shared" si="96"/>
        <v>0</v>
      </c>
      <c r="N437" s="561"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Row],[Payment]]=0,0,$V$2)</f>
        <v>0</v>
      </c>
      <c r="U437" s="265">
        <f>IF(tblContractForDeed[[#This Row],[Princ]]=0,0,$V$3)</f>
        <v>0</v>
      </c>
      <c r="V437" s="265">
        <f>SUM(tblContractForDeed[[#This Row],[Princ]],tblContractForDeed[[#This Row],[Int]],tblContractForDeed[[#This Row],[Ins]],tblContractForDeed[[#This Row],[Taxes]])</f>
        <v>0</v>
      </c>
      <c r="W437" s="265">
        <f>SUM(INDEX(tblContractForDeed[Princ],1):INDEX(tblContractForDeed[Princ],ROW()-ROW(tblContractForDeed[#Headers])))</f>
        <v>146500</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39">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7" s="265">
        <f>IF(INDEX(tblContractForDeed[End Bal],ROW()-ROW(tblBuyerOutputs[#Headers]))&lt;=0,0,($O$6+IF(ROW()=ROW(tblBuyerOutputs[#Headers])+1,0,INDEX(tblBuyerOutputs[Cumul Appr],ROW()-ROW(tblBuyerOutputs[#Headers])-1)))*$O$2/12)</f>
        <v>0</v>
      </c>
      <c r="AE437" s="587">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61" t="str">
        <f t="shared" si="92"/>
        <v/>
      </c>
      <c r="B438" s="265">
        <f t="shared" si="93"/>
        <v>0</v>
      </c>
      <c r="C438" s="14">
        <f t="shared" si="90"/>
        <v>0</v>
      </c>
      <c r="D438" s="14">
        <f t="shared" si="94"/>
        <v>0</v>
      </c>
      <c r="E438" s="14">
        <f t="shared" si="91"/>
        <v>0</v>
      </c>
      <c r="F438" s="14">
        <f t="shared" si="100"/>
        <v>0</v>
      </c>
      <c r="G438" s="14">
        <f t="shared" si="100"/>
        <v>0</v>
      </c>
      <c r="H438" s="14">
        <f t="shared" si="88"/>
        <v>0</v>
      </c>
      <c r="I438" s="265">
        <f t="shared" si="97"/>
        <v>0</v>
      </c>
      <c r="J438" s="265">
        <f t="shared" si="98"/>
        <v>0</v>
      </c>
      <c r="K438" s="265">
        <f t="shared" si="95"/>
        <v>0</v>
      </c>
      <c r="L438" s="373">
        <f t="shared" si="101"/>
        <v>0</v>
      </c>
      <c r="M438" s="373">
        <f t="shared" si="96"/>
        <v>0</v>
      </c>
      <c r="N438" s="561"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Row],[Payment]]=0,0,$V$2)</f>
        <v>0</v>
      </c>
      <c r="U438" s="265">
        <f>IF(tblContractForDeed[[#This Row],[Princ]]=0,0,$V$3)</f>
        <v>0</v>
      </c>
      <c r="V438" s="265">
        <f>SUM(tblContractForDeed[[#This Row],[Princ]],tblContractForDeed[[#This Row],[Int]],tblContractForDeed[[#This Row],[Ins]],tblContractForDeed[[#This Row],[Taxes]])</f>
        <v>0</v>
      </c>
      <c r="W438" s="265">
        <f>SUM(INDEX(tblContractForDeed[Princ],1):INDEX(tblContractForDeed[Princ],ROW()-ROW(tblContractForDeed[#Headers])))</f>
        <v>146500</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39">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8" s="265">
        <f>IF(INDEX(tblContractForDeed[End Bal],ROW()-ROW(tblBuyerOutputs[#Headers]))&lt;=0,0,($O$6+IF(ROW()=ROW(tblBuyerOutputs[#Headers])+1,0,INDEX(tblBuyerOutputs[Cumul Appr],ROW()-ROW(tblBuyerOutputs[#Headers])-1)))*$O$2/12)</f>
        <v>0</v>
      </c>
      <c r="AE438" s="587">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62" t="str">
        <f t="shared" si="92"/>
        <v/>
      </c>
      <c r="B439" s="316">
        <f t="shared" si="93"/>
        <v>0</v>
      </c>
      <c r="C439" s="21">
        <f t="shared" si="90"/>
        <v>0</v>
      </c>
      <c r="D439" s="21">
        <f t="shared" si="94"/>
        <v>0</v>
      </c>
      <c r="E439" s="21">
        <f t="shared" si="91"/>
        <v>0</v>
      </c>
      <c r="F439" s="21">
        <f t="shared" si="100"/>
        <v>0</v>
      </c>
      <c r="G439" s="21">
        <f t="shared" si="100"/>
        <v>0</v>
      </c>
      <c r="H439" s="21">
        <f t="shared" si="88"/>
        <v>0</v>
      </c>
      <c r="I439" s="316">
        <f t="shared" si="97"/>
        <v>0</v>
      </c>
      <c r="J439" s="316">
        <f t="shared" si="98"/>
        <v>0</v>
      </c>
      <c r="K439" s="316">
        <f t="shared" si="95"/>
        <v>0</v>
      </c>
      <c r="L439" s="374">
        <f t="shared" si="101"/>
        <v>0</v>
      </c>
      <c r="M439" s="374">
        <f t="shared" si="96"/>
        <v>0</v>
      </c>
      <c r="N439" s="562" t="str">
        <f>INDEX(tblSubjectToLoan[Date],ROW()-ROW(tblContractForDeed[#Headers]))</f>
        <v/>
      </c>
      <c r="O439" s="316">
        <f>IF(ROW()=ROW(tblContractForDeed[#Headers])+1,$O$6,IF(INDEX(tblContractForDeed[End Bal],ROW()-ROW(tblContractForDeed[#Headers])-1)&lt;0,0,INDEX(tblContractForDeed[End Bal],ROW()-ROW(tblContractForDeed[#Headers])-1)))</f>
        <v>0</v>
      </c>
      <c r="P439" s="585"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Row],[Payment]]=0,0,$V$2)</f>
        <v>0</v>
      </c>
      <c r="U439" s="316">
        <f>IF(tblContractForDeed[[#This Row],[Princ]]=0,0,$V$3)</f>
        <v>0</v>
      </c>
      <c r="V439" s="316">
        <f>SUM(tblContractForDeed[[#This Row],[Princ]],tblContractForDeed[[#This Row],[Int]],tblContractForDeed[[#This Row],[Ins]],tblContractForDeed[[#This Row],[Taxes]])</f>
        <v>0</v>
      </c>
      <c r="W439" s="316">
        <f>SUM(INDEX(tblContractForDeed[Princ],1):INDEX(tblContractForDeed[Princ],ROW()-ROW(tblContractForDeed[#Headers])))</f>
        <v>146500</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0">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9" s="316">
        <f>IF(INDEX(tblContractForDeed[End Bal],ROW()-ROW(tblBuyerOutputs[#Headers]))&lt;=0,0,($O$6+IF(ROW()=ROW(tblBuyerOutputs[#Headers])+1,0,INDEX(tblBuyerOutputs[Cumul Appr],ROW()-ROW(tblBuyerOutputs[#Headers])-1)))*$O$2/12)</f>
        <v>0</v>
      </c>
      <c r="AE439" s="588">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61" t="str">
        <f t="shared" si="92"/>
        <v/>
      </c>
      <c r="B440" s="265">
        <f t="shared" si="93"/>
        <v>0</v>
      </c>
      <c r="C440" s="14">
        <f t="shared" si="90"/>
        <v>0</v>
      </c>
      <c r="D440" s="14">
        <f t="shared" si="94"/>
        <v>0</v>
      </c>
      <c r="E440" s="14">
        <f t="shared" si="91"/>
        <v>0</v>
      </c>
      <c r="F440" s="14">
        <f t="shared" si="100"/>
        <v>0</v>
      </c>
      <c r="G440" s="14">
        <f t="shared" si="100"/>
        <v>0</v>
      </c>
      <c r="H440" s="14">
        <f t="shared" si="88"/>
        <v>0</v>
      </c>
      <c r="I440" s="265">
        <f t="shared" si="97"/>
        <v>0</v>
      </c>
      <c r="J440" s="265">
        <f t="shared" si="98"/>
        <v>0</v>
      </c>
      <c r="K440" s="265">
        <f t="shared" si="95"/>
        <v>0</v>
      </c>
      <c r="L440" s="373">
        <f t="shared" si="101"/>
        <v>0</v>
      </c>
      <c r="M440" s="373">
        <f t="shared" si="96"/>
        <v>0</v>
      </c>
      <c r="N440" s="561"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Row],[Payment]]=0,0,$V$2)</f>
        <v>0</v>
      </c>
      <c r="U440" s="265">
        <f>IF(tblContractForDeed[[#This Row],[Princ]]=0,0,$V$3)</f>
        <v>0</v>
      </c>
      <c r="V440" s="265">
        <f>SUM(tblContractForDeed[[#This Row],[Princ]],tblContractForDeed[[#This Row],[Int]],tblContractForDeed[[#This Row],[Ins]],tblContractForDeed[[#This Row],[Taxes]])</f>
        <v>0</v>
      </c>
      <c r="W440" s="265">
        <f>SUM(INDEX(tblContractForDeed[Princ],1):INDEX(tblContractForDeed[Princ],ROW()-ROW(tblContractForDeed[#Headers])))</f>
        <v>146500</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39">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0" s="265">
        <f>IF(INDEX(tblContractForDeed[End Bal],ROW()-ROW(tblBuyerOutputs[#Headers]))&lt;=0,0,($O$6+IF(ROW()=ROW(tblBuyerOutputs[#Headers])+1,0,INDEX(tblBuyerOutputs[Cumul Appr],ROW()-ROW(tblBuyerOutputs[#Headers])-1)))*$O$2/12)</f>
        <v>0</v>
      </c>
      <c r="AE440" s="587">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61" t="str">
        <f t="shared" si="92"/>
        <v/>
      </c>
      <c r="B441" s="265">
        <f t="shared" si="93"/>
        <v>0</v>
      </c>
      <c r="C441" s="14">
        <f t="shared" si="90"/>
        <v>0</v>
      </c>
      <c r="D441" s="14">
        <f t="shared" si="94"/>
        <v>0</v>
      </c>
      <c r="E441" s="14">
        <f t="shared" si="91"/>
        <v>0</v>
      </c>
      <c r="F441" s="14">
        <f t="shared" si="100"/>
        <v>0</v>
      </c>
      <c r="G441" s="14">
        <f t="shared" si="100"/>
        <v>0</v>
      </c>
      <c r="H441" s="14">
        <f t="shared" si="88"/>
        <v>0</v>
      </c>
      <c r="I441" s="265">
        <f t="shared" si="97"/>
        <v>0</v>
      </c>
      <c r="J441" s="265">
        <f t="shared" si="98"/>
        <v>0</v>
      </c>
      <c r="K441" s="265">
        <f t="shared" si="95"/>
        <v>0</v>
      </c>
      <c r="L441" s="373">
        <f t="shared" si="101"/>
        <v>0</v>
      </c>
      <c r="M441" s="373">
        <f t="shared" si="96"/>
        <v>0</v>
      </c>
      <c r="N441" s="561"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Row],[Payment]]=0,0,$V$2)</f>
        <v>0</v>
      </c>
      <c r="U441" s="265">
        <f>IF(tblContractForDeed[[#This Row],[Princ]]=0,0,$V$3)</f>
        <v>0</v>
      </c>
      <c r="V441" s="265">
        <f>SUM(tblContractForDeed[[#This Row],[Princ]],tblContractForDeed[[#This Row],[Int]],tblContractForDeed[[#This Row],[Ins]],tblContractForDeed[[#This Row],[Taxes]])</f>
        <v>0</v>
      </c>
      <c r="W441" s="265">
        <f>SUM(INDEX(tblContractForDeed[Princ],1):INDEX(tblContractForDeed[Princ],ROW()-ROW(tblContractForDeed[#Headers])))</f>
        <v>146500</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39">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1" s="265">
        <f>IF(INDEX(tblContractForDeed[End Bal],ROW()-ROW(tblBuyerOutputs[#Headers]))&lt;=0,0,($O$6+IF(ROW()=ROW(tblBuyerOutputs[#Headers])+1,0,INDEX(tblBuyerOutputs[Cumul Appr],ROW()-ROW(tblBuyerOutputs[#Headers])-1)))*$O$2/12)</f>
        <v>0</v>
      </c>
      <c r="AE441" s="587">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61" t="str">
        <f t="shared" si="92"/>
        <v/>
      </c>
      <c r="B442" s="265">
        <f t="shared" si="93"/>
        <v>0</v>
      </c>
      <c r="C442" s="14">
        <f t="shared" si="90"/>
        <v>0</v>
      </c>
      <c r="D442" s="14">
        <f t="shared" si="94"/>
        <v>0</v>
      </c>
      <c r="E442" s="14">
        <f t="shared" si="91"/>
        <v>0</v>
      </c>
      <c r="F442" s="14">
        <f t="shared" si="100"/>
        <v>0</v>
      </c>
      <c r="G442" s="14">
        <f t="shared" si="100"/>
        <v>0</v>
      </c>
      <c r="H442" s="14">
        <f t="shared" si="88"/>
        <v>0</v>
      </c>
      <c r="I442" s="265">
        <f t="shared" si="97"/>
        <v>0</v>
      </c>
      <c r="J442" s="265">
        <f t="shared" si="98"/>
        <v>0</v>
      </c>
      <c r="K442" s="265">
        <f t="shared" si="95"/>
        <v>0</v>
      </c>
      <c r="L442" s="373">
        <f t="shared" si="101"/>
        <v>0</v>
      </c>
      <c r="M442" s="373">
        <f t="shared" si="96"/>
        <v>0</v>
      </c>
      <c r="N442" s="561"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Row],[Payment]]=0,0,$V$2)</f>
        <v>0</v>
      </c>
      <c r="U442" s="265">
        <f>IF(tblContractForDeed[[#This Row],[Princ]]=0,0,$V$3)</f>
        <v>0</v>
      </c>
      <c r="V442" s="265">
        <f>SUM(tblContractForDeed[[#This Row],[Princ]],tblContractForDeed[[#This Row],[Int]],tblContractForDeed[[#This Row],[Ins]],tblContractForDeed[[#This Row],[Taxes]])</f>
        <v>0</v>
      </c>
      <c r="W442" s="265">
        <f>SUM(INDEX(tblContractForDeed[Princ],1):INDEX(tblContractForDeed[Princ],ROW()-ROW(tblContractForDeed[#Headers])))</f>
        <v>146500</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39">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2" s="265">
        <f>IF(INDEX(tblContractForDeed[End Bal],ROW()-ROW(tblBuyerOutputs[#Headers]))&lt;=0,0,($O$6+IF(ROW()=ROW(tblBuyerOutputs[#Headers])+1,0,INDEX(tblBuyerOutputs[Cumul Appr],ROW()-ROW(tblBuyerOutputs[#Headers])-1)))*$O$2/12)</f>
        <v>0</v>
      </c>
      <c r="AE442" s="587">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61" t="str">
        <f t="shared" si="92"/>
        <v/>
      </c>
      <c r="B443" s="265">
        <f t="shared" si="93"/>
        <v>0</v>
      </c>
      <c r="C443" s="14">
        <f t="shared" si="90"/>
        <v>0</v>
      </c>
      <c r="D443" s="14">
        <f t="shared" si="94"/>
        <v>0</v>
      </c>
      <c r="E443" s="14">
        <f t="shared" si="91"/>
        <v>0</v>
      </c>
      <c r="F443" s="14">
        <f t="shared" si="100"/>
        <v>0</v>
      </c>
      <c r="G443" s="14">
        <f t="shared" si="100"/>
        <v>0</v>
      </c>
      <c r="H443" s="14">
        <f t="shared" si="88"/>
        <v>0</v>
      </c>
      <c r="I443" s="265">
        <f t="shared" si="97"/>
        <v>0</v>
      </c>
      <c r="J443" s="265">
        <f t="shared" si="98"/>
        <v>0</v>
      </c>
      <c r="K443" s="265">
        <f t="shared" si="95"/>
        <v>0</v>
      </c>
      <c r="L443" s="373">
        <f t="shared" si="101"/>
        <v>0</v>
      </c>
      <c r="M443" s="373">
        <f t="shared" si="96"/>
        <v>0</v>
      </c>
      <c r="N443" s="561"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Row],[Payment]]=0,0,$V$2)</f>
        <v>0</v>
      </c>
      <c r="U443" s="265">
        <f>IF(tblContractForDeed[[#This Row],[Princ]]=0,0,$V$3)</f>
        <v>0</v>
      </c>
      <c r="V443" s="265">
        <f>SUM(tblContractForDeed[[#This Row],[Princ]],tblContractForDeed[[#This Row],[Int]],tblContractForDeed[[#This Row],[Ins]],tblContractForDeed[[#This Row],[Taxes]])</f>
        <v>0</v>
      </c>
      <c r="W443" s="265">
        <f>SUM(INDEX(tblContractForDeed[Princ],1):INDEX(tblContractForDeed[Princ],ROW()-ROW(tblContractForDeed[#Headers])))</f>
        <v>146500</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39">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3" s="265">
        <f>IF(INDEX(tblContractForDeed[End Bal],ROW()-ROW(tblBuyerOutputs[#Headers]))&lt;=0,0,($O$6+IF(ROW()=ROW(tblBuyerOutputs[#Headers])+1,0,INDEX(tblBuyerOutputs[Cumul Appr],ROW()-ROW(tblBuyerOutputs[#Headers])-1)))*$O$2/12)</f>
        <v>0</v>
      </c>
      <c r="AE443" s="587">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61" t="str">
        <f t="shared" si="92"/>
        <v/>
      </c>
      <c r="B444" s="265">
        <f t="shared" si="93"/>
        <v>0</v>
      </c>
      <c r="C444" s="14">
        <f t="shared" si="90"/>
        <v>0</v>
      </c>
      <c r="D444" s="14">
        <f t="shared" si="94"/>
        <v>0</v>
      </c>
      <c r="E444" s="14">
        <f t="shared" si="91"/>
        <v>0</v>
      </c>
      <c r="F444" s="14">
        <f t="shared" si="100"/>
        <v>0</v>
      </c>
      <c r="G444" s="14">
        <f t="shared" si="100"/>
        <v>0</v>
      </c>
      <c r="H444" s="14">
        <f t="shared" si="88"/>
        <v>0</v>
      </c>
      <c r="I444" s="265">
        <f t="shared" si="97"/>
        <v>0</v>
      </c>
      <c r="J444" s="265">
        <f t="shared" si="98"/>
        <v>0</v>
      </c>
      <c r="K444" s="265">
        <f t="shared" si="95"/>
        <v>0</v>
      </c>
      <c r="L444" s="373">
        <f t="shared" si="101"/>
        <v>0</v>
      </c>
      <c r="M444" s="373">
        <f t="shared" si="96"/>
        <v>0</v>
      </c>
      <c r="N444" s="561"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Row],[Payment]]=0,0,$V$2)</f>
        <v>0</v>
      </c>
      <c r="U444" s="265">
        <f>IF(tblContractForDeed[[#This Row],[Princ]]=0,0,$V$3)</f>
        <v>0</v>
      </c>
      <c r="V444" s="265">
        <f>SUM(tblContractForDeed[[#This Row],[Princ]],tblContractForDeed[[#This Row],[Int]],tblContractForDeed[[#This Row],[Ins]],tblContractForDeed[[#This Row],[Taxes]])</f>
        <v>0</v>
      </c>
      <c r="W444" s="265">
        <f>SUM(INDEX(tblContractForDeed[Princ],1):INDEX(tblContractForDeed[Princ],ROW()-ROW(tblContractForDeed[#Headers])))</f>
        <v>146500</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39">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4" s="265">
        <f>IF(INDEX(tblContractForDeed[End Bal],ROW()-ROW(tblBuyerOutputs[#Headers]))&lt;=0,0,($O$6+IF(ROW()=ROW(tblBuyerOutputs[#Headers])+1,0,INDEX(tblBuyerOutputs[Cumul Appr],ROW()-ROW(tblBuyerOutputs[#Headers])-1)))*$O$2/12)</f>
        <v>0</v>
      </c>
      <c r="AE444" s="587">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61" t="str">
        <f t="shared" si="92"/>
        <v/>
      </c>
      <c r="B445" s="265">
        <f t="shared" si="93"/>
        <v>0</v>
      </c>
      <c r="C445" s="14">
        <f t="shared" si="90"/>
        <v>0</v>
      </c>
      <c r="D445" s="14">
        <f t="shared" si="94"/>
        <v>0</v>
      </c>
      <c r="E445" s="14">
        <f t="shared" si="91"/>
        <v>0</v>
      </c>
      <c r="F445" s="14">
        <f t="shared" si="100"/>
        <v>0</v>
      </c>
      <c r="G445" s="14">
        <f t="shared" si="100"/>
        <v>0</v>
      </c>
      <c r="H445" s="14">
        <f t="shared" si="88"/>
        <v>0</v>
      </c>
      <c r="I445" s="265">
        <f t="shared" si="97"/>
        <v>0</v>
      </c>
      <c r="J445" s="265">
        <f t="shared" si="98"/>
        <v>0</v>
      </c>
      <c r="K445" s="265">
        <f t="shared" si="95"/>
        <v>0</v>
      </c>
      <c r="L445" s="373">
        <f t="shared" si="101"/>
        <v>0</v>
      </c>
      <c r="M445" s="373">
        <f t="shared" si="96"/>
        <v>0</v>
      </c>
      <c r="N445" s="561"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Row],[Payment]]=0,0,$V$2)</f>
        <v>0</v>
      </c>
      <c r="U445" s="265">
        <f>IF(tblContractForDeed[[#This Row],[Princ]]=0,0,$V$3)</f>
        <v>0</v>
      </c>
      <c r="V445" s="265">
        <f>SUM(tblContractForDeed[[#This Row],[Princ]],tblContractForDeed[[#This Row],[Int]],tblContractForDeed[[#This Row],[Ins]],tblContractForDeed[[#This Row],[Taxes]])</f>
        <v>0</v>
      </c>
      <c r="W445" s="265">
        <f>SUM(INDEX(tblContractForDeed[Princ],1):INDEX(tblContractForDeed[Princ],ROW()-ROW(tblContractForDeed[#Headers])))</f>
        <v>146500</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39">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5" s="265">
        <f>IF(INDEX(tblContractForDeed[End Bal],ROW()-ROW(tblBuyerOutputs[#Headers]))&lt;=0,0,($O$6+IF(ROW()=ROW(tblBuyerOutputs[#Headers])+1,0,INDEX(tblBuyerOutputs[Cumul Appr],ROW()-ROW(tblBuyerOutputs[#Headers])-1)))*$O$2/12)</f>
        <v>0</v>
      </c>
      <c r="AE445" s="587">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61" t="str">
        <f t="shared" si="92"/>
        <v/>
      </c>
      <c r="B446" s="265">
        <f t="shared" si="93"/>
        <v>0</v>
      </c>
      <c r="C446" s="14">
        <f t="shared" si="90"/>
        <v>0</v>
      </c>
      <c r="D446" s="14">
        <f t="shared" si="94"/>
        <v>0</v>
      </c>
      <c r="E446" s="14">
        <f t="shared" si="91"/>
        <v>0</v>
      </c>
      <c r="F446" s="14">
        <f t="shared" si="100"/>
        <v>0</v>
      </c>
      <c r="G446" s="14">
        <f t="shared" si="100"/>
        <v>0</v>
      </c>
      <c r="H446" s="14">
        <f t="shared" si="88"/>
        <v>0</v>
      </c>
      <c r="I446" s="265">
        <f t="shared" si="97"/>
        <v>0</v>
      </c>
      <c r="J446" s="265">
        <f t="shared" si="98"/>
        <v>0</v>
      </c>
      <c r="K446" s="265">
        <f t="shared" si="95"/>
        <v>0</v>
      </c>
      <c r="L446" s="373">
        <f t="shared" si="101"/>
        <v>0</v>
      </c>
      <c r="M446" s="373">
        <f t="shared" si="96"/>
        <v>0</v>
      </c>
      <c r="N446" s="561"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Row],[Payment]]=0,0,$V$2)</f>
        <v>0</v>
      </c>
      <c r="U446" s="265">
        <f>IF(tblContractForDeed[[#This Row],[Princ]]=0,0,$V$3)</f>
        <v>0</v>
      </c>
      <c r="V446" s="265">
        <f>SUM(tblContractForDeed[[#This Row],[Princ]],tblContractForDeed[[#This Row],[Int]],tblContractForDeed[[#This Row],[Ins]],tblContractForDeed[[#This Row],[Taxes]])</f>
        <v>0</v>
      </c>
      <c r="W446" s="265">
        <f>SUM(INDEX(tblContractForDeed[Princ],1):INDEX(tblContractForDeed[Princ],ROW()-ROW(tblContractForDeed[#Headers])))</f>
        <v>146500</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39">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6" s="265">
        <f>IF(INDEX(tblContractForDeed[End Bal],ROW()-ROW(tblBuyerOutputs[#Headers]))&lt;=0,0,($O$6+IF(ROW()=ROW(tblBuyerOutputs[#Headers])+1,0,INDEX(tblBuyerOutputs[Cumul Appr],ROW()-ROW(tblBuyerOutputs[#Headers])-1)))*$O$2/12)</f>
        <v>0</v>
      </c>
      <c r="AE446" s="587">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61" t="str">
        <f t="shared" si="92"/>
        <v/>
      </c>
      <c r="B447" s="265">
        <f t="shared" si="93"/>
        <v>0</v>
      </c>
      <c r="C447" s="14">
        <f t="shared" si="90"/>
        <v>0</v>
      </c>
      <c r="D447" s="14">
        <f t="shared" si="94"/>
        <v>0</v>
      </c>
      <c r="E447" s="14">
        <f t="shared" si="91"/>
        <v>0</v>
      </c>
      <c r="F447" s="14">
        <f t="shared" ref="F447:G462" si="102">+F446</f>
        <v>0</v>
      </c>
      <c r="G447" s="14">
        <f t="shared" si="102"/>
        <v>0</v>
      </c>
      <c r="H447" s="14">
        <f t="shared" si="88"/>
        <v>0</v>
      </c>
      <c r="I447" s="265">
        <f t="shared" si="97"/>
        <v>0</v>
      </c>
      <c r="J447" s="265">
        <f t="shared" si="98"/>
        <v>0</v>
      </c>
      <c r="K447" s="265">
        <f t="shared" si="95"/>
        <v>0</v>
      </c>
      <c r="L447" s="373">
        <f t="shared" si="101"/>
        <v>0</v>
      </c>
      <c r="M447" s="373">
        <f t="shared" si="96"/>
        <v>0</v>
      </c>
      <c r="N447" s="561"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Row],[Payment]]=0,0,$V$2)</f>
        <v>0</v>
      </c>
      <c r="U447" s="265">
        <f>IF(tblContractForDeed[[#This Row],[Princ]]=0,0,$V$3)</f>
        <v>0</v>
      </c>
      <c r="V447" s="265">
        <f>SUM(tblContractForDeed[[#This Row],[Princ]],tblContractForDeed[[#This Row],[Int]],tblContractForDeed[[#This Row],[Ins]],tblContractForDeed[[#This Row],[Taxes]])</f>
        <v>0</v>
      </c>
      <c r="W447" s="265">
        <f>SUM(INDEX(tblContractForDeed[Princ],1):INDEX(tblContractForDeed[Princ],ROW()-ROW(tblContractForDeed[#Headers])))</f>
        <v>146500</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39">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7" s="265">
        <f>IF(INDEX(tblContractForDeed[End Bal],ROW()-ROW(tblBuyerOutputs[#Headers]))&lt;=0,0,($O$6+IF(ROW()=ROW(tblBuyerOutputs[#Headers])+1,0,INDEX(tblBuyerOutputs[Cumul Appr],ROW()-ROW(tblBuyerOutputs[#Headers])-1)))*$O$2/12)</f>
        <v>0</v>
      </c>
      <c r="AE447" s="587">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61" t="str">
        <f t="shared" si="92"/>
        <v/>
      </c>
      <c r="B448" s="265">
        <f t="shared" si="93"/>
        <v>0</v>
      </c>
      <c r="C448" s="14">
        <f t="shared" si="90"/>
        <v>0</v>
      </c>
      <c r="D448" s="14">
        <f t="shared" si="94"/>
        <v>0</v>
      </c>
      <c r="E448" s="14">
        <f t="shared" si="91"/>
        <v>0</v>
      </c>
      <c r="F448" s="14">
        <f t="shared" si="102"/>
        <v>0</v>
      </c>
      <c r="G448" s="14">
        <f t="shared" si="102"/>
        <v>0</v>
      </c>
      <c r="H448" s="14">
        <f t="shared" ref="H448:H495" si="103">SUM(D448:G448)</f>
        <v>0</v>
      </c>
      <c r="I448" s="265">
        <f t="shared" si="97"/>
        <v>0</v>
      </c>
      <c r="J448" s="265">
        <f t="shared" si="98"/>
        <v>0</v>
      </c>
      <c r="K448" s="265">
        <f t="shared" si="95"/>
        <v>0</v>
      </c>
      <c r="L448" s="373">
        <f t="shared" si="101"/>
        <v>0</v>
      </c>
      <c r="M448" s="373">
        <f t="shared" si="96"/>
        <v>0</v>
      </c>
      <c r="N448" s="561"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Row],[Payment]]=0,0,$V$2)</f>
        <v>0</v>
      </c>
      <c r="U448" s="265">
        <f>IF(tblContractForDeed[[#This Row],[Princ]]=0,0,$V$3)</f>
        <v>0</v>
      </c>
      <c r="V448" s="265">
        <f>SUM(tblContractForDeed[[#This Row],[Princ]],tblContractForDeed[[#This Row],[Int]],tblContractForDeed[[#This Row],[Ins]],tblContractForDeed[[#This Row],[Taxes]])</f>
        <v>0</v>
      </c>
      <c r="W448" s="265">
        <f>SUM(INDEX(tblContractForDeed[Princ],1):INDEX(tblContractForDeed[Princ],ROW()-ROW(tblContractForDeed[#Headers])))</f>
        <v>146500</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39">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8" s="265">
        <f>IF(INDEX(tblContractForDeed[End Bal],ROW()-ROW(tblBuyerOutputs[#Headers]))&lt;=0,0,($O$6+IF(ROW()=ROW(tblBuyerOutputs[#Headers])+1,0,INDEX(tblBuyerOutputs[Cumul Appr],ROW()-ROW(tblBuyerOutputs[#Headers])-1)))*$O$2/12)</f>
        <v>0</v>
      </c>
      <c r="AE448" s="587">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61" t="str">
        <f t="shared" si="92"/>
        <v/>
      </c>
      <c r="B449" s="265">
        <f t="shared" si="93"/>
        <v>0</v>
      </c>
      <c r="C449" s="14">
        <f t="shared" si="90"/>
        <v>0</v>
      </c>
      <c r="D449" s="14">
        <f t="shared" si="94"/>
        <v>0</v>
      </c>
      <c r="E449" s="14">
        <f t="shared" si="91"/>
        <v>0</v>
      </c>
      <c r="F449" s="14">
        <f t="shared" si="102"/>
        <v>0</v>
      </c>
      <c r="G449" s="14">
        <f t="shared" si="102"/>
        <v>0</v>
      </c>
      <c r="H449" s="14">
        <f t="shared" si="103"/>
        <v>0</v>
      </c>
      <c r="I449" s="265">
        <f t="shared" si="97"/>
        <v>0</v>
      </c>
      <c r="J449" s="265">
        <f t="shared" si="98"/>
        <v>0</v>
      </c>
      <c r="K449" s="265">
        <f t="shared" si="95"/>
        <v>0</v>
      </c>
      <c r="L449" s="373">
        <f t="shared" si="101"/>
        <v>0</v>
      </c>
      <c r="M449" s="373">
        <f t="shared" si="96"/>
        <v>0</v>
      </c>
      <c r="N449" s="561"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Row],[Payment]]=0,0,$V$2)</f>
        <v>0</v>
      </c>
      <c r="U449" s="265">
        <f>IF(tblContractForDeed[[#This Row],[Princ]]=0,0,$V$3)</f>
        <v>0</v>
      </c>
      <c r="V449" s="265">
        <f>SUM(tblContractForDeed[[#This Row],[Princ]],tblContractForDeed[[#This Row],[Int]],tblContractForDeed[[#This Row],[Ins]],tblContractForDeed[[#This Row],[Taxes]])</f>
        <v>0</v>
      </c>
      <c r="W449" s="265">
        <f>SUM(INDEX(tblContractForDeed[Princ],1):INDEX(tblContractForDeed[Princ],ROW()-ROW(tblContractForDeed[#Headers])))</f>
        <v>146500</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39">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9" s="265">
        <f>IF(INDEX(tblContractForDeed[End Bal],ROW()-ROW(tblBuyerOutputs[#Headers]))&lt;=0,0,($O$6+IF(ROW()=ROW(tblBuyerOutputs[#Headers])+1,0,INDEX(tblBuyerOutputs[Cumul Appr],ROW()-ROW(tblBuyerOutputs[#Headers])-1)))*$O$2/12)</f>
        <v>0</v>
      </c>
      <c r="AE449" s="587">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61" t="str">
        <f t="shared" si="92"/>
        <v/>
      </c>
      <c r="B450" s="265">
        <f t="shared" si="93"/>
        <v>0</v>
      </c>
      <c r="C450" s="14">
        <f t="shared" si="90"/>
        <v>0</v>
      </c>
      <c r="D450" s="14">
        <f t="shared" si="94"/>
        <v>0</v>
      </c>
      <c r="E450" s="14">
        <f t="shared" si="91"/>
        <v>0</v>
      </c>
      <c r="F450" s="14">
        <f t="shared" si="102"/>
        <v>0</v>
      </c>
      <c r="G450" s="14">
        <f t="shared" si="102"/>
        <v>0</v>
      </c>
      <c r="H450" s="14">
        <f t="shared" si="103"/>
        <v>0</v>
      </c>
      <c r="I450" s="265">
        <f t="shared" si="97"/>
        <v>0</v>
      </c>
      <c r="J450" s="265">
        <f t="shared" si="98"/>
        <v>0</v>
      </c>
      <c r="K450" s="265">
        <f t="shared" si="95"/>
        <v>0</v>
      </c>
      <c r="L450" s="373">
        <f t="shared" si="101"/>
        <v>0</v>
      </c>
      <c r="M450" s="373">
        <f t="shared" si="96"/>
        <v>0</v>
      </c>
      <c r="N450" s="561"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Row],[Payment]]=0,0,$V$2)</f>
        <v>0</v>
      </c>
      <c r="U450" s="265">
        <f>IF(tblContractForDeed[[#This Row],[Princ]]=0,0,$V$3)</f>
        <v>0</v>
      </c>
      <c r="V450" s="265">
        <f>SUM(tblContractForDeed[[#This Row],[Princ]],tblContractForDeed[[#This Row],[Int]],tblContractForDeed[[#This Row],[Ins]],tblContractForDeed[[#This Row],[Taxes]])</f>
        <v>0</v>
      </c>
      <c r="W450" s="265">
        <f>SUM(INDEX(tblContractForDeed[Princ],1):INDEX(tblContractForDeed[Princ],ROW()-ROW(tblContractForDeed[#Headers])))</f>
        <v>146500</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39">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0" s="265">
        <f>IF(INDEX(tblContractForDeed[End Bal],ROW()-ROW(tblBuyerOutputs[#Headers]))&lt;=0,0,($O$6+IF(ROW()=ROW(tblBuyerOutputs[#Headers])+1,0,INDEX(tblBuyerOutputs[Cumul Appr],ROW()-ROW(tblBuyerOutputs[#Headers])-1)))*$O$2/12)</f>
        <v>0</v>
      </c>
      <c r="AE450" s="587">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62" t="str">
        <f t="shared" si="92"/>
        <v/>
      </c>
      <c r="B451" s="316">
        <f t="shared" si="93"/>
        <v>0</v>
      </c>
      <c r="C451" s="21">
        <f t="shared" si="90"/>
        <v>0</v>
      </c>
      <c r="D451" s="21">
        <f t="shared" si="94"/>
        <v>0</v>
      </c>
      <c r="E451" s="21">
        <f t="shared" si="91"/>
        <v>0</v>
      </c>
      <c r="F451" s="21">
        <f t="shared" si="102"/>
        <v>0</v>
      </c>
      <c r="G451" s="21">
        <f t="shared" si="102"/>
        <v>0</v>
      </c>
      <c r="H451" s="21">
        <f t="shared" si="103"/>
        <v>0</v>
      </c>
      <c r="I451" s="316">
        <f t="shared" si="97"/>
        <v>0</v>
      </c>
      <c r="J451" s="316">
        <f t="shared" si="98"/>
        <v>0</v>
      </c>
      <c r="K451" s="316">
        <f t="shared" si="95"/>
        <v>0</v>
      </c>
      <c r="L451" s="374">
        <f t="shared" si="101"/>
        <v>0</v>
      </c>
      <c r="M451" s="374">
        <f t="shared" si="96"/>
        <v>0</v>
      </c>
      <c r="N451" s="562" t="str">
        <f>INDEX(tblSubjectToLoan[Date],ROW()-ROW(tblContractForDeed[#Headers]))</f>
        <v/>
      </c>
      <c r="O451" s="316">
        <f>IF(ROW()=ROW(tblContractForDeed[#Headers])+1,$O$6,IF(INDEX(tblContractForDeed[End Bal],ROW()-ROW(tblContractForDeed[#Headers])-1)&lt;0,0,INDEX(tblContractForDeed[End Bal],ROW()-ROW(tblContractForDeed[#Headers])-1)))</f>
        <v>0</v>
      </c>
      <c r="P451" s="585"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Row],[Payment]]=0,0,$V$2)</f>
        <v>0</v>
      </c>
      <c r="U451" s="316">
        <f>IF(tblContractForDeed[[#This Row],[Princ]]=0,0,$V$3)</f>
        <v>0</v>
      </c>
      <c r="V451" s="316">
        <f>SUM(tblContractForDeed[[#This Row],[Princ]],tblContractForDeed[[#This Row],[Int]],tblContractForDeed[[#This Row],[Ins]],tblContractForDeed[[#This Row],[Taxes]])</f>
        <v>0</v>
      </c>
      <c r="W451" s="316">
        <f>SUM(INDEX(tblContractForDeed[Princ],1):INDEX(tblContractForDeed[Princ],ROW()-ROW(tblContractForDeed[#Headers])))</f>
        <v>146500</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0">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1" s="316">
        <f>IF(INDEX(tblContractForDeed[End Bal],ROW()-ROW(tblBuyerOutputs[#Headers]))&lt;=0,0,($O$6+IF(ROW()=ROW(tblBuyerOutputs[#Headers])+1,0,INDEX(tblBuyerOutputs[Cumul Appr],ROW()-ROW(tblBuyerOutputs[#Headers])-1)))*$O$2/12)</f>
        <v>0</v>
      </c>
      <c r="AE451" s="588">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61" t="str">
        <f t="shared" si="92"/>
        <v/>
      </c>
      <c r="B452" s="265">
        <f t="shared" si="93"/>
        <v>0</v>
      </c>
      <c r="C452" s="14">
        <f t="shared" si="90"/>
        <v>0</v>
      </c>
      <c r="D452" s="14">
        <f t="shared" si="94"/>
        <v>0</v>
      </c>
      <c r="E452" s="14">
        <f t="shared" si="91"/>
        <v>0</v>
      </c>
      <c r="F452" s="14">
        <f t="shared" si="102"/>
        <v>0</v>
      </c>
      <c r="G452" s="14">
        <f t="shared" si="102"/>
        <v>0</v>
      </c>
      <c r="H452" s="14">
        <f t="shared" si="103"/>
        <v>0</v>
      </c>
      <c r="I452" s="265">
        <f t="shared" si="97"/>
        <v>0</v>
      </c>
      <c r="J452" s="265">
        <f t="shared" si="98"/>
        <v>0</v>
      </c>
      <c r="K452" s="265">
        <f t="shared" si="95"/>
        <v>0</v>
      </c>
      <c r="L452" s="373">
        <f t="shared" si="101"/>
        <v>0</v>
      </c>
      <c r="M452" s="373">
        <f t="shared" si="96"/>
        <v>0</v>
      </c>
      <c r="N452" s="561"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Row],[Payment]]=0,0,$V$2)</f>
        <v>0</v>
      </c>
      <c r="U452" s="265">
        <f>IF(tblContractForDeed[[#This Row],[Princ]]=0,0,$V$3)</f>
        <v>0</v>
      </c>
      <c r="V452" s="265">
        <f>SUM(tblContractForDeed[[#This Row],[Princ]],tblContractForDeed[[#This Row],[Int]],tblContractForDeed[[#This Row],[Ins]],tblContractForDeed[[#This Row],[Taxes]])</f>
        <v>0</v>
      </c>
      <c r="W452" s="265">
        <f>SUM(INDEX(tblContractForDeed[Princ],1):INDEX(tblContractForDeed[Princ],ROW()-ROW(tblContractForDeed[#Headers])))</f>
        <v>146500</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39">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2" s="265">
        <f>IF(INDEX(tblContractForDeed[End Bal],ROW()-ROW(tblBuyerOutputs[#Headers]))&lt;=0,0,($O$6+IF(ROW()=ROW(tblBuyerOutputs[#Headers])+1,0,INDEX(tblBuyerOutputs[Cumul Appr],ROW()-ROW(tblBuyerOutputs[#Headers])-1)))*$O$2/12)</f>
        <v>0</v>
      </c>
      <c r="AE452" s="587">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61" t="str">
        <f t="shared" si="92"/>
        <v/>
      </c>
      <c r="B453" s="265">
        <f t="shared" si="93"/>
        <v>0</v>
      </c>
      <c r="C453" s="14">
        <f t="shared" si="90"/>
        <v>0</v>
      </c>
      <c r="D453" s="14">
        <f t="shared" si="94"/>
        <v>0</v>
      </c>
      <c r="E453" s="14">
        <f t="shared" si="91"/>
        <v>0</v>
      </c>
      <c r="F453" s="14">
        <f t="shared" si="102"/>
        <v>0</v>
      </c>
      <c r="G453" s="14">
        <f t="shared" si="102"/>
        <v>0</v>
      </c>
      <c r="H453" s="14">
        <f t="shared" si="103"/>
        <v>0</v>
      </c>
      <c r="I453" s="265">
        <f t="shared" si="97"/>
        <v>0</v>
      </c>
      <c r="J453" s="265">
        <f t="shared" si="98"/>
        <v>0</v>
      </c>
      <c r="K453" s="265">
        <f t="shared" si="95"/>
        <v>0</v>
      </c>
      <c r="L453" s="373">
        <f t="shared" si="101"/>
        <v>0</v>
      </c>
      <c r="M453" s="373">
        <f t="shared" si="96"/>
        <v>0</v>
      </c>
      <c r="N453" s="561"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Row],[Payment]]=0,0,$V$2)</f>
        <v>0</v>
      </c>
      <c r="U453" s="265">
        <f>IF(tblContractForDeed[[#This Row],[Princ]]=0,0,$V$3)</f>
        <v>0</v>
      </c>
      <c r="V453" s="265">
        <f>SUM(tblContractForDeed[[#This Row],[Princ]],tblContractForDeed[[#This Row],[Int]],tblContractForDeed[[#This Row],[Ins]],tblContractForDeed[[#This Row],[Taxes]])</f>
        <v>0</v>
      </c>
      <c r="W453" s="265">
        <f>SUM(INDEX(tblContractForDeed[Princ],1):INDEX(tblContractForDeed[Princ],ROW()-ROW(tblContractForDeed[#Headers])))</f>
        <v>146500</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39">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3" s="265">
        <f>IF(INDEX(tblContractForDeed[End Bal],ROW()-ROW(tblBuyerOutputs[#Headers]))&lt;=0,0,($O$6+IF(ROW()=ROW(tblBuyerOutputs[#Headers])+1,0,INDEX(tblBuyerOutputs[Cumul Appr],ROW()-ROW(tblBuyerOutputs[#Headers])-1)))*$O$2/12)</f>
        <v>0</v>
      </c>
      <c r="AE453" s="587">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61" t="str">
        <f t="shared" si="92"/>
        <v/>
      </c>
      <c r="B454" s="265">
        <f t="shared" si="93"/>
        <v>0</v>
      </c>
      <c r="C454" s="14">
        <f t="shared" si="90"/>
        <v>0</v>
      </c>
      <c r="D454" s="14">
        <f t="shared" si="94"/>
        <v>0</v>
      </c>
      <c r="E454" s="14">
        <f t="shared" si="91"/>
        <v>0</v>
      </c>
      <c r="F454" s="14">
        <f t="shared" si="102"/>
        <v>0</v>
      </c>
      <c r="G454" s="14">
        <f t="shared" si="102"/>
        <v>0</v>
      </c>
      <c r="H454" s="14">
        <f t="shared" si="103"/>
        <v>0</v>
      </c>
      <c r="I454" s="265">
        <f t="shared" si="97"/>
        <v>0</v>
      </c>
      <c r="J454" s="265">
        <f t="shared" si="98"/>
        <v>0</v>
      </c>
      <c r="K454" s="265">
        <f t="shared" si="95"/>
        <v>0</v>
      </c>
      <c r="L454" s="373">
        <f t="shared" si="101"/>
        <v>0</v>
      </c>
      <c r="M454" s="373">
        <f t="shared" si="96"/>
        <v>0</v>
      </c>
      <c r="N454" s="561"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Row],[Payment]]=0,0,$V$2)</f>
        <v>0</v>
      </c>
      <c r="U454" s="265">
        <f>IF(tblContractForDeed[[#This Row],[Princ]]=0,0,$V$3)</f>
        <v>0</v>
      </c>
      <c r="V454" s="265">
        <f>SUM(tblContractForDeed[[#This Row],[Princ]],tblContractForDeed[[#This Row],[Int]],tblContractForDeed[[#This Row],[Ins]],tblContractForDeed[[#This Row],[Taxes]])</f>
        <v>0</v>
      </c>
      <c r="W454" s="265">
        <f>SUM(INDEX(tblContractForDeed[Princ],1):INDEX(tblContractForDeed[Princ],ROW()-ROW(tblContractForDeed[#Headers])))</f>
        <v>146500</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39">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4" s="265">
        <f>IF(INDEX(tblContractForDeed[End Bal],ROW()-ROW(tblBuyerOutputs[#Headers]))&lt;=0,0,($O$6+IF(ROW()=ROW(tblBuyerOutputs[#Headers])+1,0,INDEX(tblBuyerOutputs[Cumul Appr],ROW()-ROW(tblBuyerOutputs[#Headers])-1)))*$O$2/12)</f>
        <v>0</v>
      </c>
      <c r="AE454" s="587">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61" t="str">
        <f t="shared" si="92"/>
        <v/>
      </c>
      <c r="B455" s="265">
        <f t="shared" si="93"/>
        <v>0</v>
      </c>
      <c r="C455" s="14">
        <f t="shared" si="90"/>
        <v>0</v>
      </c>
      <c r="D455" s="14">
        <f t="shared" si="94"/>
        <v>0</v>
      </c>
      <c r="E455" s="14">
        <f t="shared" si="91"/>
        <v>0</v>
      </c>
      <c r="F455" s="14">
        <f t="shared" si="102"/>
        <v>0</v>
      </c>
      <c r="G455" s="14">
        <f t="shared" si="102"/>
        <v>0</v>
      </c>
      <c r="H455" s="14">
        <f t="shared" si="103"/>
        <v>0</v>
      </c>
      <c r="I455" s="265">
        <f t="shared" si="97"/>
        <v>0</v>
      </c>
      <c r="J455" s="265">
        <f t="shared" si="98"/>
        <v>0</v>
      </c>
      <c r="K455" s="265">
        <f t="shared" si="95"/>
        <v>0</v>
      </c>
      <c r="L455" s="373">
        <f t="shared" si="101"/>
        <v>0</v>
      </c>
      <c r="M455" s="373">
        <f t="shared" si="96"/>
        <v>0</v>
      </c>
      <c r="N455" s="561"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Row],[Payment]]=0,0,$V$2)</f>
        <v>0</v>
      </c>
      <c r="U455" s="265">
        <f>IF(tblContractForDeed[[#This Row],[Princ]]=0,0,$V$3)</f>
        <v>0</v>
      </c>
      <c r="V455" s="265">
        <f>SUM(tblContractForDeed[[#This Row],[Princ]],tblContractForDeed[[#This Row],[Int]],tblContractForDeed[[#This Row],[Ins]],tblContractForDeed[[#This Row],[Taxes]])</f>
        <v>0</v>
      </c>
      <c r="W455" s="265">
        <f>SUM(INDEX(tblContractForDeed[Princ],1):INDEX(tblContractForDeed[Princ],ROW()-ROW(tblContractForDeed[#Headers])))</f>
        <v>146500</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39">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5" s="265">
        <f>IF(INDEX(tblContractForDeed[End Bal],ROW()-ROW(tblBuyerOutputs[#Headers]))&lt;=0,0,($O$6+IF(ROW()=ROW(tblBuyerOutputs[#Headers])+1,0,INDEX(tblBuyerOutputs[Cumul Appr],ROW()-ROW(tblBuyerOutputs[#Headers])-1)))*$O$2/12)</f>
        <v>0</v>
      </c>
      <c r="AE455" s="587">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61" t="str">
        <f t="shared" si="92"/>
        <v/>
      </c>
      <c r="B456" s="265">
        <f t="shared" si="93"/>
        <v>0</v>
      </c>
      <c r="C456" s="14">
        <f t="shared" si="90"/>
        <v>0</v>
      </c>
      <c r="D456" s="14">
        <f t="shared" si="94"/>
        <v>0</v>
      </c>
      <c r="E456" s="14">
        <f t="shared" si="91"/>
        <v>0</v>
      </c>
      <c r="F456" s="14">
        <f t="shared" si="102"/>
        <v>0</v>
      </c>
      <c r="G456" s="14">
        <f t="shared" si="102"/>
        <v>0</v>
      </c>
      <c r="H456" s="14">
        <f t="shared" si="103"/>
        <v>0</v>
      </c>
      <c r="I456" s="265">
        <f t="shared" si="97"/>
        <v>0</v>
      </c>
      <c r="J456" s="265">
        <f t="shared" si="98"/>
        <v>0</v>
      </c>
      <c r="K456" s="265">
        <f t="shared" si="95"/>
        <v>0</v>
      </c>
      <c r="L456" s="373">
        <f t="shared" si="101"/>
        <v>0</v>
      </c>
      <c r="M456" s="373">
        <f t="shared" si="96"/>
        <v>0</v>
      </c>
      <c r="N456" s="561"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Row],[Payment]]=0,0,$V$2)</f>
        <v>0</v>
      </c>
      <c r="U456" s="265">
        <f>IF(tblContractForDeed[[#This Row],[Princ]]=0,0,$V$3)</f>
        <v>0</v>
      </c>
      <c r="V456" s="265">
        <f>SUM(tblContractForDeed[[#This Row],[Princ]],tblContractForDeed[[#This Row],[Int]],tblContractForDeed[[#This Row],[Ins]],tblContractForDeed[[#This Row],[Taxes]])</f>
        <v>0</v>
      </c>
      <c r="W456" s="265">
        <f>SUM(INDEX(tblContractForDeed[Princ],1):INDEX(tblContractForDeed[Princ],ROW()-ROW(tblContractForDeed[#Headers])))</f>
        <v>146500</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39">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6" s="265">
        <f>IF(INDEX(tblContractForDeed[End Bal],ROW()-ROW(tblBuyerOutputs[#Headers]))&lt;=0,0,($O$6+IF(ROW()=ROW(tblBuyerOutputs[#Headers])+1,0,INDEX(tblBuyerOutputs[Cumul Appr],ROW()-ROW(tblBuyerOutputs[#Headers])-1)))*$O$2/12)</f>
        <v>0</v>
      </c>
      <c r="AE456" s="587">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61" t="str">
        <f t="shared" si="92"/>
        <v/>
      </c>
      <c r="B457" s="265">
        <f t="shared" si="93"/>
        <v>0</v>
      </c>
      <c r="C457" s="14">
        <f t="shared" si="90"/>
        <v>0</v>
      </c>
      <c r="D457" s="14">
        <f t="shared" si="94"/>
        <v>0</v>
      </c>
      <c r="E457" s="14">
        <f t="shared" si="91"/>
        <v>0</v>
      </c>
      <c r="F457" s="14">
        <f t="shared" si="102"/>
        <v>0</v>
      </c>
      <c r="G457" s="14">
        <f t="shared" si="102"/>
        <v>0</v>
      </c>
      <c r="H457" s="14">
        <f t="shared" si="103"/>
        <v>0</v>
      </c>
      <c r="I457" s="265">
        <f t="shared" si="97"/>
        <v>0</v>
      </c>
      <c r="J457" s="265">
        <f t="shared" si="98"/>
        <v>0</v>
      </c>
      <c r="K457" s="265">
        <f t="shared" si="95"/>
        <v>0</v>
      </c>
      <c r="L457" s="373">
        <f t="shared" si="101"/>
        <v>0</v>
      </c>
      <c r="M457" s="373">
        <f t="shared" si="96"/>
        <v>0</v>
      </c>
      <c r="N457" s="561"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Row],[Payment]]=0,0,$V$2)</f>
        <v>0</v>
      </c>
      <c r="U457" s="265">
        <f>IF(tblContractForDeed[[#This Row],[Princ]]=0,0,$V$3)</f>
        <v>0</v>
      </c>
      <c r="V457" s="265">
        <f>SUM(tblContractForDeed[[#This Row],[Princ]],tblContractForDeed[[#This Row],[Int]],tblContractForDeed[[#This Row],[Ins]],tblContractForDeed[[#This Row],[Taxes]])</f>
        <v>0</v>
      </c>
      <c r="W457" s="265">
        <f>SUM(INDEX(tblContractForDeed[Princ],1):INDEX(tblContractForDeed[Princ],ROW()-ROW(tblContractForDeed[#Headers])))</f>
        <v>146500</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39">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7" s="265">
        <f>IF(INDEX(tblContractForDeed[End Bal],ROW()-ROW(tblBuyerOutputs[#Headers]))&lt;=0,0,($O$6+IF(ROW()=ROW(tblBuyerOutputs[#Headers])+1,0,INDEX(tblBuyerOutputs[Cumul Appr],ROW()-ROW(tblBuyerOutputs[#Headers])-1)))*$O$2/12)</f>
        <v>0</v>
      </c>
      <c r="AE457" s="587">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61" t="str">
        <f t="shared" si="92"/>
        <v/>
      </c>
      <c r="B458" s="265">
        <f t="shared" si="93"/>
        <v>0</v>
      </c>
      <c r="C458" s="14">
        <f t="shared" si="90"/>
        <v>0</v>
      </c>
      <c r="D458" s="14">
        <f t="shared" si="94"/>
        <v>0</v>
      </c>
      <c r="E458" s="14">
        <f t="shared" si="91"/>
        <v>0</v>
      </c>
      <c r="F458" s="14">
        <f t="shared" si="102"/>
        <v>0</v>
      </c>
      <c r="G458" s="14">
        <f t="shared" si="102"/>
        <v>0</v>
      </c>
      <c r="H458" s="14">
        <f t="shared" si="103"/>
        <v>0</v>
      </c>
      <c r="I458" s="265">
        <f t="shared" si="97"/>
        <v>0</v>
      </c>
      <c r="J458" s="265">
        <f t="shared" si="98"/>
        <v>0</v>
      </c>
      <c r="K458" s="265">
        <f t="shared" si="95"/>
        <v>0</v>
      </c>
      <c r="L458" s="373">
        <f t="shared" si="101"/>
        <v>0</v>
      </c>
      <c r="M458" s="373">
        <f t="shared" si="96"/>
        <v>0</v>
      </c>
      <c r="N458" s="561"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Row],[Payment]]=0,0,$V$2)</f>
        <v>0</v>
      </c>
      <c r="U458" s="265">
        <f>IF(tblContractForDeed[[#This Row],[Princ]]=0,0,$V$3)</f>
        <v>0</v>
      </c>
      <c r="V458" s="265">
        <f>SUM(tblContractForDeed[[#This Row],[Princ]],tblContractForDeed[[#This Row],[Int]],tblContractForDeed[[#This Row],[Ins]],tblContractForDeed[[#This Row],[Taxes]])</f>
        <v>0</v>
      </c>
      <c r="W458" s="265">
        <f>SUM(INDEX(tblContractForDeed[Princ],1):INDEX(tblContractForDeed[Princ],ROW()-ROW(tblContractForDeed[#Headers])))</f>
        <v>146500</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39">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8" s="265">
        <f>IF(INDEX(tblContractForDeed[End Bal],ROW()-ROW(tblBuyerOutputs[#Headers]))&lt;=0,0,($O$6+IF(ROW()=ROW(tblBuyerOutputs[#Headers])+1,0,INDEX(tblBuyerOutputs[Cumul Appr],ROW()-ROW(tblBuyerOutputs[#Headers])-1)))*$O$2/12)</f>
        <v>0</v>
      </c>
      <c r="AE458" s="587">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61" t="str">
        <f t="shared" si="92"/>
        <v/>
      </c>
      <c r="B459" s="265">
        <f t="shared" si="93"/>
        <v>0</v>
      </c>
      <c r="C459" s="14">
        <f t="shared" si="90"/>
        <v>0</v>
      </c>
      <c r="D459" s="14">
        <f t="shared" si="94"/>
        <v>0</v>
      </c>
      <c r="E459" s="14">
        <f t="shared" si="91"/>
        <v>0</v>
      </c>
      <c r="F459" s="14">
        <f t="shared" si="102"/>
        <v>0</v>
      </c>
      <c r="G459" s="14">
        <f t="shared" si="102"/>
        <v>0</v>
      </c>
      <c r="H459" s="14">
        <f t="shared" si="103"/>
        <v>0</v>
      </c>
      <c r="I459" s="265">
        <f t="shared" si="97"/>
        <v>0</v>
      </c>
      <c r="J459" s="265">
        <f t="shared" si="98"/>
        <v>0</v>
      </c>
      <c r="K459" s="265">
        <f t="shared" si="95"/>
        <v>0</v>
      </c>
      <c r="L459" s="373">
        <f t="shared" si="101"/>
        <v>0</v>
      </c>
      <c r="M459" s="373">
        <f t="shared" si="96"/>
        <v>0</v>
      </c>
      <c r="N459" s="561"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Row],[Payment]]=0,0,$V$2)</f>
        <v>0</v>
      </c>
      <c r="U459" s="265">
        <f>IF(tblContractForDeed[[#This Row],[Princ]]=0,0,$V$3)</f>
        <v>0</v>
      </c>
      <c r="V459" s="265">
        <f>SUM(tblContractForDeed[[#This Row],[Princ]],tblContractForDeed[[#This Row],[Int]],tblContractForDeed[[#This Row],[Ins]],tblContractForDeed[[#This Row],[Taxes]])</f>
        <v>0</v>
      </c>
      <c r="W459" s="265">
        <f>SUM(INDEX(tblContractForDeed[Princ],1):INDEX(tblContractForDeed[Princ],ROW()-ROW(tblContractForDeed[#Headers])))</f>
        <v>146500</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39">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9" s="265">
        <f>IF(INDEX(tblContractForDeed[End Bal],ROW()-ROW(tblBuyerOutputs[#Headers]))&lt;=0,0,($O$6+IF(ROW()=ROW(tblBuyerOutputs[#Headers])+1,0,INDEX(tblBuyerOutputs[Cumul Appr],ROW()-ROW(tblBuyerOutputs[#Headers])-1)))*$O$2/12)</f>
        <v>0</v>
      </c>
      <c r="AE459" s="587">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61" t="str">
        <f t="shared" si="92"/>
        <v/>
      </c>
      <c r="B460" s="265">
        <f t="shared" si="93"/>
        <v>0</v>
      </c>
      <c r="C460" s="14">
        <f t="shared" si="90"/>
        <v>0</v>
      </c>
      <c r="D460" s="14">
        <f t="shared" si="94"/>
        <v>0</v>
      </c>
      <c r="E460" s="14">
        <f t="shared" si="91"/>
        <v>0</v>
      </c>
      <c r="F460" s="14">
        <f t="shared" si="102"/>
        <v>0</v>
      </c>
      <c r="G460" s="14">
        <f t="shared" si="102"/>
        <v>0</v>
      </c>
      <c r="H460" s="14">
        <f t="shared" si="103"/>
        <v>0</v>
      </c>
      <c r="I460" s="265">
        <f t="shared" si="97"/>
        <v>0</v>
      </c>
      <c r="J460" s="265">
        <f t="shared" si="98"/>
        <v>0</v>
      </c>
      <c r="K460" s="265">
        <f t="shared" si="95"/>
        <v>0</v>
      </c>
      <c r="L460" s="373">
        <f t="shared" si="101"/>
        <v>0</v>
      </c>
      <c r="M460" s="373">
        <f t="shared" si="96"/>
        <v>0</v>
      </c>
      <c r="N460" s="561"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Row],[Payment]]=0,0,$V$2)</f>
        <v>0</v>
      </c>
      <c r="U460" s="265">
        <f>IF(tblContractForDeed[[#This Row],[Princ]]=0,0,$V$3)</f>
        <v>0</v>
      </c>
      <c r="V460" s="265">
        <f>SUM(tblContractForDeed[[#This Row],[Princ]],tblContractForDeed[[#This Row],[Int]],tblContractForDeed[[#This Row],[Ins]],tblContractForDeed[[#This Row],[Taxes]])</f>
        <v>0</v>
      </c>
      <c r="W460" s="265">
        <f>SUM(INDEX(tblContractForDeed[Princ],1):INDEX(tblContractForDeed[Princ],ROW()-ROW(tblContractForDeed[#Headers])))</f>
        <v>146500</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39">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0" s="265">
        <f>IF(INDEX(tblContractForDeed[End Bal],ROW()-ROW(tblBuyerOutputs[#Headers]))&lt;=0,0,($O$6+IF(ROW()=ROW(tblBuyerOutputs[#Headers])+1,0,INDEX(tblBuyerOutputs[Cumul Appr],ROW()-ROW(tblBuyerOutputs[#Headers])-1)))*$O$2/12)</f>
        <v>0</v>
      </c>
      <c r="AE460" s="587">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61" t="str">
        <f t="shared" si="92"/>
        <v/>
      </c>
      <c r="B461" s="265">
        <f t="shared" si="93"/>
        <v>0</v>
      </c>
      <c r="C461" s="14">
        <f t="shared" si="90"/>
        <v>0</v>
      </c>
      <c r="D461" s="14">
        <f t="shared" si="94"/>
        <v>0</v>
      </c>
      <c r="E461" s="14">
        <f t="shared" si="91"/>
        <v>0</v>
      </c>
      <c r="F461" s="14">
        <f t="shared" si="102"/>
        <v>0</v>
      </c>
      <c r="G461" s="14">
        <f t="shared" si="102"/>
        <v>0</v>
      </c>
      <c r="H461" s="14">
        <f t="shared" si="103"/>
        <v>0</v>
      </c>
      <c r="I461" s="265">
        <f t="shared" si="97"/>
        <v>0</v>
      </c>
      <c r="J461" s="265">
        <f t="shared" si="98"/>
        <v>0</v>
      </c>
      <c r="K461" s="265">
        <f t="shared" si="95"/>
        <v>0</v>
      </c>
      <c r="L461" s="373">
        <f t="shared" si="101"/>
        <v>0</v>
      </c>
      <c r="M461" s="373">
        <f t="shared" si="96"/>
        <v>0</v>
      </c>
      <c r="N461" s="561"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Row],[Payment]]=0,0,$V$2)</f>
        <v>0</v>
      </c>
      <c r="U461" s="265">
        <f>IF(tblContractForDeed[[#This Row],[Princ]]=0,0,$V$3)</f>
        <v>0</v>
      </c>
      <c r="V461" s="265">
        <f>SUM(tblContractForDeed[[#This Row],[Princ]],tblContractForDeed[[#This Row],[Int]],tblContractForDeed[[#This Row],[Ins]],tblContractForDeed[[#This Row],[Taxes]])</f>
        <v>0</v>
      </c>
      <c r="W461" s="265">
        <f>SUM(INDEX(tblContractForDeed[Princ],1):INDEX(tblContractForDeed[Princ],ROW()-ROW(tblContractForDeed[#Headers])))</f>
        <v>146500</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39">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1" s="265">
        <f>IF(INDEX(tblContractForDeed[End Bal],ROW()-ROW(tblBuyerOutputs[#Headers]))&lt;=0,0,($O$6+IF(ROW()=ROW(tblBuyerOutputs[#Headers])+1,0,INDEX(tblBuyerOutputs[Cumul Appr],ROW()-ROW(tblBuyerOutputs[#Headers])-1)))*$O$2/12)</f>
        <v>0</v>
      </c>
      <c r="AE461" s="587">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61" t="str">
        <f t="shared" si="92"/>
        <v/>
      </c>
      <c r="B462" s="265">
        <f t="shared" si="93"/>
        <v>0</v>
      </c>
      <c r="C462" s="14">
        <f t="shared" si="90"/>
        <v>0</v>
      </c>
      <c r="D462" s="14">
        <f t="shared" si="94"/>
        <v>0</v>
      </c>
      <c r="E462" s="14">
        <f t="shared" si="91"/>
        <v>0</v>
      </c>
      <c r="F462" s="14">
        <f t="shared" si="102"/>
        <v>0</v>
      </c>
      <c r="G462" s="14">
        <f t="shared" si="102"/>
        <v>0</v>
      </c>
      <c r="H462" s="14">
        <f t="shared" si="103"/>
        <v>0</v>
      </c>
      <c r="I462" s="265">
        <f t="shared" si="97"/>
        <v>0</v>
      </c>
      <c r="J462" s="265">
        <f t="shared" si="98"/>
        <v>0</v>
      </c>
      <c r="K462" s="265">
        <f t="shared" si="95"/>
        <v>0</v>
      </c>
      <c r="L462" s="373">
        <f t="shared" si="101"/>
        <v>0</v>
      </c>
      <c r="M462" s="373">
        <f t="shared" si="96"/>
        <v>0</v>
      </c>
      <c r="N462" s="561"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Row],[Payment]]=0,0,$V$2)</f>
        <v>0</v>
      </c>
      <c r="U462" s="265">
        <f>IF(tblContractForDeed[[#This Row],[Princ]]=0,0,$V$3)</f>
        <v>0</v>
      </c>
      <c r="V462" s="265">
        <f>SUM(tblContractForDeed[[#This Row],[Princ]],tblContractForDeed[[#This Row],[Int]],tblContractForDeed[[#This Row],[Ins]],tblContractForDeed[[#This Row],[Taxes]])</f>
        <v>0</v>
      </c>
      <c r="W462" s="265">
        <f>SUM(INDEX(tblContractForDeed[Princ],1):INDEX(tblContractForDeed[Princ],ROW()-ROW(tblContractForDeed[#Headers])))</f>
        <v>146500</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39">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2" s="265">
        <f>IF(INDEX(tblContractForDeed[End Bal],ROW()-ROW(tblBuyerOutputs[#Headers]))&lt;=0,0,($O$6+IF(ROW()=ROW(tblBuyerOutputs[#Headers])+1,0,INDEX(tblBuyerOutputs[Cumul Appr],ROW()-ROW(tblBuyerOutputs[#Headers])-1)))*$O$2/12)</f>
        <v>0</v>
      </c>
      <c r="AE462" s="587">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62" t="str">
        <f t="shared" si="92"/>
        <v/>
      </c>
      <c r="B463" s="316">
        <f t="shared" si="93"/>
        <v>0</v>
      </c>
      <c r="C463" s="21">
        <f t="shared" si="90"/>
        <v>0</v>
      </c>
      <c r="D463" s="21">
        <f t="shared" si="94"/>
        <v>0</v>
      </c>
      <c r="E463" s="21">
        <f t="shared" si="91"/>
        <v>0</v>
      </c>
      <c r="F463" s="21">
        <f t="shared" ref="F463:G478" si="104">+F462</f>
        <v>0</v>
      </c>
      <c r="G463" s="21">
        <f t="shared" si="104"/>
        <v>0</v>
      </c>
      <c r="H463" s="21">
        <f t="shared" si="103"/>
        <v>0</v>
      </c>
      <c r="I463" s="316">
        <f t="shared" si="97"/>
        <v>0</v>
      </c>
      <c r="J463" s="316">
        <f t="shared" si="98"/>
        <v>0</v>
      </c>
      <c r="K463" s="316">
        <f t="shared" si="95"/>
        <v>0</v>
      </c>
      <c r="L463" s="374">
        <f t="shared" si="101"/>
        <v>0</v>
      </c>
      <c r="M463" s="374">
        <f t="shared" si="96"/>
        <v>0</v>
      </c>
      <c r="N463" s="562" t="str">
        <f>INDEX(tblSubjectToLoan[Date],ROW()-ROW(tblContractForDeed[#Headers]))</f>
        <v/>
      </c>
      <c r="O463" s="316">
        <f>IF(ROW()=ROW(tblContractForDeed[#Headers])+1,$O$6,IF(INDEX(tblContractForDeed[End Bal],ROW()-ROW(tblContractForDeed[#Headers])-1)&lt;0,0,INDEX(tblContractForDeed[End Bal],ROW()-ROW(tblContractForDeed[#Headers])-1)))</f>
        <v>0</v>
      </c>
      <c r="P463" s="585"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Row],[Payment]]=0,0,$V$2)</f>
        <v>0</v>
      </c>
      <c r="U463" s="316">
        <f>IF(tblContractForDeed[[#This Row],[Princ]]=0,0,$V$3)</f>
        <v>0</v>
      </c>
      <c r="V463" s="316">
        <f>SUM(tblContractForDeed[[#This Row],[Princ]],tblContractForDeed[[#This Row],[Int]],tblContractForDeed[[#This Row],[Ins]],tblContractForDeed[[#This Row],[Taxes]])</f>
        <v>0</v>
      </c>
      <c r="W463" s="316">
        <f>SUM(INDEX(tblContractForDeed[Princ],1):INDEX(tblContractForDeed[Princ],ROW()-ROW(tblContractForDeed[#Headers])))</f>
        <v>146500</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0">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3" s="316">
        <f>IF(INDEX(tblContractForDeed[End Bal],ROW()-ROW(tblBuyerOutputs[#Headers]))&lt;=0,0,($O$6+IF(ROW()=ROW(tblBuyerOutputs[#Headers])+1,0,INDEX(tblBuyerOutputs[Cumul Appr],ROW()-ROW(tblBuyerOutputs[#Headers])-1)))*$O$2/12)</f>
        <v>0</v>
      </c>
      <c r="AE463" s="588">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61" t="str">
        <f t="shared" si="92"/>
        <v/>
      </c>
      <c r="B464" s="265">
        <f t="shared" si="93"/>
        <v>0</v>
      </c>
      <c r="C464" s="14">
        <f t="shared" si="90"/>
        <v>0</v>
      </c>
      <c r="D464" s="14">
        <f t="shared" si="94"/>
        <v>0</v>
      </c>
      <c r="E464" s="14">
        <f t="shared" si="91"/>
        <v>0</v>
      </c>
      <c r="F464" s="14">
        <f t="shared" si="104"/>
        <v>0</v>
      </c>
      <c r="G464" s="14">
        <f t="shared" si="104"/>
        <v>0</v>
      </c>
      <c r="H464" s="14">
        <f t="shared" si="103"/>
        <v>0</v>
      </c>
      <c r="I464" s="265">
        <f t="shared" si="97"/>
        <v>0</v>
      </c>
      <c r="J464" s="265">
        <f t="shared" si="98"/>
        <v>0</v>
      </c>
      <c r="K464" s="265">
        <f t="shared" si="95"/>
        <v>0</v>
      </c>
      <c r="L464" s="373">
        <f t="shared" si="101"/>
        <v>0</v>
      </c>
      <c r="M464" s="373">
        <f t="shared" si="96"/>
        <v>0</v>
      </c>
      <c r="N464" s="561"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Row],[Payment]]=0,0,$V$2)</f>
        <v>0</v>
      </c>
      <c r="U464" s="265">
        <f>IF(tblContractForDeed[[#This Row],[Princ]]=0,0,$V$3)</f>
        <v>0</v>
      </c>
      <c r="V464" s="265">
        <f>SUM(tblContractForDeed[[#This Row],[Princ]],tblContractForDeed[[#This Row],[Int]],tblContractForDeed[[#This Row],[Ins]],tblContractForDeed[[#This Row],[Taxes]])</f>
        <v>0</v>
      </c>
      <c r="W464" s="265">
        <f>SUM(INDEX(tblContractForDeed[Princ],1):INDEX(tblContractForDeed[Princ],ROW()-ROW(tblContractForDeed[#Headers])))</f>
        <v>146500</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39">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4" s="265">
        <f>IF(INDEX(tblContractForDeed[End Bal],ROW()-ROW(tblBuyerOutputs[#Headers]))&lt;=0,0,($O$6+IF(ROW()=ROW(tblBuyerOutputs[#Headers])+1,0,INDEX(tblBuyerOutputs[Cumul Appr],ROW()-ROW(tblBuyerOutputs[#Headers])-1)))*$O$2/12)</f>
        <v>0</v>
      </c>
      <c r="AE464" s="587">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61" t="str">
        <f t="shared" si="92"/>
        <v/>
      </c>
      <c r="B465" s="265">
        <f t="shared" si="93"/>
        <v>0</v>
      </c>
      <c r="C465" s="14">
        <f t="shared" si="90"/>
        <v>0</v>
      </c>
      <c r="D465" s="14">
        <f t="shared" si="94"/>
        <v>0</v>
      </c>
      <c r="E465" s="14">
        <f t="shared" si="91"/>
        <v>0</v>
      </c>
      <c r="F465" s="14">
        <f t="shared" si="104"/>
        <v>0</v>
      </c>
      <c r="G465" s="14">
        <f t="shared" si="104"/>
        <v>0</v>
      </c>
      <c r="H465" s="14">
        <f t="shared" si="103"/>
        <v>0</v>
      </c>
      <c r="I465" s="265">
        <f t="shared" si="97"/>
        <v>0</v>
      </c>
      <c r="J465" s="265">
        <f t="shared" si="98"/>
        <v>0</v>
      </c>
      <c r="K465" s="265">
        <f t="shared" si="95"/>
        <v>0</v>
      </c>
      <c r="L465" s="373">
        <f t="shared" si="101"/>
        <v>0</v>
      </c>
      <c r="M465" s="373">
        <f t="shared" si="96"/>
        <v>0</v>
      </c>
      <c r="N465" s="561"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Row],[Payment]]=0,0,$V$2)</f>
        <v>0</v>
      </c>
      <c r="U465" s="265">
        <f>IF(tblContractForDeed[[#This Row],[Princ]]=0,0,$V$3)</f>
        <v>0</v>
      </c>
      <c r="V465" s="265">
        <f>SUM(tblContractForDeed[[#This Row],[Princ]],tblContractForDeed[[#This Row],[Int]],tblContractForDeed[[#This Row],[Ins]],tblContractForDeed[[#This Row],[Taxes]])</f>
        <v>0</v>
      </c>
      <c r="W465" s="265">
        <f>SUM(INDEX(tblContractForDeed[Princ],1):INDEX(tblContractForDeed[Princ],ROW()-ROW(tblContractForDeed[#Headers])))</f>
        <v>146500</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39">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5" s="265">
        <f>IF(INDEX(tblContractForDeed[End Bal],ROW()-ROW(tblBuyerOutputs[#Headers]))&lt;=0,0,($O$6+IF(ROW()=ROW(tblBuyerOutputs[#Headers])+1,0,INDEX(tblBuyerOutputs[Cumul Appr],ROW()-ROW(tblBuyerOutputs[#Headers])-1)))*$O$2/12)</f>
        <v>0</v>
      </c>
      <c r="AE465" s="587">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61" t="str">
        <f t="shared" si="92"/>
        <v/>
      </c>
      <c r="B466" s="265">
        <f t="shared" si="93"/>
        <v>0</v>
      </c>
      <c r="C466" s="14">
        <f t="shared" si="90"/>
        <v>0</v>
      </c>
      <c r="D466" s="14">
        <f t="shared" si="94"/>
        <v>0</v>
      </c>
      <c r="E466" s="14">
        <f t="shared" si="91"/>
        <v>0</v>
      </c>
      <c r="F466" s="14">
        <f t="shared" si="104"/>
        <v>0</v>
      </c>
      <c r="G466" s="14">
        <f t="shared" si="104"/>
        <v>0</v>
      </c>
      <c r="H466" s="14">
        <f t="shared" si="103"/>
        <v>0</v>
      </c>
      <c r="I466" s="265">
        <f t="shared" si="97"/>
        <v>0</v>
      </c>
      <c r="J466" s="265">
        <f t="shared" si="98"/>
        <v>0</v>
      </c>
      <c r="K466" s="265">
        <f t="shared" si="95"/>
        <v>0</v>
      </c>
      <c r="L466" s="373">
        <f t="shared" si="101"/>
        <v>0</v>
      </c>
      <c r="M466" s="373">
        <f t="shared" si="96"/>
        <v>0</v>
      </c>
      <c r="N466" s="561"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Row],[Payment]]=0,0,$V$2)</f>
        <v>0</v>
      </c>
      <c r="U466" s="265">
        <f>IF(tblContractForDeed[[#This Row],[Princ]]=0,0,$V$3)</f>
        <v>0</v>
      </c>
      <c r="V466" s="265">
        <f>SUM(tblContractForDeed[[#This Row],[Princ]],tblContractForDeed[[#This Row],[Int]],tblContractForDeed[[#This Row],[Ins]],tblContractForDeed[[#This Row],[Taxes]])</f>
        <v>0</v>
      </c>
      <c r="W466" s="265">
        <f>SUM(INDEX(tblContractForDeed[Princ],1):INDEX(tblContractForDeed[Princ],ROW()-ROW(tblContractForDeed[#Headers])))</f>
        <v>146500</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39">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6" s="265">
        <f>IF(INDEX(tblContractForDeed[End Bal],ROW()-ROW(tblBuyerOutputs[#Headers]))&lt;=0,0,($O$6+IF(ROW()=ROW(tblBuyerOutputs[#Headers])+1,0,INDEX(tblBuyerOutputs[Cumul Appr],ROW()-ROW(tblBuyerOutputs[#Headers])-1)))*$O$2/12)</f>
        <v>0</v>
      </c>
      <c r="AE466" s="587">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61" t="str">
        <f t="shared" si="92"/>
        <v/>
      </c>
      <c r="B467" s="265">
        <f t="shared" si="93"/>
        <v>0</v>
      </c>
      <c r="C467" s="14">
        <f t="shared" si="90"/>
        <v>0</v>
      </c>
      <c r="D467" s="14">
        <f t="shared" si="94"/>
        <v>0</v>
      </c>
      <c r="E467" s="14">
        <f t="shared" si="91"/>
        <v>0</v>
      </c>
      <c r="F467" s="14">
        <f t="shared" si="104"/>
        <v>0</v>
      </c>
      <c r="G467" s="14">
        <f t="shared" si="104"/>
        <v>0</v>
      </c>
      <c r="H467" s="14">
        <f t="shared" si="103"/>
        <v>0</v>
      </c>
      <c r="I467" s="265">
        <f t="shared" si="97"/>
        <v>0</v>
      </c>
      <c r="J467" s="265">
        <f t="shared" si="98"/>
        <v>0</v>
      </c>
      <c r="K467" s="265">
        <f t="shared" si="95"/>
        <v>0</v>
      </c>
      <c r="L467" s="373">
        <f t="shared" si="101"/>
        <v>0</v>
      </c>
      <c r="M467" s="373">
        <f t="shared" si="96"/>
        <v>0</v>
      </c>
      <c r="N467" s="561"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Row],[Payment]]=0,0,$V$2)</f>
        <v>0</v>
      </c>
      <c r="U467" s="265">
        <f>IF(tblContractForDeed[[#This Row],[Princ]]=0,0,$V$3)</f>
        <v>0</v>
      </c>
      <c r="V467" s="265">
        <f>SUM(tblContractForDeed[[#This Row],[Princ]],tblContractForDeed[[#This Row],[Int]],tblContractForDeed[[#This Row],[Ins]],tblContractForDeed[[#This Row],[Taxes]])</f>
        <v>0</v>
      </c>
      <c r="W467" s="265">
        <f>SUM(INDEX(tblContractForDeed[Princ],1):INDEX(tblContractForDeed[Princ],ROW()-ROW(tblContractForDeed[#Headers])))</f>
        <v>146500</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39">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7" s="265">
        <f>IF(INDEX(tblContractForDeed[End Bal],ROW()-ROW(tblBuyerOutputs[#Headers]))&lt;=0,0,($O$6+IF(ROW()=ROW(tblBuyerOutputs[#Headers])+1,0,INDEX(tblBuyerOutputs[Cumul Appr],ROW()-ROW(tblBuyerOutputs[#Headers])-1)))*$O$2/12)</f>
        <v>0</v>
      </c>
      <c r="AE467" s="587">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61" t="str">
        <f t="shared" si="92"/>
        <v/>
      </c>
      <c r="B468" s="265">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0</v>
      </c>
      <c r="G468" s="14">
        <f t="shared" si="104"/>
        <v>0</v>
      </c>
      <c r="H468" s="14">
        <f t="shared" si="103"/>
        <v>0</v>
      </c>
      <c r="I468" s="265">
        <f t="shared" si="97"/>
        <v>0</v>
      </c>
      <c r="J468" s="265">
        <f t="shared" si="98"/>
        <v>0</v>
      </c>
      <c r="K468" s="265">
        <f t="shared" si="95"/>
        <v>0</v>
      </c>
      <c r="L468" s="373">
        <f t="shared" si="101"/>
        <v>0</v>
      </c>
      <c r="M468" s="373">
        <f t="shared" si="96"/>
        <v>0</v>
      </c>
      <c r="N468" s="561"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Row],[Payment]]=0,0,$V$2)</f>
        <v>0</v>
      </c>
      <c r="U468" s="265">
        <f>IF(tblContractForDeed[[#This Row],[Princ]]=0,0,$V$3)</f>
        <v>0</v>
      </c>
      <c r="V468" s="265">
        <f>SUM(tblContractForDeed[[#This Row],[Princ]],tblContractForDeed[[#This Row],[Int]],tblContractForDeed[[#This Row],[Ins]],tblContractForDeed[[#This Row],[Taxes]])</f>
        <v>0</v>
      </c>
      <c r="W468" s="265">
        <f>SUM(INDEX(tblContractForDeed[Princ],1):INDEX(tblContractForDeed[Princ],ROW()-ROW(tblContractForDeed[#Headers])))</f>
        <v>146500</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39">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8" s="265">
        <f>IF(INDEX(tblContractForDeed[End Bal],ROW()-ROW(tblBuyerOutputs[#Headers]))&lt;=0,0,($O$6+IF(ROW()=ROW(tblBuyerOutputs[#Headers])+1,0,INDEX(tblBuyerOutputs[Cumul Appr],ROW()-ROW(tblBuyerOutputs[#Headers])-1)))*$O$2/12)</f>
        <v>0</v>
      </c>
      <c r="AE468" s="587">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61" t="str">
        <f t="shared" ref="A469:A532" si="107">IF(OR(A468="",A468&gt;=subjectMortgageEndDate),"",EDATE(A468,1))</f>
        <v/>
      </c>
      <c r="B469" s="265">
        <f t="shared" ref="B469:B532" si="108">IF(A469="",0,MAX(0,K468))</f>
        <v>0</v>
      </c>
      <c r="C469" s="14">
        <f t="shared" si="105"/>
        <v>0</v>
      </c>
      <c r="D469" s="14">
        <f t="shared" ref="D469:D532" si="109">IF(C469=0,0,MAX(0,MIN(B469,C469-E469)))</f>
        <v>0</v>
      </c>
      <c r="E469" s="14">
        <f t="shared" si="106"/>
        <v>0</v>
      </c>
      <c r="F469" s="14">
        <f t="shared" si="104"/>
        <v>0</v>
      </c>
      <c r="G469" s="14">
        <f t="shared" si="104"/>
        <v>0</v>
      </c>
      <c r="H469" s="14">
        <f t="shared" si="103"/>
        <v>0</v>
      </c>
      <c r="I469" s="265">
        <f t="shared" si="97"/>
        <v>0</v>
      </c>
      <c r="J469" s="265">
        <f t="shared" si="98"/>
        <v>0</v>
      </c>
      <c r="K469" s="265">
        <f t="shared" ref="K469:K532" si="110">IF(A469="",0,IF(B469&lt;=0,0,MAX(0,B469-D469)))</f>
        <v>0</v>
      </c>
      <c r="L469" s="373">
        <f t="shared" si="101"/>
        <v>0</v>
      </c>
      <c r="M469" s="373">
        <f t="shared" ref="M469:M532" si="111">IF($A469&lt;&gt;"",M468+1,0)</f>
        <v>0</v>
      </c>
      <c r="N469" s="561"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Row],[Payment]]=0,0,$V$2)</f>
        <v>0</v>
      </c>
      <c r="U469" s="265">
        <f>IF(tblContractForDeed[[#This Row],[Princ]]=0,0,$V$3)</f>
        <v>0</v>
      </c>
      <c r="V469" s="265">
        <f>SUM(tblContractForDeed[[#This Row],[Princ]],tblContractForDeed[[#This Row],[Int]],tblContractForDeed[[#This Row],[Ins]],tblContractForDeed[[#This Row],[Taxes]])</f>
        <v>0</v>
      </c>
      <c r="W469" s="265">
        <f>SUM(INDEX(tblContractForDeed[Princ],1):INDEX(tblContractForDeed[Princ],ROW()-ROW(tblContractForDeed[#Headers])))</f>
        <v>146500</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39">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9" s="265">
        <f>IF(INDEX(tblContractForDeed[End Bal],ROW()-ROW(tblBuyerOutputs[#Headers]))&lt;=0,0,($O$6+IF(ROW()=ROW(tblBuyerOutputs[#Headers])+1,0,INDEX(tblBuyerOutputs[Cumul Appr],ROW()-ROW(tblBuyerOutputs[#Headers])-1)))*$O$2/12)</f>
        <v>0</v>
      </c>
      <c r="AE469" s="587">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61" t="str">
        <f t="shared" si="107"/>
        <v/>
      </c>
      <c r="B470" s="265">
        <f t="shared" si="108"/>
        <v>0</v>
      </c>
      <c r="C470" s="14">
        <f t="shared" si="105"/>
        <v>0</v>
      </c>
      <c r="D470" s="14">
        <f t="shared" si="109"/>
        <v>0</v>
      </c>
      <c r="E470" s="14">
        <f t="shared" si="106"/>
        <v>0</v>
      </c>
      <c r="F470" s="14">
        <f t="shared" si="104"/>
        <v>0</v>
      </c>
      <c r="G470" s="14">
        <f t="shared" si="104"/>
        <v>0</v>
      </c>
      <c r="H470" s="14">
        <f t="shared" si="103"/>
        <v>0</v>
      </c>
      <c r="I470" s="265">
        <f t="shared" ref="I470:I495" si="112">$D470+$I469</f>
        <v>0</v>
      </c>
      <c r="J470" s="265">
        <f t="shared" ref="J470:J495" si="113">$E470+$J469</f>
        <v>0</v>
      </c>
      <c r="K470" s="265">
        <f t="shared" si="110"/>
        <v>0</v>
      </c>
      <c r="L470" s="373">
        <f t="shared" si="101"/>
        <v>0</v>
      </c>
      <c r="M470" s="373">
        <f t="shared" si="111"/>
        <v>0</v>
      </c>
      <c r="N470" s="561"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Row],[Payment]]=0,0,$V$2)</f>
        <v>0</v>
      </c>
      <c r="U470" s="265">
        <f>IF(tblContractForDeed[[#This Row],[Princ]]=0,0,$V$3)</f>
        <v>0</v>
      </c>
      <c r="V470" s="265">
        <f>SUM(tblContractForDeed[[#This Row],[Princ]],tblContractForDeed[[#This Row],[Int]],tblContractForDeed[[#This Row],[Ins]],tblContractForDeed[[#This Row],[Taxes]])</f>
        <v>0</v>
      </c>
      <c r="W470" s="265">
        <f>SUM(INDEX(tblContractForDeed[Princ],1):INDEX(tblContractForDeed[Princ],ROW()-ROW(tblContractForDeed[#Headers])))</f>
        <v>146500</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39">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0" s="265">
        <f>IF(INDEX(tblContractForDeed[End Bal],ROW()-ROW(tblBuyerOutputs[#Headers]))&lt;=0,0,($O$6+IF(ROW()=ROW(tblBuyerOutputs[#Headers])+1,0,INDEX(tblBuyerOutputs[Cumul Appr],ROW()-ROW(tblBuyerOutputs[#Headers])-1)))*$O$2/12)</f>
        <v>0</v>
      </c>
      <c r="AE470" s="587">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61" t="str">
        <f t="shared" si="107"/>
        <v/>
      </c>
      <c r="B471" s="265">
        <f t="shared" si="108"/>
        <v>0</v>
      </c>
      <c r="C471" s="14">
        <f t="shared" si="105"/>
        <v>0</v>
      </c>
      <c r="D471" s="14">
        <f t="shared" si="109"/>
        <v>0</v>
      </c>
      <c r="E471" s="14">
        <f t="shared" si="106"/>
        <v>0</v>
      </c>
      <c r="F471" s="14">
        <f t="shared" si="104"/>
        <v>0</v>
      </c>
      <c r="G471" s="14">
        <f t="shared" si="104"/>
        <v>0</v>
      </c>
      <c r="H471" s="14">
        <f t="shared" si="103"/>
        <v>0</v>
      </c>
      <c r="I471" s="265">
        <f t="shared" si="112"/>
        <v>0</v>
      </c>
      <c r="J471" s="265">
        <f t="shared" si="113"/>
        <v>0</v>
      </c>
      <c r="K471" s="265">
        <f t="shared" si="110"/>
        <v>0</v>
      </c>
      <c r="L471" s="373">
        <f t="shared" si="101"/>
        <v>0</v>
      </c>
      <c r="M471" s="373">
        <f t="shared" si="111"/>
        <v>0</v>
      </c>
      <c r="N471" s="561"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Row],[Payment]]=0,0,$V$2)</f>
        <v>0</v>
      </c>
      <c r="U471" s="265">
        <f>IF(tblContractForDeed[[#This Row],[Princ]]=0,0,$V$3)</f>
        <v>0</v>
      </c>
      <c r="V471" s="265">
        <f>SUM(tblContractForDeed[[#This Row],[Princ]],tblContractForDeed[[#This Row],[Int]],tblContractForDeed[[#This Row],[Ins]],tblContractForDeed[[#This Row],[Taxes]])</f>
        <v>0</v>
      </c>
      <c r="W471" s="265">
        <f>SUM(INDEX(tblContractForDeed[Princ],1):INDEX(tblContractForDeed[Princ],ROW()-ROW(tblContractForDeed[#Headers])))</f>
        <v>146500</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39">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1" s="265">
        <f>IF(INDEX(tblContractForDeed[End Bal],ROW()-ROW(tblBuyerOutputs[#Headers]))&lt;=0,0,($O$6+IF(ROW()=ROW(tblBuyerOutputs[#Headers])+1,0,INDEX(tblBuyerOutputs[Cumul Appr],ROW()-ROW(tblBuyerOutputs[#Headers])-1)))*$O$2/12)</f>
        <v>0</v>
      </c>
      <c r="AE471" s="587">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61" t="str">
        <f t="shared" si="107"/>
        <v/>
      </c>
      <c r="B472" s="265">
        <f t="shared" si="108"/>
        <v>0</v>
      </c>
      <c r="C472" s="14">
        <f t="shared" si="105"/>
        <v>0</v>
      </c>
      <c r="D472" s="14">
        <f t="shared" si="109"/>
        <v>0</v>
      </c>
      <c r="E472" s="14">
        <f t="shared" si="106"/>
        <v>0</v>
      </c>
      <c r="F472" s="14">
        <f t="shared" si="104"/>
        <v>0</v>
      </c>
      <c r="G472" s="14">
        <f t="shared" si="104"/>
        <v>0</v>
      </c>
      <c r="H472" s="14">
        <f t="shared" si="103"/>
        <v>0</v>
      </c>
      <c r="I472" s="265">
        <f t="shared" si="112"/>
        <v>0</v>
      </c>
      <c r="J472" s="265">
        <f t="shared" si="113"/>
        <v>0</v>
      </c>
      <c r="K472" s="265">
        <f t="shared" si="110"/>
        <v>0</v>
      </c>
      <c r="L472" s="373">
        <f t="shared" si="101"/>
        <v>0</v>
      </c>
      <c r="M472" s="373">
        <f t="shared" si="111"/>
        <v>0</v>
      </c>
      <c r="N472" s="561"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Row],[Payment]]=0,0,$V$2)</f>
        <v>0</v>
      </c>
      <c r="U472" s="265">
        <f>IF(tblContractForDeed[[#This Row],[Princ]]=0,0,$V$3)</f>
        <v>0</v>
      </c>
      <c r="V472" s="265">
        <f>SUM(tblContractForDeed[[#This Row],[Princ]],tblContractForDeed[[#This Row],[Int]],tblContractForDeed[[#This Row],[Ins]],tblContractForDeed[[#This Row],[Taxes]])</f>
        <v>0</v>
      </c>
      <c r="W472" s="265">
        <f>SUM(INDEX(tblContractForDeed[Princ],1):INDEX(tblContractForDeed[Princ],ROW()-ROW(tblContractForDeed[#Headers])))</f>
        <v>146500</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39">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2" s="265">
        <f>IF(INDEX(tblContractForDeed[End Bal],ROW()-ROW(tblBuyerOutputs[#Headers]))&lt;=0,0,($O$6+IF(ROW()=ROW(tblBuyerOutputs[#Headers])+1,0,INDEX(tblBuyerOutputs[Cumul Appr],ROW()-ROW(tblBuyerOutputs[#Headers])-1)))*$O$2/12)</f>
        <v>0</v>
      </c>
      <c r="AE472" s="587">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61" t="str">
        <f t="shared" si="107"/>
        <v/>
      </c>
      <c r="B473" s="265">
        <f t="shared" si="108"/>
        <v>0</v>
      </c>
      <c r="C473" s="14">
        <f t="shared" si="105"/>
        <v>0</v>
      </c>
      <c r="D473" s="14">
        <f t="shared" si="109"/>
        <v>0</v>
      </c>
      <c r="E473" s="14">
        <f t="shared" si="106"/>
        <v>0</v>
      </c>
      <c r="F473" s="14">
        <f t="shared" si="104"/>
        <v>0</v>
      </c>
      <c r="G473" s="14">
        <f t="shared" si="104"/>
        <v>0</v>
      </c>
      <c r="H473" s="14">
        <f t="shared" si="103"/>
        <v>0</v>
      </c>
      <c r="I473" s="265">
        <f t="shared" si="112"/>
        <v>0</v>
      </c>
      <c r="J473" s="265">
        <f t="shared" si="113"/>
        <v>0</v>
      </c>
      <c r="K473" s="265">
        <f t="shared" si="110"/>
        <v>0</v>
      </c>
      <c r="L473" s="373">
        <f t="shared" si="101"/>
        <v>0</v>
      </c>
      <c r="M473" s="373">
        <f t="shared" si="111"/>
        <v>0</v>
      </c>
      <c r="N473" s="561"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Row],[Payment]]=0,0,$V$2)</f>
        <v>0</v>
      </c>
      <c r="U473" s="265">
        <f>IF(tblContractForDeed[[#This Row],[Princ]]=0,0,$V$3)</f>
        <v>0</v>
      </c>
      <c r="V473" s="265">
        <f>SUM(tblContractForDeed[[#This Row],[Princ]],tblContractForDeed[[#This Row],[Int]],tblContractForDeed[[#This Row],[Ins]],tblContractForDeed[[#This Row],[Taxes]])</f>
        <v>0</v>
      </c>
      <c r="W473" s="265">
        <f>SUM(INDEX(tblContractForDeed[Princ],1):INDEX(tblContractForDeed[Princ],ROW()-ROW(tblContractForDeed[#Headers])))</f>
        <v>146500</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39">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3" s="265">
        <f>IF(INDEX(tblContractForDeed[End Bal],ROW()-ROW(tblBuyerOutputs[#Headers]))&lt;=0,0,($O$6+IF(ROW()=ROW(tblBuyerOutputs[#Headers])+1,0,INDEX(tblBuyerOutputs[Cumul Appr],ROW()-ROW(tblBuyerOutputs[#Headers])-1)))*$O$2/12)</f>
        <v>0</v>
      </c>
      <c r="AE473" s="587">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61" t="str">
        <f t="shared" si="107"/>
        <v/>
      </c>
      <c r="B474" s="265">
        <f t="shared" si="108"/>
        <v>0</v>
      </c>
      <c r="C474" s="14">
        <f t="shared" si="105"/>
        <v>0</v>
      </c>
      <c r="D474" s="14">
        <f t="shared" si="109"/>
        <v>0</v>
      </c>
      <c r="E474" s="14">
        <f t="shared" si="106"/>
        <v>0</v>
      </c>
      <c r="F474" s="14">
        <f t="shared" si="104"/>
        <v>0</v>
      </c>
      <c r="G474" s="14">
        <f t="shared" si="104"/>
        <v>0</v>
      </c>
      <c r="H474" s="14">
        <f t="shared" si="103"/>
        <v>0</v>
      </c>
      <c r="I474" s="265">
        <f t="shared" si="112"/>
        <v>0</v>
      </c>
      <c r="J474" s="265">
        <f t="shared" si="113"/>
        <v>0</v>
      </c>
      <c r="K474" s="265">
        <f t="shared" si="110"/>
        <v>0</v>
      </c>
      <c r="L474" s="373">
        <f t="shared" si="101"/>
        <v>0</v>
      </c>
      <c r="M474" s="373">
        <f t="shared" si="111"/>
        <v>0</v>
      </c>
      <c r="N474" s="561"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Row],[Payment]]=0,0,$V$2)</f>
        <v>0</v>
      </c>
      <c r="U474" s="265">
        <f>IF(tblContractForDeed[[#This Row],[Princ]]=0,0,$V$3)</f>
        <v>0</v>
      </c>
      <c r="V474" s="265">
        <f>SUM(tblContractForDeed[[#This Row],[Princ]],tblContractForDeed[[#This Row],[Int]],tblContractForDeed[[#This Row],[Ins]],tblContractForDeed[[#This Row],[Taxes]])</f>
        <v>0</v>
      </c>
      <c r="W474" s="265">
        <f>SUM(INDEX(tblContractForDeed[Princ],1):INDEX(tblContractForDeed[Princ],ROW()-ROW(tblContractForDeed[#Headers])))</f>
        <v>146500</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39">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4" s="265">
        <f>IF(INDEX(tblContractForDeed[End Bal],ROW()-ROW(tblBuyerOutputs[#Headers]))&lt;=0,0,($O$6+IF(ROW()=ROW(tblBuyerOutputs[#Headers])+1,0,INDEX(tblBuyerOutputs[Cumul Appr],ROW()-ROW(tblBuyerOutputs[#Headers])-1)))*$O$2/12)</f>
        <v>0</v>
      </c>
      <c r="AE474" s="587">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62" t="str">
        <f t="shared" si="107"/>
        <v/>
      </c>
      <c r="B475" s="316">
        <f t="shared" si="108"/>
        <v>0</v>
      </c>
      <c r="C475" s="21">
        <f t="shared" si="105"/>
        <v>0</v>
      </c>
      <c r="D475" s="21">
        <f t="shared" si="109"/>
        <v>0</v>
      </c>
      <c r="E475" s="21">
        <f t="shared" si="106"/>
        <v>0</v>
      </c>
      <c r="F475" s="21">
        <f t="shared" si="104"/>
        <v>0</v>
      </c>
      <c r="G475" s="21">
        <f t="shared" si="104"/>
        <v>0</v>
      </c>
      <c r="H475" s="21">
        <f t="shared" si="103"/>
        <v>0</v>
      </c>
      <c r="I475" s="316">
        <f t="shared" si="112"/>
        <v>0</v>
      </c>
      <c r="J475" s="316">
        <f t="shared" si="113"/>
        <v>0</v>
      </c>
      <c r="K475" s="316">
        <f t="shared" si="110"/>
        <v>0</v>
      </c>
      <c r="L475" s="374">
        <f t="shared" si="101"/>
        <v>0</v>
      </c>
      <c r="M475" s="374">
        <f t="shared" si="111"/>
        <v>0</v>
      </c>
      <c r="N475" s="562" t="str">
        <f>INDEX(tblSubjectToLoan[Date],ROW()-ROW(tblContractForDeed[#Headers]))</f>
        <v/>
      </c>
      <c r="O475" s="316">
        <f>IF(ROW()=ROW(tblContractForDeed[#Headers])+1,$O$6,IF(INDEX(tblContractForDeed[End Bal],ROW()-ROW(tblContractForDeed[#Headers])-1)&lt;0,0,INDEX(tblContractForDeed[End Bal],ROW()-ROW(tblContractForDeed[#Headers])-1)))</f>
        <v>0</v>
      </c>
      <c r="P475" s="585"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Row],[Payment]]=0,0,$V$2)</f>
        <v>0</v>
      </c>
      <c r="U475" s="316">
        <f>IF(tblContractForDeed[[#This Row],[Princ]]=0,0,$V$3)</f>
        <v>0</v>
      </c>
      <c r="V475" s="316">
        <f>SUM(tblContractForDeed[[#This Row],[Princ]],tblContractForDeed[[#This Row],[Int]],tblContractForDeed[[#This Row],[Ins]],tblContractForDeed[[#This Row],[Taxes]])</f>
        <v>0</v>
      </c>
      <c r="W475" s="316">
        <f>SUM(INDEX(tblContractForDeed[Princ],1):INDEX(tblContractForDeed[Princ],ROW()-ROW(tblContractForDeed[#Headers])))</f>
        <v>146500</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0">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5" s="316">
        <f>IF(INDEX(tblContractForDeed[End Bal],ROW()-ROW(tblBuyerOutputs[#Headers]))&lt;=0,0,($O$6+IF(ROW()=ROW(tblBuyerOutputs[#Headers])+1,0,INDEX(tblBuyerOutputs[Cumul Appr],ROW()-ROW(tblBuyerOutputs[#Headers])-1)))*$O$2/12)</f>
        <v>0</v>
      </c>
      <c r="AE475" s="588">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61" t="str">
        <f t="shared" si="107"/>
        <v/>
      </c>
      <c r="B476" s="265">
        <f t="shared" si="108"/>
        <v>0</v>
      </c>
      <c r="C476" s="14">
        <f t="shared" si="105"/>
        <v>0</v>
      </c>
      <c r="D476" s="14">
        <f t="shared" si="109"/>
        <v>0</v>
      </c>
      <c r="E476" s="14">
        <f t="shared" si="106"/>
        <v>0</v>
      </c>
      <c r="F476" s="14">
        <f t="shared" si="104"/>
        <v>0</v>
      </c>
      <c r="G476" s="14">
        <f t="shared" si="104"/>
        <v>0</v>
      </c>
      <c r="H476" s="14">
        <f t="shared" si="103"/>
        <v>0</v>
      </c>
      <c r="I476" s="265">
        <f t="shared" si="112"/>
        <v>0</v>
      </c>
      <c r="J476" s="265">
        <f t="shared" si="113"/>
        <v>0</v>
      </c>
      <c r="K476" s="265">
        <f t="shared" si="110"/>
        <v>0</v>
      </c>
      <c r="L476" s="373">
        <f t="shared" si="101"/>
        <v>0</v>
      </c>
      <c r="M476" s="373">
        <f t="shared" si="111"/>
        <v>0</v>
      </c>
      <c r="N476" s="561"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Row],[Payment]]=0,0,$V$2)</f>
        <v>0</v>
      </c>
      <c r="U476" s="265">
        <f>IF(tblContractForDeed[[#This Row],[Princ]]=0,0,$V$3)</f>
        <v>0</v>
      </c>
      <c r="V476" s="265">
        <f>SUM(tblContractForDeed[[#This Row],[Princ]],tblContractForDeed[[#This Row],[Int]],tblContractForDeed[[#This Row],[Ins]],tblContractForDeed[[#This Row],[Taxes]])</f>
        <v>0</v>
      </c>
      <c r="W476" s="265">
        <f>SUM(INDEX(tblContractForDeed[Princ],1):INDEX(tblContractForDeed[Princ],ROW()-ROW(tblContractForDeed[#Headers])))</f>
        <v>146500</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39">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6" s="265">
        <f>IF(INDEX(tblContractForDeed[End Bal],ROW()-ROW(tblBuyerOutputs[#Headers]))&lt;=0,0,($O$6+IF(ROW()=ROW(tblBuyerOutputs[#Headers])+1,0,INDEX(tblBuyerOutputs[Cumul Appr],ROW()-ROW(tblBuyerOutputs[#Headers])-1)))*$O$2/12)</f>
        <v>0</v>
      </c>
      <c r="AE476" s="587">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61" t="str">
        <f t="shared" si="107"/>
        <v/>
      </c>
      <c r="B477" s="265">
        <f t="shared" si="108"/>
        <v>0</v>
      </c>
      <c r="C477" s="14">
        <f t="shared" si="105"/>
        <v>0</v>
      </c>
      <c r="D477" s="14">
        <f t="shared" si="109"/>
        <v>0</v>
      </c>
      <c r="E477" s="14">
        <f t="shared" si="106"/>
        <v>0</v>
      </c>
      <c r="F477" s="14">
        <f t="shared" si="104"/>
        <v>0</v>
      </c>
      <c r="G477" s="14">
        <f t="shared" si="104"/>
        <v>0</v>
      </c>
      <c r="H477" s="14">
        <f t="shared" si="103"/>
        <v>0</v>
      </c>
      <c r="I477" s="265">
        <f t="shared" si="112"/>
        <v>0</v>
      </c>
      <c r="J477" s="265">
        <f t="shared" si="113"/>
        <v>0</v>
      </c>
      <c r="K477" s="265">
        <f t="shared" si="110"/>
        <v>0</v>
      </c>
      <c r="L477" s="373">
        <f t="shared" si="101"/>
        <v>0</v>
      </c>
      <c r="M477" s="373">
        <f t="shared" si="111"/>
        <v>0</v>
      </c>
      <c r="N477" s="561"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Row],[Payment]]=0,0,$V$2)</f>
        <v>0</v>
      </c>
      <c r="U477" s="265">
        <f>IF(tblContractForDeed[[#This Row],[Princ]]=0,0,$V$3)</f>
        <v>0</v>
      </c>
      <c r="V477" s="265">
        <f>SUM(tblContractForDeed[[#This Row],[Princ]],tblContractForDeed[[#This Row],[Int]],tblContractForDeed[[#This Row],[Ins]],tblContractForDeed[[#This Row],[Taxes]])</f>
        <v>0</v>
      </c>
      <c r="W477" s="265">
        <f>SUM(INDEX(tblContractForDeed[Princ],1):INDEX(tblContractForDeed[Princ],ROW()-ROW(tblContractForDeed[#Headers])))</f>
        <v>146500</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39">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7" s="265">
        <f>IF(INDEX(tblContractForDeed[End Bal],ROW()-ROW(tblBuyerOutputs[#Headers]))&lt;=0,0,($O$6+IF(ROW()=ROW(tblBuyerOutputs[#Headers])+1,0,INDEX(tblBuyerOutputs[Cumul Appr],ROW()-ROW(tblBuyerOutputs[#Headers])-1)))*$O$2/12)</f>
        <v>0</v>
      </c>
      <c r="AE477" s="587">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61" t="str">
        <f t="shared" si="107"/>
        <v/>
      </c>
      <c r="B478" s="265">
        <f t="shared" si="108"/>
        <v>0</v>
      </c>
      <c r="C478" s="14">
        <f t="shared" si="105"/>
        <v>0</v>
      </c>
      <c r="D478" s="14">
        <f t="shared" si="109"/>
        <v>0</v>
      </c>
      <c r="E478" s="14">
        <f t="shared" si="106"/>
        <v>0</v>
      </c>
      <c r="F478" s="14">
        <f t="shared" si="104"/>
        <v>0</v>
      </c>
      <c r="G478" s="14">
        <f t="shared" si="104"/>
        <v>0</v>
      </c>
      <c r="H478" s="14">
        <f t="shared" si="103"/>
        <v>0</v>
      </c>
      <c r="I478" s="265">
        <f t="shared" si="112"/>
        <v>0</v>
      </c>
      <c r="J478" s="265">
        <f t="shared" si="113"/>
        <v>0</v>
      </c>
      <c r="K478" s="265">
        <f t="shared" si="110"/>
        <v>0</v>
      </c>
      <c r="L478" s="373">
        <f t="shared" si="101"/>
        <v>0</v>
      </c>
      <c r="M478" s="373">
        <f t="shared" si="111"/>
        <v>0</v>
      </c>
      <c r="N478" s="561"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Row],[Payment]]=0,0,$V$2)</f>
        <v>0</v>
      </c>
      <c r="U478" s="265">
        <f>IF(tblContractForDeed[[#This Row],[Princ]]=0,0,$V$3)</f>
        <v>0</v>
      </c>
      <c r="V478" s="265">
        <f>SUM(tblContractForDeed[[#This Row],[Princ]],tblContractForDeed[[#This Row],[Int]],tblContractForDeed[[#This Row],[Ins]],tblContractForDeed[[#This Row],[Taxes]])</f>
        <v>0</v>
      </c>
      <c r="W478" s="265">
        <f>SUM(INDEX(tblContractForDeed[Princ],1):INDEX(tblContractForDeed[Princ],ROW()-ROW(tblContractForDeed[#Headers])))</f>
        <v>146500</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39">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8" s="265">
        <f>IF(INDEX(tblContractForDeed[End Bal],ROW()-ROW(tblBuyerOutputs[#Headers]))&lt;=0,0,($O$6+IF(ROW()=ROW(tblBuyerOutputs[#Headers])+1,0,INDEX(tblBuyerOutputs[Cumul Appr],ROW()-ROW(tblBuyerOutputs[#Headers])-1)))*$O$2/12)</f>
        <v>0</v>
      </c>
      <c r="AE478" s="587">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61" t="str">
        <f t="shared" si="107"/>
        <v/>
      </c>
      <c r="B479" s="265">
        <f t="shared" si="108"/>
        <v>0</v>
      </c>
      <c r="C479" s="14">
        <f t="shared" si="105"/>
        <v>0</v>
      </c>
      <c r="D479" s="14">
        <f t="shared" si="109"/>
        <v>0</v>
      </c>
      <c r="E479" s="14">
        <f t="shared" si="106"/>
        <v>0</v>
      </c>
      <c r="F479" s="14">
        <f t="shared" ref="F479:G494" si="114">+F478</f>
        <v>0</v>
      </c>
      <c r="G479" s="14">
        <f t="shared" si="114"/>
        <v>0</v>
      </c>
      <c r="H479" s="14">
        <f t="shared" si="103"/>
        <v>0</v>
      </c>
      <c r="I479" s="265">
        <f t="shared" si="112"/>
        <v>0</v>
      </c>
      <c r="J479" s="265">
        <f t="shared" si="113"/>
        <v>0</v>
      </c>
      <c r="K479" s="265">
        <f t="shared" si="110"/>
        <v>0</v>
      </c>
      <c r="L479" s="373">
        <f t="shared" si="101"/>
        <v>0</v>
      </c>
      <c r="M479" s="373">
        <f t="shared" si="111"/>
        <v>0</v>
      </c>
      <c r="N479" s="561"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Row],[Payment]]=0,0,$V$2)</f>
        <v>0</v>
      </c>
      <c r="U479" s="265">
        <f>IF(tblContractForDeed[[#This Row],[Princ]]=0,0,$V$3)</f>
        <v>0</v>
      </c>
      <c r="V479" s="265">
        <f>SUM(tblContractForDeed[[#This Row],[Princ]],tblContractForDeed[[#This Row],[Int]],tblContractForDeed[[#This Row],[Ins]],tblContractForDeed[[#This Row],[Taxes]])</f>
        <v>0</v>
      </c>
      <c r="W479" s="265">
        <f>SUM(INDEX(tblContractForDeed[Princ],1):INDEX(tblContractForDeed[Princ],ROW()-ROW(tblContractForDeed[#Headers])))</f>
        <v>146500</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39">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9" s="265">
        <f>IF(INDEX(tblContractForDeed[End Bal],ROW()-ROW(tblBuyerOutputs[#Headers]))&lt;=0,0,($O$6+IF(ROW()=ROW(tblBuyerOutputs[#Headers])+1,0,INDEX(tblBuyerOutputs[Cumul Appr],ROW()-ROW(tblBuyerOutputs[#Headers])-1)))*$O$2/12)</f>
        <v>0</v>
      </c>
      <c r="AE479" s="587">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61" t="str">
        <f t="shared" si="107"/>
        <v/>
      </c>
      <c r="B480" s="265">
        <f t="shared" si="108"/>
        <v>0</v>
      </c>
      <c r="C480" s="14">
        <f t="shared" si="105"/>
        <v>0</v>
      </c>
      <c r="D480" s="14">
        <f t="shared" si="109"/>
        <v>0</v>
      </c>
      <c r="E480" s="14">
        <f t="shared" si="106"/>
        <v>0</v>
      </c>
      <c r="F480" s="14">
        <f t="shared" si="114"/>
        <v>0</v>
      </c>
      <c r="G480" s="14">
        <f t="shared" si="114"/>
        <v>0</v>
      </c>
      <c r="H480" s="14">
        <f t="shared" si="103"/>
        <v>0</v>
      </c>
      <c r="I480" s="265">
        <f t="shared" si="112"/>
        <v>0</v>
      </c>
      <c r="J480" s="265">
        <f t="shared" si="113"/>
        <v>0</v>
      </c>
      <c r="K480" s="265">
        <f t="shared" si="110"/>
        <v>0</v>
      </c>
      <c r="L480" s="373">
        <f t="shared" si="101"/>
        <v>0</v>
      </c>
      <c r="M480" s="373">
        <f t="shared" si="111"/>
        <v>0</v>
      </c>
      <c r="N480" s="561"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Row],[Payment]]=0,0,$V$2)</f>
        <v>0</v>
      </c>
      <c r="U480" s="265">
        <f>IF(tblContractForDeed[[#This Row],[Princ]]=0,0,$V$3)</f>
        <v>0</v>
      </c>
      <c r="V480" s="265">
        <f>SUM(tblContractForDeed[[#This Row],[Princ]],tblContractForDeed[[#This Row],[Int]],tblContractForDeed[[#This Row],[Ins]],tblContractForDeed[[#This Row],[Taxes]])</f>
        <v>0</v>
      </c>
      <c r="W480" s="265">
        <f>SUM(INDEX(tblContractForDeed[Princ],1):INDEX(tblContractForDeed[Princ],ROW()-ROW(tblContractForDeed[#Headers])))</f>
        <v>146500</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39">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0" s="265">
        <f>IF(INDEX(tblContractForDeed[End Bal],ROW()-ROW(tblBuyerOutputs[#Headers]))&lt;=0,0,($O$6+IF(ROW()=ROW(tblBuyerOutputs[#Headers])+1,0,INDEX(tblBuyerOutputs[Cumul Appr],ROW()-ROW(tblBuyerOutputs[#Headers])-1)))*$O$2/12)</f>
        <v>0</v>
      </c>
      <c r="AE480" s="587">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61" t="str">
        <f t="shared" si="107"/>
        <v/>
      </c>
      <c r="B481" s="265">
        <f t="shared" si="108"/>
        <v>0</v>
      </c>
      <c r="C481" s="14">
        <f t="shared" si="105"/>
        <v>0</v>
      </c>
      <c r="D481" s="14">
        <f t="shared" si="109"/>
        <v>0</v>
      </c>
      <c r="E481" s="14">
        <f t="shared" si="106"/>
        <v>0</v>
      </c>
      <c r="F481" s="14">
        <f t="shared" si="114"/>
        <v>0</v>
      </c>
      <c r="G481" s="14">
        <f t="shared" si="114"/>
        <v>0</v>
      </c>
      <c r="H481" s="14">
        <f t="shared" si="103"/>
        <v>0</v>
      </c>
      <c r="I481" s="265">
        <f t="shared" si="112"/>
        <v>0</v>
      </c>
      <c r="J481" s="265">
        <f t="shared" si="113"/>
        <v>0</v>
      </c>
      <c r="K481" s="265">
        <f t="shared" si="110"/>
        <v>0</v>
      </c>
      <c r="L481" s="373">
        <f t="shared" si="101"/>
        <v>0</v>
      </c>
      <c r="M481" s="373">
        <f t="shared" si="111"/>
        <v>0</v>
      </c>
      <c r="N481" s="561"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Row],[Payment]]=0,0,$V$2)</f>
        <v>0</v>
      </c>
      <c r="U481" s="265">
        <f>IF(tblContractForDeed[[#This Row],[Princ]]=0,0,$V$3)</f>
        <v>0</v>
      </c>
      <c r="V481" s="265">
        <f>SUM(tblContractForDeed[[#This Row],[Princ]],tblContractForDeed[[#This Row],[Int]],tblContractForDeed[[#This Row],[Ins]],tblContractForDeed[[#This Row],[Taxes]])</f>
        <v>0</v>
      </c>
      <c r="W481" s="265">
        <f>SUM(INDEX(tblContractForDeed[Princ],1):INDEX(tblContractForDeed[Princ],ROW()-ROW(tblContractForDeed[#Headers])))</f>
        <v>146500</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39">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1" s="265">
        <f>IF(INDEX(tblContractForDeed[End Bal],ROW()-ROW(tblBuyerOutputs[#Headers]))&lt;=0,0,($O$6+IF(ROW()=ROW(tblBuyerOutputs[#Headers])+1,0,INDEX(tblBuyerOutputs[Cumul Appr],ROW()-ROW(tblBuyerOutputs[#Headers])-1)))*$O$2/12)</f>
        <v>0</v>
      </c>
      <c r="AE481" s="587">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61" t="str">
        <f t="shared" si="107"/>
        <v/>
      </c>
      <c r="B482" s="265">
        <f t="shared" si="108"/>
        <v>0</v>
      </c>
      <c r="C482" s="14">
        <f t="shared" si="105"/>
        <v>0</v>
      </c>
      <c r="D482" s="14">
        <f t="shared" si="109"/>
        <v>0</v>
      </c>
      <c r="E482" s="14">
        <f t="shared" si="106"/>
        <v>0</v>
      </c>
      <c r="F482" s="14">
        <f t="shared" si="114"/>
        <v>0</v>
      </c>
      <c r="G482" s="14">
        <f t="shared" si="114"/>
        <v>0</v>
      </c>
      <c r="H482" s="14">
        <f t="shared" si="103"/>
        <v>0</v>
      </c>
      <c r="I482" s="265">
        <f t="shared" si="112"/>
        <v>0</v>
      </c>
      <c r="J482" s="265">
        <f t="shared" si="113"/>
        <v>0</v>
      </c>
      <c r="K482" s="265">
        <f t="shared" si="110"/>
        <v>0</v>
      </c>
      <c r="L482" s="373">
        <f t="shared" si="101"/>
        <v>0</v>
      </c>
      <c r="M482" s="373">
        <f t="shared" si="111"/>
        <v>0</v>
      </c>
      <c r="N482" s="561"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Row],[Payment]]=0,0,$V$2)</f>
        <v>0</v>
      </c>
      <c r="U482" s="265">
        <f>IF(tblContractForDeed[[#This Row],[Princ]]=0,0,$V$3)</f>
        <v>0</v>
      </c>
      <c r="V482" s="265">
        <f>SUM(tblContractForDeed[[#This Row],[Princ]],tblContractForDeed[[#This Row],[Int]],tblContractForDeed[[#This Row],[Ins]],tblContractForDeed[[#This Row],[Taxes]])</f>
        <v>0</v>
      </c>
      <c r="W482" s="265">
        <f>SUM(INDEX(tblContractForDeed[Princ],1):INDEX(tblContractForDeed[Princ],ROW()-ROW(tblContractForDeed[#Headers])))</f>
        <v>146500</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39">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2" s="265">
        <f>IF(INDEX(tblContractForDeed[End Bal],ROW()-ROW(tblBuyerOutputs[#Headers]))&lt;=0,0,($O$6+IF(ROW()=ROW(tblBuyerOutputs[#Headers])+1,0,INDEX(tblBuyerOutputs[Cumul Appr],ROW()-ROW(tblBuyerOutputs[#Headers])-1)))*$O$2/12)</f>
        <v>0</v>
      </c>
      <c r="AE482" s="587">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61" t="str">
        <f t="shared" si="107"/>
        <v/>
      </c>
      <c r="B483" s="265">
        <f t="shared" si="108"/>
        <v>0</v>
      </c>
      <c r="C483" s="14">
        <f t="shared" si="105"/>
        <v>0</v>
      </c>
      <c r="D483" s="14">
        <f t="shared" si="109"/>
        <v>0</v>
      </c>
      <c r="E483" s="14">
        <f t="shared" si="106"/>
        <v>0</v>
      </c>
      <c r="F483" s="14">
        <f t="shared" si="114"/>
        <v>0</v>
      </c>
      <c r="G483" s="14">
        <f t="shared" si="114"/>
        <v>0</v>
      </c>
      <c r="H483" s="14">
        <f t="shared" si="103"/>
        <v>0</v>
      </c>
      <c r="I483" s="265">
        <f t="shared" si="112"/>
        <v>0</v>
      </c>
      <c r="J483" s="265">
        <f t="shared" si="113"/>
        <v>0</v>
      </c>
      <c r="K483" s="265">
        <f t="shared" si="110"/>
        <v>0</v>
      </c>
      <c r="L483" s="373">
        <f t="shared" si="101"/>
        <v>0</v>
      </c>
      <c r="M483" s="373">
        <f t="shared" si="111"/>
        <v>0</v>
      </c>
      <c r="N483" s="561"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Row],[Payment]]=0,0,$V$2)</f>
        <v>0</v>
      </c>
      <c r="U483" s="265">
        <f>IF(tblContractForDeed[[#This Row],[Princ]]=0,0,$V$3)</f>
        <v>0</v>
      </c>
      <c r="V483" s="265">
        <f>SUM(tblContractForDeed[[#This Row],[Princ]],tblContractForDeed[[#This Row],[Int]],tblContractForDeed[[#This Row],[Ins]],tblContractForDeed[[#This Row],[Taxes]])</f>
        <v>0</v>
      </c>
      <c r="W483" s="265">
        <f>SUM(INDEX(tblContractForDeed[Princ],1):INDEX(tblContractForDeed[Princ],ROW()-ROW(tblContractForDeed[#Headers])))</f>
        <v>146500</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39">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3" s="265">
        <f>IF(INDEX(tblContractForDeed[End Bal],ROW()-ROW(tblBuyerOutputs[#Headers]))&lt;=0,0,($O$6+IF(ROW()=ROW(tblBuyerOutputs[#Headers])+1,0,INDEX(tblBuyerOutputs[Cumul Appr],ROW()-ROW(tblBuyerOutputs[#Headers])-1)))*$O$2/12)</f>
        <v>0</v>
      </c>
      <c r="AE483" s="587">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61" t="str">
        <f t="shared" si="107"/>
        <v/>
      </c>
      <c r="B484" s="265">
        <f t="shared" si="108"/>
        <v>0</v>
      </c>
      <c r="C484" s="14">
        <f t="shared" si="105"/>
        <v>0</v>
      </c>
      <c r="D484" s="14">
        <f t="shared" si="109"/>
        <v>0</v>
      </c>
      <c r="E484" s="14">
        <f t="shared" si="106"/>
        <v>0</v>
      </c>
      <c r="F484" s="14">
        <f t="shared" si="114"/>
        <v>0</v>
      </c>
      <c r="G484" s="14">
        <f t="shared" si="114"/>
        <v>0</v>
      </c>
      <c r="H484" s="14">
        <f t="shared" si="103"/>
        <v>0</v>
      </c>
      <c r="I484" s="265">
        <f t="shared" si="112"/>
        <v>0</v>
      </c>
      <c r="J484" s="265">
        <f t="shared" si="113"/>
        <v>0</v>
      </c>
      <c r="K484" s="265">
        <f t="shared" si="110"/>
        <v>0</v>
      </c>
      <c r="L484" s="373">
        <f t="shared" si="101"/>
        <v>0</v>
      </c>
      <c r="M484" s="373">
        <f t="shared" si="111"/>
        <v>0</v>
      </c>
      <c r="N484" s="561"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Row],[Payment]]=0,0,$V$2)</f>
        <v>0</v>
      </c>
      <c r="U484" s="265">
        <f>IF(tblContractForDeed[[#This Row],[Princ]]=0,0,$V$3)</f>
        <v>0</v>
      </c>
      <c r="V484" s="265">
        <f>SUM(tblContractForDeed[[#This Row],[Princ]],tblContractForDeed[[#This Row],[Int]],tblContractForDeed[[#This Row],[Ins]],tblContractForDeed[[#This Row],[Taxes]])</f>
        <v>0</v>
      </c>
      <c r="W484" s="265">
        <f>SUM(INDEX(tblContractForDeed[Princ],1):INDEX(tblContractForDeed[Princ],ROW()-ROW(tblContractForDeed[#Headers])))</f>
        <v>146500</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39">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4" s="265">
        <f>IF(INDEX(tblContractForDeed[End Bal],ROW()-ROW(tblBuyerOutputs[#Headers]))&lt;=0,0,($O$6+IF(ROW()=ROW(tblBuyerOutputs[#Headers])+1,0,INDEX(tblBuyerOutputs[Cumul Appr],ROW()-ROW(tblBuyerOutputs[#Headers])-1)))*$O$2/12)</f>
        <v>0</v>
      </c>
      <c r="AE484" s="587">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61" t="str">
        <f t="shared" si="107"/>
        <v/>
      </c>
      <c r="B485" s="265">
        <f t="shared" si="108"/>
        <v>0</v>
      </c>
      <c r="C485" s="14">
        <f t="shared" si="105"/>
        <v>0</v>
      </c>
      <c r="D485" s="14">
        <f t="shared" si="109"/>
        <v>0</v>
      </c>
      <c r="E485" s="14">
        <f t="shared" si="106"/>
        <v>0</v>
      </c>
      <c r="F485" s="14">
        <f t="shared" si="114"/>
        <v>0</v>
      </c>
      <c r="G485" s="14">
        <f t="shared" si="114"/>
        <v>0</v>
      </c>
      <c r="H485" s="14">
        <f t="shared" si="103"/>
        <v>0</v>
      </c>
      <c r="I485" s="265">
        <f t="shared" si="112"/>
        <v>0</v>
      </c>
      <c r="J485" s="265">
        <f t="shared" si="113"/>
        <v>0</v>
      </c>
      <c r="K485" s="265">
        <f t="shared" si="110"/>
        <v>0</v>
      </c>
      <c r="L485" s="373">
        <f t="shared" si="101"/>
        <v>0</v>
      </c>
      <c r="M485" s="373">
        <f t="shared" si="111"/>
        <v>0</v>
      </c>
      <c r="N485" s="561"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Row],[Payment]]=0,0,$V$2)</f>
        <v>0</v>
      </c>
      <c r="U485" s="265">
        <f>IF(tblContractForDeed[[#This Row],[Princ]]=0,0,$V$3)</f>
        <v>0</v>
      </c>
      <c r="V485" s="265">
        <f>SUM(tblContractForDeed[[#This Row],[Princ]],tblContractForDeed[[#This Row],[Int]],tblContractForDeed[[#This Row],[Ins]],tblContractForDeed[[#This Row],[Taxes]])</f>
        <v>0</v>
      </c>
      <c r="W485" s="265">
        <f>SUM(INDEX(tblContractForDeed[Princ],1):INDEX(tblContractForDeed[Princ],ROW()-ROW(tblContractForDeed[#Headers])))</f>
        <v>146500</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39">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5" s="265">
        <f>IF(INDEX(tblContractForDeed[End Bal],ROW()-ROW(tblBuyerOutputs[#Headers]))&lt;=0,0,($O$6+IF(ROW()=ROW(tblBuyerOutputs[#Headers])+1,0,INDEX(tblBuyerOutputs[Cumul Appr],ROW()-ROW(tblBuyerOutputs[#Headers])-1)))*$O$2/12)</f>
        <v>0</v>
      </c>
      <c r="AE485" s="587">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61" t="str">
        <f t="shared" si="107"/>
        <v/>
      </c>
      <c r="B486" s="265">
        <f t="shared" si="108"/>
        <v>0</v>
      </c>
      <c r="C486" s="14">
        <f t="shared" si="105"/>
        <v>0</v>
      </c>
      <c r="D486" s="14">
        <f t="shared" si="109"/>
        <v>0</v>
      </c>
      <c r="E486" s="14">
        <f t="shared" si="106"/>
        <v>0</v>
      </c>
      <c r="F486" s="14">
        <f t="shared" si="114"/>
        <v>0</v>
      </c>
      <c r="G486" s="14">
        <f t="shared" si="114"/>
        <v>0</v>
      </c>
      <c r="H486" s="14">
        <f t="shared" si="103"/>
        <v>0</v>
      </c>
      <c r="I486" s="265">
        <f t="shared" si="112"/>
        <v>0</v>
      </c>
      <c r="J486" s="265">
        <f t="shared" si="113"/>
        <v>0</v>
      </c>
      <c r="K486" s="265">
        <f t="shared" si="110"/>
        <v>0</v>
      </c>
      <c r="L486" s="373">
        <f t="shared" si="101"/>
        <v>0</v>
      </c>
      <c r="M486" s="373">
        <f t="shared" si="111"/>
        <v>0</v>
      </c>
      <c r="N486" s="561"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Row],[Payment]]=0,0,$V$2)</f>
        <v>0</v>
      </c>
      <c r="U486" s="265">
        <f>IF(tblContractForDeed[[#This Row],[Princ]]=0,0,$V$3)</f>
        <v>0</v>
      </c>
      <c r="V486" s="265">
        <f>SUM(tblContractForDeed[[#This Row],[Princ]],tblContractForDeed[[#This Row],[Int]],tblContractForDeed[[#This Row],[Ins]],tblContractForDeed[[#This Row],[Taxes]])</f>
        <v>0</v>
      </c>
      <c r="W486" s="265">
        <f>SUM(INDEX(tblContractForDeed[Princ],1):INDEX(tblContractForDeed[Princ],ROW()-ROW(tblContractForDeed[#Headers])))</f>
        <v>146500</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39">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6" s="265">
        <f>IF(INDEX(tblContractForDeed[End Bal],ROW()-ROW(tblBuyerOutputs[#Headers]))&lt;=0,0,($O$6+IF(ROW()=ROW(tblBuyerOutputs[#Headers])+1,0,INDEX(tblBuyerOutputs[Cumul Appr],ROW()-ROW(tblBuyerOutputs[#Headers])-1)))*$O$2/12)</f>
        <v>0</v>
      </c>
      <c r="AE486" s="587">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62" t="str">
        <f t="shared" si="107"/>
        <v/>
      </c>
      <c r="B487" s="316">
        <f t="shared" si="108"/>
        <v>0</v>
      </c>
      <c r="C487" s="21">
        <f t="shared" si="105"/>
        <v>0</v>
      </c>
      <c r="D487" s="21">
        <f t="shared" si="109"/>
        <v>0</v>
      </c>
      <c r="E487" s="21">
        <f t="shared" si="106"/>
        <v>0</v>
      </c>
      <c r="F487" s="21">
        <f t="shared" si="114"/>
        <v>0</v>
      </c>
      <c r="G487" s="21">
        <f t="shared" si="114"/>
        <v>0</v>
      </c>
      <c r="H487" s="21">
        <f t="shared" si="103"/>
        <v>0</v>
      </c>
      <c r="I487" s="316">
        <f t="shared" si="112"/>
        <v>0</v>
      </c>
      <c r="J487" s="316">
        <f t="shared" si="113"/>
        <v>0</v>
      </c>
      <c r="K487" s="316">
        <f t="shared" si="110"/>
        <v>0</v>
      </c>
      <c r="L487" s="374">
        <f t="shared" si="101"/>
        <v>0</v>
      </c>
      <c r="M487" s="374">
        <f t="shared" si="111"/>
        <v>0</v>
      </c>
      <c r="N487" s="562" t="str">
        <f>INDEX(tblSubjectToLoan[Date],ROW()-ROW(tblContractForDeed[#Headers]))</f>
        <v/>
      </c>
      <c r="O487" s="316">
        <f>IF(ROW()=ROW(tblContractForDeed[#Headers])+1,$O$6,IF(INDEX(tblContractForDeed[End Bal],ROW()-ROW(tblContractForDeed[#Headers])-1)&lt;0,0,INDEX(tblContractForDeed[End Bal],ROW()-ROW(tblContractForDeed[#Headers])-1)))</f>
        <v>0</v>
      </c>
      <c r="P487" s="585"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Row],[Payment]]=0,0,$V$2)</f>
        <v>0</v>
      </c>
      <c r="U487" s="316">
        <f>IF(tblContractForDeed[[#This Row],[Princ]]=0,0,$V$3)</f>
        <v>0</v>
      </c>
      <c r="V487" s="316">
        <f>SUM(tblContractForDeed[[#This Row],[Princ]],tblContractForDeed[[#This Row],[Int]],tblContractForDeed[[#This Row],[Ins]],tblContractForDeed[[#This Row],[Taxes]])</f>
        <v>0</v>
      </c>
      <c r="W487" s="316">
        <f>SUM(INDEX(tblContractForDeed[Princ],1):INDEX(tblContractForDeed[Princ],ROW()-ROW(tblContractForDeed[#Headers])))</f>
        <v>146500</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0">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7" s="316">
        <f>IF(INDEX(tblContractForDeed[End Bal],ROW()-ROW(tblBuyerOutputs[#Headers]))&lt;=0,0,($O$6+IF(ROW()=ROW(tblBuyerOutputs[#Headers])+1,0,INDEX(tblBuyerOutputs[Cumul Appr],ROW()-ROW(tblBuyerOutputs[#Headers])-1)))*$O$2/12)</f>
        <v>0</v>
      </c>
      <c r="AE487" s="588">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61" t="str">
        <f t="shared" si="107"/>
        <v/>
      </c>
      <c r="B488" s="265">
        <f t="shared" si="108"/>
        <v>0</v>
      </c>
      <c r="C488" s="14">
        <f t="shared" si="105"/>
        <v>0</v>
      </c>
      <c r="D488" s="14">
        <f t="shared" si="109"/>
        <v>0</v>
      </c>
      <c r="E488" s="14">
        <f t="shared" si="106"/>
        <v>0</v>
      </c>
      <c r="F488" s="14">
        <f t="shared" si="114"/>
        <v>0</v>
      </c>
      <c r="G488" s="14">
        <f t="shared" si="114"/>
        <v>0</v>
      </c>
      <c r="H488" s="14">
        <f t="shared" si="103"/>
        <v>0</v>
      </c>
      <c r="I488" s="265">
        <f t="shared" si="112"/>
        <v>0</v>
      </c>
      <c r="J488" s="265">
        <f t="shared" si="113"/>
        <v>0</v>
      </c>
      <c r="K488" s="265">
        <f t="shared" si="110"/>
        <v>0</v>
      </c>
      <c r="L488" s="373">
        <f t="shared" si="101"/>
        <v>0</v>
      </c>
      <c r="M488" s="373">
        <f t="shared" si="111"/>
        <v>0</v>
      </c>
      <c r="N488" s="561"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Row],[Payment]]=0,0,$V$2)</f>
        <v>0</v>
      </c>
      <c r="U488" s="265">
        <f>IF(tblContractForDeed[[#This Row],[Princ]]=0,0,$V$3)</f>
        <v>0</v>
      </c>
      <c r="V488" s="265">
        <f>SUM(tblContractForDeed[[#This Row],[Princ]],tblContractForDeed[[#This Row],[Int]],tblContractForDeed[[#This Row],[Ins]],tblContractForDeed[[#This Row],[Taxes]])</f>
        <v>0</v>
      </c>
      <c r="W488" s="265">
        <f>SUM(INDEX(tblContractForDeed[Princ],1):INDEX(tblContractForDeed[Princ],ROW()-ROW(tblContractForDeed[#Headers])))</f>
        <v>146500</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39">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8" s="265">
        <f>IF(INDEX(tblContractForDeed[End Bal],ROW()-ROW(tblBuyerOutputs[#Headers]))&lt;=0,0,($O$6+IF(ROW()=ROW(tblBuyerOutputs[#Headers])+1,0,INDEX(tblBuyerOutputs[Cumul Appr],ROW()-ROW(tblBuyerOutputs[#Headers])-1)))*$O$2/12)</f>
        <v>0</v>
      </c>
      <c r="AE488" s="587">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61" t="str">
        <f t="shared" si="107"/>
        <v/>
      </c>
      <c r="B489" s="265">
        <f t="shared" si="108"/>
        <v>0</v>
      </c>
      <c r="C489" s="14">
        <f t="shared" si="105"/>
        <v>0</v>
      </c>
      <c r="D489" s="14">
        <f t="shared" si="109"/>
        <v>0</v>
      </c>
      <c r="E489" s="14">
        <f t="shared" si="106"/>
        <v>0</v>
      </c>
      <c r="F489" s="14">
        <f t="shared" si="114"/>
        <v>0</v>
      </c>
      <c r="G489" s="14">
        <f t="shared" si="114"/>
        <v>0</v>
      </c>
      <c r="H489" s="14">
        <f t="shared" si="103"/>
        <v>0</v>
      </c>
      <c r="I489" s="265">
        <f t="shared" si="112"/>
        <v>0</v>
      </c>
      <c r="J489" s="265">
        <f t="shared" si="113"/>
        <v>0</v>
      </c>
      <c r="K489" s="265">
        <f t="shared" si="110"/>
        <v>0</v>
      </c>
      <c r="L489" s="373">
        <f t="shared" si="101"/>
        <v>0</v>
      </c>
      <c r="M489" s="373">
        <f t="shared" si="111"/>
        <v>0</v>
      </c>
      <c r="N489" s="561"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Row],[Payment]]=0,0,$V$2)</f>
        <v>0</v>
      </c>
      <c r="U489" s="265">
        <f>IF(tblContractForDeed[[#This Row],[Princ]]=0,0,$V$3)</f>
        <v>0</v>
      </c>
      <c r="V489" s="265">
        <f>SUM(tblContractForDeed[[#This Row],[Princ]],tblContractForDeed[[#This Row],[Int]],tblContractForDeed[[#This Row],[Ins]],tblContractForDeed[[#This Row],[Taxes]])</f>
        <v>0</v>
      </c>
      <c r="W489" s="265">
        <f>SUM(INDEX(tblContractForDeed[Princ],1):INDEX(tblContractForDeed[Princ],ROW()-ROW(tblContractForDeed[#Headers])))</f>
        <v>146500</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39">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9" s="265">
        <f>IF(INDEX(tblContractForDeed[End Bal],ROW()-ROW(tblBuyerOutputs[#Headers]))&lt;=0,0,($O$6+IF(ROW()=ROW(tblBuyerOutputs[#Headers])+1,0,INDEX(tblBuyerOutputs[Cumul Appr],ROW()-ROW(tblBuyerOutputs[#Headers])-1)))*$O$2/12)</f>
        <v>0</v>
      </c>
      <c r="AE489" s="587">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61" t="str">
        <f t="shared" si="107"/>
        <v/>
      </c>
      <c r="B490" s="265">
        <f t="shared" si="108"/>
        <v>0</v>
      </c>
      <c r="C490" s="14">
        <f t="shared" si="105"/>
        <v>0</v>
      </c>
      <c r="D490" s="14">
        <f t="shared" si="109"/>
        <v>0</v>
      </c>
      <c r="E490" s="14">
        <f t="shared" si="106"/>
        <v>0</v>
      </c>
      <c r="F490" s="14">
        <f t="shared" si="114"/>
        <v>0</v>
      </c>
      <c r="G490" s="14">
        <f t="shared" si="114"/>
        <v>0</v>
      </c>
      <c r="H490" s="14">
        <f t="shared" si="103"/>
        <v>0</v>
      </c>
      <c r="I490" s="265">
        <f t="shared" si="112"/>
        <v>0</v>
      </c>
      <c r="J490" s="265">
        <f t="shared" si="113"/>
        <v>0</v>
      </c>
      <c r="K490" s="265">
        <f t="shared" si="110"/>
        <v>0</v>
      </c>
      <c r="L490" s="373">
        <f t="shared" si="101"/>
        <v>0</v>
      </c>
      <c r="M490" s="373">
        <f t="shared" si="111"/>
        <v>0</v>
      </c>
      <c r="N490" s="561"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Row],[Payment]]=0,0,$V$2)</f>
        <v>0</v>
      </c>
      <c r="U490" s="265">
        <f>IF(tblContractForDeed[[#This Row],[Princ]]=0,0,$V$3)</f>
        <v>0</v>
      </c>
      <c r="V490" s="265">
        <f>SUM(tblContractForDeed[[#This Row],[Princ]],tblContractForDeed[[#This Row],[Int]],tblContractForDeed[[#This Row],[Ins]],tblContractForDeed[[#This Row],[Taxes]])</f>
        <v>0</v>
      </c>
      <c r="W490" s="265">
        <f>SUM(INDEX(tblContractForDeed[Princ],1):INDEX(tblContractForDeed[Princ],ROW()-ROW(tblContractForDeed[#Headers])))</f>
        <v>146500</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39">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0" s="265">
        <f>IF(INDEX(tblContractForDeed[End Bal],ROW()-ROW(tblBuyerOutputs[#Headers]))&lt;=0,0,($O$6+IF(ROW()=ROW(tblBuyerOutputs[#Headers])+1,0,INDEX(tblBuyerOutputs[Cumul Appr],ROW()-ROW(tblBuyerOutputs[#Headers])-1)))*$O$2/12)</f>
        <v>0</v>
      </c>
      <c r="AE490" s="587">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61" t="str">
        <f t="shared" si="107"/>
        <v/>
      </c>
      <c r="B491" s="265">
        <f t="shared" si="108"/>
        <v>0</v>
      </c>
      <c r="C491" s="14">
        <f t="shared" si="105"/>
        <v>0</v>
      </c>
      <c r="D491" s="14">
        <f t="shared" si="109"/>
        <v>0</v>
      </c>
      <c r="E491" s="14">
        <f t="shared" si="106"/>
        <v>0</v>
      </c>
      <c r="F491" s="14">
        <f t="shared" si="114"/>
        <v>0</v>
      </c>
      <c r="G491" s="14">
        <f t="shared" si="114"/>
        <v>0</v>
      </c>
      <c r="H491" s="14">
        <f t="shared" si="103"/>
        <v>0</v>
      </c>
      <c r="I491" s="265">
        <f t="shared" si="112"/>
        <v>0</v>
      </c>
      <c r="J491" s="265">
        <f t="shared" si="113"/>
        <v>0</v>
      </c>
      <c r="K491" s="265">
        <f t="shared" si="110"/>
        <v>0</v>
      </c>
      <c r="L491" s="373">
        <f t="shared" si="101"/>
        <v>0</v>
      </c>
      <c r="M491" s="373">
        <f t="shared" si="111"/>
        <v>0</v>
      </c>
      <c r="N491" s="561"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Row],[Payment]]=0,0,$V$2)</f>
        <v>0</v>
      </c>
      <c r="U491" s="265">
        <f>IF(tblContractForDeed[[#This Row],[Princ]]=0,0,$V$3)</f>
        <v>0</v>
      </c>
      <c r="V491" s="265">
        <f>SUM(tblContractForDeed[[#This Row],[Princ]],tblContractForDeed[[#This Row],[Int]],tblContractForDeed[[#This Row],[Ins]],tblContractForDeed[[#This Row],[Taxes]])</f>
        <v>0</v>
      </c>
      <c r="W491" s="265">
        <f>SUM(INDEX(tblContractForDeed[Princ],1):INDEX(tblContractForDeed[Princ],ROW()-ROW(tblContractForDeed[#Headers])))</f>
        <v>146500</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39">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1" s="265">
        <f>IF(INDEX(tblContractForDeed[End Bal],ROW()-ROW(tblBuyerOutputs[#Headers]))&lt;=0,0,($O$6+IF(ROW()=ROW(tblBuyerOutputs[#Headers])+1,0,INDEX(tblBuyerOutputs[Cumul Appr],ROW()-ROW(tblBuyerOutputs[#Headers])-1)))*$O$2/12)</f>
        <v>0</v>
      </c>
      <c r="AE491" s="587">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61" t="str">
        <f t="shared" si="107"/>
        <v/>
      </c>
      <c r="B492" s="265">
        <f t="shared" si="108"/>
        <v>0</v>
      </c>
      <c r="C492" s="14">
        <f t="shared" si="105"/>
        <v>0</v>
      </c>
      <c r="D492" s="14">
        <f t="shared" si="109"/>
        <v>0</v>
      </c>
      <c r="E492" s="14">
        <f t="shared" si="106"/>
        <v>0</v>
      </c>
      <c r="F492" s="14">
        <f t="shared" si="114"/>
        <v>0</v>
      </c>
      <c r="G492" s="14">
        <f t="shared" si="114"/>
        <v>0</v>
      </c>
      <c r="H492" s="14">
        <f t="shared" si="103"/>
        <v>0</v>
      </c>
      <c r="I492" s="265">
        <f t="shared" si="112"/>
        <v>0</v>
      </c>
      <c r="J492" s="265">
        <f t="shared" si="113"/>
        <v>0</v>
      </c>
      <c r="K492" s="265">
        <f t="shared" si="110"/>
        <v>0</v>
      </c>
      <c r="L492" s="373">
        <f t="shared" si="101"/>
        <v>0</v>
      </c>
      <c r="M492" s="373">
        <f t="shared" si="111"/>
        <v>0</v>
      </c>
      <c r="N492" s="561"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Row],[Payment]]=0,0,$V$2)</f>
        <v>0</v>
      </c>
      <c r="U492" s="265">
        <f>IF(tblContractForDeed[[#This Row],[Princ]]=0,0,$V$3)</f>
        <v>0</v>
      </c>
      <c r="V492" s="265">
        <f>SUM(tblContractForDeed[[#This Row],[Princ]],tblContractForDeed[[#This Row],[Int]],tblContractForDeed[[#This Row],[Ins]],tblContractForDeed[[#This Row],[Taxes]])</f>
        <v>0</v>
      </c>
      <c r="W492" s="265">
        <f>SUM(INDEX(tblContractForDeed[Princ],1):INDEX(tblContractForDeed[Princ],ROW()-ROW(tblContractForDeed[#Headers])))</f>
        <v>146500</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39">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2" s="265">
        <f>IF(INDEX(tblContractForDeed[End Bal],ROW()-ROW(tblBuyerOutputs[#Headers]))&lt;=0,0,($O$6+IF(ROW()=ROW(tblBuyerOutputs[#Headers])+1,0,INDEX(tblBuyerOutputs[Cumul Appr],ROW()-ROW(tblBuyerOutputs[#Headers])-1)))*$O$2/12)</f>
        <v>0</v>
      </c>
      <c r="AE492" s="587">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61" t="str">
        <f t="shared" si="107"/>
        <v/>
      </c>
      <c r="B493" s="265">
        <f t="shared" si="108"/>
        <v>0</v>
      </c>
      <c r="C493" s="14">
        <f t="shared" si="105"/>
        <v>0</v>
      </c>
      <c r="D493" s="14">
        <f t="shared" si="109"/>
        <v>0</v>
      </c>
      <c r="E493" s="14">
        <f t="shared" si="106"/>
        <v>0</v>
      </c>
      <c r="F493" s="14">
        <f t="shared" si="114"/>
        <v>0</v>
      </c>
      <c r="G493" s="14">
        <f t="shared" si="114"/>
        <v>0</v>
      </c>
      <c r="H493" s="14">
        <f t="shared" si="103"/>
        <v>0</v>
      </c>
      <c r="I493" s="265">
        <f t="shared" si="112"/>
        <v>0</v>
      </c>
      <c r="J493" s="265">
        <f t="shared" si="113"/>
        <v>0</v>
      </c>
      <c r="K493" s="265">
        <f t="shared" si="110"/>
        <v>0</v>
      </c>
      <c r="L493" s="373">
        <f t="shared" si="101"/>
        <v>0</v>
      </c>
      <c r="M493" s="373">
        <f t="shared" si="111"/>
        <v>0</v>
      </c>
      <c r="N493" s="561"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Row],[Payment]]=0,0,$V$2)</f>
        <v>0</v>
      </c>
      <c r="U493" s="265">
        <f>IF(tblContractForDeed[[#This Row],[Princ]]=0,0,$V$3)</f>
        <v>0</v>
      </c>
      <c r="V493" s="265">
        <f>SUM(tblContractForDeed[[#This Row],[Princ]],tblContractForDeed[[#This Row],[Int]],tblContractForDeed[[#This Row],[Ins]],tblContractForDeed[[#This Row],[Taxes]])</f>
        <v>0</v>
      </c>
      <c r="W493" s="265">
        <f>SUM(INDEX(tblContractForDeed[Princ],1):INDEX(tblContractForDeed[Princ],ROW()-ROW(tblContractForDeed[#Headers])))</f>
        <v>146500</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39">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3" s="265">
        <f>IF(INDEX(tblContractForDeed[End Bal],ROW()-ROW(tblBuyerOutputs[#Headers]))&lt;=0,0,($O$6+IF(ROW()=ROW(tblBuyerOutputs[#Headers])+1,0,INDEX(tblBuyerOutputs[Cumul Appr],ROW()-ROW(tblBuyerOutputs[#Headers])-1)))*$O$2/12)</f>
        <v>0</v>
      </c>
      <c r="AE493" s="587">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61" t="str">
        <f t="shared" si="107"/>
        <v/>
      </c>
      <c r="B494" s="265">
        <f t="shared" si="108"/>
        <v>0</v>
      </c>
      <c r="C494" s="14">
        <f t="shared" si="105"/>
        <v>0</v>
      </c>
      <c r="D494" s="14">
        <f t="shared" si="109"/>
        <v>0</v>
      </c>
      <c r="E494" s="14">
        <f t="shared" si="106"/>
        <v>0</v>
      </c>
      <c r="F494" s="14">
        <f t="shared" si="114"/>
        <v>0</v>
      </c>
      <c r="G494" s="14">
        <f t="shared" si="114"/>
        <v>0</v>
      </c>
      <c r="H494" s="14">
        <f t="shared" si="103"/>
        <v>0</v>
      </c>
      <c r="I494" s="265">
        <f t="shared" si="112"/>
        <v>0</v>
      </c>
      <c r="J494" s="265">
        <f t="shared" si="113"/>
        <v>0</v>
      </c>
      <c r="K494" s="265">
        <f t="shared" si="110"/>
        <v>0</v>
      </c>
      <c r="L494" s="373">
        <f t="shared" si="101"/>
        <v>0</v>
      </c>
      <c r="M494" s="373">
        <f t="shared" si="111"/>
        <v>0</v>
      </c>
      <c r="N494" s="561"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Row],[Payment]]=0,0,$V$2)</f>
        <v>0</v>
      </c>
      <c r="U494" s="265">
        <f>IF(tblContractForDeed[[#This Row],[Princ]]=0,0,$V$3)</f>
        <v>0</v>
      </c>
      <c r="V494" s="265">
        <f>SUM(tblContractForDeed[[#This Row],[Princ]],tblContractForDeed[[#This Row],[Int]],tblContractForDeed[[#This Row],[Ins]],tblContractForDeed[[#This Row],[Taxes]])</f>
        <v>0</v>
      </c>
      <c r="W494" s="265">
        <f>SUM(INDEX(tblContractForDeed[Princ],1):INDEX(tblContractForDeed[Princ],ROW()-ROW(tblContractForDeed[#Headers])))</f>
        <v>146500</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39">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4" s="265">
        <f>IF(INDEX(tblContractForDeed[End Bal],ROW()-ROW(tblBuyerOutputs[#Headers]))&lt;=0,0,($O$6+IF(ROW()=ROW(tblBuyerOutputs[#Headers])+1,0,INDEX(tblBuyerOutputs[Cumul Appr],ROW()-ROW(tblBuyerOutputs[#Headers])-1)))*$O$2/12)</f>
        <v>0</v>
      </c>
      <c r="AE494" s="587">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61" t="str">
        <f t="shared" si="107"/>
        <v/>
      </c>
      <c r="B495" s="265">
        <f t="shared" si="108"/>
        <v>0</v>
      </c>
      <c r="C495" s="14">
        <f t="shared" si="105"/>
        <v>0</v>
      </c>
      <c r="D495" s="14">
        <f t="shared" si="109"/>
        <v>0</v>
      </c>
      <c r="E495" s="14">
        <f t="shared" si="106"/>
        <v>0</v>
      </c>
      <c r="F495" s="14">
        <f t="shared" ref="F495:G495" si="115">+F494</f>
        <v>0</v>
      </c>
      <c r="G495" s="14">
        <f t="shared" si="115"/>
        <v>0</v>
      </c>
      <c r="H495" s="14">
        <f t="shared" si="103"/>
        <v>0</v>
      </c>
      <c r="I495" s="265">
        <f t="shared" si="112"/>
        <v>0</v>
      </c>
      <c r="J495" s="265">
        <f t="shared" si="113"/>
        <v>0</v>
      </c>
      <c r="K495" s="265">
        <f t="shared" si="110"/>
        <v>0</v>
      </c>
      <c r="L495" s="373">
        <f t="shared" si="101"/>
        <v>0</v>
      </c>
      <c r="M495" s="373">
        <f t="shared" si="111"/>
        <v>0</v>
      </c>
      <c r="N495" s="561"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Row],[Payment]]=0,0,$V$2)</f>
        <v>0</v>
      </c>
      <c r="U495" s="265">
        <f>IF(tblContractForDeed[[#This Row],[Princ]]=0,0,$V$3)</f>
        <v>0</v>
      </c>
      <c r="V495" s="265">
        <f>SUM(tblContractForDeed[[#This Row],[Princ]],tblContractForDeed[[#This Row],[Int]],tblContractForDeed[[#This Row],[Ins]],tblContractForDeed[[#This Row],[Taxes]])</f>
        <v>0</v>
      </c>
      <c r="W495" s="265">
        <f>SUM(INDEX(tblContractForDeed[Princ],1):INDEX(tblContractForDeed[Princ],ROW()-ROW(tblContractForDeed[#Headers])))</f>
        <v>146500</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39">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5" s="265">
        <f>IF(INDEX(tblContractForDeed[End Bal],ROW()-ROW(tblBuyerOutputs[#Headers]))&lt;=0,0,($O$6+IF(ROW()=ROW(tblBuyerOutputs[#Headers])+1,0,INDEX(tblBuyerOutputs[Cumul Appr],ROW()-ROW(tblBuyerOutputs[#Headers])-1)))*$O$2/12)</f>
        <v>0</v>
      </c>
      <c r="AE495" s="587">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61" t="str">
        <f t="shared" si="107"/>
        <v/>
      </c>
      <c r="B496" s="265">
        <f t="shared" si="108"/>
        <v>0</v>
      </c>
      <c r="C496" s="14">
        <f t="shared" si="105"/>
        <v>0</v>
      </c>
      <c r="D496" s="14">
        <f t="shared" si="109"/>
        <v>0</v>
      </c>
      <c r="E496" s="14">
        <f t="shared" si="106"/>
        <v>0</v>
      </c>
      <c r="K496" s="265">
        <f t="shared" si="110"/>
        <v>0</v>
      </c>
      <c r="L496" s="373">
        <f t="shared" si="101"/>
        <v>0</v>
      </c>
      <c r="M496" s="373">
        <f t="shared" si="111"/>
        <v>0</v>
      </c>
      <c r="N496" s="561"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Row],[Payment]]=0,0,$V$2)</f>
        <v>0</v>
      </c>
      <c r="U496" s="14">
        <f>IF(tblContractForDeed[[#This Row],[Princ]]=0,0,$V$3)</f>
        <v>0</v>
      </c>
      <c r="V496" s="14">
        <f>SUM(tblContractForDeed[[#This Row],[Princ]],tblContractForDeed[[#This Row],[Int]],tblContractForDeed[[#This Row],[Ins]],tblContractForDeed[[#This Row],[Taxes]])</f>
        <v>0</v>
      </c>
      <c r="W496" s="265">
        <f>SUM(INDEX(tblContractForDeed[Princ],1):INDEX(tblContractForDeed[Princ],ROW()-ROW(tblContractForDeed[#Headers])))</f>
        <v>146500</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39">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6" s="265">
        <f>IF(INDEX(tblContractForDeed[End Bal],ROW()-ROW(tblBuyerOutputs[#Headers]))&lt;=0,0,($O$6+IF(ROW()=ROW(tblBuyerOutputs[#Headers])+1,0,INDEX(tblBuyerOutputs[Cumul Appr],ROW()-ROW(tblBuyerOutputs[#Headers])-1)))*$O$2/12)</f>
        <v>0</v>
      </c>
      <c r="AE496" s="587">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61" t="str">
        <f t="shared" si="107"/>
        <v/>
      </c>
      <c r="B497" s="265">
        <f t="shared" si="108"/>
        <v>0</v>
      </c>
      <c r="C497" s="14">
        <f t="shared" si="105"/>
        <v>0</v>
      </c>
      <c r="D497" s="14">
        <f t="shared" si="109"/>
        <v>0</v>
      </c>
      <c r="E497" s="14">
        <f t="shared" si="106"/>
        <v>0</v>
      </c>
      <c r="K497" s="265">
        <f t="shared" si="110"/>
        <v>0</v>
      </c>
      <c r="L497" s="373">
        <f t="shared" si="101"/>
        <v>0</v>
      </c>
      <c r="M497" s="373">
        <f t="shared" si="111"/>
        <v>0</v>
      </c>
      <c r="N497" s="561"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Row],[Payment]]=0,0,$V$2)</f>
        <v>0</v>
      </c>
      <c r="U497" s="14">
        <f>IF(tblContractForDeed[[#This Row],[Princ]]=0,0,$V$3)</f>
        <v>0</v>
      </c>
      <c r="V497" s="14">
        <f>SUM(tblContractForDeed[[#This Row],[Princ]],tblContractForDeed[[#This Row],[Int]],tblContractForDeed[[#This Row],[Ins]],tblContractForDeed[[#This Row],[Taxes]])</f>
        <v>0</v>
      </c>
      <c r="W497" s="265">
        <f>SUM(INDEX(tblContractForDeed[Princ],1):INDEX(tblContractForDeed[Princ],ROW()-ROW(tblContractForDeed[#Headers])))</f>
        <v>146500</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39">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7" s="265">
        <f>IF(INDEX(tblContractForDeed[End Bal],ROW()-ROW(tblBuyerOutputs[#Headers]))&lt;=0,0,($O$6+IF(ROW()=ROW(tblBuyerOutputs[#Headers])+1,0,INDEX(tblBuyerOutputs[Cumul Appr],ROW()-ROW(tblBuyerOutputs[#Headers])-1)))*$O$2/12)</f>
        <v>0</v>
      </c>
      <c r="AE497" s="587">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61" t="str">
        <f t="shared" si="107"/>
        <v/>
      </c>
      <c r="B498" s="265">
        <f t="shared" si="108"/>
        <v>0</v>
      </c>
      <c r="C498" s="14">
        <f t="shared" si="105"/>
        <v>0</v>
      </c>
      <c r="D498" s="14">
        <f t="shared" si="109"/>
        <v>0</v>
      </c>
      <c r="E498" s="14">
        <f t="shared" si="106"/>
        <v>0</v>
      </c>
      <c r="K498" s="265">
        <f t="shared" si="110"/>
        <v>0</v>
      </c>
      <c r="L498" s="373">
        <f t="shared" si="101"/>
        <v>0</v>
      </c>
      <c r="M498" s="373">
        <f t="shared" si="111"/>
        <v>0</v>
      </c>
      <c r="N498" s="561"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Row],[Payment]]=0,0,$V$2)</f>
        <v>0</v>
      </c>
      <c r="U498" s="14">
        <f>IF(tblContractForDeed[[#This Row],[Princ]]=0,0,$V$3)</f>
        <v>0</v>
      </c>
      <c r="V498" s="14">
        <f>SUM(tblContractForDeed[[#This Row],[Princ]],tblContractForDeed[[#This Row],[Int]],tblContractForDeed[[#This Row],[Ins]],tblContractForDeed[[#This Row],[Taxes]])</f>
        <v>0</v>
      </c>
      <c r="W498" s="265">
        <f>SUM(INDEX(tblContractForDeed[Princ],1):INDEX(tblContractForDeed[Princ],ROW()-ROW(tblContractForDeed[#Headers])))</f>
        <v>146500</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39">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8" s="265">
        <f>IF(INDEX(tblContractForDeed[End Bal],ROW()-ROW(tblBuyerOutputs[#Headers]))&lt;=0,0,($O$6+IF(ROW()=ROW(tblBuyerOutputs[#Headers])+1,0,INDEX(tblBuyerOutputs[Cumul Appr],ROW()-ROW(tblBuyerOutputs[#Headers])-1)))*$O$2/12)</f>
        <v>0</v>
      </c>
      <c r="AE498" s="587">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62" t="str">
        <f t="shared" si="107"/>
        <v/>
      </c>
      <c r="B499" s="316">
        <f t="shared" si="108"/>
        <v>0</v>
      </c>
      <c r="C499" s="21">
        <f t="shared" si="105"/>
        <v>0</v>
      </c>
      <c r="D499" s="21">
        <f t="shared" si="109"/>
        <v>0</v>
      </c>
      <c r="E499" s="21">
        <f t="shared" si="106"/>
        <v>0</v>
      </c>
      <c r="F499" s="21"/>
      <c r="G499" s="21"/>
      <c r="H499" s="21"/>
      <c r="I499" s="316"/>
      <c r="J499" s="316"/>
      <c r="K499" s="316">
        <f t="shared" si="110"/>
        <v>0</v>
      </c>
      <c r="L499" s="374">
        <f t="shared" si="101"/>
        <v>0</v>
      </c>
      <c r="M499" s="374">
        <f t="shared" si="111"/>
        <v>0</v>
      </c>
      <c r="N499" s="562" t="str">
        <f>INDEX(tblSubjectToLoan[Date],ROW()-ROW(tblContractForDeed[#Headers]))</f>
        <v/>
      </c>
      <c r="O499" s="265">
        <f>IF(ROW()=ROW(tblContractForDeed[#Headers])+1,$O$6,IF(INDEX(tblContractForDeed[End Bal],ROW()-ROW(tblContractForDeed[#Headers])-1)&lt;0,0,INDEX(tblContractForDeed[End Bal],ROW()-ROW(tblContractForDeed[#Headers])-1)))</f>
        <v>0</v>
      </c>
      <c r="P499" s="585"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Row],[Payment]]=0,0,$V$2)</f>
        <v>0</v>
      </c>
      <c r="U499" s="14">
        <f>IF(tblContractForDeed[[#This Row],[Princ]]=0,0,$V$3)</f>
        <v>0</v>
      </c>
      <c r="V499" s="14">
        <f>SUM(tblContractForDeed[[#This Row],[Princ]],tblContractForDeed[[#This Row],[Int]],tblContractForDeed[[#This Row],[Ins]],tblContractForDeed[[#This Row],[Taxes]])</f>
        <v>0</v>
      </c>
      <c r="W499" s="265">
        <f>SUM(INDEX(tblContractForDeed[Princ],1):INDEX(tblContractForDeed[Princ],ROW()-ROW(tblContractForDeed[#Headers])))</f>
        <v>146500</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39">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9" s="316">
        <f>IF(INDEX(tblContractForDeed[End Bal],ROW()-ROW(tblBuyerOutputs[#Headers]))&lt;=0,0,($O$6+IF(ROW()=ROW(tblBuyerOutputs[#Headers])+1,0,INDEX(tblBuyerOutputs[Cumul Appr],ROW()-ROW(tblBuyerOutputs[#Headers])-1)))*$O$2/12)</f>
        <v>0</v>
      </c>
      <c r="AE499" s="588">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61" t="str">
        <f t="shared" si="107"/>
        <v/>
      </c>
      <c r="B500" s="265">
        <f t="shared" si="108"/>
        <v>0</v>
      </c>
      <c r="C500" s="14">
        <f t="shared" si="105"/>
        <v>0</v>
      </c>
      <c r="D500" s="14">
        <f t="shared" si="109"/>
        <v>0</v>
      </c>
      <c r="E500" s="14">
        <f t="shared" si="106"/>
        <v>0</v>
      </c>
      <c r="K500" s="265">
        <f t="shared" si="110"/>
        <v>0</v>
      </c>
      <c r="L500" s="373">
        <f t="shared" ref="L500:L563" si="116">IF(MOD(M500,12)=0,M500/12,L499)</f>
        <v>0</v>
      </c>
      <c r="M500" s="373">
        <f t="shared" si="111"/>
        <v>0</v>
      </c>
      <c r="N500" s="561"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Row],[Payment]]=0,0,$V$2)</f>
        <v>0</v>
      </c>
      <c r="U500" s="14">
        <f>IF(tblContractForDeed[[#This Row],[Princ]]=0,0,$V$3)</f>
        <v>0</v>
      </c>
      <c r="V500" s="14">
        <f>SUM(tblContractForDeed[[#This Row],[Princ]],tblContractForDeed[[#This Row],[Int]],tblContractForDeed[[#This Row],[Ins]],tblContractForDeed[[#This Row],[Taxes]])</f>
        <v>0</v>
      </c>
      <c r="W500" s="265">
        <f>SUM(INDEX(tblContractForDeed[Princ],1):INDEX(tblContractForDeed[Princ],ROW()-ROW(tblContractForDeed[#Headers])))</f>
        <v>146500</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39">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0" s="265">
        <f>IF(INDEX(tblContractForDeed[End Bal],ROW()-ROW(tblBuyerOutputs[#Headers]))&lt;=0,0,($O$6+IF(ROW()=ROW(tblBuyerOutputs[#Headers])+1,0,INDEX(tblBuyerOutputs[Cumul Appr],ROW()-ROW(tblBuyerOutputs[#Headers])-1)))*$O$2/12)</f>
        <v>0</v>
      </c>
      <c r="AE500" s="587">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61" t="str">
        <f t="shared" si="107"/>
        <v/>
      </c>
      <c r="B501" s="265">
        <f t="shared" si="108"/>
        <v>0</v>
      </c>
      <c r="C501" s="14">
        <f t="shared" si="105"/>
        <v>0</v>
      </c>
      <c r="D501" s="14">
        <f t="shared" si="109"/>
        <v>0</v>
      </c>
      <c r="E501" s="14">
        <f t="shared" si="106"/>
        <v>0</v>
      </c>
      <c r="K501" s="265">
        <f t="shared" si="110"/>
        <v>0</v>
      </c>
      <c r="L501" s="373">
        <f t="shared" si="116"/>
        <v>0</v>
      </c>
      <c r="M501" s="373">
        <f t="shared" si="111"/>
        <v>0</v>
      </c>
      <c r="N501" s="561"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Row],[Payment]]=0,0,$V$2)</f>
        <v>0</v>
      </c>
      <c r="U501" s="14">
        <f>IF(tblContractForDeed[[#This Row],[Princ]]=0,0,$V$3)</f>
        <v>0</v>
      </c>
      <c r="V501" s="14">
        <f>SUM(tblContractForDeed[[#This Row],[Princ]],tblContractForDeed[[#This Row],[Int]],tblContractForDeed[[#This Row],[Ins]],tblContractForDeed[[#This Row],[Taxes]])</f>
        <v>0</v>
      </c>
      <c r="W501" s="265">
        <f>SUM(INDEX(tblContractForDeed[Princ],1):INDEX(tblContractForDeed[Princ],ROW()-ROW(tblContractForDeed[#Headers])))</f>
        <v>146500</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39">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1" s="265">
        <f>IF(INDEX(tblContractForDeed[End Bal],ROW()-ROW(tblBuyerOutputs[#Headers]))&lt;=0,0,($O$6+IF(ROW()=ROW(tblBuyerOutputs[#Headers])+1,0,INDEX(tblBuyerOutputs[Cumul Appr],ROW()-ROW(tblBuyerOutputs[#Headers])-1)))*$O$2/12)</f>
        <v>0</v>
      </c>
      <c r="AE501" s="587">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61" t="str">
        <f t="shared" si="107"/>
        <v/>
      </c>
      <c r="B502" s="265">
        <f t="shared" si="108"/>
        <v>0</v>
      </c>
      <c r="C502" s="14">
        <f t="shared" si="105"/>
        <v>0</v>
      </c>
      <c r="D502" s="14">
        <f t="shared" si="109"/>
        <v>0</v>
      </c>
      <c r="E502" s="14">
        <f t="shared" si="106"/>
        <v>0</v>
      </c>
      <c r="K502" s="265">
        <f t="shared" si="110"/>
        <v>0</v>
      </c>
      <c r="L502" s="373">
        <f t="shared" si="116"/>
        <v>0</v>
      </c>
      <c r="M502" s="373">
        <f t="shared" si="111"/>
        <v>0</v>
      </c>
      <c r="N502" s="561"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Row],[Payment]]=0,0,$V$2)</f>
        <v>0</v>
      </c>
      <c r="U502" s="14">
        <f>IF(tblContractForDeed[[#This Row],[Princ]]=0,0,$V$3)</f>
        <v>0</v>
      </c>
      <c r="V502" s="14">
        <f>SUM(tblContractForDeed[[#This Row],[Princ]],tblContractForDeed[[#This Row],[Int]],tblContractForDeed[[#This Row],[Ins]],tblContractForDeed[[#This Row],[Taxes]])</f>
        <v>0</v>
      </c>
      <c r="W502" s="265">
        <f>SUM(INDEX(tblContractForDeed[Princ],1):INDEX(tblContractForDeed[Princ],ROW()-ROW(tblContractForDeed[#Headers])))</f>
        <v>146500</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39">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2" s="265">
        <f>IF(INDEX(tblContractForDeed[End Bal],ROW()-ROW(tblBuyerOutputs[#Headers]))&lt;=0,0,($O$6+IF(ROW()=ROW(tblBuyerOutputs[#Headers])+1,0,INDEX(tblBuyerOutputs[Cumul Appr],ROW()-ROW(tblBuyerOutputs[#Headers])-1)))*$O$2/12)</f>
        <v>0</v>
      </c>
      <c r="AE502" s="587">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61" t="str">
        <f t="shared" si="107"/>
        <v/>
      </c>
      <c r="B503" s="265">
        <f t="shared" si="108"/>
        <v>0</v>
      </c>
      <c r="C503" s="14">
        <f t="shared" si="105"/>
        <v>0</v>
      </c>
      <c r="D503" s="14">
        <f t="shared" si="109"/>
        <v>0</v>
      </c>
      <c r="E503" s="14">
        <f t="shared" si="106"/>
        <v>0</v>
      </c>
      <c r="K503" s="265">
        <f t="shared" si="110"/>
        <v>0</v>
      </c>
      <c r="L503" s="373">
        <f t="shared" si="116"/>
        <v>0</v>
      </c>
      <c r="M503" s="373">
        <f t="shared" si="111"/>
        <v>0</v>
      </c>
      <c r="N503" s="561"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Row],[Payment]]=0,0,$V$2)</f>
        <v>0</v>
      </c>
      <c r="U503" s="14">
        <f>IF(tblContractForDeed[[#This Row],[Princ]]=0,0,$V$3)</f>
        <v>0</v>
      </c>
      <c r="V503" s="14">
        <f>SUM(tblContractForDeed[[#This Row],[Princ]],tblContractForDeed[[#This Row],[Int]],tblContractForDeed[[#This Row],[Ins]],tblContractForDeed[[#This Row],[Taxes]])</f>
        <v>0</v>
      </c>
      <c r="W503" s="265">
        <f>SUM(INDEX(tblContractForDeed[Princ],1):INDEX(tblContractForDeed[Princ],ROW()-ROW(tblContractForDeed[#Headers])))</f>
        <v>146500</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39">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3" s="265">
        <f>IF(INDEX(tblContractForDeed[End Bal],ROW()-ROW(tblBuyerOutputs[#Headers]))&lt;=0,0,($O$6+IF(ROW()=ROW(tblBuyerOutputs[#Headers])+1,0,INDEX(tblBuyerOutputs[Cumul Appr],ROW()-ROW(tblBuyerOutputs[#Headers])-1)))*$O$2/12)</f>
        <v>0</v>
      </c>
      <c r="AE503" s="587">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61" t="str">
        <f t="shared" si="107"/>
        <v/>
      </c>
      <c r="B504" s="265">
        <f t="shared" si="108"/>
        <v>0</v>
      </c>
      <c r="C504" s="14">
        <f t="shared" si="105"/>
        <v>0</v>
      </c>
      <c r="D504" s="14">
        <f t="shared" si="109"/>
        <v>0</v>
      </c>
      <c r="E504" s="14">
        <f t="shared" si="106"/>
        <v>0</v>
      </c>
      <c r="K504" s="265">
        <f t="shared" si="110"/>
        <v>0</v>
      </c>
      <c r="L504" s="373">
        <f t="shared" si="116"/>
        <v>0</v>
      </c>
      <c r="M504" s="373">
        <f t="shared" si="111"/>
        <v>0</v>
      </c>
      <c r="N504" s="561"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Row],[Payment]]=0,0,$V$2)</f>
        <v>0</v>
      </c>
      <c r="U504" s="14">
        <f>IF(tblContractForDeed[[#This Row],[Princ]]=0,0,$V$3)</f>
        <v>0</v>
      </c>
      <c r="V504" s="14">
        <f>SUM(tblContractForDeed[[#This Row],[Princ]],tblContractForDeed[[#This Row],[Int]],tblContractForDeed[[#This Row],[Ins]],tblContractForDeed[[#This Row],[Taxes]])</f>
        <v>0</v>
      </c>
      <c r="W504" s="265">
        <f>SUM(INDEX(tblContractForDeed[Princ],1):INDEX(tblContractForDeed[Princ],ROW()-ROW(tblContractForDeed[#Headers])))</f>
        <v>146500</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39">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4" s="265">
        <f>IF(INDEX(tblContractForDeed[End Bal],ROW()-ROW(tblBuyerOutputs[#Headers]))&lt;=0,0,($O$6+IF(ROW()=ROW(tblBuyerOutputs[#Headers])+1,0,INDEX(tblBuyerOutputs[Cumul Appr],ROW()-ROW(tblBuyerOutputs[#Headers])-1)))*$O$2/12)</f>
        <v>0</v>
      </c>
      <c r="AE504" s="587">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61" t="str">
        <f t="shared" si="107"/>
        <v/>
      </c>
      <c r="B505" s="265">
        <f t="shared" si="108"/>
        <v>0</v>
      </c>
      <c r="C505" s="14">
        <f t="shared" si="105"/>
        <v>0</v>
      </c>
      <c r="D505" s="14">
        <f t="shared" si="109"/>
        <v>0</v>
      </c>
      <c r="E505" s="14">
        <f t="shared" si="106"/>
        <v>0</v>
      </c>
      <c r="K505" s="265">
        <f t="shared" si="110"/>
        <v>0</v>
      </c>
      <c r="L505" s="373">
        <f t="shared" si="116"/>
        <v>0</v>
      </c>
      <c r="M505" s="373">
        <f t="shared" si="111"/>
        <v>0</v>
      </c>
      <c r="N505" s="561"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Row],[Payment]]=0,0,$V$2)</f>
        <v>0</v>
      </c>
      <c r="U505" s="14">
        <f>IF(tblContractForDeed[[#This Row],[Princ]]=0,0,$V$3)</f>
        <v>0</v>
      </c>
      <c r="V505" s="14">
        <f>SUM(tblContractForDeed[[#This Row],[Princ]],tblContractForDeed[[#This Row],[Int]],tblContractForDeed[[#This Row],[Ins]],tblContractForDeed[[#This Row],[Taxes]])</f>
        <v>0</v>
      </c>
      <c r="W505" s="265">
        <f>SUM(INDEX(tblContractForDeed[Princ],1):INDEX(tblContractForDeed[Princ],ROW()-ROW(tblContractForDeed[#Headers])))</f>
        <v>146500</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39">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5" s="265">
        <f>IF(INDEX(tblContractForDeed[End Bal],ROW()-ROW(tblBuyerOutputs[#Headers]))&lt;=0,0,($O$6+IF(ROW()=ROW(tblBuyerOutputs[#Headers])+1,0,INDEX(tblBuyerOutputs[Cumul Appr],ROW()-ROW(tblBuyerOutputs[#Headers])-1)))*$O$2/12)</f>
        <v>0</v>
      </c>
      <c r="AE505" s="587">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61" t="str">
        <f t="shared" si="107"/>
        <v/>
      </c>
      <c r="B506" s="265">
        <f t="shared" si="108"/>
        <v>0</v>
      </c>
      <c r="C506" s="14">
        <f t="shared" si="105"/>
        <v>0</v>
      </c>
      <c r="D506" s="14">
        <f t="shared" si="109"/>
        <v>0</v>
      </c>
      <c r="E506" s="14">
        <f t="shared" si="106"/>
        <v>0</v>
      </c>
      <c r="K506" s="265">
        <f t="shared" si="110"/>
        <v>0</v>
      </c>
      <c r="L506" s="373">
        <f t="shared" si="116"/>
        <v>0</v>
      </c>
      <c r="M506" s="373">
        <f t="shared" si="111"/>
        <v>0</v>
      </c>
      <c r="N506" s="561"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Row],[Payment]]=0,0,$V$2)</f>
        <v>0</v>
      </c>
      <c r="U506" s="14">
        <f>IF(tblContractForDeed[[#This Row],[Princ]]=0,0,$V$3)</f>
        <v>0</v>
      </c>
      <c r="V506" s="14">
        <f>SUM(tblContractForDeed[[#This Row],[Princ]],tblContractForDeed[[#This Row],[Int]],tblContractForDeed[[#This Row],[Ins]],tblContractForDeed[[#This Row],[Taxes]])</f>
        <v>0</v>
      </c>
      <c r="W506" s="265">
        <f>SUM(INDEX(tblContractForDeed[Princ],1):INDEX(tblContractForDeed[Princ],ROW()-ROW(tblContractForDeed[#Headers])))</f>
        <v>146500</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39">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6" s="265">
        <f>IF(INDEX(tblContractForDeed[End Bal],ROW()-ROW(tblBuyerOutputs[#Headers]))&lt;=0,0,($O$6+IF(ROW()=ROW(tblBuyerOutputs[#Headers])+1,0,INDEX(tblBuyerOutputs[Cumul Appr],ROW()-ROW(tblBuyerOutputs[#Headers])-1)))*$O$2/12)</f>
        <v>0</v>
      </c>
      <c r="AE506" s="587">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61" t="str">
        <f t="shared" si="107"/>
        <v/>
      </c>
      <c r="B507" s="265">
        <f t="shared" si="108"/>
        <v>0</v>
      </c>
      <c r="C507" s="14">
        <f t="shared" si="105"/>
        <v>0</v>
      </c>
      <c r="D507" s="14">
        <f t="shared" si="109"/>
        <v>0</v>
      </c>
      <c r="E507" s="14">
        <f t="shared" si="106"/>
        <v>0</v>
      </c>
      <c r="K507" s="265">
        <f t="shared" si="110"/>
        <v>0</v>
      </c>
      <c r="L507" s="373">
        <f t="shared" si="116"/>
        <v>0</v>
      </c>
      <c r="M507" s="373">
        <f t="shared" si="111"/>
        <v>0</v>
      </c>
      <c r="N507" s="561"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Row],[Payment]]=0,0,$V$2)</f>
        <v>0</v>
      </c>
      <c r="U507" s="14">
        <f>IF(tblContractForDeed[[#This Row],[Princ]]=0,0,$V$3)</f>
        <v>0</v>
      </c>
      <c r="V507" s="14">
        <f>SUM(tblContractForDeed[[#This Row],[Princ]],tblContractForDeed[[#This Row],[Int]],tblContractForDeed[[#This Row],[Ins]],tblContractForDeed[[#This Row],[Taxes]])</f>
        <v>0</v>
      </c>
      <c r="W507" s="265">
        <f>SUM(INDEX(tblContractForDeed[Princ],1):INDEX(tblContractForDeed[Princ],ROW()-ROW(tblContractForDeed[#Headers])))</f>
        <v>146500</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39">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7" s="265">
        <f>IF(INDEX(tblContractForDeed[End Bal],ROW()-ROW(tblBuyerOutputs[#Headers]))&lt;=0,0,($O$6+IF(ROW()=ROW(tblBuyerOutputs[#Headers])+1,0,INDEX(tblBuyerOutputs[Cumul Appr],ROW()-ROW(tblBuyerOutputs[#Headers])-1)))*$O$2/12)</f>
        <v>0</v>
      </c>
      <c r="AE507" s="587">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61" t="str">
        <f t="shared" si="107"/>
        <v/>
      </c>
      <c r="B508" s="265">
        <f t="shared" si="108"/>
        <v>0</v>
      </c>
      <c r="C508" s="14">
        <f t="shared" si="105"/>
        <v>0</v>
      </c>
      <c r="D508" s="14">
        <f t="shared" si="109"/>
        <v>0</v>
      </c>
      <c r="E508" s="14">
        <f t="shared" si="106"/>
        <v>0</v>
      </c>
      <c r="K508" s="265">
        <f t="shared" si="110"/>
        <v>0</v>
      </c>
      <c r="L508" s="373">
        <f t="shared" si="116"/>
        <v>0</v>
      </c>
      <c r="M508" s="373">
        <f t="shared" si="111"/>
        <v>0</v>
      </c>
      <c r="N508" s="561"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Row],[Payment]]=0,0,$V$2)</f>
        <v>0</v>
      </c>
      <c r="U508" s="14">
        <f>IF(tblContractForDeed[[#This Row],[Princ]]=0,0,$V$3)</f>
        <v>0</v>
      </c>
      <c r="V508" s="14">
        <f>SUM(tblContractForDeed[[#This Row],[Princ]],tblContractForDeed[[#This Row],[Int]],tblContractForDeed[[#This Row],[Ins]],tblContractForDeed[[#This Row],[Taxes]])</f>
        <v>0</v>
      </c>
      <c r="W508" s="265">
        <f>SUM(INDEX(tblContractForDeed[Princ],1):INDEX(tblContractForDeed[Princ],ROW()-ROW(tblContractForDeed[#Headers])))</f>
        <v>146500</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39">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8" s="265">
        <f>IF(INDEX(tblContractForDeed[End Bal],ROW()-ROW(tblBuyerOutputs[#Headers]))&lt;=0,0,($O$6+IF(ROW()=ROW(tblBuyerOutputs[#Headers])+1,0,INDEX(tblBuyerOutputs[Cumul Appr],ROW()-ROW(tblBuyerOutputs[#Headers])-1)))*$O$2/12)</f>
        <v>0</v>
      </c>
      <c r="AE508" s="587">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61" t="str">
        <f t="shared" si="107"/>
        <v/>
      </c>
      <c r="B509" s="265">
        <f t="shared" si="108"/>
        <v>0</v>
      </c>
      <c r="C509" s="14">
        <f t="shared" si="105"/>
        <v>0</v>
      </c>
      <c r="D509" s="14">
        <f t="shared" si="109"/>
        <v>0</v>
      </c>
      <c r="E509" s="14">
        <f t="shared" si="106"/>
        <v>0</v>
      </c>
      <c r="K509" s="265">
        <f t="shared" si="110"/>
        <v>0</v>
      </c>
      <c r="L509" s="373">
        <f t="shared" si="116"/>
        <v>0</v>
      </c>
      <c r="M509" s="373">
        <f t="shared" si="111"/>
        <v>0</v>
      </c>
      <c r="N509" s="561"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Row],[Payment]]=0,0,$V$2)</f>
        <v>0</v>
      </c>
      <c r="U509" s="14">
        <f>IF(tblContractForDeed[[#This Row],[Princ]]=0,0,$V$3)</f>
        <v>0</v>
      </c>
      <c r="V509" s="14">
        <f>SUM(tblContractForDeed[[#This Row],[Princ]],tblContractForDeed[[#This Row],[Int]],tblContractForDeed[[#This Row],[Ins]],tblContractForDeed[[#This Row],[Taxes]])</f>
        <v>0</v>
      </c>
      <c r="W509" s="265">
        <f>SUM(INDEX(tblContractForDeed[Princ],1):INDEX(tblContractForDeed[Princ],ROW()-ROW(tblContractForDeed[#Headers])))</f>
        <v>146500</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39">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9" s="265">
        <f>IF(INDEX(tblContractForDeed[End Bal],ROW()-ROW(tblBuyerOutputs[#Headers]))&lt;=0,0,($O$6+IF(ROW()=ROW(tblBuyerOutputs[#Headers])+1,0,INDEX(tblBuyerOutputs[Cumul Appr],ROW()-ROW(tblBuyerOutputs[#Headers])-1)))*$O$2/12)</f>
        <v>0</v>
      </c>
      <c r="AE509" s="587">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61" t="str">
        <f t="shared" si="107"/>
        <v/>
      </c>
      <c r="B510" s="265">
        <f t="shared" si="108"/>
        <v>0</v>
      </c>
      <c r="C510" s="14">
        <f t="shared" si="105"/>
        <v>0</v>
      </c>
      <c r="D510" s="14">
        <f t="shared" si="109"/>
        <v>0</v>
      </c>
      <c r="E510" s="14">
        <f t="shared" si="106"/>
        <v>0</v>
      </c>
      <c r="K510" s="265">
        <f t="shared" si="110"/>
        <v>0</v>
      </c>
      <c r="L510" s="373">
        <f t="shared" si="116"/>
        <v>0</v>
      </c>
      <c r="M510" s="373">
        <f t="shared" si="111"/>
        <v>0</v>
      </c>
      <c r="N510" s="561"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Row],[Payment]]=0,0,$V$2)</f>
        <v>0</v>
      </c>
      <c r="U510" s="14">
        <f>IF(tblContractForDeed[[#This Row],[Princ]]=0,0,$V$3)</f>
        <v>0</v>
      </c>
      <c r="V510" s="14">
        <f>SUM(tblContractForDeed[[#This Row],[Princ]],tblContractForDeed[[#This Row],[Int]],tblContractForDeed[[#This Row],[Ins]],tblContractForDeed[[#This Row],[Taxes]])</f>
        <v>0</v>
      </c>
      <c r="W510" s="265">
        <f>SUM(INDEX(tblContractForDeed[Princ],1):INDEX(tblContractForDeed[Princ],ROW()-ROW(tblContractForDeed[#Headers])))</f>
        <v>146500</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39">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0" s="265">
        <f>IF(INDEX(tblContractForDeed[End Bal],ROW()-ROW(tblBuyerOutputs[#Headers]))&lt;=0,0,($O$6+IF(ROW()=ROW(tblBuyerOutputs[#Headers])+1,0,INDEX(tblBuyerOutputs[Cumul Appr],ROW()-ROW(tblBuyerOutputs[#Headers])-1)))*$O$2/12)</f>
        <v>0</v>
      </c>
      <c r="AE510" s="587">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62" t="str">
        <f t="shared" si="107"/>
        <v/>
      </c>
      <c r="B511" s="316">
        <f t="shared" si="108"/>
        <v>0</v>
      </c>
      <c r="C511" s="21">
        <f t="shared" si="105"/>
        <v>0</v>
      </c>
      <c r="D511" s="21">
        <f t="shared" si="109"/>
        <v>0</v>
      </c>
      <c r="E511" s="21">
        <f t="shared" si="106"/>
        <v>0</v>
      </c>
      <c r="F511" s="21"/>
      <c r="G511" s="21"/>
      <c r="H511" s="21"/>
      <c r="I511" s="316"/>
      <c r="J511" s="316"/>
      <c r="K511" s="316">
        <f t="shared" si="110"/>
        <v>0</v>
      </c>
      <c r="L511" s="374">
        <f t="shared" si="116"/>
        <v>0</v>
      </c>
      <c r="M511" s="374">
        <f t="shared" si="111"/>
        <v>0</v>
      </c>
      <c r="N511" s="562" t="str">
        <f>INDEX(tblSubjectToLoan[Date],ROW()-ROW(tblContractForDeed[#Headers]))</f>
        <v/>
      </c>
      <c r="O511" s="265">
        <f>IF(ROW()=ROW(tblContractForDeed[#Headers])+1,$O$6,IF(INDEX(tblContractForDeed[End Bal],ROW()-ROW(tblContractForDeed[#Headers])-1)&lt;0,0,INDEX(tblContractForDeed[End Bal],ROW()-ROW(tblContractForDeed[#Headers])-1)))</f>
        <v>0</v>
      </c>
      <c r="P511" s="585"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Row],[Payment]]=0,0,$V$2)</f>
        <v>0</v>
      </c>
      <c r="U511" s="14">
        <f>IF(tblContractForDeed[[#This Row],[Princ]]=0,0,$V$3)</f>
        <v>0</v>
      </c>
      <c r="V511" s="14">
        <f>SUM(tblContractForDeed[[#This Row],[Princ]],tblContractForDeed[[#This Row],[Int]],tblContractForDeed[[#This Row],[Ins]],tblContractForDeed[[#This Row],[Taxes]])</f>
        <v>0</v>
      </c>
      <c r="W511" s="265">
        <f>SUM(INDEX(tblContractForDeed[Princ],1):INDEX(tblContractForDeed[Princ],ROW()-ROW(tblContractForDeed[#Headers])))</f>
        <v>146500</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39">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1" s="316">
        <f>IF(INDEX(tblContractForDeed[End Bal],ROW()-ROW(tblBuyerOutputs[#Headers]))&lt;=0,0,($O$6+IF(ROW()=ROW(tblBuyerOutputs[#Headers])+1,0,INDEX(tblBuyerOutputs[Cumul Appr],ROW()-ROW(tblBuyerOutputs[#Headers])-1)))*$O$2/12)</f>
        <v>0</v>
      </c>
      <c r="AE511" s="588">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61" t="str">
        <f t="shared" si="107"/>
        <v/>
      </c>
      <c r="B512" s="265">
        <f t="shared" si="108"/>
        <v>0</v>
      </c>
      <c r="C512" s="14">
        <f t="shared" si="105"/>
        <v>0</v>
      </c>
      <c r="D512" s="14">
        <f t="shared" si="109"/>
        <v>0</v>
      </c>
      <c r="E512" s="14">
        <f t="shared" si="106"/>
        <v>0</v>
      </c>
      <c r="K512" s="265">
        <f t="shared" si="110"/>
        <v>0</v>
      </c>
      <c r="L512" s="373">
        <f t="shared" si="116"/>
        <v>0</v>
      </c>
      <c r="M512" s="373">
        <f t="shared" si="111"/>
        <v>0</v>
      </c>
      <c r="N512" s="561"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Row],[Payment]]=0,0,$V$2)</f>
        <v>0</v>
      </c>
      <c r="U512" s="14">
        <f>IF(tblContractForDeed[[#This Row],[Princ]]=0,0,$V$3)</f>
        <v>0</v>
      </c>
      <c r="V512" s="14">
        <f>SUM(tblContractForDeed[[#This Row],[Princ]],tblContractForDeed[[#This Row],[Int]],tblContractForDeed[[#This Row],[Ins]],tblContractForDeed[[#This Row],[Taxes]])</f>
        <v>0</v>
      </c>
      <c r="W512" s="265">
        <f>SUM(INDEX(tblContractForDeed[Princ],1):INDEX(tblContractForDeed[Princ],ROW()-ROW(tblContractForDeed[#Headers])))</f>
        <v>146500</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39">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2" s="265">
        <f>IF(INDEX(tblContractForDeed[End Bal],ROW()-ROW(tblBuyerOutputs[#Headers]))&lt;=0,0,($O$6+IF(ROW()=ROW(tblBuyerOutputs[#Headers])+1,0,INDEX(tblBuyerOutputs[Cumul Appr],ROW()-ROW(tblBuyerOutputs[#Headers])-1)))*$O$2/12)</f>
        <v>0</v>
      </c>
      <c r="AE512" s="587">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61" t="str">
        <f t="shared" si="107"/>
        <v/>
      </c>
      <c r="B513" s="265">
        <f t="shared" si="108"/>
        <v>0</v>
      </c>
      <c r="C513" s="14">
        <f t="shared" si="105"/>
        <v>0</v>
      </c>
      <c r="D513" s="14">
        <f t="shared" si="109"/>
        <v>0</v>
      </c>
      <c r="E513" s="14">
        <f t="shared" si="106"/>
        <v>0</v>
      </c>
      <c r="K513" s="265">
        <f t="shared" si="110"/>
        <v>0</v>
      </c>
      <c r="L513" s="373">
        <f t="shared" si="116"/>
        <v>0</v>
      </c>
      <c r="M513" s="373">
        <f t="shared" si="111"/>
        <v>0</v>
      </c>
      <c r="N513" s="561"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Row],[Payment]]=0,0,$V$2)</f>
        <v>0</v>
      </c>
      <c r="U513" s="14">
        <f>IF(tblContractForDeed[[#This Row],[Princ]]=0,0,$V$3)</f>
        <v>0</v>
      </c>
      <c r="V513" s="14">
        <f>SUM(tblContractForDeed[[#This Row],[Princ]],tblContractForDeed[[#This Row],[Int]],tblContractForDeed[[#This Row],[Ins]],tblContractForDeed[[#This Row],[Taxes]])</f>
        <v>0</v>
      </c>
      <c r="W513" s="265">
        <f>SUM(INDEX(tblContractForDeed[Princ],1):INDEX(tblContractForDeed[Princ],ROW()-ROW(tblContractForDeed[#Headers])))</f>
        <v>146500</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39">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3" s="265">
        <f>IF(INDEX(tblContractForDeed[End Bal],ROW()-ROW(tblBuyerOutputs[#Headers]))&lt;=0,0,($O$6+IF(ROW()=ROW(tblBuyerOutputs[#Headers])+1,0,INDEX(tblBuyerOutputs[Cumul Appr],ROW()-ROW(tblBuyerOutputs[#Headers])-1)))*$O$2/12)</f>
        <v>0</v>
      </c>
      <c r="AE513" s="587">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61" t="str">
        <f t="shared" si="107"/>
        <v/>
      </c>
      <c r="B514" s="265">
        <f t="shared" si="108"/>
        <v>0</v>
      </c>
      <c r="C514" s="14">
        <f t="shared" si="105"/>
        <v>0</v>
      </c>
      <c r="D514" s="14">
        <f t="shared" si="109"/>
        <v>0</v>
      </c>
      <c r="E514" s="14">
        <f t="shared" si="106"/>
        <v>0</v>
      </c>
      <c r="K514" s="265">
        <f t="shared" si="110"/>
        <v>0</v>
      </c>
      <c r="L514" s="373">
        <f t="shared" si="116"/>
        <v>0</v>
      </c>
      <c r="M514" s="373">
        <f t="shared" si="111"/>
        <v>0</v>
      </c>
      <c r="N514" s="561"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Row],[Payment]]=0,0,$V$2)</f>
        <v>0</v>
      </c>
      <c r="U514" s="14">
        <f>IF(tblContractForDeed[[#This Row],[Princ]]=0,0,$V$3)</f>
        <v>0</v>
      </c>
      <c r="V514" s="14">
        <f>SUM(tblContractForDeed[[#This Row],[Princ]],tblContractForDeed[[#This Row],[Int]],tblContractForDeed[[#This Row],[Ins]],tblContractForDeed[[#This Row],[Taxes]])</f>
        <v>0</v>
      </c>
      <c r="W514" s="265">
        <f>SUM(INDEX(tblContractForDeed[Princ],1):INDEX(tblContractForDeed[Princ],ROW()-ROW(tblContractForDeed[#Headers])))</f>
        <v>146500</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39">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4" s="265">
        <f>IF(INDEX(tblContractForDeed[End Bal],ROW()-ROW(tblBuyerOutputs[#Headers]))&lt;=0,0,($O$6+IF(ROW()=ROW(tblBuyerOutputs[#Headers])+1,0,INDEX(tblBuyerOutputs[Cumul Appr],ROW()-ROW(tblBuyerOutputs[#Headers])-1)))*$O$2/12)</f>
        <v>0</v>
      </c>
      <c r="AE514" s="587">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61" t="str">
        <f t="shared" si="107"/>
        <v/>
      </c>
      <c r="B515" s="265">
        <f t="shared" si="108"/>
        <v>0</v>
      </c>
      <c r="C515" s="14">
        <f t="shared" si="105"/>
        <v>0</v>
      </c>
      <c r="D515" s="14">
        <f t="shared" si="109"/>
        <v>0</v>
      </c>
      <c r="E515" s="14">
        <f t="shared" si="106"/>
        <v>0</v>
      </c>
      <c r="K515" s="265">
        <f t="shared" si="110"/>
        <v>0</v>
      </c>
      <c r="L515" s="373">
        <f t="shared" si="116"/>
        <v>0</v>
      </c>
      <c r="M515" s="373">
        <f t="shared" si="111"/>
        <v>0</v>
      </c>
      <c r="N515" s="561"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Row],[Payment]]=0,0,$V$2)</f>
        <v>0</v>
      </c>
      <c r="U515" s="14">
        <f>IF(tblContractForDeed[[#This Row],[Princ]]=0,0,$V$3)</f>
        <v>0</v>
      </c>
      <c r="V515" s="14">
        <f>SUM(tblContractForDeed[[#This Row],[Princ]],tblContractForDeed[[#This Row],[Int]],tblContractForDeed[[#This Row],[Ins]],tblContractForDeed[[#This Row],[Taxes]])</f>
        <v>0</v>
      </c>
      <c r="W515" s="265">
        <f>SUM(INDEX(tblContractForDeed[Princ],1):INDEX(tblContractForDeed[Princ],ROW()-ROW(tblContractForDeed[#Headers])))</f>
        <v>146500</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39">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5" s="265">
        <f>IF(INDEX(tblContractForDeed[End Bal],ROW()-ROW(tblBuyerOutputs[#Headers]))&lt;=0,0,($O$6+IF(ROW()=ROW(tblBuyerOutputs[#Headers])+1,0,INDEX(tblBuyerOutputs[Cumul Appr],ROW()-ROW(tblBuyerOutputs[#Headers])-1)))*$O$2/12)</f>
        <v>0</v>
      </c>
      <c r="AE515" s="587">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61" t="str">
        <f t="shared" si="107"/>
        <v/>
      </c>
      <c r="B516" s="265">
        <f t="shared" si="108"/>
        <v>0</v>
      </c>
      <c r="C516" s="14">
        <f t="shared" si="105"/>
        <v>0</v>
      </c>
      <c r="D516" s="14">
        <f t="shared" si="109"/>
        <v>0</v>
      </c>
      <c r="E516" s="14">
        <f t="shared" si="106"/>
        <v>0</v>
      </c>
      <c r="K516" s="265">
        <f t="shared" si="110"/>
        <v>0</v>
      </c>
      <c r="L516" s="373">
        <f t="shared" si="116"/>
        <v>0</v>
      </c>
      <c r="M516" s="373">
        <f t="shared" si="111"/>
        <v>0</v>
      </c>
      <c r="N516" s="561"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Row],[Payment]]=0,0,$V$2)</f>
        <v>0</v>
      </c>
      <c r="U516" s="14">
        <f>IF(tblContractForDeed[[#This Row],[Princ]]=0,0,$V$3)</f>
        <v>0</v>
      </c>
      <c r="V516" s="14">
        <f>SUM(tblContractForDeed[[#This Row],[Princ]],tblContractForDeed[[#This Row],[Int]],tblContractForDeed[[#This Row],[Ins]],tblContractForDeed[[#This Row],[Taxes]])</f>
        <v>0</v>
      </c>
      <c r="W516" s="265">
        <f>SUM(INDEX(tblContractForDeed[Princ],1):INDEX(tblContractForDeed[Princ],ROW()-ROW(tblContractForDeed[#Headers])))</f>
        <v>146500</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39">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6" s="265">
        <f>IF(INDEX(tblContractForDeed[End Bal],ROW()-ROW(tblBuyerOutputs[#Headers]))&lt;=0,0,($O$6+IF(ROW()=ROW(tblBuyerOutputs[#Headers])+1,0,INDEX(tblBuyerOutputs[Cumul Appr],ROW()-ROW(tblBuyerOutputs[#Headers])-1)))*$O$2/12)</f>
        <v>0</v>
      </c>
      <c r="AE516" s="587">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61" t="str">
        <f t="shared" si="107"/>
        <v/>
      </c>
      <c r="B517" s="265">
        <f t="shared" si="108"/>
        <v>0</v>
      </c>
      <c r="C517" s="14">
        <f t="shared" si="105"/>
        <v>0</v>
      </c>
      <c r="D517" s="14">
        <f t="shared" si="109"/>
        <v>0</v>
      </c>
      <c r="E517" s="14">
        <f t="shared" si="106"/>
        <v>0</v>
      </c>
      <c r="K517" s="265">
        <f t="shared" si="110"/>
        <v>0</v>
      </c>
      <c r="L517" s="373">
        <f t="shared" si="116"/>
        <v>0</v>
      </c>
      <c r="M517" s="373">
        <f t="shared" si="111"/>
        <v>0</v>
      </c>
      <c r="N517" s="561"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Row],[Payment]]=0,0,$V$2)</f>
        <v>0</v>
      </c>
      <c r="U517" s="14">
        <f>IF(tblContractForDeed[[#This Row],[Princ]]=0,0,$V$3)</f>
        <v>0</v>
      </c>
      <c r="V517" s="14">
        <f>SUM(tblContractForDeed[[#This Row],[Princ]],tblContractForDeed[[#This Row],[Int]],tblContractForDeed[[#This Row],[Ins]],tblContractForDeed[[#This Row],[Taxes]])</f>
        <v>0</v>
      </c>
      <c r="W517" s="265">
        <f>SUM(INDEX(tblContractForDeed[Princ],1):INDEX(tblContractForDeed[Princ],ROW()-ROW(tblContractForDeed[#Headers])))</f>
        <v>146500</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39">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7" s="265">
        <f>IF(INDEX(tblContractForDeed[End Bal],ROW()-ROW(tblBuyerOutputs[#Headers]))&lt;=0,0,($O$6+IF(ROW()=ROW(tblBuyerOutputs[#Headers])+1,0,INDEX(tblBuyerOutputs[Cumul Appr],ROW()-ROW(tblBuyerOutputs[#Headers])-1)))*$O$2/12)</f>
        <v>0</v>
      </c>
      <c r="AE517" s="587">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61" t="str">
        <f t="shared" si="107"/>
        <v/>
      </c>
      <c r="B518" s="265">
        <f t="shared" si="108"/>
        <v>0</v>
      </c>
      <c r="C518" s="14">
        <f t="shared" si="105"/>
        <v>0</v>
      </c>
      <c r="D518" s="14">
        <f t="shared" si="109"/>
        <v>0</v>
      </c>
      <c r="E518" s="14">
        <f t="shared" si="106"/>
        <v>0</v>
      </c>
      <c r="K518" s="265">
        <f t="shared" si="110"/>
        <v>0</v>
      </c>
      <c r="L518" s="373">
        <f t="shared" si="116"/>
        <v>0</v>
      </c>
      <c r="M518" s="373">
        <f t="shared" si="111"/>
        <v>0</v>
      </c>
      <c r="N518" s="561"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Row],[Payment]]=0,0,$V$2)</f>
        <v>0</v>
      </c>
      <c r="U518" s="14">
        <f>IF(tblContractForDeed[[#This Row],[Princ]]=0,0,$V$3)</f>
        <v>0</v>
      </c>
      <c r="V518" s="14">
        <f>SUM(tblContractForDeed[[#This Row],[Princ]],tblContractForDeed[[#This Row],[Int]],tblContractForDeed[[#This Row],[Ins]],tblContractForDeed[[#This Row],[Taxes]])</f>
        <v>0</v>
      </c>
      <c r="W518" s="265">
        <f>SUM(INDEX(tblContractForDeed[Princ],1):INDEX(tblContractForDeed[Princ],ROW()-ROW(tblContractForDeed[#Headers])))</f>
        <v>146500</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39">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8" s="265">
        <f>IF(INDEX(tblContractForDeed[End Bal],ROW()-ROW(tblBuyerOutputs[#Headers]))&lt;=0,0,($O$6+IF(ROW()=ROW(tblBuyerOutputs[#Headers])+1,0,INDEX(tblBuyerOutputs[Cumul Appr],ROW()-ROW(tblBuyerOutputs[#Headers])-1)))*$O$2/12)</f>
        <v>0</v>
      </c>
      <c r="AE518" s="587">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61" t="str">
        <f t="shared" si="107"/>
        <v/>
      </c>
      <c r="B519" s="265">
        <f t="shared" si="108"/>
        <v>0</v>
      </c>
      <c r="C519" s="14">
        <f t="shared" si="105"/>
        <v>0</v>
      </c>
      <c r="D519" s="14">
        <f t="shared" si="109"/>
        <v>0</v>
      </c>
      <c r="E519" s="14">
        <f t="shared" si="106"/>
        <v>0</v>
      </c>
      <c r="K519" s="265">
        <f t="shared" si="110"/>
        <v>0</v>
      </c>
      <c r="L519" s="373">
        <f t="shared" si="116"/>
        <v>0</v>
      </c>
      <c r="M519" s="373">
        <f t="shared" si="111"/>
        <v>0</v>
      </c>
      <c r="N519" s="561"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Row],[Payment]]=0,0,$V$2)</f>
        <v>0</v>
      </c>
      <c r="U519" s="14">
        <f>IF(tblContractForDeed[[#This Row],[Princ]]=0,0,$V$3)</f>
        <v>0</v>
      </c>
      <c r="V519" s="14">
        <f>SUM(tblContractForDeed[[#This Row],[Princ]],tblContractForDeed[[#This Row],[Int]],tblContractForDeed[[#This Row],[Ins]],tblContractForDeed[[#This Row],[Taxes]])</f>
        <v>0</v>
      </c>
      <c r="W519" s="265">
        <f>SUM(INDEX(tblContractForDeed[Princ],1):INDEX(tblContractForDeed[Princ],ROW()-ROW(tblContractForDeed[#Headers])))</f>
        <v>146500</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39">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9" s="265">
        <f>IF(INDEX(tblContractForDeed[End Bal],ROW()-ROW(tblBuyerOutputs[#Headers]))&lt;=0,0,($O$6+IF(ROW()=ROW(tblBuyerOutputs[#Headers])+1,0,INDEX(tblBuyerOutputs[Cumul Appr],ROW()-ROW(tblBuyerOutputs[#Headers])-1)))*$O$2/12)</f>
        <v>0</v>
      </c>
      <c r="AE519" s="587">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61" t="str">
        <f t="shared" si="107"/>
        <v/>
      </c>
      <c r="B520" s="265">
        <f t="shared" si="108"/>
        <v>0</v>
      </c>
      <c r="C520" s="14">
        <f t="shared" si="105"/>
        <v>0</v>
      </c>
      <c r="D520" s="14">
        <f t="shared" si="109"/>
        <v>0</v>
      </c>
      <c r="E520" s="14">
        <f t="shared" si="106"/>
        <v>0</v>
      </c>
      <c r="K520" s="265">
        <f t="shared" si="110"/>
        <v>0</v>
      </c>
      <c r="L520" s="373">
        <f t="shared" si="116"/>
        <v>0</v>
      </c>
      <c r="M520" s="373">
        <f t="shared" si="111"/>
        <v>0</v>
      </c>
      <c r="N520" s="561"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Row],[Payment]]=0,0,$V$2)</f>
        <v>0</v>
      </c>
      <c r="U520" s="14">
        <f>IF(tblContractForDeed[[#This Row],[Princ]]=0,0,$V$3)</f>
        <v>0</v>
      </c>
      <c r="V520" s="14">
        <f>SUM(tblContractForDeed[[#This Row],[Princ]],tblContractForDeed[[#This Row],[Int]],tblContractForDeed[[#This Row],[Ins]],tblContractForDeed[[#This Row],[Taxes]])</f>
        <v>0</v>
      </c>
      <c r="W520" s="265">
        <f>SUM(INDEX(tblContractForDeed[Princ],1):INDEX(tblContractForDeed[Princ],ROW()-ROW(tblContractForDeed[#Headers])))</f>
        <v>146500</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39">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0" s="265">
        <f>IF(INDEX(tblContractForDeed[End Bal],ROW()-ROW(tblBuyerOutputs[#Headers]))&lt;=0,0,($O$6+IF(ROW()=ROW(tblBuyerOutputs[#Headers])+1,0,INDEX(tblBuyerOutputs[Cumul Appr],ROW()-ROW(tblBuyerOutputs[#Headers])-1)))*$O$2/12)</f>
        <v>0</v>
      </c>
      <c r="AE520" s="587">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61" t="str">
        <f t="shared" si="107"/>
        <v/>
      </c>
      <c r="B521" s="265">
        <f t="shared" si="108"/>
        <v>0</v>
      </c>
      <c r="C521" s="14">
        <f t="shared" si="105"/>
        <v>0</v>
      </c>
      <c r="D521" s="14">
        <f t="shared" si="109"/>
        <v>0</v>
      </c>
      <c r="E521" s="14">
        <f t="shared" si="106"/>
        <v>0</v>
      </c>
      <c r="K521" s="265">
        <f t="shared" si="110"/>
        <v>0</v>
      </c>
      <c r="L521" s="373">
        <f t="shared" si="116"/>
        <v>0</v>
      </c>
      <c r="M521" s="373">
        <f t="shared" si="111"/>
        <v>0</v>
      </c>
      <c r="N521" s="561"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Row],[Payment]]=0,0,$V$2)</f>
        <v>0</v>
      </c>
      <c r="U521" s="14">
        <f>IF(tblContractForDeed[[#This Row],[Princ]]=0,0,$V$3)</f>
        <v>0</v>
      </c>
      <c r="V521" s="14">
        <f>SUM(tblContractForDeed[[#This Row],[Princ]],tblContractForDeed[[#This Row],[Int]],tblContractForDeed[[#This Row],[Ins]],tblContractForDeed[[#This Row],[Taxes]])</f>
        <v>0</v>
      </c>
      <c r="W521" s="265">
        <f>SUM(INDEX(tblContractForDeed[Princ],1):INDEX(tblContractForDeed[Princ],ROW()-ROW(tblContractForDeed[#Headers])))</f>
        <v>146500</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39">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1" s="265">
        <f>IF(INDEX(tblContractForDeed[End Bal],ROW()-ROW(tblBuyerOutputs[#Headers]))&lt;=0,0,($O$6+IF(ROW()=ROW(tblBuyerOutputs[#Headers])+1,0,INDEX(tblBuyerOutputs[Cumul Appr],ROW()-ROW(tblBuyerOutputs[#Headers])-1)))*$O$2/12)</f>
        <v>0</v>
      </c>
      <c r="AE521" s="587">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61" t="str">
        <f t="shared" si="107"/>
        <v/>
      </c>
      <c r="B522" s="265">
        <f t="shared" si="108"/>
        <v>0</v>
      </c>
      <c r="C522" s="14">
        <f t="shared" si="105"/>
        <v>0</v>
      </c>
      <c r="D522" s="14">
        <f t="shared" si="109"/>
        <v>0</v>
      </c>
      <c r="E522" s="14">
        <f t="shared" si="106"/>
        <v>0</v>
      </c>
      <c r="K522" s="265">
        <f t="shared" si="110"/>
        <v>0</v>
      </c>
      <c r="L522" s="373">
        <f t="shared" si="116"/>
        <v>0</v>
      </c>
      <c r="M522" s="373">
        <f t="shared" si="111"/>
        <v>0</v>
      </c>
      <c r="N522" s="561"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Row],[Payment]]=0,0,$V$2)</f>
        <v>0</v>
      </c>
      <c r="U522" s="14">
        <f>IF(tblContractForDeed[[#This Row],[Princ]]=0,0,$V$3)</f>
        <v>0</v>
      </c>
      <c r="V522" s="14">
        <f>SUM(tblContractForDeed[[#This Row],[Princ]],tblContractForDeed[[#This Row],[Int]],tblContractForDeed[[#This Row],[Ins]],tblContractForDeed[[#This Row],[Taxes]])</f>
        <v>0</v>
      </c>
      <c r="W522" s="265">
        <f>SUM(INDEX(tblContractForDeed[Princ],1):INDEX(tblContractForDeed[Princ],ROW()-ROW(tblContractForDeed[#Headers])))</f>
        <v>146500</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39">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2" s="265">
        <f>IF(INDEX(tblContractForDeed[End Bal],ROW()-ROW(tblBuyerOutputs[#Headers]))&lt;=0,0,($O$6+IF(ROW()=ROW(tblBuyerOutputs[#Headers])+1,0,INDEX(tblBuyerOutputs[Cumul Appr],ROW()-ROW(tblBuyerOutputs[#Headers])-1)))*$O$2/12)</f>
        <v>0</v>
      </c>
      <c r="AE522" s="587">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62" t="str">
        <f t="shared" si="107"/>
        <v/>
      </c>
      <c r="B523" s="316">
        <f t="shared" si="108"/>
        <v>0</v>
      </c>
      <c r="C523" s="21">
        <f t="shared" si="105"/>
        <v>0</v>
      </c>
      <c r="D523" s="21">
        <f t="shared" si="109"/>
        <v>0</v>
      </c>
      <c r="E523" s="21">
        <f t="shared" si="106"/>
        <v>0</v>
      </c>
      <c r="F523" s="21"/>
      <c r="G523" s="21"/>
      <c r="H523" s="21"/>
      <c r="I523" s="316"/>
      <c r="J523" s="316"/>
      <c r="K523" s="316">
        <f t="shared" si="110"/>
        <v>0</v>
      </c>
      <c r="L523" s="374">
        <f t="shared" si="116"/>
        <v>0</v>
      </c>
      <c r="M523" s="374">
        <f t="shared" si="111"/>
        <v>0</v>
      </c>
      <c r="N523" s="562" t="str">
        <f>INDEX(tblSubjectToLoan[Date],ROW()-ROW(tblContractForDeed[#Headers]))</f>
        <v/>
      </c>
      <c r="O523" s="265">
        <f>IF(ROW()=ROW(tblContractForDeed[#Headers])+1,$O$6,IF(INDEX(tblContractForDeed[End Bal],ROW()-ROW(tblContractForDeed[#Headers])-1)&lt;0,0,INDEX(tblContractForDeed[End Bal],ROW()-ROW(tblContractForDeed[#Headers])-1)))</f>
        <v>0</v>
      </c>
      <c r="P523" s="585"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Row],[Payment]]=0,0,$V$2)</f>
        <v>0</v>
      </c>
      <c r="U523" s="14">
        <f>IF(tblContractForDeed[[#This Row],[Princ]]=0,0,$V$3)</f>
        <v>0</v>
      </c>
      <c r="V523" s="14">
        <f>SUM(tblContractForDeed[[#This Row],[Princ]],tblContractForDeed[[#This Row],[Int]],tblContractForDeed[[#This Row],[Ins]],tblContractForDeed[[#This Row],[Taxes]])</f>
        <v>0</v>
      </c>
      <c r="W523" s="265">
        <f>SUM(INDEX(tblContractForDeed[Princ],1):INDEX(tblContractForDeed[Princ],ROW()-ROW(tblContractForDeed[#Headers])))</f>
        <v>146500</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39">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3" s="316">
        <f>IF(INDEX(tblContractForDeed[End Bal],ROW()-ROW(tblBuyerOutputs[#Headers]))&lt;=0,0,($O$6+IF(ROW()=ROW(tblBuyerOutputs[#Headers])+1,0,INDEX(tblBuyerOutputs[Cumul Appr],ROW()-ROW(tblBuyerOutputs[#Headers])-1)))*$O$2/12)</f>
        <v>0</v>
      </c>
      <c r="AE523" s="588">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61" t="str">
        <f t="shared" si="107"/>
        <v/>
      </c>
      <c r="B524" s="265">
        <f t="shared" si="108"/>
        <v>0</v>
      </c>
      <c r="C524" s="14">
        <f t="shared" si="105"/>
        <v>0</v>
      </c>
      <c r="D524" s="14">
        <f t="shared" si="109"/>
        <v>0</v>
      </c>
      <c r="E524" s="14">
        <f t="shared" si="106"/>
        <v>0</v>
      </c>
      <c r="K524" s="265">
        <f t="shared" si="110"/>
        <v>0</v>
      </c>
      <c r="L524" s="373">
        <f t="shared" si="116"/>
        <v>0</v>
      </c>
      <c r="M524" s="373">
        <f t="shared" si="111"/>
        <v>0</v>
      </c>
      <c r="N524" s="561"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Row],[Payment]]=0,0,$V$2)</f>
        <v>0</v>
      </c>
      <c r="U524" s="14">
        <f>IF(tblContractForDeed[[#This Row],[Princ]]=0,0,$V$3)</f>
        <v>0</v>
      </c>
      <c r="V524" s="14">
        <f>SUM(tblContractForDeed[[#This Row],[Princ]],tblContractForDeed[[#This Row],[Int]],tblContractForDeed[[#This Row],[Ins]],tblContractForDeed[[#This Row],[Taxes]])</f>
        <v>0</v>
      </c>
      <c r="W524" s="265">
        <f>SUM(INDEX(tblContractForDeed[Princ],1):INDEX(tblContractForDeed[Princ],ROW()-ROW(tblContractForDeed[#Headers])))</f>
        <v>146500</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39">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4" s="265">
        <f>IF(INDEX(tblContractForDeed[End Bal],ROW()-ROW(tblBuyerOutputs[#Headers]))&lt;=0,0,($O$6+IF(ROW()=ROW(tblBuyerOutputs[#Headers])+1,0,INDEX(tblBuyerOutputs[Cumul Appr],ROW()-ROW(tblBuyerOutputs[#Headers])-1)))*$O$2/12)</f>
        <v>0</v>
      </c>
      <c r="AE524" s="587">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61" t="str">
        <f t="shared" si="107"/>
        <v/>
      </c>
      <c r="B525" s="265">
        <f t="shared" si="108"/>
        <v>0</v>
      </c>
      <c r="C525" s="14">
        <f t="shared" si="105"/>
        <v>0</v>
      </c>
      <c r="D525" s="14">
        <f t="shared" si="109"/>
        <v>0</v>
      </c>
      <c r="E525" s="14">
        <f t="shared" si="106"/>
        <v>0</v>
      </c>
      <c r="K525" s="265">
        <f t="shared" si="110"/>
        <v>0</v>
      </c>
      <c r="L525" s="373">
        <f t="shared" si="116"/>
        <v>0</v>
      </c>
      <c r="M525" s="373">
        <f t="shared" si="111"/>
        <v>0</v>
      </c>
      <c r="N525" s="561"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Row],[Payment]]=0,0,$V$2)</f>
        <v>0</v>
      </c>
      <c r="U525" s="14">
        <f>IF(tblContractForDeed[[#This Row],[Princ]]=0,0,$V$3)</f>
        <v>0</v>
      </c>
      <c r="V525" s="14">
        <f>SUM(tblContractForDeed[[#This Row],[Princ]],tblContractForDeed[[#This Row],[Int]],tblContractForDeed[[#This Row],[Ins]],tblContractForDeed[[#This Row],[Taxes]])</f>
        <v>0</v>
      </c>
      <c r="W525" s="265">
        <f>SUM(INDEX(tblContractForDeed[Princ],1):INDEX(tblContractForDeed[Princ],ROW()-ROW(tblContractForDeed[#Headers])))</f>
        <v>146500</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39">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5" s="265">
        <f>IF(INDEX(tblContractForDeed[End Bal],ROW()-ROW(tblBuyerOutputs[#Headers]))&lt;=0,0,($O$6+IF(ROW()=ROW(tblBuyerOutputs[#Headers])+1,0,INDEX(tblBuyerOutputs[Cumul Appr],ROW()-ROW(tblBuyerOutputs[#Headers])-1)))*$O$2/12)</f>
        <v>0</v>
      </c>
      <c r="AE525" s="587">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61" t="str">
        <f t="shared" si="107"/>
        <v/>
      </c>
      <c r="B526" s="265">
        <f t="shared" si="108"/>
        <v>0</v>
      </c>
      <c r="C526" s="14">
        <f t="shared" si="105"/>
        <v>0</v>
      </c>
      <c r="D526" s="14">
        <f t="shared" si="109"/>
        <v>0</v>
      </c>
      <c r="E526" s="14">
        <f t="shared" si="106"/>
        <v>0</v>
      </c>
      <c r="K526" s="265">
        <f t="shared" si="110"/>
        <v>0</v>
      </c>
      <c r="L526" s="373">
        <f t="shared" si="116"/>
        <v>0</v>
      </c>
      <c r="M526" s="373">
        <f t="shared" si="111"/>
        <v>0</v>
      </c>
      <c r="N526" s="561"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Row],[Payment]]=0,0,$V$2)</f>
        <v>0</v>
      </c>
      <c r="U526" s="14">
        <f>IF(tblContractForDeed[[#This Row],[Princ]]=0,0,$V$3)</f>
        <v>0</v>
      </c>
      <c r="V526" s="14">
        <f>SUM(tblContractForDeed[[#This Row],[Princ]],tblContractForDeed[[#This Row],[Int]],tblContractForDeed[[#This Row],[Ins]],tblContractForDeed[[#This Row],[Taxes]])</f>
        <v>0</v>
      </c>
      <c r="W526" s="265">
        <f>SUM(INDEX(tblContractForDeed[Princ],1):INDEX(tblContractForDeed[Princ],ROW()-ROW(tblContractForDeed[#Headers])))</f>
        <v>146500</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39">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6" s="265">
        <f>IF(INDEX(tblContractForDeed[End Bal],ROW()-ROW(tblBuyerOutputs[#Headers]))&lt;=0,0,($O$6+IF(ROW()=ROW(tblBuyerOutputs[#Headers])+1,0,INDEX(tblBuyerOutputs[Cumul Appr],ROW()-ROW(tblBuyerOutputs[#Headers])-1)))*$O$2/12)</f>
        <v>0</v>
      </c>
      <c r="AE526" s="587">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61" t="str">
        <f t="shared" si="107"/>
        <v/>
      </c>
      <c r="B527" s="265">
        <f t="shared" si="108"/>
        <v>0</v>
      </c>
      <c r="C527" s="14">
        <f t="shared" si="105"/>
        <v>0</v>
      </c>
      <c r="D527" s="14">
        <f t="shared" si="109"/>
        <v>0</v>
      </c>
      <c r="E527" s="14">
        <f t="shared" si="106"/>
        <v>0</v>
      </c>
      <c r="K527" s="265">
        <f t="shared" si="110"/>
        <v>0</v>
      </c>
      <c r="L527" s="373">
        <f t="shared" si="116"/>
        <v>0</v>
      </c>
      <c r="M527" s="373">
        <f t="shared" si="111"/>
        <v>0</v>
      </c>
      <c r="N527" s="561"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Row],[Payment]]=0,0,$V$2)</f>
        <v>0</v>
      </c>
      <c r="U527" s="14">
        <f>IF(tblContractForDeed[[#This Row],[Princ]]=0,0,$V$3)</f>
        <v>0</v>
      </c>
      <c r="V527" s="14">
        <f>SUM(tblContractForDeed[[#This Row],[Princ]],tblContractForDeed[[#This Row],[Int]],tblContractForDeed[[#This Row],[Ins]],tblContractForDeed[[#This Row],[Taxes]])</f>
        <v>0</v>
      </c>
      <c r="W527" s="265">
        <f>SUM(INDEX(tblContractForDeed[Princ],1):INDEX(tblContractForDeed[Princ],ROW()-ROW(tblContractForDeed[#Headers])))</f>
        <v>146500</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39">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7" s="265">
        <f>IF(INDEX(tblContractForDeed[End Bal],ROW()-ROW(tblBuyerOutputs[#Headers]))&lt;=0,0,($O$6+IF(ROW()=ROW(tblBuyerOutputs[#Headers])+1,0,INDEX(tblBuyerOutputs[Cumul Appr],ROW()-ROW(tblBuyerOutputs[#Headers])-1)))*$O$2/12)</f>
        <v>0</v>
      </c>
      <c r="AE527" s="587">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61" t="str">
        <f t="shared" si="107"/>
        <v/>
      </c>
      <c r="B528" s="265">
        <f t="shared" si="108"/>
        <v>0</v>
      </c>
      <c r="C528" s="14">
        <f t="shared" si="105"/>
        <v>0</v>
      </c>
      <c r="D528" s="14">
        <f t="shared" si="109"/>
        <v>0</v>
      </c>
      <c r="E528" s="14">
        <f t="shared" si="106"/>
        <v>0</v>
      </c>
      <c r="K528" s="265">
        <f t="shared" si="110"/>
        <v>0</v>
      </c>
      <c r="L528" s="373">
        <f t="shared" si="116"/>
        <v>0</v>
      </c>
      <c r="M528" s="373">
        <f t="shared" si="111"/>
        <v>0</v>
      </c>
      <c r="N528" s="561"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Row],[Payment]]=0,0,$V$2)</f>
        <v>0</v>
      </c>
      <c r="U528" s="14">
        <f>IF(tblContractForDeed[[#This Row],[Princ]]=0,0,$V$3)</f>
        <v>0</v>
      </c>
      <c r="V528" s="14">
        <f>SUM(tblContractForDeed[[#This Row],[Princ]],tblContractForDeed[[#This Row],[Int]],tblContractForDeed[[#This Row],[Ins]],tblContractForDeed[[#This Row],[Taxes]])</f>
        <v>0</v>
      </c>
      <c r="W528" s="265">
        <f>SUM(INDEX(tblContractForDeed[Princ],1):INDEX(tblContractForDeed[Princ],ROW()-ROW(tblContractForDeed[#Headers])))</f>
        <v>146500</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39">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8" s="265">
        <f>IF(INDEX(tblContractForDeed[End Bal],ROW()-ROW(tblBuyerOutputs[#Headers]))&lt;=0,0,($O$6+IF(ROW()=ROW(tblBuyerOutputs[#Headers])+1,0,INDEX(tblBuyerOutputs[Cumul Appr],ROW()-ROW(tblBuyerOutputs[#Headers])-1)))*$O$2/12)</f>
        <v>0</v>
      </c>
      <c r="AE528" s="587">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61" t="str">
        <f t="shared" si="107"/>
        <v/>
      </c>
      <c r="B529" s="265">
        <f t="shared" si="108"/>
        <v>0</v>
      </c>
      <c r="C529" s="14">
        <f t="shared" si="105"/>
        <v>0</v>
      </c>
      <c r="D529" s="14">
        <f t="shared" si="109"/>
        <v>0</v>
      </c>
      <c r="E529" s="14">
        <f t="shared" si="106"/>
        <v>0</v>
      </c>
      <c r="K529" s="265">
        <f t="shared" si="110"/>
        <v>0</v>
      </c>
      <c r="L529" s="373">
        <f t="shared" si="116"/>
        <v>0</v>
      </c>
      <c r="M529" s="373">
        <f t="shared" si="111"/>
        <v>0</v>
      </c>
      <c r="N529" s="561"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Row],[Payment]]=0,0,$V$2)</f>
        <v>0</v>
      </c>
      <c r="U529" s="14">
        <f>IF(tblContractForDeed[[#This Row],[Princ]]=0,0,$V$3)</f>
        <v>0</v>
      </c>
      <c r="V529" s="14">
        <f>SUM(tblContractForDeed[[#This Row],[Princ]],tblContractForDeed[[#This Row],[Int]],tblContractForDeed[[#This Row],[Ins]],tblContractForDeed[[#This Row],[Taxes]])</f>
        <v>0</v>
      </c>
      <c r="W529" s="265">
        <f>SUM(INDEX(tblContractForDeed[Princ],1):INDEX(tblContractForDeed[Princ],ROW()-ROW(tblContractForDeed[#Headers])))</f>
        <v>146500</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39">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9" s="265">
        <f>IF(INDEX(tblContractForDeed[End Bal],ROW()-ROW(tblBuyerOutputs[#Headers]))&lt;=0,0,($O$6+IF(ROW()=ROW(tblBuyerOutputs[#Headers])+1,0,INDEX(tblBuyerOutputs[Cumul Appr],ROW()-ROW(tblBuyerOutputs[#Headers])-1)))*$O$2/12)</f>
        <v>0</v>
      </c>
      <c r="AE529" s="587">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61" t="str">
        <f t="shared" si="107"/>
        <v/>
      </c>
      <c r="B530" s="265">
        <f t="shared" si="108"/>
        <v>0</v>
      </c>
      <c r="C530" s="14">
        <f t="shared" si="105"/>
        <v>0</v>
      </c>
      <c r="D530" s="14">
        <f t="shared" si="109"/>
        <v>0</v>
      </c>
      <c r="E530" s="14">
        <f t="shared" si="106"/>
        <v>0</v>
      </c>
      <c r="K530" s="265">
        <f t="shared" si="110"/>
        <v>0</v>
      </c>
      <c r="L530" s="373">
        <f t="shared" si="116"/>
        <v>0</v>
      </c>
      <c r="M530" s="373">
        <f t="shared" si="111"/>
        <v>0</v>
      </c>
      <c r="N530" s="561"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Row],[Payment]]=0,0,$V$2)</f>
        <v>0</v>
      </c>
      <c r="U530" s="14">
        <f>IF(tblContractForDeed[[#This Row],[Princ]]=0,0,$V$3)</f>
        <v>0</v>
      </c>
      <c r="V530" s="14">
        <f>SUM(tblContractForDeed[[#This Row],[Princ]],tblContractForDeed[[#This Row],[Int]],tblContractForDeed[[#This Row],[Ins]],tblContractForDeed[[#This Row],[Taxes]])</f>
        <v>0</v>
      </c>
      <c r="W530" s="265">
        <f>SUM(INDEX(tblContractForDeed[Princ],1):INDEX(tblContractForDeed[Princ],ROW()-ROW(tblContractForDeed[#Headers])))</f>
        <v>146500</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39">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0" s="265">
        <f>IF(INDEX(tblContractForDeed[End Bal],ROW()-ROW(tblBuyerOutputs[#Headers]))&lt;=0,0,($O$6+IF(ROW()=ROW(tblBuyerOutputs[#Headers])+1,0,INDEX(tblBuyerOutputs[Cumul Appr],ROW()-ROW(tblBuyerOutputs[#Headers])-1)))*$O$2/12)</f>
        <v>0</v>
      </c>
      <c r="AE530" s="587">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61" t="str">
        <f t="shared" si="107"/>
        <v/>
      </c>
      <c r="B531" s="265">
        <f t="shared" si="108"/>
        <v>0</v>
      </c>
      <c r="C531" s="14">
        <f t="shared" si="105"/>
        <v>0</v>
      </c>
      <c r="D531" s="14">
        <f t="shared" si="109"/>
        <v>0</v>
      </c>
      <c r="E531" s="14">
        <f t="shared" si="106"/>
        <v>0</v>
      </c>
      <c r="K531" s="265">
        <f t="shared" si="110"/>
        <v>0</v>
      </c>
      <c r="L531" s="373">
        <f t="shared" si="116"/>
        <v>0</v>
      </c>
      <c r="M531" s="373">
        <f t="shared" si="111"/>
        <v>0</v>
      </c>
      <c r="N531" s="561"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Row],[Payment]]=0,0,$V$2)</f>
        <v>0</v>
      </c>
      <c r="U531" s="14">
        <f>IF(tblContractForDeed[[#This Row],[Princ]]=0,0,$V$3)</f>
        <v>0</v>
      </c>
      <c r="V531" s="14">
        <f>SUM(tblContractForDeed[[#This Row],[Princ]],tblContractForDeed[[#This Row],[Int]],tblContractForDeed[[#This Row],[Ins]],tblContractForDeed[[#This Row],[Taxes]])</f>
        <v>0</v>
      </c>
      <c r="W531" s="265">
        <f>SUM(INDEX(tblContractForDeed[Princ],1):INDEX(tblContractForDeed[Princ],ROW()-ROW(tblContractForDeed[#Headers])))</f>
        <v>146500</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39">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1" s="265">
        <f>IF(INDEX(tblContractForDeed[End Bal],ROW()-ROW(tblBuyerOutputs[#Headers]))&lt;=0,0,($O$6+IF(ROW()=ROW(tblBuyerOutputs[#Headers])+1,0,INDEX(tblBuyerOutputs[Cumul Appr],ROW()-ROW(tblBuyerOutputs[#Headers])-1)))*$O$2/12)</f>
        <v>0</v>
      </c>
      <c r="AE531" s="587">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61" t="str">
        <f t="shared" si="107"/>
        <v/>
      </c>
      <c r="B532" s="265">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65">
        <f t="shared" si="110"/>
        <v>0</v>
      </c>
      <c r="L532" s="373">
        <f t="shared" si="116"/>
        <v>0</v>
      </c>
      <c r="M532" s="373">
        <f t="shared" si="111"/>
        <v>0</v>
      </c>
      <c r="N532" s="561"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Row],[Payment]]=0,0,$V$2)</f>
        <v>0</v>
      </c>
      <c r="U532" s="14">
        <f>IF(tblContractForDeed[[#This Row],[Princ]]=0,0,$V$3)</f>
        <v>0</v>
      </c>
      <c r="V532" s="14">
        <f>SUM(tblContractForDeed[[#This Row],[Princ]],tblContractForDeed[[#This Row],[Int]],tblContractForDeed[[#This Row],[Ins]],tblContractForDeed[[#This Row],[Taxes]])</f>
        <v>0</v>
      </c>
      <c r="W532" s="265">
        <f>SUM(INDEX(tblContractForDeed[Princ],1):INDEX(tblContractForDeed[Princ],ROW()-ROW(tblContractForDeed[#Headers])))</f>
        <v>146500</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39">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2" s="265">
        <f>IF(INDEX(tblContractForDeed[End Bal],ROW()-ROW(tblBuyerOutputs[#Headers]))&lt;=0,0,($O$6+IF(ROW()=ROW(tblBuyerOutputs[#Headers])+1,0,INDEX(tblBuyerOutputs[Cumul Appr],ROW()-ROW(tblBuyerOutputs[#Headers])-1)))*$O$2/12)</f>
        <v>0</v>
      </c>
      <c r="AE532" s="587">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61" t="str">
        <f t="shared" ref="A533:A596" si="119">IF(OR(A532="",A532&gt;=subjectMortgageEndDate),"",EDATE(A532,1))</f>
        <v/>
      </c>
      <c r="B533" s="265">
        <f t="shared" ref="B533:B596" si="120">IF(A533="",0,MAX(0,K532))</f>
        <v>0</v>
      </c>
      <c r="C533" s="14">
        <f t="shared" si="117"/>
        <v>0</v>
      </c>
      <c r="D533" s="14">
        <f t="shared" ref="D533:D596" si="121">IF(C533=0,0,MAX(0,MIN(B533,C533-E533)))</f>
        <v>0</v>
      </c>
      <c r="E533" s="14">
        <f t="shared" si="118"/>
        <v>0</v>
      </c>
      <c r="K533" s="265">
        <f t="shared" ref="K533:K596" si="122">IF(A533="",0,IF(B533&lt;=0,0,MAX(0,B533-D533)))</f>
        <v>0</v>
      </c>
      <c r="L533" s="373">
        <f t="shared" si="116"/>
        <v>0</v>
      </c>
      <c r="M533" s="373">
        <f t="shared" ref="M533:M596" si="123">IF($A533&lt;&gt;"",M532+1,0)</f>
        <v>0</v>
      </c>
      <c r="N533" s="561"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Row],[Payment]]=0,0,$V$2)</f>
        <v>0</v>
      </c>
      <c r="U533" s="14">
        <f>IF(tblContractForDeed[[#This Row],[Princ]]=0,0,$V$3)</f>
        <v>0</v>
      </c>
      <c r="V533" s="14">
        <f>SUM(tblContractForDeed[[#This Row],[Princ]],tblContractForDeed[[#This Row],[Int]],tblContractForDeed[[#This Row],[Ins]],tblContractForDeed[[#This Row],[Taxes]])</f>
        <v>0</v>
      </c>
      <c r="W533" s="265">
        <f>SUM(INDEX(tblContractForDeed[Princ],1):INDEX(tblContractForDeed[Princ],ROW()-ROW(tblContractForDeed[#Headers])))</f>
        <v>146500</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39">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3" s="265">
        <f>IF(INDEX(tblContractForDeed[End Bal],ROW()-ROW(tblBuyerOutputs[#Headers]))&lt;=0,0,($O$6+IF(ROW()=ROW(tblBuyerOutputs[#Headers])+1,0,INDEX(tblBuyerOutputs[Cumul Appr],ROW()-ROW(tblBuyerOutputs[#Headers])-1)))*$O$2/12)</f>
        <v>0</v>
      </c>
      <c r="AE533" s="587">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61" t="str">
        <f t="shared" si="119"/>
        <v/>
      </c>
      <c r="B534" s="265">
        <f t="shared" si="120"/>
        <v>0</v>
      </c>
      <c r="C534" s="14">
        <f t="shared" si="117"/>
        <v>0</v>
      </c>
      <c r="D534" s="14">
        <f t="shared" si="121"/>
        <v>0</v>
      </c>
      <c r="E534" s="14">
        <f t="shared" si="118"/>
        <v>0</v>
      </c>
      <c r="K534" s="265">
        <f t="shared" si="122"/>
        <v>0</v>
      </c>
      <c r="L534" s="373">
        <f t="shared" si="116"/>
        <v>0</v>
      </c>
      <c r="M534" s="373">
        <f t="shared" si="123"/>
        <v>0</v>
      </c>
      <c r="N534" s="561"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Row],[Payment]]=0,0,$V$2)</f>
        <v>0</v>
      </c>
      <c r="U534" s="14">
        <f>IF(tblContractForDeed[[#This Row],[Princ]]=0,0,$V$3)</f>
        <v>0</v>
      </c>
      <c r="V534" s="14">
        <f>SUM(tblContractForDeed[[#This Row],[Princ]],tblContractForDeed[[#This Row],[Int]],tblContractForDeed[[#This Row],[Ins]],tblContractForDeed[[#This Row],[Taxes]])</f>
        <v>0</v>
      </c>
      <c r="W534" s="265">
        <f>SUM(INDEX(tblContractForDeed[Princ],1):INDEX(tblContractForDeed[Princ],ROW()-ROW(tblContractForDeed[#Headers])))</f>
        <v>146500</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39">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4" s="265">
        <f>IF(INDEX(tblContractForDeed[End Bal],ROW()-ROW(tblBuyerOutputs[#Headers]))&lt;=0,0,($O$6+IF(ROW()=ROW(tblBuyerOutputs[#Headers])+1,0,INDEX(tblBuyerOutputs[Cumul Appr],ROW()-ROW(tblBuyerOutputs[#Headers])-1)))*$O$2/12)</f>
        <v>0</v>
      </c>
      <c r="AE534" s="587">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62" t="str">
        <f t="shared" si="119"/>
        <v/>
      </c>
      <c r="B535" s="316">
        <f t="shared" si="120"/>
        <v>0</v>
      </c>
      <c r="C535" s="21">
        <f t="shared" si="117"/>
        <v>0</v>
      </c>
      <c r="D535" s="21">
        <f t="shared" si="121"/>
        <v>0</v>
      </c>
      <c r="E535" s="21">
        <f t="shared" si="118"/>
        <v>0</v>
      </c>
      <c r="F535" s="21"/>
      <c r="G535" s="21"/>
      <c r="H535" s="21"/>
      <c r="I535" s="316"/>
      <c r="J535" s="316"/>
      <c r="K535" s="316">
        <f t="shared" si="122"/>
        <v>0</v>
      </c>
      <c r="L535" s="374">
        <f t="shared" si="116"/>
        <v>0</v>
      </c>
      <c r="M535" s="374">
        <f t="shared" si="123"/>
        <v>0</v>
      </c>
      <c r="N535" s="562" t="str">
        <f>INDEX(tblSubjectToLoan[Date],ROW()-ROW(tblContractForDeed[#Headers]))</f>
        <v/>
      </c>
      <c r="O535" s="265">
        <f>IF(ROW()=ROW(tblContractForDeed[#Headers])+1,$O$6,IF(INDEX(tblContractForDeed[End Bal],ROW()-ROW(tblContractForDeed[#Headers])-1)&lt;0,0,INDEX(tblContractForDeed[End Bal],ROW()-ROW(tblContractForDeed[#Headers])-1)))</f>
        <v>0</v>
      </c>
      <c r="P535" s="585"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Row],[Payment]]=0,0,$V$2)</f>
        <v>0</v>
      </c>
      <c r="U535" s="14">
        <f>IF(tblContractForDeed[[#This Row],[Princ]]=0,0,$V$3)</f>
        <v>0</v>
      </c>
      <c r="V535" s="14">
        <f>SUM(tblContractForDeed[[#This Row],[Princ]],tblContractForDeed[[#This Row],[Int]],tblContractForDeed[[#This Row],[Ins]],tblContractForDeed[[#This Row],[Taxes]])</f>
        <v>0</v>
      </c>
      <c r="W535" s="265">
        <f>SUM(INDEX(tblContractForDeed[Princ],1):INDEX(tblContractForDeed[Princ],ROW()-ROW(tblContractForDeed[#Headers])))</f>
        <v>146500</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39">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5" s="316">
        <f>IF(INDEX(tblContractForDeed[End Bal],ROW()-ROW(tblBuyerOutputs[#Headers]))&lt;=0,0,($O$6+IF(ROW()=ROW(tblBuyerOutputs[#Headers])+1,0,INDEX(tblBuyerOutputs[Cumul Appr],ROW()-ROW(tblBuyerOutputs[#Headers])-1)))*$O$2/12)</f>
        <v>0</v>
      </c>
      <c r="AE535" s="588">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61" t="str">
        <f t="shared" si="119"/>
        <v/>
      </c>
      <c r="B536" s="265">
        <f t="shared" si="120"/>
        <v>0</v>
      </c>
      <c r="C536" s="14">
        <f t="shared" si="117"/>
        <v>0</v>
      </c>
      <c r="D536" s="14">
        <f t="shared" si="121"/>
        <v>0</v>
      </c>
      <c r="E536" s="14">
        <f t="shared" si="118"/>
        <v>0</v>
      </c>
      <c r="K536" s="265">
        <f t="shared" si="122"/>
        <v>0</v>
      </c>
      <c r="L536" s="373">
        <f t="shared" si="116"/>
        <v>0</v>
      </c>
      <c r="M536" s="373">
        <f t="shared" si="123"/>
        <v>0</v>
      </c>
      <c r="N536" s="561"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Row],[Payment]]=0,0,$V$2)</f>
        <v>0</v>
      </c>
      <c r="U536" s="14">
        <f>IF(tblContractForDeed[[#This Row],[Princ]]=0,0,$V$3)</f>
        <v>0</v>
      </c>
      <c r="V536" s="14">
        <f>SUM(tblContractForDeed[[#This Row],[Princ]],tblContractForDeed[[#This Row],[Int]],tblContractForDeed[[#This Row],[Ins]],tblContractForDeed[[#This Row],[Taxes]])</f>
        <v>0</v>
      </c>
      <c r="W536" s="265">
        <f>SUM(INDEX(tblContractForDeed[Princ],1):INDEX(tblContractForDeed[Princ],ROW()-ROW(tblContractForDeed[#Headers])))</f>
        <v>146500</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39">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6" s="265">
        <f>IF(INDEX(tblContractForDeed[End Bal],ROW()-ROW(tblBuyerOutputs[#Headers]))&lt;=0,0,($O$6+IF(ROW()=ROW(tblBuyerOutputs[#Headers])+1,0,INDEX(tblBuyerOutputs[Cumul Appr],ROW()-ROW(tblBuyerOutputs[#Headers])-1)))*$O$2/12)</f>
        <v>0</v>
      </c>
      <c r="AE536" s="587">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61" t="str">
        <f t="shared" si="119"/>
        <v/>
      </c>
      <c r="B537" s="265">
        <f t="shared" si="120"/>
        <v>0</v>
      </c>
      <c r="C537" s="14">
        <f t="shared" si="117"/>
        <v>0</v>
      </c>
      <c r="D537" s="14">
        <f t="shared" si="121"/>
        <v>0</v>
      </c>
      <c r="E537" s="14">
        <f t="shared" si="118"/>
        <v>0</v>
      </c>
      <c r="K537" s="265">
        <f t="shared" si="122"/>
        <v>0</v>
      </c>
      <c r="L537" s="373">
        <f t="shared" si="116"/>
        <v>0</v>
      </c>
      <c r="M537" s="373">
        <f t="shared" si="123"/>
        <v>0</v>
      </c>
      <c r="N537" s="561"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Row],[Payment]]=0,0,$V$2)</f>
        <v>0</v>
      </c>
      <c r="U537" s="14">
        <f>IF(tblContractForDeed[[#This Row],[Princ]]=0,0,$V$3)</f>
        <v>0</v>
      </c>
      <c r="V537" s="14">
        <f>SUM(tblContractForDeed[[#This Row],[Princ]],tblContractForDeed[[#This Row],[Int]],tblContractForDeed[[#This Row],[Ins]],tblContractForDeed[[#This Row],[Taxes]])</f>
        <v>0</v>
      </c>
      <c r="W537" s="265">
        <f>SUM(INDEX(tblContractForDeed[Princ],1):INDEX(tblContractForDeed[Princ],ROW()-ROW(tblContractForDeed[#Headers])))</f>
        <v>146500</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39">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7" s="265">
        <f>IF(INDEX(tblContractForDeed[End Bal],ROW()-ROW(tblBuyerOutputs[#Headers]))&lt;=0,0,($O$6+IF(ROW()=ROW(tblBuyerOutputs[#Headers])+1,0,INDEX(tblBuyerOutputs[Cumul Appr],ROW()-ROW(tblBuyerOutputs[#Headers])-1)))*$O$2/12)</f>
        <v>0</v>
      </c>
      <c r="AE537" s="587">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61" t="str">
        <f t="shared" si="119"/>
        <v/>
      </c>
      <c r="B538" s="265">
        <f t="shared" si="120"/>
        <v>0</v>
      </c>
      <c r="C538" s="14">
        <f t="shared" si="117"/>
        <v>0</v>
      </c>
      <c r="D538" s="14">
        <f t="shared" si="121"/>
        <v>0</v>
      </c>
      <c r="E538" s="14">
        <f t="shared" si="118"/>
        <v>0</v>
      </c>
      <c r="K538" s="265">
        <f t="shared" si="122"/>
        <v>0</v>
      </c>
      <c r="L538" s="373">
        <f t="shared" si="116"/>
        <v>0</v>
      </c>
      <c r="M538" s="373">
        <f t="shared" si="123"/>
        <v>0</v>
      </c>
      <c r="N538" s="561"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Row],[Payment]]=0,0,$V$2)</f>
        <v>0</v>
      </c>
      <c r="U538" s="14">
        <f>IF(tblContractForDeed[[#This Row],[Princ]]=0,0,$V$3)</f>
        <v>0</v>
      </c>
      <c r="V538" s="14">
        <f>SUM(tblContractForDeed[[#This Row],[Princ]],tblContractForDeed[[#This Row],[Int]],tblContractForDeed[[#This Row],[Ins]],tblContractForDeed[[#This Row],[Taxes]])</f>
        <v>0</v>
      </c>
      <c r="W538" s="265">
        <f>SUM(INDEX(tblContractForDeed[Princ],1):INDEX(tblContractForDeed[Princ],ROW()-ROW(tblContractForDeed[#Headers])))</f>
        <v>146500</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39">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8" s="265">
        <f>IF(INDEX(tblContractForDeed[End Bal],ROW()-ROW(tblBuyerOutputs[#Headers]))&lt;=0,0,($O$6+IF(ROW()=ROW(tblBuyerOutputs[#Headers])+1,0,INDEX(tblBuyerOutputs[Cumul Appr],ROW()-ROW(tblBuyerOutputs[#Headers])-1)))*$O$2/12)</f>
        <v>0</v>
      </c>
      <c r="AE538" s="587">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61" t="str">
        <f t="shared" si="119"/>
        <v/>
      </c>
      <c r="B539" s="265">
        <f t="shared" si="120"/>
        <v>0</v>
      </c>
      <c r="C539" s="14">
        <f t="shared" si="117"/>
        <v>0</v>
      </c>
      <c r="D539" s="14">
        <f t="shared" si="121"/>
        <v>0</v>
      </c>
      <c r="E539" s="14">
        <f t="shared" si="118"/>
        <v>0</v>
      </c>
      <c r="K539" s="265">
        <f t="shared" si="122"/>
        <v>0</v>
      </c>
      <c r="L539" s="373">
        <f t="shared" si="116"/>
        <v>0</v>
      </c>
      <c r="M539" s="373">
        <f t="shared" si="123"/>
        <v>0</v>
      </c>
      <c r="N539" s="561"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Row],[Payment]]=0,0,$V$2)</f>
        <v>0</v>
      </c>
      <c r="U539" s="14">
        <f>IF(tblContractForDeed[[#This Row],[Princ]]=0,0,$V$3)</f>
        <v>0</v>
      </c>
      <c r="V539" s="14">
        <f>SUM(tblContractForDeed[[#This Row],[Princ]],tblContractForDeed[[#This Row],[Int]],tblContractForDeed[[#This Row],[Ins]],tblContractForDeed[[#This Row],[Taxes]])</f>
        <v>0</v>
      </c>
      <c r="W539" s="265">
        <f>SUM(INDEX(tblContractForDeed[Princ],1):INDEX(tblContractForDeed[Princ],ROW()-ROW(tblContractForDeed[#Headers])))</f>
        <v>146500</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39">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9" s="265">
        <f>IF(INDEX(tblContractForDeed[End Bal],ROW()-ROW(tblBuyerOutputs[#Headers]))&lt;=0,0,($O$6+IF(ROW()=ROW(tblBuyerOutputs[#Headers])+1,0,INDEX(tblBuyerOutputs[Cumul Appr],ROW()-ROW(tblBuyerOutputs[#Headers])-1)))*$O$2/12)</f>
        <v>0</v>
      </c>
      <c r="AE539" s="587">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61" t="str">
        <f t="shared" si="119"/>
        <v/>
      </c>
      <c r="B540" s="265">
        <f t="shared" si="120"/>
        <v>0</v>
      </c>
      <c r="C540" s="14">
        <f t="shared" si="117"/>
        <v>0</v>
      </c>
      <c r="D540" s="14">
        <f t="shared" si="121"/>
        <v>0</v>
      </c>
      <c r="E540" s="14">
        <f t="shared" si="118"/>
        <v>0</v>
      </c>
      <c r="K540" s="265">
        <f t="shared" si="122"/>
        <v>0</v>
      </c>
      <c r="L540" s="373">
        <f t="shared" si="116"/>
        <v>0</v>
      </c>
      <c r="M540" s="373">
        <f t="shared" si="123"/>
        <v>0</v>
      </c>
      <c r="N540" s="561"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Row],[Payment]]=0,0,$V$2)</f>
        <v>0</v>
      </c>
      <c r="U540" s="14">
        <f>IF(tblContractForDeed[[#This Row],[Princ]]=0,0,$V$3)</f>
        <v>0</v>
      </c>
      <c r="V540" s="14">
        <f>SUM(tblContractForDeed[[#This Row],[Princ]],tblContractForDeed[[#This Row],[Int]],tblContractForDeed[[#This Row],[Ins]],tblContractForDeed[[#This Row],[Taxes]])</f>
        <v>0</v>
      </c>
      <c r="W540" s="265">
        <f>SUM(INDEX(tblContractForDeed[Princ],1):INDEX(tblContractForDeed[Princ],ROW()-ROW(tblContractForDeed[#Headers])))</f>
        <v>146500</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39">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0" s="265">
        <f>IF(INDEX(tblContractForDeed[End Bal],ROW()-ROW(tblBuyerOutputs[#Headers]))&lt;=0,0,($O$6+IF(ROW()=ROW(tblBuyerOutputs[#Headers])+1,0,INDEX(tblBuyerOutputs[Cumul Appr],ROW()-ROW(tblBuyerOutputs[#Headers])-1)))*$O$2/12)</f>
        <v>0</v>
      </c>
      <c r="AE540" s="587">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61" t="str">
        <f t="shared" si="119"/>
        <v/>
      </c>
      <c r="B541" s="265">
        <f t="shared" si="120"/>
        <v>0</v>
      </c>
      <c r="C541" s="14">
        <f t="shared" si="117"/>
        <v>0</v>
      </c>
      <c r="D541" s="14">
        <f t="shared" si="121"/>
        <v>0</v>
      </c>
      <c r="E541" s="14">
        <f t="shared" si="118"/>
        <v>0</v>
      </c>
      <c r="K541" s="265">
        <f t="shared" si="122"/>
        <v>0</v>
      </c>
      <c r="L541" s="373">
        <f t="shared" si="116"/>
        <v>0</v>
      </c>
      <c r="M541" s="373">
        <f t="shared" si="123"/>
        <v>0</v>
      </c>
      <c r="N541" s="561"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Row],[Payment]]=0,0,$V$2)</f>
        <v>0</v>
      </c>
      <c r="U541" s="14">
        <f>IF(tblContractForDeed[[#This Row],[Princ]]=0,0,$V$3)</f>
        <v>0</v>
      </c>
      <c r="V541" s="14">
        <f>SUM(tblContractForDeed[[#This Row],[Princ]],tblContractForDeed[[#This Row],[Int]],tblContractForDeed[[#This Row],[Ins]],tblContractForDeed[[#This Row],[Taxes]])</f>
        <v>0</v>
      </c>
      <c r="W541" s="265">
        <f>SUM(INDEX(tblContractForDeed[Princ],1):INDEX(tblContractForDeed[Princ],ROW()-ROW(tblContractForDeed[#Headers])))</f>
        <v>146500</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39">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1" s="265">
        <f>IF(INDEX(tblContractForDeed[End Bal],ROW()-ROW(tblBuyerOutputs[#Headers]))&lt;=0,0,($O$6+IF(ROW()=ROW(tblBuyerOutputs[#Headers])+1,0,INDEX(tblBuyerOutputs[Cumul Appr],ROW()-ROW(tblBuyerOutputs[#Headers])-1)))*$O$2/12)</f>
        <v>0</v>
      </c>
      <c r="AE541" s="587">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61" t="str">
        <f t="shared" si="119"/>
        <v/>
      </c>
      <c r="B542" s="265">
        <f t="shared" si="120"/>
        <v>0</v>
      </c>
      <c r="C542" s="14">
        <f t="shared" si="117"/>
        <v>0</v>
      </c>
      <c r="D542" s="14">
        <f t="shared" si="121"/>
        <v>0</v>
      </c>
      <c r="E542" s="14">
        <f t="shared" si="118"/>
        <v>0</v>
      </c>
      <c r="K542" s="265">
        <f t="shared" si="122"/>
        <v>0</v>
      </c>
      <c r="L542" s="373">
        <f t="shared" si="116"/>
        <v>0</v>
      </c>
      <c r="M542" s="373">
        <f t="shared" si="123"/>
        <v>0</v>
      </c>
      <c r="N542" s="561"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Row],[Payment]]=0,0,$V$2)</f>
        <v>0</v>
      </c>
      <c r="U542" s="14">
        <f>IF(tblContractForDeed[[#This Row],[Princ]]=0,0,$V$3)</f>
        <v>0</v>
      </c>
      <c r="V542" s="14">
        <f>SUM(tblContractForDeed[[#This Row],[Princ]],tblContractForDeed[[#This Row],[Int]],tblContractForDeed[[#This Row],[Ins]],tblContractForDeed[[#This Row],[Taxes]])</f>
        <v>0</v>
      </c>
      <c r="W542" s="265">
        <f>SUM(INDEX(tblContractForDeed[Princ],1):INDEX(tblContractForDeed[Princ],ROW()-ROW(tblContractForDeed[#Headers])))</f>
        <v>146500</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39">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2" s="265">
        <f>IF(INDEX(tblContractForDeed[End Bal],ROW()-ROW(tblBuyerOutputs[#Headers]))&lt;=0,0,($O$6+IF(ROW()=ROW(tblBuyerOutputs[#Headers])+1,0,INDEX(tblBuyerOutputs[Cumul Appr],ROW()-ROW(tblBuyerOutputs[#Headers])-1)))*$O$2/12)</f>
        <v>0</v>
      </c>
      <c r="AE542" s="587">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61" t="str">
        <f t="shared" si="119"/>
        <v/>
      </c>
      <c r="B543" s="265">
        <f t="shared" si="120"/>
        <v>0</v>
      </c>
      <c r="C543" s="14">
        <f t="shared" si="117"/>
        <v>0</v>
      </c>
      <c r="D543" s="14">
        <f t="shared" si="121"/>
        <v>0</v>
      </c>
      <c r="E543" s="14">
        <f t="shared" si="118"/>
        <v>0</v>
      </c>
      <c r="K543" s="265">
        <f t="shared" si="122"/>
        <v>0</v>
      </c>
      <c r="L543" s="373">
        <f t="shared" si="116"/>
        <v>0</v>
      </c>
      <c r="M543" s="373">
        <f t="shared" si="123"/>
        <v>0</v>
      </c>
      <c r="N543" s="561"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Row],[Payment]]=0,0,$V$2)</f>
        <v>0</v>
      </c>
      <c r="U543" s="14">
        <f>IF(tblContractForDeed[[#This Row],[Princ]]=0,0,$V$3)</f>
        <v>0</v>
      </c>
      <c r="V543" s="14">
        <f>SUM(tblContractForDeed[[#This Row],[Princ]],tblContractForDeed[[#This Row],[Int]],tblContractForDeed[[#This Row],[Ins]],tblContractForDeed[[#This Row],[Taxes]])</f>
        <v>0</v>
      </c>
      <c r="W543" s="265">
        <f>SUM(INDEX(tblContractForDeed[Princ],1):INDEX(tblContractForDeed[Princ],ROW()-ROW(tblContractForDeed[#Headers])))</f>
        <v>146500</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39">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3" s="265">
        <f>IF(INDEX(tblContractForDeed[End Bal],ROW()-ROW(tblBuyerOutputs[#Headers]))&lt;=0,0,($O$6+IF(ROW()=ROW(tblBuyerOutputs[#Headers])+1,0,INDEX(tblBuyerOutputs[Cumul Appr],ROW()-ROW(tblBuyerOutputs[#Headers])-1)))*$O$2/12)</f>
        <v>0</v>
      </c>
      <c r="AE543" s="587">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61" t="str">
        <f t="shared" si="119"/>
        <v/>
      </c>
      <c r="B544" s="265">
        <f t="shared" si="120"/>
        <v>0</v>
      </c>
      <c r="C544" s="14">
        <f t="shared" si="117"/>
        <v>0</v>
      </c>
      <c r="D544" s="14">
        <f t="shared" si="121"/>
        <v>0</v>
      </c>
      <c r="E544" s="14">
        <f t="shared" si="118"/>
        <v>0</v>
      </c>
      <c r="K544" s="265">
        <f t="shared" si="122"/>
        <v>0</v>
      </c>
      <c r="L544" s="373">
        <f t="shared" si="116"/>
        <v>0</v>
      </c>
      <c r="M544" s="373">
        <f t="shared" si="123"/>
        <v>0</v>
      </c>
      <c r="N544" s="561"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Row],[Payment]]=0,0,$V$2)</f>
        <v>0</v>
      </c>
      <c r="U544" s="14">
        <f>IF(tblContractForDeed[[#This Row],[Princ]]=0,0,$V$3)</f>
        <v>0</v>
      </c>
      <c r="V544" s="14">
        <f>SUM(tblContractForDeed[[#This Row],[Princ]],tblContractForDeed[[#This Row],[Int]],tblContractForDeed[[#This Row],[Ins]],tblContractForDeed[[#This Row],[Taxes]])</f>
        <v>0</v>
      </c>
      <c r="W544" s="265">
        <f>SUM(INDEX(tblContractForDeed[Princ],1):INDEX(tblContractForDeed[Princ],ROW()-ROW(tblContractForDeed[#Headers])))</f>
        <v>146500</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39">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4" s="265">
        <f>IF(INDEX(tblContractForDeed[End Bal],ROW()-ROW(tblBuyerOutputs[#Headers]))&lt;=0,0,($O$6+IF(ROW()=ROW(tblBuyerOutputs[#Headers])+1,0,INDEX(tblBuyerOutputs[Cumul Appr],ROW()-ROW(tblBuyerOutputs[#Headers])-1)))*$O$2/12)</f>
        <v>0</v>
      </c>
      <c r="AE544" s="587">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61" t="str">
        <f t="shared" si="119"/>
        <v/>
      </c>
      <c r="B545" s="265">
        <f t="shared" si="120"/>
        <v>0</v>
      </c>
      <c r="C545" s="14">
        <f t="shared" si="117"/>
        <v>0</v>
      </c>
      <c r="D545" s="14">
        <f t="shared" si="121"/>
        <v>0</v>
      </c>
      <c r="E545" s="14">
        <f t="shared" si="118"/>
        <v>0</v>
      </c>
      <c r="K545" s="265">
        <f t="shared" si="122"/>
        <v>0</v>
      </c>
      <c r="L545" s="373">
        <f t="shared" si="116"/>
        <v>0</v>
      </c>
      <c r="M545" s="373">
        <f t="shared" si="123"/>
        <v>0</v>
      </c>
      <c r="N545" s="561"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Row],[Payment]]=0,0,$V$2)</f>
        <v>0</v>
      </c>
      <c r="U545" s="14">
        <f>IF(tblContractForDeed[[#This Row],[Princ]]=0,0,$V$3)</f>
        <v>0</v>
      </c>
      <c r="V545" s="14">
        <f>SUM(tblContractForDeed[[#This Row],[Princ]],tblContractForDeed[[#This Row],[Int]],tblContractForDeed[[#This Row],[Ins]],tblContractForDeed[[#This Row],[Taxes]])</f>
        <v>0</v>
      </c>
      <c r="W545" s="265">
        <f>SUM(INDEX(tblContractForDeed[Princ],1):INDEX(tblContractForDeed[Princ],ROW()-ROW(tblContractForDeed[#Headers])))</f>
        <v>146500</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39">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5" s="265">
        <f>IF(INDEX(tblContractForDeed[End Bal],ROW()-ROW(tblBuyerOutputs[#Headers]))&lt;=0,0,($O$6+IF(ROW()=ROW(tblBuyerOutputs[#Headers])+1,0,INDEX(tblBuyerOutputs[Cumul Appr],ROW()-ROW(tblBuyerOutputs[#Headers])-1)))*$O$2/12)</f>
        <v>0</v>
      </c>
      <c r="AE545" s="587">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61" t="str">
        <f t="shared" si="119"/>
        <v/>
      </c>
      <c r="B546" s="265">
        <f t="shared" si="120"/>
        <v>0</v>
      </c>
      <c r="C546" s="14">
        <f t="shared" si="117"/>
        <v>0</v>
      </c>
      <c r="D546" s="14">
        <f t="shared" si="121"/>
        <v>0</v>
      </c>
      <c r="E546" s="14">
        <f t="shared" si="118"/>
        <v>0</v>
      </c>
      <c r="K546" s="265">
        <f t="shared" si="122"/>
        <v>0</v>
      </c>
      <c r="L546" s="373">
        <f t="shared" si="116"/>
        <v>0</v>
      </c>
      <c r="M546" s="373">
        <f t="shared" si="123"/>
        <v>0</v>
      </c>
      <c r="N546" s="561"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Row],[Payment]]=0,0,$V$2)</f>
        <v>0</v>
      </c>
      <c r="U546" s="14">
        <f>IF(tblContractForDeed[[#This Row],[Princ]]=0,0,$V$3)</f>
        <v>0</v>
      </c>
      <c r="V546" s="14">
        <f>SUM(tblContractForDeed[[#This Row],[Princ]],tblContractForDeed[[#This Row],[Int]],tblContractForDeed[[#This Row],[Ins]],tblContractForDeed[[#This Row],[Taxes]])</f>
        <v>0</v>
      </c>
      <c r="W546" s="265">
        <f>SUM(INDEX(tblContractForDeed[Princ],1):INDEX(tblContractForDeed[Princ],ROW()-ROW(tblContractForDeed[#Headers])))</f>
        <v>146500</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39">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6" s="265">
        <f>IF(INDEX(tblContractForDeed[End Bal],ROW()-ROW(tblBuyerOutputs[#Headers]))&lt;=0,0,($O$6+IF(ROW()=ROW(tblBuyerOutputs[#Headers])+1,0,INDEX(tblBuyerOutputs[Cumul Appr],ROW()-ROW(tblBuyerOutputs[#Headers])-1)))*$O$2/12)</f>
        <v>0</v>
      </c>
      <c r="AE546" s="587">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62" t="str">
        <f t="shared" si="119"/>
        <v/>
      </c>
      <c r="B547" s="316">
        <f t="shared" si="120"/>
        <v>0</v>
      </c>
      <c r="C547" s="21">
        <f t="shared" si="117"/>
        <v>0</v>
      </c>
      <c r="D547" s="21">
        <f t="shared" si="121"/>
        <v>0</v>
      </c>
      <c r="E547" s="21">
        <f t="shared" si="118"/>
        <v>0</v>
      </c>
      <c r="F547" s="21"/>
      <c r="G547" s="21"/>
      <c r="H547" s="21"/>
      <c r="I547" s="316"/>
      <c r="J547" s="316"/>
      <c r="K547" s="316">
        <f t="shared" si="122"/>
        <v>0</v>
      </c>
      <c r="L547" s="374">
        <f t="shared" si="116"/>
        <v>0</v>
      </c>
      <c r="M547" s="374">
        <f t="shared" si="123"/>
        <v>0</v>
      </c>
      <c r="N547" s="562" t="str">
        <f>INDEX(tblSubjectToLoan[Date],ROW()-ROW(tblContractForDeed[#Headers]))</f>
        <v/>
      </c>
      <c r="O547" s="265">
        <f>IF(ROW()=ROW(tblContractForDeed[#Headers])+1,$O$6,IF(INDEX(tblContractForDeed[End Bal],ROW()-ROW(tblContractForDeed[#Headers])-1)&lt;0,0,INDEX(tblContractForDeed[End Bal],ROW()-ROW(tblContractForDeed[#Headers])-1)))</f>
        <v>0</v>
      </c>
      <c r="P547" s="585"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Row],[Payment]]=0,0,$V$2)</f>
        <v>0</v>
      </c>
      <c r="U547" s="14">
        <f>IF(tblContractForDeed[[#This Row],[Princ]]=0,0,$V$3)</f>
        <v>0</v>
      </c>
      <c r="V547" s="14">
        <f>SUM(tblContractForDeed[[#This Row],[Princ]],tblContractForDeed[[#This Row],[Int]],tblContractForDeed[[#This Row],[Ins]],tblContractForDeed[[#This Row],[Taxes]])</f>
        <v>0</v>
      </c>
      <c r="W547" s="265">
        <f>SUM(INDEX(tblContractForDeed[Princ],1):INDEX(tblContractForDeed[Princ],ROW()-ROW(tblContractForDeed[#Headers])))</f>
        <v>146500</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39">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7" s="316">
        <f>IF(INDEX(tblContractForDeed[End Bal],ROW()-ROW(tblBuyerOutputs[#Headers]))&lt;=0,0,($O$6+IF(ROW()=ROW(tblBuyerOutputs[#Headers])+1,0,INDEX(tblBuyerOutputs[Cumul Appr],ROW()-ROW(tblBuyerOutputs[#Headers])-1)))*$O$2/12)</f>
        <v>0</v>
      </c>
      <c r="AE547" s="588">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61" t="str">
        <f t="shared" si="119"/>
        <v/>
      </c>
      <c r="B548" s="265">
        <f t="shared" si="120"/>
        <v>0</v>
      </c>
      <c r="C548" s="14">
        <f t="shared" si="117"/>
        <v>0</v>
      </c>
      <c r="D548" s="14">
        <f t="shared" si="121"/>
        <v>0</v>
      </c>
      <c r="E548" s="14">
        <f t="shared" si="118"/>
        <v>0</v>
      </c>
      <c r="K548" s="265">
        <f t="shared" si="122"/>
        <v>0</v>
      </c>
      <c r="L548" s="373">
        <f t="shared" si="116"/>
        <v>0</v>
      </c>
      <c r="M548" s="373">
        <f t="shared" si="123"/>
        <v>0</v>
      </c>
      <c r="N548" s="561"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Row],[Payment]]=0,0,$V$2)</f>
        <v>0</v>
      </c>
      <c r="U548" s="14">
        <f>IF(tblContractForDeed[[#This Row],[Princ]]=0,0,$V$3)</f>
        <v>0</v>
      </c>
      <c r="V548" s="14">
        <f>SUM(tblContractForDeed[[#This Row],[Princ]],tblContractForDeed[[#This Row],[Int]],tblContractForDeed[[#This Row],[Ins]],tblContractForDeed[[#This Row],[Taxes]])</f>
        <v>0</v>
      </c>
      <c r="W548" s="265">
        <f>SUM(INDEX(tblContractForDeed[Princ],1):INDEX(tblContractForDeed[Princ],ROW()-ROW(tblContractForDeed[#Headers])))</f>
        <v>146500</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39">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8" s="265">
        <f>IF(INDEX(tblContractForDeed[End Bal],ROW()-ROW(tblBuyerOutputs[#Headers]))&lt;=0,0,($O$6+IF(ROW()=ROW(tblBuyerOutputs[#Headers])+1,0,INDEX(tblBuyerOutputs[Cumul Appr],ROW()-ROW(tblBuyerOutputs[#Headers])-1)))*$O$2/12)</f>
        <v>0</v>
      </c>
      <c r="AE548" s="587">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61" t="str">
        <f t="shared" si="119"/>
        <v/>
      </c>
      <c r="B549" s="265">
        <f t="shared" si="120"/>
        <v>0</v>
      </c>
      <c r="C549" s="14">
        <f t="shared" si="117"/>
        <v>0</v>
      </c>
      <c r="D549" s="14">
        <f t="shared" si="121"/>
        <v>0</v>
      </c>
      <c r="E549" s="14">
        <f t="shared" si="118"/>
        <v>0</v>
      </c>
      <c r="K549" s="265">
        <f t="shared" si="122"/>
        <v>0</v>
      </c>
      <c r="L549" s="373">
        <f t="shared" si="116"/>
        <v>0</v>
      </c>
      <c r="M549" s="373">
        <f t="shared" si="123"/>
        <v>0</v>
      </c>
      <c r="N549" s="561"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Row],[Payment]]=0,0,$V$2)</f>
        <v>0</v>
      </c>
      <c r="U549" s="14">
        <f>IF(tblContractForDeed[[#This Row],[Princ]]=0,0,$V$3)</f>
        <v>0</v>
      </c>
      <c r="V549" s="14">
        <f>SUM(tblContractForDeed[[#This Row],[Princ]],tblContractForDeed[[#This Row],[Int]],tblContractForDeed[[#This Row],[Ins]],tblContractForDeed[[#This Row],[Taxes]])</f>
        <v>0</v>
      </c>
      <c r="W549" s="265">
        <f>SUM(INDEX(tblContractForDeed[Princ],1):INDEX(tblContractForDeed[Princ],ROW()-ROW(tblContractForDeed[#Headers])))</f>
        <v>146500</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9" s="265">
        <f>IF(INDEX(tblContractForDeed[End Bal],ROW()-ROW(tblBuyerOutputs[#Headers]))&lt;=0,0,($O$6+IF(ROW()=ROW(tblBuyerOutputs[#Headers])+1,0,INDEX(tblBuyerOutputs[Cumul Appr],ROW()-ROW(tblBuyerOutputs[#Headers])-1)))*$O$2/12)</f>
        <v>0</v>
      </c>
      <c r="AE549" s="587">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61" t="str">
        <f t="shared" si="119"/>
        <v/>
      </c>
      <c r="B550" s="265">
        <f t="shared" si="120"/>
        <v>0</v>
      </c>
      <c r="C550" s="14">
        <f t="shared" si="117"/>
        <v>0</v>
      </c>
      <c r="D550" s="14">
        <f t="shared" si="121"/>
        <v>0</v>
      </c>
      <c r="E550" s="14">
        <f t="shared" si="118"/>
        <v>0</v>
      </c>
      <c r="K550" s="265">
        <f t="shared" si="122"/>
        <v>0</v>
      </c>
      <c r="L550" s="373">
        <f t="shared" si="116"/>
        <v>0</v>
      </c>
      <c r="M550" s="373">
        <f t="shared" si="123"/>
        <v>0</v>
      </c>
      <c r="N550" s="561"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Row],[Payment]]=0,0,$V$2)</f>
        <v>0</v>
      </c>
      <c r="U550" s="14">
        <f>IF(tblContractForDeed[[#This Row],[Princ]]=0,0,$V$3)</f>
        <v>0</v>
      </c>
      <c r="V550" s="14">
        <f>SUM(tblContractForDeed[[#This Row],[Princ]],tblContractForDeed[[#This Row],[Int]],tblContractForDeed[[#This Row],[Ins]],tblContractForDeed[[#This Row],[Taxes]])</f>
        <v>0</v>
      </c>
      <c r="W550" s="265">
        <f>SUM(INDEX(tblContractForDeed[Princ],1):INDEX(tblContractForDeed[Princ],ROW()-ROW(tblContractForDeed[#Headers])))</f>
        <v>146500</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0" s="265">
        <f>IF(INDEX(tblContractForDeed[End Bal],ROW()-ROW(tblBuyerOutputs[#Headers]))&lt;=0,0,($O$6+IF(ROW()=ROW(tblBuyerOutputs[#Headers])+1,0,INDEX(tblBuyerOutputs[Cumul Appr],ROW()-ROW(tblBuyerOutputs[#Headers])-1)))*$O$2/12)</f>
        <v>0</v>
      </c>
      <c r="AE550" s="587">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61" t="str">
        <f t="shared" si="119"/>
        <v/>
      </c>
      <c r="B551" s="265">
        <f t="shared" si="120"/>
        <v>0</v>
      </c>
      <c r="C551" s="14">
        <f t="shared" si="117"/>
        <v>0</v>
      </c>
      <c r="D551" s="14">
        <f t="shared" si="121"/>
        <v>0</v>
      </c>
      <c r="E551" s="14">
        <f t="shared" si="118"/>
        <v>0</v>
      </c>
      <c r="K551" s="265">
        <f t="shared" si="122"/>
        <v>0</v>
      </c>
      <c r="L551" s="373">
        <f t="shared" si="116"/>
        <v>0</v>
      </c>
      <c r="M551" s="373">
        <f t="shared" si="123"/>
        <v>0</v>
      </c>
      <c r="N551" s="561"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Row],[Payment]]=0,0,$V$2)</f>
        <v>0</v>
      </c>
      <c r="U551" s="14">
        <f>IF(tblContractForDeed[[#This Row],[Princ]]=0,0,$V$3)</f>
        <v>0</v>
      </c>
      <c r="V551" s="14">
        <f>SUM(tblContractForDeed[[#This Row],[Princ]],tblContractForDeed[[#This Row],[Int]],tblContractForDeed[[#This Row],[Ins]],tblContractForDeed[[#This Row],[Taxes]])</f>
        <v>0</v>
      </c>
      <c r="W551" s="265">
        <f>SUM(INDEX(tblContractForDeed[Princ],1):INDEX(tblContractForDeed[Princ],ROW()-ROW(tblContractForDeed[#Headers])))</f>
        <v>146500</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1" s="265">
        <f>IF(INDEX(tblContractForDeed[End Bal],ROW()-ROW(tblBuyerOutputs[#Headers]))&lt;=0,0,($O$6+IF(ROW()=ROW(tblBuyerOutputs[#Headers])+1,0,INDEX(tblBuyerOutputs[Cumul Appr],ROW()-ROW(tblBuyerOutputs[#Headers])-1)))*$O$2/12)</f>
        <v>0</v>
      </c>
      <c r="AE551" s="587">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61" t="str">
        <f t="shared" si="119"/>
        <v/>
      </c>
      <c r="B552" s="265">
        <f t="shared" si="120"/>
        <v>0</v>
      </c>
      <c r="C552" s="14">
        <f t="shared" si="117"/>
        <v>0</v>
      </c>
      <c r="D552" s="14">
        <f t="shared" si="121"/>
        <v>0</v>
      </c>
      <c r="E552" s="14">
        <f t="shared" si="118"/>
        <v>0</v>
      </c>
      <c r="K552" s="265">
        <f t="shared" si="122"/>
        <v>0</v>
      </c>
      <c r="L552" s="373">
        <f t="shared" si="116"/>
        <v>0</v>
      </c>
      <c r="M552" s="373">
        <f t="shared" si="123"/>
        <v>0</v>
      </c>
      <c r="N552" s="561"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Row],[Payment]]=0,0,$V$2)</f>
        <v>0</v>
      </c>
      <c r="U552" s="14">
        <f>IF(tblContractForDeed[[#This Row],[Princ]]=0,0,$V$3)</f>
        <v>0</v>
      </c>
      <c r="V552" s="14">
        <f>SUM(tblContractForDeed[[#This Row],[Princ]],tblContractForDeed[[#This Row],[Int]],tblContractForDeed[[#This Row],[Ins]],tblContractForDeed[[#This Row],[Taxes]])</f>
        <v>0</v>
      </c>
      <c r="W552" s="265">
        <f>SUM(INDEX(tblContractForDeed[Princ],1):INDEX(tblContractForDeed[Princ],ROW()-ROW(tblContractForDeed[#Headers])))</f>
        <v>146500</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2" s="265">
        <f>IF(INDEX(tblContractForDeed[End Bal],ROW()-ROW(tblBuyerOutputs[#Headers]))&lt;=0,0,($O$6+IF(ROW()=ROW(tblBuyerOutputs[#Headers])+1,0,INDEX(tblBuyerOutputs[Cumul Appr],ROW()-ROW(tblBuyerOutputs[#Headers])-1)))*$O$2/12)</f>
        <v>0</v>
      </c>
      <c r="AE552" s="587">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61" t="str">
        <f t="shared" si="119"/>
        <v/>
      </c>
      <c r="B553" s="265">
        <f t="shared" si="120"/>
        <v>0</v>
      </c>
      <c r="C553" s="14">
        <f t="shared" si="117"/>
        <v>0</v>
      </c>
      <c r="D553" s="14">
        <f t="shared" si="121"/>
        <v>0</v>
      </c>
      <c r="E553" s="14">
        <f t="shared" si="118"/>
        <v>0</v>
      </c>
      <c r="K553" s="265">
        <f t="shared" si="122"/>
        <v>0</v>
      </c>
      <c r="L553" s="373">
        <f t="shared" si="116"/>
        <v>0</v>
      </c>
      <c r="M553" s="373">
        <f t="shared" si="123"/>
        <v>0</v>
      </c>
      <c r="N553" s="561"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Row],[Payment]]=0,0,$V$2)</f>
        <v>0</v>
      </c>
      <c r="U553" s="14">
        <f>IF(tblContractForDeed[[#This Row],[Princ]]=0,0,$V$3)</f>
        <v>0</v>
      </c>
      <c r="V553" s="14">
        <f>SUM(tblContractForDeed[[#This Row],[Princ]],tblContractForDeed[[#This Row],[Int]],tblContractForDeed[[#This Row],[Ins]],tblContractForDeed[[#This Row],[Taxes]])</f>
        <v>0</v>
      </c>
      <c r="W553" s="265">
        <f>SUM(INDEX(tblContractForDeed[Princ],1):INDEX(tblContractForDeed[Princ],ROW()-ROW(tblContractForDeed[#Headers])))</f>
        <v>146500</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3" s="265">
        <f>IF(INDEX(tblContractForDeed[End Bal],ROW()-ROW(tblBuyerOutputs[#Headers]))&lt;=0,0,($O$6+IF(ROW()=ROW(tblBuyerOutputs[#Headers])+1,0,INDEX(tblBuyerOutputs[Cumul Appr],ROW()-ROW(tblBuyerOutputs[#Headers])-1)))*$O$2/12)</f>
        <v>0</v>
      </c>
      <c r="AE553" s="587">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61" t="str">
        <f t="shared" si="119"/>
        <v/>
      </c>
      <c r="B554" s="265">
        <f t="shared" si="120"/>
        <v>0</v>
      </c>
      <c r="C554" s="14">
        <f t="shared" si="117"/>
        <v>0</v>
      </c>
      <c r="D554" s="14">
        <f t="shared" si="121"/>
        <v>0</v>
      </c>
      <c r="E554" s="14">
        <f t="shared" si="118"/>
        <v>0</v>
      </c>
      <c r="K554" s="265">
        <f t="shared" si="122"/>
        <v>0</v>
      </c>
      <c r="L554" s="373">
        <f t="shared" si="116"/>
        <v>0</v>
      </c>
      <c r="M554" s="373">
        <f t="shared" si="123"/>
        <v>0</v>
      </c>
      <c r="N554" s="561"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Row],[Payment]]=0,0,$V$2)</f>
        <v>0</v>
      </c>
      <c r="U554" s="14">
        <f>IF(tblContractForDeed[[#This Row],[Princ]]=0,0,$V$3)</f>
        <v>0</v>
      </c>
      <c r="V554" s="14">
        <f>SUM(tblContractForDeed[[#This Row],[Princ]],tblContractForDeed[[#This Row],[Int]],tblContractForDeed[[#This Row],[Ins]],tblContractForDeed[[#This Row],[Taxes]])</f>
        <v>0</v>
      </c>
      <c r="W554" s="265">
        <f>SUM(INDEX(tblContractForDeed[Princ],1):INDEX(tblContractForDeed[Princ],ROW()-ROW(tblContractForDeed[#Headers])))</f>
        <v>146500</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4" s="265">
        <f>IF(INDEX(tblContractForDeed[End Bal],ROW()-ROW(tblBuyerOutputs[#Headers]))&lt;=0,0,($O$6+IF(ROW()=ROW(tblBuyerOutputs[#Headers])+1,0,INDEX(tblBuyerOutputs[Cumul Appr],ROW()-ROW(tblBuyerOutputs[#Headers])-1)))*$O$2/12)</f>
        <v>0</v>
      </c>
      <c r="AE554" s="587">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61" t="str">
        <f t="shared" si="119"/>
        <v/>
      </c>
      <c r="B555" s="265">
        <f t="shared" si="120"/>
        <v>0</v>
      </c>
      <c r="C555" s="14">
        <f t="shared" si="117"/>
        <v>0</v>
      </c>
      <c r="D555" s="14">
        <f t="shared" si="121"/>
        <v>0</v>
      </c>
      <c r="E555" s="14">
        <f t="shared" si="118"/>
        <v>0</v>
      </c>
      <c r="K555" s="265">
        <f t="shared" si="122"/>
        <v>0</v>
      </c>
      <c r="L555" s="373">
        <f t="shared" si="116"/>
        <v>0</v>
      </c>
      <c r="M555" s="373">
        <f t="shared" si="123"/>
        <v>0</v>
      </c>
      <c r="N555" s="561"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Row],[Payment]]=0,0,$V$2)</f>
        <v>0</v>
      </c>
      <c r="U555" s="14">
        <f>IF(tblContractForDeed[[#This Row],[Princ]]=0,0,$V$3)</f>
        <v>0</v>
      </c>
      <c r="V555" s="14">
        <f>SUM(tblContractForDeed[[#This Row],[Princ]],tblContractForDeed[[#This Row],[Int]],tblContractForDeed[[#This Row],[Ins]],tblContractForDeed[[#This Row],[Taxes]])</f>
        <v>0</v>
      </c>
      <c r="W555" s="265">
        <f>SUM(INDEX(tblContractForDeed[Princ],1):INDEX(tblContractForDeed[Princ],ROW()-ROW(tblContractForDeed[#Headers])))</f>
        <v>146500</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5" s="265">
        <f>IF(INDEX(tblContractForDeed[End Bal],ROW()-ROW(tblBuyerOutputs[#Headers]))&lt;=0,0,($O$6+IF(ROW()=ROW(tblBuyerOutputs[#Headers])+1,0,INDEX(tblBuyerOutputs[Cumul Appr],ROW()-ROW(tblBuyerOutputs[#Headers])-1)))*$O$2/12)</f>
        <v>0</v>
      </c>
      <c r="AE555" s="587">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61" t="str">
        <f t="shared" si="119"/>
        <v/>
      </c>
      <c r="B556" s="265">
        <f t="shared" si="120"/>
        <v>0</v>
      </c>
      <c r="C556" s="14">
        <f t="shared" si="117"/>
        <v>0</v>
      </c>
      <c r="D556" s="14">
        <f t="shared" si="121"/>
        <v>0</v>
      </c>
      <c r="E556" s="14">
        <f t="shared" si="118"/>
        <v>0</v>
      </c>
      <c r="K556" s="265">
        <f t="shared" si="122"/>
        <v>0</v>
      </c>
      <c r="L556" s="373">
        <f t="shared" si="116"/>
        <v>0</v>
      </c>
      <c r="M556" s="373">
        <f t="shared" si="123"/>
        <v>0</v>
      </c>
      <c r="N556" s="561"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Row],[Payment]]=0,0,$V$2)</f>
        <v>0</v>
      </c>
      <c r="U556" s="14">
        <f>IF(tblContractForDeed[[#This Row],[Princ]]=0,0,$V$3)</f>
        <v>0</v>
      </c>
      <c r="V556" s="14">
        <f>SUM(tblContractForDeed[[#This Row],[Princ]],tblContractForDeed[[#This Row],[Int]],tblContractForDeed[[#This Row],[Ins]],tblContractForDeed[[#This Row],[Taxes]])</f>
        <v>0</v>
      </c>
      <c r="W556" s="265">
        <f>SUM(INDEX(tblContractForDeed[Princ],1):INDEX(tblContractForDeed[Princ],ROW()-ROW(tblContractForDeed[#Headers])))</f>
        <v>146500</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6" s="265">
        <f>IF(INDEX(tblContractForDeed[End Bal],ROW()-ROW(tblBuyerOutputs[#Headers]))&lt;=0,0,($O$6+IF(ROW()=ROW(tblBuyerOutputs[#Headers])+1,0,INDEX(tblBuyerOutputs[Cumul Appr],ROW()-ROW(tblBuyerOutputs[#Headers])-1)))*$O$2/12)</f>
        <v>0</v>
      </c>
      <c r="AE556" s="587">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61" t="str">
        <f t="shared" si="119"/>
        <v/>
      </c>
      <c r="B557" s="265">
        <f t="shared" si="120"/>
        <v>0</v>
      </c>
      <c r="C557" s="14">
        <f t="shared" si="117"/>
        <v>0</v>
      </c>
      <c r="D557" s="14">
        <f t="shared" si="121"/>
        <v>0</v>
      </c>
      <c r="E557" s="14">
        <f t="shared" si="118"/>
        <v>0</v>
      </c>
      <c r="K557" s="265">
        <f t="shared" si="122"/>
        <v>0</v>
      </c>
      <c r="L557" s="373">
        <f t="shared" si="116"/>
        <v>0</v>
      </c>
      <c r="M557" s="373">
        <f t="shared" si="123"/>
        <v>0</v>
      </c>
      <c r="N557" s="561"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Row],[Payment]]=0,0,$V$2)</f>
        <v>0</v>
      </c>
      <c r="U557" s="14">
        <f>IF(tblContractForDeed[[#This Row],[Princ]]=0,0,$V$3)</f>
        <v>0</v>
      </c>
      <c r="V557" s="14">
        <f>SUM(tblContractForDeed[[#This Row],[Princ]],tblContractForDeed[[#This Row],[Int]],tblContractForDeed[[#This Row],[Ins]],tblContractForDeed[[#This Row],[Taxes]])</f>
        <v>0</v>
      </c>
      <c r="W557" s="265">
        <f>SUM(INDEX(tblContractForDeed[Princ],1):INDEX(tblContractForDeed[Princ],ROW()-ROW(tblContractForDeed[#Headers])))</f>
        <v>146500</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7" s="265">
        <f>IF(INDEX(tblContractForDeed[End Bal],ROW()-ROW(tblBuyerOutputs[#Headers]))&lt;=0,0,($O$6+IF(ROW()=ROW(tblBuyerOutputs[#Headers])+1,0,INDEX(tblBuyerOutputs[Cumul Appr],ROW()-ROW(tblBuyerOutputs[#Headers])-1)))*$O$2/12)</f>
        <v>0</v>
      </c>
      <c r="AE557" s="587">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61" t="str">
        <f t="shared" si="119"/>
        <v/>
      </c>
      <c r="B558" s="265">
        <f t="shared" si="120"/>
        <v>0</v>
      </c>
      <c r="C558" s="14">
        <f t="shared" si="117"/>
        <v>0</v>
      </c>
      <c r="D558" s="14">
        <f t="shared" si="121"/>
        <v>0</v>
      </c>
      <c r="E558" s="14">
        <f t="shared" si="118"/>
        <v>0</v>
      </c>
      <c r="K558" s="265">
        <f t="shared" si="122"/>
        <v>0</v>
      </c>
      <c r="L558" s="373">
        <f t="shared" si="116"/>
        <v>0</v>
      </c>
      <c r="M558" s="373">
        <f t="shared" si="123"/>
        <v>0</v>
      </c>
      <c r="N558" s="561"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Row],[Payment]]=0,0,$V$2)</f>
        <v>0</v>
      </c>
      <c r="U558" s="14">
        <f>IF(tblContractForDeed[[#This Row],[Princ]]=0,0,$V$3)</f>
        <v>0</v>
      </c>
      <c r="V558" s="14">
        <f>SUM(tblContractForDeed[[#This Row],[Princ]],tblContractForDeed[[#This Row],[Int]],tblContractForDeed[[#This Row],[Ins]],tblContractForDeed[[#This Row],[Taxes]])</f>
        <v>0</v>
      </c>
      <c r="W558" s="265">
        <f>SUM(INDEX(tblContractForDeed[Princ],1):INDEX(tblContractForDeed[Princ],ROW()-ROW(tblContractForDeed[#Headers])))</f>
        <v>146500</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8" s="265">
        <f>IF(INDEX(tblContractForDeed[End Bal],ROW()-ROW(tblBuyerOutputs[#Headers]))&lt;=0,0,($O$6+IF(ROW()=ROW(tblBuyerOutputs[#Headers])+1,0,INDEX(tblBuyerOutputs[Cumul Appr],ROW()-ROW(tblBuyerOutputs[#Headers])-1)))*$O$2/12)</f>
        <v>0</v>
      </c>
      <c r="AE558" s="587">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62" t="str">
        <f t="shared" si="119"/>
        <v/>
      </c>
      <c r="B559" s="316">
        <f t="shared" si="120"/>
        <v>0</v>
      </c>
      <c r="C559" s="21">
        <f t="shared" si="117"/>
        <v>0</v>
      </c>
      <c r="D559" s="21">
        <f t="shared" si="121"/>
        <v>0</v>
      </c>
      <c r="E559" s="21">
        <f t="shared" si="118"/>
        <v>0</v>
      </c>
      <c r="F559" s="21"/>
      <c r="G559" s="21"/>
      <c r="H559" s="21"/>
      <c r="I559" s="316"/>
      <c r="J559" s="316"/>
      <c r="K559" s="316">
        <f t="shared" si="122"/>
        <v>0</v>
      </c>
      <c r="L559" s="374">
        <f t="shared" si="116"/>
        <v>0</v>
      </c>
      <c r="M559" s="374">
        <f t="shared" si="123"/>
        <v>0</v>
      </c>
      <c r="N559" s="562" t="str">
        <f>INDEX(tblSubjectToLoan[Date],ROW()-ROW(tblContractForDeed[#Headers]))</f>
        <v/>
      </c>
      <c r="O559" s="316">
        <f>IF(ROW()=ROW(tblContractForDeed[#Headers])+1,$O$6,IF(INDEX(tblContractForDeed[End Bal],ROW()-ROW(tblContractForDeed[#Headers])-1)&lt;0,0,INDEX(tblContractForDeed[End Bal],ROW()-ROW(tblContractForDeed[#Headers])-1)))</f>
        <v>0</v>
      </c>
      <c r="P559" s="585"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Row],[Payment]]=0,0,$V$2)</f>
        <v>0</v>
      </c>
      <c r="U559" s="21">
        <f>IF(tblContractForDeed[[#This Row],[Princ]]=0,0,$V$3)</f>
        <v>0</v>
      </c>
      <c r="V559" s="21">
        <f>SUM(tblContractForDeed[[#This Row],[Princ]],tblContractForDeed[[#This Row],[Int]],tblContractForDeed[[#This Row],[Ins]],tblContractForDeed[[#This Row],[Taxes]])</f>
        <v>0</v>
      </c>
      <c r="W559" s="316">
        <f>SUM(INDEX(tblContractForDeed[Princ],1):INDEX(tblContractForDeed[Princ],ROW()-ROW(tblContractForDeed[#Headers])))</f>
        <v>146500</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9" s="316">
        <f>IF(INDEX(tblContractForDeed[End Bal],ROW()-ROW(tblBuyerOutputs[#Headers]))&lt;=0,0,($O$6+IF(ROW()=ROW(tblBuyerOutputs[#Headers])+1,0,INDEX(tblBuyerOutputs[Cumul Appr],ROW()-ROW(tblBuyerOutputs[#Headers])-1)))*$O$2/12)</f>
        <v>0</v>
      </c>
      <c r="AE559" s="588">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61" t="str">
        <f t="shared" si="119"/>
        <v/>
      </c>
      <c r="B560" s="265">
        <f t="shared" si="120"/>
        <v>0</v>
      </c>
      <c r="C560" s="14">
        <f t="shared" si="117"/>
        <v>0</v>
      </c>
      <c r="D560" s="14">
        <f t="shared" si="121"/>
        <v>0</v>
      </c>
      <c r="E560" s="14">
        <f t="shared" si="118"/>
        <v>0</v>
      </c>
      <c r="K560" s="265">
        <f t="shared" si="122"/>
        <v>0</v>
      </c>
      <c r="L560" s="373">
        <f t="shared" si="116"/>
        <v>0</v>
      </c>
      <c r="M560" s="373">
        <f t="shared" si="123"/>
        <v>0</v>
      </c>
      <c r="N560" s="561"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Row],[Payment]]=0,0,$V$2)</f>
        <v>0</v>
      </c>
      <c r="U560" s="14">
        <f>IF(tblContractForDeed[[#This Row],[Princ]]=0,0,$V$3)</f>
        <v>0</v>
      </c>
      <c r="V560" s="14">
        <f>SUM(tblContractForDeed[[#This Row],[Princ]],tblContractForDeed[[#This Row],[Int]],tblContractForDeed[[#This Row],[Ins]],tblContractForDeed[[#This Row],[Taxes]])</f>
        <v>0</v>
      </c>
      <c r="W560" s="265">
        <f>SUM(INDEX(tblContractForDeed[Princ],1):INDEX(tblContractForDeed[Princ],ROW()-ROW(tblContractForDeed[#Headers])))</f>
        <v>146500</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0" s="265">
        <f>IF(INDEX(tblContractForDeed[End Bal],ROW()-ROW(tblBuyerOutputs[#Headers]))&lt;=0,0,($O$6+IF(ROW()=ROW(tblBuyerOutputs[#Headers])+1,0,INDEX(tblBuyerOutputs[Cumul Appr],ROW()-ROW(tblBuyerOutputs[#Headers])-1)))*$O$2/12)</f>
        <v>0</v>
      </c>
      <c r="AE560" s="587">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61" t="str">
        <f t="shared" si="119"/>
        <v/>
      </c>
      <c r="B561" s="265">
        <f t="shared" si="120"/>
        <v>0</v>
      </c>
      <c r="C561" s="14">
        <f t="shared" si="117"/>
        <v>0</v>
      </c>
      <c r="D561" s="14">
        <f t="shared" si="121"/>
        <v>0</v>
      </c>
      <c r="E561" s="14">
        <f t="shared" si="118"/>
        <v>0</v>
      </c>
      <c r="K561" s="265">
        <f t="shared" si="122"/>
        <v>0</v>
      </c>
      <c r="L561" s="373">
        <f t="shared" si="116"/>
        <v>0</v>
      </c>
      <c r="M561" s="373">
        <f t="shared" si="123"/>
        <v>0</v>
      </c>
      <c r="N561" s="561"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Row],[Payment]]=0,0,$V$2)</f>
        <v>0</v>
      </c>
      <c r="U561" s="14">
        <f>IF(tblContractForDeed[[#This Row],[Princ]]=0,0,$V$3)</f>
        <v>0</v>
      </c>
      <c r="V561" s="14">
        <f>SUM(tblContractForDeed[[#This Row],[Princ]],tblContractForDeed[[#This Row],[Int]],tblContractForDeed[[#This Row],[Ins]],tblContractForDeed[[#This Row],[Taxes]])</f>
        <v>0</v>
      </c>
      <c r="W561" s="265">
        <f>SUM(INDEX(tblContractForDeed[Princ],1):INDEX(tblContractForDeed[Princ],ROW()-ROW(tblContractForDeed[#Headers])))</f>
        <v>146500</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1" s="265">
        <f>IF(INDEX(tblContractForDeed[End Bal],ROW()-ROW(tblBuyerOutputs[#Headers]))&lt;=0,0,($O$6+IF(ROW()=ROW(tblBuyerOutputs[#Headers])+1,0,INDEX(tblBuyerOutputs[Cumul Appr],ROW()-ROW(tblBuyerOutputs[#Headers])-1)))*$O$2/12)</f>
        <v>0</v>
      </c>
      <c r="AE561" s="587">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61" t="str">
        <f t="shared" si="119"/>
        <v/>
      </c>
      <c r="B562" s="265">
        <f t="shared" si="120"/>
        <v>0</v>
      </c>
      <c r="C562" s="14">
        <f t="shared" si="117"/>
        <v>0</v>
      </c>
      <c r="D562" s="14">
        <f t="shared" si="121"/>
        <v>0</v>
      </c>
      <c r="E562" s="14">
        <f t="shared" si="118"/>
        <v>0</v>
      </c>
      <c r="K562" s="265">
        <f t="shared" si="122"/>
        <v>0</v>
      </c>
      <c r="L562" s="373">
        <f t="shared" si="116"/>
        <v>0</v>
      </c>
      <c r="M562" s="373">
        <f t="shared" si="123"/>
        <v>0</v>
      </c>
      <c r="N562" s="561"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Row],[Payment]]=0,0,$V$2)</f>
        <v>0</v>
      </c>
      <c r="U562" s="14">
        <f>IF(tblContractForDeed[[#This Row],[Princ]]=0,0,$V$3)</f>
        <v>0</v>
      </c>
      <c r="V562" s="14">
        <f>SUM(tblContractForDeed[[#This Row],[Princ]],tblContractForDeed[[#This Row],[Int]],tblContractForDeed[[#This Row],[Ins]],tblContractForDeed[[#This Row],[Taxes]])</f>
        <v>0</v>
      </c>
      <c r="W562" s="265">
        <f>SUM(INDEX(tblContractForDeed[Princ],1):INDEX(tblContractForDeed[Princ],ROW()-ROW(tblContractForDeed[#Headers])))</f>
        <v>146500</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2" s="265">
        <f>IF(INDEX(tblContractForDeed[End Bal],ROW()-ROW(tblBuyerOutputs[#Headers]))&lt;=0,0,($O$6+IF(ROW()=ROW(tblBuyerOutputs[#Headers])+1,0,INDEX(tblBuyerOutputs[Cumul Appr],ROW()-ROW(tblBuyerOutputs[#Headers])-1)))*$O$2/12)</f>
        <v>0</v>
      </c>
      <c r="AE562" s="587">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61" t="str">
        <f t="shared" si="119"/>
        <v/>
      </c>
      <c r="B563" s="265">
        <f t="shared" si="120"/>
        <v>0</v>
      </c>
      <c r="C563" s="14">
        <f t="shared" si="117"/>
        <v>0</v>
      </c>
      <c r="D563" s="14">
        <f t="shared" si="121"/>
        <v>0</v>
      </c>
      <c r="E563" s="14">
        <f t="shared" si="118"/>
        <v>0</v>
      </c>
      <c r="K563" s="265">
        <f t="shared" si="122"/>
        <v>0</v>
      </c>
      <c r="L563" s="373">
        <f t="shared" si="116"/>
        <v>0</v>
      </c>
      <c r="M563" s="373">
        <f t="shared" si="123"/>
        <v>0</v>
      </c>
      <c r="N563" s="561"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Row],[Payment]]=0,0,$V$2)</f>
        <v>0</v>
      </c>
      <c r="U563" s="14">
        <f>IF(tblContractForDeed[[#This Row],[Princ]]=0,0,$V$3)</f>
        <v>0</v>
      </c>
      <c r="V563" s="14">
        <f>SUM(tblContractForDeed[[#This Row],[Princ]],tblContractForDeed[[#This Row],[Int]],tblContractForDeed[[#This Row],[Ins]],tblContractForDeed[[#This Row],[Taxes]])</f>
        <v>0</v>
      </c>
      <c r="W563" s="265">
        <f>SUM(INDEX(tblContractForDeed[Princ],1):INDEX(tblContractForDeed[Princ],ROW()-ROW(tblContractForDeed[#Headers])))</f>
        <v>146500</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3" s="265">
        <f>IF(INDEX(tblContractForDeed[End Bal],ROW()-ROW(tblBuyerOutputs[#Headers]))&lt;=0,0,($O$6+IF(ROW()=ROW(tblBuyerOutputs[#Headers])+1,0,INDEX(tblBuyerOutputs[Cumul Appr],ROW()-ROW(tblBuyerOutputs[#Headers])-1)))*$O$2/12)</f>
        <v>0</v>
      </c>
      <c r="AE563" s="587">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61" t="str">
        <f t="shared" si="119"/>
        <v/>
      </c>
      <c r="B564" s="265">
        <f t="shared" si="120"/>
        <v>0</v>
      </c>
      <c r="C564" s="14">
        <f t="shared" si="117"/>
        <v>0</v>
      </c>
      <c r="D564" s="14">
        <f t="shared" si="121"/>
        <v>0</v>
      </c>
      <c r="E564" s="14">
        <f t="shared" si="118"/>
        <v>0</v>
      </c>
      <c r="K564" s="265">
        <f t="shared" si="122"/>
        <v>0</v>
      </c>
      <c r="L564" s="373">
        <f t="shared" ref="L564:L627" si="124">IF(MOD(M564,12)=0,M564/12,L563)</f>
        <v>0</v>
      </c>
      <c r="M564" s="373">
        <f t="shared" si="123"/>
        <v>0</v>
      </c>
      <c r="N564" s="561"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Row],[Payment]]=0,0,$V$2)</f>
        <v>0</v>
      </c>
      <c r="U564" s="14">
        <f>IF(tblContractForDeed[[#This Row],[Princ]]=0,0,$V$3)</f>
        <v>0</v>
      </c>
      <c r="V564" s="14">
        <f>SUM(tblContractForDeed[[#This Row],[Princ]],tblContractForDeed[[#This Row],[Int]],tblContractForDeed[[#This Row],[Ins]],tblContractForDeed[[#This Row],[Taxes]])</f>
        <v>0</v>
      </c>
      <c r="W564" s="265">
        <f>SUM(INDEX(tblContractForDeed[Princ],1):INDEX(tblContractForDeed[Princ],ROW()-ROW(tblContractForDeed[#Headers])))</f>
        <v>146500</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4" s="265">
        <f>IF(INDEX(tblContractForDeed[End Bal],ROW()-ROW(tblBuyerOutputs[#Headers]))&lt;=0,0,($O$6+IF(ROW()=ROW(tblBuyerOutputs[#Headers])+1,0,INDEX(tblBuyerOutputs[Cumul Appr],ROW()-ROW(tblBuyerOutputs[#Headers])-1)))*$O$2/12)</f>
        <v>0</v>
      </c>
      <c r="AE564" s="587">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61" t="str">
        <f t="shared" si="119"/>
        <v/>
      </c>
      <c r="B565" s="265">
        <f t="shared" si="120"/>
        <v>0</v>
      </c>
      <c r="C565" s="14">
        <f t="shared" si="117"/>
        <v>0</v>
      </c>
      <c r="D565" s="14">
        <f t="shared" si="121"/>
        <v>0</v>
      </c>
      <c r="E565" s="14">
        <f t="shared" si="118"/>
        <v>0</v>
      </c>
      <c r="K565" s="265">
        <f t="shared" si="122"/>
        <v>0</v>
      </c>
      <c r="L565" s="373">
        <f t="shared" si="124"/>
        <v>0</v>
      </c>
      <c r="M565" s="373">
        <f t="shared" si="123"/>
        <v>0</v>
      </c>
      <c r="N565" s="561"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Row],[Payment]]=0,0,$V$2)</f>
        <v>0</v>
      </c>
      <c r="U565" s="14">
        <f>IF(tblContractForDeed[[#This Row],[Princ]]=0,0,$V$3)</f>
        <v>0</v>
      </c>
      <c r="V565" s="14">
        <f>SUM(tblContractForDeed[[#This Row],[Princ]],tblContractForDeed[[#This Row],[Int]],tblContractForDeed[[#This Row],[Ins]],tblContractForDeed[[#This Row],[Taxes]])</f>
        <v>0</v>
      </c>
      <c r="W565" s="265">
        <f>SUM(INDEX(tblContractForDeed[Princ],1):INDEX(tblContractForDeed[Princ],ROW()-ROW(tblContractForDeed[#Headers])))</f>
        <v>146500</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5" s="265">
        <f>IF(INDEX(tblContractForDeed[End Bal],ROW()-ROW(tblBuyerOutputs[#Headers]))&lt;=0,0,($O$6+IF(ROW()=ROW(tblBuyerOutputs[#Headers])+1,0,INDEX(tblBuyerOutputs[Cumul Appr],ROW()-ROW(tblBuyerOutputs[#Headers])-1)))*$O$2/12)</f>
        <v>0</v>
      </c>
      <c r="AE565" s="587">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61" t="str">
        <f t="shared" si="119"/>
        <v/>
      </c>
      <c r="B566" s="265">
        <f t="shared" si="120"/>
        <v>0</v>
      </c>
      <c r="C566" s="14">
        <f t="shared" si="117"/>
        <v>0</v>
      </c>
      <c r="D566" s="14">
        <f t="shared" si="121"/>
        <v>0</v>
      </c>
      <c r="E566" s="14">
        <f t="shared" si="118"/>
        <v>0</v>
      </c>
      <c r="K566" s="265">
        <f t="shared" si="122"/>
        <v>0</v>
      </c>
      <c r="L566" s="373">
        <f t="shared" si="124"/>
        <v>0</v>
      </c>
      <c r="M566" s="373">
        <f t="shared" si="123"/>
        <v>0</v>
      </c>
      <c r="N566" s="561"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Row],[Payment]]=0,0,$V$2)</f>
        <v>0</v>
      </c>
      <c r="U566" s="14">
        <f>IF(tblContractForDeed[[#This Row],[Princ]]=0,0,$V$3)</f>
        <v>0</v>
      </c>
      <c r="V566" s="14">
        <f>SUM(tblContractForDeed[[#This Row],[Princ]],tblContractForDeed[[#This Row],[Int]],tblContractForDeed[[#This Row],[Ins]],tblContractForDeed[[#This Row],[Taxes]])</f>
        <v>0</v>
      </c>
      <c r="W566" s="265">
        <f>SUM(INDEX(tblContractForDeed[Princ],1):INDEX(tblContractForDeed[Princ],ROW()-ROW(tblContractForDeed[#Headers])))</f>
        <v>146500</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6" s="265">
        <f>IF(INDEX(tblContractForDeed[End Bal],ROW()-ROW(tblBuyerOutputs[#Headers]))&lt;=0,0,($O$6+IF(ROW()=ROW(tblBuyerOutputs[#Headers])+1,0,INDEX(tblBuyerOutputs[Cumul Appr],ROW()-ROW(tblBuyerOutputs[#Headers])-1)))*$O$2/12)</f>
        <v>0</v>
      </c>
      <c r="AE566" s="587">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61" t="str">
        <f t="shared" si="119"/>
        <v/>
      </c>
      <c r="B567" s="265">
        <f t="shared" si="120"/>
        <v>0</v>
      </c>
      <c r="C567" s="14">
        <f t="shared" si="117"/>
        <v>0</v>
      </c>
      <c r="D567" s="14">
        <f t="shared" si="121"/>
        <v>0</v>
      </c>
      <c r="E567" s="14">
        <f t="shared" si="118"/>
        <v>0</v>
      </c>
      <c r="K567" s="265">
        <f t="shared" si="122"/>
        <v>0</v>
      </c>
      <c r="L567" s="373">
        <f t="shared" si="124"/>
        <v>0</v>
      </c>
      <c r="M567" s="373">
        <f t="shared" si="123"/>
        <v>0</v>
      </c>
      <c r="N567" s="561"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Row],[Payment]]=0,0,$V$2)</f>
        <v>0</v>
      </c>
      <c r="U567" s="14">
        <f>IF(tblContractForDeed[[#This Row],[Princ]]=0,0,$V$3)</f>
        <v>0</v>
      </c>
      <c r="V567" s="14">
        <f>SUM(tblContractForDeed[[#This Row],[Princ]],tblContractForDeed[[#This Row],[Int]],tblContractForDeed[[#This Row],[Ins]],tblContractForDeed[[#This Row],[Taxes]])</f>
        <v>0</v>
      </c>
      <c r="W567" s="265">
        <f>SUM(INDEX(tblContractForDeed[Princ],1):INDEX(tblContractForDeed[Princ],ROW()-ROW(tblContractForDeed[#Headers])))</f>
        <v>146500</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7" s="265">
        <f>IF(INDEX(tblContractForDeed[End Bal],ROW()-ROW(tblBuyerOutputs[#Headers]))&lt;=0,0,($O$6+IF(ROW()=ROW(tblBuyerOutputs[#Headers])+1,0,INDEX(tblBuyerOutputs[Cumul Appr],ROW()-ROW(tblBuyerOutputs[#Headers])-1)))*$O$2/12)</f>
        <v>0</v>
      </c>
      <c r="AE567" s="587">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61" t="str">
        <f t="shared" si="119"/>
        <v/>
      </c>
      <c r="B568" s="265">
        <f t="shared" si="120"/>
        <v>0</v>
      </c>
      <c r="C568" s="14">
        <f t="shared" si="117"/>
        <v>0</v>
      </c>
      <c r="D568" s="14">
        <f t="shared" si="121"/>
        <v>0</v>
      </c>
      <c r="E568" s="14">
        <f t="shared" si="118"/>
        <v>0</v>
      </c>
      <c r="K568" s="265">
        <f t="shared" si="122"/>
        <v>0</v>
      </c>
      <c r="L568" s="373">
        <f t="shared" si="124"/>
        <v>0</v>
      </c>
      <c r="M568" s="373">
        <f t="shared" si="123"/>
        <v>0</v>
      </c>
      <c r="N568" s="561"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Row],[Payment]]=0,0,$V$2)</f>
        <v>0</v>
      </c>
      <c r="U568" s="14">
        <f>IF(tblContractForDeed[[#This Row],[Princ]]=0,0,$V$3)</f>
        <v>0</v>
      </c>
      <c r="V568" s="14">
        <f>SUM(tblContractForDeed[[#This Row],[Princ]],tblContractForDeed[[#This Row],[Int]],tblContractForDeed[[#This Row],[Ins]],tblContractForDeed[[#This Row],[Taxes]])</f>
        <v>0</v>
      </c>
      <c r="W568" s="265">
        <f>SUM(INDEX(tblContractForDeed[Princ],1):INDEX(tblContractForDeed[Princ],ROW()-ROW(tblContractForDeed[#Headers])))</f>
        <v>146500</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8" s="265">
        <f>IF(INDEX(tblContractForDeed[End Bal],ROW()-ROW(tblBuyerOutputs[#Headers]))&lt;=0,0,($O$6+IF(ROW()=ROW(tblBuyerOutputs[#Headers])+1,0,INDEX(tblBuyerOutputs[Cumul Appr],ROW()-ROW(tblBuyerOutputs[#Headers])-1)))*$O$2/12)</f>
        <v>0</v>
      </c>
      <c r="AE568" s="587">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61" t="str">
        <f t="shared" si="119"/>
        <v/>
      </c>
      <c r="B569" s="265">
        <f t="shared" si="120"/>
        <v>0</v>
      </c>
      <c r="C569" s="14">
        <f t="shared" si="117"/>
        <v>0</v>
      </c>
      <c r="D569" s="14">
        <f t="shared" si="121"/>
        <v>0</v>
      </c>
      <c r="E569" s="14">
        <f t="shared" si="118"/>
        <v>0</v>
      </c>
      <c r="K569" s="265">
        <f t="shared" si="122"/>
        <v>0</v>
      </c>
      <c r="L569" s="373">
        <f t="shared" si="124"/>
        <v>0</v>
      </c>
      <c r="M569" s="373">
        <f t="shared" si="123"/>
        <v>0</v>
      </c>
      <c r="N569" s="561"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Row],[Payment]]=0,0,$V$2)</f>
        <v>0</v>
      </c>
      <c r="U569" s="14">
        <f>IF(tblContractForDeed[[#This Row],[Princ]]=0,0,$V$3)</f>
        <v>0</v>
      </c>
      <c r="V569" s="14">
        <f>SUM(tblContractForDeed[[#This Row],[Princ]],tblContractForDeed[[#This Row],[Int]],tblContractForDeed[[#This Row],[Ins]],tblContractForDeed[[#This Row],[Taxes]])</f>
        <v>0</v>
      </c>
      <c r="W569" s="265">
        <f>SUM(INDEX(tblContractForDeed[Princ],1):INDEX(tblContractForDeed[Princ],ROW()-ROW(tblContractForDeed[#Headers])))</f>
        <v>146500</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9" s="265">
        <f>IF(INDEX(tblContractForDeed[End Bal],ROW()-ROW(tblBuyerOutputs[#Headers]))&lt;=0,0,($O$6+IF(ROW()=ROW(tblBuyerOutputs[#Headers])+1,0,INDEX(tblBuyerOutputs[Cumul Appr],ROW()-ROW(tblBuyerOutputs[#Headers])-1)))*$O$2/12)</f>
        <v>0</v>
      </c>
      <c r="AE569" s="587">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61" t="str">
        <f t="shared" si="119"/>
        <v/>
      </c>
      <c r="B570" s="265">
        <f t="shared" si="120"/>
        <v>0</v>
      </c>
      <c r="C570" s="14">
        <f t="shared" si="117"/>
        <v>0</v>
      </c>
      <c r="D570" s="14">
        <f t="shared" si="121"/>
        <v>0</v>
      </c>
      <c r="E570" s="14">
        <f t="shared" si="118"/>
        <v>0</v>
      </c>
      <c r="K570" s="265">
        <f t="shared" si="122"/>
        <v>0</v>
      </c>
      <c r="L570" s="373">
        <f t="shared" si="124"/>
        <v>0</v>
      </c>
      <c r="M570" s="373">
        <f t="shared" si="123"/>
        <v>0</v>
      </c>
      <c r="N570" s="561"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Row],[Payment]]=0,0,$V$2)</f>
        <v>0</v>
      </c>
      <c r="U570" s="14">
        <f>IF(tblContractForDeed[[#This Row],[Princ]]=0,0,$V$3)</f>
        <v>0</v>
      </c>
      <c r="V570" s="14">
        <f>SUM(tblContractForDeed[[#This Row],[Princ]],tblContractForDeed[[#This Row],[Int]],tblContractForDeed[[#This Row],[Ins]],tblContractForDeed[[#This Row],[Taxes]])</f>
        <v>0</v>
      </c>
      <c r="W570" s="265">
        <f>SUM(INDEX(tblContractForDeed[Princ],1):INDEX(tblContractForDeed[Princ],ROW()-ROW(tblContractForDeed[#Headers])))</f>
        <v>146500</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0" s="265">
        <f>IF(INDEX(tblContractForDeed[End Bal],ROW()-ROW(tblBuyerOutputs[#Headers]))&lt;=0,0,($O$6+IF(ROW()=ROW(tblBuyerOutputs[#Headers])+1,0,INDEX(tblBuyerOutputs[Cumul Appr],ROW()-ROW(tblBuyerOutputs[#Headers])-1)))*$O$2/12)</f>
        <v>0</v>
      </c>
      <c r="AE570" s="587">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62" t="str">
        <f t="shared" si="119"/>
        <v/>
      </c>
      <c r="B571" s="316">
        <f t="shared" si="120"/>
        <v>0</v>
      </c>
      <c r="C571" s="21">
        <f t="shared" si="117"/>
        <v>0</v>
      </c>
      <c r="D571" s="21">
        <f t="shared" si="121"/>
        <v>0</v>
      </c>
      <c r="E571" s="21">
        <f t="shared" si="118"/>
        <v>0</v>
      </c>
      <c r="F571" s="21"/>
      <c r="G571" s="21"/>
      <c r="H571" s="21"/>
      <c r="I571" s="316"/>
      <c r="J571" s="316"/>
      <c r="K571" s="316">
        <f t="shared" si="122"/>
        <v>0</v>
      </c>
      <c r="L571" s="374">
        <f t="shared" si="124"/>
        <v>0</v>
      </c>
      <c r="M571" s="374">
        <f t="shared" si="123"/>
        <v>0</v>
      </c>
      <c r="N571" s="562" t="str">
        <f>INDEX(tblSubjectToLoan[Date],ROW()-ROW(tblContractForDeed[#Headers]))</f>
        <v/>
      </c>
      <c r="O571" s="316">
        <f>IF(ROW()=ROW(tblContractForDeed[#Headers])+1,$O$6,IF(INDEX(tblContractForDeed[End Bal],ROW()-ROW(tblContractForDeed[#Headers])-1)&lt;0,0,INDEX(tblContractForDeed[End Bal],ROW()-ROW(tblContractForDeed[#Headers])-1)))</f>
        <v>0</v>
      </c>
      <c r="P571" s="585"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Row],[Payment]]=0,0,$V$2)</f>
        <v>0</v>
      </c>
      <c r="U571" s="21">
        <f>IF(tblContractForDeed[[#This Row],[Princ]]=0,0,$V$3)</f>
        <v>0</v>
      </c>
      <c r="V571" s="21">
        <f>SUM(tblContractForDeed[[#This Row],[Princ]],tblContractForDeed[[#This Row],[Int]],tblContractForDeed[[#This Row],[Ins]],tblContractForDeed[[#This Row],[Taxes]])</f>
        <v>0</v>
      </c>
      <c r="W571" s="316">
        <f>SUM(INDEX(tblContractForDeed[Princ],1):INDEX(tblContractForDeed[Princ],ROW()-ROW(tblContractForDeed[#Headers])))</f>
        <v>146500</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1" s="316">
        <f>IF(INDEX(tblContractForDeed[End Bal],ROW()-ROW(tblBuyerOutputs[#Headers]))&lt;=0,0,($O$6+IF(ROW()=ROW(tblBuyerOutputs[#Headers])+1,0,INDEX(tblBuyerOutputs[Cumul Appr],ROW()-ROW(tblBuyerOutputs[#Headers])-1)))*$O$2/12)</f>
        <v>0</v>
      </c>
      <c r="AE571" s="588">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61" t="str">
        <f t="shared" si="119"/>
        <v/>
      </c>
      <c r="B572" s="265">
        <f t="shared" si="120"/>
        <v>0</v>
      </c>
      <c r="C572" s="14">
        <f t="shared" si="117"/>
        <v>0</v>
      </c>
      <c r="D572" s="14">
        <f t="shared" si="121"/>
        <v>0</v>
      </c>
      <c r="E572" s="14">
        <f t="shared" si="118"/>
        <v>0</v>
      </c>
      <c r="K572" s="265">
        <f t="shared" si="122"/>
        <v>0</v>
      </c>
      <c r="L572" s="373">
        <f t="shared" si="124"/>
        <v>0</v>
      </c>
      <c r="M572" s="373">
        <f t="shared" si="123"/>
        <v>0</v>
      </c>
      <c r="N572" s="561"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Row],[Payment]]=0,0,$V$2)</f>
        <v>0</v>
      </c>
      <c r="U572" s="14">
        <f>IF(tblContractForDeed[[#This Row],[Princ]]=0,0,$V$3)</f>
        <v>0</v>
      </c>
      <c r="V572" s="14">
        <f>SUM(tblContractForDeed[[#This Row],[Princ]],tblContractForDeed[[#This Row],[Int]],tblContractForDeed[[#This Row],[Ins]],tblContractForDeed[[#This Row],[Taxes]])</f>
        <v>0</v>
      </c>
      <c r="W572" s="265">
        <f>SUM(INDEX(tblContractForDeed[Princ],1):INDEX(tblContractForDeed[Princ],ROW()-ROW(tblContractForDeed[#Headers])))</f>
        <v>146500</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2" s="265">
        <f>IF(INDEX(tblContractForDeed[End Bal],ROW()-ROW(tblBuyerOutputs[#Headers]))&lt;=0,0,($O$6+IF(ROW()=ROW(tblBuyerOutputs[#Headers])+1,0,INDEX(tblBuyerOutputs[Cumul Appr],ROW()-ROW(tblBuyerOutputs[#Headers])-1)))*$O$2/12)</f>
        <v>0</v>
      </c>
      <c r="AE572" s="587">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61" t="str">
        <f t="shared" si="119"/>
        <v/>
      </c>
      <c r="B573" s="265">
        <f t="shared" si="120"/>
        <v>0</v>
      </c>
      <c r="C573" s="14">
        <f t="shared" si="117"/>
        <v>0</v>
      </c>
      <c r="D573" s="14">
        <f t="shared" si="121"/>
        <v>0</v>
      </c>
      <c r="E573" s="14">
        <f t="shared" si="118"/>
        <v>0</v>
      </c>
      <c r="K573" s="265">
        <f t="shared" si="122"/>
        <v>0</v>
      </c>
      <c r="L573" s="373">
        <f t="shared" si="124"/>
        <v>0</v>
      </c>
      <c r="M573" s="373">
        <f t="shared" si="123"/>
        <v>0</v>
      </c>
      <c r="N573" s="561"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Row],[Payment]]=0,0,$V$2)</f>
        <v>0</v>
      </c>
      <c r="U573" s="14">
        <f>IF(tblContractForDeed[[#This Row],[Princ]]=0,0,$V$3)</f>
        <v>0</v>
      </c>
      <c r="V573" s="14">
        <f>SUM(tblContractForDeed[[#This Row],[Princ]],tblContractForDeed[[#This Row],[Int]],tblContractForDeed[[#This Row],[Ins]],tblContractForDeed[[#This Row],[Taxes]])</f>
        <v>0</v>
      </c>
      <c r="W573" s="265">
        <f>SUM(INDEX(tblContractForDeed[Princ],1):INDEX(tblContractForDeed[Princ],ROW()-ROW(tblContractForDeed[#Headers])))</f>
        <v>146500</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3" s="265">
        <f>IF(INDEX(tblContractForDeed[End Bal],ROW()-ROW(tblBuyerOutputs[#Headers]))&lt;=0,0,($O$6+IF(ROW()=ROW(tblBuyerOutputs[#Headers])+1,0,INDEX(tblBuyerOutputs[Cumul Appr],ROW()-ROW(tblBuyerOutputs[#Headers])-1)))*$O$2/12)</f>
        <v>0</v>
      </c>
      <c r="AE573" s="587">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61" t="str">
        <f t="shared" si="119"/>
        <v/>
      </c>
      <c r="B574" s="265">
        <f t="shared" si="120"/>
        <v>0</v>
      </c>
      <c r="C574" s="14">
        <f t="shared" si="117"/>
        <v>0</v>
      </c>
      <c r="D574" s="14">
        <f t="shared" si="121"/>
        <v>0</v>
      </c>
      <c r="E574" s="14">
        <f t="shared" si="118"/>
        <v>0</v>
      </c>
      <c r="K574" s="265">
        <f t="shared" si="122"/>
        <v>0</v>
      </c>
      <c r="L574" s="373">
        <f t="shared" si="124"/>
        <v>0</v>
      </c>
      <c r="M574" s="373">
        <f t="shared" si="123"/>
        <v>0</v>
      </c>
      <c r="N574" s="561"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Row],[Payment]]=0,0,$V$2)</f>
        <v>0</v>
      </c>
      <c r="U574" s="14">
        <f>IF(tblContractForDeed[[#This Row],[Princ]]=0,0,$V$3)</f>
        <v>0</v>
      </c>
      <c r="V574" s="14">
        <f>SUM(tblContractForDeed[[#This Row],[Princ]],tblContractForDeed[[#This Row],[Int]],tblContractForDeed[[#This Row],[Ins]],tblContractForDeed[[#This Row],[Taxes]])</f>
        <v>0</v>
      </c>
      <c r="W574" s="265">
        <f>SUM(INDEX(tblContractForDeed[Princ],1):INDEX(tblContractForDeed[Princ],ROW()-ROW(tblContractForDeed[#Headers])))</f>
        <v>146500</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4" s="265">
        <f>IF(INDEX(tblContractForDeed[End Bal],ROW()-ROW(tblBuyerOutputs[#Headers]))&lt;=0,0,($O$6+IF(ROW()=ROW(tblBuyerOutputs[#Headers])+1,0,INDEX(tblBuyerOutputs[Cumul Appr],ROW()-ROW(tblBuyerOutputs[#Headers])-1)))*$O$2/12)</f>
        <v>0</v>
      </c>
      <c r="AE574" s="587">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61" t="str">
        <f t="shared" si="119"/>
        <v/>
      </c>
      <c r="B575" s="265">
        <f t="shared" si="120"/>
        <v>0</v>
      </c>
      <c r="C575" s="14">
        <f t="shared" si="117"/>
        <v>0</v>
      </c>
      <c r="D575" s="14">
        <f t="shared" si="121"/>
        <v>0</v>
      </c>
      <c r="E575" s="14">
        <f t="shared" si="118"/>
        <v>0</v>
      </c>
      <c r="K575" s="265">
        <f t="shared" si="122"/>
        <v>0</v>
      </c>
      <c r="L575" s="373">
        <f t="shared" si="124"/>
        <v>0</v>
      </c>
      <c r="M575" s="373">
        <f t="shared" si="123"/>
        <v>0</v>
      </c>
      <c r="N575" s="561"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Row],[Payment]]=0,0,$V$2)</f>
        <v>0</v>
      </c>
      <c r="U575" s="14">
        <f>IF(tblContractForDeed[[#This Row],[Princ]]=0,0,$V$3)</f>
        <v>0</v>
      </c>
      <c r="V575" s="14">
        <f>SUM(tblContractForDeed[[#This Row],[Princ]],tblContractForDeed[[#This Row],[Int]],tblContractForDeed[[#This Row],[Ins]],tblContractForDeed[[#This Row],[Taxes]])</f>
        <v>0</v>
      </c>
      <c r="W575" s="265">
        <f>SUM(INDEX(tblContractForDeed[Princ],1):INDEX(tblContractForDeed[Princ],ROW()-ROW(tblContractForDeed[#Headers])))</f>
        <v>146500</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5" s="265">
        <f>IF(INDEX(tblContractForDeed[End Bal],ROW()-ROW(tblBuyerOutputs[#Headers]))&lt;=0,0,($O$6+IF(ROW()=ROW(tblBuyerOutputs[#Headers])+1,0,INDEX(tblBuyerOutputs[Cumul Appr],ROW()-ROW(tblBuyerOutputs[#Headers])-1)))*$O$2/12)</f>
        <v>0</v>
      </c>
      <c r="AE575" s="587">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61" t="str">
        <f t="shared" si="119"/>
        <v/>
      </c>
      <c r="B576" s="265">
        <f t="shared" si="120"/>
        <v>0</v>
      </c>
      <c r="C576" s="14">
        <f t="shared" si="117"/>
        <v>0</v>
      </c>
      <c r="D576" s="14">
        <f t="shared" si="121"/>
        <v>0</v>
      </c>
      <c r="E576" s="14">
        <f t="shared" si="118"/>
        <v>0</v>
      </c>
      <c r="K576" s="265">
        <f t="shared" si="122"/>
        <v>0</v>
      </c>
      <c r="L576" s="373">
        <f t="shared" si="124"/>
        <v>0</v>
      </c>
      <c r="M576" s="373">
        <f t="shared" si="123"/>
        <v>0</v>
      </c>
      <c r="N576" s="561"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Row],[Payment]]=0,0,$V$2)</f>
        <v>0</v>
      </c>
      <c r="U576" s="14">
        <f>IF(tblContractForDeed[[#This Row],[Princ]]=0,0,$V$3)</f>
        <v>0</v>
      </c>
      <c r="V576" s="14">
        <f>SUM(tblContractForDeed[[#This Row],[Princ]],tblContractForDeed[[#This Row],[Int]],tblContractForDeed[[#This Row],[Ins]],tblContractForDeed[[#This Row],[Taxes]])</f>
        <v>0</v>
      </c>
      <c r="W576" s="265">
        <f>SUM(INDEX(tblContractForDeed[Princ],1):INDEX(tblContractForDeed[Princ],ROW()-ROW(tblContractForDeed[#Headers])))</f>
        <v>146500</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6" s="265">
        <f>IF(INDEX(tblContractForDeed[End Bal],ROW()-ROW(tblBuyerOutputs[#Headers]))&lt;=0,0,($O$6+IF(ROW()=ROW(tblBuyerOutputs[#Headers])+1,0,INDEX(tblBuyerOutputs[Cumul Appr],ROW()-ROW(tblBuyerOutputs[#Headers])-1)))*$O$2/12)</f>
        <v>0</v>
      </c>
      <c r="AE576" s="587">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61" t="str">
        <f t="shared" si="119"/>
        <v/>
      </c>
      <c r="B577" s="265">
        <f t="shared" si="120"/>
        <v>0</v>
      </c>
      <c r="C577" s="14">
        <f t="shared" si="117"/>
        <v>0</v>
      </c>
      <c r="D577" s="14">
        <f t="shared" si="121"/>
        <v>0</v>
      </c>
      <c r="E577" s="14">
        <f t="shared" si="118"/>
        <v>0</v>
      </c>
      <c r="K577" s="265">
        <f t="shared" si="122"/>
        <v>0</v>
      </c>
      <c r="L577" s="373">
        <f t="shared" si="124"/>
        <v>0</v>
      </c>
      <c r="M577" s="373">
        <f t="shared" si="123"/>
        <v>0</v>
      </c>
      <c r="N577" s="561"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Row],[Payment]]=0,0,$V$2)</f>
        <v>0</v>
      </c>
      <c r="U577" s="14">
        <f>IF(tblContractForDeed[[#This Row],[Princ]]=0,0,$V$3)</f>
        <v>0</v>
      </c>
      <c r="V577" s="14">
        <f>SUM(tblContractForDeed[[#This Row],[Princ]],tblContractForDeed[[#This Row],[Int]],tblContractForDeed[[#This Row],[Ins]],tblContractForDeed[[#This Row],[Taxes]])</f>
        <v>0</v>
      </c>
      <c r="W577" s="265">
        <f>SUM(INDEX(tblContractForDeed[Princ],1):INDEX(tblContractForDeed[Princ],ROW()-ROW(tblContractForDeed[#Headers])))</f>
        <v>146500</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7" s="265">
        <f>IF(INDEX(tblContractForDeed[End Bal],ROW()-ROW(tblBuyerOutputs[#Headers]))&lt;=0,0,($O$6+IF(ROW()=ROW(tblBuyerOutputs[#Headers])+1,0,INDEX(tblBuyerOutputs[Cumul Appr],ROW()-ROW(tblBuyerOutputs[#Headers])-1)))*$O$2/12)</f>
        <v>0</v>
      </c>
      <c r="AE577" s="587">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61" t="str">
        <f t="shared" si="119"/>
        <v/>
      </c>
      <c r="B578" s="265">
        <f t="shared" si="120"/>
        <v>0</v>
      </c>
      <c r="C578" s="14">
        <f t="shared" si="117"/>
        <v>0</v>
      </c>
      <c r="D578" s="14">
        <f t="shared" si="121"/>
        <v>0</v>
      </c>
      <c r="E578" s="14">
        <f t="shared" si="118"/>
        <v>0</v>
      </c>
      <c r="K578" s="265">
        <f t="shared" si="122"/>
        <v>0</v>
      </c>
      <c r="L578" s="373">
        <f t="shared" si="124"/>
        <v>0</v>
      </c>
      <c r="M578" s="373">
        <f t="shared" si="123"/>
        <v>0</v>
      </c>
      <c r="N578" s="561"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Row],[Payment]]=0,0,$V$2)</f>
        <v>0</v>
      </c>
      <c r="U578" s="14">
        <f>IF(tblContractForDeed[[#This Row],[Princ]]=0,0,$V$3)</f>
        <v>0</v>
      </c>
      <c r="V578" s="14">
        <f>SUM(tblContractForDeed[[#This Row],[Princ]],tblContractForDeed[[#This Row],[Int]],tblContractForDeed[[#This Row],[Ins]],tblContractForDeed[[#This Row],[Taxes]])</f>
        <v>0</v>
      </c>
      <c r="W578" s="265">
        <f>SUM(INDEX(tblContractForDeed[Princ],1):INDEX(tblContractForDeed[Princ],ROW()-ROW(tblContractForDeed[#Headers])))</f>
        <v>146500</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8" s="265">
        <f>IF(INDEX(tblContractForDeed[End Bal],ROW()-ROW(tblBuyerOutputs[#Headers]))&lt;=0,0,($O$6+IF(ROW()=ROW(tblBuyerOutputs[#Headers])+1,0,INDEX(tblBuyerOutputs[Cumul Appr],ROW()-ROW(tblBuyerOutputs[#Headers])-1)))*$O$2/12)</f>
        <v>0</v>
      </c>
      <c r="AE578" s="587">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61" t="str">
        <f t="shared" si="119"/>
        <v/>
      </c>
      <c r="B579" s="265">
        <f t="shared" si="120"/>
        <v>0</v>
      </c>
      <c r="C579" s="14">
        <f t="shared" si="117"/>
        <v>0</v>
      </c>
      <c r="D579" s="14">
        <f t="shared" si="121"/>
        <v>0</v>
      </c>
      <c r="E579" s="14">
        <f t="shared" si="118"/>
        <v>0</v>
      </c>
      <c r="K579" s="265">
        <f t="shared" si="122"/>
        <v>0</v>
      </c>
      <c r="L579" s="373">
        <f t="shared" si="124"/>
        <v>0</v>
      </c>
      <c r="M579" s="373">
        <f t="shared" si="123"/>
        <v>0</v>
      </c>
      <c r="N579" s="561"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Row],[Payment]]=0,0,$V$2)</f>
        <v>0</v>
      </c>
      <c r="U579" s="14">
        <f>IF(tblContractForDeed[[#This Row],[Princ]]=0,0,$V$3)</f>
        <v>0</v>
      </c>
      <c r="V579" s="14">
        <f>SUM(tblContractForDeed[[#This Row],[Princ]],tblContractForDeed[[#This Row],[Int]],tblContractForDeed[[#This Row],[Ins]],tblContractForDeed[[#This Row],[Taxes]])</f>
        <v>0</v>
      </c>
      <c r="W579" s="265">
        <f>SUM(INDEX(tblContractForDeed[Princ],1):INDEX(tblContractForDeed[Princ],ROW()-ROW(tblContractForDeed[#Headers])))</f>
        <v>146500</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9" s="265">
        <f>IF(INDEX(tblContractForDeed[End Bal],ROW()-ROW(tblBuyerOutputs[#Headers]))&lt;=0,0,($O$6+IF(ROW()=ROW(tblBuyerOutputs[#Headers])+1,0,INDEX(tblBuyerOutputs[Cumul Appr],ROW()-ROW(tblBuyerOutputs[#Headers])-1)))*$O$2/12)</f>
        <v>0</v>
      </c>
      <c r="AE579" s="587">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61" t="str">
        <f t="shared" si="119"/>
        <v/>
      </c>
      <c r="B580" s="265">
        <f t="shared" si="120"/>
        <v>0</v>
      </c>
      <c r="C580" s="14">
        <f t="shared" si="117"/>
        <v>0</v>
      </c>
      <c r="D580" s="14">
        <f t="shared" si="121"/>
        <v>0</v>
      </c>
      <c r="E580" s="14">
        <f t="shared" si="118"/>
        <v>0</v>
      </c>
      <c r="K580" s="265">
        <f t="shared" si="122"/>
        <v>0</v>
      </c>
      <c r="L580" s="373">
        <f t="shared" si="124"/>
        <v>0</v>
      </c>
      <c r="M580" s="373">
        <f t="shared" si="123"/>
        <v>0</v>
      </c>
      <c r="N580" s="561"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Row],[Payment]]=0,0,$V$2)</f>
        <v>0</v>
      </c>
      <c r="U580" s="14">
        <f>IF(tblContractForDeed[[#This Row],[Princ]]=0,0,$V$3)</f>
        <v>0</v>
      </c>
      <c r="V580" s="14">
        <f>SUM(tblContractForDeed[[#This Row],[Princ]],tblContractForDeed[[#This Row],[Int]],tblContractForDeed[[#This Row],[Ins]],tblContractForDeed[[#This Row],[Taxes]])</f>
        <v>0</v>
      </c>
      <c r="W580" s="265">
        <f>SUM(INDEX(tblContractForDeed[Princ],1):INDEX(tblContractForDeed[Princ],ROW()-ROW(tblContractForDeed[#Headers])))</f>
        <v>146500</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0" s="265">
        <f>IF(INDEX(tblContractForDeed[End Bal],ROW()-ROW(tblBuyerOutputs[#Headers]))&lt;=0,0,($O$6+IF(ROW()=ROW(tblBuyerOutputs[#Headers])+1,0,INDEX(tblBuyerOutputs[Cumul Appr],ROW()-ROW(tblBuyerOutputs[#Headers])-1)))*$O$2/12)</f>
        <v>0</v>
      </c>
      <c r="AE580" s="587">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61" t="str">
        <f t="shared" si="119"/>
        <v/>
      </c>
      <c r="B581" s="265">
        <f t="shared" si="120"/>
        <v>0</v>
      </c>
      <c r="C581" s="14">
        <f t="shared" si="117"/>
        <v>0</v>
      </c>
      <c r="D581" s="14">
        <f t="shared" si="121"/>
        <v>0</v>
      </c>
      <c r="E581" s="14">
        <f t="shared" si="118"/>
        <v>0</v>
      </c>
      <c r="K581" s="265">
        <f t="shared" si="122"/>
        <v>0</v>
      </c>
      <c r="L581" s="373">
        <f t="shared" si="124"/>
        <v>0</v>
      </c>
      <c r="M581" s="373">
        <f t="shared" si="123"/>
        <v>0</v>
      </c>
      <c r="N581" s="561"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Row],[Payment]]=0,0,$V$2)</f>
        <v>0</v>
      </c>
      <c r="U581" s="14">
        <f>IF(tblContractForDeed[[#This Row],[Princ]]=0,0,$V$3)</f>
        <v>0</v>
      </c>
      <c r="V581" s="14">
        <f>SUM(tblContractForDeed[[#This Row],[Princ]],tblContractForDeed[[#This Row],[Int]],tblContractForDeed[[#This Row],[Ins]],tblContractForDeed[[#This Row],[Taxes]])</f>
        <v>0</v>
      </c>
      <c r="W581" s="265">
        <f>SUM(INDEX(tblContractForDeed[Princ],1):INDEX(tblContractForDeed[Princ],ROW()-ROW(tblContractForDeed[#Headers])))</f>
        <v>146500</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1" s="265">
        <f>IF(INDEX(tblContractForDeed[End Bal],ROW()-ROW(tblBuyerOutputs[#Headers]))&lt;=0,0,($O$6+IF(ROW()=ROW(tblBuyerOutputs[#Headers])+1,0,INDEX(tblBuyerOutputs[Cumul Appr],ROW()-ROW(tblBuyerOutputs[#Headers])-1)))*$O$2/12)</f>
        <v>0</v>
      </c>
      <c r="AE581" s="587">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61" t="str">
        <f t="shared" si="119"/>
        <v/>
      </c>
      <c r="B582" s="265">
        <f t="shared" si="120"/>
        <v>0</v>
      </c>
      <c r="C582" s="14">
        <f t="shared" si="117"/>
        <v>0</v>
      </c>
      <c r="D582" s="14">
        <f t="shared" si="121"/>
        <v>0</v>
      </c>
      <c r="E582" s="14">
        <f t="shared" si="118"/>
        <v>0</v>
      </c>
      <c r="K582" s="265">
        <f t="shared" si="122"/>
        <v>0</v>
      </c>
      <c r="L582" s="373">
        <f t="shared" si="124"/>
        <v>0</v>
      </c>
      <c r="M582" s="373">
        <f t="shared" si="123"/>
        <v>0</v>
      </c>
      <c r="N582" s="561"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Row],[Payment]]=0,0,$V$2)</f>
        <v>0</v>
      </c>
      <c r="U582" s="14">
        <f>IF(tblContractForDeed[[#This Row],[Princ]]=0,0,$V$3)</f>
        <v>0</v>
      </c>
      <c r="V582" s="14">
        <f>SUM(tblContractForDeed[[#This Row],[Princ]],tblContractForDeed[[#This Row],[Int]],tblContractForDeed[[#This Row],[Ins]],tblContractForDeed[[#This Row],[Taxes]])</f>
        <v>0</v>
      </c>
      <c r="W582" s="265">
        <f>SUM(INDEX(tblContractForDeed[Princ],1):INDEX(tblContractForDeed[Princ],ROW()-ROW(tblContractForDeed[#Headers])))</f>
        <v>146500</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2" s="265">
        <f>IF(INDEX(tblContractForDeed[End Bal],ROW()-ROW(tblBuyerOutputs[#Headers]))&lt;=0,0,($O$6+IF(ROW()=ROW(tblBuyerOutputs[#Headers])+1,0,INDEX(tblBuyerOutputs[Cumul Appr],ROW()-ROW(tblBuyerOutputs[#Headers])-1)))*$O$2/12)</f>
        <v>0</v>
      </c>
      <c r="AE582" s="587">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62" t="str">
        <f t="shared" si="119"/>
        <v/>
      </c>
      <c r="B583" s="316">
        <f t="shared" si="120"/>
        <v>0</v>
      </c>
      <c r="C583" s="21">
        <f t="shared" si="117"/>
        <v>0</v>
      </c>
      <c r="D583" s="21">
        <f t="shared" si="121"/>
        <v>0</v>
      </c>
      <c r="E583" s="21">
        <f t="shared" si="118"/>
        <v>0</v>
      </c>
      <c r="F583" s="21"/>
      <c r="G583" s="21"/>
      <c r="H583" s="21"/>
      <c r="I583" s="316"/>
      <c r="J583" s="316"/>
      <c r="K583" s="316">
        <f t="shared" si="122"/>
        <v>0</v>
      </c>
      <c r="L583" s="374">
        <f t="shared" si="124"/>
        <v>0</v>
      </c>
      <c r="M583" s="374">
        <f t="shared" si="123"/>
        <v>0</v>
      </c>
      <c r="N583" s="562" t="str">
        <f>INDEX(tblSubjectToLoan[Date],ROW()-ROW(tblContractForDeed[#Headers]))</f>
        <v/>
      </c>
      <c r="O583" s="316">
        <f>IF(ROW()=ROW(tblContractForDeed[#Headers])+1,$O$6,IF(INDEX(tblContractForDeed[End Bal],ROW()-ROW(tblContractForDeed[#Headers])-1)&lt;0,0,INDEX(tblContractForDeed[End Bal],ROW()-ROW(tblContractForDeed[#Headers])-1)))</f>
        <v>0</v>
      </c>
      <c r="P583" s="585"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Row],[Payment]]=0,0,$V$2)</f>
        <v>0</v>
      </c>
      <c r="U583" s="21">
        <f>IF(tblContractForDeed[[#This Row],[Princ]]=0,0,$V$3)</f>
        <v>0</v>
      </c>
      <c r="V583" s="21">
        <f>SUM(tblContractForDeed[[#This Row],[Princ]],tblContractForDeed[[#This Row],[Int]],tblContractForDeed[[#This Row],[Ins]],tblContractForDeed[[#This Row],[Taxes]])</f>
        <v>0</v>
      </c>
      <c r="W583" s="316">
        <f>SUM(INDEX(tblContractForDeed[Princ],1):INDEX(tblContractForDeed[Princ],ROW()-ROW(tblContractForDeed[#Headers])))</f>
        <v>146500</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3" s="316">
        <f>IF(INDEX(tblContractForDeed[End Bal],ROW()-ROW(tblBuyerOutputs[#Headers]))&lt;=0,0,($O$6+IF(ROW()=ROW(tblBuyerOutputs[#Headers])+1,0,INDEX(tblBuyerOutputs[Cumul Appr],ROW()-ROW(tblBuyerOutputs[#Headers])-1)))*$O$2/12)</f>
        <v>0</v>
      </c>
      <c r="AE583" s="588">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61" t="str">
        <f t="shared" si="119"/>
        <v/>
      </c>
      <c r="B584" s="265">
        <f t="shared" si="120"/>
        <v>0</v>
      </c>
      <c r="C584" s="14">
        <f t="shared" si="117"/>
        <v>0</v>
      </c>
      <c r="D584" s="14">
        <f t="shared" si="121"/>
        <v>0</v>
      </c>
      <c r="E584" s="14">
        <f t="shared" si="118"/>
        <v>0</v>
      </c>
      <c r="K584" s="265">
        <f t="shared" si="122"/>
        <v>0</v>
      </c>
      <c r="L584" s="373">
        <f t="shared" si="124"/>
        <v>0</v>
      </c>
      <c r="M584" s="373">
        <f t="shared" si="123"/>
        <v>0</v>
      </c>
      <c r="N584" s="561"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Row],[Payment]]=0,0,$V$2)</f>
        <v>0</v>
      </c>
      <c r="U584" s="14">
        <f>IF(tblContractForDeed[[#This Row],[Princ]]=0,0,$V$3)</f>
        <v>0</v>
      </c>
      <c r="V584" s="14">
        <f>SUM(tblContractForDeed[[#This Row],[Princ]],tblContractForDeed[[#This Row],[Int]],tblContractForDeed[[#This Row],[Ins]],tblContractForDeed[[#This Row],[Taxes]])</f>
        <v>0</v>
      </c>
      <c r="W584" s="265">
        <f>SUM(INDEX(tblContractForDeed[Princ],1):INDEX(tblContractForDeed[Princ],ROW()-ROW(tblContractForDeed[#Headers])))</f>
        <v>146500</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4" s="265">
        <f>IF(INDEX(tblContractForDeed[End Bal],ROW()-ROW(tblBuyerOutputs[#Headers]))&lt;=0,0,($O$6+IF(ROW()=ROW(tblBuyerOutputs[#Headers])+1,0,INDEX(tblBuyerOutputs[Cumul Appr],ROW()-ROW(tblBuyerOutputs[#Headers])-1)))*$O$2/12)</f>
        <v>0</v>
      </c>
      <c r="AE584" s="587">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61" t="str">
        <f t="shared" si="119"/>
        <v/>
      </c>
      <c r="B585" s="265">
        <f t="shared" si="120"/>
        <v>0</v>
      </c>
      <c r="C585" s="14">
        <f t="shared" si="117"/>
        <v>0</v>
      </c>
      <c r="D585" s="14">
        <f t="shared" si="121"/>
        <v>0</v>
      </c>
      <c r="E585" s="14">
        <f t="shared" si="118"/>
        <v>0</v>
      </c>
      <c r="K585" s="265">
        <f t="shared" si="122"/>
        <v>0</v>
      </c>
      <c r="L585" s="373">
        <f t="shared" si="124"/>
        <v>0</v>
      </c>
      <c r="M585" s="373">
        <f t="shared" si="123"/>
        <v>0</v>
      </c>
      <c r="N585" s="561"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Row],[Payment]]=0,0,$V$2)</f>
        <v>0</v>
      </c>
      <c r="U585" s="14">
        <f>IF(tblContractForDeed[[#This Row],[Princ]]=0,0,$V$3)</f>
        <v>0</v>
      </c>
      <c r="V585" s="14">
        <f>SUM(tblContractForDeed[[#This Row],[Princ]],tblContractForDeed[[#This Row],[Int]],tblContractForDeed[[#This Row],[Ins]],tblContractForDeed[[#This Row],[Taxes]])</f>
        <v>0</v>
      </c>
      <c r="W585" s="265">
        <f>SUM(INDEX(tblContractForDeed[Princ],1):INDEX(tblContractForDeed[Princ],ROW()-ROW(tblContractForDeed[#Headers])))</f>
        <v>146500</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5" s="265">
        <f>IF(INDEX(tblContractForDeed[End Bal],ROW()-ROW(tblBuyerOutputs[#Headers]))&lt;=0,0,($O$6+IF(ROW()=ROW(tblBuyerOutputs[#Headers])+1,0,INDEX(tblBuyerOutputs[Cumul Appr],ROW()-ROW(tblBuyerOutputs[#Headers])-1)))*$O$2/12)</f>
        <v>0</v>
      </c>
      <c r="AE585" s="587">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61" t="str">
        <f t="shared" si="119"/>
        <v/>
      </c>
      <c r="B586" s="265">
        <f t="shared" si="120"/>
        <v>0</v>
      </c>
      <c r="C586" s="14">
        <f t="shared" si="117"/>
        <v>0</v>
      </c>
      <c r="D586" s="14">
        <f t="shared" si="121"/>
        <v>0</v>
      </c>
      <c r="E586" s="14">
        <f t="shared" si="118"/>
        <v>0</v>
      </c>
      <c r="K586" s="265">
        <f t="shared" si="122"/>
        <v>0</v>
      </c>
      <c r="L586" s="373">
        <f t="shared" si="124"/>
        <v>0</v>
      </c>
      <c r="M586" s="373">
        <f t="shared" si="123"/>
        <v>0</v>
      </c>
      <c r="N586" s="561"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Row],[Payment]]=0,0,$V$2)</f>
        <v>0</v>
      </c>
      <c r="U586" s="14">
        <f>IF(tblContractForDeed[[#This Row],[Princ]]=0,0,$V$3)</f>
        <v>0</v>
      </c>
      <c r="V586" s="14">
        <f>SUM(tblContractForDeed[[#This Row],[Princ]],tblContractForDeed[[#This Row],[Int]],tblContractForDeed[[#This Row],[Ins]],tblContractForDeed[[#This Row],[Taxes]])</f>
        <v>0</v>
      </c>
      <c r="W586" s="265">
        <f>SUM(INDEX(tblContractForDeed[Princ],1):INDEX(tblContractForDeed[Princ],ROW()-ROW(tblContractForDeed[#Headers])))</f>
        <v>146500</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6" s="265">
        <f>IF(INDEX(tblContractForDeed[End Bal],ROW()-ROW(tblBuyerOutputs[#Headers]))&lt;=0,0,($O$6+IF(ROW()=ROW(tblBuyerOutputs[#Headers])+1,0,INDEX(tblBuyerOutputs[Cumul Appr],ROW()-ROW(tblBuyerOutputs[#Headers])-1)))*$O$2/12)</f>
        <v>0</v>
      </c>
      <c r="AE586" s="587">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61" t="str">
        <f t="shared" si="119"/>
        <v/>
      </c>
      <c r="B587" s="265">
        <f t="shared" si="120"/>
        <v>0</v>
      </c>
      <c r="C587" s="14">
        <f t="shared" si="117"/>
        <v>0</v>
      </c>
      <c r="D587" s="14">
        <f t="shared" si="121"/>
        <v>0</v>
      </c>
      <c r="E587" s="14">
        <f t="shared" si="118"/>
        <v>0</v>
      </c>
      <c r="K587" s="265">
        <f t="shared" si="122"/>
        <v>0</v>
      </c>
      <c r="L587" s="373">
        <f t="shared" si="124"/>
        <v>0</v>
      </c>
      <c r="M587" s="373">
        <f t="shared" si="123"/>
        <v>0</v>
      </c>
      <c r="N587" s="561"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Row],[Payment]]=0,0,$V$2)</f>
        <v>0</v>
      </c>
      <c r="U587" s="14">
        <f>IF(tblContractForDeed[[#This Row],[Princ]]=0,0,$V$3)</f>
        <v>0</v>
      </c>
      <c r="V587" s="14">
        <f>SUM(tblContractForDeed[[#This Row],[Princ]],tblContractForDeed[[#This Row],[Int]],tblContractForDeed[[#This Row],[Ins]],tblContractForDeed[[#This Row],[Taxes]])</f>
        <v>0</v>
      </c>
      <c r="W587" s="265">
        <f>SUM(INDEX(tblContractForDeed[Princ],1):INDEX(tblContractForDeed[Princ],ROW()-ROW(tblContractForDeed[#Headers])))</f>
        <v>146500</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7" s="265">
        <f>IF(INDEX(tblContractForDeed[End Bal],ROW()-ROW(tblBuyerOutputs[#Headers]))&lt;=0,0,($O$6+IF(ROW()=ROW(tblBuyerOutputs[#Headers])+1,0,INDEX(tblBuyerOutputs[Cumul Appr],ROW()-ROW(tblBuyerOutputs[#Headers])-1)))*$O$2/12)</f>
        <v>0</v>
      </c>
      <c r="AE587" s="587">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61" t="str">
        <f t="shared" si="119"/>
        <v/>
      </c>
      <c r="B588" s="265">
        <f t="shared" si="120"/>
        <v>0</v>
      </c>
      <c r="C588" s="14">
        <f t="shared" si="117"/>
        <v>0</v>
      </c>
      <c r="D588" s="14">
        <f t="shared" si="121"/>
        <v>0</v>
      </c>
      <c r="E588" s="14">
        <f t="shared" si="118"/>
        <v>0</v>
      </c>
      <c r="K588" s="265">
        <f t="shared" si="122"/>
        <v>0</v>
      </c>
      <c r="L588" s="373">
        <f t="shared" si="124"/>
        <v>0</v>
      </c>
      <c r="M588" s="373">
        <f t="shared" si="123"/>
        <v>0</v>
      </c>
      <c r="N588" s="561"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Row],[Payment]]=0,0,$V$2)</f>
        <v>0</v>
      </c>
      <c r="U588" s="14">
        <f>IF(tblContractForDeed[[#This Row],[Princ]]=0,0,$V$3)</f>
        <v>0</v>
      </c>
      <c r="V588" s="14">
        <f>SUM(tblContractForDeed[[#This Row],[Princ]],tblContractForDeed[[#This Row],[Int]],tblContractForDeed[[#This Row],[Ins]],tblContractForDeed[[#This Row],[Taxes]])</f>
        <v>0</v>
      </c>
      <c r="W588" s="265">
        <f>SUM(INDEX(tblContractForDeed[Princ],1):INDEX(tblContractForDeed[Princ],ROW()-ROW(tblContractForDeed[#Headers])))</f>
        <v>146500</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8" s="265">
        <f>IF(INDEX(tblContractForDeed[End Bal],ROW()-ROW(tblBuyerOutputs[#Headers]))&lt;=0,0,($O$6+IF(ROW()=ROW(tblBuyerOutputs[#Headers])+1,0,INDEX(tblBuyerOutputs[Cumul Appr],ROW()-ROW(tblBuyerOutputs[#Headers])-1)))*$O$2/12)</f>
        <v>0</v>
      </c>
      <c r="AE588" s="587">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61" t="str">
        <f t="shared" si="119"/>
        <v/>
      </c>
      <c r="B589" s="265">
        <f t="shared" si="120"/>
        <v>0</v>
      </c>
      <c r="C589" s="14">
        <f t="shared" si="117"/>
        <v>0</v>
      </c>
      <c r="D589" s="14">
        <f t="shared" si="121"/>
        <v>0</v>
      </c>
      <c r="E589" s="14">
        <f t="shared" si="118"/>
        <v>0</v>
      </c>
      <c r="K589" s="265">
        <f t="shared" si="122"/>
        <v>0</v>
      </c>
      <c r="L589" s="373">
        <f t="shared" si="124"/>
        <v>0</v>
      </c>
      <c r="M589" s="373">
        <f t="shared" si="123"/>
        <v>0</v>
      </c>
      <c r="N589" s="561"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Row],[Payment]]=0,0,$V$2)</f>
        <v>0</v>
      </c>
      <c r="U589" s="14">
        <f>IF(tblContractForDeed[[#This Row],[Princ]]=0,0,$V$3)</f>
        <v>0</v>
      </c>
      <c r="V589" s="14">
        <f>SUM(tblContractForDeed[[#This Row],[Princ]],tblContractForDeed[[#This Row],[Int]],tblContractForDeed[[#This Row],[Ins]],tblContractForDeed[[#This Row],[Taxes]])</f>
        <v>0</v>
      </c>
      <c r="W589" s="265">
        <f>SUM(INDEX(tblContractForDeed[Princ],1):INDEX(tblContractForDeed[Princ],ROW()-ROW(tblContractForDeed[#Headers])))</f>
        <v>146500</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9" s="265">
        <f>IF(INDEX(tblContractForDeed[End Bal],ROW()-ROW(tblBuyerOutputs[#Headers]))&lt;=0,0,($O$6+IF(ROW()=ROW(tblBuyerOutputs[#Headers])+1,0,INDEX(tblBuyerOutputs[Cumul Appr],ROW()-ROW(tblBuyerOutputs[#Headers])-1)))*$O$2/12)</f>
        <v>0</v>
      </c>
      <c r="AE589" s="587">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61" t="str">
        <f t="shared" si="119"/>
        <v/>
      </c>
      <c r="B590" s="265">
        <f t="shared" si="120"/>
        <v>0</v>
      </c>
      <c r="C590" s="14">
        <f t="shared" si="117"/>
        <v>0</v>
      </c>
      <c r="D590" s="14">
        <f t="shared" si="121"/>
        <v>0</v>
      </c>
      <c r="E590" s="14">
        <f t="shared" si="118"/>
        <v>0</v>
      </c>
      <c r="K590" s="265">
        <f t="shared" si="122"/>
        <v>0</v>
      </c>
      <c r="L590" s="373">
        <f t="shared" si="124"/>
        <v>0</v>
      </c>
      <c r="M590" s="373">
        <f t="shared" si="123"/>
        <v>0</v>
      </c>
      <c r="N590" s="561"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Row],[Payment]]=0,0,$V$2)</f>
        <v>0</v>
      </c>
      <c r="U590" s="14">
        <f>IF(tblContractForDeed[[#This Row],[Princ]]=0,0,$V$3)</f>
        <v>0</v>
      </c>
      <c r="V590" s="14">
        <f>SUM(tblContractForDeed[[#This Row],[Princ]],tblContractForDeed[[#This Row],[Int]],tblContractForDeed[[#This Row],[Ins]],tblContractForDeed[[#This Row],[Taxes]])</f>
        <v>0</v>
      </c>
      <c r="W590" s="265">
        <f>SUM(INDEX(tblContractForDeed[Princ],1):INDEX(tblContractForDeed[Princ],ROW()-ROW(tblContractForDeed[#Headers])))</f>
        <v>146500</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0" s="265">
        <f>IF(INDEX(tblContractForDeed[End Bal],ROW()-ROW(tblBuyerOutputs[#Headers]))&lt;=0,0,($O$6+IF(ROW()=ROW(tblBuyerOutputs[#Headers])+1,0,INDEX(tblBuyerOutputs[Cumul Appr],ROW()-ROW(tblBuyerOutputs[#Headers])-1)))*$O$2/12)</f>
        <v>0</v>
      </c>
      <c r="AE590" s="587">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61" t="str">
        <f t="shared" si="119"/>
        <v/>
      </c>
      <c r="B591" s="265">
        <f t="shared" si="120"/>
        <v>0</v>
      </c>
      <c r="C591" s="14">
        <f t="shared" si="117"/>
        <v>0</v>
      </c>
      <c r="D591" s="14">
        <f t="shared" si="121"/>
        <v>0</v>
      </c>
      <c r="E591" s="14">
        <f t="shared" si="118"/>
        <v>0</v>
      </c>
      <c r="K591" s="265">
        <f t="shared" si="122"/>
        <v>0</v>
      </c>
      <c r="L591" s="373">
        <f t="shared" si="124"/>
        <v>0</v>
      </c>
      <c r="M591" s="373">
        <f t="shared" si="123"/>
        <v>0</v>
      </c>
      <c r="N591" s="561"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Row],[Payment]]=0,0,$V$2)</f>
        <v>0</v>
      </c>
      <c r="U591" s="14">
        <f>IF(tblContractForDeed[[#This Row],[Princ]]=0,0,$V$3)</f>
        <v>0</v>
      </c>
      <c r="V591" s="14">
        <f>SUM(tblContractForDeed[[#This Row],[Princ]],tblContractForDeed[[#This Row],[Int]],tblContractForDeed[[#This Row],[Ins]],tblContractForDeed[[#This Row],[Taxes]])</f>
        <v>0</v>
      </c>
      <c r="W591" s="265">
        <f>SUM(INDEX(tblContractForDeed[Princ],1):INDEX(tblContractForDeed[Princ],ROW()-ROW(tblContractForDeed[#Headers])))</f>
        <v>146500</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1" s="265">
        <f>IF(INDEX(tblContractForDeed[End Bal],ROW()-ROW(tblBuyerOutputs[#Headers]))&lt;=0,0,($O$6+IF(ROW()=ROW(tblBuyerOutputs[#Headers])+1,0,INDEX(tblBuyerOutputs[Cumul Appr],ROW()-ROW(tblBuyerOutputs[#Headers])-1)))*$O$2/12)</f>
        <v>0</v>
      </c>
      <c r="AE591" s="587">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61" t="str">
        <f t="shared" si="119"/>
        <v/>
      </c>
      <c r="B592" s="265">
        <f t="shared" si="120"/>
        <v>0</v>
      </c>
      <c r="C592" s="14">
        <f t="shared" si="117"/>
        <v>0</v>
      </c>
      <c r="D592" s="14">
        <f t="shared" si="121"/>
        <v>0</v>
      </c>
      <c r="E592" s="14">
        <f t="shared" si="118"/>
        <v>0</v>
      </c>
      <c r="K592" s="265">
        <f t="shared" si="122"/>
        <v>0</v>
      </c>
      <c r="L592" s="373">
        <f t="shared" si="124"/>
        <v>0</v>
      </c>
      <c r="M592" s="373">
        <f t="shared" si="123"/>
        <v>0</v>
      </c>
      <c r="N592" s="561"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Row],[Payment]]=0,0,$V$2)</f>
        <v>0</v>
      </c>
      <c r="U592" s="14">
        <f>IF(tblContractForDeed[[#This Row],[Princ]]=0,0,$V$3)</f>
        <v>0</v>
      </c>
      <c r="V592" s="14">
        <f>SUM(tblContractForDeed[[#This Row],[Princ]],tblContractForDeed[[#This Row],[Int]],tblContractForDeed[[#This Row],[Ins]],tblContractForDeed[[#This Row],[Taxes]])</f>
        <v>0</v>
      </c>
      <c r="W592" s="265">
        <f>SUM(INDEX(tblContractForDeed[Princ],1):INDEX(tblContractForDeed[Princ],ROW()-ROW(tblContractForDeed[#Headers])))</f>
        <v>146500</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2" s="265">
        <f>IF(INDEX(tblContractForDeed[End Bal],ROW()-ROW(tblBuyerOutputs[#Headers]))&lt;=0,0,($O$6+IF(ROW()=ROW(tblBuyerOutputs[#Headers])+1,0,INDEX(tblBuyerOutputs[Cumul Appr],ROW()-ROW(tblBuyerOutputs[#Headers])-1)))*$O$2/12)</f>
        <v>0</v>
      </c>
      <c r="AE592" s="587">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61" t="str">
        <f t="shared" si="119"/>
        <v/>
      </c>
      <c r="B593" s="265">
        <f t="shared" si="120"/>
        <v>0</v>
      </c>
      <c r="C593" s="14">
        <f t="shared" si="117"/>
        <v>0</v>
      </c>
      <c r="D593" s="14">
        <f t="shared" si="121"/>
        <v>0</v>
      </c>
      <c r="E593" s="14">
        <f t="shared" si="118"/>
        <v>0</v>
      </c>
      <c r="K593" s="265">
        <f t="shared" si="122"/>
        <v>0</v>
      </c>
      <c r="L593" s="373">
        <f t="shared" si="124"/>
        <v>0</v>
      </c>
      <c r="M593" s="373">
        <f t="shared" si="123"/>
        <v>0</v>
      </c>
      <c r="N593" s="561"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Row],[Payment]]=0,0,$V$2)</f>
        <v>0</v>
      </c>
      <c r="U593" s="14">
        <f>IF(tblContractForDeed[[#This Row],[Princ]]=0,0,$V$3)</f>
        <v>0</v>
      </c>
      <c r="V593" s="14">
        <f>SUM(tblContractForDeed[[#This Row],[Princ]],tblContractForDeed[[#This Row],[Int]],tblContractForDeed[[#This Row],[Ins]],tblContractForDeed[[#This Row],[Taxes]])</f>
        <v>0</v>
      </c>
      <c r="W593" s="265">
        <f>SUM(INDEX(tblContractForDeed[Princ],1):INDEX(tblContractForDeed[Princ],ROW()-ROW(tblContractForDeed[#Headers])))</f>
        <v>146500</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3" s="265">
        <f>IF(INDEX(tblContractForDeed[End Bal],ROW()-ROW(tblBuyerOutputs[#Headers]))&lt;=0,0,($O$6+IF(ROW()=ROW(tblBuyerOutputs[#Headers])+1,0,INDEX(tblBuyerOutputs[Cumul Appr],ROW()-ROW(tblBuyerOutputs[#Headers])-1)))*$O$2/12)</f>
        <v>0</v>
      </c>
      <c r="AE593" s="587">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61" t="str">
        <f t="shared" si="119"/>
        <v/>
      </c>
      <c r="B594" s="265">
        <f t="shared" si="120"/>
        <v>0</v>
      </c>
      <c r="C594" s="14">
        <f t="shared" si="117"/>
        <v>0</v>
      </c>
      <c r="D594" s="14">
        <f t="shared" si="121"/>
        <v>0</v>
      </c>
      <c r="E594" s="14">
        <f t="shared" si="118"/>
        <v>0</v>
      </c>
      <c r="K594" s="265">
        <f t="shared" si="122"/>
        <v>0</v>
      </c>
      <c r="L594" s="373">
        <f t="shared" si="124"/>
        <v>0</v>
      </c>
      <c r="M594" s="373">
        <f t="shared" si="123"/>
        <v>0</v>
      </c>
      <c r="N594" s="561"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Row],[Payment]]=0,0,$V$2)</f>
        <v>0</v>
      </c>
      <c r="U594" s="14">
        <f>IF(tblContractForDeed[[#This Row],[Princ]]=0,0,$V$3)</f>
        <v>0</v>
      </c>
      <c r="V594" s="14">
        <f>SUM(tblContractForDeed[[#This Row],[Princ]],tblContractForDeed[[#This Row],[Int]],tblContractForDeed[[#This Row],[Ins]],tblContractForDeed[[#This Row],[Taxes]])</f>
        <v>0</v>
      </c>
      <c r="W594" s="265">
        <f>SUM(INDEX(tblContractForDeed[Princ],1):INDEX(tblContractForDeed[Princ],ROW()-ROW(tblContractForDeed[#Headers])))</f>
        <v>146500</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4" s="265">
        <f>IF(INDEX(tblContractForDeed[End Bal],ROW()-ROW(tblBuyerOutputs[#Headers]))&lt;=0,0,($O$6+IF(ROW()=ROW(tblBuyerOutputs[#Headers])+1,0,INDEX(tblBuyerOutputs[Cumul Appr],ROW()-ROW(tblBuyerOutputs[#Headers])-1)))*$O$2/12)</f>
        <v>0</v>
      </c>
      <c r="AE594" s="587">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62" t="str">
        <f t="shared" si="119"/>
        <v/>
      </c>
      <c r="B595" s="316">
        <f t="shared" si="120"/>
        <v>0</v>
      </c>
      <c r="C595" s="21">
        <f t="shared" si="117"/>
        <v>0</v>
      </c>
      <c r="D595" s="21">
        <f t="shared" si="121"/>
        <v>0</v>
      </c>
      <c r="E595" s="21">
        <f t="shared" si="118"/>
        <v>0</v>
      </c>
      <c r="F595" s="21"/>
      <c r="G595" s="21"/>
      <c r="H595" s="21"/>
      <c r="I595" s="316"/>
      <c r="J595" s="316"/>
      <c r="K595" s="316">
        <f t="shared" si="122"/>
        <v>0</v>
      </c>
      <c r="L595" s="374">
        <f t="shared" si="124"/>
        <v>0</v>
      </c>
      <c r="M595" s="374">
        <f t="shared" si="123"/>
        <v>0</v>
      </c>
      <c r="N595" s="562" t="str">
        <f>INDEX(tblSubjectToLoan[Date],ROW()-ROW(tblContractForDeed[#Headers]))</f>
        <v/>
      </c>
      <c r="O595" s="316">
        <f>IF(ROW()=ROW(tblContractForDeed[#Headers])+1,$O$6,IF(INDEX(tblContractForDeed[End Bal],ROW()-ROW(tblContractForDeed[#Headers])-1)&lt;0,0,INDEX(tblContractForDeed[End Bal],ROW()-ROW(tblContractForDeed[#Headers])-1)))</f>
        <v>0</v>
      </c>
      <c r="P595" s="585"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Row],[Payment]]=0,0,$V$2)</f>
        <v>0</v>
      </c>
      <c r="U595" s="21">
        <f>IF(tblContractForDeed[[#This Row],[Princ]]=0,0,$V$3)</f>
        <v>0</v>
      </c>
      <c r="V595" s="21">
        <f>SUM(tblContractForDeed[[#This Row],[Princ]],tblContractForDeed[[#This Row],[Int]],tblContractForDeed[[#This Row],[Ins]],tblContractForDeed[[#This Row],[Taxes]])</f>
        <v>0</v>
      </c>
      <c r="W595" s="316">
        <f>SUM(INDEX(tblContractForDeed[Princ],1):INDEX(tblContractForDeed[Princ],ROW()-ROW(tblContractForDeed[#Headers])))</f>
        <v>146500</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5" s="316">
        <f>IF(INDEX(tblContractForDeed[End Bal],ROW()-ROW(tblBuyerOutputs[#Headers]))&lt;=0,0,($O$6+IF(ROW()=ROW(tblBuyerOutputs[#Headers])+1,0,INDEX(tblBuyerOutputs[Cumul Appr],ROW()-ROW(tblBuyerOutputs[#Headers])-1)))*$O$2/12)</f>
        <v>0</v>
      </c>
      <c r="AE595" s="588">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61" t="str">
        <f t="shared" si="119"/>
        <v/>
      </c>
      <c r="B596" s="265">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65">
        <f t="shared" si="122"/>
        <v>0</v>
      </c>
      <c r="L596" s="373">
        <f t="shared" si="124"/>
        <v>0</v>
      </c>
      <c r="M596" s="373">
        <f t="shared" si="123"/>
        <v>0</v>
      </c>
      <c r="N596" s="561"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Row],[Payment]]=0,0,$V$2)</f>
        <v>0</v>
      </c>
      <c r="U596" s="14">
        <f>IF(tblContractForDeed[[#This Row],[Princ]]=0,0,$V$3)</f>
        <v>0</v>
      </c>
      <c r="V596" s="14">
        <f>SUM(tblContractForDeed[[#This Row],[Princ]],tblContractForDeed[[#This Row],[Int]],tblContractForDeed[[#This Row],[Ins]],tblContractForDeed[[#This Row],[Taxes]])</f>
        <v>0</v>
      </c>
      <c r="W596" s="265">
        <f>SUM(INDEX(tblContractForDeed[Princ],1):INDEX(tblContractForDeed[Princ],ROW()-ROW(tblContractForDeed[#Headers])))</f>
        <v>146500</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6" s="265">
        <f>IF(INDEX(tblContractForDeed[End Bal],ROW()-ROW(tblBuyerOutputs[#Headers]))&lt;=0,0,($O$6+IF(ROW()=ROW(tblBuyerOutputs[#Headers])+1,0,INDEX(tblBuyerOutputs[Cumul Appr],ROW()-ROW(tblBuyerOutputs[#Headers])-1)))*$O$2/12)</f>
        <v>0</v>
      </c>
      <c r="AE596" s="587">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61" t="str">
        <f t="shared" ref="A597:A660" si="127">IF(OR(A596="",A596&gt;=subjectMortgageEndDate),"",EDATE(A596,1))</f>
        <v/>
      </c>
      <c r="B597" s="265">
        <f t="shared" ref="B597:B660" si="128">IF(A597="",0,MAX(0,K596))</f>
        <v>0</v>
      </c>
      <c r="C597" s="14">
        <f t="shared" si="125"/>
        <v>0</v>
      </c>
      <c r="D597" s="14">
        <f t="shared" ref="D597:D660" si="129">IF(C597=0,0,MAX(0,MIN(B597,C597-E597)))</f>
        <v>0</v>
      </c>
      <c r="E597" s="14">
        <f t="shared" si="126"/>
        <v>0</v>
      </c>
      <c r="K597" s="265">
        <f t="shared" ref="K597:K660" si="130">IF(A597="",0,IF(B597&lt;=0,0,MAX(0,B597-D597)))</f>
        <v>0</v>
      </c>
      <c r="L597" s="373">
        <f t="shared" si="124"/>
        <v>0</v>
      </c>
      <c r="M597" s="373">
        <f t="shared" ref="M597:M660" si="131">IF($A597&lt;&gt;"",M596+1,0)</f>
        <v>0</v>
      </c>
      <c r="N597" s="561"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Row],[Payment]]=0,0,$V$2)</f>
        <v>0</v>
      </c>
      <c r="U597" s="14">
        <f>IF(tblContractForDeed[[#This Row],[Princ]]=0,0,$V$3)</f>
        <v>0</v>
      </c>
      <c r="V597" s="14">
        <f>SUM(tblContractForDeed[[#This Row],[Princ]],tblContractForDeed[[#This Row],[Int]],tblContractForDeed[[#This Row],[Ins]],tblContractForDeed[[#This Row],[Taxes]])</f>
        <v>0</v>
      </c>
      <c r="W597" s="265">
        <f>SUM(INDEX(tblContractForDeed[Princ],1):INDEX(tblContractForDeed[Princ],ROW()-ROW(tblContractForDeed[#Headers])))</f>
        <v>146500</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7" s="265">
        <f>IF(INDEX(tblContractForDeed[End Bal],ROW()-ROW(tblBuyerOutputs[#Headers]))&lt;=0,0,($O$6+IF(ROW()=ROW(tblBuyerOutputs[#Headers])+1,0,INDEX(tblBuyerOutputs[Cumul Appr],ROW()-ROW(tblBuyerOutputs[#Headers])-1)))*$O$2/12)</f>
        <v>0</v>
      </c>
      <c r="AE597" s="587">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61" t="str">
        <f t="shared" si="127"/>
        <v/>
      </c>
      <c r="B598" s="265">
        <f t="shared" si="128"/>
        <v>0</v>
      </c>
      <c r="C598" s="14">
        <f t="shared" si="125"/>
        <v>0</v>
      </c>
      <c r="D598" s="14">
        <f t="shared" si="129"/>
        <v>0</v>
      </c>
      <c r="E598" s="14">
        <f t="shared" si="126"/>
        <v>0</v>
      </c>
      <c r="K598" s="265">
        <f t="shared" si="130"/>
        <v>0</v>
      </c>
      <c r="L598" s="373">
        <f t="shared" si="124"/>
        <v>0</v>
      </c>
      <c r="M598" s="373">
        <f t="shared" si="131"/>
        <v>0</v>
      </c>
      <c r="N598" s="561"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Row],[Payment]]=0,0,$V$2)</f>
        <v>0</v>
      </c>
      <c r="U598" s="14">
        <f>IF(tblContractForDeed[[#This Row],[Princ]]=0,0,$V$3)</f>
        <v>0</v>
      </c>
      <c r="V598" s="14">
        <f>SUM(tblContractForDeed[[#This Row],[Princ]],tblContractForDeed[[#This Row],[Int]],tblContractForDeed[[#This Row],[Ins]],tblContractForDeed[[#This Row],[Taxes]])</f>
        <v>0</v>
      </c>
      <c r="W598" s="265">
        <f>SUM(INDEX(tblContractForDeed[Princ],1):INDEX(tblContractForDeed[Princ],ROW()-ROW(tblContractForDeed[#Headers])))</f>
        <v>146500</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8" s="265">
        <f>IF(INDEX(tblContractForDeed[End Bal],ROW()-ROW(tblBuyerOutputs[#Headers]))&lt;=0,0,($O$6+IF(ROW()=ROW(tblBuyerOutputs[#Headers])+1,0,INDEX(tblBuyerOutputs[Cumul Appr],ROW()-ROW(tblBuyerOutputs[#Headers])-1)))*$O$2/12)</f>
        <v>0</v>
      </c>
      <c r="AE598" s="587">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61" t="str">
        <f t="shared" si="127"/>
        <v/>
      </c>
      <c r="B599" s="265">
        <f t="shared" si="128"/>
        <v>0</v>
      </c>
      <c r="C599" s="14">
        <f t="shared" si="125"/>
        <v>0</v>
      </c>
      <c r="D599" s="14">
        <f t="shared" si="129"/>
        <v>0</v>
      </c>
      <c r="E599" s="14">
        <f t="shared" si="126"/>
        <v>0</v>
      </c>
      <c r="K599" s="265">
        <f t="shared" si="130"/>
        <v>0</v>
      </c>
      <c r="L599" s="373">
        <f t="shared" si="124"/>
        <v>0</v>
      </c>
      <c r="M599" s="373">
        <f t="shared" si="131"/>
        <v>0</v>
      </c>
      <c r="N599" s="561"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Row],[Payment]]=0,0,$V$2)</f>
        <v>0</v>
      </c>
      <c r="U599" s="14">
        <f>IF(tblContractForDeed[[#This Row],[Princ]]=0,0,$V$3)</f>
        <v>0</v>
      </c>
      <c r="V599" s="14">
        <f>SUM(tblContractForDeed[[#This Row],[Princ]],tblContractForDeed[[#This Row],[Int]],tblContractForDeed[[#This Row],[Ins]],tblContractForDeed[[#This Row],[Taxes]])</f>
        <v>0</v>
      </c>
      <c r="W599" s="265">
        <f>SUM(INDEX(tblContractForDeed[Princ],1):INDEX(tblContractForDeed[Princ],ROW()-ROW(tblContractForDeed[#Headers])))</f>
        <v>146500</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9" s="265">
        <f>IF(INDEX(tblContractForDeed[End Bal],ROW()-ROW(tblBuyerOutputs[#Headers]))&lt;=0,0,($O$6+IF(ROW()=ROW(tblBuyerOutputs[#Headers])+1,0,INDEX(tblBuyerOutputs[Cumul Appr],ROW()-ROW(tblBuyerOutputs[#Headers])-1)))*$O$2/12)</f>
        <v>0</v>
      </c>
      <c r="AE599" s="587">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61" t="str">
        <f t="shared" si="127"/>
        <v/>
      </c>
      <c r="B600" s="265">
        <f t="shared" si="128"/>
        <v>0</v>
      </c>
      <c r="C600" s="14">
        <f t="shared" si="125"/>
        <v>0</v>
      </c>
      <c r="D600" s="14">
        <f t="shared" si="129"/>
        <v>0</v>
      </c>
      <c r="E600" s="14">
        <f t="shared" si="126"/>
        <v>0</v>
      </c>
      <c r="K600" s="265">
        <f t="shared" si="130"/>
        <v>0</v>
      </c>
      <c r="L600" s="373">
        <f t="shared" si="124"/>
        <v>0</v>
      </c>
      <c r="M600" s="373">
        <f t="shared" si="131"/>
        <v>0</v>
      </c>
      <c r="N600" s="561"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Row],[Payment]]=0,0,$V$2)</f>
        <v>0</v>
      </c>
      <c r="U600" s="14">
        <f>IF(tblContractForDeed[[#This Row],[Princ]]=0,0,$V$3)</f>
        <v>0</v>
      </c>
      <c r="V600" s="14">
        <f>SUM(tblContractForDeed[[#This Row],[Princ]],tblContractForDeed[[#This Row],[Int]],tblContractForDeed[[#This Row],[Ins]],tblContractForDeed[[#This Row],[Taxes]])</f>
        <v>0</v>
      </c>
      <c r="W600" s="265">
        <f>SUM(INDEX(tblContractForDeed[Princ],1):INDEX(tblContractForDeed[Princ],ROW()-ROW(tblContractForDeed[#Headers])))</f>
        <v>146500</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0" s="265">
        <f>IF(INDEX(tblContractForDeed[End Bal],ROW()-ROW(tblBuyerOutputs[#Headers]))&lt;=0,0,($O$6+IF(ROW()=ROW(tblBuyerOutputs[#Headers])+1,0,INDEX(tblBuyerOutputs[Cumul Appr],ROW()-ROW(tblBuyerOutputs[#Headers])-1)))*$O$2/12)</f>
        <v>0</v>
      </c>
      <c r="AE600" s="587">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61" t="str">
        <f t="shared" si="127"/>
        <v/>
      </c>
      <c r="B601" s="265">
        <f t="shared" si="128"/>
        <v>0</v>
      </c>
      <c r="C601" s="14">
        <f t="shared" si="125"/>
        <v>0</v>
      </c>
      <c r="D601" s="14">
        <f t="shared" si="129"/>
        <v>0</v>
      </c>
      <c r="E601" s="14">
        <f t="shared" si="126"/>
        <v>0</v>
      </c>
      <c r="K601" s="265">
        <f t="shared" si="130"/>
        <v>0</v>
      </c>
      <c r="L601" s="373">
        <f t="shared" si="124"/>
        <v>0</v>
      </c>
      <c r="M601" s="373">
        <f t="shared" si="131"/>
        <v>0</v>
      </c>
      <c r="N601" s="561"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Row],[Payment]]=0,0,$V$2)</f>
        <v>0</v>
      </c>
      <c r="U601" s="14">
        <f>IF(tblContractForDeed[[#This Row],[Princ]]=0,0,$V$3)</f>
        <v>0</v>
      </c>
      <c r="V601" s="14">
        <f>SUM(tblContractForDeed[[#This Row],[Princ]],tblContractForDeed[[#This Row],[Int]],tblContractForDeed[[#This Row],[Ins]],tblContractForDeed[[#This Row],[Taxes]])</f>
        <v>0</v>
      </c>
      <c r="W601" s="265">
        <f>SUM(INDEX(tblContractForDeed[Princ],1):INDEX(tblContractForDeed[Princ],ROW()-ROW(tblContractForDeed[#Headers])))</f>
        <v>146500</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1" s="265">
        <f>IF(INDEX(tblContractForDeed[End Bal],ROW()-ROW(tblBuyerOutputs[#Headers]))&lt;=0,0,($O$6+IF(ROW()=ROW(tblBuyerOutputs[#Headers])+1,0,INDEX(tblBuyerOutputs[Cumul Appr],ROW()-ROW(tblBuyerOutputs[#Headers])-1)))*$O$2/12)</f>
        <v>0</v>
      </c>
      <c r="AE601" s="587">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61" t="str">
        <f t="shared" si="127"/>
        <v/>
      </c>
      <c r="B602" s="265">
        <f t="shared" si="128"/>
        <v>0</v>
      </c>
      <c r="C602" s="14">
        <f t="shared" si="125"/>
        <v>0</v>
      </c>
      <c r="D602" s="14">
        <f t="shared" si="129"/>
        <v>0</v>
      </c>
      <c r="E602" s="14">
        <f t="shared" si="126"/>
        <v>0</v>
      </c>
      <c r="K602" s="265">
        <f t="shared" si="130"/>
        <v>0</v>
      </c>
      <c r="L602" s="373">
        <f t="shared" si="124"/>
        <v>0</v>
      </c>
      <c r="M602" s="373">
        <f t="shared" si="131"/>
        <v>0</v>
      </c>
      <c r="N602" s="561"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Row],[Payment]]=0,0,$V$2)</f>
        <v>0</v>
      </c>
      <c r="U602" s="14">
        <f>IF(tblContractForDeed[[#This Row],[Princ]]=0,0,$V$3)</f>
        <v>0</v>
      </c>
      <c r="V602" s="14">
        <f>SUM(tblContractForDeed[[#This Row],[Princ]],tblContractForDeed[[#This Row],[Int]],tblContractForDeed[[#This Row],[Ins]],tblContractForDeed[[#This Row],[Taxes]])</f>
        <v>0</v>
      </c>
      <c r="W602" s="265">
        <f>SUM(INDEX(tblContractForDeed[Princ],1):INDEX(tblContractForDeed[Princ],ROW()-ROW(tblContractForDeed[#Headers])))</f>
        <v>146500</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2" s="265">
        <f>IF(INDEX(tblContractForDeed[End Bal],ROW()-ROW(tblBuyerOutputs[#Headers]))&lt;=0,0,($O$6+IF(ROW()=ROW(tblBuyerOutputs[#Headers])+1,0,INDEX(tblBuyerOutputs[Cumul Appr],ROW()-ROW(tblBuyerOutputs[#Headers])-1)))*$O$2/12)</f>
        <v>0</v>
      </c>
      <c r="AE602" s="587">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61" t="str">
        <f t="shared" si="127"/>
        <v/>
      </c>
      <c r="B603" s="265">
        <f t="shared" si="128"/>
        <v>0</v>
      </c>
      <c r="C603" s="14">
        <f t="shared" si="125"/>
        <v>0</v>
      </c>
      <c r="D603" s="14">
        <f t="shared" si="129"/>
        <v>0</v>
      </c>
      <c r="E603" s="14">
        <f t="shared" si="126"/>
        <v>0</v>
      </c>
      <c r="K603" s="265">
        <f t="shared" si="130"/>
        <v>0</v>
      </c>
      <c r="L603" s="373">
        <f t="shared" si="124"/>
        <v>0</v>
      </c>
      <c r="M603" s="373">
        <f t="shared" si="131"/>
        <v>0</v>
      </c>
      <c r="N603" s="561"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Row],[Payment]]=0,0,$V$2)</f>
        <v>0</v>
      </c>
      <c r="U603" s="14">
        <f>IF(tblContractForDeed[[#This Row],[Princ]]=0,0,$V$3)</f>
        <v>0</v>
      </c>
      <c r="V603" s="14">
        <f>SUM(tblContractForDeed[[#This Row],[Princ]],tblContractForDeed[[#This Row],[Int]],tblContractForDeed[[#This Row],[Ins]],tblContractForDeed[[#This Row],[Taxes]])</f>
        <v>0</v>
      </c>
      <c r="W603" s="265">
        <f>SUM(INDEX(tblContractForDeed[Princ],1):INDEX(tblContractForDeed[Princ],ROW()-ROW(tblContractForDeed[#Headers])))</f>
        <v>146500</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3" s="265">
        <f>IF(INDEX(tblContractForDeed[End Bal],ROW()-ROW(tblBuyerOutputs[#Headers]))&lt;=0,0,($O$6+IF(ROW()=ROW(tblBuyerOutputs[#Headers])+1,0,INDEX(tblBuyerOutputs[Cumul Appr],ROW()-ROW(tblBuyerOutputs[#Headers])-1)))*$O$2/12)</f>
        <v>0</v>
      </c>
      <c r="AE603" s="587">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61" t="str">
        <f t="shared" si="127"/>
        <v/>
      </c>
      <c r="B604" s="265">
        <f t="shared" si="128"/>
        <v>0</v>
      </c>
      <c r="C604" s="14">
        <f t="shared" si="125"/>
        <v>0</v>
      </c>
      <c r="D604" s="14">
        <f t="shared" si="129"/>
        <v>0</v>
      </c>
      <c r="E604" s="14">
        <f t="shared" si="126"/>
        <v>0</v>
      </c>
      <c r="K604" s="265">
        <f t="shared" si="130"/>
        <v>0</v>
      </c>
      <c r="L604" s="373">
        <f t="shared" si="124"/>
        <v>0</v>
      </c>
      <c r="M604" s="373">
        <f t="shared" si="131"/>
        <v>0</v>
      </c>
      <c r="N604" s="561"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Row],[Payment]]=0,0,$V$2)</f>
        <v>0</v>
      </c>
      <c r="U604" s="14">
        <f>IF(tblContractForDeed[[#This Row],[Princ]]=0,0,$V$3)</f>
        <v>0</v>
      </c>
      <c r="V604" s="14">
        <f>SUM(tblContractForDeed[[#This Row],[Princ]],tblContractForDeed[[#This Row],[Int]],tblContractForDeed[[#This Row],[Ins]],tblContractForDeed[[#This Row],[Taxes]])</f>
        <v>0</v>
      </c>
      <c r="W604" s="265">
        <f>SUM(INDEX(tblContractForDeed[Princ],1):INDEX(tblContractForDeed[Princ],ROW()-ROW(tblContractForDeed[#Headers])))</f>
        <v>146500</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4" s="265">
        <f>IF(INDEX(tblContractForDeed[End Bal],ROW()-ROW(tblBuyerOutputs[#Headers]))&lt;=0,0,($O$6+IF(ROW()=ROW(tblBuyerOutputs[#Headers])+1,0,INDEX(tblBuyerOutputs[Cumul Appr],ROW()-ROW(tblBuyerOutputs[#Headers])-1)))*$O$2/12)</f>
        <v>0</v>
      </c>
      <c r="AE604" s="587">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61" t="str">
        <f t="shared" si="127"/>
        <v/>
      </c>
      <c r="B605" s="265">
        <f t="shared" si="128"/>
        <v>0</v>
      </c>
      <c r="C605" s="14">
        <f t="shared" si="125"/>
        <v>0</v>
      </c>
      <c r="D605" s="14">
        <f t="shared" si="129"/>
        <v>0</v>
      </c>
      <c r="E605" s="14">
        <f t="shared" si="126"/>
        <v>0</v>
      </c>
      <c r="K605" s="265">
        <f t="shared" si="130"/>
        <v>0</v>
      </c>
      <c r="L605" s="373">
        <f t="shared" si="124"/>
        <v>0</v>
      </c>
      <c r="M605" s="373">
        <f t="shared" si="131"/>
        <v>0</v>
      </c>
      <c r="N605" s="561"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Row],[Payment]]=0,0,$V$2)</f>
        <v>0</v>
      </c>
      <c r="U605" s="14">
        <f>IF(tblContractForDeed[[#This Row],[Princ]]=0,0,$V$3)</f>
        <v>0</v>
      </c>
      <c r="V605" s="14">
        <f>SUM(tblContractForDeed[[#This Row],[Princ]],tblContractForDeed[[#This Row],[Int]],tblContractForDeed[[#This Row],[Ins]],tblContractForDeed[[#This Row],[Taxes]])</f>
        <v>0</v>
      </c>
      <c r="W605" s="265">
        <f>SUM(INDEX(tblContractForDeed[Princ],1):INDEX(tblContractForDeed[Princ],ROW()-ROW(tblContractForDeed[#Headers])))</f>
        <v>146500</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5" s="265">
        <f>IF(INDEX(tblContractForDeed[End Bal],ROW()-ROW(tblBuyerOutputs[#Headers]))&lt;=0,0,($O$6+IF(ROW()=ROW(tblBuyerOutputs[#Headers])+1,0,INDEX(tblBuyerOutputs[Cumul Appr],ROW()-ROW(tblBuyerOutputs[#Headers])-1)))*$O$2/12)</f>
        <v>0</v>
      </c>
      <c r="AE605" s="587">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61" t="str">
        <f t="shared" si="127"/>
        <v/>
      </c>
      <c r="B606" s="265">
        <f t="shared" si="128"/>
        <v>0</v>
      </c>
      <c r="C606" s="14">
        <f t="shared" si="125"/>
        <v>0</v>
      </c>
      <c r="D606" s="14">
        <f t="shared" si="129"/>
        <v>0</v>
      </c>
      <c r="E606" s="14">
        <f t="shared" si="126"/>
        <v>0</v>
      </c>
      <c r="K606" s="265">
        <f t="shared" si="130"/>
        <v>0</v>
      </c>
      <c r="L606" s="373">
        <f t="shared" si="124"/>
        <v>0</v>
      </c>
      <c r="M606" s="373">
        <f t="shared" si="131"/>
        <v>0</v>
      </c>
      <c r="N606" s="561"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Row],[Payment]]=0,0,$V$2)</f>
        <v>0</v>
      </c>
      <c r="U606" s="14">
        <f>IF(tblContractForDeed[[#This Row],[Princ]]=0,0,$V$3)</f>
        <v>0</v>
      </c>
      <c r="V606" s="14">
        <f>SUM(tblContractForDeed[[#This Row],[Princ]],tblContractForDeed[[#This Row],[Int]],tblContractForDeed[[#This Row],[Ins]],tblContractForDeed[[#This Row],[Taxes]])</f>
        <v>0</v>
      </c>
      <c r="W606" s="265">
        <f>SUM(INDEX(tblContractForDeed[Princ],1):INDEX(tblContractForDeed[Princ],ROW()-ROW(tblContractForDeed[#Headers])))</f>
        <v>146500</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6" s="265">
        <f>IF(INDEX(tblContractForDeed[End Bal],ROW()-ROW(tblBuyerOutputs[#Headers]))&lt;=0,0,($O$6+IF(ROW()=ROW(tblBuyerOutputs[#Headers])+1,0,INDEX(tblBuyerOutputs[Cumul Appr],ROW()-ROW(tblBuyerOutputs[#Headers])-1)))*$O$2/12)</f>
        <v>0</v>
      </c>
      <c r="AE606" s="587">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62" t="str">
        <f t="shared" si="127"/>
        <v/>
      </c>
      <c r="B607" s="316">
        <f t="shared" si="128"/>
        <v>0</v>
      </c>
      <c r="C607" s="21">
        <f t="shared" si="125"/>
        <v>0</v>
      </c>
      <c r="D607" s="21">
        <f t="shared" si="129"/>
        <v>0</v>
      </c>
      <c r="E607" s="21">
        <f t="shared" si="126"/>
        <v>0</v>
      </c>
      <c r="F607" s="21"/>
      <c r="G607" s="21"/>
      <c r="H607" s="21"/>
      <c r="I607" s="316"/>
      <c r="J607" s="316"/>
      <c r="K607" s="316">
        <f t="shared" si="130"/>
        <v>0</v>
      </c>
      <c r="L607" s="374">
        <f t="shared" si="124"/>
        <v>0</v>
      </c>
      <c r="M607" s="374">
        <f t="shared" si="131"/>
        <v>0</v>
      </c>
      <c r="N607" s="562" t="str">
        <f>INDEX(tblSubjectToLoan[Date],ROW()-ROW(tblContractForDeed[#Headers]))</f>
        <v/>
      </c>
      <c r="O607" s="316">
        <f>IF(ROW()=ROW(tblContractForDeed[#Headers])+1,$O$6,IF(INDEX(tblContractForDeed[End Bal],ROW()-ROW(tblContractForDeed[#Headers])-1)&lt;0,0,INDEX(tblContractForDeed[End Bal],ROW()-ROW(tblContractForDeed[#Headers])-1)))</f>
        <v>0</v>
      </c>
      <c r="P607" s="585"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Row],[Payment]]=0,0,$V$2)</f>
        <v>0</v>
      </c>
      <c r="U607" s="21">
        <f>IF(tblContractForDeed[[#This Row],[Princ]]=0,0,$V$3)</f>
        <v>0</v>
      </c>
      <c r="V607" s="21">
        <f>SUM(tblContractForDeed[[#This Row],[Princ]],tblContractForDeed[[#This Row],[Int]],tblContractForDeed[[#This Row],[Ins]],tblContractForDeed[[#This Row],[Taxes]])</f>
        <v>0</v>
      </c>
      <c r="W607" s="316">
        <f>SUM(INDEX(tblContractForDeed[Princ],1):INDEX(tblContractForDeed[Princ],ROW()-ROW(tblContractForDeed[#Headers])))</f>
        <v>146500</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7" s="316">
        <f>IF(INDEX(tblContractForDeed[End Bal],ROW()-ROW(tblBuyerOutputs[#Headers]))&lt;=0,0,($O$6+IF(ROW()=ROW(tblBuyerOutputs[#Headers])+1,0,INDEX(tblBuyerOutputs[Cumul Appr],ROW()-ROW(tblBuyerOutputs[#Headers])-1)))*$O$2/12)</f>
        <v>0</v>
      </c>
      <c r="AE607" s="588">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61" t="str">
        <f t="shared" si="127"/>
        <v/>
      </c>
      <c r="B608" s="265">
        <f t="shared" si="128"/>
        <v>0</v>
      </c>
      <c r="C608" s="14">
        <f t="shared" si="125"/>
        <v>0</v>
      </c>
      <c r="D608" s="14">
        <f t="shared" si="129"/>
        <v>0</v>
      </c>
      <c r="E608" s="14">
        <f t="shared" si="126"/>
        <v>0</v>
      </c>
      <c r="K608" s="265">
        <f t="shared" si="130"/>
        <v>0</v>
      </c>
      <c r="L608" s="373">
        <f t="shared" si="124"/>
        <v>0</v>
      </c>
      <c r="M608" s="373">
        <f t="shared" si="131"/>
        <v>0</v>
      </c>
      <c r="N608" s="561"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Row],[Payment]]=0,0,$V$2)</f>
        <v>0</v>
      </c>
      <c r="U608" s="14">
        <f>IF(tblContractForDeed[[#This Row],[Princ]]=0,0,$V$3)</f>
        <v>0</v>
      </c>
      <c r="V608" s="14">
        <f>SUM(tblContractForDeed[[#This Row],[Princ]],tblContractForDeed[[#This Row],[Int]],tblContractForDeed[[#This Row],[Ins]],tblContractForDeed[[#This Row],[Taxes]])</f>
        <v>0</v>
      </c>
      <c r="W608" s="265">
        <f>SUM(INDEX(tblContractForDeed[Princ],1):INDEX(tblContractForDeed[Princ],ROW()-ROW(tblContractForDeed[#Headers])))</f>
        <v>146500</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8" s="265">
        <f>IF(INDEX(tblContractForDeed[End Bal],ROW()-ROW(tblBuyerOutputs[#Headers]))&lt;=0,0,($O$6+IF(ROW()=ROW(tblBuyerOutputs[#Headers])+1,0,INDEX(tblBuyerOutputs[Cumul Appr],ROW()-ROW(tblBuyerOutputs[#Headers])-1)))*$O$2/12)</f>
        <v>0</v>
      </c>
      <c r="AE608" s="587">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61" t="str">
        <f t="shared" si="127"/>
        <v/>
      </c>
      <c r="B609" s="265">
        <f t="shared" si="128"/>
        <v>0</v>
      </c>
      <c r="C609" s="14">
        <f t="shared" si="125"/>
        <v>0</v>
      </c>
      <c r="D609" s="14">
        <f t="shared" si="129"/>
        <v>0</v>
      </c>
      <c r="E609" s="14">
        <f t="shared" si="126"/>
        <v>0</v>
      </c>
      <c r="K609" s="265">
        <f t="shared" si="130"/>
        <v>0</v>
      </c>
      <c r="L609" s="373">
        <f t="shared" si="124"/>
        <v>0</v>
      </c>
      <c r="M609" s="373">
        <f t="shared" si="131"/>
        <v>0</v>
      </c>
      <c r="N609" s="561"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Row],[Payment]]=0,0,$V$2)</f>
        <v>0</v>
      </c>
      <c r="U609" s="14">
        <f>IF(tblContractForDeed[[#This Row],[Princ]]=0,0,$V$3)</f>
        <v>0</v>
      </c>
      <c r="V609" s="14">
        <f>SUM(tblContractForDeed[[#This Row],[Princ]],tblContractForDeed[[#This Row],[Int]],tblContractForDeed[[#This Row],[Ins]],tblContractForDeed[[#This Row],[Taxes]])</f>
        <v>0</v>
      </c>
      <c r="W609" s="265">
        <f>SUM(INDEX(tblContractForDeed[Princ],1):INDEX(tblContractForDeed[Princ],ROW()-ROW(tblContractForDeed[#Headers])))</f>
        <v>146500</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9" s="265">
        <f>IF(INDEX(tblContractForDeed[End Bal],ROW()-ROW(tblBuyerOutputs[#Headers]))&lt;=0,0,($O$6+IF(ROW()=ROW(tblBuyerOutputs[#Headers])+1,0,INDEX(tblBuyerOutputs[Cumul Appr],ROW()-ROW(tblBuyerOutputs[#Headers])-1)))*$O$2/12)</f>
        <v>0</v>
      </c>
      <c r="AE609" s="587">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61" t="str">
        <f t="shared" si="127"/>
        <v/>
      </c>
      <c r="B610" s="265">
        <f t="shared" si="128"/>
        <v>0</v>
      </c>
      <c r="C610" s="14">
        <f t="shared" si="125"/>
        <v>0</v>
      </c>
      <c r="D610" s="14">
        <f t="shared" si="129"/>
        <v>0</v>
      </c>
      <c r="E610" s="14">
        <f t="shared" si="126"/>
        <v>0</v>
      </c>
      <c r="K610" s="265">
        <f t="shared" si="130"/>
        <v>0</v>
      </c>
      <c r="L610" s="373">
        <f t="shared" si="124"/>
        <v>0</v>
      </c>
      <c r="M610" s="373">
        <f t="shared" si="131"/>
        <v>0</v>
      </c>
      <c r="N610" s="561"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Row],[Payment]]=0,0,$V$2)</f>
        <v>0</v>
      </c>
      <c r="U610" s="14">
        <f>IF(tblContractForDeed[[#This Row],[Princ]]=0,0,$V$3)</f>
        <v>0</v>
      </c>
      <c r="V610" s="14">
        <f>SUM(tblContractForDeed[[#This Row],[Princ]],tblContractForDeed[[#This Row],[Int]],tblContractForDeed[[#This Row],[Ins]],tblContractForDeed[[#This Row],[Taxes]])</f>
        <v>0</v>
      </c>
      <c r="W610" s="265">
        <f>SUM(INDEX(tblContractForDeed[Princ],1):INDEX(tblContractForDeed[Princ],ROW()-ROW(tblContractForDeed[#Headers])))</f>
        <v>146500</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0" s="265">
        <f>IF(INDEX(tblContractForDeed[End Bal],ROW()-ROW(tblBuyerOutputs[#Headers]))&lt;=0,0,($O$6+IF(ROW()=ROW(tblBuyerOutputs[#Headers])+1,0,INDEX(tblBuyerOutputs[Cumul Appr],ROW()-ROW(tblBuyerOutputs[#Headers])-1)))*$O$2/12)</f>
        <v>0</v>
      </c>
      <c r="AE610" s="587">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61" t="str">
        <f t="shared" si="127"/>
        <v/>
      </c>
      <c r="B611" s="265">
        <f t="shared" si="128"/>
        <v>0</v>
      </c>
      <c r="C611" s="14">
        <f t="shared" si="125"/>
        <v>0</v>
      </c>
      <c r="D611" s="14">
        <f t="shared" si="129"/>
        <v>0</v>
      </c>
      <c r="E611" s="14">
        <f t="shared" si="126"/>
        <v>0</v>
      </c>
      <c r="K611" s="265">
        <f t="shared" si="130"/>
        <v>0</v>
      </c>
      <c r="L611" s="373">
        <f t="shared" si="124"/>
        <v>0</v>
      </c>
      <c r="M611" s="373">
        <f t="shared" si="131"/>
        <v>0</v>
      </c>
      <c r="N611" s="561"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Row],[Payment]]=0,0,$V$2)</f>
        <v>0</v>
      </c>
      <c r="U611" s="14">
        <f>IF(tblContractForDeed[[#This Row],[Princ]]=0,0,$V$3)</f>
        <v>0</v>
      </c>
      <c r="V611" s="14">
        <f>SUM(tblContractForDeed[[#This Row],[Princ]],tblContractForDeed[[#This Row],[Int]],tblContractForDeed[[#This Row],[Ins]],tblContractForDeed[[#This Row],[Taxes]])</f>
        <v>0</v>
      </c>
      <c r="W611" s="265">
        <f>SUM(INDEX(tblContractForDeed[Princ],1):INDEX(tblContractForDeed[Princ],ROW()-ROW(tblContractForDeed[#Headers])))</f>
        <v>146500</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1" s="265">
        <f>IF(INDEX(tblContractForDeed[End Bal],ROW()-ROW(tblBuyerOutputs[#Headers]))&lt;=0,0,($O$6+IF(ROW()=ROW(tblBuyerOutputs[#Headers])+1,0,INDEX(tblBuyerOutputs[Cumul Appr],ROW()-ROW(tblBuyerOutputs[#Headers])-1)))*$O$2/12)</f>
        <v>0</v>
      </c>
      <c r="AE611" s="587">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61" t="str">
        <f t="shared" si="127"/>
        <v/>
      </c>
      <c r="B612" s="265">
        <f t="shared" si="128"/>
        <v>0</v>
      </c>
      <c r="C612" s="14">
        <f t="shared" si="125"/>
        <v>0</v>
      </c>
      <c r="D612" s="14">
        <f t="shared" si="129"/>
        <v>0</v>
      </c>
      <c r="E612" s="14">
        <f t="shared" si="126"/>
        <v>0</v>
      </c>
      <c r="K612" s="265">
        <f t="shared" si="130"/>
        <v>0</v>
      </c>
      <c r="L612" s="373">
        <f t="shared" si="124"/>
        <v>0</v>
      </c>
      <c r="M612" s="373">
        <f t="shared" si="131"/>
        <v>0</v>
      </c>
      <c r="N612" s="561"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Row],[Payment]]=0,0,$V$2)</f>
        <v>0</v>
      </c>
      <c r="U612" s="14">
        <f>IF(tblContractForDeed[[#This Row],[Princ]]=0,0,$V$3)</f>
        <v>0</v>
      </c>
      <c r="V612" s="14">
        <f>SUM(tblContractForDeed[[#This Row],[Princ]],tblContractForDeed[[#This Row],[Int]],tblContractForDeed[[#This Row],[Ins]],tblContractForDeed[[#This Row],[Taxes]])</f>
        <v>0</v>
      </c>
      <c r="W612" s="265">
        <f>SUM(INDEX(tblContractForDeed[Princ],1):INDEX(tblContractForDeed[Princ],ROW()-ROW(tblContractForDeed[#Headers])))</f>
        <v>146500</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2" s="265">
        <f>IF(INDEX(tblContractForDeed[End Bal],ROW()-ROW(tblBuyerOutputs[#Headers]))&lt;=0,0,($O$6+IF(ROW()=ROW(tblBuyerOutputs[#Headers])+1,0,INDEX(tblBuyerOutputs[Cumul Appr],ROW()-ROW(tblBuyerOutputs[#Headers])-1)))*$O$2/12)</f>
        <v>0</v>
      </c>
      <c r="AE612" s="587">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61" t="str">
        <f t="shared" si="127"/>
        <v/>
      </c>
      <c r="B613" s="265">
        <f t="shared" si="128"/>
        <v>0</v>
      </c>
      <c r="C613" s="14">
        <f t="shared" si="125"/>
        <v>0</v>
      </c>
      <c r="D613" s="14">
        <f t="shared" si="129"/>
        <v>0</v>
      </c>
      <c r="E613" s="14">
        <f t="shared" si="126"/>
        <v>0</v>
      </c>
      <c r="K613" s="265">
        <f t="shared" si="130"/>
        <v>0</v>
      </c>
      <c r="L613" s="373">
        <f t="shared" si="124"/>
        <v>0</v>
      </c>
      <c r="M613" s="373">
        <f t="shared" si="131"/>
        <v>0</v>
      </c>
      <c r="N613" s="561"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Row],[Payment]]=0,0,$V$2)</f>
        <v>0</v>
      </c>
      <c r="U613" s="14">
        <f>IF(tblContractForDeed[[#This Row],[Princ]]=0,0,$V$3)</f>
        <v>0</v>
      </c>
      <c r="V613" s="14">
        <f>SUM(tblContractForDeed[[#This Row],[Princ]],tblContractForDeed[[#This Row],[Int]],tblContractForDeed[[#This Row],[Ins]],tblContractForDeed[[#This Row],[Taxes]])</f>
        <v>0</v>
      </c>
      <c r="W613" s="265">
        <f>SUM(INDEX(tblContractForDeed[Princ],1):INDEX(tblContractForDeed[Princ],ROW()-ROW(tblContractForDeed[#Headers])))</f>
        <v>146500</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3" s="265">
        <f>IF(INDEX(tblContractForDeed[End Bal],ROW()-ROW(tblBuyerOutputs[#Headers]))&lt;=0,0,($O$6+IF(ROW()=ROW(tblBuyerOutputs[#Headers])+1,0,INDEX(tblBuyerOutputs[Cumul Appr],ROW()-ROW(tblBuyerOutputs[#Headers])-1)))*$O$2/12)</f>
        <v>0</v>
      </c>
      <c r="AE613" s="587">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61" t="str">
        <f t="shared" si="127"/>
        <v/>
      </c>
      <c r="B614" s="265">
        <f t="shared" si="128"/>
        <v>0</v>
      </c>
      <c r="C614" s="14">
        <f t="shared" si="125"/>
        <v>0</v>
      </c>
      <c r="D614" s="14">
        <f t="shared" si="129"/>
        <v>0</v>
      </c>
      <c r="E614" s="14">
        <f t="shared" si="126"/>
        <v>0</v>
      </c>
      <c r="K614" s="265">
        <f t="shared" si="130"/>
        <v>0</v>
      </c>
      <c r="L614" s="373">
        <f t="shared" si="124"/>
        <v>0</v>
      </c>
      <c r="M614" s="373">
        <f t="shared" si="131"/>
        <v>0</v>
      </c>
      <c r="N614" s="561"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Row],[Payment]]=0,0,$V$2)</f>
        <v>0</v>
      </c>
      <c r="U614" s="14">
        <f>IF(tblContractForDeed[[#This Row],[Princ]]=0,0,$V$3)</f>
        <v>0</v>
      </c>
      <c r="V614" s="14">
        <f>SUM(tblContractForDeed[[#This Row],[Princ]],tblContractForDeed[[#This Row],[Int]],tblContractForDeed[[#This Row],[Ins]],tblContractForDeed[[#This Row],[Taxes]])</f>
        <v>0</v>
      </c>
      <c r="W614" s="265">
        <f>SUM(INDEX(tblContractForDeed[Princ],1):INDEX(tblContractForDeed[Princ],ROW()-ROW(tblContractForDeed[#Headers])))</f>
        <v>146500</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4" s="265">
        <f>IF(INDEX(tblContractForDeed[End Bal],ROW()-ROW(tblBuyerOutputs[#Headers]))&lt;=0,0,($O$6+IF(ROW()=ROW(tblBuyerOutputs[#Headers])+1,0,INDEX(tblBuyerOutputs[Cumul Appr],ROW()-ROW(tblBuyerOutputs[#Headers])-1)))*$O$2/12)</f>
        <v>0</v>
      </c>
      <c r="AE614" s="587">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61" t="str">
        <f t="shared" si="127"/>
        <v/>
      </c>
      <c r="B615" s="265">
        <f t="shared" si="128"/>
        <v>0</v>
      </c>
      <c r="C615" s="14">
        <f t="shared" si="125"/>
        <v>0</v>
      </c>
      <c r="D615" s="14">
        <f t="shared" si="129"/>
        <v>0</v>
      </c>
      <c r="E615" s="14">
        <f t="shared" si="126"/>
        <v>0</v>
      </c>
      <c r="K615" s="265">
        <f t="shared" si="130"/>
        <v>0</v>
      </c>
      <c r="L615" s="373">
        <f t="shared" si="124"/>
        <v>0</v>
      </c>
      <c r="M615" s="373">
        <f t="shared" si="131"/>
        <v>0</v>
      </c>
      <c r="N615" s="561"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Row],[Payment]]=0,0,$V$2)</f>
        <v>0</v>
      </c>
      <c r="U615" s="14">
        <f>IF(tblContractForDeed[[#This Row],[Princ]]=0,0,$V$3)</f>
        <v>0</v>
      </c>
      <c r="V615" s="14">
        <f>SUM(tblContractForDeed[[#This Row],[Princ]],tblContractForDeed[[#This Row],[Int]],tblContractForDeed[[#This Row],[Ins]],tblContractForDeed[[#This Row],[Taxes]])</f>
        <v>0</v>
      </c>
      <c r="W615" s="265">
        <f>SUM(INDEX(tblContractForDeed[Princ],1):INDEX(tblContractForDeed[Princ],ROW()-ROW(tblContractForDeed[#Headers])))</f>
        <v>146500</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5" s="265">
        <f>IF(INDEX(tblContractForDeed[End Bal],ROW()-ROW(tblBuyerOutputs[#Headers]))&lt;=0,0,($O$6+IF(ROW()=ROW(tblBuyerOutputs[#Headers])+1,0,INDEX(tblBuyerOutputs[Cumul Appr],ROW()-ROW(tblBuyerOutputs[#Headers])-1)))*$O$2/12)</f>
        <v>0</v>
      </c>
      <c r="AE615" s="587">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61" t="str">
        <f t="shared" si="127"/>
        <v/>
      </c>
      <c r="B616" s="265">
        <f t="shared" si="128"/>
        <v>0</v>
      </c>
      <c r="C616" s="14">
        <f t="shared" si="125"/>
        <v>0</v>
      </c>
      <c r="D616" s="14">
        <f t="shared" si="129"/>
        <v>0</v>
      </c>
      <c r="E616" s="14">
        <f t="shared" si="126"/>
        <v>0</v>
      </c>
      <c r="K616" s="265">
        <f t="shared" si="130"/>
        <v>0</v>
      </c>
      <c r="L616" s="373">
        <f t="shared" si="124"/>
        <v>0</v>
      </c>
      <c r="M616" s="373">
        <f t="shared" si="131"/>
        <v>0</v>
      </c>
      <c r="N616" s="561"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Row],[Payment]]=0,0,$V$2)</f>
        <v>0</v>
      </c>
      <c r="U616" s="14">
        <f>IF(tblContractForDeed[[#This Row],[Princ]]=0,0,$V$3)</f>
        <v>0</v>
      </c>
      <c r="V616" s="14">
        <f>SUM(tblContractForDeed[[#This Row],[Princ]],tblContractForDeed[[#This Row],[Int]],tblContractForDeed[[#This Row],[Ins]],tblContractForDeed[[#This Row],[Taxes]])</f>
        <v>0</v>
      </c>
      <c r="W616" s="265">
        <f>SUM(INDEX(tblContractForDeed[Princ],1):INDEX(tblContractForDeed[Princ],ROW()-ROW(tblContractForDeed[#Headers])))</f>
        <v>146500</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6" s="265">
        <f>IF(INDEX(tblContractForDeed[End Bal],ROW()-ROW(tblBuyerOutputs[#Headers]))&lt;=0,0,($O$6+IF(ROW()=ROW(tblBuyerOutputs[#Headers])+1,0,INDEX(tblBuyerOutputs[Cumul Appr],ROW()-ROW(tblBuyerOutputs[#Headers])-1)))*$O$2/12)</f>
        <v>0</v>
      </c>
      <c r="AE616" s="587">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61" t="str">
        <f t="shared" si="127"/>
        <v/>
      </c>
      <c r="B617" s="265">
        <f t="shared" si="128"/>
        <v>0</v>
      </c>
      <c r="C617" s="14">
        <f t="shared" si="125"/>
        <v>0</v>
      </c>
      <c r="D617" s="14">
        <f t="shared" si="129"/>
        <v>0</v>
      </c>
      <c r="E617" s="14">
        <f t="shared" si="126"/>
        <v>0</v>
      </c>
      <c r="K617" s="265">
        <f t="shared" si="130"/>
        <v>0</v>
      </c>
      <c r="L617" s="373">
        <f t="shared" si="124"/>
        <v>0</v>
      </c>
      <c r="M617" s="373">
        <f t="shared" si="131"/>
        <v>0</v>
      </c>
      <c r="N617" s="561"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Row],[Payment]]=0,0,$V$2)</f>
        <v>0</v>
      </c>
      <c r="U617" s="14">
        <f>IF(tblContractForDeed[[#This Row],[Princ]]=0,0,$V$3)</f>
        <v>0</v>
      </c>
      <c r="V617" s="14">
        <f>SUM(tblContractForDeed[[#This Row],[Princ]],tblContractForDeed[[#This Row],[Int]],tblContractForDeed[[#This Row],[Ins]],tblContractForDeed[[#This Row],[Taxes]])</f>
        <v>0</v>
      </c>
      <c r="W617" s="265">
        <f>SUM(INDEX(tblContractForDeed[Princ],1):INDEX(tblContractForDeed[Princ],ROW()-ROW(tblContractForDeed[#Headers])))</f>
        <v>146500</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7" s="265">
        <f>IF(INDEX(tblContractForDeed[End Bal],ROW()-ROW(tblBuyerOutputs[#Headers]))&lt;=0,0,($O$6+IF(ROW()=ROW(tblBuyerOutputs[#Headers])+1,0,INDEX(tblBuyerOutputs[Cumul Appr],ROW()-ROW(tblBuyerOutputs[#Headers])-1)))*$O$2/12)</f>
        <v>0</v>
      </c>
      <c r="AE617" s="587">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61" t="str">
        <f t="shared" si="127"/>
        <v/>
      </c>
      <c r="B618" s="265">
        <f t="shared" si="128"/>
        <v>0</v>
      </c>
      <c r="C618" s="14">
        <f t="shared" si="125"/>
        <v>0</v>
      </c>
      <c r="D618" s="14">
        <f t="shared" si="129"/>
        <v>0</v>
      </c>
      <c r="E618" s="14">
        <f t="shared" si="126"/>
        <v>0</v>
      </c>
      <c r="K618" s="265">
        <f t="shared" si="130"/>
        <v>0</v>
      </c>
      <c r="L618" s="373">
        <f t="shared" si="124"/>
        <v>0</v>
      </c>
      <c r="M618" s="373">
        <f t="shared" si="131"/>
        <v>0</v>
      </c>
      <c r="N618" s="561"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Row],[Payment]]=0,0,$V$2)</f>
        <v>0</v>
      </c>
      <c r="U618" s="14">
        <f>IF(tblContractForDeed[[#This Row],[Princ]]=0,0,$V$3)</f>
        <v>0</v>
      </c>
      <c r="V618" s="14">
        <f>SUM(tblContractForDeed[[#This Row],[Princ]],tblContractForDeed[[#This Row],[Int]],tblContractForDeed[[#This Row],[Ins]],tblContractForDeed[[#This Row],[Taxes]])</f>
        <v>0</v>
      </c>
      <c r="W618" s="265">
        <f>SUM(INDEX(tblContractForDeed[Princ],1):INDEX(tblContractForDeed[Princ],ROW()-ROW(tblContractForDeed[#Headers])))</f>
        <v>146500</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8" s="265">
        <f>IF(INDEX(tblContractForDeed[End Bal],ROW()-ROW(tblBuyerOutputs[#Headers]))&lt;=0,0,($O$6+IF(ROW()=ROW(tblBuyerOutputs[#Headers])+1,0,INDEX(tblBuyerOutputs[Cumul Appr],ROW()-ROW(tblBuyerOutputs[#Headers])-1)))*$O$2/12)</f>
        <v>0</v>
      </c>
      <c r="AE618" s="587">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62" t="str">
        <f t="shared" si="127"/>
        <v/>
      </c>
      <c r="B619" s="316">
        <f t="shared" si="128"/>
        <v>0</v>
      </c>
      <c r="C619" s="21">
        <f t="shared" si="125"/>
        <v>0</v>
      </c>
      <c r="D619" s="21">
        <f t="shared" si="129"/>
        <v>0</v>
      </c>
      <c r="E619" s="21">
        <f t="shared" si="126"/>
        <v>0</v>
      </c>
      <c r="F619" s="21"/>
      <c r="G619" s="21"/>
      <c r="H619" s="21"/>
      <c r="I619" s="316"/>
      <c r="J619" s="316"/>
      <c r="K619" s="316">
        <f t="shared" si="130"/>
        <v>0</v>
      </c>
      <c r="L619" s="374">
        <f t="shared" si="124"/>
        <v>0</v>
      </c>
      <c r="M619" s="374">
        <f t="shared" si="131"/>
        <v>0</v>
      </c>
      <c r="N619" s="562" t="str">
        <f>INDEX(tblSubjectToLoan[Date],ROW()-ROW(tblContractForDeed[#Headers]))</f>
        <v/>
      </c>
      <c r="O619" s="316">
        <f>IF(ROW()=ROW(tblContractForDeed[#Headers])+1,$O$6,IF(INDEX(tblContractForDeed[End Bal],ROW()-ROW(tblContractForDeed[#Headers])-1)&lt;0,0,INDEX(tblContractForDeed[End Bal],ROW()-ROW(tblContractForDeed[#Headers])-1)))</f>
        <v>0</v>
      </c>
      <c r="P619" s="585"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Row],[Payment]]=0,0,$V$2)</f>
        <v>0</v>
      </c>
      <c r="U619" s="21">
        <f>IF(tblContractForDeed[[#This Row],[Princ]]=0,0,$V$3)</f>
        <v>0</v>
      </c>
      <c r="V619" s="21">
        <f>SUM(tblContractForDeed[[#This Row],[Princ]],tblContractForDeed[[#This Row],[Int]],tblContractForDeed[[#This Row],[Ins]],tblContractForDeed[[#This Row],[Taxes]])</f>
        <v>0</v>
      </c>
      <c r="W619" s="316">
        <f>SUM(INDEX(tblContractForDeed[Princ],1):INDEX(tblContractForDeed[Princ],ROW()-ROW(tblContractForDeed[#Headers])))</f>
        <v>146500</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9" s="316">
        <f>IF(INDEX(tblContractForDeed[End Bal],ROW()-ROW(tblBuyerOutputs[#Headers]))&lt;=0,0,($O$6+IF(ROW()=ROW(tblBuyerOutputs[#Headers])+1,0,INDEX(tblBuyerOutputs[Cumul Appr],ROW()-ROW(tblBuyerOutputs[#Headers])-1)))*$O$2/12)</f>
        <v>0</v>
      </c>
      <c r="AE619" s="588">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61" t="str">
        <f t="shared" si="127"/>
        <v/>
      </c>
      <c r="B620" s="265">
        <f t="shared" si="128"/>
        <v>0</v>
      </c>
      <c r="C620" s="14">
        <f t="shared" si="125"/>
        <v>0</v>
      </c>
      <c r="D620" s="14">
        <f t="shared" si="129"/>
        <v>0</v>
      </c>
      <c r="E620" s="14">
        <f t="shared" si="126"/>
        <v>0</v>
      </c>
      <c r="K620" s="265">
        <f t="shared" si="130"/>
        <v>0</v>
      </c>
      <c r="L620" s="373">
        <f t="shared" si="124"/>
        <v>0</v>
      </c>
      <c r="M620" s="373">
        <f t="shared" si="131"/>
        <v>0</v>
      </c>
      <c r="N620" s="561"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Row],[Payment]]=0,0,$V$2)</f>
        <v>0</v>
      </c>
      <c r="U620" s="14">
        <f>IF(tblContractForDeed[[#This Row],[Princ]]=0,0,$V$3)</f>
        <v>0</v>
      </c>
      <c r="V620" s="14">
        <f>SUM(tblContractForDeed[[#This Row],[Princ]],tblContractForDeed[[#This Row],[Int]],tblContractForDeed[[#This Row],[Ins]],tblContractForDeed[[#This Row],[Taxes]])</f>
        <v>0</v>
      </c>
      <c r="W620" s="265">
        <f>SUM(INDEX(tblContractForDeed[Princ],1):INDEX(tblContractForDeed[Princ],ROW()-ROW(tblContractForDeed[#Headers])))</f>
        <v>146500</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0" s="265">
        <f>IF(INDEX(tblContractForDeed[End Bal],ROW()-ROW(tblBuyerOutputs[#Headers]))&lt;=0,0,($O$6+IF(ROW()=ROW(tblBuyerOutputs[#Headers])+1,0,INDEX(tblBuyerOutputs[Cumul Appr],ROW()-ROW(tblBuyerOutputs[#Headers])-1)))*$O$2/12)</f>
        <v>0</v>
      </c>
      <c r="AE620" s="587">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61" t="str">
        <f t="shared" si="127"/>
        <v/>
      </c>
      <c r="B621" s="265">
        <f t="shared" si="128"/>
        <v>0</v>
      </c>
      <c r="C621" s="14">
        <f t="shared" si="125"/>
        <v>0</v>
      </c>
      <c r="D621" s="14">
        <f t="shared" si="129"/>
        <v>0</v>
      </c>
      <c r="E621" s="14">
        <f t="shared" si="126"/>
        <v>0</v>
      </c>
      <c r="K621" s="265">
        <f t="shared" si="130"/>
        <v>0</v>
      </c>
      <c r="L621" s="373">
        <f t="shared" si="124"/>
        <v>0</v>
      </c>
      <c r="M621" s="373">
        <f t="shared" si="131"/>
        <v>0</v>
      </c>
      <c r="N621" s="561"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Row],[Payment]]=0,0,$V$2)</f>
        <v>0</v>
      </c>
      <c r="U621" s="14">
        <f>IF(tblContractForDeed[[#This Row],[Princ]]=0,0,$V$3)</f>
        <v>0</v>
      </c>
      <c r="V621" s="14">
        <f>SUM(tblContractForDeed[[#This Row],[Princ]],tblContractForDeed[[#This Row],[Int]],tblContractForDeed[[#This Row],[Ins]],tblContractForDeed[[#This Row],[Taxes]])</f>
        <v>0</v>
      </c>
      <c r="W621" s="265">
        <f>SUM(INDEX(tblContractForDeed[Princ],1):INDEX(tblContractForDeed[Princ],ROW()-ROW(tblContractForDeed[#Headers])))</f>
        <v>146500</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1" s="265">
        <f>IF(INDEX(tblContractForDeed[End Bal],ROW()-ROW(tblBuyerOutputs[#Headers]))&lt;=0,0,($O$6+IF(ROW()=ROW(tblBuyerOutputs[#Headers])+1,0,INDEX(tblBuyerOutputs[Cumul Appr],ROW()-ROW(tblBuyerOutputs[#Headers])-1)))*$O$2/12)</f>
        <v>0</v>
      </c>
      <c r="AE621" s="587">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61" t="str">
        <f t="shared" si="127"/>
        <v/>
      </c>
      <c r="B622" s="265">
        <f t="shared" si="128"/>
        <v>0</v>
      </c>
      <c r="C622" s="14">
        <f t="shared" si="125"/>
        <v>0</v>
      </c>
      <c r="D622" s="14">
        <f t="shared" si="129"/>
        <v>0</v>
      </c>
      <c r="E622" s="14">
        <f t="shared" si="126"/>
        <v>0</v>
      </c>
      <c r="K622" s="265">
        <f t="shared" si="130"/>
        <v>0</v>
      </c>
      <c r="L622" s="373">
        <f t="shared" si="124"/>
        <v>0</v>
      </c>
      <c r="M622" s="373">
        <f t="shared" si="131"/>
        <v>0</v>
      </c>
      <c r="N622" s="561"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Row],[Payment]]=0,0,$V$2)</f>
        <v>0</v>
      </c>
      <c r="U622" s="14">
        <f>IF(tblContractForDeed[[#This Row],[Princ]]=0,0,$V$3)</f>
        <v>0</v>
      </c>
      <c r="V622" s="14">
        <f>SUM(tblContractForDeed[[#This Row],[Princ]],tblContractForDeed[[#This Row],[Int]],tblContractForDeed[[#This Row],[Ins]],tblContractForDeed[[#This Row],[Taxes]])</f>
        <v>0</v>
      </c>
      <c r="W622" s="265">
        <f>SUM(INDEX(tblContractForDeed[Princ],1):INDEX(tblContractForDeed[Princ],ROW()-ROW(tblContractForDeed[#Headers])))</f>
        <v>146500</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2" s="265">
        <f>IF(INDEX(tblContractForDeed[End Bal],ROW()-ROW(tblBuyerOutputs[#Headers]))&lt;=0,0,($O$6+IF(ROW()=ROW(tblBuyerOutputs[#Headers])+1,0,INDEX(tblBuyerOutputs[Cumul Appr],ROW()-ROW(tblBuyerOutputs[#Headers])-1)))*$O$2/12)</f>
        <v>0</v>
      </c>
      <c r="AE622" s="587">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61" t="str">
        <f t="shared" si="127"/>
        <v/>
      </c>
      <c r="B623" s="265">
        <f t="shared" si="128"/>
        <v>0</v>
      </c>
      <c r="C623" s="14">
        <f t="shared" si="125"/>
        <v>0</v>
      </c>
      <c r="D623" s="14">
        <f t="shared" si="129"/>
        <v>0</v>
      </c>
      <c r="E623" s="14">
        <f t="shared" si="126"/>
        <v>0</v>
      </c>
      <c r="K623" s="265">
        <f t="shared" si="130"/>
        <v>0</v>
      </c>
      <c r="L623" s="373">
        <f t="shared" si="124"/>
        <v>0</v>
      </c>
      <c r="M623" s="373">
        <f t="shared" si="131"/>
        <v>0</v>
      </c>
      <c r="N623" s="561"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Row],[Payment]]=0,0,$V$2)</f>
        <v>0</v>
      </c>
      <c r="U623" s="14">
        <f>IF(tblContractForDeed[[#This Row],[Princ]]=0,0,$V$3)</f>
        <v>0</v>
      </c>
      <c r="V623" s="14">
        <f>SUM(tblContractForDeed[[#This Row],[Princ]],tblContractForDeed[[#This Row],[Int]],tblContractForDeed[[#This Row],[Ins]],tblContractForDeed[[#This Row],[Taxes]])</f>
        <v>0</v>
      </c>
      <c r="W623" s="265">
        <f>SUM(INDEX(tblContractForDeed[Princ],1):INDEX(tblContractForDeed[Princ],ROW()-ROW(tblContractForDeed[#Headers])))</f>
        <v>146500</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3" s="265">
        <f>IF(INDEX(tblContractForDeed[End Bal],ROW()-ROW(tblBuyerOutputs[#Headers]))&lt;=0,0,($O$6+IF(ROW()=ROW(tblBuyerOutputs[#Headers])+1,0,INDEX(tblBuyerOutputs[Cumul Appr],ROW()-ROW(tblBuyerOutputs[#Headers])-1)))*$O$2/12)</f>
        <v>0</v>
      </c>
      <c r="AE623" s="587">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61" t="str">
        <f t="shared" si="127"/>
        <v/>
      </c>
      <c r="B624" s="265">
        <f t="shared" si="128"/>
        <v>0</v>
      </c>
      <c r="C624" s="14">
        <f t="shared" si="125"/>
        <v>0</v>
      </c>
      <c r="D624" s="14">
        <f t="shared" si="129"/>
        <v>0</v>
      </c>
      <c r="E624" s="14">
        <f t="shared" si="126"/>
        <v>0</v>
      </c>
      <c r="K624" s="265">
        <f t="shared" si="130"/>
        <v>0</v>
      </c>
      <c r="L624" s="373">
        <f t="shared" si="124"/>
        <v>0</v>
      </c>
      <c r="M624" s="373">
        <f t="shared" si="131"/>
        <v>0</v>
      </c>
      <c r="N624" s="561"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Row],[Payment]]=0,0,$V$2)</f>
        <v>0</v>
      </c>
      <c r="U624" s="14">
        <f>IF(tblContractForDeed[[#This Row],[Princ]]=0,0,$V$3)</f>
        <v>0</v>
      </c>
      <c r="V624" s="14">
        <f>SUM(tblContractForDeed[[#This Row],[Princ]],tblContractForDeed[[#This Row],[Int]],tblContractForDeed[[#This Row],[Ins]],tblContractForDeed[[#This Row],[Taxes]])</f>
        <v>0</v>
      </c>
      <c r="W624" s="265">
        <f>SUM(INDEX(tblContractForDeed[Princ],1):INDEX(tblContractForDeed[Princ],ROW()-ROW(tblContractForDeed[#Headers])))</f>
        <v>146500</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4" s="265">
        <f>IF(INDEX(tblContractForDeed[End Bal],ROW()-ROW(tblBuyerOutputs[#Headers]))&lt;=0,0,($O$6+IF(ROW()=ROW(tblBuyerOutputs[#Headers])+1,0,INDEX(tblBuyerOutputs[Cumul Appr],ROW()-ROW(tblBuyerOutputs[#Headers])-1)))*$O$2/12)</f>
        <v>0</v>
      </c>
      <c r="AE624" s="587">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61" t="str">
        <f t="shared" si="127"/>
        <v/>
      </c>
      <c r="B625" s="265">
        <f t="shared" si="128"/>
        <v>0</v>
      </c>
      <c r="C625" s="14">
        <f t="shared" si="125"/>
        <v>0</v>
      </c>
      <c r="D625" s="14">
        <f t="shared" si="129"/>
        <v>0</v>
      </c>
      <c r="E625" s="14">
        <f t="shared" si="126"/>
        <v>0</v>
      </c>
      <c r="K625" s="265">
        <f t="shared" si="130"/>
        <v>0</v>
      </c>
      <c r="L625" s="373">
        <f t="shared" si="124"/>
        <v>0</v>
      </c>
      <c r="M625" s="373">
        <f t="shared" si="131"/>
        <v>0</v>
      </c>
      <c r="N625" s="561"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Row],[Payment]]=0,0,$V$2)</f>
        <v>0</v>
      </c>
      <c r="U625" s="14">
        <f>IF(tblContractForDeed[[#This Row],[Princ]]=0,0,$V$3)</f>
        <v>0</v>
      </c>
      <c r="V625" s="14">
        <f>SUM(tblContractForDeed[[#This Row],[Princ]],tblContractForDeed[[#This Row],[Int]],tblContractForDeed[[#This Row],[Ins]],tblContractForDeed[[#This Row],[Taxes]])</f>
        <v>0</v>
      </c>
      <c r="W625" s="265">
        <f>SUM(INDEX(tblContractForDeed[Princ],1):INDEX(tblContractForDeed[Princ],ROW()-ROW(tblContractForDeed[#Headers])))</f>
        <v>146500</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5" s="265">
        <f>IF(INDEX(tblContractForDeed[End Bal],ROW()-ROW(tblBuyerOutputs[#Headers]))&lt;=0,0,($O$6+IF(ROW()=ROW(tblBuyerOutputs[#Headers])+1,0,INDEX(tblBuyerOutputs[Cumul Appr],ROW()-ROW(tblBuyerOutputs[#Headers])-1)))*$O$2/12)</f>
        <v>0</v>
      </c>
      <c r="AE625" s="587">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61" t="str">
        <f t="shared" si="127"/>
        <v/>
      </c>
      <c r="B626" s="265">
        <f t="shared" si="128"/>
        <v>0</v>
      </c>
      <c r="C626" s="14">
        <f t="shared" si="125"/>
        <v>0</v>
      </c>
      <c r="D626" s="14">
        <f t="shared" si="129"/>
        <v>0</v>
      </c>
      <c r="E626" s="14">
        <f t="shared" si="126"/>
        <v>0</v>
      </c>
      <c r="K626" s="265">
        <f t="shared" si="130"/>
        <v>0</v>
      </c>
      <c r="L626" s="373">
        <f t="shared" si="124"/>
        <v>0</v>
      </c>
      <c r="M626" s="373">
        <f t="shared" si="131"/>
        <v>0</v>
      </c>
      <c r="N626" s="561"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Row],[Payment]]=0,0,$V$2)</f>
        <v>0</v>
      </c>
      <c r="U626" s="14">
        <f>IF(tblContractForDeed[[#This Row],[Princ]]=0,0,$V$3)</f>
        <v>0</v>
      </c>
      <c r="V626" s="14">
        <f>SUM(tblContractForDeed[[#This Row],[Princ]],tblContractForDeed[[#This Row],[Int]],tblContractForDeed[[#This Row],[Ins]],tblContractForDeed[[#This Row],[Taxes]])</f>
        <v>0</v>
      </c>
      <c r="W626" s="265">
        <f>SUM(INDEX(tblContractForDeed[Princ],1):INDEX(tblContractForDeed[Princ],ROW()-ROW(tblContractForDeed[#Headers])))</f>
        <v>146500</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6" s="265">
        <f>IF(INDEX(tblContractForDeed[End Bal],ROW()-ROW(tblBuyerOutputs[#Headers]))&lt;=0,0,($O$6+IF(ROW()=ROW(tblBuyerOutputs[#Headers])+1,0,INDEX(tblBuyerOutputs[Cumul Appr],ROW()-ROW(tblBuyerOutputs[#Headers])-1)))*$O$2/12)</f>
        <v>0</v>
      </c>
      <c r="AE626" s="587">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61" t="str">
        <f t="shared" si="127"/>
        <v/>
      </c>
      <c r="B627" s="265">
        <f t="shared" si="128"/>
        <v>0</v>
      </c>
      <c r="C627" s="14">
        <f t="shared" si="125"/>
        <v>0</v>
      </c>
      <c r="D627" s="14">
        <f t="shared" si="129"/>
        <v>0</v>
      </c>
      <c r="E627" s="14">
        <f t="shared" si="126"/>
        <v>0</v>
      </c>
      <c r="K627" s="265">
        <f t="shared" si="130"/>
        <v>0</v>
      </c>
      <c r="L627" s="373">
        <f t="shared" si="124"/>
        <v>0</v>
      </c>
      <c r="M627" s="373">
        <f t="shared" si="131"/>
        <v>0</v>
      </c>
      <c r="N627" s="561"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Row],[Payment]]=0,0,$V$2)</f>
        <v>0</v>
      </c>
      <c r="U627" s="14">
        <f>IF(tblContractForDeed[[#This Row],[Princ]]=0,0,$V$3)</f>
        <v>0</v>
      </c>
      <c r="V627" s="14">
        <f>SUM(tblContractForDeed[[#This Row],[Princ]],tblContractForDeed[[#This Row],[Int]],tblContractForDeed[[#This Row],[Ins]],tblContractForDeed[[#This Row],[Taxes]])</f>
        <v>0</v>
      </c>
      <c r="W627" s="265">
        <f>SUM(INDEX(tblContractForDeed[Princ],1):INDEX(tblContractForDeed[Princ],ROW()-ROW(tblContractForDeed[#Headers])))</f>
        <v>146500</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7" s="265">
        <f>IF(INDEX(tblContractForDeed[End Bal],ROW()-ROW(tblBuyerOutputs[#Headers]))&lt;=0,0,($O$6+IF(ROW()=ROW(tblBuyerOutputs[#Headers])+1,0,INDEX(tblBuyerOutputs[Cumul Appr],ROW()-ROW(tblBuyerOutputs[#Headers])-1)))*$O$2/12)</f>
        <v>0</v>
      </c>
      <c r="AE627" s="587">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61" t="str">
        <f t="shared" si="127"/>
        <v/>
      </c>
      <c r="B628" s="265">
        <f t="shared" si="128"/>
        <v>0</v>
      </c>
      <c r="C628" s="14">
        <f t="shared" si="125"/>
        <v>0</v>
      </c>
      <c r="D628" s="14">
        <f t="shared" si="129"/>
        <v>0</v>
      </c>
      <c r="E628" s="14">
        <f t="shared" si="126"/>
        <v>0</v>
      </c>
      <c r="K628" s="265">
        <f t="shared" si="130"/>
        <v>0</v>
      </c>
      <c r="L628" s="373">
        <f t="shared" ref="L628:L691" si="132">IF(MOD(M628,12)=0,M628/12,L627)</f>
        <v>0</v>
      </c>
      <c r="M628" s="373">
        <f t="shared" si="131"/>
        <v>0</v>
      </c>
      <c r="N628" s="561"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Row],[Payment]]=0,0,$V$2)</f>
        <v>0</v>
      </c>
      <c r="U628" s="14">
        <f>IF(tblContractForDeed[[#This Row],[Princ]]=0,0,$V$3)</f>
        <v>0</v>
      </c>
      <c r="V628" s="14">
        <f>SUM(tblContractForDeed[[#This Row],[Princ]],tblContractForDeed[[#This Row],[Int]],tblContractForDeed[[#This Row],[Ins]],tblContractForDeed[[#This Row],[Taxes]])</f>
        <v>0</v>
      </c>
      <c r="W628" s="265">
        <f>SUM(INDEX(tblContractForDeed[Princ],1):INDEX(tblContractForDeed[Princ],ROW()-ROW(tblContractForDeed[#Headers])))</f>
        <v>146500</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8" s="265">
        <f>IF(INDEX(tblContractForDeed[End Bal],ROW()-ROW(tblBuyerOutputs[#Headers]))&lt;=0,0,($O$6+IF(ROW()=ROW(tblBuyerOutputs[#Headers])+1,0,INDEX(tblBuyerOutputs[Cumul Appr],ROW()-ROW(tblBuyerOutputs[#Headers])-1)))*$O$2/12)</f>
        <v>0</v>
      </c>
      <c r="AE628" s="587">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61" t="str">
        <f t="shared" si="127"/>
        <v/>
      </c>
      <c r="B629" s="265">
        <f t="shared" si="128"/>
        <v>0</v>
      </c>
      <c r="C629" s="14">
        <f t="shared" si="125"/>
        <v>0</v>
      </c>
      <c r="D629" s="14">
        <f t="shared" si="129"/>
        <v>0</v>
      </c>
      <c r="E629" s="14">
        <f t="shared" si="126"/>
        <v>0</v>
      </c>
      <c r="K629" s="265">
        <f t="shared" si="130"/>
        <v>0</v>
      </c>
      <c r="L629" s="373">
        <f t="shared" si="132"/>
        <v>0</v>
      </c>
      <c r="M629" s="373">
        <f t="shared" si="131"/>
        <v>0</v>
      </c>
      <c r="N629" s="561"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Row],[Payment]]=0,0,$V$2)</f>
        <v>0</v>
      </c>
      <c r="U629" s="14">
        <f>IF(tblContractForDeed[[#This Row],[Princ]]=0,0,$V$3)</f>
        <v>0</v>
      </c>
      <c r="V629" s="14">
        <f>SUM(tblContractForDeed[[#This Row],[Princ]],tblContractForDeed[[#This Row],[Int]],tblContractForDeed[[#This Row],[Ins]],tblContractForDeed[[#This Row],[Taxes]])</f>
        <v>0</v>
      </c>
      <c r="W629" s="265">
        <f>SUM(INDEX(tblContractForDeed[Princ],1):INDEX(tblContractForDeed[Princ],ROW()-ROW(tblContractForDeed[#Headers])))</f>
        <v>146500</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9" s="265">
        <f>IF(INDEX(tblContractForDeed[End Bal],ROW()-ROW(tblBuyerOutputs[#Headers]))&lt;=0,0,($O$6+IF(ROW()=ROW(tblBuyerOutputs[#Headers])+1,0,INDEX(tblBuyerOutputs[Cumul Appr],ROW()-ROW(tblBuyerOutputs[#Headers])-1)))*$O$2/12)</f>
        <v>0</v>
      </c>
      <c r="AE629" s="587">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61" t="str">
        <f t="shared" si="127"/>
        <v/>
      </c>
      <c r="B630" s="265">
        <f t="shared" si="128"/>
        <v>0</v>
      </c>
      <c r="C630" s="14">
        <f t="shared" si="125"/>
        <v>0</v>
      </c>
      <c r="D630" s="14">
        <f t="shared" si="129"/>
        <v>0</v>
      </c>
      <c r="E630" s="14">
        <f t="shared" si="126"/>
        <v>0</v>
      </c>
      <c r="K630" s="265">
        <f t="shared" si="130"/>
        <v>0</v>
      </c>
      <c r="L630" s="373">
        <f t="shared" si="132"/>
        <v>0</v>
      </c>
      <c r="M630" s="373">
        <f t="shared" si="131"/>
        <v>0</v>
      </c>
      <c r="N630" s="561"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Row],[Payment]]=0,0,$V$2)</f>
        <v>0</v>
      </c>
      <c r="U630" s="14">
        <f>IF(tblContractForDeed[[#This Row],[Princ]]=0,0,$V$3)</f>
        <v>0</v>
      </c>
      <c r="V630" s="14">
        <f>SUM(tblContractForDeed[[#This Row],[Princ]],tblContractForDeed[[#This Row],[Int]],tblContractForDeed[[#This Row],[Ins]],tblContractForDeed[[#This Row],[Taxes]])</f>
        <v>0</v>
      </c>
      <c r="W630" s="265">
        <f>SUM(INDEX(tblContractForDeed[Princ],1):INDEX(tblContractForDeed[Princ],ROW()-ROW(tblContractForDeed[#Headers])))</f>
        <v>146500</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0" s="265">
        <f>IF(INDEX(tblContractForDeed[End Bal],ROW()-ROW(tblBuyerOutputs[#Headers]))&lt;=0,0,($O$6+IF(ROW()=ROW(tblBuyerOutputs[#Headers])+1,0,INDEX(tblBuyerOutputs[Cumul Appr],ROW()-ROW(tblBuyerOutputs[#Headers])-1)))*$O$2/12)</f>
        <v>0</v>
      </c>
      <c r="AE630" s="587">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62" t="str">
        <f t="shared" si="127"/>
        <v/>
      </c>
      <c r="B631" s="316">
        <f t="shared" si="128"/>
        <v>0</v>
      </c>
      <c r="C631" s="21">
        <f t="shared" si="125"/>
        <v>0</v>
      </c>
      <c r="D631" s="21">
        <f t="shared" si="129"/>
        <v>0</v>
      </c>
      <c r="E631" s="21">
        <f t="shared" si="126"/>
        <v>0</v>
      </c>
      <c r="F631" s="21"/>
      <c r="G631" s="21"/>
      <c r="H631" s="21"/>
      <c r="I631" s="316"/>
      <c r="J631" s="316"/>
      <c r="K631" s="316">
        <f t="shared" si="130"/>
        <v>0</v>
      </c>
      <c r="L631" s="374">
        <f t="shared" si="132"/>
        <v>0</v>
      </c>
      <c r="M631" s="374">
        <f t="shared" si="131"/>
        <v>0</v>
      </c>
      <c r="N631" s="562" t="str">
        <f>INDEX(tblSubjectToLoan[Date],ROW()-ROW(tblContractForDeed[#Headers]))</f>
        <v/>
      </c>
      <c r="O631" s="316">
        <f>IF(ROW()=ROW(tblContractForDeed[#Headers])+1,$O$6,IF(INDEX(tblContractForDeed[End Bal],ROW()-ROW(tblContractForDeed[#Headers])-1)&lt;0,0,INDEX(tblContractForDeed[End Bal],ROW()-ROW(tblContractForDeed[#Headers])-1)))</f>
        <v>0</v>
      </c>
      <c r="P631" s="585"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Row],[Payment]]=0,0,$V$2)</f>
        <v>0</v>
      </c>
      <c r="U631" s="21">
        <f>IF(tblContractForDeed[[#This Row],[Princ]]=0,0,$V$3)</f>
        <v>0</v>
      </c>
      <c r="V631" s="21">
        <f>SUM(tblContractForDeed[[#This Row],[Princ]],tblContractForDeed[[#This Row],[Int]],tblContractForDeed[[#This Row],[Ins]],tblContractForDeed[[#This Row],[Taxes]])</f>
        <v>0</v>
      </c>
      <c r="W631" s="316">
        <f>SUM(INDEX(tblContractForDeed[Princ],1):INDEX(tblContractForDeed[Princ],ROW()-ROW(tblContractForDeed[#Headers])))</f>
        <v>146500</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1" s="316">
        <f>IF(INDEX(tblContractForDeed[End Bal],ROW()-ROW(tblBuyerOutputs[#Headers]))&lt;=0,0,($O$6+IF(ROW()=ROW(tblBuyerOutputs[#Headers])+1,0,INDEX(tblBuyerOutputs[Cumul Appr],ROW()-ROW(tblBuyerOutputs[#Headers])-1)))*$O$2/12)</f>
        <v>0</v>
      </c>
      <c r="AE631" s="588">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61" t="str">
        <f t="shared" si="127"/>
        <v/>
      </c>
      <c r="B632" s="265">
        <f t="shared" si="128"/>
        <v>0</v>
      </c>
      <c r="C632" s="14">
        <f t="shared" si="125"/>
        <v>0</v>
      </c>
      <c r="D632" s="14">
        <f t="shared" si="129"/>
        <v>0</v>
      </c>
      <c r="E632" s="14">
        <f t="shared" si="126"/>
        <v>0</v>
      </c>
      <c r="K632" s="265">
        <f t="shared" si="130"/>
        <v>0</v>
      </c>
      <c r="L632" s="373">
        <f t="shared" si="132"/>
        <v>0</v>
      </c>
      <c r="M632" s="373">
        <f t="shared" si="131"/>
        <v>0</v>
      </c>
      <c r="N632" s="561"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Row],[Payment]]=0,0,$V$2)</f>
        <v>0</v>
      </c>
      <c r="U632" s="14">
        <f>IF(tblContractForDeed[[#This Row],[Princ]]=0,0,$V$3)</f>
        <v>0</v>
      </c>
      <c r="V632" s="14">
        <f>SUM(tblContractForDeed[[#This Row],[Princ]],tblContractForDeed[[#This Row],[Int]],tblContractForDeed[[#This Row],[Ins]],tblContractForDeed[[#This Row],[Taxes]])</f>
        <v>0</v>
      </c>
      <c r="W632" s="265">
        <f>SUM(INDEX(tblContractForDeed[Princ],1):INDEX(tblContractForDeed[Princ],ROW()-ROW(tblContractForDeed[#Headers])))</f>
        <v>146500</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2" s="265">
        <f>IF(INDEX(tblContractForDeed[End Bal],ROW()-ROW(tblBuyerOutputs[#Headers]))&lt;=0,0,($O$6+IF(ROW()=ROW(tblBuyerOutputs[#Headers])+1,0,INDEX(tblBuyerOutputs[Cumul Appr],ROW()-ROW(tblBuyerOutputs[#Headers])-1)))*$O$2/12)</f>
        <v>0</v>
      </c>
      <c r="AE632" s="587">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61" t="str">
        <f t="shared" si="127"/>
        <v/>
      </c>
      <c r="B633" s="265">
        <f t="shared" si="128"/>
        <v>0</v>
      </c>
      <c r="C633" s="14">
        <f t="shared" si="125"/>
        <v>0</v>
      </c>
      <c r="D633" s="14">
        <f t="shared" si="129"/>
        <v>0</v>
      </c>
      <c r="E633" s="14">
        <f t="shared" si="126"/>
        <v>0</v>
      </c>
      <c r="K633" s="265">
        <f t="shared" si="130"/>
        <v>0</v>
      </c>
      <c r="L633" s="373">
        <f t="shared" si="132"/>
        <v>0</v>
      </c>
      <c r="M633" s="373">
        <f t="shared" si="131"/>
        <v>0</v>
      </c>
      <c r="N633" s="561"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Row],[Payment]]=0,0,$V$2)</f>
        <v>0</v>
      </c>
      <c r="U633" s="14">
        <f>IF(tblContractForDeed[[#This Row],[Princ]]=0,0,$V$3)</f>
        <v>0</v>
      </c>
      <c r="V633" s="14">
        <f>SUM(tblContractForDeed[[#This Row],[Princ]],tblContractForDeed[[#This Row],[Int]],tblContractForDeed[[#This Row],[Ins]],tblContractForDeed[[#This Row],[Taxes]])</f>
        <v>0</v>
      </c>
      <c r="W633" s="265">
        <f>SUM(INDEX(tblContractForDeed[Princ],1):INDEX(tblContractForDeed[Princ],ROW()-ROW(tblContractForDeed[#Headers])))</f>
        <v>146500</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3" s="265">
        <f>IF(INDEX(tblContractForDeed[End Bal],ROW()-ROW(tblBuyerOutputs[#Headers]))&lt;=0,0,($O$6+IF(ROW()=ROW(tblBuyerOutputs[#Headers])+1,0,INDEX(tblBuyerOutputs[Cumul Appr],ROW()-ROW(tblBuyerOutputs[#Headers])-1)))*$O$2/12)</f>
        <v>0</v>
      </c>
      <c r="AE633" s="587">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61" t="str">
        <f t="shared" si="127"/>
        <v/>
      </c>
      <c r="B634" s="265">
        <f t="shared" si="128"/>
        <v>0</v>
      </c>
      <c r="C634" s="14">
        <f t="shared" si="125"/>
        <v>0</v>
      </c>
      <c r="D634" s="14">
        <f t="shared" si="129"/>
        <v>0</v>
      </c>
      <c r="E634" s="14">
        <f t="shared" si="126"/>
        <v>0</v>
      </c>
      <c r="K634" s="265">
        <f t="shared" si="130"/>
        <v>0</v>
      </c>
      <c r="L634" s="373">
        <f t="shared" si="132"/>
        <v>0</v>
      </c>
      <c r="M634" s="373">
        <f t="shared" si="131"/>
        <v>0</v>
      </c>
      <c r="N634" s="561"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Row],[Payment]]=0,0,$V$2)</f>
        <v>0</v>
      </c>
      <c r="U634" s="14">
        <f>IF(tblContractForDeed[[#This Row],[Princ]]=0,0,$V$3)</f>
        <v>0</v>
      </c>
      <c r="V634" s="14">
        <f>SUM(tblContractForDeed[[#This Row],[Princ]],tblContractForDeed[[#This Row],[Int]],tblContractForDeed[[#This Row],[Ins]],tblContractForDeed[[#This Row],[Taxes]])</f>
        <v>0</v>
      </c>
      <c r="W634" s="265">
        <f>SUM(INDEX(tblContractForDeed[Princ],1):INDEX(tblContractForDeed[Princ],ROW()-ROW(tblContractForDeed[#Headers])))</f>
        <v>146500</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4" s="265">
        <f>IF(INDEX(tblContractForDeed[End Bal],ROW()-ROW(tblBuyerOutputs[#Headers]))&lt;=0,0,($O$6+IF(ROW()=ROW(tblBuyerOutputs[#Headers])+1,0,INDEX(tblBuyerOutputs[Cumul Appr],ROW()-ROW(tblBuyerOutputs[#Headers])-1)))*$O$2/12)</f>
        <v>0</v>
      </c>
      <c r="AE634" s="587">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61" t="str">
        <f t="shared" si="127"/>
        <v/>
      </c>
      <c r="B635" s="265">
        <f t="shared" si="128"/>
        <v>0</v>
      </c>
      <c r="C635" s="14">
        <f t="shared" si="125"/>
        <v>0</v>
      </c>
      <c r="D635" s="14">
        <f t="shared" si="129"/>
        <v>0</v>
      </c>
      <c r="E635" s="14">
        <f t="shared" si="126"/>
        <v>0</v>
      </c>
      <c r="K635" s="265">
        <f t="shared" si="130"/>
        <v>0</v>
      </c>
      <c r="L635" s="373">
        <f t="shared" si="132"/>
        <v>0</v>
      </c>
      <c r="M635" s="373">
        <f t="shared" si="131"/>
        <v>0</v>
      </c>
      <c r="N635" s="561"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Row],[Payment]]=0,0,$V$2)</f>
        <v>0</v>
      </c>
      <c r="U635" s="14">
        <f>IF(tblContractForDeed[[#This Row],[Princ]]=0,0,$V$3)</f>
        <v>0</v>
      </c>
      <c r="V635" s="14">
        <f>SUM(tblContractForDeed[[#This Row],[Princ]],tblContractForDeed[[#This Row],[Int]],tblContractForDeed[[#This Row],[Ins]],tblContractForDeed[[#This Row],[Taxes]])</f>
        <v>0</v>
      </c>
      <c r="W635" s="265">
        <f>SUM(INDEX(tblContractForDeed[Princ],1):INDEX(tblContractForDeed[Princ],ROW()-ROW(tblContractForDeed[#Headers])))</f>
        <v>146500</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5" s="265">
        <f>IF(INDEX(tblContractForDeed[End Bal],ROW()-ROW(tblBuyerOutputs[#Headers]))&lt;=0,0,($O$6+IF(ROW()=ROW(tblBuyerOutputs[#Headers])+1,0,INDEX(tblBuyerOutputs[Cumul Appr],ROW()-ROW(tblBuyerOutputs[#Headers])-1)))*$O$2/12)</f>
        <v>0</v>
      </c>
      <c r="AE635" s="587">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61" t="str">
        <f t="shared" si="127"/>
        <v/>
      </c>
      <c r="B636" s="265">
        <f t="shared" si="128"/>
        <v>0</v>
      </c>
      <c r="C636" s="14">
        <f t="shared" si="125"/>
        <v>0</v>
      </c>
      <c r="D636" s="14">
        <f t="shared" si="129"/>
        <v>0</v>
      </c>
      <c r="E636" s="14">
        <f t="shared" si="126"/>
        <v>0</v>
      </c>
      <c r="K636" s="265">
        <f t="shared" si="130"/>
        <v>0</v>
      </c>
      <c r="L636" s="373">
        <f t="shared" si="132"/>
        <v>0</v>
      </c>
      <c r="M636" s="373">
        <f t="shared" si="131"/>
        <v>0</v>
      </c>
      <c r="N636" s="561"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Row],[Payment]]=0,0,$V$2)</f>
        <v>0</v>
      </c>
      <c r="U636" s="14">
        <f>IF(tblContractForDeed[[#This Row],[Princ]]=0,0,$V$3)</f>
        <v>0</v>
      </c>
      <c r="V636" s="14">
        <f>SUM(tblContractForDeed[[#This Row],[Princ]],tblContractForDeed[[#This Row],[Int]],tblContractForDeed[[#This Row],[Ins]],tblContractForDeed[[#This Row],[Taxes]])</f>
        <v>0</v>
      </c>
      <c r="W636" s="265">
        <f>SUM(INDEX(tblContractForDeed[Princ],1):INDEX(tblContractForDeed[Princ],ROW()-ROW(tblContractForDeed[#Headers])))</f>
        <v>146500</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6" s="265">
        <f>IF(INDEX(tblContractForDeed[End Bal],ROW()-ROW(tblBuyerOutputs[#Headers]))&lt;=0,0,($O$6+IF(ROW()=ROW(tblBuyerOutputs[#Headers])+1,0,INDEX(tblBuyerOutputs[Cumul Appr],ROW()-ROW(tblBuyerOutputs[#Headers])-1)))*$O$2/12)</f>
        <v>0</v>
      </c>
      <c r="AE636" s="587">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61" t="str">
        <f t="shared" si="127"/>
        <v/>
      </c>
      <c r="B637" s="265">
        <f t="shared" si="128"/>
        <v>0</v>
      </c>
      <c r="C637" s="14">
        <f t="shared" si="125"/>
        <v>0</v>
      </c>
      <c r="D637" s="14">
        <f t="shared" si="129"/>
        <v>0</v>
      </c>
      <c r="E637" s="14">
        <f t="shared" si="126"/>
        <v>0</v>
      </c>
      <c r="K637" s="265">
        <f t="shared" si="130"/>
        <v>0</v>
      </c>
      <c r="L637" s="373">
        <f t="shared" si="132"/>
        <v>0</v>
      </c>
      <c r="M637" s="373">
        <f t="shared" si="131"/>
        <v>0</v>
      </c>
      <c r="N637" s="561"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Row],[Payment]]=0,0,$V$2)</f>
        <v>0</v>
      </c>
      <c r="U637" s="14">
        <f>IF(tblContractForDeed[[#This Row],[Princ]]=0,0,$V$3)</f>
        <v>0</v>
      </c>
      <c r="V637" s="14">
        <f>SUM(tblContractForDeed[[#This Row],[Princ]],tblContractForDeed[[#This Row],[Int]],tblContractForDeed[[#This Row],[Ins]],tblContractForDeed[[#This Row],[Taxes]])</f>
        <v>0</v>
      </c>
      <c r="W637" s="265">
        <f>SUM(INDEX(tblContractForDeed[Princ],1):INDEX(tblContractForDeed[Princ],ROW()-ROW(tblContractForDeed[#Headers])))</f>
        <v>146500</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7" s="265">
        <f>IF(INDEX(tblContractForDeed[End Bal],ROW()-ROW(tblBuyerOutputs[#Headers]))&lt;=0,0,($O$6+IF(ROW()=ROW(tblBuyerOutputs[#Headers])+1,0,INDEX(tblBuyerOutputs[Cumul Appr],ROW()-ROW(tblBuyerOutputs[#Headers])-1)))*$O$2/12)</f>
        <v>0</v>
      </c>
      <c r="AE637" s="587">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61" t="str">
        <f t="shared" si="127"/>
        <v/>
      </c>
      <c r="B638" s="265">
        <f t="shared" si="128"/>
        <v>0</v>
      </c>
      <c r="C638" s="14">
        <f t="shared" si="125"/>
        <v>0</v>
      </c>
      <c r="D638" s="14">
        <f t="shared" si="129"/>
        <v>0</v>
      </c>
      <c r="E638" s="14">
        <f t="shared" si="126"/>
        <v>0</v>
      </c>
      <c r="K638" s="265">
        <f t="shared" si="130"/>
        <v>0</v>
      </c>
      <c r="L638" s="373">
        <f t="shared" si="132"/>
        <v>0</v>
      </c>
      <c r="M638" s="373">
        <f t="shared" si="131"/>
        <v>0</v>
      </c>
      <c r="N638" s="561"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Row],[Payment]]=0,0,$V$2)</f>
        <v>0</v>
      </c>
      <c r="U638" s="14">
        <f>IF(tblContractForDeed[[#This Row],[Princ]]=0,0,$V$3)</f>
        <v>0</v>
      </c>
      <c r="V638" s="14">
        <f>SUM(tblContractForDeed[[#This Row],[Princ]],tblContractForDeed[[#This Row],[Int]],tblContractForDeed[[#This Row],[Ins]],tblContractForDeed[[#This Row],[Taxes]])</f>
        <v>0</v>
      </c>
      <c r="W638" s="265">
        <f>SUM(INDEX(tblContractForDeed[Princ],1):INDEX(tblContractForDeed[Princ],ROW()-ROW(tblContractForDeed[#Headers])))</f>
        <v>146500</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8" s="265">
        <f>IF(INDEX(tblContractForDeed[End Bal],ROW()-ROW(tblBuyerOutputs[#Headers]))&lt;=0,0,($O$6+IF(ROW()=ROW(tblBuyerOutputs[#Headers])+1,0,INDEX(tblBuyerOutputs[Cumul Appr],ROW()-ROW(tblBuyerOutputs[#Headers])-1)))*$O$2/12)</f>
        <v>0</v>
      </c>
      <c r="AE638" s="587">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61" t="str">
        <f t="shared" si="127"/>
        <v/>
      </c>
      <c r="B639" s="265">
        <f t="shared" si="128"/>
        <v>0</v>
      </c>
      <c r="C639" s="14">
        <f t="shared" si="125"/>
        <v>0</v>
      </c>
      <c r="D639" s="14">
        <f t="shared" si="129"/>
        <v>0</v>
      </c>
      <c r="E639" s="14">
        <f t="shared" si="126"/>
        <v>0</v>
      </c>
      <c r="K639" s="265">
        <f t="shared" si="130"/>
        <v>0</v>
      </c>
      <c r="L639" s="373">
        <f t="shared" si="132"/>
        <v>0</v>
      </c>
      <c r="M639" s="373">
        <f t="shared" si="131"/>
        <v>0</v>
      </c>
      <c r="N639" s="561"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Row],[Payment]]=0,0,$V$2)</f>
        <v>0</v>
      </c>
      <c r="U639" s="14">
        <f>IF(tblContractForDeed[[#This Row],[Princ]]=0,0,$V$3)</f>
        <v>0</v>
      </c>
      <c r="V639" s="14">
        <f>SUM(tblContractForDeed[[#This Row],[Princ]],tblContractForDeed[[#This Row],[Int]],tblContractForDeed[[#This Row],[Ins]],tblContractForDeed[[#This Row],[Taxes]])</f>
        <v>0</v>
      </c>
      <c r="W639" s="265">
        <f>SUM(INDEX(tblContractForDeed[Princ],1):INDEX(tblContractForDeed[Princ],ROW()-ROW(tblContractForDeed[#Headers])))</f>
        <v>146500</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9" s="265">
        <f>IF(INDEX(tblContractForDeed[End Bal],ROW()-ROW(tblBuyerOutputs[#Headers]))&lt;=0,0,($O$6+IF(ROW()=ROW(tblBuyerOutputs[#Headers])+1,0,INDEX(tblBuyerOutputs[Cumul Appr],ROW()-ROW(tblBuyerOutputs[#Headers])-1)))*$O$2/12)</f>
        <v>0</v>
      </c>
      <c r="AE639" s="587">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61" t="str">
        <f t="shared" si="127"/>
        <v/>
      </c>
      <c r="B640" s="265">
        <f t="shared" si="128"/>
        <v>0</v>
      </c>
      <c r="C640" s="14">
        <f t="shared" si="125"/>
        <v>0</v>
      </c>
      <c r="D640" s="14">
        <f t="shared" si="129"/>
        <v>0</v>
      </c>
      <c r="E640" s="14">
        <f t="shared" si="126"/>
        <v>0</v>
      </c>
      <c r="K640" s="265">
        <f t="shared" si="130"/>
        <v>0</v>
      </c>
      <c r="L640" s="373">
        <f t="shared" si="132"/>
        <v>0</v>
      </c>
      <c r="M640" s="373">
        <f t="shared" si="131"/>
        <v>0</v>
      </c>
      <c r="N640" s="561"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Row],[Payment]]=0,0,$V$2)</f>
        <v>0</v>
      </c>
      <c r="U640" s="14">
        <f>IF(tblContractForDeed[[#This Row],[Princ]]=0,0,$V$3)</f>
        <v>0</v>
      </c>
      <c r="V640" s="14">
        <f>SUM(tblContractForDeed[[#This Row],[Princ]],tblContractForDeed[[#This Row],[Int]],tblContractForDeed[[#This Row],[Ins]],tblContractForDeed[[#This Row],[Taxes]])</f>
        <v>0</v>
      </c>
      <c r="W640" s="265">
        <f>SUM(INDEX(tblContractForDeed[Princ],1):INDEX(tblContractForDeed[Princ],ROW()-ROW(tblContractForDeed[#Headers])))</f>
        <v>146500</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0" s="265">
        <f>IF(INDEX(tblContractForDeed[End Bal],ROW()-ROW(tblBuyerOutputs[#Headers]))&lt;=0,0,($O$6+IF(ROW()=ROW(tblBuyerOutputs[#Headers])+1,0,INDEX(tblBuyerOutputs[Cumul Appr],ROW()-ROW(tblBuyerOutputs[#Headers])-1)))*$O$2/12)</f>
        <v>0</v>
      </c>
      <c r="AE640" s="587">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61" t="str">
        <f t="shared" si="127"/>
        <v/>
      </c>
      <c r="B641" s="265">
        <f t="shared" si="128"/>
        <v>0</v>
      </c>
      <c r="C641" s="14">
        <f t="shared" si="125"/>
        <v>0</v>
      </c>
      <c r="D641" s="14">
        <f t="shared" si="129"/>
        <v>0</v>
      </c>
      <c r="E641" s="14">
        <f t="shared" si="126"/>
        <v>0</v>
      </c>
      <c r="K641" s="265">
        <f t="shared" si="130"/>
        <v>0</v>
      </c>
      <c r="L641" s="373">
        <f t="shared" si="132"/>
        <v>0</v>
      </c>
      <c r="M641" s="373">
        <f t="shared" si="131"/>
        <v>0</v>
      </c>
      <c r="N641" s="561"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Row],[Payment]]=0,0,$V$2)</f>
        <v>0</v>
      </c>
      <c r="U641" s="14">
        <f>IF(tblContractForDeed[[#This Row],[Princ]]=0,0,$V$3)</f>
        <v>0</v>
      </c>
      <c r="V641" s="14">
        <f>SUM(tblContractForDeed[[#This Row],[Princ]],tblContractForDeed[[#This Row],[Int]],tblContractForDeed[[#This Row],[Ins]],tblContractForDeed[[#This Row],[Taxes]])</f>
        <v>0</v>
      </c>
      <c r="W641" s="265">
        <f>SUM(INDEX(tblContractForDeed[Princ],1):INDEX(tblContractForDeed[Princ],ROW()-ROW(tblContractForDeed[#Headers])))</f>
        <v>146500</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1" s="265">
        <f>IF(INDEX(tblContractForDeed[End Bal],ROW()-ROW(tblBuyerOutputs[#Headers]))&lt;=0,0,($O$6+IF(ROW()=ROW(tblBuyerOutputs[#Headers])+1,0,INDEX(tblBuyerOutputs[Cumul Appr],ROW()-ROW(tblBuyerOutputs[#Headers])-1)))*$O$2/12)</f>
        <v>0</v>
      </c>
      <c r="AE641" s="587">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61" t="str">
        <f t="shared" si="127"/>
        <v/>
      </c>
      <c r="B642" s="265">
        <f t="shared" si="128"/>
        <v>0</v>
      </c>
      <c r="C642" s="14">
        <f t="shared" si="125"/>
        <v>0</v>
      </c>
      <c r="D642" s="14">
        <f t="shared" si="129"/>
        <v>0</v>
      </c>
      <c r="E642" s="14">
        <f t="shared" si="126"/>
        <v>0</v>
      </c>
      <c r="K642" s="265">
        <f t="shared" si="130"/>
        <v>0</v>
      </c>
      <c r="L642" s="373">
        <f t="shared" si="132"/>
        <v>0</v>
      </c>
      <c r="M642" s="373">
        <f t="shared" si="131"/>
        <v>0</v>
      </c>
      <c r="N642" s="561"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Row],[Payment]]=0,0,$V$2)</f>
        <v>0</v>
      </c>
      <c r="U642" s="14">
        <f>IF(tblContractForDeed[[#This Row],[Princ]]=0,0,$V$3)</f>
        <v>0</v>
      </c>
      <c r="V642" s="14">
        <f>SUM(tblContractForDeed[[#This Row],[Princ]],tblContractForDeed[[#This Row],[Int]],tblContractForDeed[[#This Row],[Ins]],tblContractForDeed[[#This Row],[Taxes]])</f>
        <v>0</v>
      </c>
      <c r="W642" s="265">
        <f>SUM(INDEX(tblContractForDeed[Princ],1):INDEX(tblContractForDeed[Princ],ROW()-ROW(tblContractForDeed[#Headers])))</f>
        <v>146500</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2" s="265">
        <f>IF(INDEX(tblContractForDeed[End Bal],ROW()-ROW(tblBuyerOutputs[#Headers]))&lt;=0,0,($O$6+IF(ROW()=ROW(tblBuyerOutputs[#Headers])+1,0,INDEX(tblBuyerOutputs[Cumul Appr],ROW()-ROW(tblBuyerOutputs[#Headers])-1)))*$O$2/12)</f>
        <v>0</v>
      </c>
      <c r="AE642" s="587">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62" t="str">
        <f t="shared" si="127"/>
        <v/>
      </c>
      <c r="B643" s="316">
        <f t="shared" si="128"/>
        <v>0</v>
      </c>
      <c r="C643" s="21">
        <f t="shared" si="125"/>
        <v>0</v>
      </c>
      <c r="D643" s="21">
        <f t="shared" si="129"/>
        <v>0</v>
      </c>
      <c r="E643" s="21">
        <f t="shared" si="126"/>
        <v>0</v>
      </c>
      <c r="F643" s="21"/>
      <c r="G643" s="21"/>
      <c r="H643" s="21"/>
      <c r="I643" s="316"/>
      <c r="J643" s="316"/>
      <c r="K643" s="316">
        <f t="shared" si="130"/>
        <v>0</v>
      </c>
      <c r="L643" s="374">
        <f t="shared" si="132"/>
        <v>0</v>
      </c>
      <c r="M643" s="374">
        <f t="shared" si="131"/>
        <v>0</v>
      </c>
      <c r="N643" s="562" t="str">
        <f>INDEX(tblSubjectToLoan[Date],ROW()-ROW(tblContractForDeed[#Headers]))</f>
        <v/>
      </c>
      <c r="O643" s="316">
        <f>IF(ROW()=ROW(tblContractForDeed[#Headers])+1,$O$6,IF(INDEX(tblContractForDeed[End Bal],ROW()-ROW(tblContractForDeed[#Headers])-1)&lt;0,0,INDEX(tblContractForDeed[End Bal],ROW()-ROW(tblContractForDeed[#Headers])-1)))</f>
        <v>0</v>
      </c>
      <c r="P643" s="585"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Row],[Payment]]=0,0,$V$2)</f>
        <v>0</v>
      </c>
      <c r="U643" s="21">
        <f>IF(tblContractForDeed[[#This Row],[Princ]]=0,0,$V$3)</f>
        <v>0</v>
      </c>
      <c r="V643" s="21">
        <f>SUM(tblContractForDeed[[#This Row],[Princ]],tblContractForDeed[[#This Row],[Int]],tblContractForDeed[[#This Row],[Ins]],tblContractForDeed[[#This Row],[Taxes]])</f>
        <v>0</v>
      </c>
      <c r="W643" s="316">
        <f>SUM(INDEX(tblContractForDeed[Princ],1):INDEX(tblContractForDeed[Princ],ROW()-ROW(tblContractForDeed[#Headers])))</f>
        <v>146500</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3" s="316">
        <f>IF(INDEX(tblContractForDeed[End Bal],ROW()-ROW(tblBuyerOutputs[#Headers]))&lt;=0,0,($O$6+IF(ROW()=ROW(tblBuyerOutputs[#Headers])+1,0,INDEX(tblBuyerOutputs[Cumul Appr],ROW()-ROW(tblBuyerOutputs[#Headers])-1)))*$O$2/12)</f>
        <v>0</v>
      </c>
      <c r="AE643" s="588">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61" t="str">
        <f t="shared" si="127"/>
        <v/>
      </c>
      <c r="B644" s="265">
        <f t="shared" si="128"/>
        <v>0</v>
      </c>
      <c r="C644" s="14">
        <f t="shared" si="125"/>
        <v>0</v>
      </c>
      <c r="D644" s="14">
        <f t="shared" si="129"/>
        <v>0</v>
      </c>
      <c r="E644" s="14">
        <f t="shared" si="126"/>
        <v>0</v>
      </c>
      <c r="K644" s="265">
        <f t="shared" si="130"/>
        <v>0</v>
      </c>
      <c r="L644" s="373">
        <f t="shared" si="132"/>
        <v>0</v>
      </c>
      <c r="M644" s="373">
        <f t="shared" si="131"/>
        <v>0</v>
      </c>
      <c r="N644" s="561"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Row],[Payment]]=0,0,$V$2)</f>
        <v>0</v>
      </c>
      <c r="U644" s="14">
        <f>IF(tblContractForDeed[[#This Row],[Princ]]=0,0,$V$3)</f>
        <v>0</v>
      </c>
      <c r="V644" s="14">
        <f>SUM(tblContractForDeed[[#This Row],[Princ]],tblContractForDeed[[#This Row],[Int]],tblContractForDeed[[#This Row],[Ins]],tblContractForDeed[[#This Row],[Taxes]])</f>
        <v>0</v>
      </c>
      <c r="W644" s="265">
        <f>SUM(INDEX(tblContractForDeed[Princ],1):INDEX(tblContractForDeed[Princ],ROW()-ROW(tblContractForDeed[#Headers])))</f>
        <v>146500</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4" s="265">
        <f>IF(INDEX(tblContractForDeed[End Bal],ROW()-ROW(tblBuyerOutputs[#Headers]))&lt;=0,0,($O$6+IF(ROW()=ROW(tblBuyerOutputs[#Headers])+1,0,INDEX(tblBuyerOutputs[Cumul Appr],ROW()-ROW(tblBuyerOutputs[#Headers])-1)))*$O$2/12)</f>
        <v>0</v>
      </c>
      <c r="AE644" s="587">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61" t="str">
        <f t="shared" si="127"/>
        <v/>
      </c>
      <c r="B645" s="265">
        <f t="shared" si="128"/>
        <v>0</v>
      </c>
      <c r="C645" s="14">
        <f t="shared" si="125"/>
        <v>0</v>
      </c>
      <c r="D645" s="14">
        <f t="shared" si="129"/>
        <v>0</v>
      </c>
      <c r="E645" s="14">
        <f t="shared" si="126"/>
        <v>0</v>
      </c>
      <c r="K645" s="265">
        <f t="shared" si="130"/>
        <v>0</v>
      </c>
      <c r="L645" s="373">
        <f t="shared" si="132"/>
        <v>0</v>
      </c>
      <c r="M645" s="373">
        <f t="shared" si="131"/>
        <v>0</v>
      </c>
      <c r="N645" s="561"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Row],[Payment]]=0,0,$V$2)</f>
        <v>0</v>
      </c>
      <c r="U645" s="14">
        <f>IF(tblContractForDeed[[#This Row],[Princ]]=0,0,$V$3)</f>
        <v>0</v>
      </c>
      <c r="V645" s="14">
        <f>SUM(tblContractForDeed[[#This Row],[Princ]],tblContractForDeed[[#This Row],[Int]],tblContractForDeed[[#This Row],[Ins]],tblContractForDeed[[#This Row],[Taxes]])</f>
        <v>0</v>
      </c>
      <c r="W645" s="265">
        <f>SUM(INDEX(tblContractForDeed[Princ],1):INDEX(tblContractForDeed[Princ],ROW()-ROW(tblContractForDeed[#Headers])))</f>
        <v>146500</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5" s="265">
        <f>IF(INDEX(tblContractForDeed[End Bal],ROW()-ROW(tblBuyerOutputs[#Headers]))&lt;=0,0,($O$6+IF(ROW()=ROW(tblBuyerOutputs[#Headers])+1,0,INDEX(tblBuyerOutputs[Cumul Appr],ROW()-ROW(tblBuyerOutputs[#Headers])-1)))*$O$2/12)</f>
        <v>0</v>
      </c>
      <c r="AE645" s="587">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61" t="str">
        <f t="shared" si="127"/>
        <v/>
      </c>
      <c r="B646" s="265">
        <f t="shared" si="128"/>
        <v>0</v>
      </c>
      <c r="C646" s="14">
        <f t="shared" si="125"/>
        <v>0</v>
      </c>
      <c r="D646" s="14">
        <f t="shared" si="129"/>
        <v>0</v>
      </c>
      <c r="E646" s="14">
        <f t="shared" si="126"/>
        <v>0</v>
      </c>
      <c r="K646" s="265">
        <f t="shared" si="130"/>
        <v>0</v>
      </c>
      <c r="L646" s="373">
        <f t="shared" si="132"/>
        <v>0</v>
      </c>
      <c r="M646" s="373">
        <f t="shared" si="131"/>
        <v>0</v>
      </c>
      <c r="N646" s="561"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Row],[Payment]]=0,0,$V$2)</f>
        <v>0</v>
      </c>
      <c r="U646" s="14">
        <f>IF(tblContractForDeed[[#This Row],[Princ]]=0,0,$V$3)</f>
        <v>0</v>
      </c>
      <c r="V646" s="14">
        <f>SUM(tblContractForDeed[[#This Row],[Princ]],tblContractForDeed[[#This Row],[Int]],tblContractForDeed[[#This Row],[Ins]],tblContractForDeed[[#This Row],[Taxes]])</f>
        <v>0</v>
      </c>
      <c r="W646" s="265">
        <f>SUM(INDEX(tblContractForDeed[Princ],1):INDEX(tblContractForDeed[Princ],ROW()-ROW(tblContractForDeed[#Headers])))</f>
        <v>146500</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6" s="265">
        <f>IF(INDEX(tblContractForDeed[End Bal],ROW()-ROW(tblBuyerOutputs[#Headers]))&lt;=0,0,($O$6+IF(ROW()=ROW(tblBuyerOutputs[#Headers])+1,0,INDEX(tblBuyerOutputs[Cumul Appr],ROW()-ROW(tblBuyerOutputs[#Headers])-1)))*$O$2/12)</f>
        <v>0</v>
      </c>
      <c r="AE646" s="587">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61" t="str">
        <f t="shared" si="127"/>
        <v/>
      </c>
      <c r="B647" s="265">
        <f t="shared" si="128"/>
        <v>0</v>
      </c>
      <c r="C647" s="14">
        <f t="shared" si="125"/>
        <v>0</v>
      </c>
      <c r="D647" s="14">
        <f t="shared" si="129"/>
        <v>0</v>
      </c>
      <c r="E647" s="14">
        <f t="shared" si="126"/>
        <v>0</v>
      </c>
      <c r="K647" s="265">
        <f t="shared" si="130"/>
        <v>0</v>
      </c>
      <c r="L647" s="373">
        <f t="shared" si="132"/>
        <v>0</v>
      </c>
      <c r="M647" s="373">
        <f t="shared" si="131"/>
        <v>0</v>
      </c>
      <c r="N647" s="561"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Row],[Payment]]=0,0,$V$2)</f>
        <v>0</v>
      </c>
      <c r="U647" s="14">
        <f>IF(tblContractForDeed[[#This Row],[Princ]]=0,0,$V$3)</f>
        <v>0</v>
      </c>
      <c r="V647" s="14">
        <f>SUM(tblContractForDeed[[#This Row],[Princ]],tblContractForDeed[[#This Row],[Int]],tblContractForDeed[[#This Row],[Ins]],tblContractForDeed[[#This Row],[Taxes]])</f>
        <v>0</v>
      </c>
      <c r="W647" s="265">
        <f>SUM(INDEX(tblContractForDeed[Princ],1):INDEX(tblContractForDeed[Princ],ROW()-ROW(tblContractForDeed[#Headers])))</f>
        <v>146500</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7" s="265">
        <f>IF(INDEX(tblContractForDeed[End Bal],ROW()-ROW(tblBuyerOutputs[#Headers]))&lt;=0,0,($O$6+IF(ROW()=ROW(tblBuyerOutputs[#Headers])+1,0,INDEX(tblBuyerOutputs[Cumul Appr],ROW()-ROW(tblBuyerOutputs[#Headers])-1)))*$O$2/12)</f>
        <v>0</v>
      </c>
      <c r="AE647" s="587">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61" t="str">
        <f t="shared" si="127"/>
        <v/>
      </c>
      <c r="B648" s="265">
        <f t="shared" si="128"/>
        <v>0</v>
      </c>
      <c r="C648" s="14">
        <f t="shared" si="125"/>
        <v>0</v>
      </c>
      <c r="D648" s="14">
        <f t="shared" si="129"/>
        <v>0</v>
      </c>
      <c r="E648" s="14">
        <f t="shared" si="126"/>
        <v>0</v>
      </c>
      <c r="K648" s="265">
        <f t="shared" si="130"/>
        <v>0</v>
      </c>
      <c r="L648" s="373">
        <f t="shared" si="132"/>
        <v>0</v>
      </c>
      <c r="M648" s="373">
        <f t="shared" si="131"/>
        <v>0</v>
      </c>
      <c r="N648" s="561"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Row],[Payment]]=0,0,$V$2)</f>
        <v>0</v>
      </c>
      <c r="U648" s="14">
        <f>IF(tblContractForDeed[[#This Row],[Princ]]=0,0,$V$3)</f>
        <v>0</v>
      </c>
      <c r="V648" s="14">
        <f>SUM(tblContractForDeed[[#This Row],[Princ]],tblContractForDeed[[#This Row],[Int]],tblContractForDeed[[#This Row],[Ins]],tblContractForDeed[[#This Row],[Taxes]])</f>
        <v>0</v>
      </c>
      <c r="W648" s="265">
        <f>SUM(INDEX(tblContractForDeed[Princ],1):INDEX(tblContractForDeed[Princ],ROW()-ROW(tblContractForDeed[#Headers])))</f>
        <v>146500</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8" s="265">
        <f>IF(INDEX(tblContractForDeed[End Bal],ROW()-ROW(tblBuyerOutputs[#Headers]))&lt;=0,0,($O$6+IF(ROW()=ROW(tblBuyerOutputs[#Headers])+1,0,INDEX(tblBuyerOutputs[Cumul Appr],ROW()-ROW(tblBuyerOutputs[#Headers])-1)))*$O$2/12)</f>
        <v>0</v>
      </c>
      <c r="AE648" s="587">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61" t="str">
        <f t="shared" si="127"/>
        <v/>
      </c>
      <c r="B649" s="265">
        <f t="shared" si="128"/>
        <v>0</v>
      </c>
      <c r="C649" s="14">
        <f t="shared" si="125"/>
        <v>0</v>
      </c>
      <c r="D649" s="14">
        <f t="shared" si="129"/>
        <v>0</v>
      </c>
      <c r="E649" s="14">
        <f t="shared" si="126"/>
        <v>0</v>
      </c>
      <c r="K649" s="265">
        <f t="shared" si="130"/>
        <v>0</v>
      </c>
      <c r="L649" s="373">
        <f t="shared" si="132"/>
        <v>0</v>
      </c>
      <c r="M649" s="373">
        <f t="shared" si="131"/>
        <v>0</v>
      </c>
      <c r="N649" s="561"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Row],[Payment]]=0,0,$V$2)</f>
        <v>0</v>
      </c>
      <c r="U649" s="14">
        <f>IF(tblContractForDeed[[#This Row],[Princ]]=0,0,$V$3)</f>
        <v>0</v>
      </c>
      <c r="V649" s="14">
        <f>SUM(tblContractForDeed[[#This Row],[Princ]],tblContractForDeed[[#This Row],[Int]],tblContractForDeed[[#This Row],[Ins]],tblContractForDeed[[#This Row],[Taxes]])</f>
        <v>0</v>
      </c>
      <c r="W649" s="265">
        <f>SUM(INDEX(tblContractForDeed[Princ],1):INDEX(tblContractForDeed[Princ],ROW()-ROW(tblContractForDeed[#Headers])))</f>
        <v>146500</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9" s="265">
        <f>IF(INDEX(tblContractForDeed[End Bal],ROW()-ROW(tblBuyerOutputs[#Headers]))&lt;=0,0,($O$6+IF(ROW()=ROW(tblBuyerOutputs[#Headers])+1,0,INDEX(tblBuyerOutputs[Cumul Appr],ROW()-ROW(tblBuyerOutputs[#Headers])-1)))*$O$2/12)</f>
        <v>0</v>
      </c>
      <c r="AE649" s="587">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61" t="str">
        <f t="shared" si="127"/>
        <v/>
      </c>
      <c r="B650" s="265">
        <f t="shared" si="128"/>
        <v>0</v>
      </c>
      <c r="C650" s="14">
        <f t="shared" si="125"/>
        <v>0</v>
      </c>
      <c r="D650" s="14">
        <f t="shared" si="129"/>
        <v>0</v>
      </c>
      <c r="E650" s="14">
        <f t="shared" si="126"/>
        <v>0</v>
      </c>
      <c r="K650" s="265">
        <f t="shared" si="130"/>
        <v>0</v>
      </c>
      <c r="L650" s="373">
        <f t="shared" si="132"/>
        <v>0</v>
      </c>
      <c r="M650" s="373">
        <f t="shared" si="131"/>
        <v>0</v>
      </c>
      <c r="N650" s="561"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Row],[Payment]]=0,0,$V$2)</f>
        <v>0</v>
      </c>
      <c r="U650" s="14">
        <f>IF(tblContractForDeed[[#This Row],[Princ]]=0,0,$V$3)</f>
        <v>0</v>
      </c>
      <c r="V650" s="14">
        <f>SUM(tblContractForDeed[[#This Row],[Princ]],tblContractForDeed[[#This Row],[Int]],tblContractForDeed[[#This Row],[Ins]],tblContractForDeed[[#This Row],[Taxes]])</f>
        <v>0</v>
      </c>
      <c r="W650" s="265">
        <f>SUM(INDEX(tblContractForDeed[Princ],1):INDEX(tblContractForDeed[Princ],ROW()-ROW(tblContractForDeed[#Headers])))</f>
        <v>146500</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0" s="265">
        <f>IF(INDEX(tblContractForDeed[End Bal],ROW()-ROW(tblBuyerOutputs[#Headers]))&lt;=0,0,($O$6+IF(ROW()=ROW(tblBuyerOutputs[#Headers])+1,0,INDEX(tblBuyerOutputs[Cumul Appr],ROW()-ROW(tblBuyerOutputs[#Headers])-1)))*$O$2/12)</f>
        <v>0</v>
      </c>
      <c r="AE650" s="587">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61" t="str">
        <f t="shared" si="127"/>
        <v/>
      </c>
      <c r="B651" s="265">
        <f t="shared" si="128"/>
        <v>0</v>
      </c>
      <c r="C651" s="14">
        <f t="shared" si="125"/>
        <v>0</v>
      </c>
      <c r="D651" s="14">
        <f t="shared" si="129"/>
        <v>0</v>
      </c>
      <c r="E651" s="14">
        <f t="shared" si="126"/>
        <v>0</v>
      </c>
      <c r="K651" s="265">
        <f t="shared" si="130"/>
        <v>0</v>
      </c>
      <c r="L651" s="373">
        <f t="shared" si="132"/>
        <v>0</v>
      </c>
      <c r="M651" s="373">
        <f t="shared" si="131"/>
        <v>0</v>
      </c>
      <c r="N651" s="561"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Row],[Payment]]=0,0,$V$2)</f>
        <v>0</v>
      </c>
      <c r="U651" s="14">
        <f>IF(tblContractForDeed[[#This Row],[Princ]]=0,0,$V$3)</f>
        <v>0</v>
      </c>
      <c r="V651" s="14">
        <f>SUM(tblContractForDeed[[#This Row],[Princ]],tblContractForDeed[[#This Row],[Int]],tblContractForDeed[[#This Row],[Ins]],tblContractForDeed[[#This Row],[Taxes]])</f>
        <v>0</v>
      </c>
      <c r="W651" s="265">
        <f>SUM(INDEX(tblContractForDeed[Princ],1):INDEX(tblContractForDeed[Princ],ROW()-ROW(tblContractForDeed[#Headers])))</f>
        <v>146500</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1" s="265">
        <f>IF(INDEX(tblContractForDeed[End Bal],ROW()-ROW(tblBuyerOutputs[#Headers]))&lt;=0,0,($O$6+IF(ROW()=ROW(tblBuyerOutputs[#Headers])+1,0,INDEX(tblBuyerOutputs[Cumul Appr],ROW()-ROW(tblBuyerOutputs[#Headers])-1)))*$O$2/12)</f>
        <v>0</v>
      </c>
      <c r="AE651" s="587">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61" t="str">
        <f t="shared" si="127"/>
        <v/>
      </c>
      <c r="B652" s="265">
        <f t="shared" si="128"/>
        <v>0</v>
      </c>
      <c r="C652" s="14">
        <f t="shared" si="125"/>
        <v>0</v>
      </c>
      <c r="D652" s="14">
        <f t="shared" si="129"/>
        <v>0</v>
      </c>
      <c r="E652" s="14">
        <f t="shared" si="126"/>
        <v>0</v>
      </c>
      <c r="K652" s="265">
        <f t="shared" si="130"/>
        <v>0</v>
      </c>
      <c r="L652" s="373">
        <f t="shared" si="132"/>
        <v>0</v>
      </c>
      <c r="M652" s="373">
        <f t="shared" si="131"/>
        <v>0</v>
      </c>
      <c r="N652" s="561"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Row],[Payment]]=0,0,$V$2)</f>
        <v>0</v>
      </c>
      <c r="U652" s="14">
        <f>IF(tblContractForDeed[[#This Row],[Princ]]=0,0,$V$3)</f>
        <v>0</v>
      </c>
      <c r="V652" s="14">
        <f>SUM(tblContractForDeed[[#This Row],[Princ]],tblContractForDeed[[#This Row],[Int]],tblContractForDeed[[#This Row],[Ins]],tblContractForDeed[[#This Row],[Taxes]])</f>
        <v>0</v>
      </c>
      <c r="W652" s="265">
        <f>SUM(INDEX(tblContractForDeed[Princ],1):INDEX(tblContractForDeed[Princ],ROW()-ROW(tblContractForDeed[#Headers])))</f>
        <v>146500</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2" s="265">
        <f>IF(INDEX(tblContractForDeed[End Bal],ROW()-ROW(tblBuyerOutputs[#Headers]))&lt;=0,0,($O$6+IF(ROW()=ROW(tblBuyerOutputs[#Headers])+1,0,INDEX(tblBuyerOutputs[Cumul Appr],ROW()-ROW(tblBuyerOutputs[#Headers])-1)))*$O$2/12)</f>
        <v>0</v>
      </c>
      <c r="AE652" s="587">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61" t="str">
        <f t="shared" si="127"/>
        <v/>
      </c>
      <c r="B653" s="265">
        <f t="shared" si="128"/>
        <v>0</v>
      </c>
      <c r="C653" s="14">
        <f t="shared" si="125"/>
        <v>0</v>
      </c>
      <c r="D653" s="14">
        <f t="shared" si="129"/>
        <v>0</v>
      </c>
      <c r="E653" s="14">
        <f t="shared" si="126"/>
        <v>0</v>
      </c>
      <c r="K653" s="265">
        <f t="shared" si="130"/>
        <v>0</v>
      </c>
      <c r="L653" s="373">
        <f t="shared" si="132"/>
        <v>0</v>
      </c>
      <c r="M653" s="373">
        <f t="shared" si="131"/>
        <v>0</v>
      </c>
      <c r="N653" s="561"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Row],[Payment]]=0,0,$V$2)</f>
        <v>0</v>
      </c>
      <c r="U653" s="14">
        <f>IF(tblContractForDeed[[#This Row],[Princ]]=0,0,$V$3)</f>
        <v>0</v>
      </c>
      <c r="V653" s="14">
        <f>SUM(tblContractForDeed[[#This Row],[Princ]],tblContractForDeed[[#This Row],[Int]],tblContractForDeed[[#This Row],[Ins]],tblContractForDeed[[#This Row],[Taxes]])</f>
        <v>0</v>
      </c>
      <c r="W653" s="265">
        <f>SUM(INDEX(tblContractForDeed[Princ],1):INDEX(tblContractForDeed[Princ],ROW()-ROW(tblContractForDeed[#Headers])))</f>
        <v>146500</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3" s="265">
        <f>IF(INDEX(tblContractForDeed[End Bal],ROW()-ROW(tblBuyerOutputs[#Headers]))&lt;=0,0,($O$6+IF(ROW()=ROW(tblBuyerOutputs[#Headers])+1,0,INDEX(tblBuyerOutputs[Cumul Appr],ROW()-ROW(tblBuyerOutputs[#Headers])-1)))*$O$2/12)</f>
        <v>0</v>
      </c>
      <c r="AE653" s="587">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61" t="str">
        <f t="shared" si="127"/>
        <v/>
      </c>
      <c r="B654" s="265">
        <f t="shared" si="128"/>
        <v>0</v>
      </c>
      <c r="C654" s="14">
        <f t="shared" si="125"/>
        <v>0</v>
      </c>
      <c r="D654" s="14">
        <f t="shared" si="129"/>
        <v>0</v>
      </c>
      <c r="E654" s="14">
        <f t="shared" si="126"/>
        <v>0</v>
      </c>
      <c r="K654" s="265">
        <f t="shared" si="130"/>
        <v>0</v>
      </c>
      <c r="L654" s="373">
        <f t="shared" si="132"/>
        <v>0</v>
      </c>
      <c r="M654" s="373">
        <f t="shared" si="131"/>
        <v>0</v>
      </c>
      <c r="N654" s="561"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Row],[Payment]]=0,0,$V$2)</f>
        <v>0</v>
      </c>
      <c r="U654" s="14">
        <f>IF(tblContractForDeed[[#This Row],[Princ]]=0,0,$V$3)</f>
        <v>0</v>
      </c>
      <c r="V654" s="14">
        <f>SUM(tblContractForDeed[[#This Row],[Princ]],tblContractForDeed[[#This Row],[Int]],tblContractForDeed[[#This Row],[Ins]],tblContractForDeed[[#This Row],[Taxes]])</f>
        <v>0</v>
      </c>
      <c r="W654" s="265">
        <f>SUM(INDEX(tblContractForDeed[Princ],1):INDEX(tblContractForDeed[Princ],ROW()-ROW(tblContractForDeed[#Headers])))</f>
        <v>146500</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4" s="265">
        <f>IF(INDEX(tblContractForDeed[End Bal],ROW()-ROW(tblBuyerOutputs[#Headers]))&lt;=0,0,($O$6+IF(ROW()=ROW(tblBuyerOutputs[#Headers])+1,0,INDEX(tblBuyerOutputs[Cumul Appr],ROW()-ROW(tblBuyerOutputs[#Headers])-1)))*$O$2/12)</f>
        <v>0</v>
      </c>
      <c r="AE654" s="587">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62" t="str">
        <f t="shared" si="127"/>
        <v/>
      </c>
      <c r="B655" s="316">
        <f t="shared" si="128"/>
        <v>0</v>
      </c>
      <c r="C655" s="21">
        <f t="shared" si="125"/>
        <v>0</v>
      </c>
      <c r="D655" s="21">
        <f t="shared" si="129"/>
        <v>0</v>
      </c>
      <c r="E655" s="21">
        <f t="shared" si="126"/>
        <v>0</v>
      </c>
      <c r="F655" s="21"/>
      <c r="G655" s="21"/>
      <c r="H655" s="21"/>
      <c r="I655" s="316"/>
      <c r="J655" s="316"/>
      <c r="K655" s="316">
        <f t="shared" si="130"/>
        <v>0</v>
      </c>
      <c r="L655" s="374">
        <f t="shared" si="132"/>
        <v>0</v>
      </c>
      <c r="M655" s="374">
        <f t="shared" si="131"/>
        <v>0</v>
      </c>
      <c r="N655" s="562" t="str">
        <f>INDEX(tblSubjectToLoan[Date],ROW()-ROW(tblContractForDeed[#Headers]))</f>
        <v/>
      </c>
      <c r="O655" s="316">
        <f>IF(ROW()=ROW(tblContractForDeed[#Headers])+1,$O$6,IF(INDEX(tblContractForDeed[End Bal],ROW()-ROW(tblContractForDeed[#Headers])-1)&lt;0,0,INDEX(tblContractForDeed[End Bal],ROW()-ROW(tblContractForDeed[#Headers])-1)))</f>
        <v>0</v>
      </c>
      <c r="P655" s="585"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Row],[Payment]]=0,0,$V$2)</f>
        <v>0</v>
      </c>
      <c r="U655" s="21">
        <f>IF(tblContractForDeed[[#This Row],[Princ]]=0,0,$V$3)</f>
        <v>0</v>
      </c>
      <c r="V655" s="21">
        <f>SUM(tblContractForDeed[[#This Row],[Princ]],tblContractForDeed[[#This Row],[Int]],tblContractForDeed[[#This Row],[Ins]],tblContractForDeed[[#This Row],[Taxes]])</f>
        <v>0</v>
      </c>
      <c r="W655" s="316">
        <f>SUM(INDEX(tblContractForDeed[Princ],1):INDEX(tblContractForDeed[Princ],ROW()-ROW(tblContractForDeed[#Headers])))</f>
        <v>146500</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5" s="316">
        <f>IF(INDEX(tblContractForDeed[End Bal],ROW()-ROW(tblBuyerOutputs[#Headers]))&lt;=0,0,($O$6+IF(ROW()=ROW(tblBuyerOutputs[#Headers])+1,0,INDEX(tblBuyerOutputs[Cumul Appr],ROW()-ROW(tblBuyerOutputs[#Headers])-1)))*$O$2/12)</f>
        <v>0</v>
      </c>
      <c r="AE655" s="588">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61" t="str">
        <f t="shared" si="127"/>
        <v/>
      </c>
      <c r="B656" s="265">
        <f t="shared" si="128"/>
        <v>0</v>
      </c>
      <c r="C656" s="14">
        <f t="shared" si="125"/>
        <v>0</v>
      </c>
      <c r="D656" s="14">
        <f t="shared" si="129"/>
        <v>0</v>
      </c>
      <c r="E656" s="14">
        <f t="shared" si="126"/>
        <v>0</v>
      </c>
      <c r="K656" s="265">
        <f t="shared" si="130"/>
        <v>0</v>
      </c>
      <c r="L656" s="373">
        <f t="shared" si="132"/>
        <v>0</v>
      </c>
      <c r="M656" s="373">
        <f t="shared" si="131"/>
        <v>0</v>
      </c>
      <c r="N656" s="561"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Row],[Payment]]=0,0,$V$2)</f>
        <v>0</v>
      </c>
      <c r="U656" s="14">
        <f>IF(tblContractForDeed[[#This Row],[Princ]]=0,0,$V$3)</f>
        <v>0</v>
      </c>
      <c r="V656" s="14">
        <f>SUM(tblContractForDeed[[#This Row],[Princ]],tblContractForDeed[[#This Row],[Int]],tblContractForDeed[[#This Row],[Ins]],tblContractForDeed[[#This Row],[Taxes]])</f>
        <v>0</v>
      </c>
      <c r="W656" s="265">
        <f>SUM(INDEX(tblContractForDeed[Princ],1):INDEX(tblContractForDeed[Princ],ROW()-ROW(tblContractForDeed[#Headers])))</f>
        <v>146500</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6" s="265">
        <f>IF(INDEX(tblContractForDeed[End Bal],ROW()-ROW(tblBuyerOutputs[#Headers]))&lt;=0,0,($O$6+IF(ROW()=ROW(tblBuyerOutputs[#Headers])+1,0,INDEX(tblBuyerOutputs[Cumul Appr],ROW()-ROW(tblBuyerOutputs[#Headers])-1)))*$O$2/12)</f>
        <v>0</v>
      </c>
      <c r="AE656" s="587">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61" t="str">
        <f t="shared" si="127"/>
        <v/>
      </c>
      <c r="B657" s="265">
        <f t="shared" si="128"/>
        <v>0</v>
      </c>
      <c r="C657" s="14">
        <f t="shared" si="125"/>
        <v>0</v>
      </c>
      <c r="D657" s="14">
        <f t="shared" si="129"/>
        <v>0</v>
      </c>
      <c r="E657" s="14">
        <f t="shared" si="126"/>
        <v>0</v>
      </c>
      <c r="K657" s="265">
        <f t="shared" si="130"/>
        <v>0</v>
      </c>
      <c r="L657" s="373">
        <f t="shared" si="132"/>
        <v>0</v>
      </c>
      <c r="M657" s="373">
        <f t="shared" si="131"/>
        <v>0</v>
      </c>
      <c r="N657" s="561"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Row],[Payment]]=0,0,$V$2)</f>
        <v>0</v>
      </c>
      <c r="U657" s="14">
        <f>IF(tblContractForDeed[[#This Row],[Princ]]=0,0,$V$3)</f>
        <v>0</v>
      </c>
      <c r="V657" s="14">
        <f>SUM(tblContractForDeed[[#This Row],[Princ]],tblContractForDeed[[#This Row],[Int]],tblContractForDeed[[#This Row],[Ins]],tblContractForDeed[[#This Row],[Taxes]])</f>
        <v>0</v>
      </c>
      <c r="W657" s="265">
        <f>SUM(INDEX(tblContractForDeed[Princ],1):INDEX(tblContractForDeed[Princ],ROW()-ROW(tblContractForDeed[#Headers])))</f>
        <v>146500</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7" s="265">
        <f>IF(INDEX(tblContractForDeed[End Bal],ROW()-ROW(tblBuyerOutputs[#Headers]))&lt;=0,0,($O$6+IF(ROW()=ROW(tblBuyerOutputs[#Headers])+1,0,INDEX(tblBuyerOutputs[Cumul Appr],ROW()-ROW(tblBuyerOutputs[#Headers])-1)))*$O$2/12)</f>
        <v>0</v>
      </c>
      <c r="AE657" s="587">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61" t="str">
        <f t="shared" si="127"/>
        <v/>
      </c>
      <c r="B658" s="265">
        <f t="shared" si="128"/>
        <v>0</v>
      </c>
      <c r="C658" s="14">
        <f t="shared" si="125"/>
        <v>0</v>
      </c>
      <c r="D658" s="14">
        <f t="shared" si="129"/>
        <v>0</v>
      </c>
      <c r="E658" s="14">
        <f t="shared" si="126"/>
        <v>0</v>
      </c>
      <c r="K658" s="265">
        <f t="shared" si="130"/>
        <v>0</v>
      </c>
      <c r="L658" s="373">
        <f t="shared" si="132"/>
        <v>0</v>
      </c>
      <c r="M658" s="373">
        <f t="shared" si="131"/>
        <v>0</v>
      </c>
      <c r="N658" s="561"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Row],[Payment]]=0,0,$V$2)</f>
        <v>0</v>
      </c>
      <c r="U658" s="14">
        <f>IF(tblContractForDeed[[#This Row],[Princ]]=0,0,$V$3)</f>
        <v>0</v>
      </c>
      <c r="V658" s="14">
        <f>SUM(tblContractForDeed[[#This Row],[Princ]],tblContractForDeed[[#This Row],[Int]],tblContractForDeed[[#This Row],[Ins]],tblContractForDeed[[#This Row],[Taxes]])</f>
        <v>0</v>
      </c>
      <c r="W658" s="265">
        <f>SUM(INDEX(tblContractForDeed[Princ],1):INDEX(tblContractForDeed[Princ],ROW()-ROW(tblContractForDeed[#Headers])))</f>
        <v>146500</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8" s="265">
        <f>IF(INDEX(tblContractForDeed[End Bal],ROW()-ROW(tblBuyerOutputs[#Headers]))&lt;=0,0,($O$6+IF(ROW()=ROW(tblBuyerOutputs[#Headers])+1,0,INDEX(tblBuyerOutputs[Cumul Appr],ROW()-ROW(tblBuyerOutputs[#Headers])-1)))*$O$2/12)</f>
        <v>0</v>
      </c>
      <c r="AE658" s="587">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61" t="str">
        <f t="shared" si="127"/>
        <v/>
      </c>
      <c r="B659" s="265">
        <f t="shared" si="128"/>
        <v>0</v>
      </c>
      <c r="C659" s="14">
        <f t="shared" si="125"/>
        <v>0</v>
      </c>
      <c r="D659" s="14">
        <f t="shared" si="129"/>
        <v>0</v>
      </c>
      <c r="E659" s="14">
        <f t="shared" si="126"/>
        <v>0</v>
      </c>
      <c r="K659" s="265">
        <f t="shared" si="130"/>
        <v>0</v>
      </c>
      <c r="L659" s="373">
        <f t="shared" si="132"/>
        <v>0</v>
      </c>
      <c r="M659" s="373">
        <f t="shared" si="131"/>
        <v>0</v>
      </c>
      <c r="N659" s="561"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Row],[Payment]]=0,0,$V$2)</f>
        <v>0</v>
      </c>
      <c r="U659" s="14">
        <f>IF(tblContractForDeed[[#This Row],[Princ]]=0,0,$V$3)</f>
        <v>0</v>
      </c>
      <c r="V659" s="14">
        <f>SUM(tblContractForDeed[[#This Row],[Princ]],tblContractForDeed[[#This Row],[Int]],tblContractForDeed[[#This Row],[Ins]],tblContractForDeed[[#This Row],[Taxes]])</f>
        <v>0</v>
      </c>
      <c r="W659" s="265">
        <f>SUM(INDEX(tblContractForDeed[Princ],1):INDEX(tblContractForDeed[Princ],ROW()-ROW(tblContractForDeed[#Headers])))</f>
        <v>146500</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9" s="265">
        <f>IF(INDEX(tblContractForDeed[End Bal],ROW()-ROW(tblBuyerOutputs[#Headers]))&lt;=0,0,($O$6+IF(ROW()=ROW(tblBuyerOutputs[#Headers])+1,0,INDEX(tblBuyerOutputs[Cumul Appr],ROW()-ROW(tblBuyerOutputs[#Headers])-1)))*$O$2/12)</f>
        <v>0</v>
      </c>
      <c r="AE659" s="587">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61" t="str">
        <f t="shared" si="127"/>
        <v/>
      </c>
      <c r="B660" s="265">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65">
        <f t="shared" si="130"/>
        <v>0</v>
      </c>
      <c r="L660" s="373">
        <f t="shared" si="132"/>
        <v>0</v>
      </c>
      <c r="M660" s="373">
        <f t="shared" si="131"/>
        <v>0</v>
      </c>
      <c r="N660" s="561"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Row],[Payment]]=0,0,$V$2)</f>
        <v>0</v>
      </c>
      <c r="U660" s="14">
        <f>IF(tblContractForDeed[[#This Row],[Princ]]=0,0,$V$3)</f>
        <v>0</v>
      </c>
      <c r="V660" s="14">
        <f>SUM(tblContractForDeed[[#This Row],[Princ]],tblContractForDeed[[#This Row],[Int]],tblContractForDeed[[#This Row],[Ins]],tblContractForDeed[[#This Row],[Taxes]])</f>
        <v>0</v>
      </c>
      <c r="W660" s="265">
        <f>SUM(INDEX(tblContractForDeed[Princ],1):INDEX(tblContractForDeed[Princ],ROW()-ROW(tblContractForDeed[#Headers])))</f>
        <v>146500</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0" s="265">
        <f>IF(INDEX(tblContractForDeed[End Bal],ROW()-ROW(tblBuyerOutputs[#Headers]))&lt;=0,0,($O$6+IF(ROW()=ROW(tblBuyerOutputs[#Headers])+1,0,INDEX(tblBuyerOutputs[Cumul Appr],ROW()-ROW(tblBuyerOutputs[#Headers])-1)))*$O$2/12)</f>
        <v>0</v>
      </c>
      <c r="AE660" s="587">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61" t="str">
        <f t="shared" ref="A661:A724" si="135">IF(OR(A660="",A660&gt;=subjectMortgageEndDate),"",EDATE(A660,1))</f>
        <v/>
      </c>
      <c r="B661" s="265">
        <f t="shared" ref="B661:B724" si="136">IF(A661="",0,MAX(0,K660))</f>
        <v>0</v>
      </c>
      <c r="C661" s="14">
        <f t="shared" si="133"/>
        <v>0</v>
      </c>
      <c r="D661" s="14">
        <f t="shared" ref="D661:D724" si="137">IF(C661=0,0,MAX(0,MIN(B661,C661-E661)))</f>
        <v>0</v>
      </c>
      <c r="E661" s="14">
        <f t="shared" si="134"/>
        <v>0</v>
      </c>
      <c r="K661" s="265">
        <f t="shared" ref="K661:K724" si="138">IF(A661="",0,IF(B661&lt;=0,0,MAX(0,B661-D661)))</f>
        <v>0</v>
      </c>
      <c r="L661" s="373">
        <f t="shared" si="132"/>
        <v>0</v>
      </c>
      <c r="M661" s="373">
        <f t="shared" ref="M661:M724" si="139">IF($A661&lt;&gt;"",M660+1,0)</f>
        <v>0</v>
      </c>
      <c r="N661" s="561"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Row],[Payment]]=0,0,$V$2)</f>
        <v>0</v>
      </c>
      <c r="U661" s="14">
        <f>IF(tblContractForDeed[[#This Row],[Princ]]=0,0,$V$3)</f>
        <v>0</v>
      </c>
      <c r="V661" s="14">
        <f>SUM(tblContractForDeed[[#This Row],[Princ]],tblContractForDeed[[#This Row],[Int]],tblContractForDeed[[#This Row],[Ins]],tblContractForDeed[[#This Row],[Taxes]])</f>
        <v>0</v>
      </c>
      <c r="W661" s="265">
        <f>SUM(INDEX(tblContractForDeed[Princ],1):INDEX(tblContractForDeed[Princ],ROW()-ROW(tblContractForDeed[#Headers])))</f>
        <v>146500</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1" s="265">
        <f>IF(INDEX(tblContractForDeed[End Bal],ROW()-ROW(tblBuyerOutputs[#Headers]))&lt;=0,0,($O$6+IF(ROW()=ROW(tblBuyerOutputs[#Headers])+1,0,INDEX(tblBuyerOutputs[Cumul Appr],ROW()-ROW(tblBuyerOutputs[#Headers])-1)))*$O$2/12)</f>
        <v>0</v>
      </c>
      <c r="AE661" s="587">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61" t="str">
        <f t="shared" si="135"/>
        <v/>
      </c>
      <c r="B662" s="265">
        <f t="shared" si="136"/>
        <v>0</v>
      </c>
      <c r="C662" s="14">
        <f t="shared" si="133"/>
        <v>0</v>
      </c>
      <c r="D662" s="14">
        <f t="shared" si="137"/>
        <v>0</v>
      </c>
      <c r="E662" s="14">
        <f t="shared" si="134"/>
        <v>0</v>
      </c>
      <c r="K662" s="265">
        <f t="shared" si="138"/>
        <v>0</v>
      </c>
      <c r="L662" s="373">
        <f t="shared" si="132"/>
        <v>0</v>
      </c>
      <c r="M662" s="373">
        <f t="shared" si="139"/>
        <v>0</v>
      </c>
      <c r="N662" s="561"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Row],[Payment]]=0,0,$V$2)</f>
        <v>0</v>
      </c>
      <c r="U662" s="14">
        <f>IF(tblContractForDeed[[#This Row],[Princ]]=0,0,$V$3)</f>
        <v>0</v>
      </c>
      <c r="V662" s="14">
        <f>SUM(tblContractForDeed[[#This Row],[Princ]],tblContractForDeed[[#This Row],[Int]],tblContractForDeed[[#This Row],[Ins]],tblContractForDeed[[#This Row],[Taxes]])</f>
        <v>0</v>
      </c>
      <c r="W662" s="265">
        <f>SUM(INDEX(tblContractForDeed[Princ],1):INDEX(tblContractForDeed[Princ],ROW()-ROW(tblContractForDeed[#Headers])))</f>
        <v>146500</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2" s="265">
        <f>IF(INDEX(tblContractForDeed[End Bal],ROW()-ROW(tblBuyerOutputs[#Headers]))&lt;=0,0,($O$6+IF(ROW()=ROW(tblBuyerOutputs[#Headers])+1,0,INDEX(tblBuyerOutputs[Cumul Appr],ROW()-ROW(tblBuyerOutputs[#Headers])-1)))*$O$2/12)</f>
        <v>0</v>
      </c>
      <c r="AE662" s="587">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61" t="str">
        <f t="shared" si="135"/>
        <v/>
      </c>
      <c r="B663" s="265">
        <f t="shared" si="136"/>
        <v>0</v>
      </c>
      <c r="C663" s="14">
        <f t="shared" si="133"/>
        <v>0</v>
      </c>
      <c r="D663" s="14">
        <f t="shared" si="137"/>
        <v>0</v>
      </c>
      <c r="E663" s="14">
        <f t="shared" si="134"/>
        <v>0</v>
      </c>
      <c r="K663" s="265">
        <f t="shared" si="138"/>
        <v>0</v>
      </c>
      <c r="L663" s="373">
        <f t="shared" si="132"/>
        <v>0</v>
      </c>
      <c r="M663" s="373">
        <f t="shared" si="139"/>
        <v>0</v>
      </c>
      <c r="N663" s="561"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Row],[Payment]]=0,0,$V$2)</f>
        <v>0</v>
      </c>
      <c r="U663" s="14">
        <f>IF(tblContractForDeed[[#This Row],[Princ]]=0,0,$V$3)</f>
        <v>0</v>
      </c>
      <c r="V663" s="14">
        <f>SUM(tblContractForDeed[[#This Row],[Princ]],tblContractForDeed[[#This Row],[Int]],tblContractForDeed[[#This Row],[Ins]],tblContractForDeed[[#This Row],[Taxes]])</f>
        <v>0</v>
      </c>
      <c r="W663" s="265">
        <f>SUM(INDEX(tblContractForDeed[Princ],1):INDEX(tblContractForDeed[Princ],ROW()-ROW(tblContractForDeed[#Headers])))</f>
        <v>146500</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3" s="265">
        <f>IF(INDEX(tblContractForDeed[End Bal],ROW()-ROW(tblBuyerOutputs[#Headers]))&lt;=0,0,($O$6+IF(ROW()=ROW(tblBuyerOutputs[#Headers])+1,0,INDEX(tblBuyerOutputs[Cumul Appr],ROW()-ROW(tblBuyerOutputs[#Headers])-1)))*$O$2/12)</f>
        <v>0</v>
      </c>
      <c r="AE663" s="587">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61" t="str">
        <f t="shared" si="135"/>
        <v/>
      </c>
      <c r="B664" s="265">
        <f t="shared" si="136"/>
        <v>0</v>
      </c>
      <c r="C664" s="14">
        <f t="shared" si="133"/>
        <v>0</v>
      </c>
      <c r="D664" s="14">
        <f t="shared" si="137"/>
        <v>0</v>
      </c>
      <c r="E664" s="14">
        <f t="shared" si="134"/>
        <v>0</v>
      </c>
      <c r="K664" s="265">
        <f t="shared" si="138"/>
        <v>0</v>
      </c>
      <c r="L664" s="373">
        <f t="shared" si="132"/>
        <v>0</v>
      </c>
      <c r="M664" s="373">
        <f t="shared" si="139"/>
        <v>0</v>
      </c>
      <c r="N664" s="561"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Row],[Payment]]=0,0,$V$2)</f>
        <v>0</v>
      </c>
      <c r="U664" s="14">
        <f>IF(tblContractForDeed[[#This Row],[Princ]]=0,0,$V$3)</f>
        <v>0</v>
      </c>
      <c r="V664" s="14">
        <f>SUM(tblContractForDeed[[#This Row],[Princ]],tblContractForDeed[[#This Row],[Int]],tblContractForDeed[[#This Row],[Ins]],tblContractForDeed[[#This Row],[Taxes]])</f>
        <v>0</v>
      </c>
      <c r="W664" s="265">
        <f>SUM(INDEX(tblContractForDeed[Princ],1):INDEX(tblContractForDeed[Princ],ROW()-ROW(tblContractForDeed[#Headers])))</f>
        <v>146500</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4" s="265">
        <f>IF(INDEX(tblContractForDeed[End Bal],ROW()-ROW(tblBuyerOutputs[#Headers]))&lt;=0,0,($O$6+IF(ROW()=ROW(tblBuyerOutputs[#Headers])+1,0,INDEX(tblBuyerOutputs[Cumul Appr],ROW()-ROW(tblBuyerOutputs[#Headers])-1)))*$O$2/12)</f>
        <v>0</v>
      </c>
      <c r="AE664" s="587">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61" t="str">
        <f t="shared" si="135"/>
        <v/>
      </c>
      <c r="B665" s="265">
        <f t="shared" si="136"/>
        <v>0</v>
      </c>
      <c r="C665" s="14">
        <f t="shared" si="133"/>
        <v>0</v>
      </c>
      <c r="D665" s="14">
        <f t="shared" si="137"/>
        <v>0</v>
      </c>
      <c r="E665" s="14">
        <f t="shared" si="134"/>
        <v>0</v>
      </c>
      <c r="K665" s="265">
        <f t="shared" si="138"/>
        <v>0</v>
      </c>
      <c r="L665" s="373">
        <f t="shared" si="132"/>
        <v>0</v>
      </c>
      <c r="M665" s="373">
        <f t="shared" si="139"/>
        <v>0</v>
      </c>
      <c r="N665" s="561"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Row],[Payment]]=0,0,$V$2)</f>
        <v>0</v>
      </c>
      <c r="U665" s="14">
        <f>IF(tblContractForDeed[[#This Row],[Princ]]=0,0,$V$3)</f>
        <v>0</v>
      </c>
      <c r="V665" s="14">
        <f>SUM(tblContractForDeed[[#This Row],[Princ]],tblContractForDeed[[#This Row],[Int]],tblContractForDeed[[#This Row],[Ins]],tblContractForDeed[[#This Row],[Taxes]])</f>
        <v>0</v>
      </c>
      <c r="W665" s="265">
        <f>SUM(INDEX(tblContractForDeed[Princ],1):INDEX(tblContractForDeed[Princ],ROW()-ROW(tblContractForDeed[#Headers])))</f>
        <v>146500</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5" s="265">
        <f>IF(INDEX(tblContractForDeed[End Bal],ROW()-ROW(tblBuyerOutputs[#Headers]))&lt;=0,0,($O$6+IF(ROW()=ROW(tblBuyerOutputs[#Headers])+1,0,INDEX(tblBuyerOutputs[Cumul Appr],ROW()-ROW(tblBuyerOutputs[#Headers])-1)))*$O$2/12)</f>
        <v>0</v>
      </c>
      <c r="AE665" s="587">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61" t="str">
        <f t="shared" si="135"/>
        <v/>
      </c>
      <c r="B666" s="265">
        <f t="shared" si="136"/>
        <v>0</v>
      </c>
      <c r="C666" s="14">
        <f t="shared" si="133"/>
        <v>0</v>
      </c>
      <c r="D666" s="14">
        <f t="shared" si="137"/>
        <v>0</v>
      </c>
      <c r="E666" s="14">
        <f t="shared" si="134"/>
        <v>0</v>
      </c>
      <c r="K666" s="265">
        <f t="shared" si="138"/>
        <v>0</v>
      </c>
      <c r="L666" s="373">
        <f t="shared" si="132"/>
        <v>0</v>
      </c>
      <c r="M666" s="373">
        <f t="shared" si="139"/>
        <v>0</v>
      </c>
      <c r="N666" s="561"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Row],[Payment]]=0,0,$V$2)</f>
        <v>0</v>
      </c>
      <c r="U666" s="14">
        <f>IF(tblContractForDeed[[#This Row],[Princ]]=0,0,$V$3)</f>
        <v>0</v>
      </c>
      <c r="V666" s="14">
        <f>SUM(tblContractForDeed[[#This Row],[Princ]],tblContractForDeed[[#This Row],[Int]],tblContractForDeed[[#This Row],[Ins]],tblContractForDeed[[#This Row],[Taxes]])</f>
        <v>0</v>
      </c>
      <c r="W666" s="265">
        <f>SUM(INDEX(tblContractForDeed[Princ],1):INDEX(tblContractForDeed[Princ],ROW()-ROW(tblContractForDeed[#Headers])))</f>
        <v>146500</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6" s="265">
        <f>IF(INDEX(tblContractForDeed[End Bal],ROW()-ROW(tblBuyerOutputs[#Headers]))&lt;=0,0,($O$6+IF(ROW()=ROW(tblBuyerOutputs[#Headers])+1,0,INDEX(tblBuyerOutputs[Cumul Appr],ROW()-ROW(tblBuyerOutputs[#Headers])-1)))*$O$2/12)</f>
        <v>0</v>
      </c>
      <c r="AE666" s="587">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62" t="str">
        <f t="shared" si="135"/>
        <v/>
      </c>
      <c r="B667" s="316">
        <f t="shared" si="136"/>
        <v>0</v>
      </c>
      <c r="C667" s="21">
        <f t="shared" si="133"/>
        <v>0</v>
      </c>
      <c r="D667" s="21">
        <f t="shared" si="137"/>
        <v>0</v>
      </c>
      <c r="E667" s="21">
        <f t="shared" si="134"/>
        <v>0</v>
      </c>
      <c r="F667" s="21"/>
      <c r="G667" s="21"/>
      <c r="H667" s="21"/>
      <c r="I667" s="316"/>
      <c r="J667" s="316"/>
      <c r="K667" s="316">
        <f t="shared" si="138"/>
        <v>0</v>
      </c>
      <c r="L667" s="374">
        <f t="shared" si="132"/>
        <v>0</v>
      </c>
      <c r="M667" s="374">
        <f t="shared" si="139"/>
        <v>0</v>
      </c>
      <c r="N667" s="562" t="str">
        <f>INDEX(tblSubjectToLoan[Date],ROW()-ROW(tblContractForDeed[#Headers]))</f>
        <v/>
      </c>
      <c r="O667" s="316">
        <f>IF(ROW()=ROW(tblContractForDeed[#Headers])+1,$O$6,IF(INDEX(tblContractForDeed[End Bal],ROW()-ROW(tblContractForDeed[#Headers])-1)&lt;0,0,INDEX(tblContractForDeed[End Bal],ROW()-ROW(tblContractForDeed[#Headers])-1)))</f>
        <v>0</v>
      </c>
      <c r="P667" s="585"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Row],[Payment]]=0,0,$V$2)</f>
        <v>0</v>
      </c>
      <c r="U667" s="21">
        <f>IF(tblContractForDeed[[#This Row],[Princ]]=0,0,$V$3)</f>
        <v>0</v>
      </c>
      <c r="V667" s="21">
        <f>SUM(tblContractForDeed[[#This Row],[Princ]],tblContractForDeed[[#This Row],[Int]],tblContractForDeed[[#This Row],[Ins]],tblContractForDeed[[#This Row],[Taxes]])</f>
        <v>0</v>
      </c>
      <c r="W667" s="316">
        <f>SUM(INDEX(tblContractForDeed[Princ],1):INDEX(tblContractForDeed[Princ],ROW()-ROW(tblContractForDeed[#Headers])))</f>
        <v>146500</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7" s="316">
        <f>IF(INDEX(tblContractForDeed[End Bal],ROW()-ROW(tblBuyerOutputs[#Headers]))&lt;=0,0,($O$6+IF(ROW()=ROW(tblBuyerOutputs[#Headers])+1,0,INDEX(tblBuyerOutputs[Cumul Appr],ROW()-ROW(tblBuyerOutputs[#Headers])-1)))*$O$2/12)</f>
        <v>0</v>
      </c>
      <c r="AE667" s="588">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61" t="str">
        <f t="shared" si="135"/>
        <v/>
      </c>
      <c r="B668" s="265">
        <f t="shared" si="136"/>
        <v>0</v>
      </c>
      <c r="C668" s="14">
        <f t="shared" si="133"/>
        <v>0</v>
      </c>
      <c r="D668" s="14">
        <f t="shared" si="137"/>
        <v>0</v>
      </c>
      <c r="E668" s="14">
        <f t="shared" si="134"/>
        <v>0</v>
      </c>
      <c r="K668" s="265">
        <f t="shared" si="138"/>
        <v>0</v>
      </c>
      <c r="L668" s="373">
        <f t="shared" si="132"/>
        <v>0</v>
      </c>
      <c r="M668" s="373">
        <f t="shared" si="139"/>
        <v>0</v>
      </c>
      <c r="N668" s="561"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Row],[Payment]]=0,0,$V$2)</f>
        <v>0</v>
      </c>
      <c r="U668" s="14">
        <f>IF(tblContractForDeed[[#This Row],[Princ]]=0,0,$V$3)</f>
        <v>0</v>
      </c>
      <c r="V668" s="14">
        <f>SUM(tblContractForDeed[[#This Row],[Princ]],tblContractForDeed[[#This Row],[Int]],tblContractForDeed[[#This Row],[Ins]],tblContractForDeed[[#This Row],[Taxes]])</f>
        <v>0</v>
      </c>
      <c r="W668" s="265">
        <f>SUM(INDEX(tblContractForDeed[Princ],1):INDEX(tblContractForDeed[Princ],ROW()-ROW(tblContractForDeed[#Headers])))</f>
        <v>146500</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8" s="265">
        <f>IF(INDEX(tblContractForDeed[End Bal],ROW()-ROW(tblBuyerOutputs[#Headers]))&lt;=0,0,($O$6+IF(ROW()=ROW(tblBuyerOutputs[#Headers])+1,0,INDEX(tblBuyerOutputs[Cumul Appr],ROW()-ROW(tblBuyerOutputs[#Headers])-1)))*$O$2/12)</f>
        <v>0</v>
      </c>
      <c r="AE668" s="587">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61" t="str">
        <f t="shared" si="135"/>
        <v/>
      </c>
      <c r="B669" s="265">
        <f t="shared" si="136"/>
        <v>0</v>
      </c>
      <c r="C669" s="14">
        <f t="shared" si="133"/>
        <v>0</v>
      </c>
      <c r="D669" s="14">
        <f t="shared" si="137"/>
        <v>0</v>
      </c>
      <c r="E669" s="14">
        <f t="shared" si="134"/>
        <v>0</v>
      </c>
      <c r="K669" s="265">
        <f t="shared" si="138"/>
        <v>0</v>
      </c>
      <c r="L669" s="373">
        <f t="shared" si="132"/>
        <v>0</v>
      </c>
      <c r="M669" s="373">
        <f t="shared" si="139"/>
        <v>0</v>
      </c>
      <c r="N669" s="561"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Row],[Payment]]=0,0,$V$2)</f>
        <v>0</v>
      </c>
      <c r="U669" s="14">
        <f>IF(tblContractForDeed[[#This Row],[Princ]]=0,0,$V$3)</f>
        <v>0</v>
      </c>
      <c r="V669" s="14">
        <f>SUM(tblContractForDeed[[#This Row],[Princ]],tblContractForDeed[[#This Row],[Int]],tblContractForDeed[[#This Row],[Ins]],tblContractForDeed[[#This Row],[Taxes]])</f>
        <v>0</v>
      </c>
      <c r="W669" s="265">
        <f>SUM(INDEX(tblContractForDeed[Princ],1):INDEX(tblContractForDeed[Princ],ROW()-ROW(tblContractForDeed[#Headers])))</f>
        <v>146500</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9" s="265">
        <f>IF(INDEX(tblContractForDeed[End Bal],ROW()-ROW(tblBuyerOutputs[#Headers]))&lt;=0,0,($O$6+IF(ROW()=ROW(tblBuyerOutputs[#Headers])+1,0,INDEX(tblBuyerOutputs[Cumul Appr],ROW()-ROW(tblBuyerOutputs[#Headers])-1)))*$O$2/12)</f>
        <v>0</v>
      </c>
      <c r="AE669" s="587">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61" t="str">
        <f t="shared" si="135"/>
        <v/>
      </c>
      <c r="B670" s="265">
        <f t="shared" si="136"/>
        <v>0</v>
      </c>
      <c r="C670" s="14">
        <f t="shared" si="133"/>
        <v>0</v>
      </c>
      <c r="D670" s="14">
        <f t="shared" si="137"/>
        <v>0</v>
      </c>
      <c r="E670" s="14">
        <f t="shared" si="134"/>
        <v>0</v>
      </c>
      <c r="K670" s="265">
        <f t="shared" si="138"/>
        <v>0</v>
      </c>
      <c r="L670" s="373">
        <f t="shared" si="132"/>
        <v>0</v>
      </c>
      <c r="M670" s="373">
        <f t="shared" si="139"/>
        <v>0</v>
      </c>
      <c r="N670" s="561"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Row],[Payment]]=0,0,$V$2)</f>
        <v>0</v>
      </c>
      <c r="U670" s="14">
        <f>IF(tblContractForDeed[[#This Row],[Princ]]=0,0,$V$3)</f>
        <v>0</v>
      </c>
      <c r="V670" s="14">
        <f>SUM(tblContractForDeed[[#This Row],[Princ]],tblContractForDeed[[#This Row],[Int]],tblContractForDeed[[#This Row],[Ins]],tblContractForDeed[[#This Row],[Taxes]])</f>
        <v>0</v>
      </c>
      <c r="W670" s="265">
        <f>SUM(INDEX(tblContractForDeed[Princ],1):INDEX(tblContractForDeed[Princ],ROW()-ROW(tblContractForDeed[#Headers])))</f>
        <v>146500</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0" s="265">
        <f>IF(INDEX(tblContractForDeed[End Bal],ROW()-ROW(tblBuyerOutputs[#Headers]))&lt;=0,0,($O$6+IF(ROW()=ROW(tblBuyerOutputs[#Headers])+1,0,INDEX(tblBuyerOutputs[Cumul Appr],ROW()-ROW(tblBuyerOutputs[#Headers])-1)))*$O$2/12)</f>
        <v>0</v>
      </c>
      <c r="AE670" s="587">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61" t="str">
        <f t="shared" si="135"/>
        <v/>
      </c>
      <c r="B671" s="265">
        <f t="shared" si="136"/>
        <v>0</v>
      </c>
      <c r="C671" s="14">
        <f t="shared" si="133"/>
        <v>0</v>
      </c>
      <c r="D671" s="14">
        <f t="shared" si="137"/>
        <v>0</v>
      </c>
      <c r="E671" s="14">
        <f t="shared" si="134"/>
        <v>0</v>
      </c>
      <c r="K671" s="265">
        <f t="shared" si="138"/>
        <v>0</v>
      </c>
      <c r="L671" s="373">
        <f t="shared" si="132"/>
        <v>0</v>
      </c>
      <c r="M671" s="373">
        <f t="shared" si="139"/>
        <v>0</v>
      </c>
      <c r="N671" s="561"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Row],[Payment]]=0,0,$V$2)</f>
        <v>0</v>
      </c>
      <c r="U671" s="14">
        <f>IF(tblContractForDeed[[#This Row],[Princ]]=0,0,$V$3)</f>
        <v>0</v>
      </c>
      <c r="V671" s="14">
        <f>SUM(tblContractForDeed[[#This Row],[Princ]],tblContractForDeed[[#This Row],[Int]],tblContractForDeed[[#This Row],[Ins]],tblContractForDeed[[#This Row],[Taxes]])</f>
        <v>0</v>
      </c>
      <c r="W671" s="265">
        <f>SUM(INDEX(tblContractForDeed[Princ],1):INDEX(tblContractForDeed[Princ],ROW()-ROW(tblContractForDeed[#Headers])))</f>
        <v>146500</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1" s="265">
        <f>IF(INDEX(tblContractForDeed[End Bal],ROW()-ROW(tblBuyerOutputs[#Headers]))&lt;=0,0,($O$6+IF(ROW()=ROW(tblBuyerOutputs[#Headers])+1,0,INDEX(tblBuyerOutputs[Cumul Appr],ROW()-ROW(tblBuyerOutputs[#Headers])-1)))*$O$2/12)</f>
        <v>0</v>
      </c>
      <c r="AE671" s="587">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61" t="str">
        <f t="shared" si="135"/>
        <v/>
      </c>
      <c r="B672" s="265">
        <f t="shared" si="136"/>
        <v>0</v>
      </c>
      <c r="C672" s="14">
        <f t="shared" si="133"/>
        <v>0</v>
      </c>
      <c r="D672" s="14">
        <f t="shared" si="137"/>
        <v>0</v>
      </c>
      <c r="E672" s="14">
        <f t="shared" si="134"/>
        <v>0</v>
      </c>
      <c r="K672" s="265">
        <f t="shared" si="138"/>
        <v>0</v>
      </c>
      <c r="L672" s="373">
        <f t="shared" si="132"/>
        <v>0</v>
      </c>
      <c r="M672" s="373">
        <f t="shared" si="139"/>
        <v>0</v>
      </c>
      <c r="N672" s="561"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Row],[Payment]]=0,0,$V$2)</f>
        <v>0</v>
      </c>
      <c r="U672" s="14">
        <f>IF(tblContractForDeed[[#This Row],[Princ]]=0,0,$V$3)</f>
        <v>0</v>
      </c>
      <c r="V672" s="14">
        <f>SUM(tblContractForDeed[[#This Row],[Princ]],tblContractForDeed[[#This Row],[Int]],tblContractForDeed[[#This Row],[Ins]],tblContractForDeed[[#This Row],[Taxes]])</f>
        <v>0</v>
      </c>
      <c r="W672" s="265">
        <f>SUM(INDEX(tblContractForDeed[Princ],1):INDEX(tblContractForDeed[Princ],ROW()-ROW(tblContractForDeed[#Headers])))</f>
        <v>146500</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2" s="265">
        <f>IF(INDEX(tblContractForDeed[End Bal],ROW()-ROW(tblBuyerOutputs[#Headers]))&lt;=0,0,($O$6+IF(ROW()=ROW(tblBuyerOutputs[#Headers])+1,0,INDEX(tblBuyerOutputs[Cumul Appr],ROW()-ROW(tblBuyerOutputs[#Headers])-1)))*$O$2/12)</f>
        <v>0</v>
      </c>
      <c r="AE672" s="587">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61" t="str">
        <f t="shared" si="135"/>
        <v/>
      </c>
      <c r="B673" s="265">
        <f t="shared" si="136"/>
        <v>0</v>
      </c>
      <c r="C673" s="14">
        <f t="shared" si="133"/>
        <v>0</v>
      </c>
      <c r="D673" s="14">
        <f t="shared" si="137"/>
        <v>0</v>
      </c>
      <c r="E673" s="14">
        <f t="shared" si="134"/>
        <v>0</v>
      </c>
      <c r="K673" s="265">
        <f t="shared" si="138"/>
        <v>0</v>
      </c>
      <c r="L673" s="373">
        <f t="shared" si="132"/>
        <v>0</v>
      </c>
      <c r="M673" s="373">
        <f t="shared" si="139"/>
        <v>0</v>
      </c>
      <c r="N673" s="561"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Row],[Payment]]=0,0,$V$2)</f>
        <v>0</v>
      </c>
      <c r="U673" s="14">
        <f>IF(tblContractForDeed[[#This Row],[Princ]]=0,0,$V$3)</f>
        <v>0</v>
      </c>
      <c r="V673" s="14">
        <f>SUM(tblContractForDeed[[#This Row],[Princ]],tblContractForDeed[[#This Row],[Int]],tblContractForDeed[[#This Row],[Ins]],tblContractForDeed[[#This Row],[Taxes]])</f>
        <v>0</v>
      </c>
      <c r="W673" s="265">
        <f>SUM(INDEX(tblContractForDeed[Princ],1):INDEX(tblContractForDeed[Princ],ROW()-ROW(tblContractForDeed[#Headers])))</f>
        <v>146500</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3" s="265">
        <f>IF(INDEX(tblContractForDeed[End Bal],ROW()-ROW(tblBuyerOutputs[#Headers]))&lt;=0,0,($O$6+IF(ROW()=ROW(tblBuyerOutputs[#Headers])+1,0,INDEX(tblBuyerOutputs[Cumul Appr],ROW()-ROW(tblBuyerOutputs[#Headers])-1)))*$O$2/12)</f>
        <v>0</v>
      </c>
      <c r="AE673" s="587">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61" t="str">
        <f t="shared" si="135"/>
        <v/>
      </c>
      <c r="B674" s="265">
        <f t="shared" si="136"/>
        <v>0</v>
      </c>
      <c r="C674" s="14">
        <f t="shared" si="133"/>
        <v>0</v>
      </c>
      <c r="D674" s="14">
        <f t="shared" si="137"/>
        <v>0</v>
      </c>
      <c r="E674" s="14">
        <f t="shared" si="134"/>
        <v>0</v>
      </c>
      <c r="K674" s="265">
        <f t="shared" si="138"/>
        <v>0</v>
      </c>
      <c r="L674" s="373">
        <f t="shared" si="132"/>
        <v>0</v>
      </c>
      <c r="M674" s="373">
        <f t="shared" si="139"/>
        <v>0</v>
      </c>
      <c r="N674" s="561"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Row],[Payment]]=0,0,$V$2)</f>
        <v>0</v>
      </c>
      <c r="U674" s="14">
        <f>IF(tblContractForDeed[[#This Row],[Princ]]=0,0,$V$3)</f>
        <v>0</v>
      </c>
      <c r="V674" s="14">
        <f>SUM(tblContractForDeed[[#This Row],[Princ]],tblContractForDeed[[#This Row],[Int]],tblContractForDeed[[#This Row],[Ins]],tblContractForDeed[[#This Row],[Taxes]])</f>
        <v>0</v>
      </c>
      <c r="W674" s="265">
        <f>SUM(INDEX(tblContractForDeed[Princ],1):INDEX(tblContractForDeed[Princ],ROW()-ROW(tblContractForDeed[#Headers])))</f>
        <v>146500</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4" s="265">
        <f>IF(INDEX(tblContractForDeed[End Bal],ROW()-ROW(tblBuyerOutputs[#Headers]))&lt;=0,0,($O$6+IF(ROW()=ROW(tblBuyerOutputs[#Headers])+1,0,INDEX(tblBuyerOutputs[Cumul Appr],ROW()-ROW(tblBuyerOutputs[#Headers])-1)))*$O$2/12)</f>
        <v>0</v>
      </c>
      <c r="AE674" s="587">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61" t="str">
        <f t="shared" si="135"/>
        <v/>
      </c>
      <c r="B675" s="265">
        <f t="shared" si="136"/>
        <v>0</v>
      </c>
      <c r="C675" s="14">
        <f t="shared" si="133"/>
        <v>0</v>
      </c>
      <c r="D675" s="14">
        <f t="shared" si="137"/>
        <v>0</v>
      </c>
      <c r="E675" s="14">
        <f t="shared" si="134"/>
        <v>0</v>
      </c>
      <c r="K675" s="265">
        <f t="shared" si="138"/>
        <v>0</v>
      </c>
      <c r="L675" s="373">
        <f t="shared" si="132"/>
        <v>0</v>
      </c>
      <c r="M675" s="373">
        <f t="shared" si="139"/>
        <v>0</v>
      </c>
      <c r="N675" s="561"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Row],[Payment]]=0,0,$V$2)</f>
        <v>0</v>
      </c>
      <c r="U675" s="14">
        <f>IF(tblContractForDeed[[#This Row],[Princ]]=0,0,$V$3)</f>
        <v>0</v>
      </c>
      <c r="V675" s="14">
        <f>SUM(tblContractForDeed[[#This Row],[Princ]],tblContractForDeed[[#This Row],[Int]],tblContractForDeed[[#This Row],[Ins]],tblContractForDeed[[#This Row],[Taxes]])</f>
        <v>0</v>
      </c>
      <c r="W675" s="265">
        <f>SUM(INDEX(tblContractForDeed[Princ],1):INDEX(tblContractForDeed[Princ],ROW()-ROW(tblContractForDeed[#Headers])))</f>
        <v>146500</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5" s="265">
        <f>IF(INDEX(tblContractForDeed[End Bal],ROW()-ROW(tblBuyerOutputs[#Headers]))&lt;=0,0,($O$6+IF(ROW()=ROW(tblBuyerOutputs[#Headers])+1,0,INDEX(tblBuyerOutputs[Cumul Appr],ROW()-ROW(tblBuyerOutputs[#Headers])-1)))*$O$2/12)</f>
        <v>0</v>
      </c>
      <c r="AE675" s="587">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61" t="str">
        <f t="shared" si="135"/>
        <v/>
      </c>
      <c r="B676" s="265">
        <f t="shared" si="136"/>
        <v>0</v>
      </c>
      <c r="C676" s="14">
        <f t="shared" si="133"/>
        <v>0</v>
      </c>
      <c r="D676" s="14">
        <f t="shared" si="137"/>
        <v>0</v>
      </c>
      <c r="E676" s="14">
        <f t="shared" si="134"/>
        <v>0</v>
      </c>
      <c r="K676" s="265">
        <f t="shared" si="138"/>
        <v>0</v>
      </c>
      <c r="L676" s="373">
        <f t="shared" si="132"/>
        <v>0</v>
      </c>
      <c r="M676" s="373">
        <f t="shared" si="139"/>
        <v>0</v>
      </c>
      <c r="N676" s="561"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Row],[Payment]]=0,0,$V$2)</f>
        <v>0</v>
      </c>
      <c r="U676" s="14">
        <f>IF(tblContractForDeed[[#This Row],[Princ]]=0,0,$V$3)</f>
        <v>0</v>
      </c>
      <c r="V676" s="14">
        <f>SUM(tblContractForDeed[[#This Row],[Princ]],tblContractForDeed[[#This Row],[Int]],tblContractForDeed[[#This Row],[Ins]],tblContractForDeed[[#This Row],[Taxes]])</f>
        <v>0</v>
      </c>
      <c r="W676" s="265">
        <f>SUM(INDEX(tblContractForDeed[Princ],1):INDEX(tblContractForDeed[Princ],ROW()-ROW(tblContractForDeed[#Headers])))</f>
        <v>146500</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6" s="265">
        <f>IF(INDEX(tblContractForDeed[End Bal],ROW()-ROW(tblBuyerOutputs[#Headers]))&lt;=0,0,($O$6+IF(ROW()=ROW(tblBuyerOutputs[#Headers])+1,0,INDEX(tblBuyerOutputs[Cumul Appr],ROW()-ROW(tblBuyerOutputs[#Headers])-1)))*$O$2/12)</f>
        <v>0</v>
      </c>
      <c r="AE676" s="587">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61" t="str">
        <f t="shared" si="135"/>
        <v/>
      </c>
      <c r="B677" s="265">
        <f t="shared" si="136"/>
        <v>0</v>
      </c>
      <c r="C677" s="14">
        <f t="shared" si="133"/>
        <v>0</v>
      </c>
      <c r="D677" s="14">
        <f t="shared" si="137"/>
        <v>0</v>
      </c>
      <c r="E677" s="14">
        <f t="shared" si="134"/>
        <v>0</v>
      </c>
      <c r="K677" s="265">
        <f t="shared" si="138"/>
        <v>0</v>
      </c>
      <c r="L677" s="373">
        <f t="shared" si="132"/>
        <v>0</v>
      </c>
      <c r="M677" s="373">
        <f t="shared" si="139"/>
        <v>0</v>
      </c>
      <c r="N677" s="561"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Row],[Payment]]=0,0,$V$2)</f>
        <v>0</v>
      </c>
      <c r="U677" s="14">
        <f>IF(tblContractForDeed[[#This Row],[Princ]]=0,0,$V$3)</f>
        <v>0</v>
      </c>
      <c r="V677" s="14">
        <f>SUM(tblContractForDeed[[#This Row],[Princ]],tblContractForDeed[[#This Row],[Int]],tblContractForDeed[[#This Row],[Ins]],tblContractForDeed[[#This Row],[Taxes]])</f>
        <v>0</v>
      </c>
      <c r="W677" s="265">
        <f>SUM(INDEX(tblContractForDeed[Princ],1):INDEX(tblContractForDeed[Princ],ROW()-ROW(tblContractForDeed[#Headers])))</f>
        <v>146500</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7" s="265">
        <f>IF(INDEX(tblContractForDeed[End Bal],ROW()-ROW(tblBuyerOutputs[#Headers]))&lt;=0,0,($O$6+IF(ROW()=ROW(tblBuyerOutputs[#Headers])+1,0,INDEX(tblBuyerOutputs[Cumul Appr],ROW()-ROW(tblBuyerOutputs[#Headers])-1)))*$O$2/12)</f>
        <v>0</v>
      </c>
      <c r="AE677" s="587">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61" t="str">
        <f t="shared" si="135"/>
        <v/>
      </c>
      <c r="B678" s="265">
        <f t="shared" si="136"/>
        <v>0</v>
      </c>
      <c r="C678" s="14">
        <f t="shared" si="133"/>
        <v>0</v>
      </c>
      <c r="D678" s="14">
        <f t="shared" si="137"/>
        <v>0</v>
      </c>
      <c r="E678" s="14">
        <f t="shared" si="134"/>
        <v>0</v>
      </c>
      <c r="K678" s="265">
        <f t="shared" si="138"/>
        <v>0</v>
      </c>
      <c r="L678" s="373">
        <f t="shared" si="132"/>
        <v>0</v>
      </c>
      <c r="M678" s="373">
        <f t="shared" si="139"/>
        <v>0</v>
      </c>
      <c r="N678" s="561"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Row],[Payment]]=0,0,$V$2)</f>
        <v>0</v>
      </c>
      <c r="U678" s="14">
        <f>IF(tblContractForDeed[[#This Row],[Princ]]=0,0,$V$3)</f>
        <v>0</v>
      </c>
      <c r="V678" s="14">
        <f>SUM(tblContractForDeed[[#This Row],[Princ]],tblContractForDeed[[#This Row],[Int]],tblContractForDeed[[#This Row],[Ins]],tblContractForDeed[[#This Row],[Taxes]])</f>
        <v>0</v>
      </c>
      <c r="W678" s="265">
        <f>SUM(INDEX(tblContractForDeed[Princ],1):INDEX(tblContractForDeed[Princ],ROW()-ROW(tblContractForDeed[#Headers])))</f>
        <v>146500</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8" s="265">
        <f>IF(INDEX(tblContractForDeed[End Bal],ROW()-ROW(tblBuyerOutputs[#Headers]))&lt;=0,0,($O$6+IF(ROW()=ROW(tblBuyerOutputs[#Headers])+1,0,INDEX(tblBuyerOutputs[Cumul Appr],ROW()-ROW(tblBuyerOutputs[#Headers])-1)))*$O$2/12)</f>
        <v>0</v>
      </c>
      <c r="AE678" s="587">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62" t="str">
        <f t="shared" si="135"/>
        <v/>
      </c>
      <c r="B679" s="316">
        <f t="shared" si="136"/>
        <v>0</v>
      </c>
      <c r="C679" s="21">
        <f t="shared" si="133"/>
        <v>0</v>
      </c>
      <c r="D679" s="21">
        <f t="shared" si="137"/>
        <v>0</v>
      </c>
      <c r="E679" s="21">
        <f t="shared" si="134"/>
        <v>0</v>
      </c>
      <c r="F679" s="21"/>
      <c r="G679" s="21"/>
      <c r="H679" s="21"/>
      <c r="I679" s="316"/>
      <c r="J679" s="316"/>
      <c r="K679" s="316">
        <f t="shared" si="138"/>
        <v>0</v>
      </c>
      <c r="L679" s="374">
        <f t="shared" si="132"/>
        <v>0</v>
      </c>
      <c r="M679" s="374">
        <f t="shared" si="139"/>
        <v>0</v>
      </c>
      <c r="N679" s="562" t="str">
        <f>INDEX(tblSubjectToLoan[Date],ROW()-ROW(tblContractForDeed[#Headers]))</f>
        <v/>
      </c>
      <c r="O679" s="316">
        <f>IF(ROW()=ROW(tblContractForDeed[#Headers])+1,$O$6,IF(INDEX(tblContractForDeed[End Bal],ROW()-ROW(tblContractForDeed[#Headers])-1)&lt;0,0,INDEX(tblContractForDeed[End Bal],ROW()-ROW(tblContractForDeed[#Headers])-1)))</f>
        <v>0</v>
      </c>
      <c r="P679" s="585"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Row],[Payment]]=0,0,$V$2)</f>
        <v>0</v>
      </c>
      <c r="U679" s="21">
        <f>IF(tblContractForDeed[[#This Row],[Princ]]=0,0,$V$3)</f>
        <v>0</v>
      </c>
      <c r="V679" s="21">
        <f>SUM(tblContractForDeed[[#This Row],[Princ]],tblContractForDeed[[#This Row],[Int]],tblContractForDeed[[#This Row],[Ins]],tblContractForDeed[[#This Row],[Taxes]])</f>
        <v>0</v>
      </c>
      <c r="W679" s="316">
        <f>SUM(INDEX(tblContractForDeed[Princ],1):INDEX(tblContractForDeed[Princ],ROW()-ROW(tblContractForDeed[#Headers])))</f>
        <v>146500</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9" s="316">
        <f>IF(INDEX(tblContractForDeed[End Bal],ROW()-ROW(tblBuyerOutputs[#Headers]))&lt;=0,0,($O$6+IF(ROW()=ROW(tblBuyerOutputs[#Headers])+1,0,INDEX(tblBuyerOutputs[Cumul Appr],ROW()-ROW(tblBuyerOutputs[#Headers])-1)))*$O$2/12)</f>
        <v>0</v>
      </c>
      <c r="AE679" s="588">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61" t="str">
        <f t="shared" si="135"/>
        <v/>
      </c>
      <c r="B680" s="265">
        <f t="shared" si="136"/>
        <v>0</v>
      </c>
      <c r="C680" s="14">
        <f t="shared" si="133"/>
        <v>0</v>
      </c>
      <c r="D680" s="14">
        <f t="shared" si="137"/>
        <v>0</v>
      </c>
      <c r="E680" s="14">
        <f t="shared" si="134"/>
        <v>0</v>
      </c>
      <c r="K680" s="265">
        <f t="shared" si="138"/>
        <v>0</v>
      </c>
      <c r="L680" s="373">
        <f t="shared" si="132"/>
        <v>0</v>
      </c>
      <c r="M680" s="373">
        <f t="shared" si="139"/>
        <v>0</v>
      </c>
      <c r="N680" s="561"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Row],[Payment]]=0,0,$V$2)</f>
        <v>0</v>
      </c>
      <c r="U680" s="14">
        <f>IF(tblContractForDeed[[#This Row],[Princ]]=0,0,$V$3)</f>
        <v>0</v>
      </c>
      <c r="V680" s="14">
        <f>SUM(tblContractForDeed[[#This Row],[Princ]],tblContractForDeed[[#This Row],[Int]],tblContractForDeed[[#This Row],[Ins]],tblContractForDeed[[#This Row],[Taxes]])</f>
        <v>0</v>
      </c>
      <c r="W680" s="265">
        <f>SUM(INDEX(tblContractForDeed[Princ],1):INDEX(tblContractForDeed[Princ],ROW()-ROW(tblContractForDeed[#Headers])))</f>
        <v>146500</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0" s="265">
        <f>IF(INDEX(tblContractForDeed[End Bal],ROW()-ROW(tblBuyerOutputs[#Headers]))&lt;=0,0,($O$6+IF(ROW()=ROW(tblBuyerOutputs[#Headers])+1,0,INDEX(tblBuyerOutputs[Cumul Appr],ROW()-ROW(tblBuyerOutputs[#Headers])-1)))*$O$2/12)</f>
        <v>0</v>
      </c>
      <c r="AE680" s="587">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61" t="str">
        <f t="shared" si="135"/>
        <v/>
      </c>
      <c r="B681" s="265">
        <f t="shared" si="136"/>
        <v>0</v>
      </c>
      <c r="C681" s="14">
        <f t="shared" si="133"/>
        <v>0</v>
      </c>
      <c r="D681" s="14">
        <f t="shared" si="137"/>
        <v>0</v>
      </c>
      <c r="E681" s="14">
        <f t="shared" si="134"/>
        <v>0</v>
      </c>
      <c r="K681" s="265">
        <f t="shared" si="138"/>
        <v>0</v>
      </c>
      <c r="L681" s="373">
        <f t="shared" si="132"/>
        <v>0</v>
      </c>
      <c r="M681" s="373">
        <f t="shared" si="139"/>
        <v>0</v>
      </c>
      <c r="N681" s="561"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Row],[Payment]]=0,0,$V$2)</f>
        <v>0</v>
      </c>
      <c r="U681" s="14">
        <f>IF(tblContractForDeed[[#This Row],[Princ]]=0,0,$V$3)</f>
        <v>0</v>
      </c>
      <c r="V681" s="14">
        <f>SUM(tblContractForDeed[[#This Row],[Princ]],tblContractForDeed[[#This Row],[Int]],tblContractForDeed[[#This Row],[Ins]],tblContractForDeed[[#This Row],[Taxes]])</f>
        <v>0</v>
      </c>
      <c r="W681" s="265">
        <f>SUM(INDEX(tblContractForDeed[Princ],1):INDEX(tblContractForDeed[Princ],ROW()-ROW(tblContractForDeed[#Headers])))</f>
        <v>146500</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1" s="265">
        <f>IF(INDEX(tblContractForDeed[End Bal],ROW()-ROW(tblBuyerOutputs[#Headers]))&lt;=0,0,($O$6+IF(ROW()=ROW(tblBuyerOutputs[#Headers])+1,0,INDEX(tblBuyerOutputs[Cumul Appr],ROW()-ROW(tblBuyerOutputs[#Headers])-1)))*$O$2/12)</f>
        <v>0</v>
      </c>
      <c r="AE681" s="587">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61" t="str">
        <f t="shared" si="135"/>
        <v/>
      </c>
      <c r="B682" s="265">
        <f t="shared" si="136"/>
        <v>0</v>
      </c>
      <c r="C682" s="14">
        <f t="shared" si="133"/>
        <v>0</v>
      </c>
      <c r="D682" s="14">
        <f t="shared" si="137"/>
        <v>0</v>
      </c>
      <c r="E682" s="14">
        <f t="shared" si="134"/>
        <v>0</v>
      </c>
      <c r="K682" s="265">
        <f t="shared" si="138"/>
        <v>0</v>
      </c>
      <c r="L682" s="373">
        <f t="shared" si="132"/>
        <v>0</v>
      </c>
      <c r="M682" s="373">
        <f t="shared" si="139"/>
        <v>0</v>
      </c>
      <c r="N682" s="561"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Row],[Payment]]=0,0,$V$2)</f>
        <v>0</v>
      </c>
      <c r="U682" s="14">
        <f>IF(tblContractForDeed[[#This Row],[Princ]]=0,0,$V$3)</f>
        <v>0</v>
      </c>
      <c r="V682" s="14">
        <f>SUM(tblContractForDeed[[#This Row],[Princ]],tblContractForDeed[[#This Row],[Int]],tblContractForDeed[[#This Row],[Ins]],tblContractForDeed[[#This Row],[Taxes]])</f>
        <v>0</v>
      </c>
      <c r="W682" s="265">
        <f>SUM(INDEX(tblContractForDeed[Princ],1):INDEX(tblContractForDeed[Princ],ROW()-ROW(tblContractForDeed[#Headers])))</f>
        <v>146500</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2" s="265">
        <f>IF(INDEX(tblContractForDeed[End Bal],ROW()-ROW(tblBuyerOutputs[#Headers]))&lt;=0,0,($O$6+IF(ROW()=ROW(tblBuyerOutputs[#Headers])+1,0,INDEX(tblBuyerOutputs[Cumul Appr],ROW()-ROW(tblBuyerOutputs[#Headers])-1)))*$O$2/12)</f>
        <v>0</v>
      </c>
      <c r="AE682" s="587">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61" t="str">
        <f t="shared" si="135"/>
        <v/>
      </c>
      <c r="B683" s="265">
        <f t="shared" si="136"/>
        <v>0</v>
      </c>
      <c r="C683" s="14">
        <f t="shared" si="133"/>
        <v>0</v>
      </c>
      <c r="D683" s="14">
        <f t="shared" si="137"/>
        <v>0</v>
      </c>
      <c r="E683" s="14">
        <f t="shared" si="134"/>
        <v>0</v>
      </c>
      <c r="K683" s="265">
        <f t="shared" si="138"/>
        <v>0</v>
      </c>
      <c r="L683" s="373">
        <f t="shared" si="132"/>
        <v>0</v>
      </c>
      <c r="M683" s="373">
        <f t="shared" si="139"/>
        <v>0</v>
      </c>
      <c r="N683" s="561"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Row],[Payment]]=0,0,$V$2)</f>
        <v>0</v>
      </c>
      <c r="U683" s="14">
        <f>IF(tblContractForDeed[[#This Row],[Princ]]=0,0,$V$3)</f>
        <v>0</v>
      </c>
      <c r="V683" s="14">
        <f>SUM(tblContractForDeed[[#This Row],[Princ]],tblContractForDeed[[#This Row],[Int]],tblContractForDeed[[#This Row],[Ins]],tblContractForDeed[[#This Row],[Taxes]])</f>
        <v>0</v>
      </c>
      <c r="W683" s="265">
        <f>SUM(INDEX(tblContractForDeed[Princ],1):INDEX(tblContractForDeed[Princ],ROW()-ROW(tblContractForDeed[#Headers])))</f>
        <v>146500</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3" s="265">
        <f>IF(INDEX(tblContractForDeed[End Bal],ROW()-ROW(tblBuyerOutputs[#Headers]))&lt;=0,0,($O$6+IF(ROW()=ROW(tblBuyerOutputs[#Headers])+1,0,INDEX(tblBuyerOutputs[Cumul Appr],ROW()-ROW(tblBuyerOutputs[#Headers])-1)))*$O$2/12)</f>
        <v>0</v>
      </c>
      <c r="AE683" s="587">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61" t="str">
        <f t="shared" si="135"/>
        <v/>
      </c>
      <c r="B684" s="265">
        <f t="shared" si="136"/>
        <v>0</v>
      </c>
      <c r="C684" s="14">
        <f t="shared" si="133"/>
        <v>0</v>
      </c>
      <c r="D684" s="14">
        <f t="shared" si="137"/>
        <v>0</v>
      </c>
      <c r="E684" s="14">
        <f t="shared" si="134"/>
        <v>0</v>
      </c>
      <c r="K684" s="265">
        <f t="shared" si="138"/>
        <v>0</v>
      </c>
      <c r="L684" s="373">
        <f t="shared" si="132"/>
        <v>0</v>
      </c>
      <c r="M684" s="373">
        <f t="shared" si="139"/>
        <v>0</v>
      </c>
      <c r="N684" s="561"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Row],[Payment]]=0,0,$V$2)</f>
        <v>0</v>
      </c>
      <c r="U684" s="14">
        <f>IF(tblContractForDeed[[#This Row],[Princ]]=0,0,$V$3)</f>
        <v>0</v>
      </c>
      <c r="V684" s="14">
        <f>SUM(tblContractForDeed[[#This Row],[Princ]],tblContractForDeed[[#This Row],[Int]],tblContractForDeed[[#This Row],[Ins]],tblContractForDeed[[#This Row],[Taxes]])</f>
        <v>0</v>
      </c>
      <c r="W684" s="265">
        <f>SUM(INDEX(tblContractForDeed[Princ],1):INDEX(tblContractForDeed[Princ],ROW()-ROW(tblContractForDeed[#Headers])))</f>
        <v>146500</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4" s="265">
        <f>IF(INDEX(tblContractForDeed[End Bal],ROW()-ROW(tblBuyerOutputs[#Headers]))&lt;=0,0,($O$6+IF(ROW()=ROW(tblBuyerOutputs[#Headers])+1,0,INDEX(tblBuyerOutputs[Cumul Appr],ROW()-ROW(tblBuyerOutputs[#Headers])-1)))*$O$2/12)</f>
        <v>0</v>
      </c>
      <c r="AE684" s="587">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61" t="str">
        <f t="shared" si="135"/>
        <v/>
      </c>
      <c r="B685" s="265">
        <f t="shared" si="136"/>
        <v>0</v>
      </c>
      <c r="C685" s="14">
        <f t="shared" si="133"/>
        <v>0</v>
      </c>
      <c r="D685" s="14">
        <f t="shared" si="137"/>
        <v>0</v>
      </c>
      <c r="E685" s="14">
        <f t="shared" si="134"/>
        <v>0</v>
      </c>
      <c r="K685" s="265">
        <f t="shared" si="138"/>
        <v>0</v>
      </c>
      <c r="L685" s="373">
        <f t="shared" si="132"/>
        <v>0</v>
      </c>
      <c r="M685" s="373">
        <f t="shared" si="139"/>
        <v>0</v>
      </c>
      <c r="N685" s="561"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Row],[Payment]]=0,0,$V$2)</f>
        <v>0</v>
      </c>
      <c r="U685" s="14">
        <f>IF(tblContractForDeed[[#This Row],[Princ]]=0,0,$V$3)</f>
        <v>0</v>
      </c>
      <c r="V685" s="14">
        <f>SUM(tblContractForDeed[[#This Row],[Princ]],tblContractForDeed[[#This Row],[Int]],tblContractForDeed[[#This Row],[Ins]],tblContractForDeed[[#This Row],[Taxes]])</f>
        <v>0</v>
      </c>
      <c r="W685" s="265">
        <f>SUM(INDEX(tblContractForDeed[Princ],1):INDEX(tblContractForDeed[Princ],ROW()-ROW(tblContractForDeed[#Headers])))</f>
        <v>146500</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5" s="265">
        <f>IF(INDEX(tblContractForDeed[End Bal],ROW()-ROW(tblBuyerOutputs[#Headers]))&lt;=0,0,($O$6+IF(ROW()=ROW(tblBuyerOutputs[#Headers])+1,0,INDEX(tblBuyerOutputs[Cumul Appr],ROW()-ROW(tblBuyerOutputs[#Headers])-1)))*$O$2/12)</f>
        <v>0</v>
      </c>
      <c r="AE685" s="587">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61" t="str">
        <f t="shared" si="135"/>
        <v/>
      </c>
      <c r="B686" s="265">
        <f t="shared" si="136"/>
        <v>0</v>
      </c>
      <c r="C686" s="14">
        <f t="shared" si="133"/>
        <v>0</v>
      </c>
      <c r="D686" s="14">
        <f t="shared" si="137"/>
        <v>0</v>
      </c>
      <c r="E686" s="14">
        <f t="shared" si="134"/>
        <v>0</v>
      </c>
      <c r="K686" s="265">
        <f t="shared" si="138"/>
        <v>0</v>
      </c>
      <c r="L686" s="373">
        <f t="shared" si="132"/>
        <v>0</v>
      </c>
      <c r="M686" s="373">
        <f t="shared" si="139"/>
        <v>0</v>
      </c>
      <c r="N686" s="561"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Row],[Payment]]=0,0,$V$2)</f>
        <v>0</v>
      </c>
      <c r="U686" s="14">
        <f>IF(tblContractForDeed[[#This Row],[Princ]]=0,0,$V$3)</f>
        <v>0</v>
      </c>
      <c r="V686" s="14">
        <f>SUM(tblContractForDeed[[#This Row],[Princ]],tblContractForDeed[[#This Row],[Int]],tblContractForDeed[[#This Row],[Ins]],tblContractForDeed[[#This Row],[Taxes]])</f>
        <v>0</v>
      </c>
      <c r="W686" s="265">
        <f>SUM(INDEX(tblContractForDeed[Princ],1):INDEX(tblContractForDeed[Princ],ROW()-ROW(tblContractForDeed[#Headers])))</f>
        <v>146500</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6" s="265">
        <f>IF(INDEX(tblContractForDeed[End Bal],ROW()-ROW(tblBuyerOutputs[#Headers]))&lt;=0,0,($O$6+IF(ROW()=ROW(tblBuyerOutputs[#Headers])+1,0,INDEX(tblBuyerOutputs[Cumul Appr],ROW()-ROW(tblBuyerOutputs[#Headers])-1)))*$O$2/12)</f>
        <v>0</v>
      </c>
      <c r="AE686" s="587">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61" t="str">
        <f t="shared" si="135"/>
        <v/>
      </c>
      <c r="B687" s="265">
        <f t="shared" si="136"/>
        <v>0</v>
      </c>
      <c r="C687" s="14">
        <f t="shared" si="133"/>
        <v>0</v>
      </c>
      <c r="D687" s="14">
        <f t="shared" si="137"/>
        <v>0</v>
      </c>
      <c r="E687" s="14">
        <f t="shared" si="134"/>
        <v>0</v>
      </c>
      <c r="K687" s="265">
        <f t="shared" si="138"/>
        <v>0</v>
      </c>
      <c r="L687" s="373">
        <f t="shared" si="132"/>
        <v>0</v>
      </c>
      <c r="M687" s="373">
        <f t="shared" si="139"/>
        <v>0</v>
      </c>
      <c r="N687" s="561"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Row],[Payment]]=0,0,$V$2)</f>
        <v>0</v>
      </c>
      <c r="U687" s="14">
        <f>IF(tblContractForDeed[[#This Row],[Princ]]=0,0,$V$3)</f>
        <v>0</v>
      </c>
      <c r="V687" s="14">
        <f>SUM(tblContractForDeed[[#This Row],[Princ]],tblContractForDeed[[#This Row],[Int]],tblContractForDeed[[#This Row],[Ins]],tblContractForDeed[[#This Row],[Taxes]])</f>
        <v>0</v>
      </c>
      <c r="W687" s="265">
        <f>SUM(INDEX(tblContractForDeed[Princ],1):INDEX(tblContractForDeed[Princ],ROW()-ROW(tblContractForDeed[#Headers])))</f>
        <v>146500</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7" s="265">
        <f>IF(INDEX(tblContractForDeed[End Bal],ROW()-ROW(tblBuyerOutputs[#Headers]))&lt;=0,0,($O$6+IF(ROW()=ROW(tblBuyerOutputs[#Headers])+1,0,INDEX(tblBuyerOutputs[Cumul Appr],ROW()-ROW(tblBuyerOutputs[#Headers])-1)))*$O$2/12)</f>
        <v>0</v>
      </c>
      <c r="AE687" s="587">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61" t="str">
        <f t="shared" si="135"/>
        <v/>
      </c>
      <c r="B688" s="265">
        <f t="shared" si="136"/>
        <v>0</v>
      </c>
      <c r="C688" s="14">
        <f t="shared" si="133"/>
        <v>0</v>
      </c>
      <c r="D688" s="14">
        <f t="shared" si="137"/>
        <v>0</v>
      </c>
      <c r="E688" s="14">
        <f t="shared" si="134"/>
        <v>0</v>
      </c>
      <c r="K688" s="265">
        <f t="shared" si="138"/>
        <v>0</v>
      </c>
      <c r="L688" s="373">
        <f t="shared" si="132"/>
        <v>0</v>
      </c>
      <c r="M688" s="373">
        <f t="shared" si="139"/>
        <v>0</v>
      </c>
      <c r="N688" s="561"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Row],[Payment]]=0,0,$V$2)</f>
        <v>0</v>
      </c>
      <c r="U688" s="14">
        <f>IF(tblContractForDeed[[#This Row],[Princ]]=0,0,$V$3)</f>
        <v>0</v>
      </c>
      <c r="V688" s="14">
        <f>SUM(tblContractForDeed[[#This Row],[Princ]],tblContractForDeed[[#This Row],[Int]],tblContractForDeed[[#This Row],[Ins]],tblContractForDeed[[#This Row],[Taxes]])</f>
        <v>0</v>
      </c>
      <c r="W688" s="265">
        <f>SUM(INDEX(tblContractForDeed[Princ],1):INDEX(tblContractForDeed[Princ],ROW()-ROW(tblContractForDeed[#Headers])))</f>
        <v>146500</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8" s="265">
        <f>IF(INDEX(tblContractForDeed[End Bal],ROW()-ROW(tblBuyerOutputs[#Headers]))&lt;=0,0,($O$6+IF(ROW()=ROW(tblBuyerOutputs[#Headers])+1,0,INDEX(tblBuyerOutputs[Cumul Appr],ROW()-ROW(tblBuyerOutputs[#Headers])-1)))*$O$2/12)</f>
        <v>0</v>
      </c>
      <c r="AE688" s="587">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61" t="str">
        <f t="shared" si="135"/>
        <v/>
      </c>
      <c r="B689" s="265">
        <f t="shared" si="136"/>
        <v>0</v>
      </c>
      <c r="C689" s="14">
        <f t="shared" si="133"/>
        <v>0</v>
      </c>
      <c r="D689" s="14">
        <f t="shared" si="137"/>
        <v>0</v>
      </c>
      <c r="E689" s="14">
        <f t="shared" si="134"/>
        <v>0</v>
      </c>
      <c r="K689" s="265">
        <f t="shared" si="138"/>
        <v>0</v>
      </c>
      <c r="L689" s="373">
        <f t="shared" si="132"/>
        <v>0</v>
      </c>
      <c r="M689" s="373">
        <f t="shared" si="139"/>
        <v>0</v>
      </c>
      <c r="N689" s="561"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Row],[Payment]]=0,0,$V$2)</f>
        <v>0</v>
      </c>
      <c r="U689" s="14">
        <f>IF(tblContractForDeed[[#This Row],[Princ]]=0,0,$V$3)</f>
        <v>0</v>
      </c>
      <c r="V689" s="14">
        <f>SUM(tblContractForDeed[[#This Row],[Princ]],tblContractForDeed[[#This Row],[Int]],tblContractForDeed[[#This Row],[Ins]],tblContractForDeed[[#This Row],[Taxes]])</f>
        <v>0</v>
      </c>
      <c r="W689" s="265">
        <f>SUM(INDEX(tblContractForDeed[Princ],1):INDEX(tblContractForDeed[Princ],ROW()-ROW(tblContractForDeed[#Headers])))</f>
        <v>146500</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9" s="265">
        <f>IF(INDEX(tblContractForDeed[End Bal],ROW()-ROW(tblBuyerOutputs[#Headers]))&lt;=0,0,($O$6+IF(ROW()=ROW(tblBuyerOutputs[#Headers])+1,0,INDEX(tblBuyerOutputs[Cumul Appr],ROW()-ROW(tblBuyerOutputs[#Headers])-1)))*$O$2/12)</f>
        <v>0</v>
      </c>
      <c r="AE689" s="587">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61" t="str">
        <f t="shared" si="135"/>
        <v/>
      </c>
      <c r="B690" s="265">
        <f t="shared" si="136"/>
        <v>0</v>
      </c>
      <c r="C690" s="14">
        <f t="shared" si="133"/>
        <v>0</v>
      </c>
      <c r="D690" s="14">
        <f t="shared" si="137"/>
        <v>0</v>
      </c>
      <c r="E690" s="14">
        <f t="shared" si="134"/>
        <v>0</v>
      </c>
      <c r="K690" s="265">
        <f t="shared" si="138"/>
        <v>0</v>
      </c>
      <c r="L690" s="373">
        <f t="shared" si="132"/>
        <v>0</v>
      </c>
      <c r="M690" s="373">
        <f t="shared" si="139"/>
        <v>0</v>
      </c>
      <c r="N690" s="561"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Row],[Payment]]=0,0,$V$2)</f>
        <v>0</v>
      </c>
      <c r="U690" s="14">
        <f>IF(tblContractForDeed[[#This Row],[Princ]]=0,0,$V$3)</f>
        <v>0</v>
      </c>
      <c r="V690" s="14">
        <f>SUM(tblContractForDeed[[#This Row],[Princ]],tblContractForDeed[[#This Row],[Int]],tblContractForDeed[[#This Row],[Ins]],tblContractForDeed[[#This Row],[Taxes]])</f>
        <v>0</v>
      </c>
      <c r="W690" s="265">
        <f>SUM(INDEX(tblContractForDeed[Princ],1):INDEX(tblContractForDeed[Princ],ROW()-ROW(tblContractForDeed[#Headers])))</f>
        <v>146500</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0" s="265">
        <f>IF(INDEX(tblContractForDeed[End Bal],ROW()-ROW(tblBuyerOutputs[#Headers]))&lt;=0,0,($O$6+IF(ROW()=ROW(tblBuyerOutputs[#Headers])+1,0,INDEX(tblBuyerOutputs[Cumul Appr],ROW()-ROW(tblBuyerOutputs[#Headers])-1)))*$O$2/12)</f>
        <v>0</v>
      </c>
      <c r="AE690" s="587">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62" t="str">
        <f t="shared" si="135"/>
        <v/>
      </c>
      <c r="B691" s="316">
        <f t="shared" si="136"/>
        <v>0</v>
      </c>
      <c r="C691" s="21">
        <f t="shared" si="133"/>
        <v>0</v>
      </c>
      <c r="D691" s="21">
        <f t="shared" si="137"/>
        <v>0</v>
      </c>
      <c r="E691" s="21">
        <f t="shared" si="134"/>
        <v>0</v>
      </c>
      <c r="F691" s="21"/>
      <c r="G691" s="21"/>
      <c r="H691" s="21"/>
      <c r="I691" s="316"/>
      <c r="J691" s="316"/>
      <c r="K691" s="316">
        <f t="shared" si="138"/>
        <v>0</v>
      </c>
      <c r="L691" s="374">
        <f t="shared" si="132"/>
        <v>0</v>
      </c>
      <c r="M691" s="374">
        <f t="shared" si="139"/>
        <v>0</v>
      </c>
      <c r="N691" s="562" t="str">
        <f>INDEX(tblSubjectToLoan[Date],ROW()-ROW(tblContractForDeed[#Headers]))</f>
        <v/>
      </c>
      <c r="O691" s="316">
        <f>IF(ROW()=ROW(tblContractForDeed[#Headers])+1,$O$6,IF(INDEX(tblContractForDeed[End Bal],ROW()-ROW(tblContractForDeed[#Headers])-1)&lt;0,0,INDEX(tblContractForDeed[End Bal],ROW()-ROW(tblContractForDeed[#Headers])-1)))</f>
        <v>0</v>
      </c>
      <c r="P691" s="585"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Row],[Payment]]=0,0,$V$2)</f>
        <v>0</v>
      </c>
      <c r="U691" s="21">
        <f>IF(tblContractForDeed[[#This Row],[Princ]]=0,0,$V$3)</f>
        <v>0</v>
      </c>
      <c r="V691" s="21">
        <f>SUM(tblContractForDeed[[#This Row],[Princ]],tblContractForDeed[[#This Row],[Int]],tblContractForDeed[[#This Row],[Ins]],tblContractForDeed[[#This Row],[Taxes]])</f>
        <v>0</v>
      </c>
      <c r="W691" s="316">
        <f>SUM(INDEX(tblContractForDeed[Princ],1):INDEX(tblContractForDeed[Princ],ROW()-ROW(tblContractForDeed[#Headers])))</f>
        <v>146500</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1" s="316">
        <f>IF(INDEX(tblContractForDeed[End Bal],ROW()-ROW(tblBuyerOutputs[#Headers]))&lt;=0,0,($O$6+IF(ROW()=ROW(tblBuyerOutputs[#Headers])+1,0,INDEX(tblBuyerOutputs[Cumul Appr],ROW()-ROW(tblBuyerOutputs[#Headers])-1)))*$O$2/12)</f>
        <v>0</v>
      </c>
      <c r="AE691" s="588">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61" t="str">
        <f t="shared" si="135"/>
        <v/>
      </c>
      <c r="B692" s="265">
        <f t="shared" si="136"/>
        <v>0</v>
      </c>
      <c r="C692" s="14">
        <f t="shared" si="133"/>
        <v>0</v>
      </c>
      <c r="D692" s="14">
        <f t="shared" si="137"/>
        <v>0</v>
      </c>
      <c r="E692" s="14">
        <f t="shared" si="134"/>
        <v>0</v>
      </c>
      <c r="K692" s="265">
        <f t="shared" si="138"/>
        <v>0</v>
      </c>
      <c r="L692" s="373">
        <f t="shared" ref="L692:L755" si="140">IF(MOD(M692,12)=0,M692/12,L691)</f>
        <v>0</v>
      </c>
      <c r="M692" s="373">
        <f t="shared" si="139"/>
        <v>0</v>
      </c>
      <c r="N692" s="561"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Row],[Payment]]=0,0,$V$2)</f>
        <v>0</v>
      </c>
      <c r="U692" s="14">
        <f>IF(tblContractForDeed[[#This Row],[Princ]]=0,0,$V$3)</f>
        <v>0</v>
      </c>
      <c r="V692" s="14">
        <f>SUM(tblContractForDeed[[#This Row],[Princ]],tblContractForDeed[[#This Row],[Int]],tblContractForDeed[[#This Row],[Ins]],tblContractForDeed[[#This Row],[Taxes]])</f>
        <v>0</v>
      </c>
      <c r="W692" s="265">
        <f>SUM(INDEX(tblContractForDeed[Princ],1):INDEX(tblContractForDeed[Princ],ROW()-ROW(tblContractForDeed[#Headers])))</f>
        <v>146500</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2" s="265">
        <f>IF(INDEX(tblContractForDeed[End Bal],ROW()-ROW(tblBuyerOutputs[#Headers]))&lt;=0,0,($O$6+IF(ROW()=ROW(tblBuyerOutputs[#Headers])+1,0,INDEX(tblBuyerOutputs[Cumul Appr],ROW()-ROW(tblBuyerOutputs[#Headers])-1)))*$O$2/12)</f>
        <v>0</v>
      </c>
      <c r="AE692" s="587">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61" t="str">
        <f t="shared" si="135"/>
        <v/>
      </c>
      <c r="B693" s="265">
        <f t="shared" si="136"/>
        <v>0</v>
      </c>
      <c r="C693" s="14">
        <f t="shared" si="133"/>
        <v>0</v>
      </c>
      <c r="D693" s="14">
        <f t="shared" si="137"/>
        <v>0</v>
      </c>
      <c r="E693" s="14">
        <f t="shared" si="134"/>
        <v>0</v>
      </c>
      <c r="K693" s="265">
        <f t="shared" si="138"/>
        <v>0</v>
      </c>
      <c r="L693" s="373">
        <f t="shared" si="140"/>
        <v>0</v>
      </c>
      <c r="M693" s="373">
        <f t="shared" si="139"/>
        <v>0</v>
      </c>
      <c r="N693" s="561"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Row],[Payment]]=0,0,$V$2)</f>
        <v>0</v>
      </c>
      <c r="U693" s="14">
        <f>IF(tblContractForDeed[[#This Row],[Princ]]=0,0,$V$3)</f>
        <v>0</v>
      </c>
      <c r="V693" s="14">
        <f>SUM(tblContractForDeed[[#This Row],[Princ]],tblContractForDeed[[#This Row],[Int]],tblContractForDeed[[#This Row],[Ins]],tblContractForDeed[[#This Row],[Taxes]])</f>
        <v>0</v>
      </c>
      <c r="W693" s="265">
        <f>SUM(INDEX(tblContractForDeed[Princ],1):INDEX(tblContractForDeed[Princ],ROW()-ROW(tblContractForDeed[#Headers])))</f>
        <v>146500</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3" s="265">
        <f>IF(INDEX(tblContractForDeed[End Bal],ROW()-ROW(tblBuyerOutputs[#Headers]))&lt;=0,0,($O$6+IF(ROW()=ROW(tblBuyerOutputs[#Headers])+1,0,INDEX(tblBuyerOutputs[Cumul Appr],ROW()-ROW(tblBuyerOutputs[#Headers])-1)))*$O$2/12)</f>
        <v>0</v>
      </c>
      <c r="AE693" s="587">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61" t="str">
        <f t="shared" si="135"/>
        <v/>
      </c>
      <c r="B694" s="265">
        <f t="shared" si="136"/>
        <v>0</v>
      </c>
      <c r="C694" s="14">
        <f t="shared" si="133"/>
        <v>0</v>
      </c>
      <c r="D694" s="14">
        <f t="shared" si="137"/>
        <v>0</v>
      </c>
      <c r="E694" s="14">
        <f t="shared" si="134"/>
        <v>0</v>
      </c>
      <c r="K694" s="265">
        <f t="shared" si="138"/>
        <v>0</v>
      </c>
      <c r="L694" s="373">
        <f t="shared" si="140"/>
        <v>0</v>
      </c>
      <c r="M694" s="373">
        <f t="shared" si="139"/>
        <v>0</v>
      </c>
      <c r="N694" s="561"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Row],[Payment]]=0,0,$V$2)</f>
        <v>0</v>
      </c>
      <c r="U694" s="14">
        <f>IF(tblContractForDeed[[#This Row],[Princ]]=0,0,$V$3)</f>
        <v>0</v>
      </c>
      <c r="V694" s="14">
        <f>SUM(tblContractForDeed[[#This Row],[Princ]],tblContractForDeed[[#This Row],[Int]],tblContractForDeed[[#This Row],[Ins]],tblContractForDeed[[#This Row],[Taxes]])</f>
        <v>0</v>
      </c>
      <c r="W694" s="265">
        <f>SUM(INDEX(tblContractForDeed[Princ],1):INDEX(tblContractForDeed[Princ],ROW()-ROW(tblContractForDeed[#Headers])))</f>
        <v>146500</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4" s="265">
        <f>IF(INDEX(tblContractForDeed[End Bal],ROW()-ROW(tblBuyerOutputs[#Headers]))&lt;=0,0,($O$6+IF(ROW()=ROW(tblBuyerOutputs[#Headers])+1,0,INDEX(tblBuyerOutputs[Cumul Appr],ROW()-ROW(tblBuyerOutputs[#Headers])-1)))*$O$2/12)</f>
        <v>0</v>
      </c>
      <c r="AE694" s="587">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61" t="str">
        <f t="shared" si="135"/>
        <v/>
      </c>
      <c r="B695" s="265">
        <f t="shared" si="136"/>
        <v>0</v>
      </c>
      <c r="C695" s="14">
        <f t="shared" si="133"/>
        <v>0</v>
      </c>
      <c r="D695" s="14">
        <f t="shared" si="137"/>
        <v>0</v>
      </c>
      <c r="E695" s="14">
        <f t="shared" si="134"/>
        <v>0</v>
      </c>
      <c r="K695" s="265">
        <f t="shared" si="138"/>
        <v>0</v>
      </c>
      <c r="L695" s="373">
        <f t="shared" si="140"/>
        <v>0</v>
      </c>
      <c r="M695" s="373">
        <f t="shared" si="139"/>
        <v>0</v>
      </c>
      <c r="N695" s="561"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Row],[Payment]]=0,0,$V$2)</f>
        <v>0</v>
      </c>
      <c r="U695" s="14">
        <f>IF(tblContractForDeed[[#This Row],[Princ]]=0,0,$V$3)</f>
        <v>0</v>
      </c>
      <c r="V695" s="14">
        <f>SUM(tblContractForDeed[[#This Row],[Princ]],tblContractForDeed[[#This Row],[Int]],tblContractForDeed[[#This Row],[Ins]],tblContractForDeed[[#This Row],[Taxes]])</f>
        <v>0</v>
      </c>
      <c r="W695" s="265">
        <f>SUM(INDEX(tblContractForDeed[Princ],1):INDEX(tblContractForDeed[Princ],ROW()-ROW(tblContractForDeed[#Headers])))</f>
        <v>146500</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5" s="265">
        <f>IF(INDEX(tblContractForDeed[End Bal],ROW()-ROW(tblBuyerOutputs[#Headers]))&lt;=0,0,($O$6+IF(ROW()=ROW(tblBuyerOutputs[#Headers])+1,0,INDEX(tblBuyerOutputs[Cumul Appr],ROW()-ROW(tblBuyerOutputs[#Headers])-1)))*$O$2/12)</f>
        <v>0</v>
      </c>
      <c r="AE695" s="587">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61" t="str">
        <f t="shared" si="135"/>
        <v/>
      </c>
      <c r="B696" s="265">
        <f t="shared" si="136"/>
        <v>0</v>
      </c>
      <c r="C696" s="14">
        <f t="shared" si="133"/>
        <v>0</v>
      </c>
      <c r="D696" s="14">
        <f t="shared" si="137"/>
        <v>0</v>
      </c>
      <c r="E696" s="14">
        <f t="shared" si="134"/>
        <v>0</v>
      </c>
      <c r="K696" s="265">
        <f t="shared" si="138"/>
        <v>0</v>
      </c>
      <c r="L696" s="373">
        <f t="shared" si="140"/>
        <v>0</v>
      </c>
      <c r="M696" s="373">
        <f t="shared" si="139"/>
        <v>0</v>
      </c>
      <c r="N696" s="561"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Row],[Payment]]=0,0,$V$2)</f>
        <v>0</v>
      </c>
      <c r="U696" s="14">
        <f>IF(tblContractForDeed[[#This Row],[Princ]]=0,0,$V$3)</f>
        <v>0</v>
      </c>
      <c r="V696" s="14">
        <f>SUM(tblContractForDeed[[#This Row],[Princ]],tblContractForDeed[[#This Row],[Int]],tblContractForDeed[[#This Row],[Ins]],tblContractForDeed[[#This Row],[Taxes]])</f>
        <v>0</v>
      </c>
      <c r="W696" s="265">
        <f>SUM(INDEX(tblContractForDeed[Princ],1):INDEX(tblContractForDeed[Princ],ROW()-ROW(tblContractForDeed[#Headers])))</f>
        <v>146500</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6" s="265">
        <f>IF(INDEX(tblContractForDeed[End Bal],ROW()-ROW(tblBuyerOutputs[#Headers]))&lt;=0,0,($O$6+IF(ROW()=ROW(tblBuyerOutputs[#Headers])+1,0,INDEX(tblBuyerOutputs[Cumul Appr],ROW()-ROW(tblBuyerOutputs[#Headers])-1)))*$O$2/12)</f>
        <v>0</v>
      </c>
      <c r="AE696" s="587">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61" t="str">
        <f t="shared" si="135"/>
        <v/>
      </c>
      <c r="B697" s="265">
        <f t="shared" si="136"/>
        <v>0</v>
      </c>
      <c r="C697" s="14">
        <f t="shared" si="133"/>
        <v>0</v>
      </c>
      <c r="D697" s="14">
        <f t="shared" si="137"/>
        <v>0</v>
      </c>
      <c r="E697" s="14">
        <f t="shared" si="134"/>
        <v>0</v>
      </c>
      <c r="K697" s="265">
        <f t="shared" si="138"/>
        <v>0</v>
      </c>
      <c r="L697" s="373">
        <f t="shared" si="140"/>
        <v>0</v>
      </c>
      <c r="M697" s="373">
        <f t="shared" si="139"/>
        <v>0</v>
      </c>
      <c r="N697" s="561"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Row],[Payment]]=0,0,$V$2)</f>
        <v>0</v>
      </c>
      <c r="U697" s="14">
        <f>IF(tblContractForDeed[[#This Row],[Princ]]=0,0,$V$3)</f>
        <v>0</v>
      </c>
      <c r="V697" s="14">
        <f>SUM(tblContractForDeed[[#This Row],[Princ]],tblContractForDeed[[#This Row],[Int]],tblContractForDeed[[#This Row],[Ins]],tblContractForDeed[[#This Row],[Taxes]])</f>
        <v>0</v>
      </c>
      <c r="W697" s="265">
        <f>SUM(INDEX(tblContractForDeed[Princ],1):INDEX(tblContractForDeed[Princ],ROW()-ROW(tblContractForDeed[#Headers])))</f>
        <v>146500</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7" s="265">
        <f>IF(INDEX(tblContractForDeed[End Bal],ROW()-ROW(tblBuyerOutputs[#Headers]))&lt;=0,0,($O$6+IF(ROW()=ROW(tblBuyerOutputs[#Headers])+1,0,INDEX(tblBuyerOutputs[Cumul Appr],ROW()-ROW(tblBuyerOutputs[#Headers])-1)))*$O$2/12)</f>
        <v>0</v>
      </c>
      <c r="AE697" s="587">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61" t="str">
        <f t="shared" si="135"/>
        <v/>
      </c>
      <c r="B698" s="265">
        <f t="shared" si="136"/>
        <v>0</v>
      </c>
      <c r="C698" s="14">
        <f t="shared" si="133"/>
        <v>0</v>
      </c>
      <c r="D698" s="14">
        <f t="shared" si="137"/>
        <v>0</v>
      </c>
      <c r="E698" s="14">
        <f t="shared" si="134"/>
        <v>0</v>
      </c>
      <c r="K698" s="265">
        <f t="shared" si="138"/>
        <v>0</v>
      </c>
      <c r="L698" s="373">
        <f t="shared" si="140"/>
        <v>0</v>
      </c>
      <c r="M698" s="373">
        <f t="shared" si="139"/>
        <v>0</v>
      </c>
      <c r="N698" s="561"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Row],[Payment]]=0,0,$V$2)</f>
        <v>0</v>
      </c>
      <c r="U698" s="14">
        <f>IF(tblContractForDeed[[#This Row],[Princ]]=0,0,$V$3)</f>
        <v>0</v>
      </c>
      <c r="V698" s="14">
        <f>SUM(tblContractForDeed[[#This Row],[Princ]],tblContractForDeed[[#This Row],[Int]],tblContractForDeed[[#This Row],[Ins]],tblContractForDeed[[#This Row],[Taxes]])</f>
        <v>0</v>
      </c>
      <c r="W698" s="265">
        <f>SUM(INDEX(tblContractForDeed[Princ],1):INDEX(tblContractForDeed[Princ],ROW()-ROW(tblContractForDeed[#Headers])))</f>
        <v>146500</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8" s="265">
        <f>IF(INDEX(tblContractForDeed[End Bal],ROW()-ROW(tblBuyerOutputs[#Headers]))&lt;=0,0,($O$6+IF(ROW()=ROW(tblBuyerOutputs[#Headers])+1,0,INDEX(tblBuyerOutputs[Cumul Appr],ROW()-ROW(tblBuyerOutputs[#Headers])-1)))*$O$2/12)</f>
        <v>0</v>
      </c>
      <c r="AE698" s="587">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61" t="str">
        <f t="shared" si="135"/>
        <v/>
      </c>
      <c r="B699" s="265">
        <f t="shared" si="136"/>
        <v>0</v>
      </c>
      <c r="C699" s="14">
        <f t="shared" si="133"/>
        <v>0</v>
      </c>
      <c r="D699" s="14">
        <f t="shared" si="137"/>
        <v>0</v>
      </c>
      <c r="E699" s="14">
        <f t="shared" si="134"/>
        <v>0</v>
      </c>
      <c r="K699" s="265">
        <f t="shared" si="138"/>
        <v>0</v>
      </c>
      <c r="L699" s="373">
        <f t="shared" si="140"/>
        <v>0</v>
      </c>
      <c r="M699" s="373">
        <f t="shared" si="139"/>
        <v>0</v>
      </c>
      <c r="N699" s="561"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Row],[Payment]]=0,0,$V$2)</f>
        <v>0</v>
      </c>
      <c r="U699" s="14">
        <f>IF(tblContractForDeed[[#This Row],[Princ]]=0,0,$V$3)</f>
        <v>0</v>
      </c>
      <c r="V699" s="14">
        <f>SUM(tblContractForDeed[[#This Row],[Princ]],tblContractForDeed[[#This Row],[Int]],tblContractForDeed[[#This Row],[Ins]],tblContractForDeed[[#This Row],[Taxes]])</f>
        <v>0</v>
      </c>
      <c r="W699" s="265">
        <f>SUM(INDEX(tblContractForDeed[Princ],1):INDEX(tblContractForDeed[Princ],ROW()-ROW(tblContractForDeed[#Headers])))</f>
        <v>146500</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9" s="265">
        <f>IF(INDEX(tblContractForDeed[End Bal],ROW()-ROW(tblBuyerOutputs[#Headers]))&lt;=0,0,($O$6+IF(ROW()=ROW(tblBuyerOutputs[#Headers])+1,0,INDEX(tblBuyerOutputs[Cumul Appr],ROW()-ROW(tblBuyerOutputs[#Headers])-1)))*$O$2/12)</f>
        <v>0</v>
      </c>
      <c r="AE699" s="587">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61" t="str">
        <f t="shared" si="135"/>
        <v/>
      </c>
      <c r="B700" s="265">
        <f t="shared" si="136"/>
        <v>0</v>
      </c>
      <c r="C700" s="14">
        <f t="shared" si="133"/>
        <v>0</v>
      </c>
      <c r="D700" s="14">
        <f t="shared" si="137"/>
        <v>0</v>
      </c>
      <c r="E700" s="14">
        <f t="shared" si="134"/>
        <v>0</v>
      </c>
      <c r="K700" s="265">
        <f t="shared" si="138"/>
        <v>0</v>
      </c>
      <c r="L700" s="373">
        <f t="shared" si="140"/>
        <v>0</v>
      </c>
      <c r="M700" s="373">
        <f t="shared" si="139"/>
        <v>0</v>
      </c>
      <c r="N700" s="561"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Row],[Payment]]=0,0,$V$2)</f>
        <v>0</v>
      </c>
      <c r="U700" s="14">
        <f>IF(tblContractForDeed[[#This Row],[Princ]]=0,0,$V$3)</f>
        <v>0</v>
      </c>
      <c r="V700" s="14">
        <f>SUM(tblContractForDeed[[#This Row],[Princ]],tblContractForDeed[[#This Row],[Int]],tblContractForDeed[[#This Row],[Ins]],tblContractForDeed[[#This Row],[Taxes]])</f>
        <v>0</v>
      </c>
      <c r="W700" s="265">
        <f>SUM(INDEX(tblContractForDeed[Princ],1):INDEX(tblContractForDeed[Princ],ROW()-ROW(tblContractForDeed[#Headers])))</f>
        <v>146500</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0" s="265">
        <f>IF(INDEX(tblContractForDeed[End Bal],ROW()-ROW(tblBuyerOutputs[#Headers]))&lt;=0,0,($O$6+IF(ROW()=ROW(tblBuyerOutputs[#Headers])+1,0,INDEX(tblBuyerOutputs[Cumul Appr],ROW()-ROW(tblBuyerOutputs[#Headers])-1)))*$O$2/12)</f>
        <v>0</v>
      </c>
      <c r="AE700" s="587">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61" t="str">
        <f t="shared" si="135"/>
        <v/>
      </c>
      <c r="B701" s="265">
        <f t="shared" si="136"/>
        <v>0</v>
      </c>
      <c r="C701" s="14">
        <f t="shared" si="133"/>
        <v>0</v>
      </c>
      <c r="D701" s="14">
        <f t="shared" si="137"/>
        <v>0</v>
      </c>
      <c r="E701" s="14">
        <f t="shared" si="134"/>
        <v>0</v>
      </c>
      <c r="K701" s="265">
        <f t="shared" si="138"/>
        <v>0</v>
      </c>
      <c r="L701" s="373">
        <f t="shared" si="140"/>
        <v>0</v>
      </c>
      <c r="M701" s="373">
        <f t="shared" si="139"/>
        <v>0</v>
      </c>
      <c r="N701" s="561"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Row],[Payment]]=0,0,$V$2)</f>
        <v>0</v>
      </c>
      <c r="U701" s="14">
        <f>IF(tblContractForDeed[[#This Row],[Princ]]=0,0,$V$3)</f>
        <v>0</v>
      </c>
      <c r="V701" s="14">
        <f>SUM(tblContractForDeed[[#This Row],[Princ]],tblContractForDeed[[#This Row],[Int]],tblContractForDeed[[#This Row],[Ins]],tblContractForDeed[[#This Row],[Taxes]])</f>
        <v>0</v>
      </c>
      <c r="W701" s="265">
        <f>SUM(INDEX(tblContractForDeed[Princ],1):INDEX(tblContractForDeed[Princ],ROW()-ROW(tblContractForDeed[#Headers])))</f>
        <v>146500</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1" s="265">
        <f>IF(INDEX(tblContractForDeed[End Bal],ROW()-ROW(tblBuyerOutputs[#Headers]))&lt;=0,0,($O$6+IF(ROW()=ROW(tblBuyerOutputs[#Headers])+1,0,INDEX(tblBuyerOutputs[Cumul Appr],ROW()-ROW(tblBuyerOutputs[#Headers])-1)))*$O$2/12)</f>
        <v>0</v>
      </c>
      <c r="AE701" s="587">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61" t="str">
        <f t="shared" si="135"/>
        <v/>
      </c>
      <c r="B702" s="265">
        <f t="shared" si="136"/>
        <v>0</v>
      </c>
      <c r="C702" s="14">
        <f t="shared" si="133"/>
        <v>0</v>
      </c>
      <c r="D702" s="14">
        <f t="shared" si="137"/>
        <v>0</v>
      </c>
      <c r="E702" s="14">
        <f t="shared" si="134"/>
        <v>0</v>
      </c>
      <c r="K702" s="265">
        <f t="shared" si="138"/>
        <v>0</v>
      </c>
      <c r="L702" s="373">
        <f t="shared" si="140"/>
        <v>0</v>
      </c>
      <c r="M702" s="373">
        <f t="shared" si="139"/>
        <v>0</v>
      </c>
      <c r="N702" s="561"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Row],[Payment]]=0,0,$V$2)</f>
        <v>0</v>
      </c>
      <c r="U702" s="14">
        <f>IF(tblContractForDeed[[#This Row],[Princ]]=0,0,$V$3)</f>
        <v>0</v>
      </c>
      <c r="V702" s="14">
        <f>SUM(tblContractForDeed[[#This Row],[Princ]],tblContractForDeed[[#This Row],[Int]],tblContractForDeed[[#This Row],[Ins]],tblContractForDeed[[#This Row],[Taxes]])</f>
        <v>0</v>
      </c>
      <c r="W702" s="265">
        <f>SUM(INDEX(tblContractForDeed[Princ],1):INDEX(tblContractForDeed[Princ],ROW()-ROW(tblContractForDeed[#Headers])))</f>
        <v>146500</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2" s="265">
        <f>IF(INDEX(tblContractForDeed[End Bal],ROW()-ROW(tblBuyerOutputs[#Headers]))&lt;=0,0,($O$6+IF(ROW()=ROW(tblBuyerOutputs[#Headers])+1,0,INDEX(tblBuyerOutputs[Cumul Appr],ROW()-ROW(tblBuyerOutputs[#Headers])-1)))*$O$2/12)</f>
        <v>0</v>
      </c>
      <c r="AE702" s="587">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62" t="str">
        <f t="shared" si="135"/>
        <v/>
      </c>
      <c r="B703" s="316">
        <f t="shared" si="136"/>
        <v>0</v>
      </c>
      <c r="C703" s="21">
        <f t="shared" si="133"/>
        <v>0</v>
      </c>
      <c r="D703" s="21">
        <f t="shared" si="137"/>
        <v>0</v>
      </c>
      <c r="E703" s="21">
        <f t="shared" si="134"/>
        <v>0</v>
      </c>
      <c r="F703" s="21"/>
      <c r="G703" s="21"/>
      <c r="H703" s="21"/>
      <c r="I703" s="316"/>
      <c r="J703" s="316"/>
      <c r="K703" s="316">
        <f t="shared" si="138"/>
        <v>0</v>
      </c>
      <c r="L703" s="374">
        <f t="shared" si="140"/>
        <v>0</v>
      </c>
      <c r="M703" s="374">
        <f t="shared" si="139"/>
        <v>0</v>
      </c>
      <c r="N703" s="562" t="str">
        <f>INDEX(tblSubjectToLoan[Date],ROW()-ROW(tblContractForDeed[#Headers]))</f>
        <v/>
      </c>
      <c r="O703" s="316">
        <f>IF(ROW()=ROW(tblContractForDeed[#Headers])+1,$O$6,IF(INDEX(tblContractForDeed[End Bal],ROW()-ROW(tblContractForDeed[#Headers])-1)&lt;0,0,INDEX(tblContractForDeed[End Bal],ROW()-ROW(tblContractForDeed[#Headers])-1)))</f>
        <v>0</v>
      </c>
      <c r="P703" s="585"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Row],[Payment]]=0,0,$V$2)</f>
        <v>0</v>
      </c>
      <c r="U703" s="21">
        <f>IF(tblContractForDeed[[#This Row],[Princ]]=0,0,$V$3)</f>
        <v>0</v>
      </c>
      <c r="V703" s="21">
        <f>SUM(tblContractForDeed[[#This Row],[Princ]],tblContractForDeed[[#This Row],[Int]],tblContractForDeed[[#This Row],[Ins]],tblContractForDeed[[#This Row],[Taxes]])</f>
        <v>0</v>
      </c>
      <c r="W703" s="316">
        <f>SUM(INDEX(tblContractForDeed[Princ],1):INDEX(tblContractForDeed[Princ],ROW()-ROW(tblContractForDeed[#Headers])))</f>
        <v>146500</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3" s="316">
        <f>IF(INDEX(tblContractForDeed[End Bal],ROW()-ROW(tblBuyerOutputs[#Headers]))&lt;=0,0,($O$6+IF(ROW()=ROW(tblBuyerOutputs[#Headers])+1,0,INDEX(tblBuyerOutputs[Cumul Appr],ROW()-ROW(tblBuyerOutputs[#Headers])-1)))*$O$2/12)</f>
        <v>0</v>
      </c>
      <c r="AE703" s="588">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61" t="str">
        <f t="shared" si="135"/>
        <v/>
      </c>
      <c r="B704" s="265">
        <f t="shared" si="136"/>
        <v>0</v>
      </c>
      <c r="C704" s="14">
        <f t="shared" si="133"/>
        <v>0</v>
      </c>
      <c r="D704" s="14">
        <f t="shared" si="137"/>
        <v>0</v>
      </c>
      <c r="E704" s="14">
        <f t="shared" si="134"/>
        <v>0</v>
      </c>
      <c r="K704" s="265">
        <f t="shared" si="138"/>
        <v>0</v>
      </c>
      <c r="L704" s="373">
        <f t="shared" si="140"/>
        <v>0</v>
      </c>
      <c r="M704" s="373">
        <f t="shared" si="139"/>
        <v>0</v>
      </c>
      <c r="N704" s="561"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Row],[Payment]]=0,0,$V$2)</f>
        <v>0</v>
      </c>
      <c r="U704" s="14">
        <f>IF(tblContractForDeed[[#This Row],[Princ]]=0,0,$V$3)</f>
        <v>0</v>
      </c>
      <c r="V704" s="14">
        <f>SUM(tblContractForDeed[[#This Row],[Princ]],tblContractForDeed[[#This Row],[Int]],tblContractForDeed[[#This Row],[Ins]],tblContractForDeed[[#This Row],[Taxes]])</f>
        <v>0</v>
      </c>
      <c r="W704" s="265">
        <f>SUM(INDEX(tblContractForDeed[Princ],1):INDEX(tblContractForDeed[Princ],ROW()-ROW(tblContractForDeed[#Headers])))</f>
        <v>146500</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4" s="265">
        <f>IF(INDEX(tblContractForDeed[End Bal],ROW()-ROW(tblBuyerOutputs[#Headers]))&lt;=0,0,($O$6+IF(ROW()=ROW(tblBuyerOutputs[#Headers])+1,0,INDEX(tblBuyerOutputs[Cumul Appr],ROW()-ROW(tblBuyerOutputs[#Headers])-1)))*$O$2/12)</f>
        <v>0</v>
      </c>
      <c r="AE704" s="587">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61" t="str">
        <f t="shared" si="135"/>
        <v/>
      </c>
      <c r="B705" s="265">
        <f t="shared" si="136"/>
        <v>0</v>
      </c>
      <c r="C705" s="14">
        <f t="shared" si="133"/>
        <v>0</v>
      </c>
      <c r="D705" s="14">
        <f t="shared" si="137"/>
        <v>0</v>
      </c>
      <c r="E705" s="14">
        <f t="shared" si="134"/>
        <v>0</v>
      </c>
      <c r="K705" s="265">
        <f t="shared" si="138"/>
        <v>0</v>
      </c>
      <c r="L705" s="373">
        <f t="shared" si="140"/>
        <v>0</v>
      </c>
      <c r="M705" s="373">
        <f t="shared" si="139"/>
        <v>0</v>
      </c>
      <c r="N705" s="561"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Row],[Payment]]=0,0,$V$2)</f>
        <v>0</v>
      </c>
      <c r="U705" s="14">
        <f>IF(tblContractForDeed[[#This Row],[Princ]]=0,0,$V$3)</f>
        <v>0</v>
      </c>
      <c r="V705" s="14">
        <f>SUM(tblContractForDeed[[#This Row],[Princ]],tblContractForDeed[[#This Row],[Int]],tblContractForDeed[[#This Row],[Ins]],tblContractForDeed[[#This Row],[Taxes]])</f>
        <v>0</v>
      </c>
      <c r="W705" s="265">
        <f>SUM(INDEX(tblContractForDeed[Princ],1):INDEX(tblContractForDeed[Princ],ROW()-ROW(tblContractForDeed[#Headers])))</f>
        <v>146500</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5" s="265">
        <f>IF(INDEX(tblContractForDeed[End Bal],ROW()-ROW(tblBuyerOutputs[#Headers]))&lt;=0,0,($O$6+IF(ROW()=ROW(tblBuyerOutputs[#Headers])+1,0,INDEX(tblBuyerOutputs[Cumul Appr],ROW()-ROW(tblBuyerOutputs[#Headers])-1)))*$O$2/12)</f>
        <v>0</v>
      </c>
      <c r="AE705" s="587">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61" t="str">
        <f t="shared" si="135"/>
        <v/>
      </c>
      <c r="B706" s="265">
        <f t="shared" si="136"/>
        <v>0</v>
      </c>
      <c r="C706" s="14">
        <f t="shared" si="133"/>
        <v>0</v>
      </c>
      <c r="D706" s="14">
        <f t="shared" si="137"/>
        <v>0</v>
      </c>
      <c r="E706" s="14">
        <f t="shared" si="134"/>
        <v>0</v>
      </c>
      <c r="K706" s="265">
        <f t="shared" si="138"/>
        <v>0</v>
      </c>
      <c r="L706" s="373">
        <f t="shared" si="140"/>
        <v>0</v>
      </c>
      <c r="M706" s="373">
        <f t="shared" si="139"/>
        <v>0</v>
      </c>
      <c r="N706" s="561"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Row],[Payment]]=0,0,$V$2)</f>
        <v>0</v>
      </c>
      <c r="U706" s="14">
        <f>IF(tblContractForDeed[[#This Row],[Princ]]=0,0,$V$3)</f>
        <v>0</v>
      </c>
      <c r="V706" s="14">
        <f>SUM(tblContractForDeed[[#This Row],[Princ]],tblContractForDeed[[#This Row],[Int]],tblContractForDeed[[#This Row],[Ins]],tblContractForDeed[[#This Row],[Taxes]])</f>
        <v>0</v>
      </c>
      <c r="W706" s="265">
        <f>SUM(INDEX(tblContractForDeed[Princ],1):INDEX(tblContractForDeed[Princ],ROW()-ROW(tblContractForDeed[#Headers])))</f>
        <v>146500</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6" s="265">
        <f>IF(INDEX(tblContractForDeed[End Bal],ROW()-ROW(tblBuyerOutputs[#Headers]))&lt;=0,0,($O$6+IF(ROW()=ROW(tblBuyerOutputs[#Headers])+1,0,INDEX(tblBuyerOutputs[Cumul Appr],ROW()-ROW(tblBuyerOutputs[#Headers])-1)))*$O$2/12)</f>
        <v>0</v>
      </c>
      <c r="AE706" s="587">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61" t="str">
        <f t="shared" si="135"/>
        <v/>
      </c>
      <c r="B707" s="265">
        <f t="shared" si="136"/>
        <v>0</v>
      </c>
      <c r="C707" s="14">
        <f t="shared" si="133"/>
        <v>0</v>
      </c>
      <c r="D707" s="14">
        <f t="shared" si="137"/>
        <v>0</v>
      </c>
      <c r="E707" s="14">
        <f t="shared" si="134"/>
        <v>0</v>
      </c>
      <c r="K707" s="265">
        <f t="shared" si="138"/>
        <v>0</v>
      </c>
      <c r="L707" s="373">
        <f t="shared" si="140"/>
        <v>0</v>
      </c>
      <c r="M707" s="373">
        <f t="shared" si="139"/>
        <v>0</v>
      </c>
      <c r="N707" s="561"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Row],[Payment]]=0,0,$V$2)</f>
        <v>0</v>
      </c>
      <c r="U707" s="14">
        <f>IF(tblContractForDeed[[#This Row],[Princ]]=0,0,$V$3)</f>
        <v>0</v>
      </c>
      <c r="V707" s="14">
        <f>SUM(tblContractForDeed[[#This Row],[Princ]],tblContractForDeed[[#This Row],[Int]],tblContractForDeed[[#This Row],[Ins]],tblContractForDeed[[#This Row],[Taxes]])</f>
        <v>0</v>
      </c>
      <c r="W707" s="265">
        <f>SUM(INDEX(tblContractForDeed[Princ],1):INDEX(tblContractForDeed[Princ],ROW()-ROW(tblContractForDeed[#Headers])))</f>
        <v>146500</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7" s="265">
        <f>IF(INDEX(tblContractForDeed[End Bal],ROW()-ROW(tblBuyerOutputs[#Headers]))&lt;=0,0,($O$6+IF(ROW()=ROW(tblBuyerOutputs[#Headers])+1,0,INDEX(tblBuyerOutputs[Cumul Appr],ROW()-ROW(tblBuyerOutputs[#Headers])-1)))*$O$2/12)</f>
        <v>0</v>
      </c>
      <c r="AE707" s="587">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61" t="str">
        <f t="shared" si="135"/>
        <v/>
      </c>
      <c r="B708" s="265">
        <f t="shared" si="136"/>
        <v>0</v>
      </c>
      <c r="C708" s="14">
        <f t="shared" si="133"/>
        <v>0</v>
      </c>
      <c r="D708" s="14">
        <f t="shared" si="137"/>
        <v>0</v>
      </c>
      <c r="E708" s="14">
        <f t="shared" si="134"/>
        <v>0</v>
      </c>
      <c r="K708" s="265">
        <f t="shared" si="138"/>
        <v>0</v>
      </c>
      <c r="L708" s="373">
        <f t="shared" si="140"/>
        <v>0</v>
      </c>
      <c r="M708" s="373">
        <f t="shared" si="139"/>
        <v>0</v>
      </c>
      <c r="N708" s="561"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Row],[Payment]]=0,0,$V$2)</f>
        <v>0</v>
      </c>
      <c r="U708" s="14">
        <f>IF(tblContractForDeed[[#This Row],[Princ]]=0,0,$V$3)</f>
        <v>0</v>
      </c>
      <c r="V708" s="14">
        <f>SUM(tblContractForDeed[[#This Row],[Princ]],tblContractForDeed[[#This Row],[Int]],tblContractForDeed[[#This Row],[Ins]],tblContractForDeed[[#This Row],[Taxes]])</f>
        <v>0</v>
      </c>
      <c r="W708" s="265">
        <f>SUM(INDEX(tblContractForDeed[Princ],1):INDEX(tblContractForDeed[Princ],ROW()-ROW(tblContractForDeed[#Headers])))</f>
        <v>146500</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8" s="265">
        <f>IF(INDEX(tblContractForDeed[End Bal],ROW()-ROW(tblBuyerOutputs[#Headers]))&lt;=0,0,($O$6+IF(ROW()=ROW(tblBuyerOutputs[#Headers])+1,0,INDEX(tblBuyerOutputs[Cumul Appr],ROW()-ROW(tblBuyerOutputs[#Headers])-1)))*$O$2/12)</f>
        <v>0</v>
      </c>
      <c r="AE708" s="587">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61" t="str">
        <f t="shared" si="135"/>
        <v/>
      </c>
      <c r="B709" s="265">
        <f t="shared" si="136"/>
        <v>0</v>
      </c>
      <c r="C709" s="14">
        <f t="shared" si="133"/>
        <v>0</v>
      </c>
      <c r="D709" s="14">
        <f t="shared" si="137"/>
        <v>0</v>
      </c>
      <c r="E709" s="14">
        <f t="shared" si="134"/>
        <v>0</v>
      </c>
      <c r="K709" s="265">
        <f t="shared" si="138"/>
        <v>0</v>
      </c>
      <c r="L709" s="373">
        <f t="shared" si="140"/>
        <v>0</v>
      </c>
      <c r="M709" s="373">
        <f t="shared" si="139"/>
        <v>0</v>
      </c>
      <c r="N709" s="561"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Row],[Payment]]=0,0,$V$2)</f>
        <v>0</v>
      </c>
      <c r="U709" s="14">
        <f>IF(tblContractForDeed[[#This Row],[Princ]]=0,0,$V$3)</f>
        <v>0</v>
      </c>
      <c r="V709" s="14">
        <f>SUM(tblContractForDeed[[#This Row],[Princ]],tblContractForDeed[[#This Row],[Int]],tblContractForDeed[[#This Row],[Ins]],tblContractForDeed[[#This Row],[Taxes]])</f>
        <v>0</v>
      </c>
      <c r="W709" s="265">
        <f>SUM(INDEX(tblContractForDeed[Princ],1):INDEX(tblContractForDeed[Princ],ROW()-ROW(tblContractForDeed[#Headers])))</f>
        <v>146500</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9" s="265">
        <f>IF(INDEX(tblContractForDeed[End Bal],ROW()-ROW(tblBuyerOutputs[#Headers]))&lt;=0,0,($O$6+IF(ROW()=ROW(tblBuyerOutputs[#Headers])+1,0,INDEX(tblBuyerOutputs[Cumul Appr],ROW()-ROW(tblBuyerOutputs[#Headers])-1)))*$O$2/12)</f>
        <v>0</v>
      </c>
      <c r="AE709" s="587">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61" t="str">
        <f t="shared" si="135"/>
        <v/>
      </c>
      <c r="B710" s="265">
        <f t="shared" si="136"/>
        <v>0</v>
      </c>
      <c r="C710" s="14">
        <f t="shared" si="133"/>
        <v>0</v>
      </c>
      <c r="D710" s="14">
        <f t="shared" si="137"/>
        <v>0</v>
      </c>
      <c r="E710" s="14">
        <f t="shared" si="134"/>
        <v>0</v>
      </c>
      <c r="K710" s="265">
        <f t="shared" si="138"/>
        <v>0</v>
      </c>
      <c r="L710" s="373">
        <f t="shared" si="140"/>
        <v>0</v>
      </c>
      <c r="M710" s="373">
        <f t="shared" si="139"/>
        <v>0</v>
      </c>
      <c r="N710" s="561"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Row],[Payment]]=0,0,$V$2)</f>
        <v>0</v>
      </c>
      <c r="U710" s="14">
        <f>IF(tblContractForDeed[[#This Row],[Princ]]=0,0,$V$3)</f>
        <v>0</v>
      </c>
      <c r="V710" s="14">
        <f>SUM(tblContractForDeed[[#This Row],[Princ]],tblContractForDeed[[#This Row],[Int]],tblContractForDeed[[#This Row],[Ins]],tblContractForDeed[[#This Row],[Taxes]])</f>
        <v>0</v>
      </c>
      <c r="W710" s="265">
        <f>SUM(INDEX(tblContractForDeed[Princ],1):INDEX(tblContractForDeed[Princ],ROW()-ROW(tblContractForDeed[#Headers])))</f>
        <v>146500</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0" s="265">
        <f>IF(INDEX(tblContractForDeed[End Bal],ROW()-ROW(tblBuyerOutputs[#Headers]))&lt;=0,0,($O$6+IF(ROW()=ROW(tblBuyerOutputs[#Headers])+1,0,INDEX(tblBuyerOutputs[Cumul Appr],ROW()-ROW(tblBuyerOutputs[#Headers])-1)))*$O$2/12)</f>
        <v>0</v>
      </c>
      <c r="AE710" s="587">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61" t="str">
        <f t="shared" si="135"/>
        <v/>
      </c>
      <c r="B711" s="265">
        <f t="shared" si="136"/>
        <v>0</v>
      </c>
      <c r="C711" s="14">
        <f t="shared" si="133"/>
        <v>0</v>
      </c>
      <c r="D711" s="14">
        <f t="shared" si="137"/>
        <v>0</v>
      </c>
      <c r="E711" s="14">
        <f t="shared" si="134"/>
        <v>0</v>
      </c>
      <c r="K711" s="265">
        <f t="shared" si="138"/>
        <v>0</v>
      </c>
      <c r="L711" s="373">
        <f t="shared" si="140"/>
        <v>0</v>
      </c>
      <c r="M711" s="373">
        <f t="shared" si="139"/>
        <v>0</v>
      </c>
      <c r="N711" s="561"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Row],[Payment]]=0,0,$V$2)</f>
        <v>0</v>
      </c>
      <c r="U711" s="14">
        <f>IF(tblContractForDeed[[#This Row],[Princ]]=0,0,$V$3)</f>
        <v>0</v>
      </c>
      <c r="V711" s="14">
        <f>SUM(tblContractForDeed[[#This Row],[Princ]],tblContractForDeed[[#This Row],[Int]],tblContractForDeed[[#This Row],[Ins]],tblContractForDeed[[#This Row],[Taxes]])</f>
        <v>0</v>
      </c>
      <c r="W711" s="265">
        <f>SUM(INDEX(tblContractForDeed[Princ],1):INDEX(tblContractForDeed[Princ],ROW()-ROW(tblContractForDeed[#Headers])))</f>
        <v>146500</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1" s="265">
        <f>IF(INDEX(tblContractForDeed[End Bal],ROW()-ROW(tblBuyerOutputs[#Headers]))&lt;=0,0,($O$6+IF(ROW()=ROW(tblBuyerOutputs[#Headers])+1,0,INDEX(tblBuyerOutputs[Cumul Appr],ROW()-ROW(tblBuyerOutputs[#Headers])-1)))*$O$2/12)</f>
        <v>0</v>
      </c>
      <c r="AE711" s="587">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61" t="str">
        <f t="shared" si="135"/>
        <v/>
      </c>
      <c r="B712" s="265">
        <f t="shared" si="136"/>
        <v>0</v>
      </c>
      <c r="C712" s="14">
        <f t="shared" si="133"/>
        <v>0</v>
      </c>
      <c r="D712" s="14">
        <f t="shared" si="137"/>
        <v>0</v>
      </c>
      <c r="E712" s="14">
        <f t="shared" si="134"/>
        <v>0</v>
      </c>
      <c r="K712" s="265">
        <f t="shared" si="138"/>
        <v>0</v>
      </c>
      <c r="L712" s="373">
        <f t="shared" si="140"/>
        <v>0</v>
      </c>
      <c r="M712" s="373">
        <f t="shared" si="139"/>
        <v>0</v>
      </c>
      <c r="N712" s="561"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Row],[Payment]]=0,0,$V$2)</f>
        <v>0</v>
      </c>
      <c r="U712" s="14">
        <f>IF(tblContractForDeed[[#This Row],[Princ]]=0,0,$V$3)</f>
        <v>0</v>
      </c>
      <c r="V712" s="14">
        <f>SUM(tblContractForDeed[[#This Row],[Princ]],tblContractForDeed[[#This Row],[Int]],tblContractForDeed[[#This Row],[Ins]],tblContractForDeed[[#This Row],[Taxes]])</f>
        <v>0</v>
      </c>
      <c r="W712" s="265">
        <f>SUM(INDEX(tblContractForDeed[Princ],1):INDEX(tblContractForDeed[Princ],ROW()-ROW(tblContractForDeed[#Headers])))</f>
        <v>146500</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2" s="265">
        <f>IF(INDEX(tblContractForDeed[End Bal],ROW()-ROW(tblBuyerOutputs[#Headers]))&lt;=0,0,($O$6+IF(ROW()=ROW(tblBuyerOutputs[#Headers])+1,0,INDEX(tblBuyerOutputs[Cumul Appr],ROW()-ROW(tblBuyerOutputs[#Headers])-1)))*$O$2/12)</f>
        <v>0</v>
      </c>
      <c r="AE712" s="587">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61" t="str">
        <f t="shared" si="135"/>
        <v/>
      </c>
      <c r="B713" s="265">
        <f t="shared" si="136"/>
        <v>0</v>
      </c>
      <c r="C713" s="14">
        <f t="shared" si="133"/>
        <v>0</v>
      </c>
      <c r="D713" s="14">
        <f t="shared" si="137"/>
        <v>0</v>
      </c>
      <c r="E713" s="14">
        <f t="shared" si="134"/>
        <v>0</v>
      </c>
      <c r="K713" s="265">
        <f t="shared" si="138"/>
        <v>0</v>
      </c>
      <c r="L713" s="373">
        <f t="shared" si="140"/>
        <v>0</v>
      </c>
      <c r="M713" s="373">
        <f t="shared" si="139"/>
        <v>0</v>
      </c>
      <c r="N713" s="561"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Row],[Payment]]=0,0,$V$2)</f>
        <v>0</v>
      </c>
      <c r="U713" s="14">
        <f>IF(tblContractForDeed[[#This Row],[Princ]]=0,0,$V$3)</f>
        <v>0</v>
      </c>
      <c r="V713" s="14">
        <f>SUM(tblContractForDeed[[#This Row],[Princ]],tblContractForDeed[[#This Row],[Int]],tblContractForDeed[[#This Row],[Ins]],tblContractForDeed[[#This Row],[Taxes]])</f>
        <v>0</v>
      </c>
      <c r="W713" s="265">
        <f>SUM(INDEX(tblContractForDeed[Princ],1):INDEX(tblContractForDeed[Princ],ROW()-ROW(tblContractForDeed[#Headers])))</f>
        <v>146500</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3" s="265">
        <f>IF(INDEX(tblContractForDeed[End Bal],ROW()-ROW(tblBuyerOutputs[#Headers]))&lt;=0,0,($O$6+IF(ROW()=ROW(tblBuyerOutputs[#Headers])+1,0,INDEX(tblBuyerOutputs[Cumul Appr],ROW()-ROW(tblBuyerOutputs[#Headers])-1)))*$O$2/12)</f>
        <v>0</v>
      </c>
      <c r="AE713" s="587">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61" t="str">
        <f t="shared" si="135"/>
        <v/>
      </c>
      <c r="B714" s="265">
        <f t="shared" si="136"/>
        <v>0</v>
      </c>
      <c r="C714" s="14">
        <f t="shared" si="133"/>
        <v>0</v>
      </c>
      <c r="D714" s="14">
        <f t="shared" si="137"/>
        <v>0</v>
      </c>
      <c r="E714" s="14">
        <f t="shared" si="134"/>
        <v>0</v>
      </c>
      <c r="K714" s="265">
        <f t="shared" si="138"/>
        <v>0</v>
      </c>
      <c r="L714" s="373">
        <f t="shared" si="140"/>
        <v>0</v>
      </c>
      <c r="M714" s="373">
        <f t="shared" si="139"/>
        <v>0</v>
      </c>
      <c r="N714" s="561"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Row],[Payment]]=0,0,$V$2)</f>
        <v>0</v>
      </c>
      <c r="U714" s="14">
        <f>IF(tblContractForDeed[[#This Row],[Princ]]=0,0,$V$3)</f>
        <v>0</v>
      </c>
      <c r="V714" s="14">
        <f>SUM(tblContractForDeed[[#This Row],[Princ]],tblContractForDeed[[#This Row],[Int]],tblContractForDeed[[#This Row],[Ins]],tblContractForDeed[[#This Row],[Taxes]])</f>
        <v>0</v>
      </c>
      <c r="W714" s="265">
        <f>SUM(INDEX(tblContractForDeed[Princ],1):INDEX(tblContractForDeed[Princ],ROW()-ROW(tblContractForDeed[#Headers])))</f>
        <v>146500</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4" s="265">
        <f>IF(INDEX(tblContractForDeed[End Bal],ROW()-ROW(tblBuyerOutputs[#Headers]))&lt;=0,0,($O$6+IF(ROW()=ROW(tblBuyerOutputs[#Headers])+1,0,INDEX(tblBuyerOutputs[Cumul Appr],ROW()-ROW(tblBuyerOutputs[#Headers])-1)))*$O$2/12)</f>
        <v>0</v>
      </c>
      <c r="AE714" s="587">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62" t="str">
        <f t="shared" si="135"/>
        <v/>
      </c>
      <c r="B715" s="316">
        <f t="shared" si="136"/>
        <v>0</v>
      </c>
      <c r="C715" s="21">
        <f t="shared" si="133"/>
        <v>0</v>
      </c>
      <c r="D715" s="21">
        <f t="shared" si="137"/>
        <v>0</v>
      </c>
      <c r="E715" s="21">
        <f t="shared" si="134"/>
        <v>0</v>
      </c>
      <c r="F715" s="21"/>
      <c r="G715" s="21"/>
      <c r="H715" s="21"/>
      <c r="I715" s="316"/>
      <c r="J715" s="316"/>
      <c r="K715" s="316">
        <f t="shared" si="138"/>
        <v>0</v>
      </c>
      <c r="L715" s="374">
        <f t="shared" si="140"/>
        <v>0</v>
      </c>
      <c r="M715" s="374">
        <f t="shared" si="139"/>
        <v>0</v>
      </c>
      <c r="N715" s="562" t="str">
        <f>INDEX(tblSubjectToLoan[Date],ROW()-ROW(tblContractForDeed[#Headers]))</f>
        <v/>
      </c>
      <c r="O715" s="316">
        <f>IF(ROW()=ROW(tblContractForDeed[#Headers])+1,$O$6,IF(INDEX(tblContractForDeed[End Bal],ROW()-ROW(tblContractForDeed[#Headers])-1)&lt;0,0,INDEX(tblContractForDeed[End Bal],ROW()-ROW(tblContractForDeed[#Headers])-1)))</f>
        <v>0</v>
      </c>
      <c r="P715" s="585"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Row],[Payment]]=0,0,$V$2)</f>
        <v>0</v>
      </c>
      <c r="U715" s="21">
        <f>IF(tblContractForDeed[[#This Row],[Princ]]=0,0,$V$3)</f>
        <v>0</v>
      </c>
      <c r="V715" s="21">
        <f>SUM(tblContractForDeed[[#This Row],[Princ]],tblContractForDeed[[#This Row],[Int]],tblContractForDeed[[#This Row],[Ins]],tblContractForDeed[[#This Row],[Taxes]])</f>
        <v>0</v>
      </c>
      <c r="W715" s="316">
        <f>SUM(INDEX(tblContractForDeed[Princ],1):INDEX(tblContractForDeed[Princ],ROW()-ROW(tblContractForDeed[#Headers])))</f>
        <v>146500</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5" s="316">
        <f>IF(INDEX(tblContractForDeed[End Bal],ROW()-ROW(tblBuyerOutputs[#Headers]))&lt;=0,0,($O$6+IF(ROW()=ROW(tblBuyerOutputs[#Headers])+1,0,INDEX(tblBuyerOutputs[Cumul Appr],ROW()-ROW(tblBuyerOutputs[#Headers])-1)))*$O$2/12)</f>
        <v>0</v>
      </c>
      <c r="AE715" s="588">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61" t="str">
        <f t="shared" si="135"/>
        <v/>
      </c>
      <c r="B716" s="265">
        <f t="shared" si="136"/>
        <v>0</v>
      </c>
      <c r="C716" s="14">
        <f t="shared" si="133"/>
        <v>0</v>
      </c>
      <c r="D716" s="14">
        <f t="shared" si="137"/>
        <v>0</v>
      </c>
      <c r="E716" s="14">
        <f t="shared" si="134"/>
        <v>0</v>
      </c>
      <c r="K716" s="265">
        <f t="shared" si="138"/>
        <v>0</v>
      </c>
      <c r="L716" s="373">
        <f t="shared" si="140"/>
        <v>0</v>
      </c>
      <c r="M716" s="373">
        <f t="shared" si="139"/>
        <v>0</v>
      </c>
      <c r="N716" s="561"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Row],[Payment]]=0,0,$V$2)</f>
        <v>0</v>
      </c>
      <c r="U716" s="14">
        <f>IF(tblContractForDeed[[#This Row],[Princ]]=0,0,$V$3)</f>
        <v>0</v>
      </c>
      <c r="V716" s="14">
        <f>SUM(tblContractForDeed[[#This Row],[Princ]],tblContractForDeed[[#This Row],[Int]],tblContractForDeed[[#This Row],[Ins]],tblContractForDeed[[#This Row],[Taxes]])</f>
        <v>0</v>
      </c>
      <c r="W716" s="265">
        <f>SUM(INDEX(tblContractForDeed[Princ],1):INDEX(tblContractForDeed[Princ],ROW()-ROW(tblContractForDeed[#Headers])))</f>
        <v>146500</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6" s="265">
        <f>IF(INDEX(tblContractForDeed[End Bal],ROW()-ROW(tblBuyerOutputs[#Headers]))&lt;=0,0,($O$6+IF(ROW()=ROW(tblBuyerOutputs[#Headers])+1,0,INDEX(tblBuyerOutputs[Cumul Appr],ROW()-ROW(tblBuyerOutputs[#Headers])-1)))*$O$2/12)</f>
        <v>0</v>
      </c>
      <c r="AE716" s="587">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61" t="str">
        <f t="shared" si="135"/>
        <v/>
      </c>
      <c r="B717" s="265">
        <f t="shared" si="136"/>
        <v>0</v>
      </c>
      <c r="C717" s="14">
        <f t="shared" si="133"/>
        <v>0</v>
      </c>
      <c r="D717" s="14">
        <f t="shared" si="137"/>
        <v>0</v>
      </c>
      <c r="E717" s="14">
        <f t="shared" si="134"/>
        <v>0</v>
      </c>
      <c r="K717" s="265">
        <f t="shared" si="138"/>
        <v>0</v>
      </c>
      <c r="L717" s="373">
        <f t="shared" si="140"/>
        <v>0</v>
      </c>
      <c r="M717" s="373">
        <f t="shared" si="139"/>
        <v>0</v>
      </c>
      <c r="N717" s="561"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Row],[Payment]]=0,0,$V$2)</f>
        <v>0</v>
      </c>
      <c r="U717" s="14">
        <f>IF(tblContractForDeed[[#This Row],[Princ]]=0,0,$V$3)</f>
        <v>0</v>
      </c>
      <c r="V717" s="14">
        <f>SUM(tblContractForDeed[[#This Row],[Princ]],tblContractForDeed[[#This Row],[Int]],tblContractForDeed[[#This Row],[Ins]],tblContractForDeed[[#This Row],[Taxes]])</f>
        <v>0</v>
      </c>
      <c r="W717" s="265">
        <f>SUM(INDEX(tblContractForDeed[Princ],1):INDEX(tblContractForDeed[Princ],ROW()-ROW(tblContractForDeed[#Headers])))</f>
        <v>146500</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7" s="265">
        <f>IF(INDEX(tblContractForDeed[End Bal],ROW()-ROW(tblBuyerOutputs[#Headers]))&lt;=0,0,($O$6+IF(ROW()=ROW(tblBuyerOutputs[#Headers])+1,0,INDEX(tblBuyerOutputs[Cumul Appr],ROW()-ROW(tblBuyerOutputs[#Headers])-1)))*$O$2/12)</f>
        <v>0</v>
      </c>
      <c r="AE717" s="587">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61" t="str">
        <f t="shared" si="135"/>
        <v/>
      </c>
      <c r="B718" s="265">
        <f t="shared" si="136"/>
        <v>0</v>
      </c>
      <c r="C718" s="14">
        <f t="shared" si="133"/>
        <v>0</v>
      </c>
      <c r="D718" s="14">
        <f t="shared" si="137"/>
        <v>0</v>
      </c>
      <c r="E718" s="14">
        <f t="shared" si="134"/>
        <v>0</v>
      </c>
      <c r="K718" s="265">
        <f t="shared" si="138"/>
        <v>0</v>
      </c>
      <c r="L718" s="373">
        <f t="shared" si="140"/>
        <v>0</v>
      </c>
      <c r="M718" s="373">
        <f t="shared" si="139"/>
        <v>0</v>
      </c>
      <c r="N718" s="561"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Row],[Payment]]=0,0,$V$2)</f>
        <v>0</v>
      </c>
      <c r="U718" s="14">
        <f>IF(tblContractForDeed[[#This Row],[Princ]]=0,0,$V$3)</f>
        <v>0</v>
      </c>
      <c r="V718" s="14">
        <f>SUM(tblContractForDeed[[#This Row],[Princ]],tblContractForDeed[[#This Row],[Int]],tblContractForDeed[[#This Row],[Ins]],tblContractForDeed[[#This Row],[Taxes]])</f>
        <v>0</v>
      </c>
      <c r="W718" s="265">
        <f>SUM(INDEX(tblContractForDeed[Princ],1):INDEX(tblContractForDeed[Princ],ROW()-ROW(tblContractForDeed[#Headers])))</f>
        <v>146500</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8" s="265">
        <f>IF(INDEX(tblContractForDeed[End Bal],ROW()-ROW(tblBuyerOutputs[#Headers]))&lt;=0,0,($O$6+IF(ROW()=ROW(tblBuyerOutputs[#Headers])+1,0,INDEX(tblBuyerOutputs[Cumul Appr],ROW()-ROW(tblBuyerOutputs[#Headers])-1)))*$O$2/12)</f>
        <v>0</v>
      </c>
      <c r="AE718" s="587">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61" t="str">
        <f t="shared" si="135"/>
        <v/>
      </c>
      <c r="B719" s="265">
        <f t="shared" si="136"/>
        <v>0</v>
      </c>
      <c r="C719" s="14">
        <f t="shared" si="133"/>
        <v>0</v>
      </c>
      <c r="D719" s="14">
        <f t="shared" si="137"/>
        <v>0</v>
      </c>
      <c r="E719" s="14">
        <f t="shared" si="134"/>
        <v>0</v>
      </c>
      <c r="K719" s="265">
        <f t="shared" si="138"/>
        <v>0</v>
      </c>
      <c r="L719" s="373">
        <f t="shared" si="140"/>
        <v>0</v>
      </c>
      <c r="M719" s="373">
        <f t="shared" si="139"/>
        <v>0</v>
      </c>
      <c r="N719" s="561"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Row],[Payment]]=0,0,$V$2)</f>
        <v>0</v>
      </c>
      <c r="U719" s="14">
        <f>IF(tblContractForDeed[[#This Row],[Princ]]=0,0,$V$3)</f>
        <v>0</v>
      </c>
      <c r="V719" s="14">
        <f>SUM(tblContractForDeed[[#This Row],[Princ]],tblContractForDeed[[#This Row],[Int]],tblContractForDeed[[#This Row],[Ins]],tblContractForDeed[[#This Row],[Taxes]])</f>
        <v>0</v>
      </c>
      <c r="W719" s="265">
        <f>SUM(INDEX(tblContractForDeed[Princ],1):INDEX(tblContractForDeed[Princ],ROW()-ROW(tblContractForDeed[#Headers])))</f>
        <v>146500</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9" s="265">
        <f>IF(INDEX(tblContractForDeed[End Bal],ROW()-ROW(tblBuyerOutputs[#Headers]))&lt;=0,0,($O$6+IF(ROW()=ROW(tblBuyerOutputs[#Headers])+1,0,INDEX(tblBuyerOutputs[Cumul Appr],ROW()-ROW(tblBuyerOutputs[#Headers])-1)))*$O$2/12)</f>
        <v>0</v>
      </c>
      <c r="AE719" s="587">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61" t="str">
        <f t="shared" si="135"/>
        <v/>
      </c>
      <c r="B720" s="265">
        <f t="shared" si="136"/>
        <v>0</v>
      </c>
      <c r="C720" s="14">
        <f t="shared" si="133"/>
        <v>0</v>
      </c>
      <c r="D720" s="14">
        <f t="shared" si="137"/>
        <v>0</v>
      </c>
      <c r="E720" s="14">
        <f t="shared" si="134"/>
        <v>0</v>
      </c>
      <c r="K720" s="265">
        <f t="shared" si="138"/>
        <v>0</v>
      </c>
      <c r="L720" s="373">
        <f t="shared" si="140"/>
        <v>0</v>
      </c>
      <c r="M720" s="373">
        <f t="shared" si="139"/>
        <v>0</v>
      </c>
      <c r="N720" s="561"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Row],[Payment]]=0,0,$V$2)</f>
        <v>0</v>
      </c>
      <c r="U720" s="14">
        <f>IF(tblContractForDeed[[#This Row],[Princ]]=0,0,$V$3)</f>
        <v>0</v>
      </c>
      <c r="V720" s="14">
        <f>SUM(tblContractForDeed[[#This Row],[Princ]],tblContractForDeed[[#This Row],[Int]],tblContractForDeed[[#This Row],[Ins]],tblContractForDeed[[#This Row],[Taxes]])</f>
        <v>0</v>
      </c>
      <c r="W720" s="265">
        <f>SUM(INDEX(tblContractForDeed[Princ],1):INDEX(tblContractForDeed[Princ],ROW()-ROW(tblContractForDeed[#Headers])))</f>
        <v>146500</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0" s="265">
        <f>IF(INDEX(tblContractForDeed[End Bal],ROW()-ROW(tblBuyerOutputs[#Headers]))&lt;=0,0,($O$6+IF(ROW()=ROW(tblBuyerOutputs[#Headers])+1,0,INDEX(tblBuyerOutputs[Cumul Appr],ROW()-ROW(tblBuyerOutputs[#Headers])-1)))*$O$2/12)</f>
        <v>0</v>
      </c>
      <c r="AE720" s="587">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61" t="str">
        <f t="shared" si="135"/>
        <v/>
      </c>
      <c r="B721" s="265">
        <f t="shared" si="136"/>
        <v>0</v>
      </c>
      <c r="C721" s="14">
        <f t="shared" si="133"/>
        <v>0</v>
      </c>
      <c r="D721" s="14">
        <f t="shared" si="137"/>
        <v>0</v>
      </c>
      <c r="E721" s="14">
        <f t="shared" si="134"/>
        <v>0</v>
      </c>
      <c r="K721" s="265">
        <f t="shared" si="138"/>
        <v>0</v>
      </c>
      <c r="L721" s="373">
        <f t="shared" si="140"/>
        <v>0</v>
      </c>
      <c r="M721" s="373">
        <f t="shared" si="139"/>
        <v>0</v>
      </c>
      <c r="N721" s="561"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Row],[Payment]]=0,0,$V$2)</f>
        <v>0</v>
      </c>
      <c r="U721" s="14">
        <f>IF(tblContractForDeed[[#This Row],[Princ]]=0,0,$V$3)</f>
        <v>0</v>
      </c>
      <c r="V721" s="14">
        <f>SUM(tblContractForDeed[[#This Row],[Princ]],tblContractForDeed[[#This Row],[Int]],tblContractForDeed[[#This Row],[Ins]],tblContractForDeed[[#This Row],[Taxes]])</f>
        <v>0</v>
      </c>
      <c r="W721" s="265">
        <f>SUM(INDEX(tblContractForDeed[Princ],1):INDEX(tblContractForDeed[Princ],ROW()-ROW(tblContractForDeed[#Headers])))</f>
        <v>146500</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1" s="265">
        <f>IF(INDEX(tblContractForDeed[End Bal],ROW()-ROW(tblBuyerOutputs[#Headers]))&lt;=0,0,($O$6+IF(ROW()=ROW(tblBuyerOutputs[#Headers])+1,0,INDEX(tblBuyerOutputs[Cumul Appr],ROW()-ROW(tblBuyerOutputs[#Headers])-1)))*$O$2/12)</f>
        <v>0</v>
      </c>
      <c r="AE721" s="587">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61" t="str">
        <f t="shared" si="135"/>
        <v/>
      </c>
      <c r="B722" s="265">
        <f t="shared" si="136"/>
        <v>0</v>
      </c>
      <c r="C722" s="14">
        <f t="shared" si="133"/>
        <v>0</v>
      </c>
      <c r="D722" s="14">
        <f t="shared" si="137"/>
        <v>0</v>
      </c>
      <c r="E722" s="14">
        <f t="shared" si="134"/>
        <v>0</v>
      </c>
      <c r="K722" s="265">
        <f t="shared" si="138"/>
        <v>0</v>
      </c>
      <c r="L722" s="373">
        <f t="shared" si="140"/>
        <v>0</v>
      </c>
      <c r="M722" s="373">
        <f t="shared" si="139"/>
        <v>0</v>
      </c>
      <c r="N722" s="561"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Row],[Payment]]=0,0,$V$2)</f>
        <v>0</v>
      </c>
      <c r="U722" s="14">
        <f>IF(tblContractForDeed[[#This Row],[Princ]]=0,0,$V$3)</f>
        <v>0</v>
      </c>
      <c r="V722" s="14">
        <f>SUM(tblContractForDeed[[#This Row],[Princ]],tblContractForDeed[[#This Row],[Int]],tblContractForDeed[[#This Row],[Ins]],tblContractForDeed[[#This Row],[Taxes]])</f>
        <v>0</v>
      </c>
      <c r="W722" s="265">
        <f>SUM(INDEX(tblContractForDeed[Princ],1):INDEX(tblContractForDeed[Princ],ROW()-ROW(tblContractForDeed[#Headers])))</f>
        <v>146500</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2" s="265">
        <f>IF(INDEX(tblContractForDeed[End Bal],ROW()-ROW(tblBuyerOutputs[#Headers]))&lt;=0,0,($O$6+IF(ROW()=ROW(tblBuyerOutputs[#Headers])+1,0,INDEX(tblBuyerOutputs[Cumul Appr],ROW()-ROW(tblBuyerOutputs[#Headers])-1)))*$O$2/12)</f>
        <v>0</v>
      </c>
      <c r="AE722" s="587">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61" t="str">
        <f t="shared" si="135"/>
        <v/>
      </c>
      <c r="B723" s="265">
        <f t="shared" si="136"/>
        <v>0</v>
      </c>
      <c r="C723" s="14">
        <f t="shared" si="133"/>
        <v>0</v>
      </c>
      <c r="D723" s="14">
        <f t="shared" si="137"/>
        <v>0</v>
      </c>
      <c r="E723" s="14">
        <f t="shared" si="134"/>
        <v>0</v>
      </c>
      <c r="K723" s="265">
        <f t="shared" si="138"/>
        <v>0</v>
      </c>
      <c r="L723" s="373">
        <f t="shared" si="140"/>
        <v>0</v>
      </c>
      <c r="M723" s="373">
        <f t="shared" si="139"/>
        <v>0</v>
      </c>
      <c r="N723" s="561"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Row],[Payment]]=0,0,$V$2)</f>
        <v>0</v>
      </c>
      <c r="U723" s="14">
        <f>IF(tblContractForDeed[[#This Row],[Princ]]=0,0,$V$3)</f>
        <v>0</v>
      </c>
      <c r="V723" s="14">
        <f>SUM(tblContractForDeed[[#This Row],[Princ]],tblContractForDeed[[#This Row],[Int]],tblContractForDeed[[#This Row],[Ins]],tblContractForDeed[[#This Row],[Taxes]])</f>
        <v>0</v>
      </c>
      <c r="W723" s="265">
        <f>SUM(INDEX(tblContractForDeed[Princ],1):INDEX(tblContractForDeed[Princ],ROW()-ROW(tblContractForDeed[#Headers])))</f>
        <v>146500</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3" s="265">
        <f>IF(INDEX(tblContractForDeed[End Bal],ROW()-ROW(tblBuyerOutputs[#Headers]))&lt;=0,0,($O$6+IF(ROW()=ROW(tblBuyerOutputs[#Headers])+1,0,INDEX(tblBuyerOutputs[Cumul Appr],ROW()-ROW(tblBuyerOutputs[#Headers])-1)))*$O$2/12)</f>
        <v>0</v>
      </c>
      <c r="AE723" s="587">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61" t="str">
        <f t="shared" si="135"/>
        <v/>
      </c>
      <c r="B724" s="265">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65">
        <f t="shared" si="138"/>
        <v>0</v>
      </c>
      <c r="L724" s="373">
        <f t="shared" si="140"/>
        <v>0</v>
      </c>
      <c r="M724" s="373">
        <f t="shared" si="139"/>
        <v>0</v>
      </c>
      <c r="N724" s="561"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Row],[Payment]]=0,0,$V$2)</f>
        <v>0</v>
      </c>
      <c r="U724" s="14">
        <f>IF(tblContractForDeed[[#This Row],[Princ]]=0,0,$V$3)</f>
        <v>0</v>
      </c>
      <c r="V724" s="14">
        <f>SUM(tblContractForDeed[[#This Row],[Princ]],tblContractForDeed[[#This Row],[Int]],tblContractForDeed[[#This Row],[Ins]],tblContractForDeed[[#This Row],[Taxes]])</f>
        <v>0</v>
      </c>
      <c r="W724" s="265">
        <f>SUM(INDEX(tblContractForDeed[Princ],1):INDEX(tblContractForDeed[Princ],ROW()-ROW(tblContractForDeed[#Headers])))</f>
        <v>146500</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4" s="265">
        <f>IF(INDEX(tblContractForDeed[End Bal],ROW()-ROW(tblBuyerOutputs[#Headers]))&lt;=0,0,($O$6+IF(ROW()=ROW(tblBuyerOutputs[#Headers])+1,0,INDEX(tblBuyerOutputs[Cumul Appr],ROW()-ROW(tblBuyerOutputs[#Headers])-1)))*$O$2/12)</f>
        <v>0</v>
      </c>
      <c r="AE724" s="587">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61" t="str">
        <f t="shared" ref="A725:A788" si="143">IF(OR(A724="",A724&gt;=subjectMortgageEndDate),"",EDATE(A724,1))</f>
        <v/>
      </c>
      <c r="B725" s="265">
        <f t="shared" ref="B725:B788" si="144">IF(A725="",0,MAX(0,K724))</f>
        <v>0</v>
      </c>
      <c r="C725" s="14">
        <f t="shared" si="141"/>
        <v>0</v>
      </c>
      <c r="D725" s="14">
        <f t="shared" ref="D725:D788" si="145">IF(C725=0,0,MAX(0,MIN(B725,C725-E725)))</f>
        <v>0</v>
      </c>
      <c r="E725" s="14">
        <f t="shared" si="142"/>
        <v>0</v>
      </c>
      <c r="K725" s="265">
        <f t="shared" ref="K725:K788" si="146">IF(A725="",0,IF(B725&lt;=0,0,MAX(0,B725-D725)))</f>
        <v>0</v>
      </c>
      <c r="L725" s="373">
        <f t="shared" si="140"/>
        <v>0</v>
      </c>
      <c r="M725" s="373">
        <f t="shared" ref="M725:M788" si="147">IF($A725&lt;&gt;"",M724+1,0)</f>
        <v>0</v>
      </c>
      <c r="N725" s="561"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Row],[Payment]]=0,0,$V$2)</f>
        <v>0</v>
      </c>
      <c r="U725" s="14">
        <f>IF(tblContractForDeed[[#This Row],[Princ]]=0,0,$V$3)</f>
        <v>0</v>
      </c>
      <c r="V725" s="14">
        <f>SUM(tblContractForDeed[[#This Row],[Princ]],tblContractForDeed[[#This Row],[Int]],tblContractForDeed[[#This Row],[Ins]],tblContractForDeed[[#This Row],[Taxes]])</f>
        <v>0</v>
      </c>
      <c r="W725" s="265">
        <f>SUM(INDEX(tblContractForDeed[Princ],1):INDEX(tblContractForDeed[Princ],ROW()-ROW(tblContractForDeed[#Headers])))</f>
        <v>146500</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5" s="265">
        <f>IF(INDEX(tblContractForDeed[End Bal],ROW()-ROW(tblBuyerOutputs[#Headers]))&lt;=0,0,($O$6+IF(ROW()=ROW(tblBuyerOutputs[#Headers])+1,0,INDEX(tblBuyerOutputs[Cumul Appr],ROW()-ROW(tblBuyerOutputs[#Headers])-1)))*$O$2/12)</f>
        <v>0</v>
      </c>
      <c r="AE725" s="587">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61" t="str">
        <f t="shared" si="143"/>
        <v/>
      </c>
      <c r="B726" s="265">
        <f t="shared" si="144"/>
        <v>0</v>
      </c>
      <c r="C726" s="14">
        <f t="shared" si="141"/>
        <v>0</v>
      </c>
      <c r="D726" s="14">
        <f t="shared" si="145"/>
        <v>0</v>
      </c>
      <c r="E726" s="14">
        <f t="shared" si="142"/>
        <v>0</v>
      </c>
      <c r="K726" s="265">
        <f t="shared" si="146"/>
        <v>0</v>
      </c>
      <c r="L726" s="373">
        <f t="shared" si="140"/>
        <v>0</v>
      </c>
      <c r="M726" s="373">
        <f t="shared" si="147"/>
        <v>0</v>
      </c>
      <c r="N726" s="561"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Row],[Payment]]=0,0,$V$2)</f>
        <v>0</v>
      </c>
      <c r="U726" s="14">
        <f>IF(tblContractForDeed[[#This Row],[Princ]]=0,0,$V$3)</f>
        <v>0</v>
      </c>
      <c r="V726" s="14">
        <f>SUM(tblContractForDeed[[#This Row],[Princ]],tblContractForDeed[[#This Row],[Int]],tblContractForDeed[[#This Row],[Ins]],tblContractForDeed[[#This Row],[Taxes]])</f>
        <v>0</v>
      </c>
      <c r="W726" s="265">
        <f>SUM(INDEX(tblContractForDeed[Princ],1):INDEX(tblContractForDeed[Princ],ROW()-ROW(tblContractForDeed[#Headers])))</f>
        <v>146500</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6" s="265">
        <f>IF(INDEX(tblContractForDeed[End Bal],ROW()-ROW(tblBuyerOutputs[#Headers]))&lt;=0,0,($O$6+IF(ROW()=ROW(tblBuyerOutputs[#Headers])+1,0,INDEX(tblBuyerOutputs[Cumul Appr],ROW()-ROW(tblBuyerOutputs[#Headers])-1)))*$O$2/12)</f>
        <v>0</v>
      </c>
      <c r="AE726" s="587">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62" t="str">
        <f t="shared" si="143"/>
        <v/>
      </c>
      <c r="B727" s="316">
        <f t="shared" si="144"/>
        <v>0</v>
      </c>
      <c r="C727" s="21">
        <f t="shared" si="141"/>
        <v>0</v>
      </c>
      <c r="D727" s="21">
        <f t="shared" si="145"/>
        <v>0</v>
      </c>
      <c r="E727" s="21">
        <f t="shared" si="142"/>
        <v>0</v>
      </c>
      <c r="F727" s="21"/>
      <c r="G727" s="21"/>
      <c r="H727" s="21"/>
      <c r="I727" s="316"/>
      <c r="J727" s="316"/>
      <c r="K727" s="316">
        <f t="shared" si="146"/>
        <v>0</v>
      </c>
      <c r="L727" s="374">
        <f t="shared" si="140"/>
        <v>0</v>
      </c>
      <c r="M727" s="374">
        <f t="shared" si="147"/>
        <v>0</v>
      </c>
      <c r="N727" s="562" t="str">
        <f>INDEX(tblSubjectToLoan[Date],ROW()-ROW(tblContractForDeed[#Headers]))</f>
        <v/>
      </c>
      <c r="O727" s="316">
        <f>IF(ROW()=ROW(tblContractForDeed[#Headers])+1,$O$6,IF(INDEX(tblContractForDeed[End Bal],ROW()-ROW(tblContractForDeed[#Headers])-1)&lt;0,0,INDEX(tblContractForDeed[End Bal],ROW()-ROW(tblContractForDeed[#Headers])-1)))</f>
        <v>0</v>
      </c>
      <c r="P727" s="585"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Row],[Payment]]=0,0,$V$2)</f>
        <v>0</v>
      </c>
      <c r="U727" s="21">
        <f>IF(tblContractForDeed[[#This Row],[Princ]]=0,0,$V$3)</f>
        <v>0</v>
      </c>
      <c r="V727" s="21">
        <f>SUM(tblContractForDeed[[#This Row],[Princ]],tblContractForDeed[[#This Row],[Int]],tblContractForDeed[[#This Row],[Ins]],tblContractForDeed[[#This Row],[Taxes]])</f>
        <v>0</v>
      </c>
      <c r="W727" s="316">
        <f>SUM(INDEX(tblContractForDeed[Princ],1):INDEX(tblContractForDeed[Princ],ROW()-ROW(tblContractForDeed[#Headers])))</f>
        <v>146500</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7" s="316">
        <f>IF(INDEX(tblContractForDeed[End Bal],ROW()-ROW(tblBuyerOutputs[#Headers]))&lt;=0,0,($O$6+IF(ROW()=ROW(tblBuyerOutputs[#Headers])+1,0,INDEX(tblBuyerOutputs[Cumul Appr],ROW()-ROW(tblBuyerOutputs[#Headers])-1)))*$O$2/12)</f>
        <v>0</v>
      </c>
      <c r="AE727" s="588">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61" t="str">
        <f t="shared" si="143"/>
        <v/>
      </c>
      <c r="B728" s="265">
        <f t="shared" si="144"/>
        <v>0</v>
      </c>
      <c r="C728" s="14">
        <f t="shared" si="141"/>
        <v>0</v>
      </c>
      <c r="D728" s="14">
        <f t="shared" si="145"/>
        <v>0</v>
      </c>
      <c r="E728" s="14">
        <f t="shared" si="142"/>
        <v>0</v>
      </c>
      <c r="K728" s="265">
        <f t="shared" si="146"/>
        <v>0</v>
      </c>
      <c r="L728" s="373">
        <f t="shared" si="140"/>
        <v>0</v>
      </c>
      <c r="M728" s="373">
        <f t="shared" si="147"/>
        <v>0</v>
      </c>
      <c r="N728" s="561"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Row],[Payment]]=0,0,$V$2)</f>
        <v>0</v>
      </c>
      <c r="U728" s="14">
        <f>IF(tblContractForDeed[[#This Row],[Princ]]=0,0,$V$3)</f>
        <v>0</v>
      </c>
      <c r="V728" s="14">
        <f>SUM(tblContractForDeed[[#This Row],[Princ]],tblContractForDeed[[#This Row],[Int]],tblContractForDeed[[#This Row],[Ins]],tblContractForDeed[[#This Row],[Taxes]])</f>
        <v>0</v>
      </c>
      <c r="W728" s="265">
        <f>SUM(INDEX(tblContractForDeed[Princ],1):INDEX(tblContractForDeed[Princ],ROW()-ROW(tblContractForDeed[#Headers])))</f>
        <v>146500</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8" s="265">
        <f>IF(INDEX(tblContractForDeed[End Bal],ROW()-ROW(tblBuyerOutputs[#Headers]))&lt;=0,0,($O$6+IF(ROW()=ROW(tblBuyerOutputs[#Headers])+1,0,INDEX(tblBuyerOutputs[Cumul Appr],ROW()-ROW(tblBuyerOutputs[#Headers])-1)))*$O$2/12)</f>
        <v>0</v>
      </c>
      <c r="AE728" s="587">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61" t="str">
        <f t="shared" si="143"/>
        <v/>
      </c>
      <c r="B729" s="265">
        <f t="shared" si="144"/>
        <v>0</v>
      </c>
      <c r="C729" s="14">
        <f t="shared" si="141"/>
        <v>0</v>
      </c>
      <c r="D729" s="14">
        <f t="shared" si="145"/>
        <v>0</v>
      </c>
      <c r="E729" s="14">
        <f t="shared" si="142"/>
        <v>0</v>
      </c>
      <c r="K729" s="265">
        <f t="shared" si="146"/>
        <v>0</v>
      </c>
      <c r="L729" s="373">
        <f t="shared" si="140"/>
        <v>0</v>
      </c>
      <c r="M729" s="373">
        <f t="shared" si="147"/>
        <v>0</v>
      </c>
      <c r="N729" s="561"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Row],[Payment]]=0,0,$V$2)</f>
        <v>0</v>
      </c>
      <c r="U729" s="14">
        <f>IF(tblContractForDeed[[#This Row],[Princ]]=0,0,$V$3)</f>
        <v>0</v>
      </c>
      <c r="V729" s="14">
        <f>SUM(tblContractForDeed[[#This Row],[Princ]],tblContractForDeed[[#This Row],[Int]],tblContractForDeed[[#This Row],[Ins]],tblContractForDeed[[#This Row],[Taxes]])</f>
        <v>0</v>
      </c>
      <c r="W729" s="265">
        <f>SUM(INDEX(tblContractForDeed[Princ],1):INDEX(tblContractForDeed[Princ],ROW()-ROW(tblContractForDeed[#Headers])))</f>
        <v>146500</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9" s="265">
        <f>IF(INDEX(tblContractForDeed[End Bal],ROW()-ROW(tblBuyerOutputs[#Headers]))&lt;=0,0,($O$6+IF(ROW()=ROW(tblBuyerOutputs[#Headers])+1,0,INDEX(tblBuyerOutputs[Cumul Appr],ROW()-ROW(tblBuyerOutputs[#Headers])-1)))*$O$2/12)</f>
        <v>0</v>
      </c>
      <c r="AE729" s="587">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61" t="str">
        <f t="shared" si="143"/>
        <v/>
      </c>
      <c r="B730" s="265">
        <f t="shared" si="144"/>
        <v>0</v>
      </c>
      <c r="C730" s="14">
        <f t="shared" si="141"/>
        <v>0</v>
      </c>
      <c r="D730" s="14">
        <f t="shared" si="145"/>
        <v>0</v>
      </c>
      <c r="E730" s="14">
        <f t="shared" si="142"/>
        <v>0</v>
      </c>
      <c r="K730" s="265">
        <f t="shared" si="146"/>
        <v>0</v>
      </c>
      <c r="L730" s="373">
        <f t="shared" si="140"/>
        <v>0</v>
      </c>
      <c r="M730" s="373">
        <f t="shared" si="147"/>
        <v>0</v>
      </c>
      <c r="N730" s="561"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Row],[Payment]]=0,0,$V$2)</f>
        <v>0</v>
      </c>
      <c r="U730" s="14">
        <f>IF(tblContractForDeed[[#This Row],[Princ]]=0,0,$V$3)</f>
        <v>0</v>
      </c>
      <c r="V730" s="14">
        <f>SUM(tblContractForDeed[[#This Row],[Princ]],tblContractForDeed[[#This Row],[Int]],tblContractForDeed[[#This Row],[Ins]],tblContractForDeed[[#This Row],[Taxes]])</f>
        <v>0</v>
      </c>
      <c r="W730" s="265">
        <f>SUM(INDEX(tblContractForDeed[Princ],1):INDEX(tblContractForDeed[Princ],ROW()-ROW(tblContractForDeed[#Headers])))</f>
        <v>146500</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0" s="265">
        <f>IF(INDEX(tblContractForDeed[End Bal],ROW()-ROW(tblBuyerOutputs[#Headers]))&lt;=0,0,($O$6+IF(ROW()=ROW(tblBuyerOutputs[#Headers])+1,0,INDEX(tblBuyerOutputs[Cumul Appr],ROW()-ROW(tblBuyerOutputs[#Headers])-1)))*$O$2/12)</f>
        <v>0</v>
      </c>
      <c r="AE730" s="587">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61" t="str">
        <f t="shared" si="143"/>
        <v/>
      </c>
      <c r="B731" s="265">
        <f t="shared" si="144"/>
        <v>0</v>
      </c>
      <c r="C731" s="14">
        <f t="shared" si="141"/>
        <v>0</v>
      </c>
      <c r="D731" s="14">
        <f t="shared" si="145"/>
        <v>0</v>
      </c>
      <c r="E731" s="14">
        <f t="shared" si="142"/>
        <v>0</v>
      </c>
      <c r="K731" s="265">
        <f t="shared" si="146"/>
        <v>0</v>
      </c>
      <c r="L731" s="373">
        <f t="shared" si="140"/>
        <v>0</v>
      </c>
      <c r="M731" s="373">
        <f t="shared" si="147"/>
        <v>0</v>
      </c>
      <c r="N731" s="561"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Row],[Payment]]=0,0,$V$2)</f>
        <v>0</v>
      </c>
      <c r="U731" s="14">
        <f>IF(tblContractForDeed[[#This Row],[Princ]]=0,0,$V$3)</f>
        <v>0</v>
      </c>
      <c r="V731" s="14">
        <f>SUM(tblContractForDeed[[#This Row],[Princ]],tblContractForDeed[[#This Row],[Int]],tblContractForDeed[[#This Row],[Ins]],tblContractForDeed[[#This Row],[Taxes]])</f>
        <v>0</v>
      </c>
      <c r="W731" s="265">
        <f>SUM(INDEX(tblContractForDeed[Princ],1):INDEX(tblContractForDeed[Princ],ROW()-ROW(tblContractForDeed[#Headers])))</f>
        <v>146500</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1" s="265">
        <f>IF(INDEX(tblContractForDeed[End Bal],ROW()-ROW(tblBuyerOutputs[#Headers]))&lt;=0,0,($O$6+IF(ROW()=ROW(tblBuyerOutputs[#Headers])+1,0,INDEX(tblBuyerOutputs[Cumul Appr],ROW()-ROW(tblBuyerOutputs[#Headers])-1)))*$O$2/12)</f>
        <v>0</v>
      </c>
      <c r="AE731" s="587">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61" t="str">
        <f t="shared" si="143"/>
        <v/>
      </c>
      <c r="B732" s="265">
        <f t="shared" si="144"/>
        <v>0</v>
      </c>
      <c r="C732" s="14">
        <f t="shared" si="141"/>
        <v>0</v>
      </c>
      <c r="D732" s="14">
        <f t="shared" si="145"/>
        <v>0</v>
      </c>
      <c r="E732" s="14">
        <f t="shared" si="142"/>
        <v>0</v>
      </c>
      <c r="K732" s="265">
        <f t="shared" si="146"/>
        <v>0</v>
      </c>
      <c r="L732" s="373">
        <f t="shared" si="140"/>
        <v>0</v>
      </c>
      <c r="M732" s="373">
        <f t="shared" si="147"/>
        <v>0</v>
      </c>
      <c r="N732" s="561"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Row],[Payment]]=0,0,$V$2)</f>
        <v>0</v>
      </c>
      <c r="U732" s="14">
        <f>IF(tblContractForDeed[[#This Row],[Princ]]=0,0,$V$3)</f>
        <v>0</v>
      </c>
      <c r="V732" s="14">
        <f>SUM(tblContractForDeed[[#This Row],[Princ]],tblContractForDeed[[#This Row],[Int]],tblContractForDeed[[#This Row],[Ins]],tblContractForDeed[[#This Row],[Taxes]])</f>
        <v>0</v>
      </c>
      <c r="W732" s="265">
        <f>SUM(INDEX(tblContractForDeed[Princ],1):INDEX(tblContractForDeed[Princ],ROW()-ROW(tblContractForDeed[#Headers])))</f>
        <v>146500</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2" s="265">
        <f>IF(INDEX(tblContractForDeed[End Bal],ROW()-ROW(tblBuyerOutputs[#Headers]))&lt;=0,0,($O$6+IF(ROW()=ROW(tblBuyerOutputs[#Headers])+1,0,INDEX(tblBuyerOutputs[Cumul Appr],ROW()-ROW(tblBuyerOutputs[#Headers])-1)))*$O$2/12)</f>
        <v>0</v>
      </c>
      <c r="AE732" s="587">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61" t="str">
        <f t="shared" si="143"/>
        <v/>
      </c>
      <c r="B733" s="265">
        <f t="shared" si="144"/>
        <v>0</v>
      </c>
      <c r="C733" s="14">
        <f t="shared" si="141"/>
        <v>0</v>
      </c>
      <c r="D733" s="14">
        <f t="shared" si="145"/>
        <v>0</v>
      </c>
      <c r="E733" s="14">
        <f t="shared" si="142"/>
        <v>0</v>
      </c>
      <c r="K733" s="265">
        <f t="shared" si="146"/>
        <v>0</v>
      </c>
      <c r="L733" s="373">
        <f t="shared" si="140"/>
        <v>0</v>
      </c>
      <c r="M733" s="373">
        <f t="shared" si="147"/>
        <v>0</v>
      </c>
      <c r="N733" s="561"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Row],[Payment]]=0,0,$V$2)</f>
        <v>0</v>
      </c>
      <c r="U733" s="14">
        <f>IF(tblContractForDeed[[#This Row],[Princ]]=0,0,$V$3)</f>
        <v>0</v>
      </c>
      <c r="V733" s="14">
        <f>SUM(tblContractForDeed[[#This Row],[Princ]],tblContractForDeed[[#This Row],[Int]],tblContractForDeed[[#This Row],[Ins]],tblContractForDeed[[#This Row],[Taxes]])</f>
        <v>0</v>
      </c>
      <c r="W733" s="265">
        <f>SUM(INDEX(tblContractForDeed[Princ],1):INDEX(tblContractForDeed[Princ],ROW()-ROW(tblContractForDeed[#Headers])))</f>
        <v>146500</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3" s="265">
        <f>IF(INDEX(tblContractForDeed[End Bal],ROW()-ROW(tblBuyerOutputs[#Headers]))&lt;=0,0,($O$6+IF(ROW()=ROW(tblBuyerOutputs[#Headers])+1,0,INDEX(tblBuyerOutputs[Cumul Appr],ROW()-ROW(tblBuyerOutputs[#Headers])-1)))*$O$2/12)</f>
        <v>0</v>
      </c>
      <c r="AE733" s="587">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61" t="str">
        <f t="shared" si="143"/>
        <v/>
      </c>
      <c r="B734" s="265">
        <f t="shared" si="144"/>
        <v>0</v>
      </c>
      <c r="C734" s="14">
        <f t="shared" si="141"/>
        <v>0</v>
      </c>
      <c r="D734" s="14">
        <f t="shared" si="145"/>
        <v>0</v>
      </c>
      <c r="E734" s="14">
        <f t="shared" si="142"/>
        <v>0</v>
      </c>
      <c r="K734" s="265">
        <f t="shared" si="146"/>
        <v>0</v>
      </c>
      <c r="L734" s="373">
        <f t="shared" si="140"/>
        <v>0</v>
      </c>
      <c r="M734" s="373">
        <f t="shared" si="147"/>
        <v>0</v>
      </c>
      <c r="N734" s="561"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Row],[Payment]]=0,0,$V$2)</f>
        <v>0</v>
      </c>
      <c r="U734" s="14">
        <f>IF(tblContractForDeed[[#This Row],[Princ]]=0,0,$V$3)</f>
        <v>0</v>
      </c>
      <c r="V734" s="14">
        <f>SUM(tblContractForDeed[[#This Row],[Princ]],tblContractForDeed[[#This Row],[Int]],tblContractForDeed[[#This Row],[Ins]],tblContractForDeed[[#This Row],[Taxes]])</f>
        <v>0</v>
      </c>
      <c r="W734" s="265">
        <f>SUM(INDEX(tblContractForDeed[Princ],1):INDEX(tblContractForDeed[Princ],ROW()-ROW(tblContractForDeed[#Headers])))</f>
        <v>146500</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4" s="265">
        <f>IF(INDEX(tblContractForDeed[End Bal],ROW()-ROW(tblBuyerOutputs[#Headers]))&lt;=0,0,($O$6+IF(ROW()=ROW(tblBuyerOutputs[#Headers])+1,0,INDEX(tblBuyerOutputs[Cumul Appr],ROW()-ROW(tblBuyerOutputs[#Headers])-1)))*$O$2/12)</f>
        <v>0</v>
      </c>
      <c r="AE734" s="587">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61" t="str">
        <f t="shared" si="143"/>
        <v/>
      </c>
      <c r="B735" s="265">
        <f t="shared" si="144"/>
        <v>0</v>
      </c>
      <c r="C735" s="14">
        <f t="shared" si="141"/>
        <v>0</v>
      </c>
      <c r="D735" s="14">
        <f t="shared" si="145"/>
        <v>0</v>
      </c>
      <c r="E735" s="14">
        <f t="shared" si="142"/>
        <v>0</v>
      </c>
      <c r="K735" s="265">
        <f t="shared" si="146"/>
        <v>0</v>
      </c>
      <c r="L735" s="373">
        <f t="shared" si="140"/>
        <v>0</v>
      </c>
      <c r="M735" s="373">
        <f t="shared" si="147"/>
        <v>0</v>
      </c>
      <c r="N735" s="561"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Row],[Payment]]=0,0,$V$2)</f>
        <v>0</v>
      </c>
      <c r="U735" s="14">
        <f>IF(tblContractForDeed[[#This Row],[Princ]]=0,0,$V$3)</f>
        <v>0</v>
      </c>
      <c r="V735" s="14">
        <f>SUM(tblContractForDeed[[#This Row],[Princ]],tblContractForDeed[[#This Row],[Int]],tblContractForDeed[[#This Row],[Ins]],tblContractForDeed[[#This Row],[Taxes]])</f>
        <v>0</v>
      </c>
      <c r="W735" s="265">
        <f>SUM(INDEX(tblContractForDeed[Princ],1):INDEX(tblContractForDeed[Princ],ROW()-ROW(tblContractForDeed[#Headers])))</f>
        <v>146500</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5" s="265">
        <f>IF(INDEX(tblContractForDeed[End Bal],ROW()-ROW(tblBuyerOutputs[#Headers]))&lt;=0,0,($O$6+IF(ROW()=ROW(tblBuyerOutputs[#Headers])+1,0,INDEX(tblBuyerOutputs[Cumul Appr],ROW()-ROW(tblBuyerOutputs[#Headers])-1)))*$O$2/12)</f>
        <v>0</v>
      </c>
      <c r="AE735" s="587">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61" t="str">
        <f t="shared" si="143"/>
        <v/>
      </c>
      <c r="B736" s="265">
        <f t="shared" si="144"/>
        <v>0</v>
      </c>
      <c r="C736" s="14">
        <f t="shared" si="141"/>
        <v>0</v>
      </c>
      <c r="D736" s="14">
        <f t="shared" si="145"/>
        <v>0</v>
      </c>
      <c r="E736" s="14">
        <f t="shared" si="142"/>
        <v>0</v>
      </c>
      <c r="K736" s="265">
        <f t="shared" si="146"/>
        <v>0</v>
      </c>
      <c r="L736" s="373">
        <f t="shared" si="140"/>
        <v>0</v>
      </c>
      <c r="M736" s="373">
        <f t="shared" si="147"/>
        <v>0</v>
      </c>
      <c r="N736" s="561"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Row],[Payment]]=0,0,$V$2)</f>
        <v>0</v>
      </c>
      <c r="U736" s="14">
        <f>IF(tblContractForDeed[[#This Row],[Princ]]=0,0,$V$3)</f>
        <v>0</v>
      </c>
      <c r="V736" s="14">
        <f>SUM(tblContractForDeed[[#This Row],[Princ]],tblContractForDeed[[#This Row],[Int]],tblContractForDeed[[#This Row],[Ins]],tblContractForDeed[[#This Row],[Taxes]])</f>
        <v>0</v>
      </c>
      <c r="W736" s="265">
        <f>SUM(INDEX(tblContractForDeed[Princ],1):INDEX(tblContractForDeed[Princ],ROW()-ROW(tblContractForDeed[#Headers])))</f>
        <v>146500</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6" s="265">
        <f>IF(INDEX(tblContractForDeed[End Bal],ROW()-ROW(tblBuyerOutputs[#Headers]))&lt;=0,0,($O$6+IF(ROW()=ROW(tblBuyerOutputs[#Headers])+1,0,INDEX(tblBuyerOutputs[Cumul Appr],ROW()-ROW(tblBuyerOutputs[#Headers])-1)))*$O$2/12)</f>
        <v>0</v>
      </c>
      <c r="AE736" s="587">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61" t="str">
        <f t="shared" si="143"/>
        <v/>
      </c>
      <c r="B737" s="265">
        <f t="shared" si="144"/>
        <v>0</v>
      </c>
      <c r="C737" s="14">
        <f t="shared" si="141"/>
        <v>0</v>
      </c>
      <c r="D737" s="14">
        <f t="shared" si="145"/>
        <v>0</v>
      </c>
      <c r="E737" s="14">
        <f t="shared" si="142"/>
        <v>0</v>
      </c>
      <c r="K737" s="265">
        <f t="shared" si="146"/>
        <v>0</v>
      </c>
      <c r="L737" s="373">
        <f t="shared" si="140"/>
        <v>0</v>
      </c>
      <c r="M737" s="373">
        <f t="shared" si="147"/>
        <v>0</v>
      </c>
      <c r="N737" s="561"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Row],[Payment]]=0,0,$V$2)</f>
        <v>0</v>
      </c>
      <c r="U737" s="14">
        <f>IF(tblContractForDeed[[#This Row],[Princ]]=0,0,$V$3)</f>
        <v>0</v>
      </c>
      <c r="V737" s="14">
        <f>SUM(tblContractForDeed[[#This Row],[Princ]],tblContractForDeed[[#This Row],[Int]],tblContractForDeed[[#This Row],[Ins]],tblContractForDeed[[#This Row],[Taxes]])</f>
        <v>0</v>
      </c>
      <c r="W737" s="265">
        <f>SUM(INDEX(tblContractForDeed[Princ],1):INDEX(tblContractForDeed[Princ],ROW()-ROW(tblContractForDeed[#Headers])))</f>
        <v>146500</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7" s="265">
        <f>IF(INDEX(tblContractForDeed[End Bal],ROW()-ROW(tblBuyerOutputs[#Headers]))&lt;=0,0,($O$6+IF(ROW()=ROW(tblBuyerOutputs[#Headers])+1,0,INDEX(tblBuyerOutputs[Cumul Appr],ROW()-ROW(tblBuyerOutputs[#Headers])-1)))*$O$2/12)</f>
        <v>0</v>
      </c>
      <c r="AE737" s="587">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61" t="str">
        <f t="shared" si="143"/>
        <v/>
      </c>
      <c r="B738" s="265">
        <f t="shared" si="144"/>
        <v>0</v>
      </c>
      <c r="C738" s="14">
        <f t="shared" si="141"/>
        <v>0</v>
      </c>
      <c r="D738" s="14">
        <f t="shared" si="145"/>
        <v>0</v>
      </c>
      <c r="E738" s="14">
        <f t="shared" si="142"/>
        <v>0</v>
      </c>
      <c r="K738" s="265">
        <f t="shared" si="146"/>
        <v>0</v>
      </c>
      <c r="L738" s="373">
        <f t="shared" si="140"/>
        <v>0</v>
      </c>
      <c r="M738" s="373">
        <f t="shared" si="147"/>
        <v>0</v>
      </c>
      <c r="N738" s="561"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Row],[Payment]]=0,0,$V$2)</f>
        <v>0</v>
      </c>
      <c r="U738" s="14">
        <f>IF(tblContractForDeed[[#This Row],[Princ]]=0,0,$V$3)</f>
        <v>0</v>
      </c>
      <c r="V738" s="14">
        <f>SUM(tblContractForDeed[[#This Row],[Princ]],tblContractForDeed[[#This Row],[Int]],tblContractForDeed[[#This Row],[Ins]],tblContractForDeed[[#This Row],[Taxes]])</f>
        <v>0</v>
      </c>
      <c r="W738" s="265">
        <f>SUM(INDEX(tblContractForDeed[Princ],1):INDEX(tblContractForDeed[Princ],ROW()-ROW(tblContractForDeed[#Headers])))</f>
        <v>146500</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8" s="265">
        <f>IF(INDEX(tblContractForDeed[End Bal],ROW()-ROW(tblBuyerOutputs[#Headers]))&lt;=0,0,($O$6+IF(ROW()=ROW(tblBuyerOutputs[#Headers])+1,0,INDEX(tblBuyerOutputs[Cumul Appr],ROW()-ROW(tblBuyerOutputs[#Headers])-1)))*$O$2/12)</f>
        <v>0</v>
      </c>
      <c r="AE738" s="587">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62" t="str">
        <f t="shared" si="143"/>
        <v/>
      </c>
      <c r="B739" s="316">
        <f t="shared" si="144"/>
        <v>0</v>
      </c>
      <c r="C739" s="21">
        <f t="shared" si="141"/>
        <v>0</v>
      </c>
      <c r="D739" s="21">
        <f t="shared" si="145"/>
        <v>0</v>
      </c>
      <c r="E739" s="21">
        <f t="shared" si="142"/>
        <v>0</v>
      </c>
      <c r="F739" s="21"/>
      <c r="G739" s="21"/>
      <c r="H739" s="21"/>
      <c r="I739" s="316"/>
      <c r="J739" s="316"/>
      <c r="K739" s="316">
        <f t="shared" si="146"/>
        <v>0</v>
      </c>
      <c r="L739" s="374">
        <f t="shared" si="140"/>
        <v>0</v>
      </c>
      <c r="M739" s="374">
        <f t="shared" si="147"/>
        <v>0</v>
      </c>
      <c r="N739" s="562" t="str">
        <f>INDEX(tblSubjectToLoan[Date],ROW()-ROW(tblContractForDeed[#Headers]))</f>
        <v/>
      </c>
      <c r="O739" s="316">
        <f>IF(ROW()=ROW(tblContractForDeed[#Headers])+1,$O$6,IF(INDEX(tblContractForDeed[End Bal],ROW()-ROW(tblContractForDeed[#Headers])-1)&lt;0,0,INDEX(tblContractForDeed[End Bal],ROW()-ROW(tblContractForDeed[#Headers])-1)))</f>
        <v>0</v>
      </c>
      <c r="P739" s="585"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Row],[Payment]]=0,0,$V$2)</f>
        <v>0</v>
      </c>
      <c r="U739" s="21">
        <f>IF(tblContractForDeed[[#This Row],[Princ]]=0,0,$V$3)</f>
        <v>0</v>
      </c>
      <c r="V739" s="21">
        <f>SUM(tblContractForDeed[[#This Row],[Princ]],tblContractForDeed[[#This Row],[Int]],tblContractForDeed[[#This Row],[Ins]],tblContractForDeed[[#This Row],[Taxes]])</f>
        <v>0</v>
      </c>
      <c r="W739" s="316">
        <f>SUM(INDEX(tblContractForDeed[Princ],1):INDEX(tblContractForDeed[Princ],ROW()-ROW(tblContractForDeed[#Headers])))</f>
        <v>146500</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9" s="316">
        <f>IF(INDEX(tblContractForDeed[End Bal],ROW()-ROW(tblBuyerOutputs[#Headers]))&lt;=0,0,($O$6+IF(ROW()=ROW(tblBuyerOutputs[#Headers])+1,0,INDEX(tblBuyerOutputs[Cumul Appr],ROW()-ROW(tblBuyerOutputs[#Headers])-1)))*$O$2/12)</f>
        <v>0</v>
      </c>
      <c r="AE739" s="588">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61" t="str">
        <f t="shared" si="143"/>
        <v/>
      </c>
      <c r="B740" s="265">
        <f t="shared" si="144"/>
        <v>0</v>
      </c>
      <c r="C740" s="14">
        <f t="shared" si="141"/>
        <v>0</v>
      </c>
      <c r="D740" s="14">
        <f t="shared" si="145"/>
        <v>0</v>
      </c>
      <c r="E740" s="14">
        <f t="shared" si="142"/>
        <v>0</v>
      </c>
      <c r="K740" s="265">
        <f t="shared" si="146"/>
        <v>0</v>
      </c>
      <c r="L740" s="373">
        <f t="shared" si="140"/>
        <v>0</v>
      </c>
      <c r="M740" s="373">
        <f t="shared" si="147"/>
        <v>0</v>
      </c>
      <c r="N740" s="561"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Row],[Payment]]=0,0,$V$2)</f>
        <v>0</v>
      </c>
      <c r="U740" s="14">
        <f>IF(tblContractForDeed[[#This Row],[Princ]]=0,0,$V$3)</f>
        <v>0</v>
      </c>
      <c r="V740" s="14">
        <f>SUM(tblContractForDeed[[#This Row],[Princ]],tblContractForDeed[[#This Row],[Int]],tblContractForDeed[[#This Row],[Ins]],tblContractForDeed[[#This Row],[Taxes]])</f>
        <v>0</v>
      </c>
      <c r="W740" s="265">
        <f>SUM(INDEX(tblContractForDeed[Princ],1):INDEX(tblContractForDeed[Princ],ROW()-ROW(tblContractForDeed[#Headers])))</f>
        <v>146500</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0" s="265">
        <f>IF(INDEX(tblContractForDeed[End Bal],ROW()-ROW(tblBuyerOutputs[#Headers]))&lt;=0,0,($O$6+IF(ROW()=ROW(tblBuyerOutputs[#Headers])+1,0,INDEX(tblBuyerOutputs[Cumul Appr],ROW()-ROW(tblBuyerOutputs[#Headers])-1)))*$O$2/12)</f>
        <v>0</v>
      </c>
      <c r="AE740" s="587">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61" t="str">
        <f t="shared" si="143"/>
        <v/>
      </c>
      <c r="B741" s="265">
        <f t="shared" si="144"/>
        <v>0</v>
      </c>
      <c r="C741" s="14">
        <f t="shared" si="141"/>
        <v>0</v>
      </c>
      <c r="D741" s="14">
        <f t="shared" si="145"/>
        <v>0</v>
      </c>
      <c r="E741" s="14">
        <f t="shared" si="142"/>
        <v>0</v>
      </c>
      <c r="K741" s="265">
        <f t="shared" si="146"/>
        <v>0</v>
      </c>
      <c r="L741" s="373">
        <f t="shared" si="140"/>
        <v>0</v>
      </c>
      <c r="M741" s="373">
        <f t="shared" si="147"/>
        <v>0</v>
      </c>
      <c r="N741" s="561"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Row],[Payment]]=0,0,$V$2)</f>
        <v>0</v>
      </c>
      <c r="U741" s="14">
        <f>IF(tblContractForDeed[[#This Row],[Princ]]=0,0,$V$3)</f>
        <v>0</v>
      </c>
      <c r="V741" s="14">
        <f>SUM(tblContractForDeed[[#This Row],[Princ]],tblContractForDeed[[#This Row],[Int]],tblContractForDeed[[#This Row],[Ins]],tblContractForDeed[[#This Row],[Taxes]])</f>
        <v>0</v>
      </c>
      <c r="W741" s="265">
        <f>SUM(INDEX(tblContractForDeed[Princ],1):INDEX(tblContractForDeed[Princ],ROW()-ROW(tblContractForDeed[#Headers])))</f>
        <v>146500</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1" s="265">
        <f>IF(INDEX(tblContractForDeed[End Bal],ROW()-ROW(tblBuyerOutputs[#Headers]))&lt;=0,0,($O$6+IF(ROW()=ROW(tblBuyerOutputs[#Headers])+1,0,INDEX(tblBuyerOutputs[Cumul Appr],ROW()-ROW(tblBuyerOutputs[#Headers])-1)))*$O$2/12)</f>
        <v>0</v>
      </c>
      <c r="AE741" s="587">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61" t="str">
        <f t="shared" si="143"/>
        <v/>
      </c>
      <c r="B742" s="265">
        <f t="shared" si="144"/>
        <v>0</v>
      </c>
      <c r="C742" s="14">
        <f t="shared" si="141"/>
        <v>0</v>
      </c>
      <c r="D742" s="14">
        <f t="shared" si="145"/>
        <v>0</v>
      </c>
      <c r="E742" s="14">
        <f t="shared" si="142"/>
        <v>0</v>
      </c>
      <c r="K742" s="265">
        <f t="shared" si="146"/>
        <v>0</v>
      </c>
      <c r="L742" s="373">
        <f t="shared" si="140"/>
        <v>0</v>
      </c>
      <c r="M742" s="373">
        <f t="shared" si="147"/>
        <v>0</v>
      </c>
      <c r="N742" s="561"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Row],[Payment]]=0,0,$V$2)</f>
        <v>0</v>
      </c>
      <c r="U742" s="14">
        <f>IF(tblContractForDeed[[#This Row],[Princ]]=0,0,$V$3)</f>
        <v>0</v>
      </c>
      <c r="V742" s="14">
        <f>SUM(tblContractForDeed[[#This Row],[Princ]],tblContractForDeed[[#This Row],[Int]],tblContractForDeed[[#This Row],[Ins]],tblContractForDeed[[#This Row],[Taxes]])</f>
        <v>0</v>
      </c>
      <c r="W742" s="265">
        <f>SUM(INDEX(tblContractForDeed[Princ],1):INDEX(tblContractForDeed[Princ],ROW()-ROW(tblContractForDeed[#Headers])))</f>
        <v>146500</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2" s="265">
        <f>IF(INDEX(tblContractForDeed[End Bal],ROW()-ROW(tblBuyerOutputs[#Headers]))&lt;=0,0,($O$6+IF(ROW()=ROW(tblBuyerOutputs[#Headers])+1,0,INDEX(tblBuyerOutputs[Cumul Appr],ROW()-ROW(tblBuyerOutputs[#Headers])-1)))*$O$2/12)</f>
        <v>0</v>
      </c>
      <c r="AE742" s="587">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61" t="str">
        <f t="shared" si="143"/>
        <v/>
      </c>
      <c r="B743" s="265">
        <f t="shared" si="144"/>
        <v>0</v>
      </c>
      <c r="C743" s="14">
        <f t="shared" si="141"/>
        <v>0</v>
      </c>
      <c r="D743" s="14">
        <f t="shared" si="145"/>
        <v>0</v>
      </c>
      <c r="E743" s="14">
        <f t="shared" si="142"/>
        <v>0</v>
      </c>
      <c r="K743" s="265">
        <f t="shared" si="146"/>
        <v>0</v>
      </c>
      <c r="L743" s="373">
        <f t="shared" si="140"/>
        <v>0</v>
      </c>
      <c r="M743" s="373">
        <f t="shared" si="147"/>
        <v>0</v>
      </c>
      <c r="N743" s="561"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Row],[Payment]]=0,0,$V$2)</f>
        <v>0</v>
      </c>
      <c r="U743" s="14">
        <f>IF(tblContractForDeed[[#This Row],[Princ]]=0,0,$V$3)</f>
        <v>0</v>
      </c>
      <c r="V743" s="14">
        <f>SUM(tblContractForDeed[[#This Row],[Princ]],tblContractForDeed[[#This Row],[Int]],tblContractForDeed[[#This Row],[Ins]],tblContractForDeed[[#This Row],[Taxes]])</f>
        <v>0</v>
      </c>
      <c r="W743" s="265">
        <f>SUM(INDEX(tblContractForDeed[Princ],1):INDEX(tblContractForDeed[Princ],ROW()-ROW(tblContractForDeed[#Headers])))</f>
        <v>146500</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3" s="265">
        <f>IF(INDEX(tblContractForDeed[End Bal],ROW()-ROW(tblBuyerOutputs[#Headers]))&lt;=0,0,($O$6+IF(ROW()=ROW(tblBuyerOutputs[#Headers])+1,0,INDEX(tblBuyerOutputs[Cumul Appr],ROW()-ROW(tblBuyerOutputs[#Headers])-1)))*$O$2/12)</f>
        <v>0</v>
      </c>
      <c r="AE743" s="587">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61" t="str">
        <f t="shared" si="143"/>
        <v/>
      </c>
      <c r="B744" s="265">
        <f t="shared" si="144"/>
        <v>0</v>
      </c>
      <c r="C744" s="14">
        <f t="shared" si="141"/>
        <v>0</v>
      </c>
      <c r="D744" s="14">
        <f t="shared" si="145"/>
        <v>0</v>
      </c>
      <c r="E744" s="14">
        <f t="shared" si="142"/>
        <v>0</v>
      </c>
      <c r="K744" s="265">
        <f t="shared" si="146"/>
        <v>0</v>
      </c>
      <c r="L744" s="373">
        <f t="shared" si="140"/>
        <v>0</v>
      </c>
      <c r="M744" s="373">
        <f t="shared" si="147"/>
        <v>0</v>
      </c>
      <c r="N744" s="561"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Row],[Payment]]=0,0,$V$2)</f>
        <v>0</v>
      </c>
      <c r="U744" s="14">
        <f>IF(tblContractForDeed[[#This Row],[Princ]]=0,0,$V$3)</f>
        <v>0</v>
      </c>
      <c r="V744" s="14">
        <f>SUM(tblContractForDeed[[#This Row],[Princ]],tblContractForDeed[[#This Row],[Int]],tblContractForDeed[[#This Row],[Ins]],tblContractForDeed[[#This Row],[Taxes]])</f>
        <v>0</v>
      </c>
      <c r="W744" s="265">
        <f>SUM(INDEX(tblContractForDeed[Princ],1):INDEX(tblContractForDeed[Princ],ROW()-ROW(tblContractForDeed[#Headers])))</f>
        <v>146500</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4" s="265">
        <f>IF(INDEX(tblContractForDeed[End Bal],ROW()-ROW(tblBuyerOutputs[#Headers]))&lt;=0,0,($O$6+IF(ROW()=ROW(tblBuyerOutputs[#Headers])+1,0,INDEX(tblBuyerOutputs[Cumul Appr],ROW()-ROW(tblBuyerOutputs[#Headers])-1)))*$O$2/12)</f>
        <v>0</v>
      </c>
      <c r="AE744" s="587">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61" t="str">
        <f t="shared" si="143"/>
        <v/>
      </c>
      <c r="B745" s="265">
        <f t="shared" si="144"/>
        <v>0</v>
      </c>
      <c r="C745" s="14">
        <f t="shared" si="141"/>
        <v>0</v>
      </c>
      <c r="D745" s="14">
        <f t="shared" si="145"/>
        <v>0</v>
      </c>
      <c r="E745" s="14">
        <f t="shared" si="142"/>
        <v>0</v>
      </c>
      <c r="K745" s="265">
        <f t="shared" si="146"/>
        <v>0</v>
      </c>
      <c r="L745" s="373">
        <f t="shared" si="140"/>
        <v>0</v>
      </c>
      <c r="M745" s="373">
        <f t="shared" si="147"/>
        <v>0</v>
      </c>
      <c r="N745" s="561"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Row],[Payment]]=0,0,$V$2)</f>
        <v>0</v>
      </c>
      <c r="U745" s="14">
        <f>IF(tblContractForDeed[[#This Row],[Princ]]=0,0,$V$3)</f>
        <v>0</v>
      </c>
      <c r="V745" s="14">
        <f>SUM(tblContractForDeed[[#This Row],[Princ]],tblContractForDeed[[#This Row],[Int]],tblContractForDeed[[#This Row],[Ins]],tblContractForDeed[[#This Row],[Taxes]])</f>
        <v>0</v>
      </c>
      <c r="W745" s="265">
        <f>SUM(INDEX(tblContractForDeed[Princ],1):INDEX(tblContractForDeed[Princ],ROW()-ROW(tblContractForDeed[#Headers])))</f>
        <v>146500</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5" s="265">
        <f>IF(INDEX(tblContractForDeed[End Bal],ROW()-ROW(tblBuyerOutputs[#Headers]))&lt;=0,0,($O$6+IF(ROW()=ROW(tblBuyerOutputs[#Headers])+1,0,INDEX(tblBuyerOutputs[Cumul Appr],ROW()-ROW(tblBuyerOutputs[#Headers])-1)))*$O$2/12)</f>
        <v>0</v>
      </c>
      <c r="AE745" s="587">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61" t="str">
        <f t="shared" si="143"/>
        <v/>
      </c>
      <c r="B746" s="265">
        <f t="shared" si="144"/>
        <v>0</v>
      </c>
      <c r="C746" s="14">
        <f t="shared" si="141"/>
        <v>0</v>
      </c>
      <c r="D746" s="14">
        <f t="shared" si="145"/>
        <v>0</v>
      </c>
      <c r="E746" s="14">
        <f t="shared" si="142"/>
        <v>0</v>
      </c>
      <c r="K746" s="265">
        <f t="shared" si="146"/>
        <v>0</v>
      </c>
      <c r="L746" s="373">
        <f t="shared" si="140"/>
        <v>0</v>
      </c>
      <c r="M746" s="373">
        <f t="shared" si="147"/>
        <v>0</v>
      </c>
      <c r="N746" s="561"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Row],[Payment]]=0,0,$V$2)</f>
        <v>0</v>
      </c>
      <c r="U746" s="14">
        <f>IF(tblContractForDeed[[#This Row],[Princ]]=0,0,$V$3)</f>
        <v>0</v>
      </c>
      <c r="V746" s="14">
        <f>SUM(tblContractForDeed[[#This Row],[Princ]],tblContractForDeed[[#This Row],[Int]],tblContractForDeed[[#This Row],[Ins]],tblContractForDeed[[#This Row],[Taxes]])</f>
        <v>0</v>
      </c>
      <c r="W746" s="265">
        <f>SUM(INDEX(tblContractForDeed[Princ],1):INDEX(tblContractForDeed[Princ],ROW()-ROW(tblContractForDeed[#Headers])))</f>
        <v>146500</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6" s="265">
        <f>IF(INDEX(tblContractForDeed[End Bal],ROW()-ROW(tblBuyerOutputs[#Headers]))&lt;=0,0,($O$6+IF(ROW()=ROW(tblBuyerOutputs[#Headers])+1,0,INDEX(tblBuyerOutputs[Cumul Appr],ROW()-ROW(tblBuyerOutputs[#Headers])-1)))*$O$2/12)</f>
        <v>0</v>
      </c>
      <c r="AE746" s="587">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61" t="str">
        <f t="shared" si="143"/>
        <v/>
      </c>
      <c r="B747" s="265">
        <f t="shared" si="144"/>
        <v>0</v>
      </c>
      <c r="C747" s="14">
        <f t="shared" si="141"/>
        <v>0</v>
      </c>
      <c r="D747" s="14">
        <f t="shared" si="145"/>
        <v>0</v>
      </c>
      <c r="E747" s="14">
        <f t="shared" si="142"/>
        <v>0</v>
      </c>
      <c r="K747" s="265">
        <f t="shared" si="146"/>
        <v>0</v>
      </c>
      <c r="L747" s="373">
        <f t="shared" si="140"/>
        <v>0</v>
      </c>
      <c r="M747" s="373">
        <f t="shared" si="147"/>
        <v>0</v>
      </c>
      <c r="N747" s="561"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Row],[Payment]]=0,0,$V$2)</f>
        <v>0</v>
      </c>
      <c r="U747" s="14">
        <f>IF(tblContractForDeed[[#This Row],[Princ]]=0,0,$V$3)</f>
        <v>0</v>
      </c>
      <c r="V747" s="14">
        <f>SUM(tblContractForDeed[[#This Row],[Princ]],tblContractForDeed[[#This Row],[Int]],tblContractForDeed[[#This Row],[Ins]],tblContractForDeed[[#This Row],[Taxes]])</f>
        <v>0</v>
      </c>
      <c r="W747" s="265">
        <f>SUM(INDEX(tblContractForDeed[Princ],1):INDEX(tblContractForDeed[Princ],ROW()-ROW(tblContractForDeed[#Headers])))</f>
        <v>146500</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7" s="265">
        <f>IF(INDEX(tblContractForDeed[End Bal],ROW()-ROW(tblBuyerOutputs[#Headers]))&lt;=0,0,($O$6+IF(ROW()=ROW(tblBuyerOutputs[#Headers])+1,0,INDEX(tblBuyerOutputs[Cumul Appr],ROW()-ROW(tblBuyerOutputs[#Headers])-1)))*$O$2/12)</f>
        <v>0</v>
      </c>
      <c r="AE747" s="587">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61" t="str">
        <f t="shared" si="143"/>
        <v/>
      </c>
      <c r="B748" s="265">
        <f t="shared" si="144"/>
        <v>0</v>
      </c>
      <c r="C748" s="14">
        <f t="shared" si="141"/>
        <v>0</v>
      </c>
      <c r="D748" s="14">
        <f t="shared" si="145"/>
        <v>0</v>
      </c>
      <c r="E748" s="14">
        <f t="shared" si="142"/>
        <v>0</v>
      </c>
      <c r="K748" s="265">
        <f t="shared" si="146"/>
        <v>0</v>
      </c>
      <c r="L748" s="373">
        <f t="shared" si="140"/>
        <v>0</v>
      </c>
      <c r="M748" s="373">
        <f t="shared" si="147"/>
        <v>0</v>
      </c>
      <c r="N748" s="561"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Row],[Payment]]=0,0,$V$2)</f>
        <v>0</v>
      </c>
      <c r="U748" s="14">
        <f>IF(tblContractForDeed[[#This Row],[Princ]]=0,0,$V$3)</f>
        <v>0</v>
      </c>
      <c r="V748" s="14">
        <f>SUM(tblContractForDeed[[#This Row],[Princ]],tblContractForDeed[[#This Row],[Int]],tblContractForDeed[[#This Row],[Ins]],tblContractForDeed[[#This Row],[Taxes]])</f>
        <v>0</v>
      </c>
      <c r="W748" s="265">
        <f>SUM(INDEX(tblContractForDeed[Princ],1):INDEX(tblContractForDeed[Princ],ROW()-ROW(tblContractForDeed[#Headers])))</f>
        <v>146500</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8" s="265">
        <f>IF(INDEX(tblContractForDeed[End Bal],ROW()-ROW(tblBuyerOutputs[#Headers]))&lt;=0,0,($O$6+IF(ROW()=ROW(tblBuyerOutputs[#Headers])+1,0,INDEX(tblBuyerOutputs[Cumul Appr],ROW()-ROW(tblBuyerOutputs[#Headers])-1)))*$O$2/12)</f>
        <v>0</v>
      </c>
      <c r="AE748" s="587">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61" t="str">
        <f t="shared" si="143"/>
        <v/>
      </c>
      <c r="B749" s="265">
        <f t="shared" si="144"/>
        <v>0</v>
      </c>
      <c r="C749" s="14">
        <f t="shared" si="141"/>
        <v>0</v>
      </c>
      <c r="D749" s="14">
        <f t="shared" si="145"/>
        <v>0</v>
      </c>
      <c r="E749" s="14">
        <f t="shared" si="142"/>
        <v>0</v>
      </c>
      <c r="K749" s="265">
        <f t="shared" si="146"/>
        <v>0</v>
      </c>
      <c r="L749" s="373">
        <f t="shared" si="140"/>
        <v>0</v>
      </c>
      <c r="M749" s="373">
        <f t="shared" si="147"/>
        <v>0</v>
      </c>
      <c r="N749" s="561"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Row],[Payment]]=0,0,$V$2)</f>
        <v>0</v>
      </c>
      <c r="U749" s="14">
        <f>IF(tblContractForDeed[[#This Row],[Princ]]=0,0,$V$3)</f>
        <v>0</v>
      </c>
      <c r="V749" s="14">
        <f>SUM(tblContractForDeed[[#This Row],[Princ]],tblContractForDeed[[#This Row],[Int]],tblContractForDeed[[#This Row],[Ins]],tblContractForDeed[[#This Row],[Taxes]])</f>
        <v>0</v>
      </c>
      <c r="W749" s="265">
        <f>SUM(INDEX(tblContractForDeed[Princ],1):INDEX(tblContractForDeed[Princ],ROW()-ROW(tblContractForDeed[#Headers])))</f>
        <v>146500</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9" s="265">
        <f>IF(INDEX(tblContractForDeed[End Bal],ROW()-ROW(tblBuyerOutputs[#Headers]))&lt;=0,0,($O$6+IF(ROW()=ROW(tblBuyerOutputs[#Headers])+1,0,INDEX(tblBuyerOutputs[Cumul Appr],ROW()-ROW(tblBuyerOutputs[#Headers])-1)))*$O$2/12)</f>
        <v>0</v>
      </c>
      <c r="AE749" s="587">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61" t="str">
        <f t="shared" si="143"/>
        <v/>
      </c>
      <c r="B750" s="265">
        <f t="shared" si="144"/>
        <v>0</v>
      </c>
      <c r="C750" s="14">
        <f t="shared" si="141"/>
        <v>0</v>
      </c>
      <c r="D750" s="14">
        <f t="shared" si="145"/>
        <v>0</v>
      </c>
      <c r="E750" s="14">
        <f t="shared" si="142"/>
        <v>0</v>
      </c>
      <c r="K750" s="265">
        <f t="shared" si="146"/>
        <v>0</v>
      </c>
      <c r="L750" s="373">
        <f t="shared" si="140"/>
        <v>0</v>
      </c>
      <c r="M750" s="373">
        <f t="shared" si="147"/>
        <v>0</v>
      </c>
      <c r="N750" s="561"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Row],[Payment]]=0,0,$V$2)</f>
        <v>0</v>
      </c>
      <c r="U750" s="14">
        <f>IF(tblContractForDeed[[#This Row],[Princ]]=0,0,$V$3)</f>
        <v>0</v>
      </c>
      <c r="V750" s="14">
        <f>SUM(tblContractForDeed[[#This Row],[Princ]],tblContractForDeed[[#This Row],[Int]],tblContractForDeed[[#This Row],[Ins]],tblContractForDeed[[#This Row],[Taxes]])</f>
        <v>0</v>
      </c>
      <c r="W750" s="265">
        <f>SUM(INDEX(tblContractForDeed[Princ],1):INDEX(tblContractForDeed[Princ],ROW()-ROW(tblContractForDeed[#Headers])))</f>
        <v>146500</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0" s="265">
        <f>IF(INDEX(tblContractForDeed[End Bal],ROW()-ROW(tblBuyerOutputs[#Headers]))&lt;=0,0,($O$6+IF(ROW()=ROW(tblBuyerOutputs[#Headers])+1,0,INDEX(tblBuyerOutputs[Cumul Appr],ROW()-ROW(tblBuyerOutputs[#Headers])-1)))*$O$2/12)</f>
        <v>0</v>
      </c>
      <c r="AE750" s="587">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62" t="str">
        <f t="shared" si="143"/>
        <v/>
      </c>
      <c r="B751" s="316">
        <f t="shared" si="144"/>
        <v>0</v>
      </c>
      <c r="C751" s="21">
        <f t="shared" si="141"/>
        <v>0</v>
      </c>
      <c r="D751" s="21">
        <f t="shared" si="145"/>
        <v>0</v>
      </c>
      <c r="E751" s="21">
        <f t="shared" si="142"/>
        <v>0</v>
      </c>
      <c r="F751" s="21"/>
      <c r="G751" s="21"/>
      <c r="H751" s="21"/>
      <c r="I751" s="316"/>
      <c r="J751" s="316"/>
      <c r="K751" s="316">
        <f t="shared" si="146"/>
        <v>0</v>
      </c>
      <c r="L751" s="374">
        <f t="shared" si="140"/>
        <v>0</v>
      </c>
      <c r="M751" s="374">
        <f t="shared" si="147"/>
        <v>0</v>
      </c>
      <c r="N751" s="562" t="str">
        <f>INDEX(tblSubjectToLoan[Date],ROW()-ROW(tblContractForDeed[#Headers]))</f>
        <v/>
      </c>
      <c r="O751" s="316">
        <f>IF(ROW()=ROW(tblContractForDeed[#Headers])+1,$O$6,IF(INDEX(tblContractForDeed[End Bal],ROW()-ROW(tblContractForDeed[#Headers])-1)&lt;0,0,INDEX(tblContractForDeed[End Bal],ROW()-ROW(tblContractForDeed[#Headers])-1)))</f>
        <v>0</v>
      </c>
      <c r="P751" s="585"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Row],[Payment]]=0,0,$V$2)</f>
        <v>0</v>
      </c>
      <c r="U751" s="21">
        <f>IF(tblContractForDeed[[#This Row],[Princ]]=0,0,$V$3)</f>
        <v>0</v>
      </c>
      <c r="V751" s="21">
        <f>SUM(tblContractForDeed[[#This Row],[Princ]],tblContractForDeed[[#This Row],[Int]],tblContractForDeed[[#This Row],[Ins]],tblContractForDeed[[#This Row],[Taxes]])</f>
        <v>0</v>
      </c>
      <c r="W751" s="316">
        <f>SUM(INDEX(tblContractForDeed[Princ],1):INDEX(tblContractForDeed[Princ],ROW()-ROW(tblContractForDeed[#Headers])))</f>
        <v>146500</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1" s="316">
        <f>IF(INDEX(tblContractForDeed[End Bal],ROW()-ROW(tblBuyerOutputs[#Headers]))&lt;=0,0,($O$6+IF(ROW()=ROW(tblBuyerOutputs[#Headers])+1,0,INDEX(tblBuyerOutputs[Cumul Appr],ROW()-ROW(tblBuyerOutputs[#Headers])-1)))*$O$2/12)</f>
        <v>0</v>
      </c>
      <c r="AE751" s="588">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61" t="str">
        <f t="shared" si="143"/>
        <v/>
      </c>
      <c r="B752" s="265">
        <f t="shared" si="144"/>
        <v>0</v>
      </c>
      <c r="C752" s="14">
        <f t="shared" si="141"/>
        <v>0</v>
      </c>
      <c r="D752" s="14">
        <f t="shared" si="145"/>
        <v>0</v>
      </c>
      <c r="E752" s="14">
        <f t="shared" si="142"/>
        <v>0</v>
      </c>
      <c r="K752" s="265">
        <f t="shared" si="146"/>
        <v>0</v>
      </c>
      <c r="L752" s="373">
        <f t="shared" si="140"/>
        <v>0</v>
      </c>
      <c r="M752" s="373">
        <f t="shared" si="147"/>
        <v>0</v>
      </c>
      <c r="N752" s="561"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Row],[Payment]]=0,0,$V$2)</f>
        <v>0</v>
      </c>
      <c r="U752" s="14">
        <f>IF(tblContractForDeed[[#This Row],[Princ]]=0,0,$V$3)</f>
        <v>0</v>
      </c>
      <c r="V752" s="14">
        <f>SUM(tblContractForDeed[[#This Row],[Princ]],tblContractForDeed[[#This Row],[Int]],tblContractForDeed[[#This Row],[Ins]],tblContractForDeed[[#This Row],[Taxes]])</f>
        <v>0</v>
      </c>
      <c r="W752" s="265">
        <f>SUM(INDEX(tblContractForDeed[Princ],1):INDEX(tblContractForDeed[Princ],ROW()-ROW(tblContractForDeed[#Headers])))</f>
        <v>146500</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2" s="265">
        <f>IF(INDEX(tblContractForDeed[End Bal],ROW()-ROW(tblBuyerOutputs[#Headers]))&lt;=0,0,($O$6+IF(ROW()=ROW(tblBuyerOutputs[#Headers])+1,0,INDEX(tblBuyerOutputs[Cumul Appr],ROW()-ROW(tblBuyerOutputs[#Headers])-1)))*$O$2/12)</f>
        <v>0</v>
      </c>
      <c r="AE752" s="587">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61" t="str">
        <f t="shared" si="143"/>
        <v/>
      </c>
      <c r="B753" s="265">
        <f t="shared" si="144"/>
        <v>0</v>
      </c>
      <c r="C753" s="14">
        <f t="shared" si="141"/>
        <v>0</v>
      </c>
      <c r="D753" s="14">
        <f t="shared" si="145"/>
        <v>0</v>
      </c>
      <c r="E753" s="14">
        <f t="shared" si="142"/>
        <v>0</v>
      </c>
      <c r="K753" s="265">
        <f t="shared" si="146"/>
        <v>0</v>
      </c>
      <c r="L753" s="373">
        <f t="shared" si="140"/>
        <v>0</v>
      </c>
      <c r="M753" s="373">
        <f t="shared" si="147"/>
        <v>0</v>
      </c>
      <c r="N753" s="561"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Row],[Payment]]=0,0,$V$2)</f>
        <v>0</v>
      </c>
      <c r="U753" s="14">
        <f>IF(tblContractForDeed[[#This Row],[Princ]]=0,0,$V$3)</f>
        <v>0</v>
      </c>
      <c r="V753" s="14">
        <f>SUM(tblContractForDeed[[#This Row],[Princ]],tblContractForDeed[[#This Row],[Int]],tblContractForDeed[[#This Row],[Ins]],tblContractForDeed[[#This Row],[Taxes]])</f>
        <v>0</v>
      </c>
      <c r="W753" s="265">
        <f>SUM(INDEX(tblContractForDeed[Princ],1):INDEX(tblContractForDeed[Princ],ROW()-ROW(tblContractForDeed[#Headers])))</f>
        <v>146500</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3" s="265">
        <f>IF(INDEX(tblContractForDeed[End Bal],ROW()-ROW(tblBuyerOutputs[#Headers]))&lt;=0,0,($O$6+IF(ROW()=ROW(tblBuyerOutputs[#Headers])+1,0,INDEX(tblBuyerOutputs[Cumul Appr],ROW()-ROW(tblBuyerOutputs[#Headers])-1)))*$O$2/12)</f>
        <v>0</v>
      </c>
      <c r="AE753" s="587">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61" t="str">
        <f t="shared" si="143"/>
        <v/>
      </c>
      <c r="B754" s="265">
        <f t="shared" si="144"/>
        <v>0</v>
      </c>
      <c r="C754" s="14">
        <f t="shared" si="141"/>
        <v>0</v>
      </c>
      <c r="D754" s="14">
        <f t="shared" si="145"/>
        <v>0</v>
      </c>
      <c r="E754" s="14">
        <f t="shared" si="142"/>
        <v>0</v>
      </c>
      <c r="K754" s="265">
        <f t="shared" si="146"/>
        <v>0</v>
      </c>
      <c r="L754" s="373">
        <f t="shared" si="140"/>
        <v>0</v>
      </c>
      <c r="M754" s="373">
        <f t="shared" si="147"/>
        <v>0</v>
      </c>
      <c r="N754" s="561"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Row],[Payment]]=0,0,$V$2)</f>
        <v>0</v>
      </c>
      <c r="U754" s="14">
        <f>IF(tblContractForDeed[[#This Row],[Princ]]=0,0,$V$3)</f>
        <v>0</v>
      </c>
      <c r="V754" s="14">
        <f>SUM(tblContractForDeed[[#This Row],[Princ]],tblContractForDeed[[#This Row],[Int]],tblContractForDeed[[#This Row],[Ins]],tblContractForDeed[[#This Row],[Taxes]])</f>
        <v>0</v>
      </c>
      <c r="W754" s="265">
        <f>SUM(INDEX(tblContractForDeed[Princ],1):INDEX(tblContractForDeed[Princ],ROW()-ROW(tblContractForDeed[#Headers])))</f>
        <v>146500</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4" s="265">
        <f>IF(INDEX(tblContractForDeed[End Bal],ROW()-ROW(tblBuyerOutputs[#Headers]))&lt;=0,0,($O$6+IF(ROW()=ROW(tblBuyerOutputs[#Headers])+1,0,INDEX(tblBuyerOutputs[Cumul Appr],ROW()-ROW(tblBuyerOutputs[#Headers])-1)))*$O$2/12)</f>
        <v>0</v>
      </c>
      <c r="AE754" s="587">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61" t="str">
        <f t="shared" si="143"/>
        <v/>
      </c>
      <c r="B755" s="265">
        <f t="shared" si="144"/>
        <v>0</v>
      </c>
      <c r="C755" s="14">
        <f t="shared" si="141"/>
        <v>0</v>
      </c>
      <c r="D755" s="14">
        <f t="shared" si="145"/>
        <v>0</v>
      </c>
      <c r="E755" s="14">
        <f t="shared" si="142"/>
        <v>0</v>
      </c>
      <c r="K755" s="265">
        <f t="shared" si="146"/>
        <v>0</v>
      </c>
      <c r="L755" s="373">
        <f t="shared" si="140"/>
        <v>0</v>
      </c>
      <c r="M755" s="373">
        <f t="shared" si="147"/>
        <v>0</v>
      </c>
      <c r="N755" s="561"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Row],[Payment]]=0,0,$V$2)</f>
        <v>0</v>
      </c>
      <c r="U755" s="14">
        <f>IF(tblContractForDeed[[#This Row],[Princ]]=0,0,$V$3)</f>
        <v>0</v>
      </c>
      <c r="V755" s="14">
        <f>SUM(tblContractForDeed[[#This Row],[Princ]],tblContractForDeed[[#This Row],[Int]],tblContractForDeed[[#This Row],[Ins]],tblContractForDeed[[#This Row],[Taxes]])</f>
        <v>0</v>
      </c>
      <c r="W755" s="265">
        <f>SUM(INDEX(tblContractForDeed[Princ],1):INDEX(tblContractForDeed[Princ],ROW()-ROW(tblContractForDeed[#Headers])))</f>
        <v>146500</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5" s="265">
        <f>IF(INDEX(tblContractForDeed[End Bal],ROW()-ROW(tblBuyerOutputs[#Headers]))&lt;=0,0,($O$6+IF(ROW()=ROW(tblBuyerOutputs[#Headers])+1,0,INDEX(tblBuyerOutputs[Cumul Appr],ROW()-ROW(tblBuyerOutputs[#Headers])-1)))*$O$2/12)</f>
        <v>0</v>
      </c>
      <c r="AE755" s="587">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61" t="str">
        <f t="shared" si="143"/>
        <v/>
      </c>
      <c r="B756" s="265">
        <f t="shared" si="144"/>
        <v>0</v>
      </c>
      <c r="C756" s="14">
        <f t="shared" si="141"/>
        <v>0</v>
      </c>
      <c r="D756" s="14">
        <f t="shared" si="145"/>
        <v>0</v>
      </c>
      <c r="E756" s="14">
        <f t="shared" si="142"/>
        <v>0</v>
      </c>
      <c r="K756" s="265">
        <f t="shared" si="146"/>
        <v>0</v>
      </c>
      <c r="L756" s="373">
        <f t="shared" ref="L756:L787" si="148">IF(MOD(M756,12)=0,M756/12,L755)</f>
        <v>0</v>
      </c>
      <c r="M756" s="373">
        <f t="shared" si="147"/>
        <v>0</v>
      </c>
      <c r="N756" s="561"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Row],[Payment]]=0,0,$V$2)</f>
        <v>0</v>
      </c>
      <c r="U756" s="14">
        <f>IF(tblContractForDeed[[#This Row],[Princ]]=0,0,$V$3)</f>
        <v>0</v>
      </c>
      <c r="V756" s="14">
        <f>SUM(tblContractForDeed[[#This Row],[Princ]],tblContractForDeed[[#This Row],[Int]],tblContractForDeed[[#This Row],[Ins]],tblContractForDeed[[#This Row],[Taxes]])</f>
        <v>0</v>
      </c>
      <c r="W756" s="265">
        <f>SUM(INDEX(tblContractForDeed[Princ],1):INDEX(tblContractForDeed[Princ],ROW()-ROW(tblContractForDeed[#Headers])))</f>
        <v>146500</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6" s="265">
        <f>IF(INDEX(tblContractForDeed[End Bal],ROW()-ROW(tblBuyerOutputs[#Headers]))&lt;=0,0,($O$6+IF(ROW()=ROW(tblBuyerOutputs[#Headers])+1,0,INDEX(tblBuyerOutputs[Cumul Appr],ROW()-ROW(tblBuyerOutputs[#Headers])-1)))*$O$2/12)</f>
        <v>0</v>
      </c>
      <c r="AE756" s="587">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61" t="str">
        <f t="shared" si="143"/>
        <v/>
      </c>
      <c r="B757" s="265">
        <f t="shared" si="144"/>
        <v>0</v>
      </c>
      <c r="C757" s="14">
        <f t="shared" si="141"/>
        <v>0</v>
      </c>
      <c r="D757" s="14">
        <f t="shared" si="145"/>
        <v>0</v>
      </c>
      <c r="E757" s="14">
        <f t="shared" si="142"/>
        <v>0</v>
      </c>
      <c r="K757" s="265">
        <f t="shared" si="146"/>
        <v>0</v>
      </c>
      <c r="L757" s="373">
        <f t="shared" si="148"/>
        <v>0</v>
      </c>
      <c r="M757" s="373">
        <f t="shared" si="147"/>
        <v>0</v>
      </c>
      <c r="N757" s="561"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Row],[Payment]]=0,0,$V$2)</f>
        <v>0</v>
      </c>
      <c r="U757" s="14">
        <f>IF(tblContractForDeed[[#This Row],[Princ]]=0,0,$V$3)</f>
        <v>0</v>
      </c>
      <c r="V757" s="14">
        <f>SUM(tblContractForDeed[[#This Row],[Princ]],tblContractForDeed[[#This Row],[Int]],tblContractForDeed[[#This Row],[Ins]],tblContractForDeed[[#This Row],[Taxes]])</f>
        <v>0</v>
      </c>
      <c r="W757" s="265">
        <f>SUM(INDEX(tblContractForDeed[Princ],1):INDEX(tblContractForDeed[Princ],ROW()-ROW(tblContractForDeed[#Headers])))</f>
        <v>146500</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7" s="265">
        <f>IF(INDEX(tblContractForDeed[End Bal],ROW()-ROW(tblBuyerOutputs[#Headers]))&lt;=0,0,($O$6+IF(ROW()=ROW(tblBuyerOutputs[#Headers])+1,0,INDEX(tblBuyerOutputs[Cumul Appr],ROW()-ROW(tblBuyerOutputs[#Headers])-1)))*$O$2/12)</f>
        <v>0</v>
      </c>
      <c r="AE757" s="587">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61" t="str">
        <f t="shared" si="143"/>
        <v/>
      </c>
      <c r="B758" s="265">
        <f t="shared" si="144"/>
        <v>0</v>
      </c>
      <c r="C758" s="14">
        <f t="shared" si="141"/>
        <v>0</v>
      </c>
      <c r="D758" s="14">
        <f t="shared" si="145"/>
        <v>0</v>
      </c>
      <c r="E758" s="14">
        <f t="shared" si="142"/>
        <v>0</v>
      </c>
      <c r="K758" s="265">
        <f t="shared" si="146"/>
        <v>0</v>
      </c>
      <c r="L758" s="373">
        <f t="shared" si="148"/>
        <v>0</v>
      </c>
      <c r="M758" s="373">
        <f t="shared" si="147"/>
        <v>0</v>
      </c>
      <c r="N758" s="561"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Row],[Payment]]=0,0,$V$2)</f>
        <v>0</v>
      </c>
      <c r="U758" s="14">
        <f>IF(tblContractForDeed[[#This Row],[Princ]]=0,0,$V$3)</f>
        <v>0</v>
      </c>
      <c r="V758" s="14">
        <f>SUM(tblContractForDeed[[#This Row],[Princ]],tblContractForDeed[[#This Row],[Int]],tblContractForDeed[[#This Row],[Ins]],tblContractForDeed[[#This Row],[Taxes]])</f>
        <v>0</v>
      </c>
      <c r="W758" s="265">
        <f>SUM(INDEX(tblContractForDeed[Princ],1):INDEX(tblContractForDeed[Princ],ROW()-ROW(tblContractForDeed[#Headers])))</f>
        <v>146500</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8" s="265">
        <f>IF(INDEX(tblContractForDeed[End Bal],ROW()-ROW(tblBuyerOutputs[#Headers]))&lt;=0,0,($O$6+IF(ROW()=ROW(tblBuyerOutputs[#Headers])+1,0,INDEX(tblBuyerOutputs[Cumul Appr],ROW()-ROW(tblBuyerOutputs[#Headers])-1)))*$O$2/12)</f>
        <v>0</v>
      </c>
      <c r="AE758" s="587">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61" t="str">
        <f t="shared" si="143"/>
        <v/>
      </c>
      <c r="B759" s="265">
        <f t="shared" si="144"/>
        <v>0</v>
      </c>
      <c r="C759" s="14">
        <f t="shared" si="141"/>
        <v>0</v>
      </c>
      <c r="D759" s="14">
        <f t="shared" si="145"/>
        <v>0</v>
      </c>
      <c r="E759" s="14">
        <f t="shared" si="142"/>
        <v>0</v>
      </c>
      <c r="K759" s="265">
        <f t="shared" si="146"/>
        <v>0</v>
      </c>
      <c r="L759" s="373">
        <f t="shared" si="148"/>
        <v>0</v>
      </c>
      <c r="M759" s="373">
        <f t="shared" si="147"/>
        <v>0</v>
      </c>
      <c r="N759" s="561"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Row],[Payment]]=0,0,$V$2)</f>
        <v>0</v>
      </c>
      <c r="U759" s="14">
        <f>IF(tblContractForDeed[[#This Row],[Princ]]=0,0,$V$3)</f>
        <v>0</v>
      </c>
      <c r="V759" s="14">
        <f>SUM(tblContractForDeed[[#This Row],[Princ]],tblContractForDeed[[#This Row],[Int]],tblContractForDeed[[#This Row],[Ins]],tblContractForDeed[[#This Row],[Taxes]])</f>
        <v>0</v>
      </c>
      <c r="W759" s="265">
        <f>SUM(INDEX(tblContractForDeed[Princ],1):INDEX(tblContractForDeed[Princ],ROW()-ROW(tblContractForDeed[#Headers])))</f>
        <v>146500</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9" s="265">
        <f>IF(INDEX(tblContractForDeed[End Bal],ROW()-ROW(tblBuyerOutputs[#Headers]))&lt;=0,0,($O$6+IF(ROW()=ROW(tblBuyerOutputs[#Headers])+1,0,INDEX(tblBuyerOutputs[Cumul Appr],ROW()-ROW(tblBuyerOutputs[#Headers])-1)))*$O$2/12)</f>
        <v>0</v>
      </c>
      <c r="AE759" s="587">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61" t="str">
        <f t="shared" si="143"/>
        <v/>
      </c>
      <c r="B760" s="265">
        <f t="shared" si="144"/>
        <v>0</v>
      </c>
      <c r="C760" s="14">
        <f t="shared" si="141"/>
        <v>0</v>
      </c>
      <c r="D760" s="14">
        <f t="shared" si="145"/>
        <v>0</v>
      </c>
      <c r="E760" s="14">
        <f t="shared" si="142"/>
        <v>0</v>
      </c>
      <c r="K760" s="265">
        <f t="shared" si="146"/>
        <v>0</v>
      </c>
      <c r="L760" s="373">
        <f t="shared" si="148"/>
        <v>0</v>
      </c>
      <c r="M760" s="373">
        <f t="shared" si="147"/>
        <v>0</v>
      </c>
      <c r="N760" s="561"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Row],[Payment]]=0,0,$V$2)</f>
        <v>0</v>
      </c>
      <c r="U760" s="14">
        <f>IF(tblContractForDeed[[#This Row],[Princ]]=0,0,$V$3)</f>
        <v>0</v>
      </c>
      <c r="V760" s="14">
        <f>SUM(tblContractForDeed[[#This Row],[Princ]],tblContractForDeed[[#This Row],[Int]],tblContractForDeed[[#This Row],[Ins]],tblContractForDeed[[#This Row],[Taxes]])</f>
        <v>0</v>
      </c>
      <c r="W760" s="265">
        <f>SUM(INDEX(tblContractForDeed[Princ],1):INDEX(tblContractForDeed[Princ],ROW()-ROW(tblContractForDeed[#Headers])))</f>
        <v>146500</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0" s="265">
        <f>IF(INDEX(tblContractForDeed[End Bal],ROW()-ROW(tblBuyerOutputs[#Headers]))&lt;=0,0,($O$6+IF(ROW()=ROW(tblBuyerOutputs[#Headers])+1,0,INDEX(tblBuyerOutputs[Cumul Appr],ROW()-ROW(tblBuyerOutputs[#Headers])-1)))*$O$2/12)</f>
        <v>0</v>
      </c>
      <c r="AE760" s="587">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61" t="str">
        <f t="shared" si="143"/>
        <v/>
      </c>
      <c r="B761" s="265">
        <f t="shared" si="144"/>
        <v>0</v>
      </c>
      <c r="C761" s="14">
        <f t="shared" si="141"/>
        <v>0</v>
      </c>
      <c r="D761" s="14">
        <f t="shared" si="145"/>
        <v>0</v>
      </c>
      <c r="E761" s="14">
        <f t="shared" si="142"/>
        <v>0</v>
      </c>
      <c r="K761" s="265">
        <f t="shared" si="146"/>
        <v>0</v>
      </c>
      <c r="L761" s="373">
        <f t="shared" si="148"/>
        <v>0</v>
      </c>
      <c r="M761" s="373">
        <f t="shared" si="147"/>
        <v>0</v>
      </c>
      <c r="N761" s="561"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Row],[Payment]]=0,0,$V$2)</f>
        <v>0</v>
      </c>
      <c r="U761" s="14">
        <f>IF(tblContractForDeed[[#This Row],[Princ]]=0,0,$V$3)</f>
        <v>0</v>
      </c>
      <c r="V761" s="14">
        <f>SUM(tblContractForDeed[[#This Row],[Princ]],tblContractForDeed[[#This Row],[Int]],tblContractForDeed[[#This Row],[Ins]],tblContractForDeed[[#This Row],[Taxes]])</f>
        <v>0</v>
      </c>
      <c r="W761" s="265">
        <f>SUM(INDEX(tblContractForDeed[Princ],1):INDEX(tblContractForDeed[Princ],ROW()-ROW(tblContractForDeed[#Headers])))</f>
        <v>146500</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1" s="265">
        <f>IF(INDEX(tblContractForDeed[End Bal],ROW()-ROW(tblBuyerOutputs[#Headers]))&lt;=0,0,($O$6+IF(ROW()=ROW(tblBuyerOutputs[#Headers])+1,0,INDEX(tblBuyerOutputs[Cumul Appr],ROW()-ROW(tblBuyerOutputs[#Headers])-1)))*$O$2/12)</f>
        <v>0</v>
      </c>
      <c r="AE761" s="587">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61" t="str">
        <f t="shared" si="143"/>
        <v/>
      </c>
      <c r="B762" s="265">
        <f t="shared" si="144"/>
        <v>0</v>
      </c>
      <c r="C762" s="14">
        <f t="shared" si="141"/>
        <v>0</v>
      </c>
      <c r="D762" s="14">
        <f t="shared" si="145"/>
        <v>0</v>
      </c>
      <c r="E762" s="14">
        <f t="shared" si="142"/>
        <v>0</v>
      </c>
      <c r="K762" s="265">
        <f t="shared" si="146"/>
        <v>0</v>
      </c>
      <c r="L762" s="373">
        <f t="shared" si="148"/>
        <v>0</v>
      </c>
      <c r="M762" s="373">
        <f t="shared" si="147"/>
        <v>0</v>
      </c>
      <c r="N762" s="561"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Row],[Payment]]=0,0,$V$2)</f>
        <v>0</v>
      </c>
      <c r="U762" s="14">
        <f>IF(tblContractForDeed[[#This Row],[Princ]]=0,0,$V$3)</f>
        <v>0</v>
      </c>
      <c r="V762" s="14">
        <f>SUM(tblContractForDeed[[#This Row],[Princ]],tblContractForDeed[[#This Row],[Int]],tblContractForDeed[[#This Row],[Ins]],tblContractForDeed[[#This Row],[Taxes]])</f>
        <v>0</v>
      </c>
      <c r="W762" s="265">
        <f>SUM(INDEX(tblContractForDeed[Princ],1):INDEX(tblContractForDeed[Princ],ROW()-ROW(tblContractForDeed[#Headers])))</f>
        <v>146500</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2" s="265">
        <f>IF(INDEX(tblContractForDeed[End Bal],ROW()-ROW(tblBuyerOutputs[#Headers]))&lt;=0,0,($O$6+IF(ROW()=ROW(tblBuyerOutputs[#Headers])+1,0,INDEX(tblBuyerOutputs[Cumul Appr],ROW()-ROW(tblBuyerOutputs[#Headers])-1)))*$O$2/12)</f>
        <v>0</v>
      </c>
      <c r="AE762" s="587">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62" t="str">
        <f t="shared" si="143"/>
        <v/>
      </c>
      <c r="B763" s="316">
        <f t="shared" si="144"/>
        <v>0</v>
      </c>
      <c r="C763" s="21">
        <f t="shared" si="141"/>
        <v>0</v>
      </c>
      <c r="D763" s="21">
        <f t="shared" si="145"/>
        <v>0</v>
      </c>
      <c r="E763" s="21">
        <f t="shared" si="142"/>
        <v>0</v>
      </c>
      <c r="F763" s="21"/>
      <c r="G763" s="21"/>
      <c r="H763" s="21"/>
      <c r="I763" s="316"/>
      <c r="J763" s="316"/>
      <c r="K763" s="316">
        <f t="shared" si="146"/>
        <v>0</v>
      </c>
      <c r="L763" s="374">
        <f t="shared" si="148"/>
        <v>0</v>
      </c>
      <c r="M763" s="374">
        <f t="shared" si="147"/>
        <v>0</v>
      </c>
      <c r="N763" s="562" t="str">
        <f>INDEX(tblSubjectToLoan[Date],ROW()-ROW(tblContractForDeed[#Headers]))</f>
        <v/>
      </c>
      <c r="O763" s="316">
        <f>IF(ROW()=ROW(tblContractForDeed[#Headers])+1,$O$6,IF(INDEX(tblContractForDeed[End Bal],ROW()-ROW(tblContractForDeed[#Headers])-1)&lt;0,0,INDEX(tblContractForDeed[End Bal],ROW()-ROW(tblContractForDeed[#Headers])-1)))</f>
        <v>0</v>
      </c>
      <c r="P763" s="585"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Row],[Payment]]=0,0,$V$2)</f>
        <v>0</v>
      </c>
      <c r="U763" s="21">
        <f>IF(tblContractForDeed[[#This Row],[Princ]]=0,0,$V$3)</f>
        <v>0</v>
      </c>
      <c r="V763" s="21">
        <f>SUM(tblContractForDeed[[#This Row],[Princ]],tblContractForDeed[[#This Row],[Int]],tblContractForDeed[[#This Row],[Ins]],tblContractForDeed[[#This Row],[Taxes]])</f>
        <v>0</v>
      </c>
      <c r="W763" s="316">
        <f>SUM(INDEX(tblContractForDeed[Princ],1):INDEX(tblContractForDeed[Princ],ROW()-ROW(tblContractForDeed[#Headers])))</f>
        <v>146500</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3" s="316">
        <f>IF(INDEX(tblContractForDeed[End Bal],ROW()-ROW(tblBuyerOutputs[#Headers]))&lt;=0,0,($O$6+IF(ROW()=ROW(tblBuyerOutputs[#Headers])+1,0,INDEX(tblBuyerOutputs[Cumul Appr],ROW()-ROW(tblBuyerOutputs[#Headers])-1)))*$O$2/12)</f>
        <v>0</v>
      </c>
      <c r="AE763" s="588">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61" t="str">
        <f t="shared" si="143"/>
        <v/>
      </c>
      <c r="B764" s="265">
        <f t="shared" si="144"/>
        <v>0</v>
      </c>
      <c r="C764" s="14">
        <f t="shared" si="141"/>
        <v>0</v>
      </c>
      <c r="D764" s="14">
        <f t="shared" si="145"/>
        <v>0</v>
      </c>
      <c r="E764" s="14">
        <f t="shared" si="142"/>
        <v>0</v>
      </c>
      <c r="K764" s="265">
        <f t="shared" si="146"/>
        <v>0</v>
      </c>
      <c r="L764" s="373">
        <f t="shared" si="148"/>
        <v>0</v>
      </c>
      <c r="M764" s="373">
        <f t="shared" si="147"/>
        <v>0</v>
      </c>
      <c r="N764" s="561"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Row],[Payment]]=0,0,$V$2)</f>
        <v>0</v>
      </c>
      <c r="U764" s="14">
        <f>IF(tblContractForDeed[[#This Row],[Princ]]=0,0,$V$3)</f>
        <v>0</v>
      </c>
      <c r="V764" s="14">
        <f>SUM(tblContractForDeed[[#This Row],[Princ]],tblContractForDeed[[#This Row],[Int]],tblContractForDeed[[#This Row],[Ins]],tblContractForDeed[[#This Row],[Taxes]])</f>
        <v>0</v>
      </c>
      <c r="W764" s="265">
        <f>SUM(INDEX(tblContractForDeed[Princ],1):INDEX(tblContractForDeed[Princ],ROW()-ROW(tblContractForDeed[#Headers])))</f>
        <v>146500</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4" s="265">
        <f>IF(INDEX(tblContractForDeed[End Bal],ROW()-ROW(tblBuyerOutputs[#Headers]))&lt;=0,0,($O$6+IF(ROW()=ROW(tblBuyerOutputs[#Headers])+1,0,INDEX(tblBuyerOutputs[Cumul Appr],ROW()-ROW(tblBuyerOutputs[#Headers])-1)))*$O$2/12)</f>
        <v>0</v>
      </c>
      <c r="AE764" s="587">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61" t="str">
        <f t="shared" si="143"/>
        <v/>
      </c>
      <c r="B765" s="265">
        <f t="shared" si="144"/>
        <v>0</v>
      </c>
      <c r="C765" s="14">
        <f t="shared" si="141"/>
        <v>0</v>
      </c>
      <c r="D765" s="14">
        <f t="shared" si="145"/>
        <v>0</v>
      </c>
      <c r="E765" s="14">
        <f t="shared" si="142"/>
        <v>0</v>
      </c>
      <c r="K765" s="265">
        <f t="shared" si="146"/>
        <v>0</v>
      </c>
      <c r="L765" s="373">
        <f t="shared" si="148"/>
        <v>0</v>
      </c>
      <c r="M765" s="373">
        <f t="shared" si="147"/>
        <v>0</v>
      </c>
      <c r="N765" s="561"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Row],[Payment]]=0,0,$V$2)</f>
        <v>0</v>
      </c>
      <c r="U765" s="14">
        <f>IF(tblContractForDeed[[#This Row],[Princ]]=0,0,$V$3)</f>
        <v>0</v>
      </c>
      <c r="V765" s="14">
        <f>SUM(tblContractForDeed[[#This Row],[Princ]],tblContractForDeed[[#This Row],[Int]],tblContractForDeed[[#This Row],[Ins]],tblContractForDeed[[#This Row],[Taxes]])</f>
        <v>0</v>
      </c>
      <c r="W765" s="265">
        <f>SUM(INDEX(tblContractForDeed[Princ],1):INDEX(tblContractForDeed[Princ],ROW()-ROW(tblContractForDeed[#Headers])))</f>
        <v>146500</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5" s="265">
        <f>IF(INDEX(tblContractForDeed[End Bal],ROW()-ROW(tblBuyerOutputs[#Headers]))&lt;=0,0,($O$6+IF(ROW()=ROW(tblBuyerOutputs[#Headers])+1,0,INDEX(tblBuyerOutputs[Cumul Appr],ROW()-ROW(tblBuyerOutputs[#Headers])-1)))*$O$2/12)</f>
        <v>0</v>
      </c>
      <c r="AE765" s="587">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61" t="str">
        <f t="shared" si="143"/>
        <v/>
      </c>
      <c r="B766" s="265">
        <f t="shared" si="144"/>
        <v>0</v>
      </c>
      <c r="C766" s="14">
        <f t="shared" si="141"/>
        <v>0</v>
      </c>
      <c r="D766" s="14">
        <f t="shared" si="145"/>
        <v>0</v>
      </c>
      <c r="E766" s="14">
        <f t="shared" si="142"/>
        <v>0</v>
      </c>
      <c r="K766" s="265">
        <f t="shared" si="146"/>
        <v>0</v>
      </c>
      <c r="L766" s="373">
        <f t="shared" si="148"/>
        <v>0</v>
      </c>
      <c r="M766" s="373">
        <f t="shared" si="147"/>
        <v>0</v>
      </c>
      <c r="N766" s="561"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Row],[Payment]]=0,0,$V$2)</f>
        <v>0</v>
      </c>
      <c r="U766" s="14">
        <f>IF(tblContractForDeed[[#This Row],[Princ]]=0,0,$V$3)</f>
        <v>0</v>
      </c>
      <c r="V766" s="14">
        <f>SUM(tblContractForDeed[[#This Row],[Princ]],tblContractForDeed[[#This Row],[Int]],tblContractForDeed[[#This Row],[Ins]],tblContractForDeed[[#This Row],[Taxes]])</f>
        <v>0</v>
      </c>
      <c r="W766" s="265">
        <f>SUM(INDEX(tblContractForDeed[Princ],1):INDEX(tblContractForDeed[Princ],ROW()-ROW(tblContractForDeed[#Headers])))</f>
        <v>146500</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6" s="265">
        <f>IF(INDEX(tblContractForDeed[End Bal],ROW()-ROW(tblBuyerOutputs[#Headers]))&lt;=0,0,($O$6+IF(ROW()=ROW(tblBuyerOutputs[#Headers])+1,0,INDEX(tblBuyerOutputs[Cumul Appr],ROW()-ROW(tblBuyerOutputs[#Headers])-1)))*$O$2/12)</f>
        <v>0</v>
      </c>
      <c r="AE766" s="587">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61" t="str">
        <f t="shared" si="143"/>
        <v/>
      </c>
      <c r="B767" s="265">
        <f t="shared" si="144"/>
        <v>0</v>
      </c>
      <c r="C767" s="14">
        <f t="shared" si="141"/>
        <v>0</v>
      </c>
      <c r="D767" s="14">
        <f t="shared" si="145"/>
        <v>0</v>
      </c>
      <c r="E767" s="14">
        <f t="shared" si="142"/>
        <v>0</v>
      </c>
      <c r="K767" s="265">
        <f t="shared" si="146"/>
        <v>0</v>
      </c>
      <c r="L767" s="373">
        <f t="shared" si="148"/>
        <v>0</v>
      </c>
      <c r="M767" s="373">
        <f t="shared" si="147"/>
        <v>0</v>
      </c>
      <c r="N767" s="561"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Row],[Payment]]=0,0,$V$2)</f>
        <v>0</v>
      </c>
      <c r="U767" s="14">
        <f>IF(tblContractForDeed[[#This Row],[Princ]]=0,0,$V$3)</f>
        <v>0</v>
      </c>
      <c r="V767" s="14">
        <f>SUM(tblContractForDeed[[#This Row],[Princ]],tblContractForDeed[[#This Row],[Int]],tblContractForDeed[[#This Row],[Ins]],tblContractForDeed[[#This Row],[Taxes]])</f>
        <v>0</v>
      </c>
      <c r="W767" s="265">
        <f>SUM(INDEX(tblContractForDeed[Princ],1):INDEX(tblContractForDeed[Princ],ROW()-ROW(tblContractForDeed[#Headers])))</f>
        <v>146500</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7" s="265">
        <f>IF(INDEX(tblContractForDeed[End Bal],ROW()-ROW(tblBuyerOutputs[#Headers]))&lt;=0,0,($O$6+IF(ROW()=ROW(tblBuyerOutputs[#Headers])+1,0,INDEX(tblBuyerOutputs[Cumul Appr],ROW()-ROW(tblBuyerOutputs[#Headers])-1)))*$O$2/12)</f>
        <v>0</v>
      </c>
      <c r="AE767" s="587">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61" t="str">
        <f t="shared" si="143"/>
        <v/>
      </c>
      <c r="B768" s="265">
        <f t="shared" si="144"/>
        <v>0</v>
      </c>
      <c r="C768" s="14">
        <f t="shared" si="141"/>
        <v>0</v>
      </c>
      <c r="D768" s="14">
        <f t="shared" si="145"/>
        <v>0</v>
      </c>
      <c r="E768" s="14">
        <f t="shared" si="142"/>
        <v>0</v>
      </c>
      <c r="K768" s="265">
        <f t="shared" si="146"/>
        <v>0</v>
      </c>
      <c r="L768" s="373">
        <f t="shared" si="148"/>
        <v>0</v>
      </c>
      <c r="M768" s="373">
        <f t="shared" si="147"/>
        <v>0</v>
      </c>
      <c r="N768" s="561"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Row],[Payment]]=0,0,$V$2)</f>
        <v>0</v>
      </c>
      <c r="U768" s="14">
        <f>IF(tblContractForDeed[[#This Row],[Princ]]=0,0,$V$3)</f>
        <v>0</v>
      </c>
      <c r="V768" s="14">
        <f>SUM(tblContractForDeed[[#This Row],[Princ]],tblContractForDeed[[#This Row],[Int]],tblContractForDeed[[#This Row],[Ins]],tblContractForDeed[[#This Row],[Taxes]])</f>
        <v>0</v>
      </c>
      <c r="W768" s="265">
        <f>SUM(INDEX(tblContractForDeed[Princ],1):INDEX(tblContractForDeed[Princ],ROW()-ROW(tblContractForDeed[#Headers])))</f>
        <v>146500</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8" s="265">
        <f>IF(INDEX(tblContractForDeed[End Bal],ROW()-ROW(tblBuyerOutputs[#Headers]))&lt;=0,0,($O$6+IF(ROW()=ROW(tblBuyerOutputs[#Headers])+1,0,INDEX(tblBuyerOutputs[Cumul Appr],ROW()-ROW(tblBuyerOutputs[#Headers])-1)))*$O$2/12)</f>
        <v>0</v>
      </c>
      <c r="AE768" s="587">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61" t="str">
        <f t="shared" si="143"/>
        <v/>
      </c>
      <c r="B769" s="265">
        <f t="shared" si="144"/>
        <v>0</v>
      </c>
      <c r="C769" s="14">
        <f t="shared" si="141"/>
        <v>0</v>
      </c>
      <c r="D769" s="14">
        <f t="shared" si="145"/>
        <v>0</v>
      </c>
      <c r="E769" s="14">
        <f t="shared" si="142"/>
        <v>0</v>
      </c>
      <c r="K769" s="265">
        <f t="shared" si="146"/>
        <v>0</v>
      </c>
      <c r="L769" s="373">
        <f t="shared" si="148"/>
        <v>0</v>
      </c>
      <c r="M769" s="373">
        <f t="shared" si="147"/>
        <v>0</v>
      </c>
      <c r="N769" s="561"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Row],[Payment]]=0,0,$V$2)</f>
        <v>0</v>
      </c>
      <c r="U769" s="14">
        <f>IF(tblContractForDeed[[#This Row],[Princ]]=0,0,$V$3)</f>
        <v>0</v>
      </c>
      <c r="V769" s="14">
        <f>SUM(tblContractForDeed[[#This Row],[Princ]],tblContractForDeed[[#This Row],[Int]],tblContractForDeed[[#This Row],[Ins]],tblContractForDeed[[#This Row],[Taxes]])</f>
        <v>0</v>
      </c>
      <c r="W769" s="265">
        <f>SUM(INDEX(tblContractForDeed[Princ],1):INDEX(tblContractForDeed[Princ],ROW()-ROW(tblContractForDeed[#Headers])))</f>
        <v>146500</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9" s="265">
        <f>IF(INDEX(tblContractForDeed[End Bal],ROW()-ROW(tblBuyerOutputs[#Headers]))&lt;=0,0,($O$6+IF(ROW()=ROW(tblBuyerOutputs[#Headers])+1,0,INDEX(tblBuyerOutputs[Cumul Appr],ROW()-ROW(tblBuyerOutputs[#Headers])-1)))*$O$2/12)</f>
        <v>0</v>
      </c>
      <c r="AE769" s="587">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61" t="str">
        <f t="shared" si="143"/>
        <v/>
      </c>
      <c r="B770" s="265">
        <f t="shared" si="144"/>
        <v>0</v>
      </c>
      <c r="C770" s="14">
        <f t="shared" si="141"/>
        <v>0</v>
      </c>
      <c r="D770" s="14">
        <f t="shared" si="145"/>
        <v>0</v>
      </c>
      <c r="E770" s="14">
        <f t="shared" si="142"/>
        <v>0</v>
      </c>
      <c r="K770" s="265">
        <f t="shared" si="146"/>
        <v>0</v>
      </c>
      <c r="L770" s="373">
        <f t="shared" si="148"/>
        <v>0</v>
      </c>
      <c r="M770" s="373">
        <f t="shared" si="147"/>
        <v>0</v>
      </c>
      <c r="N770" s="561"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Row],[Payment]]=0,0,$V$2)</f>
        <v>0</v>
      </c>
      <c r="U770" s="14">
        <f>IF(tblContractForDeed[[#This Row],[Princ]]=0,0,$V$3)</f>
        <v>0</v>
      </c>
      <c r="V770" s="14">
        <f>SUM(tblContractForDeed[[#This Row],[Princ]],tblContractForDeed[[#This Row],[Int]],tblContractForDeed[[#This Row],[Ins]],tblContractForDeed[[#This Row],[Taxes]])</f>
        <v>0</v>
      </c>
      <c r="W770" s="265">
        <f>SUM(INDEX(tblContractForDeed[Princ],1):INDEX(tblContractForDeed[Princ],ROW()-ROW(tblContractForDeed[#Headers])))</f>
        <v>146500</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0" s="265">
        <f>IF(INDEX(tblContractForDeed[End Bal],ROW()-ROW(tblBuyerOutputs[#Headers]))&lt;=0,0,($O$6+IF(ROW()=ROW(tblBuyerOutputs[#Headers])+1,0,INDEX(tblBuyerOutputs[Cumul Appr],ROW()-ROW(tblBuyerOutputs[#Headers])-1)))*$O$2/12)</f>
        <v>0</v>
      </c>
      <c r="AE770" s="587">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61" t="str">
        <f t="shared" si="143"/>
        <v/>
      </c>
      <c r="B771" s="265">
        <f t="shared" si="144"/>
        <v>0</v>
      </c>
      <c r="C771" s="14">
        <f t="shared" si="141"/>
        <v>0</v>
      </c>
      <c r="D771" s="14">
        <f t="shared" si="145"/>
        <v>0</v>
      </c>
      <c r="E771" s="14">
        <f t="shared" si="142"/>
        <v>0</v>
      </c>
      <c r="K771" s="265">
        <f t="shared" si="146"/>
        <v>0</v>
      </c>
      <c r="L771" s="373">
        <f t="shared" si="148"/>
        <v>0</v>
      </c>
      <c r="M771" s="373">
        <f t="shared" si="147"/>
        <v>0</v>
      </c>
      <c r="N771" s="561"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Row],[Payment]]=0,0,$V$2)</f>
        <v>0</v>
      </c>
      <c r="U771" s="14">
        <f>IF(tblContractForDeed[[#This Row],[Princ]]=0,0,$V$3)</f>
        <v>0</v>
      </c>
      <c r="V771" s="14">
        <f>SUM(tblContractForDeed[[#This Row],[Princ]],tblContractForDeed[[#This Row],[Int]],tblContractForDeed[[#This Row],[Ins]],tblContractForDeed[[#This Row],[Taxes]])</f>
        <v>0</v>
      </c>
      <c r="W771" s="265">
        <f>SUM(INDEX(tblContractForDeed[Princ],1):INDEX(tblContractForDeed[Princ],ROW()-ROW(tblContractForDeed[#Headers])))</f>
        <v>146500</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1" s="265">
        <f>IF(INDEX(tblContractForDeed[End Bal],ROW()-ROW(tblBuyerOutputs[#Headers]))&lt;=0,0,($O$6+IF(ROW()=ROW(tblBuyerOutputs[#Headers])+1,0,INDEX(tblBuyerOutputs[Cumul Appr],ROW()-ROW(tblBuyerOutputs[#Headers])-1)))*$O$2/12)</f>
        <v>0</v>
      </c>
      <c r="AE771" s="587">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61" t="str">
        <f t="shared" si="143"/>
        <v/>
      </c>
      <c r="B772" s="265">
        <f t="shared" si="144"/>
        <v>0</v>
      </c>
      <c r="C772" s="14">
        <f t="shared" si="141"/>
        <v>0</v>
      </c>
      <c r="D772" s="14">
        <f t="shared" si="145"/>
        <v>0</v>
      </c>
      <c r="E772" s="14">
        <f t="shared" si="142"/>
        <v>0</v>
      </c>
      <c r="K772" s="265">
        <f t="shared" si="146"/>
        <v>0</v>
      </c>
      <c r="L772" s="373">
        <f t="shared" si="148"/>
        <v>0</v>
      </c>
      <c r="M772" s="373">
        <f t="shared" si="147"/>
        <v>0</v>
      </c>
      <c r="N772" s="561"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Row],[Payment]]=0,0,$V$2)</f>
        <v>0</v>
      </c>
      <c r="U772" s="14">
        <f>IF(tblContractForDeed[[#This Row],[Princ]]=0,0,$V$3)</f>
        <v>0</v>
      </c>
      <c r="V772" s="14">
        <f>SUM(tblContractForDeed[[#This Row],[Princ]],tblContractForDeed[[#This Row],[Int]],tblContractForDeed[[#This Row],[Ins]],tblContractForDeed[[#This Row],[Taxes]])</f>
        <v>0</v>
      </c>
      <c r="W772" s="265">
        <f>SUM(INDEX(tblContractForDeed[Princ],1):INDEX(tblContractForDeed[Princ],ROW()-ROW(tblContractForDeed[#Headers])))</f>
        <v>146500</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2" s="265">
        <f>IF(INDEX(tblContractForDeed[End Bal],ROW()-ROW(tblBuyerOutputs[#Headers]))&lt;=0,0,($O$6+IF(ROW()=ROW(tblBuyerOutputs[#Headers])+1,0,INDEX(tblBuyerOutputs[Cumul Appr],ROW()-ROW(tblBuyerOutputs[#Headers])-1)))*$O$2/12)</f>
        <v>0</v>
      </c>
      <c r="AE772" s="587">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61" t="str">
        <f t="shared" si="143"/>
        <v/>
      </c>
      <c r="B773" s="265">
        <f t="shared" si="144"/>
        <v>0</v>
      </c>
      <c r="C773" s="14">
        <f t="shared" si="141"/>
        <v>0</v>
      </c>
      <c r="D773" s="14">
        <f t="shared" si="145"/>
        <v>0</v>
      </c>
      <c r="E773" s="14">
        <f t="shared" si="142"/>
        <v>0</v>
      </c>
      <c r="K773" s="265">
        <f t="shared" si="146"/>
        <v>0</v>
      </c>
      <c r="L773" s="373">
        <f t="shared" si="148"/>
        <v>0</v>
      </c>
      <c r="M773" s="373">
        <f t="shared" si="147"/>
        <v>0</v>
      </c>
      <c r="N773" s="561"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Row],[Payment]]=0,0,$V$2)</f>
        <v>0</v>
      </c>
      <c r="U773" s="14">
        <f>IF(tblContractForDeed[[#This Row],[Princ]]=0,0,$V$3)</f>
        <v>0</v>
      </c>
      <c r="V773" s="14">
        <f>SUM(tblContractForDeed[[#This Row],[Princ]],tblContractForDeed[[#This Row],[Int]],tblContractForDeed[[#This Row],[Ins]],tblContractForDeed[[#This Row],[Taxes]])</f>
        <v>0</v>
      </c>
      <c r="W773" s="265">
        <f>SUM(INDEX(tblContractForDeed[Princ],1):INDEX(tblContractForDeed[Princ],ROW()-ROW(tblContractForDeed[#Headers])))</f>
        <v>146500</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3" s="265">
        <f>IF(INDEX(tblContractForDeed[End Bal],ROW()-ROW(tblBuyerOutputs[#Headers]))&lt;=0,0,($O$6+IF(ROW()=ROW(tblBuyerOutputs[#Headers])+1,0,INDEX(tblBuyerOutputs[Cumul Appr],ROW()-ROW(tblBuyerOutputs[#Headers])-1)))*$O$2/12)</f>
        <v>0</v>
      </c>
      <c r="AE773" s="587">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61" t="str">
        <f t="shared" si="143"/>
        <v/>
      </c>
      <c r="B774" s="265">
        <f t="shared" si="144"/>
        <v>0</v>
      </c>
      <c r="C774" s="14">
        <f t="shared" si="141"/>
        <v>0</v>
      </c>
      <c r="D774" s="14">
        <f t="shared" si="145"/>
        <v>0</v>
      </c>
      <c r="E774" s="14">
        <f t="shared" si="142"/>
        <v>0</v>
      </c>
      <c r="K774" s="265">
        <f t="shared" si="146"/>
        <v>0</v>
      </c>
      <c r="L774" s="373">
        <f t="shared" si="148"/>
        <v>0</v>
      </c>
      <c r="M774" s="373">
        <f t="shared" si="147"/>
        <v>0</v>
      </c>
      <c r="N774" s="561"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Row],[Payment]]=0,0,$V$2)</f>
        <v>0</v>
      </c>
      <c r="U774" s="14">
        <f>IF(tblContractForDeed[[#This Row],[Princ]]=0,0,$V$3)</f>
        <v>0</v>
      </c>
      <c r="V774" s="14">
        <f>SUM(tblContractForDeed[[#This Row],[Princ]],tblContractForDeed[[#This Row],[Int]],tblContractForDeed[[#This Row],[Ins]],tblContractForDeed[[#This Row],[Taxes]])</f>
        <v>0</v>
      </c>
      <c r="W774" s="265">
        <f>SUM(INDEX(tblContractForDeed[Princ],1):INDEX(tblContractForDeed[Princ],ROW()-ROW(tblContractForDeed[#Headers])))</f>
        <v>146500</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4" s="265">
        <f>IF(INDEX(tblContractForDeed[End Bal],ROW()-ROW(tblBuyerOutputs[#Headers]))&lt;=0,0,($O$6+IF(ROW()=ROW(tblBuyerOutputs[#Headers])+1,0,INDEX(tblBuyerOutputs[Cumul Appr],ROW()-ROW(tblBuyerOutputs[#Headers])-1)))*$O$2/12)</f>
        <v>0</v>
      </c>
      <c r="AE774" s="587">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62" t="str">
        <f t="shared" si="143"/>
        <v/>
      </c>
      <c r="B775" s="316">
        <f t="shared" si="144"/>
        <v>0</v>
      </c>
      <c r="C775" s="21">
        <f t="shared" si="141"/>
        <v>0</v>
      </c>
      <c r="D775" s="21">
        <f t="shared" si="145"/>
        <v>0</v>
      </c>
      <c r="E775" s="21">
        <f t="shared" si="142"/>
        <v>0</v>
      </c>
      <c r="F775" s="21"/>
      <c r="G775" s="21"/>
      <c r="H775" s="21"/>
      <c r="I775" s="316"/>
      <c r="J775" s="316"/>
      <c r="K775" s="316">
        <f t="shared" si="146"/>
        <v>0</v>
      </c>
      <c r="L775" s="374">
        <f t="shared" si="148"/>
        <v>0</v>
      </c>
      <c r="M775" s="374">
        <f t="shared" si="147"/>
        <v>0</v>
      </c>
      <c r="N775" s="562" t="str">
        <f>INDEX(tblSubjectToLoan[Date],ROW()-ROW(tblContractForDeed[#Headers]))</f>
        <v/>
      </c>
      <c r="O775" s="316">
        <f>IF(ROW()=ROW(tblContractForDeed[#Headers])+1,$O$6,IF(INDEX(tblContractForDeed[End Bal],ROW()-ROW(tblContractForDeed[#Headers])-1)&lt;0,0,INDEX(tblContractForDeed[End Bal],ROW()-ROW(tblContractForDeed[#Headers])-1)))</f>
        <v>0</v>
      </c>
      <c r="P775" s="585"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Row],[Payment]]=0,0,$V$2)</f>
        <v>0</v>
      </c>
      <c r="U775" s="21">
        <f>IF(tblContractForDeed[[#This Row],[Princ]]=0,0,$V$3)</f>
        <v>0</v>
      </c>
      <c r="V775" s="21">
        <f>SUM(tblContractForDeed[[#This Row],[Princ]],tblContractForDeed[[#This Row],[Int]],tblContractForDeed[[#This Row],[Ins]],tblContractForDeed[[#This Row],[Taxes]])</f>
        <v>0</v>
      </c>
      <c r="W775" s="316">
        <f>SUM(INDEX(tblContractForDeed[Princ],1):INDEX(tblContractForDeed[Princ],ROW()-ROW(tblContractForDeed[#Headers])))</f>
        <v>146500</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5" s="316">
        <f>IF(INDEX(tblContractForDeed[End Bal],ROW()-ROW(tblBuyerOutputs[#Headers]))&lt;=0,0,($O$6+IF(ROW()=ROW(tblBuyerOutputs[#Headers])+1,0,INDEX(tblBuyerOutputs[Cumul Appr],ROW()-ROW(tblBuyerOutputs[#Headers])-1)))*$O$2/12)</f>
        <v>0</v>
      </c>
      <c r="AE775" s="588">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61" t="str">
        <f t="shared" si="143"/>
        <v/>
      </c>
      <c r="B776" s="265">
        <f t="shared" si="144"/>
        <v>0</v>
      </c>
      <c r="C776" s="14">
        <f t="shared" si="141"/>
        <v>0</v>
      </c>
      <c r="D776" s="14">
        <f t="shared" si="145"/>
        <v>0</v>
      </c>
      <c r="E776" s="14">
        <f t="shared" si="142"/>
        <v>0</v>
      </c>
      <c r="K776" s="265">
        <f t="shared" si="146"/>
        <v>0</v>
      </c>
      <c r="L776" s="373">
        <f t="shared" si="148"/>
        <v>0</v>
      </c>
      <c r="M776" s="373">
        <f t="shared" si="147"/>
        <v>0</v>
      </c>
      <c r="N776" s="561"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Row],[Payment]]=0,0,$V$2)</f>
        <v>0</v>
      </c>
      <c r="U776" s="14">
        <f>IF(tblContractForDeed[[#This Row],[Princ]]=0,0,$V$3)</f>
        <v>0</v>
      </c>
      <c r="V776" s="14">
        <f>SUM(tblContractForDeed[[#This Row],[Princ]],tblContractForDeed[[#This Row],[Int]],tblContractForDeed[[#This Row],[Ins]],tblContractForDeed[[#This Row],[Taxes]])</f>
        <v>0</v>
      </c>
      <c r="W776" s="265">
        <f>SUM(INDEX(tblContractForDeed[Princ],1):INDEX(tblContractForDeed[Princ],ROW()-ROW(tblContractForDeed[#Headers])))</f>
        <v>146500</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6" s="265">
        <f>IF(INDEX(tblContractForDeed[End Bal],ROW()-ROW(tblBuyerOutputs[#Headers]))&lt;=0,0,($O$6+IF(ROW()=ROW(tblBuyerOutputs[#Headers])+1,0,INDEX(tblBuyerOutputs[Cumul Appr],ROW()-ROW(tblBuyerOutputs[#Headers])-1)))*$O$2/12)</f>
        <v>0</v>
      </c>
      <c r="AE776" s="587">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61" t="str">
        <f t="shared" si="143"/>
        <v/>
      </c>
      <c r="B777" s="265">
        <f t="shared" si="144"/>
        <v>0</v>
      </c>
      <c r="C777" s="14">
        <f t="shared" si="141"/>
        <v>0</v>
      </c>
      <c r="D777" s="14">
        <f t="shared" si="145"/>
        <v>0</v>
      </c>
      <c r="E777" s="14">
        <f t="shared" si="142"/>
        <v>0</v>
      </c>
      <c r="K777" s="265">
        <f t="shared" si="146"/>
        <v>0</v>
      </c>
      <c r="L777" s="373">
        <f t="shared" si="148"/>
        <v>0</v>
      </c>
      <c r="M777" s="373">
        <f t="shared" si="147"/>
        <v>0</v>
      </c>
      <c r="N777" s="561"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Row],[Payment]]=0,0,$V$2)</f>
        <v>0</v>
      </c>
      <c r="U777" s="14">
        <f>IF(tblContractForDeed[[#This Row],[Princ]]=0,0,$V$3)</f>
        <v>0</v>
      </c>
      <c r="V777" s="14">
        <f>SUM(tblContractForDeed[[#This Row],[Princ]],tblContractForDeed[[#This Row],[Int]],tblContractForDeed[[#This Row],[Ins]],tblContractForDeed[[#This Row],[Taxes]])</f>
        <v>0</v>
      </c>
      <c r="W777" s="265">
        <f>SUM(INDEX(tblContractForDeed[Princ],1):INDEX(tblContractForDeed[Princ],ROW()-ROW(tblContractForDeed[#Headers])))</f>
        <v>146500</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7" s="265">
        <f>IF(INDEX(tblContractForDeed[End Bal],ROW()-ROW(tblBuyerOutputs[#Headers]))&lt;=0,0,($O$6+IF(ROW()=ROW(tblBuyerOutputs[#Headers])+1,0,INDEX(tblBuyerOutputs[Cumul Appr],ROW()-ROW(tblBuyerOutputs[#Headers])-1)))*$O$2/12)</f>
        <v>0</v>
      </c>
      <c r="AE777" s="587">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61" t="str">
        <f t="shared" si="143"/>
        <v/>
      </c>
      <c r="B778" s="265">
        <f t="shared" si="144"/>
        <v>0</v>
      </c>
      <c r="C778" s="14">
        <f t="shared" si="141"/>
        <v>0</v>
      </c>
      <c r="D778" s="14">
        <f t="shared" si="145"/>
        <v>0</v>
      </c>
      <c r="E778" s="14">
        <f t="shared" si="142"/>
        <v>0</v>
      </c>
      <c r="K778" s="265">
        <f t="shared" si="146"/>
        <v>0</v>
      </c>
      <c r="L778" s="373">
        <f t="shared" si="148"/>
        <v>0</v>
      </c>
      <c r="M778" s="373">
        <f t="shared" si="147"/>
        <v>0</v>
      </c>
      <c r="N778" s="561"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Row],[Payment]]=0,0,$V$2)</f>
        <v>0</v>
      </c>
      <c r="U778" s="14">
        <f>IF(tblContractForDeed[[#This Row],[Princ]]=0,0,$V$3)</f>
        <v>0</v>
      </c>
      <c r="V778" s="14">
        <f>SUM(tblContractForDeed[[#This Row],[Princ]],tblContractForDeed[[#This Row],[Int]],tblContractForDeed[[#This Row],[Ins]],tblContractForDeed[[#This Row],[Taxes]])</f>
        <v>0</v>
      </c>
      <c r="W778" s="265">
        <f>SUM(INDEX(tblContractForDeed[Princ],1):INDEX(tblContractForDeed[Princ],ROW()-ROW(tblContractForDeed[#Headers])))</f>
        <v>146500</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8" s="265">
        <f>IF(INDEX(tblContractForDeed[End Bal],ROW()-ROW(tblBuyerOutputs[#Headers]))&lt;=0,0,($O$6+IF(ROW()=ROW(tblBuyerOutputs[#Headers])+1,0,INDEX(tblBuyerOutputs[Cumul Appr],ROW()-ROW(tblBuyerOutputs[#Headers])-1)))*$O$2/12)</f>
        <v>0</v>
      </c>
      <c r="AE778" s="587">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61" t="str">
        <f t="shared" si="143"/>
        <v/>
      </c>
      <c r="B779" s="265">
        <f t="shared" si="144"/>
        <v>0</v>
      </c>
      <c r="C779" s="14">
        <f t="shared" si="141"/>
        <v>0</v>
      </c>
      <c r="D779" s="14">
        <f t="shared" si="145"/>
        <v>0</v>
      </c>
      <c r="E779" s="14">
        <f t="shared" si="142"/>
        <v>0</v>
      </c>
      <c r="K779" s="265">
        <f t="shared" si="146"/>
        <v>0</v>
      </c>
      <c r="L779" s="373">
        <f t="shared" si="148"/>
        <v>0</v>
      </c>
      <c r="M779" s="373">
        <f t="shared" si="147"/>
        <v>0</v>
      </c>
      <c r="N779" s="561"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Row],[Payment]]=0,0,$V$2)</f>
        <v>0</v>
      </c>
      <c r="U779" s="14">
        <f>IF(tblContractForDeed[[#This Row],[Princ]]=0,0,$V$3)</f>
        <v>0</v>
      </c>
      <c r="V779" s="14">
        <f>SUM(tblContractForDeed[[#This Row],[Princ]],tblContractForDeed[[#This Row],[Int]],tblContractForDeed[[#This Row],[Ins]],tblContractForDeed[[#This Row],[Taxes]])</f>
        <v>0</v>
      </c>
      <c r="W779" s="265">
        <f>SUM(INDEX(tblContractForDeed[Princ],1):INDEX(tblContractForDeed[Princ],ROW()-ROW(tblContractForDeed[#Headers])))</f>
        <v>146500</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9" s="265">
        <f>IF(INDEX(tblContractForDeed[End Bal],ROW()-ROW(tblBuyerOutputs[#Headers]))&lt;=0,0,($O$6+IF(ROW()=ROW(tblBuyerOutputs[#Headers])+1,0,INDEX(tblBuyerOutputs[Cumul Appr],ROW()-ROW(tblBuyerOutputs[#Headers])-1)))*$O$2/12)</f>
        <v>0</v>
      </c>
      <c r="AE779" s="587">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61" t="str">
        <f t="shared" si="143"/>
        <v/>
      </c>
      <c r="B780" s="265">
        <f t="shared" si="144"/>
        <v>0</v>
      </c>
      <c r="C780" s="14">
        <f t="shared" si="141"/>
        <v>0</v>
      </c>
      <c r="D780" s="14">
        <f t="shared" si="145"/>
        <v>0</v>
      </c>
      <c r="E780" s="14">
        <f t="shared" si="142"/>
        <v>0</v>
      </c>
      <c r="K780" s="265">
        <f t="shared" si="146"/>
        <v>0</v>
      </c>
      <c r="L780" s="373">
        <f t="shared" si="148"/>
        <v>0</v>
      </c>
      <c r="M780" s="373">
        <f t="shared" si="147"/>
        <v>0</v>
      </c>
      <c r="N780" s="561"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Row],[Payment]]=0,0,$V$2)</f>
        <v>0</v>
      </c>
      <c r="U780" s="14">
        <f>IF(tblContractForDeed[[#This Row],[Princ]]=0,0,$V$3)</f>
        <v>0</v>
      </c>
      <c r="V780" s="14">
        <f>SUM(tblContractForDeed[[#This Row],[Princ]],tblContractForDeed[[#This Row],[Int]],tblContractForDeed[[#This Row],[Ins]],tblContractForDeed[[#This Row],[Taxes]])</f>
        <v>0</v>
      </c>
      <c r="W780" s="265">
        <f>SUM(INDEX(tblContractForDeed[Princ],1):INDEX(tblContractForDeed[Princ],ROW()-ROW(tblContractForDeed[#Headers])))</f>
        <v>146500</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0" s="265">
        <f>IF(INDEX(tblContractForDeed[End Bal],ROW()-ROW(tblBuyerOutputs[#Headers]))&lt;=0,0,($O$6+IF(ROW()=ROW(tblBuyerOutputs[#Headers])+1,0,INDEX(tblBuyerOutputs[Cumul Appr],ROW()-ROW(tblBuyerOutputs[#Headers])-1)))*$O$2/12)</f>
        <v>0</v>
      </c>
      <c r="AE780" s="587">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61" t="str">
        <f t="shared" si="143"/>
        <v/>
      </c>
      <c r="B781" s="265">
        <f t="shared" si="144"/>
        <v>0</v>
      </c>
      <c r="C781" s="14">
        <f t="shared" si="141"/>
        <v>0</v>
      </c>
      <c r="D781" s="14">
        <f t="shared" si="145"/>
        <v>0</v>
      </c>
      <c r="E781" s="14">
        <f t="shared" si="142"/>
        <v>0</v>
      </c>
      <c r="K781" s="265">
        <f t="shared" si="146"/>
        <v>0</v>
      </c>
      <c r="L781" s="373">
        <f t="shared" si="148"/>
        <v>0</v>
      </c>
      <c r="M781" s="373">
        <f t="shared" si="147"/>
        <v>0</v>
      </c>
      <c r="N781" s="561"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Row],[Payment]]=0,0,$V$2)</f>
        <v>0</v>
      </c>
      <c r="U781" s="14">
        <f>IF(tblContractForDeed[[#This Row],[Princ]]=0,0,$V$3)</f>
        <v>0</v>
      </c>
      <c r="V781" s="14">
        <f>SUM(tblContractForDeed[[#This Row],[Princ]],tblContractForDeed[[#This Row],[Int]],tblContractForDeed[[#This Row],[Ins]],tblContractForDeed[[#This Row],[Taxes]])</f>
        <v>0</v>
      </c>
      <c r="W781" s="265">
        <f>SUM(INDEX(tblContractForDeed[Princ],1):INDEX(tblContractForDeed[Princ],ROW()-ROW(tblContractForDeed[#Headers])))</f>
        <v>146500</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1" s="265">
        <f>IF(INDEX(tblContractForDeed[End Bal],ROW()-ROW(tblBuyerOutputs[#Headers]))&lt;=0,0,($O$6+IF(ROW()=ROW(tblBuyerOutputs[#Headers])+1,0,INDEX(tblBuyerOutputs[Cumul Appr],ROW()-ROW(tblBuyerOutputs[#Headers])-1)))*$O$2/12)</f>
        <v>0</v>
      </c>
      <c r="AE781" s="587">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61" t="str">
        <f t="shared" si="143"/>
        <v/>
      </c>
      <c r="B782" s="265">
        <f t="shared" si="144"/>
        <v>0</v>
      </c>
      <c r="C782" s="14">
        <f t="shared" si="141"/>
        <v>0</v>
      </c>
      <c r="D782" s="14">
        <f t="shared" si="145"/>
        <v>0</v>
      </c>
      <c r="E782" s="14">
        <f t="shared" si="142"/>
        <v>0</v>
      </c>
      <c r="K782" s="265">
        <f t="shared" si="146"/>
        <v>0</v>
      </c>
      <c r="L782" s="373">
        <f t="shared" si="148"/>
        <v>0</v>
      </c>
      <c r="M782" s="373">
        <f t="shared" si="147"/>
        <v>0</v>
      </c>
      <c r="N782" s="561"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Row],[Payment]]=0,0,$V$2)</f>
        <v>0</v>
      </c>
      <c r="U782" s="14">
        <f>IF(tblContractForDeed[[#This Row],[Princ]]=0,0,$V$3)</f>
        <v>0</v>
      </c>
      <c r="V782" s="14">
        <f>SUM(tblContractForDeed[[#This Row],[Princ]],tblContractForDeed[[#This Row],[Int]],tblContractForDeed[[#This Row],[Ins]],tblContractForDeed[[#This Row],[Taxes]])</f>
        <v>0</v>
      </c>
      <c r="W782" s="265">
        <f>SUM(INDEX(tblContractForDeed[Princ],1):INDEX(tblContractForDeed[Princ],ROW()-ROW(tblContractForDeed[#Headers])))</f>
        <v>146500</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2" s="265">
        <f>IF(INDEX(tblContractForDeed[End Bal],ROW()-ROW(tblBuyerOutputs[#Headers]))&lt;=0,0,($O$6+IF(ROW()=ROW(tblBuyerOutputs[#Headers])+1,0,INDEX(tblBuyerOutputs[Cumul Appr],ROW()-ROW(tblBuyerOutputs[#Headers])-1)))*$O$2/12)</f>
        <v>0</v>
      </c>
      <c r="AE782" s="587">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61" t="str">
        <f t="shared" si="143"/>
        <v/>
      </c>
      <c r="B783" s="265">
        <f t="shared" si="144"/>
        <v>0</v>
      </c>
      <c r="C783" s="14">
        <f t="shared" si="141"/>
        <v>0</v>
      </c>
      <c r="D783" s="14">
        <f t="shared" si="145"/>
        <v>0</v>
      </c>
      <c r="E783" s="14">
        <f t="shared" si="142"/>
        <v>0</v>
      </c>
      <c r="K783" s="265">
        <f t="shared" si="146"/>
        <v>0</v>
      </c>
      <c r="L783" s="373">
        <f t="shared" si="148"/>
        <v>0</v>
      </c>
      <c r="M783" s="373">
        <f t="shared" si="147"/>
        <v>0</v>
      </c>
      <c r="N783" s="561"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Row],[Payment]]=0,0,$V$2)</f>
        <v>0</v>
      </c>
      <c r="U783" s="14">
        <f>IF(tblContractForDeed[[#This Row],[Princ]]=0,0,$V$3)</f>
        <v>0</v>
      </c>
      <c r="V783" s="14">
        <f>SUM(tblContractForDeed[[#This Row],[Princ]],tblContractForDeed[[#This Row],[Int]],tblContractForDeed[[#This Row],[Ins]],tblContractForDeed[[#This Row],[Taxes]])</f>
        <v>0</v>
      </c>
      <c r="W783" s="265">
        <f>SUM(INDEX(tblContractForDeed[Princ],1):INDEX(tblContractForDeed[Princ],ROW()-ROW(tblContractForDeed[#Headers])))</f>
        <v>146500</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3" s="265">
        <f>IF(INDEX(tblContractForDeed[End Bal],ROW()-ROW(tblBuyerOutputs[#Headers]))&lt;=0,0,($O$6+IF(ROW()=ROW(tblBuyerOutputs[#Headers])+1,0,INDEX(tblBuyerOutputs[Cumul Appr],ROW()-ROW(tblBuyerOutputs[#Headers])-1)))*$O$2/12)</f>
        <v>0</v>
      </c>
      <c r="AE783" s="587">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61" t="str">
        <f t="shared" si="143"/>
        <v/>
      </c>
      <c r="B784" s="265">
        <f t="shared" si="144"/>
        <v>0</v>
      </c>
      <c r="C784" s="14">
        <f t="shared" si="141"/>
        <v>0</v>
      </c>
      <c r="D784" s="14">
        <f t="shared" si="145"/>
        <v>0</v>
      </c>
      <c r="E784" s="14">
        <f t="shared" si="142"/>
        <v>0</v>
      </c>
      <c r="K784" s="265">
        <f t="shared" si="146"/>
        <v>0</v>
      </c>
      <c r="L784" s="373">
        <f t="shared" si="148"/>
        <v>0</v>
      </c>
      <c r="M784" s="373">
        <f t="shared" si="147"/>
        <v>0</v>
      </c>
      <c r="N784" s="561"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Row],[Payment]]=0,0,$V$2)</f>
        <v>0</v>
      </c>
      <c r="U784" s="14">
        <f>IF(tblContractForDeed[[#This Row],[Princ]]=0,0,$V$3)</f>
        <v>0</v>
      </c>
      <c r="V784" s="14">
        <f>SUM(tblContractForDeed[[#This Row],[Princ]],tblContractForDeed[[#This Row],[Int]],tblContractForDeed[[#This Row],[Ins]],tblContractForDeed[[#This Row],[Taxes]])</f>
        <v>0</v>
      </c>
      <c r="W784" s="265">
        <f>SUM(INDEX(tblContractForDeed[Princ],1):INDEX(tblContractForDeed[Princ],ROW()-ROW(tblContractForDeed[#Headers])))</f>
        <v>146500</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4" s="265">
        <f>IF(INDEX(tblContractForDeed[End Bal],ROW()-ROW(tblBuyerOutputs[#Headers]))&lt;=0,0,($O$6+IF(ROW()=ROW(tblBuyerOutputs[#Headers])+1,0,INDEX(tblBuyerOutputs[Cumul Appr],ROW()-ROW(tblBuyerOutputs[#Headers])-1)))*$O$2/12)</f>
        <v>0</v>
      </c>
      <c r="AE784" s="587">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61" t="str">
        <f t="shared" si="143"/>
        <v/>
      </c>
      <c r="B785" s="265">
        <f t="shared" si="144"/>
        <v>0</v>
      </c>
      <c r="C785" s="14">
        <f t="shared" si="141"/>
        <v>0</v>
      </c>
      <c r="D785" s="14">
        <f t="shared" si="145"/>
        <v>0</v>
      </c>
      <c r="E785" s="14">
        <f t="shared" si="142"/>
        <v>0</v>
      </c>
      <c r="K785" s="265">
        <f t="shared" si="146"/>
        <v>0</v>
      </c>
      <c r="L785" s="373">
        <f t="shared" si="148"/>
        <v>0</v>
      </c>
      <c r="M785" s="373">
        <f t="shared" si="147"/>
        <v>0</v>
      </c>
      <c r="N785" s="561"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Row],[Payment]]=0,0,$V$2)</f>
        <v>0</v>
      </c>
      <c r="U785" s="14">
        <f>IF(tblContractForDeed[[#This Row],[Princ]]=0,0,$V$3)</f>
        <v>0</v>
      </c>
      <c r="V785" s="14">
        <f>SUM(tblContractForDeed[[#This Row],[Princ]],tblContractForDeed[[#This Row],[Int]],tblContractForDeed[[#This Row],[Ins]],tblContractForDeed[[#This Row],[Taxes]])</f>
        <v>0</v>
      </c>
      <c r="W785" s="265">
        <f>SUM(INDEX(tblContractForDeed[Princ],1):INDEX(tblContractForDeed[Princ],ROW()-ROW(tblContractForDeed[#Headers])))</f>
        <v>146500</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5" s="265">
        <f>IF(INDEX(tblContractForDeed[End Bal],ROW()-ROW(tblBuyerOutputs[#Headers]))&lt;=0,0,($O$6+IF(ROW()=ROW(tblBuyerOutputs[#Headers])+1,0,INDEX(tblBuyerOutputs[Cumul Appr],ROW()-ROW(tblBuyerOutputs[#Headers])-1)))*$O$2/12)</f>
        <v>0</v>
      </c>
      <c r="AE785" s="587">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61" t="str">
        <f t="shared" si="143"/>
        <v/>
      </c>
      <c r="B786" s="265">
        <f t="shared" si="144"/>
        <v>0</v>
      </c>
      <c r="C786" s="14">
        <f t="shared" si="141"/>
        <v>0</v>
      </c>
      <c r="D786" s="14">
        <f t="shared" si="145"/>
        <v>0</v>
      </c>
      <c r="E786" s="14">
        <f t="shared" si="142"/>
        <v>0</v>
      </c>
      <c r="K786" s="265">
        <f t="shared" si="146"/>
        <v>0</v>
      </c>
      <c r="L786" s="373">
        <f t="shared" si="148"/>
        <v>0</v>
      </c>
      <c r="M786" s="373">
        <f t="shared" si="147"/>
        <v>0</v>
      </c>
      <c r="N786" s="561"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Row],[Payment]]=0,0,$V$2)</f>
        <v>0</v>
      </c>
      <c r="U786" s="14">
        <f>IF(tblContractForDeed[[#This Row],[Princ]]=0,0,$V$3)</f>
        <v>0</v>
      </c>
      <c r="V786" s="14">
        <f>SUM(tblContractForDeed[[#This Row],[Princ]],tblContractForDeed[[#This Row],[Int]],tblContractForDeed[[#This Row],[Ins]],tblContractForDeed[[#This Row],[Taxes]])</f>
        <v>0</v>
      </c>
      <c r="W786" s="265">
        <f>SUM(INDEX(tblContractForDeed[Princ],1):INDEX(tblContractForDeed[Princ],ROW()-ROW(tblContractForDeed[#Headers])))</f>
        <v>146500</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6" s="265">
        <f>IF(INDEX(tblContractForDeed[End Bal],ROW()-ROW(tblBuyerOutputs[#Headers]))&lt;=0,0,($O$6+IF(ROW()=ROW(tblBuyerOutputs[#Headers])+1,0,INDEX(tblBuyerOutputs[Cumul Appr],ROW()-ROW(tblBuyerOutputs[#Headers])-1)))*$O$2/12)</f>
        <v>0</v>
      </c>
      <c r="AE786" s="587">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62" t="str">
        <f t="shared" si="143"/>
        <v/>
      </c>
      <c r="B787" s="316">
        <f t="shared" si="144"/>
        <v>0</v>
      </c>
      <c r="C787" s="21">
        <f t="shared" si="141"/>
        <v>0</v>
      </c>
      <c r="D787" s="21">
        <f t="shared" si="145"/>
        <v>0</v>
      </c>
      <c r="E787" s="21">
        <f t="shared" si="142"/>
        <v>0</v>
      </c>
      <c r="F787" s="21"/>
      <c r="G787" s="21"/>
      <c r="H787" s="21"/>
      <c r="I787" s="316"/>
      <c r="J787" s="316"/>
      <c r="K787" s="316">
        <f t="shared" si="146"/>
        <v>0</v>
      </c>
      <c r="L787" s="374">
        <f t="shared" si="148"/>
        <v>0</v>
      </c>
      <c r="M787" s="374">
        <f t="shared" si="147"/>
        <v>0</v>
      </c>
      <c r="N787" s="562" t="str">
        <f>INDEX(tblSubjectToLoan[Date],ROW()-ROW(tblContractForDeed[#Headers]))</f>
        <v/>
      </c>
      <c r="O787" s="316">
        <f>IF(ROW()=ROW(tblContractForDeed[#Headers])+1,$O$6,IF(INDEX(tblContractForDeed[End Bal],ROW()-ROW(tblContractForDeed[#Headers])-1)&lt;0,0,INDEX(tblContractForDeed[End Bal],ROW()-ROW(tblContractForDeed[#Headers])-1)))</f>
        <v>0</v>
      </c>
      <c r="P787" s="585"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Row],[Payment]]=0,0,$V$2)</f>
        <v>0</v>
      </c>
      <c r="U787" s="21">
        <f>IF(tblContractForDeed[[#This Row],[Princ]]=0,0,$V$3)</f>
        <v>0</v>
      </c>
      <c r="V787" s="21">
        <f>SUM(tblContractForDeed[[#This Row],[Princ]],tblContractForDeed[[#This Row],[Int]],tblContractForDeed[[#This Row],[Ins]],tblContractForDeed[[#This Row],[Taxes]])</f>
        <v>0</v>
      </c>
      <c r="W787" s="316">
        <f>SUM(INDEX(tblContractForDeed[Princ],1):INDEX(tblContractForDeed[Princ],ROW()-ROW(tblContractForDeed[#Headers])))</f>
        <v>146500</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7" s="316">
        <f>IF(INDEX(tblContractForDeed[End Bal],ROW()-ROW(tblBuyerOutputs[#Headers]))&lt;=0,0,($O$6+IF(ROW()=ROW(tblBuyerOutputs[#Headers])+1,0,INDEX(tblBuyerOutputs[Cumul Appr],ROW()-ROW(tblBuyerOutputs[#Headers])-1)))*$O$2/12)</f>
        <v>0</v>
      </c>
      <c r="AE787" s="588">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63" t="str">
        <f t="shared" si="143"/>
        <v/>
      </c>
      <c r="B788" s="265">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65">
        <f t="shared" si="146"/>
        <v>0</v>
      </c>
      <c r="M788" s="22">
        <f t="shared" si="147"/>
        <v>0</v>
      </c>
      <c r="N788" s="563"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Row],[Payment]]=0,0,$V$2)</f>
        <v>0</v>
      </c>
      <c r="U788" s="14">
        <f>IF(tblContractForDeed[[#This Row],[Princ]]=0,0,$V$3)</f>
        <v>0</v>
      </c>
      <c r="V788" s="14">
        <f>SUM(tblContractForDeed[[#This Row],[Princ]],tblContractForDeed[[#This Row],[Int]],tblContractForDeed[[#This Row],[Ins]],tblContractForDeed[[#This Row],[Taxes]])</f>
        <v>0</v>
      </c>
      <c r="W788" s="265">
        <f>SUM(INDEX(tblContractForDeed[Princ],1):INDEX(tblContractForDeed[Princ],ROW()-ROW(tblContractForDeed[#Headers])))</f>
        <v>146500</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8" s="265">
        <f>IF(INDEX(tblContractForDeed[End Bal],ROW()-ROW(tblBuyerOutputs[#Headers]))&lt;=0,0,($O$6+IF(ROW()=ROW(tblBuyerOutputs[#Headers])+1,0,INDEX(tblBuyerOutputs[Cumul Appr],ROW()-ROW(tblBuyerOutputs[#Headers])-1)))*$O$2/12)</f>
        <v>0</v>
      </c>
      <c r="AE788" s="587">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63" t="str">
        <f t="shared" ref="A789:A833" si="151">IF(OR(A788="",A788&gt;=subjectMortgageEndDate),"",EDATE(A788,1))</f>
        <v/>
      </c>
      <c r="B789" s="265">
        <f t="shared" ref="B789:B833" si="152">IF(A789="",0,MAX(0,K788))</f>
        <v>0</v>
      </c>
      <c r="C789" s="14">
        <f t="shared" si="149"/>
        <v>0</v>
      </c>
      <c r="D789" s="14">
        <f t="shared" ref="D789:D833" si="153">IF(C789=0,0,MAX(0,MIN(B789,C789-E789)))</f>
        <v>0</v>
      </c>
      <c r="E789" s="14">
        <f t="shared" si="150"/>
        <v>0</v>
      </c>
      <c r="K789" s="265">
        <f t="shared" ref="K789:K833" si="154">IF(A789="",0,IF(B789&lt;=0,0,MAX(0,B789-D789)))</f>
        <v>0</v>
      </c>
      <c r="M789" s="22">
        <f t="shared" ref="M789:M833" si="155">IF($A789&lt;&gt;"",M788+1,0)</f>
        <v>0</v>
      </c>
      <c r="N789" s="563"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Row],[Payment]]=0,0,$V$2)</f>
        <v>0</v>
      </c>
      <c r="U789" s="14">
        <f>IF(tblContractForDeed[[#This Row],[Princ]]=0,0,$V$3)</f>
        <v>0</v>
      </c>
      <c r="V789" s="14">
        <f>SUM(tblContractForDeed[[#This Row],[Princ]],tblContractForDeed[[#This Row],[Int]],tblContractForDeed[[#This Row],[Ins]],tblContractForDeed[[#This Row],[Taxes]])</f>
        <v>0</v>
      </c>
      <c r="W789" s="265">
        <f>SUM(INDEX(tblContractForDeed[Princ],1):INDEX(tblContractForDeed[Princ],ROW()-ROW(tblContractForDeed[#Headers])))</f>
        <v>146500</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9" s="265">
        <f>IF(INDEX(tblContractForDeed[End Bal],ROW()-ROW(tblBuyerOutputs[#Headers]))&lt;=0,0,($O$6+IF(ROW()=ROW(tblBuyerOutputs[#Headers])+1,0,INDEX(tblBuyerOutputs[Cumul Appr],ROW()-ROW(tblBuyerOutputs[#Headers])-1)))*$O$2/12)</f>
        <v>0</v>
      </c>
      <c r="AE789" s="587">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63" t="str">
        <f t="shared" si="151"/>
        <v/>
      </c>
      <c r="B790" s="265">
        <f t="shared" si="152"/>
        <v>0</v>
      </c>
      <c r="C790" s="14">
        <f t="shared" si="149"/>
        <v>0</v>
      </c>
      <c r="D790" s="14">
        <f t="shared" si="153"/>
        <v>0</v>
      </c>
      <c r="E790" s="14">
        <f t="shared" si="150"/>
        <v>0</v>
      </c>
      <c r="K790" s="265">
        <f t="shared" si="154"/>
        <v>0</v>
      </c>
      <c r="M790" s="22">
        <f t="shared" si="155"/>
        <v>0</v>
      </c>
      <c r="N790" s="563"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Row],[Payment]]=0,0,$V$2)</f>
        <v>0</v>
      </c>
      <c r="U790" s="14">
        <f>IF(tblContractForDeed[[#This Row],[Princ]]=0,0,$V$3)</f>
        <v>0</v>
      </c>
      <c r="V790" s="14">
        <f>SUM(tblContractForDeed[[#This Row],[Princ]],tblContractForDeed[[#This Row],[Int]],tblContractForDeed[[#This Row],[Ins]],tblContractForDeed[[#This Row],[Taxes]])</f>
        <v>0</v>
      </c>
      <c r="W790" s="265">
        <f>SUM(INDEX(tblContractForDeed[Princ],1):INDEX(tblContractForDeed[Princ],ROW()-ROW(tblContractForDeed[#Headers])))</f>
        <v>146500</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0" s="265">
        <f>IF(INDEX(tblContractForDeed[End Bal],ROW()-ROW(tblBuyerOutputs[#Headers]))&lt;=0,0,($O$6+IF(ROW()=ROW(tblBuyerOutputs[#Headers])+1,0,INDEX(tblBuyerOutputs[Cumul Appr],ROW()-ROW(tblBuyerOutputs[#Headers])-1)))*$O$2/12)</f>
        <v>0</v>
      </c>
      <c r="AE790" s="587">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63" t="str">
        <f t="shared" si="151"/>
        <v/>
      </c>
      <c r="B791" s="265">
        <f t="shared" si="152"/>
        <v>0</v>
      </c>
      <c r="C791" s="14">
        <f t="shared" si="149"/>
        <v>0</v>
      </c>
      <c r="D791" s="14">
        <f t="shared" si="153"/>
        <v>0</v>
      </c>
      <c r="E791" s="14">
        <f t="shared" si="150"/>
        <v>0</v>
      </c>
      <c r="K791" s="265">
        <f t="shared" si="154"/>
        <v>0</v>
      </c>
      <c r="M791" s="22">
        <f t="shared" si="155"/>
        <v>0</v>
      </c>
      <c r="N791" s="563"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Row],[Payment]]=0,0,$V$2)</f>
        <v>0</v>
      </c>
      <c r="U791" s="14">
        <f>IF(tblContractForDeed[[#This Row],[Princ]]=0,0,$V$3)</f>
        <v>0</v>
      </c>
      <c r="V791" s="14">
        <f>SUM(tblContractForDeed[[#This Row],[Princ]],tblContractForDeed[[#This Row],[Int]],tblContractForDeed[[#This Row],[Ins]],tblContractForDeed[[#This Row],[Taxes]])</f>
        <v>0</v>
      </c>
      <c r="W791" s="265">
        <f>SUM(INDEX(tblContractForDeed[Princ],1):INDEX(tblContractForDeed[Princ],ROW()-ROW(tblContractForDeed[#Headers])))</f>
        <v>146500</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1" s="265">
        <f>IF(INDEX(tblContractForDeed[End Bal],ROW()-ROW(tblBuyerOutputs[#Headers]))&lt;=0,0,($O$6+IF(ROW()=ROW(tblBuyerOutputs[#Headers])+1,0,INDEX(tblBuyerOutputs[Cumul Appr],ROW()-ROW(tblBuyerOutputs[#Headers])-1)))*$O$2/12)</f>
        <v>0</v>
      </c>
      <c r="AE791" s="587">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63" t="str">
        <f t="shared" si="151"/>
        <v/>
      </c>
      <c r="B792" s="265">
        <f t="shared" si="152"/>
        <v>0</v>
      </c>
      <c r="C792" s="14">
        <f t="shared" si="149"/>
        <v>0</v>
      </c>
      <c r="D792" s="14">
        <f t="shared" si="153"/>
        <v>0</v>
      </c>
      <c r="E792" s="14">
        <f t="shared" si="150"/>
        <v>0</v>
      </c>
      <c r="K792" s="265">
        <f t="shared" si="154"/>
        <v>0</v>
      </c>
      <c r="M792" s="22">
        <f t="shared" si="155"/>
        <v>0</v>
      </c>
      <c r="N792" s="563"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Row],[Payment]]=0,0,$V$2)</f>
        <v>0</v>
      </c>
      <c r="U792" s="14">
        <f>IF(tblContractForDeed[[#This Row],[Princ]]=0,0,$V$3)</f>
        <v>0</v>
      </c>
      <c r="V792" s="14">
        <f>SUM(tblContractForDeed[[#This Row],[Princ]],tblContractForDeed[[#This Row],[Int]],tblContractForDeed[[#This Row],[Ins]],tblContractForDeed[[#This Row],[Taxes]])</f>
        <v>0</v>
      </c>
      <c r="W792" s="265">
        <f>SUM(INDEX(tblContractForDeed[Princ],1):INDEX(tblContractForDeed[Princ],ROW()-ROW(tblContractForDeed[#Headers])))</f>
        <v>146500</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2" s="265">
        <f>IF(INDEX(tblContractForDeed[End Bal],ROW()-ROW(tblBuyerOutputs[#Headers]))&lt;=0,0,($O$6+IF(ROW()=ROW(tblBuyerOutputs[#Headers])+1,0,INDEX(tblBuyerOutputs[Cumul Appr],ROW()-ROW(tblBuyerOutputs[#Headers])-1)))*$O$2/12)</f>
        <v>0</v>
      </c>
      <c r="AE792" s="587">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63" t="str">
        <f t="shared" si="151"/>
        <v/>
      </c>
      <c r="B793" s="265">
        <f t="shared" si="152"/>
        <v>0</v>
      </c>
      <c r="C793" s="14">
        <f t="shared" si="149"/>
        <v>0</v>
      </c>
      <c r="D793" s="14">
        <f t="shared" si="153"/>
        <v>0</v>
      </c>
      <c r="E793" s="14">
        <f t="shared" si="150"/>
        <v>0</v>
      </c>
      <c r="K793" s="265">
        <f t="shared" si="154"/>
        <v>0</v>
      </c>
      <c r="M793" s="22">
        <f t="shared" si="155"/>
        <v>0</v>
      </c>
      <c r="N793" s="563"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Row],[Payment]]=0,0,$V$2)</f>
        <v>0</v>
      </c>
      <c r="U793" s="14">
        <f>IF(tblContractForDeed[[#This Row],[Princ]]=0,0,$V$3)</f>
        <v>0</v>
      </c>
      <c r="V793" s="14">
        <f>SUM(tblContractForDeed[[#This Row],[Princ]],tblContractForDeed[[#This Row],[Int]],tblContractForDeed[[#This Row],[Ins]],tblContractForDeed[[#This Row],[Taxes]])</f>
        <v>0</v>
      </c>
      <c r="W793" s="265">
        <f>SUM(INDEX(tblContractForDeed[Princ],1):INDEX(tblContractForDeed[Princ],ROW()-ROW(tblContractForDeed[#Headers])))</f>
        <v>146500</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3" s="265">
        <f>IF(INDEX(tblContractForDeed[End Bal],ROW()-ROW(tblBuyerOutputs[#Headers]))&lt;=0,0,($O$6+IF(ROW()=ROW(tblBuyerOutputs[#Headers])+1,0,INDEX(tblBuyerOutputs[Cumul Appr],ROW()-ROW(tblBuyerOutputs[#Headers])-1)))*$O$2/12)</f>
        <v>0</v>
      </c>
      <c r="AE793" s="587">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63" t="str">
        <f t="shared" si="151"/>
        <v/>
      </c>
      <c r="B794" s="265">
        <f t="shared" si="152"/>
        <v>0</v>
      </c>
      <c r="C794" s="14">
        <f t="shared" si="149"/>
        <v>0</v>
      </c>
      <c r="D794" s="14">
        <f t="shared" si="153"/>
        <v>0</v>
      </c>
      <c r="E794" s="14">
        <f t="shared" si="150"/>
        <v>0</v>
      </c>
      <c r="K794" s="265">
        <f t="shared" si="154"/>
        <v>0</v>
      </c>
      <c r="M794" s="22">
        <f t="shared" si="155"/>
        <v>0</v>
      </c>
      <c r="N794" s="563"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Row],[Payment]]=0,0,$V$2)</f>
        <v>0</v>
      </c>
      <c r="U794" s="14">
        <f>IF(tblContractForDeed[[#This Row],[Princ]]=0,0,$V$3)</f>
        <v>0</v>
      </c>
      <c r="V794" s="14">
        <f>SUM(tblContractForDeed[[#This Row],[Princ]],tblContractForDeed[[#This Row],[Int]],tblContractForDeed[[#This Row],[Ins]],tblContractForDeed[[#This Row],[Taxes]])</f>
        <v>0</v>
      </c>
      <c r="W794" s="265">
        <f>SUM(INDEX(tblContractForDeed[Princ],1):INDEX(tblContractForDeed[Princ],ROW()-ROW(tblContractForDeed[#Headers])))</f>
        <v>146500</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4" s="265">
        <f>IF(INDEX(tblContractForDeed[End Bal],ROW()-ROW(tblBuyerOutputs[#Headers]))&lt;=0,0,($O$6+IF(ROW()=ROW(tblBuyerOutputs[#Headers])+1,0,INDEX(tblBuyerOutputs[Cumul Appr],ROW()-ROW(tblBuyerOutputs[#Headers])-1)))*$O$2/12)</f>
        <v>0</v>
      </c>
      <c r="AE794" s="587">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63" t="str">
        <f t="shared" si="151"/>
        <v/>
      </c>
      <c r="B795" s="265">
        <f t="shared" si="152"/>
        <v>0</v>
      </c>
      <c r="C795" s="14">
        <f t="shared" si="149"/>
        <v>0</v>
      </c>
      <c r="D795" s="14">
        <f t="shared" si="153"/>
        <v>0</v>
      </c>
      <c r="E795" s="14">
        <f t="shared" si="150"/>
        <v>0</v>
      </c>
      <c r="K795" s="265">
        <f t="shared" si="154"/>
        <v>0</v>
      </c>
      <c r="M795" s="22">
        <f t="shared" si="155"/>
        <v>0</v>
      </c>
      <c r="N795" s="563"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Row],[Payment]]=0,0,$V$2)</f>
        <v>0</v>
      </c>
      <c r="U795" s="14">
        <f>IF(tblContractForDeed[[#This Row],[Princ]]=0,0,$V$3)</f>
        <v>0</v>
      </c>
      <c r="V795" s="14">
        <f>SUM(tblContractForDeed[[#This Row],[Princ]],tblContractForDeed[[#This Row],[Int]],tblContractForDeed[[#This Row],[Ins]],tblContractForDeed[[#This Row],[Taxes]])</f>
        <v>0</v>
      </c>
      <c r="W795" s="265">
        <f>SUM(INDEX(tblContractForDeed[Princ],1):INDEX(tblContractForDeed[Princ],ROW()-ROW(tblContractForDeed[#Headers])))</f>
        <v>146500</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5" s="265">
        <f>IF(INDEX(tblContractForDeed[End Bal],ROW()-ROW(tblBuyerOutputs[#Headers]))&lt;=0,0,($O$6+IF(ROW()=ROW(tblBuyerOutputs[#Headers])+1,0,INDEX(tblBuyerOutputs[Cumul Appr],ROW()-ROW(tblBuyerOutputs[#Headers])-1)))*$O$2/12)</f>
        <v>0</v>
      </c>
      <c r="AE795" s="587">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63" t="str">
        <f t="shared" si="151"/>
        <v/>
      </c>
      <c r="B796" s="265">
        <f t="shared" si="152"/>
        <v>0</v>
      </c>
      <c r="C796" s="14">
        <f t="shared" si="149"/>
        <v>0</v>
      </c>
      <c r="D796" s="14">
        <f t="shared" si="153"/>
        <v>0</v>
      </c>
      <c r="E796" s="14">
        <f t="shared" si="150"/>
        <v>0</v>
      </c>
      <c r="K796" s="265">
        <f t="shared" si="154"/>
        <v>0</v>
      </c>
      <c r="M796" s="22">
        <f t="shared" si="155"/>
        <v>0</v>
      </c>
      <c r="N796" s="563"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Row],[Payment]]=0,0,$V$2)</f>
        <v>0</v>
      </c>
      <c r="U796" s="14">
        <f>IF(tblContractForDeed[[#This Row],[Princ]]=0,0,$V$3)</f>
        <v>0</v>
      </c>
      <c r="V796" s="14">
        <f>SUM(tblContractForDeed[[#This Row],[Princ]],tblContractForDeed[[#This Row],[Int]],tblContractForDeed[[#This Row],[Ins]],tblContractForDeed[[#This Row],[Taxes]])</f>
        <v>0</v>
      </c>
      <c r="W796" s="265">
        <f>SUM(INDEX(tblContractForDeed[Princ],1):INDEX(tblContractForDeed[Princ],ROW()-ROW(tblContractForDeed[#Headers])))</f>
        <v>146500</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6" s="265">
        <f>IF(INDEX(tblContractForDeed[End Bal],ROW()-ROW(tblBuyerOutputs[#Headers]))&lt;=0,0,($O$6+IF(ROW()=ROW(tblBuyerOutputs[#Headers])+1,0,INDEX(tblBuyerOutputs[Cumul Appr],ROW()-ROW(tblBuyerOutputs[#Headers])-1)))*$O$2/12)</f>
        <v>0</v>
      </c>
      <c r="AE796" s="587">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63" t="str">
        <f t="shared" si="151"/>
        <v/>
      </c>
      <c r="B797" s="265">
        <f t="shared" si="152"/>
        <v>0</v>
      </c>
      <c r="C797" s="14">
        <f t="shared" si="149"/>
        <v>0</v>
      </c>
      <c r="D797" s="14">
        <f t="shared" si="153"/>
        <v>0</v>
      </c>
      <c r="E797" s="14">
        <f t="shared" si="150"/>
        <v>0</v>
      </c>
      <c r="K797" s="265">
        <f t="shared" si="154"/>
        <v>0</v>
      </c>
      <c r="M797" s="22">
        <f t="shared" si="155"/>
        <v>0</v>
      </c>
      <c r="N797" s="563"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Row],[Payment]]=0,0,$V$2)</f>
        <v>0</v>
      </c>
      <c r="U797" s="14">
        <f>IF(tblContractForDeed[[#This Row],[Princ]]=0,0,$V$3)</f>
        <v>0</v>
      </c>
      <c r="V797" s="14">
        <f>SUM(tblContractForDeed[[#This Row],[Princ]],tblContractForDeed[[#This Row],[Int]],tblContractForDeed[[#This Row],[Ins]],tblContractForDeed[[#This Row],[Taxes]])</f>
        <v>0</v>
      </c>
      <c r="W797" s="265">
        <f>SUM(INDEX(tblContractForDeed[Princ],1):INDEX(tblContractForDeed[Princ],ROW()-ROW(tblContractForDeed[#Headers])))</f>
        <v>146500</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7" s="265">
        <f>IF(INDEX(tblContractForDeed[End Bal],ROW()-ROW(tblBuyerOutputs[#Headers]))&lt;=0,0,($O$6+IF(ROW()=ROW(tblBuyerOutputs[#Headers])+1,0,INDEX(tblBuyerOutputs[Cumul Appr],ROW()-ROW(tblBuyerOutputs[#Headers])-1)))*$O$2/12)</f>
        <v>0</v>
      </c>
      <c r="AE797" s="587">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63" t="str">
        <f t="shared" si="151"/>
        <v/>
      </c>
      <c r="B798" s="265">
        <f t="shared" si="152"/>
        <v>0</v>
      </c>
      <c r="C798" s="14">
        <f t="shared" si="149"/>
        <v>0</v>
      </c>
      <c r="D798" s="14">
        <f t="shared" si="153"/>
        <v>0</v>
      </c>
      <c r="E798" s="14">
        <f t="shared" si="150"/>
        <v>0</v>
      </c>
      <c r="K798" s="265">
        <f t="shared" si="154"/>
        <v>0</v>
      </c>
      <c r="M798" s="22">
        <f t="shared" si="155"/>
        <v>0</v>
      </c>
      <c r="N798" s="563"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Row],[Payment]]=0,0,$V$2)</f>
        <v>0</v>
      </c>
      <c r="U798" s="14">
        <f>IF(tblContractForDeed[[#This Row],[Princ]]=0,0,$V$3)</f>
        <v>0</v>
      </c>
      <c r="V798" s="14">
        <f>SUM(tblContractForDeed[[#This Row],[Princ]],tblContractForDeed[[#This Row],[Int]],tblContractForDeed[[#This Row],[Ins]],tblContractForDeed[[#This Row],[Taxes]])</f>
        <v>0</v>
      </c>
      <c r="W798" s="265">
        <f>SUM(INDEX(tblContractForDeed[Princ],1):INDEX(tblContractForDeed[Princ],ROW()-ROW(tblContractForDeed[#Headers])))</f>
        <v>146500</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8" s="265">
        <f>IF(INDEX(tblContractForDeed[End Bal],ROW()-ROW(tblBuyerOutputs[#Headers]))&lt;=0,0,($O$6+IF(ROW()=ROW(tblBuyerOutputs[#Headers])+1,0,INDEX(tblBuyerOutputs[Cumul Appr],ROW()-ROW(tblBuyerOutputs[#Headers])-1)))*$O$2/12)</f>
        <v>0</v>
      </c>
      <c r="AE798" s="587">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63" t="str">
        <f t="shared" si="151"/>
        <v/>
      </c>
      <c r="B799" s="265">
        <f t="shared" si="152"/>
        <v>0</v>
      </c>
      <c r="C799" s="14">
        <f t="shared" si="149"/>
        <v>0</v>
      </c>
      <c r="D799" s="14">
        <f t="shared" si="153"/>
        <v>0</v>
      </c>
      <c r="E799" s="14">
        <f t="shared" si="150"/>
        <v>0</v>
      </c>
      <c r="K799" s="265">
        <f t="shared" si="154"/>
        <v>0</v>
      </c>
      <c r="M799" s="22">
        <f t="shared" si="155"/>
        <v>0</v>
      </c>
      <c r="N799" s="563"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Row],[Payment]]=0,0,$V$2)</f>
        <v>0</v>
      </c>
      <c r="U799" s="14">
        <f>IF(tblContractForDeed[[#This Row],[Princ]]=0,0,$V$3)</f>
        <v>0</v>
      </c>
      <c r="V799" s="14">
        <f>SUM(tblContractForDeed[[#This Row],[Princ]],tblContractForDeed[[#This Row],[Int]],tblContractForDeed[[#This Row],[Ins]],tblContractForDeed[[#This Row],[Taxes]])</f>
        <v>0</v>
      </c>
      <c r="W799" s="265">
        <f>SUM(INDEX(tblContractForDeed[Princ],1):INDEX(tblContractForDeed[Princ],ROW()-ROW(tblContractForDeed[#Headers])))</f>
        <v>146500</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9" s="265">
        <f>IF(INDEX(tblContractForDeed[End Bal],ROW()-ROW(tblBuyerOutputs[#Headers]))&lt;=0,0,($O$6+IF(ROW()=ROW(tblBuyerOutputs[#Headers])+1,0,INDEX(tblBuyerOutputs[Cumul Appr],ROW()-ROW(tblBuyerOutputs[#Headers])-1)))*$O$2/12)</f>
        <v>0</v>
      </c>
      <c r="AE799" s="587">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63" t="str">
        <f t="shared" si="151"/>
        <v/>
      </c>
      <c r="B800" s="265">
        <f t="shared" si="152"/>
        <v>0</v>
      </c>
      <c r="C800" s="14">
        <f t="shared" si="149"/>
        <v>0</v>
      </c>
      <c r="D800" s="14">
        <f t="shared" si="153"/>
        <v>0</v>
      </c>
      <c r="E800" s="14">
        <f t="shared" si="150"/>
        <v>0</v>
      </c>
      <c r="K800" s="265">
        <f t="shared" si="154"/>
        <v>0</v>
      </c>
      <c r="M800" s="22">
        <f t="shared" si="155"/>
        <v>0</v>
      </c>
      <c r="N800" s="563"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Row],[Payment]]=0,0,$V$2)</f>
        <v>0</v>
      </c>
      <c r="U800" s="14">
        <f>IF(tblContractForDeed[[#This Row],[Princ]]=0,0,$V$3)</f>
        <v>0</v>
      </c>
      <c r="V800" s="14">
        <f>SUM(tblContractForDeed[[#This Row],[Princ]],tblContractForDeed[[#This Row],[Int]],tblContractForDeed[[#This Row],[Ins]],tblContractForDeed[[#This Row],[Taxes]])</f>
        <v>0</v>
      </c>
      <c r="W800" s="265">
        <f>SUM(INDEX(tblContractForDeed[Princ],1):INDEX(tblContractForDeed[Princ],ROW()-ROW(tblContractForDeed[#Headers])))</f>
        <v>146500</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0" s="265">
        <f>IF(INDEX(tblContractForDeed[End Bal],ROW()-ROW(tblBuyerOutputs[#Headers]))&lt;=0,0,($O$6+IF(ROW()=ROW(tblBuyerOutputs[#Headers])+1,0,INDEX(tblBuyerOutputs[Cumul Appr],ROW()-ROW(tblBuyerOutputs[#Headers])-1)))*$O$2/12)</f>
        <v>0</v>
      </c>
      <c r="AE800" s="587">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63" t="str">
        <f t="shared" si="151"/>
        <v/>
      </c>
      <c r="B801" s="265">
        <f t="shared" si="152"/>
        <v>0</v>
      </c>
      <c r="C801" s="14">
        <f t="shared" si="149"/>
        <v>0</v>
      </c>
      <c r="D801" s="14">
        <f t="shared" si="153"/>
        <v>0</v>
      </c>
      <c r="E801" s="14">
        <f t="shared" si="150"/>
        <v>0</v>
      </c>
      <c r="K801" s="265">
        <f t="shared" si="154"/>
        <v>0</v>
      </c>
      <c r="M801" s="22">
        <f t="shared" si="155"/>
        <v>0</v>
      </c>
      <c r="N801" s="563"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Row],[Payment]]=0,0,$V$2)</f>
        <v>0</v>
      </c>
      <c r="U801" s="14">
        <f>IF(tblContractForDeed[[#This Row],[Princ]]=0,0,$V$3)</f>
        <v>0</v>
      </c>
      <c r="V801" s="14">
        <f>SUM(tblContractForDeed[[#This Row],[Princ]],tblContractForDeed[[#This Row],[Int]],tblContractForDeed[[#This Row],[Ins]],tblContractForDeed[[#This Row],[Taxes]])</f>
        <v>0</v>
      </c>
      <c r="W801" s="265">
        <f>SUM(INDEX(tblContractForDeed[Princ],1):INDEX(tblContractForDeed[Princ],ROW()-ROW(tblContractForDeed[#Headers])))</f>
        <v>146500</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1" s="265">
        <f>IF(INDEX(tblContractForDeed[End Bal],ROW()-ROW(tblBuyerOutputs[#Headers]))&lt;=0,0,($O$6+IF(ROW()=ROW(tblBuyerOutputs[#Headers])+1,0,INDEX(tblBuyerOutputs[Cumul Appr],ROW()-ROW(tblBuyerOutputs[#Headers])-1)))*$O$2/12)</f>
        <v>0</v>
      </c>
      <c r="AE801" s="587">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63" t="str">
        <f t="shared" si="151"/>
        <v/>
      </c>
      <c r="B802" s="265">
        <f t="shared" si="152"/>
        <v>0</v>
      </c>
      <c r="C802" s="14">
        <f t="shared" si="149"/>
        <v>0</v>
      </c>
      <c r="D802" s="14">
        <f t="shared" si="153"/>
        <v>0</v>
      </c>
      <c r="E802" s="14">
        <f t="shared" si="150"/>
        <v>0</v>
      </c>
      <c r="K802" s="265">
        <f t="shared" si="154"/>
        <v>0</v>
      </c>
      <c r="M802" s="22">
        <f t="shared" si="155"/>
        <v>0</v>
      </c>
      <c r="N802" s="563"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Row],[Payment]]=0,0,$V$2)</f>
        <v>0</v>
      </c>
      <c r="U802" s="14">
        <f>IF(tblContractForDeed[[#This Row],[Princ]]=0,0,$V$3)</f>
        <v>0</v>
      </c>
      <c r="V802" s="14">
        <f>SUM(tblContractForDeed[[#This Row],[Princ]],tblContractForDeed[[#This Row],[Int]],tblContractForDeed[[#This Row],[Ins]],tblContractForDeed[[#This Row],[Taxes]])</f>
        <v>0</v>
      </c>
      <c r="W802" s="265">
        <f>SUM(INDEX(tblContractForDeed[Princ],1):INDEX(tblContractForDeed[Princ],ROW()-ROW(tblContractForDeed[#Headers])))</f>
        <v>146500</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2" s="265">
        <f>IF(INDEX(tblContractForDeed[End Bal],ROW()-ROW(tblBuyerOutputs[#Headers]))&lt;=0,0,($O$6+IF(ROW()=ROW(tblBuyerOutputs[#Headers])+1,0,INDEX(tblBuyerOutputs[Cumul Appr],ROW()-ROW(tblBuyerOutputs[#Headers])-1)))*$O$2/12)</f>
        <v>0</v>
      </c>
      <c r="AE802" s="587">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63" t="str">
        <f t="shared" si="151"/>
        <v/>
      </c>
      <c r="B803" s="265">
        <f t="shared" si="152"/>
        <v>0</v>
      </c>
      <c r="C803" s="14">
        <f t="shared" si="149"/>
        <v>0</v>
      </c>
      <c r="D803" s="14">
        <f t="shared" si="153"/>
        <v>0</v>
      </c>
      <c r="E803" s="14">
        <f t="shared" si="150"/>
        <v>0</v>
      </c>
      <c r="K803" s="265">
        <f t="shared" si="154"/>
        <v>0</v>
      </c>
      <c r="M803" s="22">
        <f t="shared" si="155"/>
        <v>0</v>
      </c>
      <c r="N803" s="563"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Row],[Payment]]=0,0,$V$2)</f>
        <v>0</v>
      </c>
      <c r="U803" s="14">
        <f>IF(tblContractForDeed[[#This Row],[Princ]]=0,0,$V$3)</f>
        <v>0</v>
      </c>
      <c r="V803" s="14">
        <f>SUM(tblContractForDeed[[#This Row],[Princ]],tblContractForDeed[[#This Row],[Int]],tblContractForDeed[[#This Row],[Ins]],tblContractForDeed[[#This Row],[Taxes]])</f>
        <v>0</v>
      </c>
      <c r="W803" s="265">
        <f>SUM(INDEX(tblContractForDeed[Princ],1):INDEX(tblContractForDeed[Princ],ROW()-ROW(tblContractForDeed[#Headers])))</f>
        <v>146500</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3" s="265">
        <f>IF(INDEX(tblContractForDeed[End Bal],ROW()-ROW(tblBuyerOutputs[#Headers]))&lt;=0,0,($O$6+IF(ROW()=ROW(tblBuyerOutputs[#Headers])+1,0,INDEX(tblBuyerOutputs[Cumul Appr],ROW()-ROW(tblBuyerOutputs[#Headers])-1)))*$O$2/12)</f>
        <v>0</v>
      </c>
      <c r="AE803" s="587">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63" t="str">
        <f t="shared" si="151"/>
        <v/>
      </c>
      <c r="B804" s="265">
        <f t="shared" si="152"/>
        <v>0</v>
      </c>
      <c r="C804" s="14">
        <f t="shared" si="149"/>
        <v>0</v>
      </c>
      <c r="D804" s="14">
        <f t="shared" si="153"/>
        <v>0</v>
      </c>
      <c r="E804" s="14">
        <f t="shared" si="150"/>
        <v>0</v>
      </c>
      <c r="K804" s="265">
        <f t="shared" si="154"/>
        <v>0</v>
      </c>
      <c r="M804" s="22">
        <f t="shared" si="155"/>
        <v>0</v>
      </c>
      <c r="N804" s="563"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Row],[Payment]]=0,0,$V$2)</f>
        <v>0</v>
      </c>
      <c r="U804" s="14">
        <f>IF(tblContractForDeed[[#This Row],[Princ]]=0,0,$V$3)</f>
        <v>0</v>
      </c>
      <c r="V804" s="14">
        <f>SUM(tblContractForDeed[[#This Row],[Princ]],tblContractForDeed[[#This Row],[Int]],tblContractForDeed[[#This Row],[Ins]],tblContractForDeed[[#This Row],[Taxes]])</f>
        <v>0</v>
      </c>
      <c r="W804" s="265">
        <f>SUM(INDEX(tblContractForDeed[Princ],1):INDEX(tblContractForDeed[Princ],ROW()-ROW(tblContractForDeed[#Headers])))</f>
        <v>146500</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4" s="265">
        <f>IF(INDEX(tblContractForDeed[End Bal],ROW()-ROW(tblBuyerOutputs[#Headers]))&lt;=0,0,($O$6+IF(ROW()=ROW(tblBuyerOutputs[#Headers])+1,0,INDEX(tblBuyerOutputs[Cumul Appr],ROW()-ROW(tblBuyerOutputs[#Headers])-1)))*$O$2/12)</f>
        <v>0</v>
      </c>
      <c r="AE804" s="587">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63" t="str">
        <f t="shared" si="151"/>
        <v/>
      </c>
      <c r="B805" s="265">
        <f t="shared" si="152"/>
        <v>0</v>
      </c>
      <c r="C805" s="14">
        <f t="shared" si="149"/>
        <v>0</v>
      </c>
      <c r="D805" s="14">
        <f t="shared" si="153"/>
        <v>0</v>
      </c>
      <c r="E805" s="14">
        <f t="shared" si="150"/>
        <v>0</v>
      </c>
      <c r="K805" s="265">
        <f t="shared" si="154"/>
        <v>0</v>
      </c>
      <c r="M805" s="22">
        <f t="shared" si="155"/>
        <v>0</v>
      </c>
      <c r="N805" s="563"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Row],[Payment]]=0,0,$V$2)</f>
        <v>0</v>
      </c>
      <c r="U805" s="14">
        <f>IF(tblContractForDeed[[#This Row],[Princ]]=0,0,$V$3)</f>
        <v>0</v>
      </c>
      <c r="V805" s="14">
        <f>SUM(tblContractForDeed[[#This Row],[Princ]],tblContractForDeed[[#This Row],[Int]],tblContractForDeed[[#This Row],[Ins]],tblContractForDeed[[#This Row],[Taxes]])</f>
        <v>0</v>
      </c>
      <c r="W805" s="265">
        <f>SUM(INDEX(tblContractForDeed[Princ],1):INDEX(tblContractForDeed[Princ],ROW()-ROW(tblContractForDeed[#Headers])))</f>
        <v>146500</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5" s="265">
        <f>IF(INDEX(tblContractForDeed[End Bal],ROW()-ROW(tblBuyerOutputs[#Headers]))&lt;=0,0,($O$6+IF(ROW()=ROW(tblBuyerOutputs[#Headers])+1,0,INDEX(tblBuyerOutputs[Cumul Appr],ROW()-ROW(tblBuyerOutputs[#Headers])-1)))*$O$2/12)</f>
        <v>0</v>
      </c>
      <c r="AE805" s="587">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63" t="str">
        <f t="shared" si="151"/>
        <v/>
      </c>
      <c r="B806" s="265">
        <f t="shared" si="152"/>
        <v>0</v>
      </c>
      <c r="C806" s="14">
        <f t="shared" si="149"/>
        <v>0</v>
      </c>
      <c r="D806" s="14">
        <f t="shared" si="153"/>
        <v>0</v>
      </c>
      <c r="E806" s="14">
        <f t="shared" si="150"/>
        <v>0</v>
      </c>
      <c r="K806" s="265">
        <f t="shared" si="154"/>
        <v>0</v>
      </c>
      <c r="M806" s="22">
        <f t="shared" si="155"/>
        <v>0</v>
      </c>
      <c r="N806" s="563"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Row],[Payment]]=0,0,$V$2)</f>
        <v>0</v>
      </c>
      <c r="U806" s="14">
        <f>IF(tblContractForDeed[[#This Row],[Princ]]=0,0,$V$3)</f>
        <v>0</v>
      </c>
      <c r="V806" s="14">
        <f>SUM(tblContractForDeed[[#This Row],[Princ]],tblContractForDeed[[#This Row],[Int]],tblContractForDeed[[#This Row],[Ins]],tblContractForDeed[[#This Row],[Taxes]])</f>
        <v>0</v>
      </c>
      <c r="W806" s="265">
        <f>SUM(INDEX(tblContractForDeed[Princ],1):INDEX(tblContractForDeed[Princ],ROW()-ROW(tblContractForDeed[#Headers])))</f>
        <v>146500</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6" s="265">
        <f>IF(INDEX(tblContractForDeed[End Bal],ROW()-ROW(tblBuyerOutputs[#Headers]))&lt;=0,0,($O$6+IF(ROW()=ROW(tblBuyerOutputs[#Headers])+1,0,INDEX(tblBuyerOutputs[Cumul Appr],ROW()-ROW(tblBuyerOutputs[#Headers])-1)))*$O$2/12)</f>
        <v>0</v>
      </c>
      <c r="AE806" s="587">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63" t="str">
        <f t="shared" si="151"/>
        <v/>
      </c>
      <c r="B807" s="265">
        <f t="shared" si="152"/>
        <v>0</v>
      </c>
      <c r="C807" s="14">
        <f t="shared" si="149"/>
        <v>0</v>
      </c>
      <c r="D807" s="14">
        <f t="shared" si="153"/>
        <v>0</v>
      </c>
      <c r="E807" s="14">
        <f t="shared" si="150"/>
        <v>0</v>
      </c>
      <c r="K807" s="265">
        <f t="shared" si="154"/>
        <v>0</v>
      </c>
      <c r="M807" s="22">
        <f t="shared" si="155"/>
        <v>0</v>
      </c>
      <c r="N807" s="563"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Row],[Payment]]=0,0,$V$2)</f>
        <v>0</v>
      </c>
      <c r="U807" s="14">
        <f>IF(tblContractForDeed[[#This Row],[Princ]]=0,0,$V$3)</f>
        <v>0</v>
      </c>
      <c r="V807" s="14">
        <f>SUM(tblContractForDeed[[#This Row],[Princ]],tblContractForDeed[[#This Row],[Int]],tblContractForDeed[[#This Row],[Ins]],tblContractForDeed[[#This Row],[Taxes]])</f>
        <v>0</v>
      </c>
      <c r="W807" s="265">
        <f>SUM(INDEX(tblContractForDeed[Princ],1):INDEX(tblContractForDeed[Princ],ROW()-ROW(tblContractForDeed[#Headers])))</f>
        <v>146500</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7" s="265">
        <f>IF(INDEX(tblContractForDeed[End Bal],ROW()-ROW(tblBuyerOutputs[#Headers]))&lt;=0,0,($O$6+IF(ROW()=ROW(tblBuyerOutputs[#Headers])+1,0,INDEX(tblBuyerOutputs[Cumul Appr],ROW()-ROW(tblBuyerOutputs[#Headers])-1)))*$O$2/12)</f>
        <v>0</v>
      </c>
      <c r="AE807" s="587">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63" t="str">
        <f t="shared" si="151"/>
        <v/>
      </c>
      <c r="B808" s="265">
        <f t="shared" si="152"/>
        <v>0</v>
      </c>
      <c r="C808" s="14">
        <f t="shared" si="149"/>
        <v>0</v>
      </c>
      <c r="D808" s="14">
        <f t="shared" si="153"/>
        <v>0</v>
      </c>
      <c r="E808" s="14">
        <f t="shared" si="150"/>
        <v>0</v>
      </c>
      <c r="K808" s="265">
        <f t="shared" si="154"/>
        <v>0</v>
      </c>
      <c r="M808" s="22">
        <f t="shared" si="155"/>
        <v>0</v>
      </c>
      <c r="N808" s="563"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Row],[Payment]]=0,0,$V$2)</f>
        <v>0</v>
      </c>
      <c r="U808" s="14">
        <f>IF(tblContractForDeed[[#This Row],[Princ]]=0,0,$V$3)</f>
        <v>0</v>
      </c>
      <c r="V808" s="14">
        <f>SUM(tblContractForDeed[[#This Row],[Princ]],tblContractForDeed[[#This Row],[Int]],tblContractForDeed[[#This Row],[Ins]],tblContractForDeed[[#This Row],[Taxes]])</f>
        <v>0</v>
      </c>
      <c r="W808" s="265">
        <f>SUM(INDEX(tblContractForDeed[Princ],1):INDEX(tblContractForDeed[Princ],ROW()-ROW(tblContractForDeed[#Headers])))</f>
        <v>146500</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8" s="265">
        <f>IF(INDEX(tblContractForDeed[End Bal],ROW()-ROW(tblBuyerOutputs[#Headers]))&lt;=0,0,($O$6+IF(ROW()=ROW(tblBuyerOutputs[#Headers])+1,0,INDEX(tblBuyerOutputs[Cumul Appr],ROW()-ROW(tblBuyerOutputs[#Headers])-1)))*$O$2/12)</f>
        <v>0</v>
      </c>
      <c r="AE808" s="587">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63" t="str">
        <f t="shared" si="151"/>
        <v/>
      </c>
      <c r="B809" s="265">
        <f t="shared" si="152"/>
        <v>0</v>
      </c>
      <c r="C809" s="14">
        <f t="shared" si="149"/>
        <v>0</v>
      </c>
      <c r="D809" s="14">
        <f t="shared" si="153"/>
        <v>0</v>
      </c>
      <c r="E809" s="14">
        <f t="shared" si="150"/>
        <v>0</v>
      </c>
      <c r="K809" s="265">
        <f t="shared" si="154"/>
        <v>0</v>
      </c>
      <c r="M809" s="22">
        <f t="shared" si="155"/>
        <v>0</v>
      </c>
      <c r="N809" s="563"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Row],[Payment]]=0,0,$V$2)</f>
        <v>0</v>
      </c>
      <c r="U809" s="14">
        <f>IF(tblContractForDeed[[#This Row],[Princ]]=0,0,$V$3)</f>
        <v>0</v>
      </c>
      <c r="V809" s="14">
        <f>SUM(tblContractForDeed[[#This Row],[Princ]],tblContractForDeed[[#This Row],[Int]],tblContractForDeed[[#This Row],[Ins]],tblContractForDeed[[#This Row],[Taxes]])</f>
        <v>0</v>
      </c>
      <c r="W809" s="265">
        <f>SUM(INDEX(tblContractForDeed[Princ],1):INDEX(tblContractForDeed[Princ],ROW()-ROW(tblContractForDeed[#Headers])))</f>
        <v>146500</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9" s="265">
        <f>IF(INDEX(tblContractForDeed[End Bal],ROW()-ROW(tblBuyerOutputs[#Headers]))&lt;=0,0,($O$6+IF(ROW()=ROW(tblBuyerOutputs[#Headers])+1,0,INDEX(tblBuyerOutputs[Cumul Appr],ROW()-ROW(tblBuyerOutputs[#Headers])-1)))*$O$2/12)</f>
        <v>0</v>
      </c>
      <c r="AE809" s="587">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63" t="str">
        <f t="shared" si="151"/>
        <v/>
      </c>
      <c r="B810" s="265">
        <f t="shared" si="152"/>
        <v>0</v>
      </c>
      <c r="C810" s="14">
        <f t="shared" si="149"/>
        <v>0</v>
      </c>
      <c r="D810" s="14">
        <f t="shared" si="153"/>
        <v>0</v>
      </c>
      <c r="E810" s="14">
        <f t="shared" si="150"/>
        <v>0</v>
      </c>
      <c r="K810" s="265">
        <f t="shared" si="154"/>
        <v>0</v>
      </c>
      <c r="M810" s="22">
        <f t="shared" si="155"/>
        <v>0</v>
      </c>
      <c r="N810" s="563"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Row],[Payment]]=0,0,$V$2)</f>
        <v>0</v>
      </c>
      <c r="U810" s="14">
        <f>IF(tblContractForDeed[[#This Row],[Princ]]=0,0,$V$3)</f>
        <v>0</v>
      </c>
      <c r="V810" s="14">
        <f>SUM(tblContractForDeed[[#This Row],[Princ]],tblContractForDeed[[#This Row],[Int]],tblContractForDeed[[#This Row],[Ins]],tblContractForDeed[[#This Row],[Taxes]])</f>
        <v>0</v>
      </c>
      <c r="W810" s="265">
        <f>SUM(INDEX(tblContractForDeed[Princ],1):INDEX(tblContractForDeed[Princ],ROW()-ROW(tblContractForDeed[#Headers])))</f>
        <v>146500</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0" s="265">
        <f>IF(INDEX(tblContractForDeed[End Bal],ROW()-ROW(tblBuyerOutputs[#Headers]))&lt;=0,0,($O$6+IF(ROW()=ROW(tblBuyerOutputs[#Headers])+1,0,INDEX(tblBuyerOutputs[Cumul Appr],ROW()-ROW(tblBuyerOutputs[#Headers])-1)))*$O$2/12)</f>
        <v>0</v>
      </c>
      <c r="AE810" s="587">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63" t="str">
        <f t="shared" si="151"/>
        <v/>
      </c>
      <c r="B811" s="265">
        <f t="shared" si="152"/>
        <v>0</v>
      </c>
      <c r="C811" s="14">
        <f t="shared" si="149"/>
        <v>0</v>
      </c>
      <c r="D811" s="14">
        <f t="shared" si="153"/>
        <v>0</v>
      </c>
      <c r="E811" s="14">
        <f t="shared" si="150"/>
        <v>0</v>
      </c>
      <c r="K811" s="265">
        <f t="shared" si="154"/>
        <v>0</v>
      </c>
      <c r="M811" s="22">
        <f t="shared" si="155"/>
        <v>0</v>
      </c>
      <c r="N811" s="563"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Row],[Payment]]=0,0,$V$2)</f>
        <v>0</v>
      </c>
      <c r="U811" s="14">
        <f>IF(tblContractForDeed[[#This Row],[Princ]]=0,0,$V$3)</f>
        <v>0</v>
      </c>
      <c r="V811" s="14">
        <f>SUM(tblContractForDeed[[#This Row],[Princ]],tblContractForDeed[[#This Row],[Int]],tblContractForDeed[[#This Row],[Ins]],tblContractForDeed[[#This Row],[Taxes]])</f>
        <v>0</v>
      </c>
      <c r="W811" s="265">
        <f>SUM(INDEX(tblContractForDeed[Princ],1):INDEX(tblContractForDeed[Princ],ROW()-ROW(tblContractForDeed[#Headers])))</f>
        <v>146500</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1" s="265">
        <f>IF(INDEX(tblContractForDeed[End Bal],ROW()-ROW(tblBuyerOutputs[#Headers]))&lt;=0,0,($O$6+IF(ROW()=ROW(tblBuyerOutputs[#Headers])+1,0,INDEX(tblBuyerOutputs[Cumul Appr],ROW()-ROW(tblBuyerOutputs[#Headers])-1)))*$O$2/12)</f>
        <v>0</v>
      </c>
      <c r="AE811" s="587">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63" t="str">
        <f t="shared" si="151"/>
        <v/>
      </c>
      <c r="B812" s="265">
        <f t="shared" si="152"/>
        <v>0</v>
      </c>
      <c r="C812" s="14">
        <f t="shared" si="149"/>
        <v>0</v>
      </c>
      <c r="D812" s="14">
        <f t="shared" si="153"/>
        <v>0</v>
      </c>
      <c r="E812" s="14">
        <f t="shared" si="150"/>
        <v>0</v>
      </c>
      <c r="K812" s="265">
        <f t="shared" si="154"/>
        <v>0</v>
      </c>
      <c r="M812" s="22">
        <f t="shared" si="155"/>
        <v>0</v>
      </c>
      <c r="N812" s="563"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Row],[Payment]]=0,0,$V$2)</f>
        <v>0</v>
      </c>
      <c r="U812" s="14">
        <f>IF(tblContractForDeed[[#This Row],[Princ]]=0,0,$V$3)</f>
        <v>0</v>
      </c>
      <c r="V812" s="14">
        <f>SUM(tblContractForDeed[[#This Row],[Princ]],tblContractForDeed[[#This Row],[Int]],tblContractForDeed[[#This Row],[Ins]],tblContractForDeed[[#This Row],[Taxes]])</f>
        <v>0</v>
      </c>
      <c r="W812" s="265">
        <f>SUM(INDEX(tblContractForDeed[Princ],1):INDEX(tblContractForDeed[Princ],ROW()-ROW(tblContractForDeed[#Headers])))</f>
        <v>146500</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2" s="265">
        <f>IF(INDEX(tblContractForDeed[End Bal],ROW()-ROW(tblBuyerOutputs[#Headers]))&lt;=0,0,($O$6+IF(ROW()=ROW(tblBuyerOutputs[#Headers])+1,0,INDEX(tblBuyerOutputs[Cumul Appr],ROW()-ROW(tblBuyerOutputs[#Headers])-1)))*$O$2/12)</f>
        <v>0</v>
      </c>
      <c r="AE812" s="587">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63" t="str">
        <f t="shared" si="151"/>
        <v/>
      </c>
      <c r="B813" s="265">
        <f t="shared" si="152"/>
        <v>0</v>
      </c>
      <c r="C813" s="14">
        <f t="shared" si="149"/>
        <v>0</v>
      </c>
      <c r="D813" s="14">
        <f t="shared" si="153"/>
        <v>0</v>
      </c>
      <c r="E813" s="14">
        <f t="shared" si="150"/>
        <v>0</v>
      </c>
      <c r="K813" s="265">
        <f t="shared" si="154"/>
        <v>0</v>
      </c>
      <c r="M813" s="22">
        <f t="shared" si="155"/>
        <v>0</v>
      </c>
      <c r="N813" s="563"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Row],[Payment]]=0,0,$V$2)</f>
        <v>0</v>
      </c>
      <c r="U813" s="14">
        <f>IF(tblContractForDeed[[#This Row],[Princ]]=0,0,$V$3)</f>
        <v>0</v>
      </c>
      <c r="V813" s="14">
        <f>SUM(tblContractForDeed[[#This Row],[Princ]],tblContractForDeed[[#This Row],[Int]],tblContractForDeed[[#This Row],[Ins]],tblContractForDeed[[#This Row],[Taxes]])</f>
        <v>0</v>
      </c>
      <c r="W813" s="265">
        <f>SUM(INDEX(tblContractForDeed[Princ],1):INDEX(tblContractForDeed[Princ],ROW()-ROW(tblContractForDeed[#Headers])))</f>
        <v>146500</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3" s="265">
        <f>IF(INDEX(tblContractForDeed[End Bal],ROW()-ROW(tblBuyerOutputs[#Headers]))&lt;=0,0,($O$6+IF(ROW()=ROW(tblBuyerOutputs[#Headers])+1,0,INDEX(tblBuyerOutputs[Cumul Appr],ROW()-ROW(tblBuyerOutputs[#Headers])-1)))*$O$2/12)</f>
        <v>0</v>
      </c>
      <c r="AE813" s="587">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63" t="str">
        <f t="shared" si="151"/>
        <v/>
      </c>
      <c r="B814" s="265">
        <f t="shared" si="152"/>
        <v>0</v>
      </c>
      <c r="C814" s="14">
        <f t="shared" si="149"/>
        <v>0</v>
      </c>
      <c r="D814" s="14">
        <f t="shared" si="153"/>
        <v>0</v>
      </c>
      <c r="E814" s="14">
        <f t="shared" si="150"/>
        <v>0</v>
      </c>
      <c r="K814" s="265">
        <f t="shared" si="154"/>
        <v>0</v>
      </c>
      <c r="M814" s="22">
        <f t="shared" si="155"/>
        <v>0</v>
      </c>
      <c r="N814" s="563"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Row],[Payment]]=0,0,$V$2)</f>
        <v>0</v>
      </c>
      <c r="U814" s="14">
        <f>IF(tblContractForDeed[[#This Row],[Princ]]=0,0,$V$3)</f>
        <v>0</v>
      </c>
      <c r="V814" s="14">
        <f>SUM(tblContractForDeed[[#This Row],[Princ]],tblContractForDeed[[#This Row],[Int]],tblContractForDeed[[#This Row],[Ins]],tblContractForDeed[[#This Row],[Taxes]])</f>
        <v>0</v>
      </c>
      <c r="W814" s="265">
        <f>SUM(INDEX(tblContractForDeed[Princ],1):INDEX(tblContractForDeed[Princ],ROW()-ROW(tblContractForDeed[#Headers])))</f>
        <v>146500</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4" s="265">
        <f>IF(INDEX(tblContractForDeed[End Bal],ROW()-ROW(tblBuyerOutputs[#Headers]))&lt;=0,0,($O$6+IF(ROW()=ROW(tblBuyerOutputs[#Headers])+1,0,INDEX(tblBuyerOutputs[Cumul Appr],ROW()-ROW(tblBuyerOutputs[#Headers])-1)))*$O$2/12)</f>
        <v>0</v>
      </c>
      <c r="AE814" s="587">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63" t="str">
        <f t="shared" si="151"/>
        <v/>
      </c>
      <c r="B815" s="265">
        <f t="shared" si="152"/>
        <v>0</v>
      </c>
      <c r="C815" s="14">
        <f t="shared" si="149"/>
        <v>0</v>
      </c>
      <c r="D815" s="14">
        <f t="shared" si="153"/>
        <v>0</v>
      </c>
      <c r="E815" s="14">
        <f t="shared" si="150"/>
        <v>0</v>
      </c>
      <c r="K815" s="265">
        <f t="shared" si="154"/>
        <v>0</v>
      </c>
      <c r="M815" s="22">
        <f t="shared" si="155"/>
        <v>0</v>
      </c>
      <c r="N815" s="563"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Row],[Payment]]=0,0,$V$2)</f>
        <v>0</v>
      </c>
      <c r="U815" s="14">
        <f>IF(tblContractForDeed[[#This Row],[Princ]]=0,0,$V$3)</f>
        <v>0</v>
      </c>
      <c r="V815" s="14">
        <f>SUM(tblContractForDeed[[#This Row],[Princ]],tblContractForDeed[[#This Row],[Int]],tblContractForDeed[[#This Row],[Ins]],tblContractForDeed[[#This Row],[Taxes]])</f>
        <v>0</v>
      </c>
      <c r="W815" s="265">
        <f>SUM(INDEX(tblContractForDeed[Princ],1):INDEX(tblContractForDeed[Princ],ROW()-ROW(tblContractForDeed[#Headers])))</f>
        <v>146500</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5" s="265">
        <f>IF(INDEX(tblContractForDeed[End Bal],ROW()-ROW(tblBuyerOutputs[#Headers]))&lt;=0,0,($O$6+IF(ROW()=ROW(tblBuyerOutputs[#Headers])+1,0,INDEX(tblBuyerOutputs[Cumul Appr],ROW()-ROW(tblBuyerOutputs[#Headers])-1)))*$O$2/12)</f>
        <v>0</v>
      </c>
      <c r="AE815" s="587">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63" t="str">
        <f t="shared" si="151"/>
        <v/>
      </c>
      <c r="B816" s="265">
        <f t="shared" si="152"/>
        <v>0</v>
      </c>
      <c r="C816" s="14">
        <f t="shared" si="149"/>
        <v>0</v>
      </c>
      <c r="D816" s="14">
        <f t="shared" si="153"/>
        <v>0</v>
      </c>
      <c r="E816" s="14">
        <f t="shared" si="150"/>
        <v>0</v>
      </c>
      <c r="K816" s="265">
        <f t="shared" si="154"/>
        <v>0</v>
      </c>
      <c r="M816" s="22">
        <f t="shared" si="155"/>
        <v>0</v>
      </c>
      <c r="N816" s="563"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Row],[Payment]]=0,0,$V$2)</f>
        <v>0</v>
      </c>
      <c r="U816" s="14">
        <f>IF(tblContractForDeed[[#This Row],[Princ]]=0,0,$V$3)</f>
        <v>0</v>
      </c>
      <c r="V816" s="14">
        <f>SUM(tblContractForDeed[[#This Row],[Princ]],tblContractForDeed[[#This Row],[Int]],tblContractForDeed[[#This Row],[Ins]],tblContractForDeed[[#This Row],[Taxes]])</f>
        <v>0</v>
      </c>
      <c r="W816" s="265">
        <f>SUM(INDEX(tblContractForDeed[Princ],1):INDEX(tblContractForDeed[Princ],ROW()-ROW(tblContractForDeed[#Headers])))</f>
        <v>146500</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6" s="265">
        <f>IF(INDEX(tblContractForDeed[End Bal],ROW()-ROW(tblBuyerOutputs[#Headers]))&lt;=0,0,($O$6+IF(ROW()=ROW(tblBuyerOutputs[#Headers])+1,0,INDEX(tblBuyerOutputs[Cumul Appr],ROW()-ROW(tblBuyerOutputs[#Headers])-1)))*$O$2/12)</f>
        <v>0</v>
      </c>
      <c r="AE816" s="587">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63" t="str">
        <f t="shared" si="151"/>
        <v/>
      </c>
      <c r="B817" s="265">
        <f t="shared" si="152"/>
        <v>0</v>
      </c>
      <c r="C817" s="14">
        <f t="shared" si="149"/>
        <v>0</v>
      </c>
      <c r="D817" s="14">
        <f t="shared" si="153"/>
        <v>0</v>
      </c>
      <c r="E817" s="14">
        <f t="shared" si="150"/>
        <v>0</v>
      </c>
      <c r="K817" s="265">
        <f t="shared" si="154"/>
        <v>0</v>
      </c>
      <c r="M817" s="22">
        <f t="shared" si="155"/>
        <v>0</v>
      </c>
      <c r="N817" s="563"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Row],[Payment]]=0,0,$V$2)</f>
        <v>0</v>
      </c>
      <c r="U817" s="14">
        <f>IF(tblContractForDeed[[#This Row],[Princ]]=0,0,$V$3)</f>
        <v>0</v>
      </c>
      <c r="V817" s="14">
        <f>SUM(tblContractForDeed[[#This Row],[Princ]],tblContractForDeed[[#This Row],[Int]],tblContractForDeed[[#This Row],[Ins]],tblContractForDeed[[#This Row],[Taxes]])</f>
        <v>0</v>
      </c>
      <c r="W817" s="265">
        <f>SUM(INDEX(tblContractForDeed[Princ],1):INDEX(tblContractForDeed[Princ],ROW()-ROW(tblContractForDeed[#Headers])))</f>
        <v>146500</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7" s="265">
        <f>IF(INDEX(tblContractForDeed[End Bal],ROW()-ROW(tblBuyerOutputs[#Headers]))&lt;=0,0,($O$6+IF(ROW()=ROW(tblBuyerOutputs[#Headers])+1,0,INDEX(tblBuyerOutputs[Cumul Appr],ROW()-ROW(tblBuyerOutputs[#Headers])-1)))*$O$2/12)</f>
        <v>0</v>
      </c>
      <c r="AE817" s="587">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63" t="str">
        <f t="shared" si="151"/>
        <v/>
      </c>
      <c r="B818" s="265">
        <f t="shared" si="152"/>
        <v>0</v>
      </c>
      <c r="C818" s="14">
        <f t="shared" si="149"/>
        <v>0</v>
      </c>
      <c r="D818" s="14">
        <f t="shared" si="153"/>
        <v>0</v>
      </c>
      <c r="E818" s="14">
        <f t="shared" si="150"/>
        <v>0</v>
      </c>
      <c r="K818" s="265">
        <f t="shared" si="154"/>
        <v>0</v>
      </c>
      <c r="M818" s="22">
        <f t="shared" si="155"/>
        <v>0</v>
      </c>
      <c r="N818" s="563"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Row],[Payment]]=0,0,$V$2)</f>
        <v>0</v>
      </c>
      <c r="U818" s="14">
        <f>IF(tblContractForDeed[[#This Row],[Princ]]=0,0,$V$3)</f>
        <v>0</v>
      </c>
      <c r="V818" s="14">
        <f>SUM(tblContractForDeed[[#This Row],[Princ]],tblContractForDeed[[#This Row],[Int]],tblContractForDeed[[#This Row],[Ins]],tblContractForDeed[[#This Row],[Taxes]])</f>
        <v>0</v>
      </c>
      <c r="W818" s="265">
        <f>SUM(INDEX(tblContractForDeed[Princ],1):INDEX(tblContractForDeed[Princ],ROW()-ROW(tblContractForDeed[#Headers])))</f>
        <v>146500</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8" s="265">
        <f>IF(INDEX(tblContractForDeed[End Bal],ROW()-ROW(tblBuyerOutputs[#Headers]))&lt;=0,0,($O$6+IF(ROW()=ROW(tblBuyerOutputs[#Headers])+1,0,INDEX(tblBuyerOutputs[Cumul Appr],ROW()-ROW(tblBuyerOutputs[#Headers])-1)))*$O$2/12)</f>
        <v>0</v>
      </c>
      <c r="AE818" s="587">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63" t="str">
        <f t="shared" si="151"/>
        <v/>
      </c>
      <c r="B819" s="265">
        <f t="shared" si="152"/>
        <v>0</v>
      </c>
      <c r="C819" s="14">
        <f t="shared" si="149"/>
        <v>0</v>
      </c>
      <c r="D819" s="14">
        <f t="shared" si="153"/>
        <v>0</v>
      </c>
      <c r="E819" s="14">
        <f t="shared" si="150"/>
        <v>0</v>
      </c>
      <c r="K819" s="265">
        <f t="shared" si="154"/>
        <v>0</v>
      </c>
      <c r="M819" s="22">
        <f t="shared" si="155"/>
        <v>0</v>
      </c>
      <c r="N819" s="563"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Row],[Payment]]=0,0,$V$2)</f>
        <v>0</v>
      </c>
      <c r="U819" s="14">
        <f>IF(tblContractForDeed[[#This Row],[Princ]]=0,0,$V$3)</f>
        <v>0</v>
      </c>
      <c r="V819" s="14">
        <f>SUM(tblContractForDeed[[#This Row],[Princ]],tblContractForDeed[[#This Row],[Int]],tblContractForDeed[[#This Row],[Ins]],tblContractForDeed[[#This Row],[Taxes]])</f>
        <v>0</v>
      </c>
      <c r="W819" s="265">
        <f>SUM(INDEX(tblContractForDeed[Princ],1):INDEX(tblContractForDeed[Princ],ROW()-ROW(tblContractForDeed[#Headers])))</f>
        <v>146500</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9" s="265">
        <f>IF(INDEX(tblContractForDeed[End Bal],ROW()-ROW(tblBuyerOutputs[#Headers]))&lt;=0,0,($O$6+IF(ROW()=ROW(tblBuyerOutputs[#Headers])+1,0,INDEX(tblBuyerOutputs[Cumul Appr],ROW()-ROW(tblBuyerOutputs[#Headers])-1)))*$O$2/12)</f>
        <v>0</v>
      </c>
      <c r="AE819" s="587">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63" t="str">
        <f t="shared" si="151"/>
        <v/>
      </c>
      <c r="B820" s="265">
        <f t="shared" si="152"/>
        <v>0</v>
      </c>
      <c r="C820" s="14">
        <f t="shared" si="149"/>
        <v>0</v>
      </c>
      <c r="D820" s="14">
        <f t="shared" si="153"/>
        <v>0</v>
      </c>
      <c r="E820" s="14">
        <f t="shared" si="150"/>
        <v>0</v>
      </c>
      <c r="K820" s="265">
        <f t="shared" si="154"/>
        <v>0</v>
      </c>
      <c r="M820" s="22">
        <f t="shared" si="155"/>
        <v>0</v>
      </c>
      <c r="N820" s="563"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Row],[Payment]]=0,0,$V$2)</f>
        <v>0</v>
      </c>
      <c r="U820" s="14">
        <f>IF(tblContractForDeed[[#This Row],[Princ]]=0,0,$V$3)</f>
        <v>0</v>
      </c>
      <c r="V820" s="14">
        <f>SUM(tblContractForDeed[[#This Row],[Princ]],tblContractForDeed[[#This Row],[Int]],tblContractForDeed[[#This Row],[Ins]],tblContractForDeed[[#This Row],[Taxes]])</f>
        <v>0</v>
      </c>
      <c r="W820" s="265">
        <f>SUM(INDEX(tblContractForDeed[Princ],1):INDEX(tblContractForDeed[Princ],ROW()-ROW(tblContractForDeed[#Headers])))</f>
        <v>146500</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0" s="265">
        <f>IF(INDEX(tblContractForDeed[End Bal],ROW()-ROW(tblBuyerOutputs[#Headers]))&lt;=0,0,($O$6+IF(ROW()=ROW(tblBuyerOutputs[#Headers])+1,0,INDEX(tblBuyerOutputs[Cumul Appr],ROW()-ROW(tblBuyerOutputs[#Headers])-1)))*$O$2/12)</f>
        <v>0</v>
      </c>
      <c r="AE820" s="587">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63" t="str">
        <f t="shared" si="151"/>
        <v/>
      </c>
      <c r="B821" s="265">
        <f t="shared" si="152"/>
        <v>0</v>
      </c>
      <c r="C821" s="14">
        <f t="shared" si="149"/>
        <v>0</v>
      </c>
      <c r="D821" s="14">
        <f t="shared" si="153"/>
        <v>0</v>
      </c>
      <c r="E821" s="14">
        <f t="shared" si="150"/>
        <v>0</v>
      </c>
      <c r="K821" s="265">
        <f t="shared" si="154"/>
        <v>0</v>
      </c>
      <c r="M821" s="22">
        <f t="shared" si="155"/>
        <v>0</v>
      </c>
      <c r="N821" s="563"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Row],[Payment]]=0,0,$V$2)</f>
        <v>0</v>
      </c>
      <c r="U821" s="14">
        <f>IF(tblContractForDeed[[#This Row],[Princ]]=0,0,$V$3)</f>
        <v>0</v>
      </c>
      <c r="V821" s="14">
        <f>SUM(tblContractForDeed[[#This Row],[Princ]],tblContractForDeed[[#This Row],[Int]],tblContractForDeed[[#This Row],[Ins]],tblContractForDeed[[#This Row],[Taxes]])</f>
        <v>0</v>
      </c>
      <c r="W821" s="265">
        <f>SUM(INDEX(tblContractForDeed[Princ],1):INDEX(tblContractForDeed[Princ],ROW()-ROW(tblContractForDeed[#Headers])))</f>
        <v>146500</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1" s="265">
        <f>IF(INDEX(tblContractForDeed[End Bal],ROW()-ROW(tblBuyerOutputs[#Headers]))&lt;=0,0,($O$6+IF(ROW()=ROW(tblBuyerOutputs[#Headers])+1,0,INDEX(tblBuyerOutputs[Cumul Appr],ROW()-ROW(tblBuyerOutputs[#Headers])-1)))*$O$2/12)</f>
        <v>0</v>
      </c>
      <c r="AE821" s="587">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63" t="str">
        <f t="shared" si="151"/>
        <v/>
      </c>
      <c r="B822" s="265">
        <f t="shared" si="152"/>
        <v>0</v>
      </c>
      <c r="C822" s="14">
        <f t="shared" si="149"/>
        <v>0</v>
      </c>
      <c r="D822" s="14">
        <f t="shared" si="153"/>
        <v>0</v>
      </c>
      <c r="E822" s="14">
        <f t="shared" si="150"/>
        <v>0</v>
      </c>
      <c r="K822" s="265">
        <f t="shared" si="154"/>
        <v>0</v>
      </c>
      <c r="M822" s="22">
        <f t="shared" si="155"/>
        <v>0</v>
      </c>
      <c r="N822" s="563"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Row],[Payment]]=0,0,$V$2)</f>
        <v>0</v>
      </c>
      <c r="U822" s="14">
        <f>IF(tblContractForDeed[[#This Row],[Princ]]=0,0,$V$3)</f>
        <v>0</v>
      </c>
      <c r="V822" s="14">
        <f>SUM(tblContractForDeed[[#This Row],[Princ]],tblContractForDeed[[#This Row],[Int]],tblContractForDeed[[#This Row],[Ins]],tblContractForDeed[[#This Row],[Taxes]])</f>
        <v>0</v>
      </c>
      <c r="W822" s="265">
        <f>SUM(INDEX(tblContractForDeed[Princ],1):INDEX(tblContractForDeed[Princ],ROW()-ROW(tblContractForDeed[#Headers])))</f>
        <v>146500</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2" s="265">
        <f>IF(INDEX(tblContractForDeed[End Bal],ROW()-ROW(tblBuyerOutputs[#Headers]))&lt;=0,0,($O$6+IF(ROW()=ROW(tblBuyerOutputs[#Headers])+1,0,INDEX(tblBuyerOutputs[Cumul Appr],ROW()-ROW(tblBuyerOutputs[#Headers])-1)))*$O$2/12)</f>
        <v>0</v>
      </c>
      <c r="AE822" s="587">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63" t="str">
        <f t="shared" si="151"/>
        <v/>
      </c>
      <c r="B823" s="265">
        <f t="shared" si="152"/>
        <v>0</v>
      </c>
      <c r="C823" s="14">
        <f t="shared" si="149"/>
        <v>0</v>
      </c>
      <c r="D823" s="14">
        <f t="shared" si="153"/>
        <v>0</v>
      </c>
      <c r="E823" s="14">
        <f t="shared" si="150"/>
        <v>0</v>
      </c>
      <c r="K823" s="265">
        <f t="shared" si="154"/>
        <v>0</v>
      </c>
      <c r="M823" s="22">
        <f t="shared" si="155"/>
        <v>0</v>
      </c>
      <c r="N823" s="563"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Row],[Payment]]=0,0,$V$2)</f>
        <v>0</v>
      </c>
      <c r="U823" s="14">
        <f>IF(tblContractForDeed[[#This Row],[Princ]]=0,0,$V$3)</f>
        <v>0</v>
      </c>
      <c r="V823" s="14">
        <f>SUM(tblContractForDeed[[#This Row],[Princ]],tblContractForDeed[[#This Row],[Int]],tblContractForDeed[[#This Row],[Ins]],tblContractForDeed[[#This Row],[Taxes]])</f>
        <v>0</v>
      </c>
      <c r="W823" s="265">
        <f>SUM(INDEX(tblContractForDeed[Princ],1):INDEX(tblContractForDeed[Princ],ROW()-ROW(tblContractForDeed[#Headers])))</f>
        <v>146500</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3" s="265">
        <f>IF(INDEX(tblContractForDeed[End Bal],ROW()-ROW(tblBuyerOutputs[#Headers]))&lt;=0,0,($O$6+IF(ROW()=ROW(tblBuyerOutputs[#Headers])+1,0,INDEX(tblBuyerOutputs[Cumul Appr],ROW()-ROW(tblBuyerOutputs[#Headers])-1)))*$O$2/12)</f>
        <v>0</v>
      </c>
      <c r="AE823" s="587">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63" t="str">
        <f t="shared" si="151"/>
        <v/>
      </c>
      <c r="B824" s="265">
        <f t="shared" si="152"/>
        <v>0</v>
      </c>
      <c r="C824" s="14">
        <f t="shared" si="149"/>
        <v>0</v>
      </c>
      <c r="D824" s="14">
        <f t="shared" si="153"/>
        <v>0</v>
      </c>
      <c r="E824" s="14">
        <f t="shared" si="150"/>
        <v>0</v>
      </c>
      <c r="K824" s="265">
        <f t="shared" si="154"/>
        <v>0</v>
      </c>
      <c r="M824" s="22">
        <f t="shared" si="155"/>
        <v>0</v>
      </c>
      <c r="N824" s="563"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Row],[Payment]]=0,0,$V$2)</f>
        <v>0</v>
      </c>
      <c r="U824" s="14">
        <f>IF(tblContractForDeed[[#This Row],[Princ]]=0,0,$V$3)</f>
        <v>0</v>
      </c>
      <c r="V824" s="14">
        <f>SUM(tblContractForDeed[[#This Row],[Princ]],tblContractForDeed[[#This Row],[Int]],tblContractForDeed[[#This Row],[Ins]],tblContractForDeed[[#This Row],[Taxes]])</f>
        <v>0</v>
      </c>
      <c r="W824" s="265">
        <f>SUM(INDEX(tblContractForDeed[Princ],1):INDEX(tblContractForDeed[Princ],ROW()-ROW(tblContractForDeed[#Headers])))</f>
        <v>146500</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4" s="265">
        <f>IF(INDEX(tblContractForDeed[End Bal],ROW()-ROW(tblBuyerOutputs[#Headers]))&lt;=0,0,($O$6+IF(ROW()=ROW(tblBuyerOutputs[#Headers])+1,0,INDEX(tblBuyerOutputs[Cumul Appr],ROW()-ROW(tblBuyerOutputs[#Headers])-1)))*$O$2/12)</f>
        <v>0</v>
      </c>
      <c r="AE824" s="587">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63" t="str">
        <f t="shared" si="151"/>
        <v/>
      </c>
      <c r="B825" s="265">
        <f t="shared" si="152"/>
        <v>0</v>
      </c>
      <c r="C825" s="14">
        <f t="shared" si="149"/>
        <v>0</v>
      </c>
      <c r="D825" s="14">
        <f t="shared" si="153"/>
        <v>0</v>
      </c>
      <c r="E825" s="14">
        <f t="shared" si="150"/>
        <v>0</v>
      </c>
      <c r="K825" s="265">
        <f t="shared" si="154"/>
        <v>0</v>
      </c>
      <c r="M825" s="22">
        <f t="shared" si="155"/>
        <v>0</v>
      </c>
      <c r="N825" s="563"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Row],[Payment]]=0,0,$V$2)</f>
        <v>0</v>
      </c>
      <c r="U825" s="14">
        <f>IF(tblContractForDeed[[#This Row],[Princ]]=0,0,$V$3)</f>
        <v>0</v>
      </c>
      <c r="V825" s="14">
        <f>SUM(tblContractForDeed[[#This Row],[Princ]],tblContractForDeed[[#This Row],[Int]],tblContractForDeed[[#This Row],[Ins]],tblContractForDeed[[#This Row],[Taxes]])</f>
        <v>0</v>
      </c>
      <c r="W825" s="265">
        <f>SUM(INDEX(tblContractForDeed[Princ],1):INDEX(tblContractForDeed[Princ],ROW()-ROW(tblContractForDeed[#Headers])))</f>
        <v>146500</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5" s="265">
        <f>IF(INDEX(tblContractForDeed[End Bal],ROW()-ROW(tblBuyerOutputs[#Headers]))&lt;=0,0,($O$6+IF(ROW()=ROW(tblBuyerOutputs[#Headers])+1,0,INDEX(tblBuyerOutputs[Cumul Appr],ROW()-ROW(tblBuyerOutputs[#Headers])-1)))*$O$2/12)</f>
        <v>0</v>
      </c>
      <c r="AE825" s="587">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63" t="str">
        <f t="shared" si="151"/>
        <v/>
      </c>
      <c r="B826" s="265">
        <f t="shared" si="152"/>
        <v>0</v>
      </c>
      <c r="C826" s="14">
        <f t="shared" si="149"/>
        <v>0</v>
      </c>
      <c r="D826" s="14">
        <f t="shared" si="153"/>
        <v>0</v>
      </c>
      <c r="E826" s="14">
        <f t="shared" si="150"/>
        <v>0</v>
      </c>
      <c r="K826" s="265">
        <f t="shared" si="154"/>
        <v>0</v>
      </c>
      <c r="M826" s="22">
        <f t="shared" si="155"/>
        <v>0</v>
      </c>
      <c r="N826" s="563"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Row],[Payment]]=0,0,$V$2)</f>
        <v>0</v>
      </c>
      <c r="U826" s="14">
        <f>IF(tblContractForDeed[[#This Row],[Princ]]=0,0,$V$3)</f>
        <v>0</v>
      </c>
      <c r="V826" s="14">
        <f>SUM(tblContractForDeed[[#This Row],[Princ]],tblContractForDeed[[#This Row],[Int]],tblContractForDeed[[#This Row],[Ins]],tblContractForDeed[[#This Row],[Taxes]])</f>
        <v>0</v>
      </c>
      <c r="W826" s="265">
        <f>SUM(INDEX(tblContractForDeed[Princ],1):INDEX(tblContractForDeed[Princ],ROW()-ROW(tblContractForDeed[#Headers])))</f>
        <v>146500</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6" s="265">
        <f>IF(INDEX(tblContractForDeed[End Bal],ROW()-ROW(tblBuyerOutputs[#Headers]))&lt;=0,0,($O$6+IF(ROW()=ROW(tblBuyerOutputs[#Headers])+1,0,INDEX(tblBuyerOutputs[Cumul Appr],ROW()-ROW(tblBuyerOutputs[#Headers])-1)))*$O$2/12)</f>
        <v>0</v>
      </c>
      <c r="AE826" s="587">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63" t="str">
        <f t="shared" si="151"/>
        <v/>
      </c>
      <c r="B827" s="265">
        <f t="shared" si="152"/>
        <v>0</v>
      </c>
      <c r="C827" s="14">
        <f t="shared" si="149"/>
        <v>0</v>
      </c>
      <c r="D827" s="14">
        <f t="shared" si="153"/>
        <v>0</v>
      </c>
      <c r="E827" s="14">
        <f t="shared" si="150"/>
        <v>0</v>
      </c>
      <c r="K827" s="265">
        <f t="shared" si="154"/>
        <v>0</v>
      </c>
      <c r="M827" s="22">
        <f t="shared" si="155"/>
        <v>0</v>
      </c>
      <c r="N827" s="563"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Row],[Payment]]=0,0,$V$2)</f>
        <v>0</v>
      </c>
      <c r="U827" s="14">
        <f>IF(tblContractForDeed[[#This Row],[Princ]]=0,0,$V$3)</f>
        <v>0</v>
      </c>
      <c r="V827" s="14">
        <f>SUM(tblContractForDeed[[#This Row],[Princ]],tblContractForDeed[[#This Row],[Int]],tblContractForDeed[[#This Row],[Ins]],tblContractForDeed[[#This Row],[Taxes]])</f>
        <v>0</v>
      </c>
      <c r="W827" s="265">
        <f>SUM(INDEX(tblContractForDeed[Princ],1):INDEX(tblContractForDeed[Princ],ROW()-ROW(tblContractForDeed[#Headers])))</f>
        <v>146500</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7" s="265">
        <f>IF(INDEX(tblContractForDeed[End Bal],ROW()-ROW(tblBuyerOutputs[#Headers]))&lt;=0,0,($O$6+IF(ROW()=ROW(tblBuyerOutputs[#Headers])+1,0,INDEX(tblBuyerOutputs[Cumul Appr],ROW()-ROW(tblBuyerOutputs[#Headers])-1)))*$O$2/12)</f>
        <v>0</v>
      </c>
      <c r="AE827" s="587">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1"/>
        <v/>
      </c>
      <c r="B828" s="265">
        <f t="shared" si="152"/>
        <v>0</v>
      </c>
      <c r="C828" s="14">
        <f t="shared" si="149"/>
        <v>0</v>
      </c>
      <c r="D828" s="14">
        <f t="shared" si="153"/>
        <v>0</v>
      </c>
      <c r="E828" s="14">
        <f t="shared" si="150"/>
        <v>0</v>
      </c>
      <c r="K828" s="265">
        <f t="shared" si="154"/>
        <v>0</v>
      </c>
      <c r="M828" s="22">
        <f t="shared" si="155"/>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Row],[Payment]]=0,0,$V$2)</f>
        <v>0</v>
      </c>
      <c r="U828" s="265">
        <f>IF(tblContractForDeed[[#This Row],[Princ]]=0,0,$V$3)</f>
        <v>0</v>
      </c>
      <c r="V828" s="265">
        <f>SUM(tblContractForDeed[[#This Row],[Princ]],tblContractForDeed[[#This Row],[Int]],tblContractForDeed[[#This Row],[Ins]],tblContractForDeed[[#This Row],[Taxes]])</f>
        <v>0</v>
      </c>
      <c r="W828" s="265">
        <f>SUM(INDEX(tblContractForDeed[Princ],1):INDEX(tblContractForDeed[Princ],ROW()-ROW(tblContractForDeed[#Headers])))</f>
        <v>146500</v>
      </c>
      <c r="X828" s="434">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8" s="265">
        <f>IF(INDEX(tblContractForDeed[End Bal],ROW()-ROW(tblBuyerOutputs[#Headers]))&lt;=0,0,($O$6+IF(ROW()=ROW(tblBuyerOutputs[#Headers])+1,0,INDEX(tblBuyerOutputs[Cumul Appr],ROW()-ROW(tblBuyerOutputs[#Headers])-1)))*$O$2/12)</f>
        <v>0</v>
      </c>
      <c r="AE828" s="587">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1"/>
        <v/>
      </c>
      <c r="B829" s="265">
        <f t="shared" si="152"/>
        <v>0</v>
      </c>
      <c r="C829" s="14">
        <f t="shared" si="149"/>
        <v>0</v>
      </c>
      <c r="D829" s="14">
        <f t="shared" si="153"/>
        <v>0</v>
      </c>
      <c r="E829" s="14">
        <f t="shared" si="150"/>
        <v>0</v>
      </c>
      <c r="K829" s="265">
        <f t="shared" si="154"/>
        <v>0</v>
      </c>
      <c r="M829" s="22">
        <f t="shared" si="155"/>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Row],[Payment]]=0,0,$V$2)</f>
        <v>0</v>
      </c>
      <c r="U829" s="265">
        <f>IF(tblContractForDeed[[#This Row],[Princ]]=0,0,$V$3)</f>
        <v>0</v>
      </c>
      <c r="V829" s="265">
        <f>SUM(tblContractForDeed[[#This Row],[Princ]],tblContractForDeed[[#This Row],[Int]],tblContractForDeed[[#This Row],[Ins]],tblContractForDeed[[#This Row],[Taxes]])</f>
        <v>0</v>
      </c>
      <c r="W829" s="265">
        <f>SUM(INDEX(tblContractForDeed[Princ],1):INDEX(tblContractForDeed[Princ],ROW()-ROW(tblContractForDeed[#Headers])))</f>
        <v>146500</v>
      </c>
      <c r="X829" s="434">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9" s="265">
        <f>IF(INDEX(tblContractForDeed[End Bal],ROW()-ROW(tblBuyerOutputs[#Headers]))&lt;=0,0,($O$6+IF(ROW()=ROW(tblBuyerOutputs[#Headers])+1,0,INDEX(tblBuyerOutputs[Cumul Appr],ROW()-ROW(tblBuyerOutputs[#Headers])-1)))*$O$2/12)</f>
        <v>0</v>
      </c>
      <c r="AE829" s="587">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1"/>
        <v/>
      </c>
      <c r="B830" s="265">
        <f t="shared" si="152"/>
        <v>0</v>
      </c>
      <c r="C830" s="14">
        <f t="shared" si="149"/>
        <v>0</v>
      </c>
      <c r="D830" s="14">
        <f t="shared" si="153"/>
        <v>0</v>
      </c>
      <c r="E830" s="14">
        <f t="shared" si="150"/>
        <v>0</v>
      </c>
      <c r="K830" s="265">
        <f t="shared" si="154"/>
        <v>0</v>
      </c>
      <c r="M830" s="22">
        <f t="shared" si="155"/>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Row],[Payment]]=0,0,$V$2)</f>
        <v>0</v>
      </c>
      <c r="U830" s="265">
        <f>IF(tblContractForDeed[[#This Row],[Princ]]=0,0,$V$3)</f>
        <v>0</v>
      </c>
      <c r="V830" s="265">
        <f>SUM(tblContractForDeed[[#This Row],[Princ]],tblContractForDeed[[#This Row],[Int]],tblContractForDeed[[#This Row],[Ins]],tblContractForDeed[[#This Row],[Taxes]])</f>
        <v>0</v>
      </c>
      <c r="W830" s="265">
        <f>SUM(INDEX(tblContractForDeed[Princ],1):INDEX(tblContractForDeed[Princ],ROW()-ROW(tblContractForDeed[#Headers])))</f>
        <v>146500</v>
      </c>
      <c r="X830" s="434">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0" s="265">
        <f>IF(INDEX(tblContractForDeed[End Bal],ROW()-ROW(tblBuyerOutputs[#Headers]))&lt;=0,0,($O$6+IF(ROW()=ROW(tblBuyerOutputs[#Headers])+1,0,INDEX(tblBuyerOutputs[Cumul Appr],ROW()-ROW(tblBuyerOutputs[#Headers])-1)))*$O$2/12)</f>
        <v>0</v>
      </c>
      <c r="AE830" s="587">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1"/>
        <v/>
      </c>
      <c r="B831" s="265">
        <f t="shared" si="152"/>
        <v>0</v>
      </c>
      <c r="C831" s="14">
        <f t="shared" si="149"/>
        <v>0</v>
      </c>
      <c r="D831" s="14">
        <f t="shared" si="153"/>
        <v>0</v>
      </c>
      <c r="E831" s="14">
        <f t="shared" si="150"/>
        <v>0</v>
      </c>
      <c r="K831" s="265">
        <f t="shared" si="154"/>
        <v>0</v>
      </c>
      <c r="M831" s="22">
        <f t="shared" si="155"/>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Row],[Payment]]=0,0,$V$2)</f>
        <v>0</v>
      </c>
      <c r="U831" s="265">
        <f>IF(tblContractForDeed[[#This Row],[Princ]]=0,0,$V$3)</f>
        <v>0</v>
      </c>
      <c r="V831" s="265">
        <f>SUM(tblContractForDeed[[#This Row],[Princ]],tblContractForDeed[[#This Row],[Int]],tblContractForDeed[[#This Row],[Ins]],tblContractForDeed[[#This Row],[Taxes]])</f>
        <v>0</v>
      </c>
      <c r="W831" s="265">
        <f>SUM(INDEX(tblContractForDeed[Princ],1):INDEX(tblContractForDeed[Princ],ROW()-ROW(tblContractForDeed[#Headers])))</f>
        <v>146500</v>
      </c>
      <c r="X831" s="434">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1" s="265">
        <f>IF(INDEX(tblContractForDeed[End Bal],ROW()-ROW(tblBuyerOutputs[#Headers]))&lt;=0,0,($O$6+IF(ROW()=ROW(tblBuyerOutputs[#Headers])+1,0,INDEX(tblBuyerOutputs[Cumul Appr],ROW()-ROW(tblBuyerOutputs[#Headers])-1)))*$O$2/12)</f>
        <v>0</v>
      </c>
      <c r="AE831" s="587">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1"/>
        <v/>
      </c>
      <c r="B832" s="265">
        <f t="shared" si="152"/>
        <v>0</v>
      </c>
      <c r="C832" s="14">
        <f t="shared" si="149"/>
        <v>0</v>
      </c>
      <c r="D832" s="14">
        <f t="shared" si="153"/>
        <v>0</v>
      </c>
      <c r="E832" s="14">
        <f t="shared" si="150"/>
        <v>0</v>
      </c>
      <c r="K832" s="265">
        <f t="shared" si="154"/>
        <v>0</v>
      </c>
      <c r="M832" s="22">
        <f t="shared" si="155"/>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Row],[Payment]]=0,0,$V$2)</f>
        <v>0</v>
      </c>
      <c r="U832" s="265">
        <f>IF(tblContractForDeed[[#This Row],[Princ]]=0,0,$V$3)</f>
        <v>0</v>
      </c>
      <c r="V832" s="265">
        <f>SUM(tblContractForDeed[[#This Row],[Princ]],tblContractForDeed[[#This Row],[Int]],tblContractForDeed[[#This Row],[Ins]],tblContractForDeed[[#This Row],[Taxes]])</f>
        <v>0</v>
      </c>
      <c r="W832" s="265">
        <f>SUM(INDEX(tblContractForDeed[Princ],1):INDEX(tblContractForDeed[Princ],ROW()-ROW(tblContractForDeed[#Headers])))</f>
        <v>146500</v>
      </c>
      <c r="X832" s="434">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2" s="265">
        <f>IF(INDEX(tblContractForDeed[End Bal],ROW()-ROW(tblBuyerOutputs[#Headers]))&lt;=0,0,($O$6+IF(ROW()=ROW(tblBuyerOutputs[#Headers])+1,0,INDEX(tblBuyerOutputs[Cumul Appr],ROW()-ROW(tblBuyerOutputs[#Headers])-1)))*$O$2/12)</f>
        <v>0</v>
      </c>
      <c r="AE832" s="587">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1"/>
        <v/>
      </c>
      <c r="B833" s="265">
        <f t="shared" si="152"/>
        <v>0</v>
      </c>
      <c r="C833" s="14">
        <f t="shared" si="149"/>
        <v>0</v>
      </c>
      <c r="D833" s="14">
        <f t="shared" si="153"/>
        <v>0</v>
      </c>
      <c r="E833" s="14">
        <f t="shared" si="150"/>
        <v>0</v>
      </c>
      <c r="K833" s="265">
        <f t="shared" si="154"/>
        <v>0</v>
      </c>
      <c r="M833" s="22">
        <f t="shared" si="155"/>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Row],[Payment]]=0,0,$V$2)</f>
        <v>0</v>
      </c>
      <c r="U833" s="265">
        <f>IF(tblContractForDeed[[#This Row],[Princ]]=0,0,$V$3)</f>
        <v>0</v>
      </c>
      <c r="V833" s="265">
        <f>SUM(tblContractForDeed[[#This Row],[Princ]],tblContractForDeed[[#This Row],[Int]],tblContractForDeed[[#This Row],[Ins]],tblContractForDeed[[#This Row],[Taxes]])</f>
        <v>0</v>
      </c>
      <c r="W833" s="265">
        <f>SUM(INDEX(tblContractForDeed[Princ],1):INDEX(tblContractForDeed[Princ],ROW()-ROW(tblContractForDeed[#Headers])))</f>
        <v>146500</v>
      </c>
      <c r="X833" s="434">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3" s="265">
        <f>IF(INDEX(tblContractForDeed[End Bal],ROW()-ROW(tblBuyerOutputs[#Headers]))&lt;=0,0,($O$6+IF(ROW()=ROW(tblBuyerOutputs[#Headers])+1,0,INDEX(tblBuyerOutputs[Cumul Appr],ROW()-ROW(tblBuyerOutputs[#Headers])-1)))*$O$2/12)</f>
        <v>0</v>
      </c>
      <c r="AE833" s="587">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46">
    <mergeCell ref="S2:U2"/>
    <mergeCell ref="S3:U3"/>
    <mergeCell ref="S4:U4"/>
    <mergeCell ref="X1:Y1"/>
    <mergeCell ref="X2:Y2"/>
    <mergeCell ref="X3:Y3"/>
    <mergeCell ref="X4:Y4"/>
    <mergeCell ref="AB18:AE18"/>
    <mergeCell ref="A18:B18"/>
    <mergeCell ref="Z17:AE17"/>
    <mergeCell ref="A17:K17"/>
    <mergeCell ref="A5:C5"/>
    <mergeCell ref="A6:C6"/>
    <mergeCell ref="A7:C7"/>
    <mergeCell ref="A8:C8"/>
    <mergeCell ref="S14:T14"/>
    <mergeCell ref="C18:H18"/>
    <mergeCell ref="I18:J18"/>
    <mergeCell ref="Q18:V18"/>
    <mergeCell ref="W18:X18"/>
    <mergeCell ref="Z18:AA18"/>
    <mergeCell ref="L18:N18"/>
    <mergeCell ref="AA7:AC7"/>
    <mergeCell ref="A2:E2"/>
    <mergeCell ref="A3:C3"/>
    <mergeCell ref="A4:C4"/>
    <mergeCell ref="H13:I13"/>
    <mergeCell ref="Q14:R14"/>
    <mergeCell ref="K13:N13"/>
    <mergeCell ref="K14:N14"/>
    <mergeCell ref="K2:L2"/>
    <mergeCell ref="K3:L3"/>
    <mergeCell ref="K5:L5"/>
    <mergeCell ref="Q13:R13"/>
    <mergeCell ref="K4:L4"/>
    <mergeCell ref="F4:H5"/>
    <mergeCell ref="AA2:AD2"/>
    <mergeCell ref="AA3:AC3"/>
    <mergeCell ref="AA4:AC4"/>
    <mergeCell ref="AA5:AC5"/>
    <mergeCell ref="AA6:AC6"/>
    <mergeCell ref="AA8:AC8"/>
    <mergeCell ref="AA9:AC9"/>
    <mergeCell ref="AA10:AC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mc:AlternateContent xmlns:mc="http://schemas.openxmlformats.org/markup-compatibility/2006">
          <mc:Choice Requires="x14">
            <control shapeId="100356" r:id="rId7" name="chkUseInsuranceEscrow">
              <controlPr defaultSize="0" autoFill="0" autoLine="0" autoPict="0">
                <anchor moveWithCells="1">
                  <from>
                    <xdr:col>22</xdr:col>
                    <xdr:colOff>47625</xdr:colOff>
                    <xdr:row>1</xdr:row>
                    <xdr:rowOff>19050</xdr:rowOff>
                  </from>
                  <to>
                    <xdr:col>22</xdr:col>
                    <xdr:colOff>342900</xdr:colOff>
                    <xdr:row>2</xdr:row>
                    <xdr:rowOff>28575</xdr:rowOff>
                  </to>
                </anchor>
              </controlPr>
            </control>
          </mc:Choice>
        </mc:AlternateContent>
        <mc:AlternateContent xmlns:mc="http://schemas.openxmlformats.org/markup-compatibility/2006">
          <mc:Choice Requires="x14">
            <control shapeId="100357" r:id="rId8" name="chkUsePropertyTaxEscrow">
              <controlPr defaultSize="0" autoFill="0" autoLine="0" autoPict="0">
                <anchor moveWithCells="1">
                  <from>
                    <xdr:col>22</xdr:col>
                    <xdr:colOff>47625</xdr:colOff>
                    <xdr:row>2</xdr:row>
                    <xdr:rowOff>19050</xdr:rowOff>
                  </from>
                  <to>
                    <xdr:col>22</xdr:col>
                    <xdr:colOff>342900</xdr:colOff>
                    <xdr:row>3</xdr:row>
                    <xdr:rowOff>28575</xdr:rowOff>
                  </to>
                </anchor>
              </controlPr>
            </control>
          </mc:Choice>
        </mc:AlternateContent>
        <mc:AlternateContent xmlns:mc="http://schemas.openxmlformats.org/markup-compatibility/2006">
          <mc:Choice Requires="x14">
            <control shapeId="100358" r:id="rId9" name="chkUseSubjectToLoan">
              <controlPr defaultSize="0" autoFill="0" autoLine="0" autoPict="0">
                <anchor moveWithCells="1">
                  <from>
                    <xdr:col>22</xdr:col>
                    <xdr:colOff>47625</xdr:colOff>
                    <xdr:row>3</xdr:row>
                    <xdr:rowOff>19050</xdr:rowOff>
                  </from>
                  <to>
                    <xdr:col>22</xdr:col>
                    <xdr:colOff>342900</xdr:colOff>
                    <xdr:row>4</xdr:row>
                    <xdr:rowOff>28575</xdr:rowOff>
                  </to>
                </anchor>
              </controlPr>
            </control>
          </mc:Choice>
        </mc:AlternateContent>
        <mc:AlternateContent xmlns:mc="http://schemas.openxmlformats.org/markup-compatibility/2006">
          <mc:Choice Requires="x14">
            <control shapeId="100360" r:id="rId10" name="chkRefi1st">
              <controlPr defaultSize="0" autoFill="0" autoLine="0" autoPict="0">
                <anchor moveWithCells="1">
                  <from>
                    <xdr:col>8</xdr:col>
                    <xdr:colOff>85725</xdr:colOff>
                    <xdr:row>3</xdr:row>
                    <xdr:rowOff>9525</xdr:rowOff>
                  </from>
                  <to>
                    <xdr:col>8</xdr:col>
                    <xdr:colOff>381000</xdr:colOff>
                    <xdr:row>4</xdr:row>
                    <xdr:rowOff>19050</xdr:rowOff>
                  </to>
                </anchor>
              </controlPr>
            </control>
          </mc:Choice>
        </mc:AlternateContent>
      </controls>
    </mc:Choice>
  </mc:AlternateContent>
  <tableParts count="4">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R116"/>
  <sheetViews>
    <sheetView tabSelected="1" topLeftCell="A29" workbookViewId="0">
      <selection activeCell="H52" sqref="H52"/>
    </sheetView>
  </sheetViews>
  <sheetFormatPr defaultRowHeight="15" x14ac:dyDescent="0.25"/>
  <cols>
    <col min="1" max="1" width="30" bestFit="1" customWidth="1"/>
    <col min="2" max="2" width="51.42578125" customWidth="1"/>
    <col min="3" max="3" width="13" customWidth="1"/>
    <col min="4" max="4" width="35.5703125" customWidth="1"/>
    <col min="5" max="5" width="53.140625" bestFit="1" customWidth="1"/>
    <col min="6" max="6" width="15" customWidth="1"/>
    <col min="7" max="7" width="35.140625" customWidth="1"/>
    <col min="8" max="8" width="53.140625" bestFit="1" customWidth="1"/>
    <col min="9" max="9" width="80.5703125" customWidth="1"/>
    <col min="10" max="10" width="32.7109375" customWidth="1"/>
    <col min="11" max="11" width="58.7109375" customWidth="1"/>
    <col min="12" max="12" width="34.7109375" customWidth="1"/>
    <col min="13" max="20" width="15.28515625" customWidth="1"/>
    <col min="21" max="30" width="11.28515625" customWidth="1"/>
    <col min="31" max="31" width="12.5703125" bestFit="1" customWidth="1"/>
    <col min="32" max="32" width="13.140625" bestFit="1" customWidth="1"/>
    <col min="33" max="40" width="11.28515625" customWidth="1"/>
    <col min="41" max="41" width="12.85546875" bestFit="1" customWidth="1"/>
    <col min="42" max="42" width="17" bestFit="1" customWidth="1"/>
    <col min="43" max="43" width="18.140625" bestFit="1" customWidth="1"/>
    <col min="44" max="44" width="12.85546875" bestFit="1" customWidth="1"/>
    <col min="45" max="45" width="21.140625" bestFit="1" customWidth="1"/>
    <col min="46" max="46" width="21.85546875" bestFit="1" customWidth="1"/>
    <col min="47" max="47" width="13.42578125" bestFit="1" customWidth="1"/>
    <col min="48" max="48" width="24.140625" bestFit="1" customWidth="1"/>
    <col min="49" max="55" width="24.140625" customWidth="1"/>
    <col min="56" max="56" width="21.140625" bestFit="1" customWidth="1"/>
    <col min="57" max="57" width="21.140625" customWidth="1"/>
    <col min="58" max="58" width="21.140625" bestFit="1" customWidth="1"/>
    <col min="59" max="59" width="21.140625" customWidth="1"/>
    <col min="60" max="61" width="17.7109375" customWidth="1"/>
    <col min="62" max="62" width="18.5703125" bestFit="1" customWidth="1"/>
    <col min="63" max="63" width="14.28515625" bestFit="1" customWidth="1"/>
    <col min="64" max="64" width="13.140625" bestFit="1" customWidth="1"/>
    <col min="65" max="70" width="13.140625" customWidth="1"/>
  </cols>
  <sheetData>
    <row r="1" spans="1:10" ht="16.5" customHeight="1" thickBot="1" x14ac:dyDescent="0.3">
      <c r="A1" s="443" t="s">
        <v>674</v>
      </c>
      <c r="B1" s="486"/>
      <c r="C1" s="497"/>
      <c r="D1" s="443" t="s">
        <v>669</v>
      </c>
      <c r="E1" s="486"/>
      <c r="F1" s="25"/>
      <c r="G1" s="443" t="s">
        <v>1178</v>
      </c>
      <c r="H1" s="486"/>
      <c r="I1" s="486"/>
    </row>
    <row r="2" spans="1:10" ht="15.75" customHeight="1" x14ac:dyDescent="0.25">
      <c r="A2" s="30" t="s">
        <v>666</v>
      </c>
      <c r="B2" s="501" t="s">
        <v>673</v>
      </c>
      <c r="C2" s="497"/>
      <c r="D2" s="30" t="s">
        <v>635</v>
      </c>
      <c r="E2" s="498" t="str">
        <f>+Profit!$B$2</f>
        <v>4121 Tensity Dr</v>
      </c>
      <c r="F2" s="25"/>
      <c r="G2" s="30" t="s">
        <v>706</v>
      </c>
      <c r="H2" s="494">
        <f>+Amortization!O6</f>
        <v>146500</v>
      </c>
      <c r="I2" s="486"/>
    </row>
    <row r="3" spans="1:10" ht="15.75" customHeight="1" x14ac:dyDescent="0.25">
      <c r="A3" s="30" t="s">
        <v>679</v>
      </c>
      <c r="B3" s="498" t="str">
        <f>+MOG!B3&amp;" "&amp;MOG!C3</f>
        <v xml:space="preserve"> </v>
      </c>
      <c r="C3" s="497"/>
      <c r="D3" s="30" t="s">
        <v>636</v>
      </c>
      <c r="E3" s="498" t="str">
        <f>+Profit!$E$2</f>
        <v>Raleigh, NC 27604</v>
      </c>
      <c r="F3" s="25"/>
      <c r="G3" s="30" t="s">
        <v>1018</v>
      </c>
      <c r="H3" s="490">
        <f>+Amortization!AD3</f>
        <v>1777.45</v>
      </c>
      <c r="I3" s="486"/>
    </row>
    <row r="4" spans="1:10" ht="15.75" customHeight="1" x14ac:dyDescent="0.25">
      <c r="A4" s="30" t="s">
        <v>681</v>
      </c>
      <c r="B4" s="498" t="str">
        <f>+MOG!B4&amp;" "&amp;MOG!C4</f>
        <v xml:space="preserve"> </v>
      </c>
      <c r="C4" s="497"/>
      <c r="D4" s="30" t="s">
        <v>629</v>
      </c>
      <c r="E4" s="486" t="s">
        <v>712</v>
      </c>
      <c r="F4" s="25"/>
      <c r="G4" s="30" t="s">
        <v>1020</v>
      </c>
      <c r="H4" s="490">
        <v>0</v>
      </c>
      <c r="I4" s="486"/>
    </row>
    <row r="5" spans="1:10" ht="15.75" customHeight="1" x14ac:dyDescent="0.25">
      <c r="A5" s="30" t="s">
        <v>1042</v>
      </c>
      <c r="B5" s="501"/>
      <c r="C5" s="486"/>
      <c r="D5" s="429" t="s">
        <v>631</v>
      </c>
      <c r="E5" s="486">
        <f>+E6*12</f>
        <v>0</v>
      </c>
      <c r="F5" s="25"/>
      <c r="G5" s="30" t="s">
        <v>1021</v>
      </c>
      <c r="H5" s="486"/>
      <c r="I5" s="486"/>
    </row>
    <row r="6" spans="1:10" ht="15.75" customHeight="1" x14ac:dyDescent="0.25">
      <c r="A6" s="30" t="s">
        <v>1043</v>
      </c>
      <c r="B6" s="501"/>
      <c r="C6" s="486"/>
      <c r="D6" s="429" t="s">
        <v>632</v>
      </c>
      <c r="E6" s="500">
        <f>+Amortization!V3</f>
        <v>0</v>
      </c>
      <c r="F6" s="25"/>
      <c r="G6" s="30" t="s">
        <v>1023</v>
      </c>
      <c r="H6" s="30" t="str">
        <f>IF(I6="Yes","Limited Allowance Compensating for Rent", "DON'T USE")</f>
        <v>DON'T USE</v>
      </c>
      <c r="I6" s="492" t="s">
        <v>1024</v>
      </c>
    </row>
    <row r="7" spans="1:10" ht="15.75" customHeight="1" x14ac:dyDescent="0.25">
      <c r="A7" s="30" t="s">
        <v>680</v>
      </c>
      <c r="B7" s="486" t="str">
        <f>MOG!$B$3 &amp; " " &amp; MOG!$C$3 &amp; IF(+MOG!$C$4="",""," and " &amp; +MOG!$B$4 &amp; " " &amp;MOG!$C$4)</f>
        <v xml:space="preserve"> </v>
      </c>
      <c r="C7" s="486"/>
      <c r="D7" s="429" t="s">
        <v>633</v>
      </c>
      <c r="E7" s="500">
        <f>+Amortization!V2</f>
        <v>134.16999999999999</v>
      </c>
      <c r="F7" s="423"/>
      <c r="G7" s="30" t="s">
        <v>1026</v>
      </c>
      <c r="H7" s="30" t="str">
        <f>IF(I7="Yes","Part of Purchase and Sale Agreement", "DON'T USE")</f>
        <v>Part of Purchase and Sale Agreement</v>
      </c>
      <c r="I7" s="492" t="s">
        <v>29</v>
      </c>
    </row>
    <row r="8" spans="1:10" ht="15.75" customHeight="1" thickBot="1" x14ac:dyDescent="0.3">
      <c r="A8" s="30" t="s">
        <v>1044</v>
      </c>
      <c r="B8" s="486"/>
      <c r="C8" s="508"/>
      <c r="D8" s="430" t="s">
        <v>634</v>
      </c>
      <c r="E8" s="486">
        <v>60</v>
      </c>
      <c r="F8" s="423"/>
      <c r="G8" s="30" t="s">
        <v>709</v>
      </c>
      <c r="H8" s="445">
        <v>10</v>
      </c>
      <c r="I8" s="486"/>
    </row>
    <row r="9" spans="1:10" ht="16.5" customHeight="1" thickBot="1" x14ac:dyDescent="0.3">
      <c r="A9" s="30" t="s">
        <v>1045</v>
      </c>
      <c r="B9" s="486"/>
      <c r="C9" s="508"/>
      <c r="D9" s="443" t="s">
        <v>670</v>
      </c>
      <c r="E9" s="486"/>
      <c r="F9" s="423"/>
      <c r="G9" s="30" t="s">
        <v>707</v>
      </c>
      <c r="H9" s="486">
        <f>+cfdContractMonths</f>
        <v>120</v>
      </c>
      <c r="I9" s="486"/>
    </row>
    <row r="10" spans="1:10" ht="16.5" customHeight="1" x14ac:dyDescent="0.25">
      <c r="A10" s="30" t="s">
        <v>644</v>
      </c>
      <c r="B10" s="508"/>
      <c r="C10" s="508"/>
      <c r="D10" s="30" t="s">
        <v>702</v>
      </c>
      <c r="E10" s="503"/>
      <c r="F10" s="424"/>
      <c r="G10" s="30" t="s">
        <v>112</v>
      </c>
      <c r="H10" s="486">
        <f>+cfdRate1</f>
        <v>0.08</v>
      </c>
      <c r="I10" s="486"/>
    </row>
    <row r="11" spans="1:10" ht="13.5" customHeight="1" x14ac:dyDescent="0.25">
      <c r="A11" s="30" t="s">
        <v>645</v>
      </c>
      <c r="B11" s="508"/>
      <c r="C11" s="508"/>
      <c r="D11" s="30" t="s">
        <v>643</v>
      </c>
      <c r="F11" s="427"/>
      <c r="G11" s="30" t="s">
        <v>708</v>
      </c>
      <c r="H11" s="486" t="str">
        <f>IF(H2&gt;0,"X","")</f>
        <v>X</v>
      </c>
      <c r="I11" s="486"/>
    </row>
    <row r="12" spans="1:10" ht="13.5" customHeight="1" x14ac:dyDescent="0.25">
      <c r="A12" s="30" t="s">
        <v>1046</v>
      </c>
      <c r="B12" s="508"/>
      <c r="C12" s="486"/>
      <c r="D12" s="30" t="s">
        <v>656</v>
      </c>
      <c r="E12" s="504"/>
      <c r="F12" s="426"/>
      <c r="G12" s="30" t="s">
        <v>1029</v>
      </c>
      <c r="H12" s="486" t="s">
        <v>1030</v>
      </c>
      <c r="I12" s="486"/>
    </row>
    <row r="13" spans="1:10" ht="13.5" customHeight="1" thickBot="1" x14ac:dyDescent="0.3">
      <c r="A13" s="30" t="s">
        <v>1047</v>
      </c>
      <c r="B13" s="508"/>
      <c r="C13" s="424"/>
      <c r="D13" s="30" t="s">
        <v>1041</v>
      </c>
      <c r="E13" s="495"/>
      <c r="F13" s="426"/>
      <c r="G13" s="30"/>
      <c r="H13" s="486"/>
      <c r="I13" s="486"/>
    </row>
    <row r="14" spans="1:10" ht="13.5" customHeight="1" thickBot="1" x14ac:dyDescent="0.3">
      <c r="A14" s="30" t="s">
        <v>685</v>
      </c>
      <c r="B14" s="486"/>
      <c r="C14" s="424"/>
      <c r="D14" s="30" t="s">
        <v>689</v>
      </c>
      <c r="E14" s="501" t="s">
        <v>699</v>
      </c>
      <c r="F14" s="427"/>
      <c r="G14" s="443" t="s">
        <v>1031</v>
      </c>
      <c r="H14" s="486"/>
      <c r="I14" s="486"/>
    </row>
    <row r="15" spans="1:10" ht="13.5" customHeight="1" x14ac:dyDescent="0.25">
      <c r="A15" s="30" t="s">
        <v>682</v>
      </c>
      <c r="B15" s="501" t="s">
        <v>688</v>
      </c>
      <c r="C15" s="424"/>
      <c r="D15" s="30" t="s">
        <v>690</v>
      </c>
      <c r="E15" s="507" t="s">
        <v>700</v>
      </c>
      <c r="F15" s="427"/>
      <c r="G15" s="30" t="s">
        <v>1032</v>
      </c>
      <c r="H15" s="501"/>
      <c r="I15" s="486"/>
      <c r="J15" s="127"/>
    </row>
    <row r="16" spans="1:10" ht="13.5" customHeight="1" x14ac:dyDescent="0.25">
      <c r="A16" s="30" t="s">
        <v>683</v>
      </c>
      <c r="B16" s="501" t="s">
        <v>688</v>
      </c>
      <c r="C16" s="486"/>
      <c r="D16" s="30" t="s">
        <v>691</v>
      </c>
      <c r="E16" s="507" t="s">
        <v>701</v>
      </c>
      <c r="F16" s="427"/>
      <c r="G16" s="30" t="s">
        <v>1033</v>
      </c>
      <c r="H16" s="501"/>
      <c r="I16" s="486"/>
      <c r="J16" s="127"/>
    </row>
    <row r="17" spans="1:10" ht="13.5" customHeight="1" x14ac:dyDescent="0.25">
      <c r="A17" s="30" t="s">
        <v>686</v>
      </c>
      <c r="B17" s="501" t="s">
        <v>687</v>
      </c>
      <c r="C17" s="490"/>
      <c r="D17" s="30" t="s">
        <v>692</v>
      </c>
      <c r="E17" s="501"/>
      <c r="F17" s="427"/>
      <c r="G17" s="30" t="s">
        <v>1034</v>
      </c>
      <c r="H17" s="501"/>
      <c r="I17" s="486"/>
      <c r="J17" s="127"/>
    </row>
    <row r="18" spans="1:10" ht="13.5" customHeight="1" thickBot="1" x14ac:dyDescent="0.3">
      <c r="A18" s="30" t="s">
        <v>684</v>
      </c>
      <c r="B18" s="486">
        <v>1233445566</v>
      </c>
      <c r="C18" s="490"/>
      <c r="F18" s="427"/>
      <c r="G18" s="30" t="s">
        <v>1035</v>
      </c>
      <c r="H18" s="502"/>
      <c r="I18" s="486"/>
      <c r="J18" s="127"/>
    </row>
    <row r="19" spans="1:10" ht="15.75" customHeight="1" thickBot="1" x14ac:dyDescent="0.3">
      <c r="A19" s="429" t="s">
        <v>663</v>
      </c>
      <c r="B19" s="490">
        <f>Profit!C14</f>
        <v>28063.26</v>
      </c>
      <c r="C19" s="490"/>
      <c r="D19" s="443" t="s">
        <v>705</v>
      </c>
      <c r="E19" s="486"/>
      <c r="F19" s="427"/>
      <c r="G19" s="30" t="s">
        <v>1036</v>
      </c>
      <c r="H19" s="501"/>
      <c r="I19" s="486"/>
      <c r="J19" s="127"/>
    </row>
    <row r="20" spans="1:10" ht="15.75" customHeight="1" x14ac:dyDescent="0.25">
      <c r="A20" s="429" t="s">
        <v>588</v>
      </c>
      <c r="B20" s="490">
        <f>Profit!C15</f>
        <v>69550.880000000005</v>
      </c>
      <c r="C20" s="424"/>
      <c r="D20" s="30" t="s">
        <v>677</v>
      </c>
      <c r="E20" s="501" t="s">
        <v>698</v>
      </c>
      <c r="F20" s="427"/>
      <c r="G20" s="30" t="s">
        <v>1037</v>
      </c>
      <c r="H20" s="501"/>
      <c r="I20" s="486"/>
      <c r="J20" s="127"/>
    </row>
    <row r="21" spans="1:10" ht="15.75" customHeight="1" x14ac:dyDescent="0.25">
      <c r="A21" s="429" t="s">
        <v>662</v>
      </c>
      <c r="B21" s="490">
        <f>Profit!B21</f>
        <v>102614.14</v>
      </c>
      <c r="C21" s="490"/>
      <c r="D21" s="30" t="s">
        <v>693</v>
      </c>
      <c r="E21" s="495" t="s">
        <v>696</v>
      </c>
      <c r="F21" s="427"/>
      <c r="G21" s="427"/>
      <c r="I21" s="127"/>
      <c r="J21" s="127"/>
    </row>
    <row r="22" spans="1:10" ht="15.75" x14ac:dyDescent="0.25">
      <c r="A22" s="429" t="s">
        <v>630</v>
      </c>
      <c r="B22" s="501">
        <v>100</v>
      </c>
      <c r="C22" s="499"/>
      <c r="D22" s="30" t="s">
        <v>694</v>
      </c>
      <c r="E22" s="495" t="s">
        <v>695</v>
      </c>
      <c r="F22" s="427"/>
      <c r="J22" s="127"/>
    </row>
    <row r="23" spans="1:10" ht="15.75" x14ac:dyDescent="0.25">
      <c r="A23" s="429" t="s">
        <v>660</v>
      </c>
      <c r="B23" s="490">
        <f>+Profit!C20-B22</f>
        <v>4900</v>
      </c>
      <c r="C23" s="499"/>
      <c r="D23" s="30" t="s">
        <v>637</v>
      </c>
      <c r="E23" s="498" t="str">
        <f>+ E2 &amp; " Real Estate Trust dated " &amp; E24 &amp;" " &amp; E25</f>
        <v>4121 Tensity Dr Real Estate Trust dated March, 5 2025</v>
      </c>
      <c r="F23" s="427"/>
    </row>
    <row r="24" spans="1:10" ht="15.75" x14ac:dyDescent="0.25">
      <c r="A24" s="429" t="s">
        <v>640</v>
      </c>
      <c r="B24" s="499" t="str">
        <f>TEXT(subjectInterestRate,"0.000%")</f>
        <v>0.000%</v>
      </c>
      <c r="C24" s="499"/>
      <c r="D24" s="30" t="s">
        <v>638</v>
      </c>
      <c r="E24" s="507" t="s">
        <v>697</v>
      </c>
      <c r="F24" s="427"/>
    </row>
    <row r="25" spans="1:10" ht="15.75" x14ac:dyDescent="0.25">
      <c r="A25" s="429" t="s">
        <v>658</v>
      </c>
      <c r="B25" s="657">
        <f>$H$38</f>
        <v>0.08</v>
      </c>
      <c r="C25" s="490"/>
      <c r="D25" s="30" t="s">
        <v>601</v>
      </c>
      <c r="E25" s="501">
        <v>2025</v>
      </c>
      <c r="F25" s="427"/>
    </row>
    <row r="26" spans="1:10" ht="15.75" x14ac:dyDescent="0.25">
      <c r="A26" s="429" t="s">
        <v>657</v>
      </c>
      <c r="B26" s="499" t="str">
        <f>TEXT(cfdRate2,"0.000%")</f>
        <v>3.000%</v>
      </c>
      <c r="C26" s="492"/>
      <c r="D26" s="30" t="s">
        <v>639</v>
      </c>
      <c r="E26" s="501" t="s">
        <v>641</v>
      </c>
      <c r="F26" s="427"/>
    </row>
    <row r="27" spans="1:10" ht="15.75" x14ac:dyDescent="0.25">
      <c r="A27" s="429" t="s">
        <v>664</v>
      </c>
      <c r="B27" s="490" t="s">
        <v>665</v>
      </c>
      <c r="C27" s="490"/>
      <c r="D27" s="30" t="s">
        <v>642</v>
      </c>
      <c r="E27" s="509">
        <f ca="1">YEAR(NOW())</f>
        <v>2026</v>
      </c>
      <c r="F27" s="427"/>
    </row>
    <row r="28" spans="1:10" ht="15.75" x14ac:dyDescent="0.25">
      <c r="B28" s="492"/>
      <c r="C28" s="487"/>
      <c r="D28" s="30" t="s">
        <v>703</v>
      </c>
      <c r="E28" s="509">
        <f ca="1">MONTH(NOW())</f>
        <v>6</v>
      </c>
      <c r="F28" s="427"/>
    </row>
    <row r="29" spans="1:10" ht="15.75" x14ac:dyDescent="0.25">
      <c r="A29" s="429" t="s">
        <v>671</v>
      </c>
      <c r="B29" s="490" t="s">
        <v>672</v>
      </c>
      <c r="C29" s="487"/>
      <c r="D29" s="30" t="s">
        <v>655</v>
      </c>
      <c r="E29" s="486"/>
      <c r="F29" s="427"/>
    </row>
    <row r="30" spans="1:10" ht="16.5" thickBot="1" x14ac:dyDescent="0.3">
      <c r="B30" s="492"/>
      <c r="C30" s="490"/>
      <c r="F30" s="427"/>
    </row>
    <row r="31" spans="1:10" ht="15.75" customHeight="1" thickBot="1" x14ac:dyDescent="0.3">
      <c r="A31" s="443" t="s">
        <v>668</v>
      </c>
      <c r="B31" s="486"/>
      <c r="C31" s="491"/>
      <c r="D31" s="443" t="s">
        <v>704</v>
      </c>
      <c r="E31" s="487"/>
      <c r="F31" s="25"/>
    </row>
    <row r="32" spans="1:10" ht="15.75" customHeight="1" thickBot="1" x14ac:dyDescent="0.3">
      <c r="A32" s="30" t="s">
        <v>1014</v>
      </c>
      <c r="B32" s="638" t="s">
        <v>1177</v>
      </c>
      <c r="C32" s="490"/>
      <c r="D32" s="429" t="s">
        <v>1015</v>
      </c>
      <c r="E32" s="488"/>
      <c r="F32" s="25"/>
      <c r="G32" s="639" t="s">
        <v>1179</v>
      </c>
      <c r="H32" s="640"/>
      <c r="I32" s="640" t="s">
        <v>1180</v>
      </c>
    </row>
    <row r="33" spans="1:10" ht="15.75" customHeight="1" x14ac:dyDescent="0.25">
      <c r="A33" s="30" t="s">
        <v>1016</v>
      </c>
      <c r="B33" s="486" t="s">
        <v>1208</v>
      </c>
      <c r="C33" s="487"/>
      <c r="D33" s="429" t="s">
        <v>1017</v>
      </c>
      <c r="E33" s="490"/>
      <c r="F33" s="25"/>
      <c r="G33" s="646" t="s">
        <v>1181</v>
      </c>
      <c r="H33" s="654" t="str">
        <f>$B$32</f>
        <v>Selvin Santos</v>
      </c>
      <c r="I33" s="641" t="s">
        <v>1210</v>
      </c>
    </row>
    <row r="34" spans="1:10" ht="15.75" customHeight="1" x14ac:dyDescent="0.25">
      <c r="A34" s="30" t="s">
        <v>1019</v>
      </c>
      <c r="B34" s="486" t="s">
        <v>711</v>
      </c>
      <c r="C34" s="487"/>
      <c r="D34" s="429" t="s">
        <v>676</v>
      </c>
      <c r="E34" s="491"/>
      <c r="F34" s="25"/>
      <c r="G34" s="646" t="s">
        <v>1182</v>
      </c>
      <c r="H34" s="642" t="str">
        <f>$B$36</f>
        <v>Heritage Management LLC</v>
      </c>
      <c r="I34" s="641" t="s">
        <v>1183</v>
      </c>
    </row>
    <row r="35" spans="1:10" ht="15.75" customHeight="1" x14ac:dyDescent="0.25">
      <c r="A35" s="30" t="s">
        <v>1019</v>
      </c>
      <c r="B35" s="486"/>
      <c r="C35" s="487"/>
      <c r="D35" s="30" t="s">
        <v>678</v>
      </c>
      <c r="E35" s="490"/>
      <c r="F35" s="25"/>
      <c r="G35" s="646" t="s">
        <v>1184</v>
      </c>
      <c r="H35" s="656">
        <f>$H$53</f>
        <v>146500</v>
      </c>
      <c r="I35" s="641" t="s">
        <v>1211</v>
      </c>
    </row>
    <row r="36" spans="1:10" ht="15.75" customHeight="1" x14ac:dyDescent="0.25">
      <c r="A36" s="30" t="s">
        <v>667</v>
      </c>
      <c r="B36" s="486" t="s">
        <v>673</v>
      </c>
      <c r="C36" s="496"/>
      <c r="D36" s="30" t="s">
        <v>1022</v>
      </c>
      <c r="E36" s="488"/>
      <c r="F36" s="25"/>
      <c r="G36" s="646" t="s">
        <v>1185</v>
      </c>
      <c r="H36" s="655">
        <f>+Amortization!AD3</f>
        <v>1777.45</v>
      </c>
      <c r="I36" s="641" t="s">
        <v>1186</v>
      </c>
    </row>
    <row r="37" spans="1:10" ht="15.75" customHeight="1" x14ac:dyDescent="0.25">
      <c r="A37" s="30" t="s">
        <v>661</v>
      </c>
      <c r="B37" s="493">
        <f>+Amortization!O3</f>
        <v>346500</v>
      </c>
      <c r="C37" s="486"/>
      <c r="D37" s="30" t="s">
        <v>1025</v>
      </c>
      <c r="E37" s="490" t="str">
        <f>IF(E36="X","[X] If checked, The rent shall adjust, annually, to exactly the amount of the mortgage payment, property insurance, real estate taxes, plus $10.00."," ")</f>
        <v xml:space="preserve"> </v>
      </c>
      <c r="F37" s="25"/>
      <c r="G37" s="646" t="s">
        <v>1187</v>
      </c>
      <c r="H37" s="650">
        <f>+cfdFirstRateMonths</f>
        <v>120</v>
      </c>
      <c r="I37" s="643" t="s">
        <v>1188</v>
      </c>
    </row>
    <row r="38" spans="1:10" ht="15.75" customHeight="1" x14ac:dyDescent="0.25">
      <c r="A38" s="30" t="s">
        <v>1027</v>
      </c>
      <c r="B38" s="493">
        <f>+Amortization!K2</f>
        <v>6000</v>
      </c>
      <c r="C38" s="486"/>
      <c r="D38" s="30" t="s">
        <v>1028</v>
      </c>
      <c r="E38" s="495">
        <v>0</v>
      </c>
      <c r="F38" s="25"/>
      <c r="G38" s="646" t="s">
        <v>1189</v>
      </c>
      <c r="H38" s="648">
        <f>+cfdRate1</f>
        <v>0.08</v>
      </c>
      <c r="I38" s="643" t="s">
        <v>1190</v>
      </c>
    </row>
    <row r="39" spans="1:10" ht="15.75" customHeight="1" x14ac:dyDescent="0.25">
      <c r="A39" s="429" t="s">
        <v>659</v>
      </c>
      <c r="B39" s="493">
        <f>+Amortization!$O$4-B38</f>
        <v>194000</v>
      </c>
      <c r="C39" s="486"/>
      <c r="D39" s="30" t="s">
        <v>675</v>
      </c>
      <c r="E39" s="496">
        <f>Carrying!E5</f>
        <v>660.59</v>
      </c>
      <c r="F39" s="25"/>
      <c r="G39" s="646" t="s">
        <v>1191</v>
      </c>
      <c r="H39" s="647">
        <v>0</v>
      </c>
      <c r="I39" s="644" t="s">
        <v>1192</v>
      </c>
    </row>
    <row r="40" spans="1:10" ht="15.75" customHeight="1" x14ac:dyDescent="0.25">
      <c r="A40" s="30" t="s">
        <v>1038</v>
      </c>
      <c r="B40" s="489"/>
      <c r="C40" s="486"/>
      <c r="D40" s="490"/>
      <c r="E40" s="490"/>
      <c r="F40" s="25"/>
      <c r="G40" s="646" t="s">
        <v>1193</v>
      </c>
      <c r="H40" s="645"/>
      <c r="I40" s="641" t="s">
        <v>1194</v>
      </c>
    </row>
    <row r="41" spans="1:10" ht="15.75" customHeight="1" x14ac:dyDescent="0.25">
      <c r="A41" s="30" t="s">
        <v>1039</v>
      </c>
      <c r="B41" s="505"/>
      <c r="C41" s="486"/>
      <c r="F41" s="25"/>
      <c r="G41" s="646" t="s">
        <v>1195</v>
      </c>
      <c r="H41" s="649">
        <f>+cfdContractDate</f>
        <v>46204</v>
      </c>
      <c r="I41" s="641" t="s">
        <v>1196</v>
      </c>
    </row>
    <row r="42" spans="1:10" ht="15.75" customHeight="1" x14ac:dyDescent="0.25">
      <c r="A42" s="30" t="s">
        <v>1040</v>
      </c>
      <c r="B42" s="506"/>
      <c r="C42" s="496"/>
      <c r="F42" s="25"/>
      <c r="G42" s="646" t="s">
        <v>1197</v>
      </c>
      <c r="H42" s="649">
        <f>+cfdEndDate</f>
        <v>49827</v>
      </c>
      <c r="I42" s="641" t="s">
        <v>1198</v>
      </c>
    </row>
    <row r="43" spans="1:10" ht="15.75" customHeight="1" x14ac:dyDescent="0.25">
      <c r="C43" s="496"/>
      <c r="F43" s="424"/>
      <c r="G43" s="646" t="s">
        <v>1199</v>
      </c>
      <c r="H43" s="645" t="s">
        <v>1200</v>
      </c>
      <c r="I43" s="641" t="s">
        <v>1201</v>
      </c>
    </row>
    <row r="44" spans="1:10" ht="15.75" customHeight="1" thickBot="1" x14ac:dyDescent="0.3">
      <c r="F44" s="424"/>
      <c r="G44" s="646" t="s">
        <v>1202</v>
      </c>
      <c r="H44" s="645" t="s">
        <v>1203</v>
      </c>
      <c r="I44" s="641" t="s">
        <v>1204</v>
      </c>
    </row>
    <row r="45" spans="1:10" ht="15.75" customHeight="1" thickBot="1" x14ac:dyDescent="0.3">
      <c r="F45" s="424"/>
      <c r="G45" s="651" t="s">
        <v>1205</v>
      </c>
      <c r="H45" s="652" t="s">
        <v>1206</v>
      </c>
      <c r="I45" s="653" t="s">
        <v>1207</v>
      </c>
    </row>
    <row r="46" spans="1:10" ht="15.75" customHeight="1" x14ac:dyDescent="0.25">
      <c r="F46" s="424"/>
      <c r="G46" s="25"/>
      <c r="I46" s="127"/>
      <c r="J46" s="127"/>
    </row>
    <row r="47" spans="1:10" ht="15.75" customHeight="1" x14ac:dyDescent="0.25">
      <c r="F47" s="424"/>
      <c r="G47" s="25"/>
      <c r="I47" s="127"/>
      <c r="J47" s="127"/>
    </row>
    <row r="48" spans="1:10" ht="15.75" customHeight="1" x14ac:dyDescent="0.25">
      <c r="F48" s="426"/>
      <c r="G48" s="876" t="s">
        <v>1080</v>
      </c>
      <c r="H48" s="876"/>
      <c r="I48" s="127"/>
      <c r="J48" s="127"/>
    </row>
    <row r="49" spans="2:11" ht="15.75" customHeight="1" x14ac:dyDescent="0.25">
      <c r="F49" s="426"/>
      <c r="G49" s="520" t="s">
        <v>1081</v>
      </c>
      <c r="H49" s="521">
        <f>tradeNetCreditIncluded</f>
        <v>0</v>
      </c>
      <c r="I49" s="127"/>
      <c r="J49" s="127"/>
    </row>
    <row r="50" spans="2:11" ht="15.75" customHeight="1" x14ac:dyDescent="0.25">
      <c r="F50" s="426"/>
      <c r="G50" s="520" t="s">
        <v>1082</v>
      </c>
      <c r="H50" s="521">
        <f>$B$39</f>
        <v>194000</v>
      </c>
      <c r="I50" s="127"/>
      <c r="J50" s="127"/>
    </row>
    <row r="51" spans="2:11" ht="15.75" customHeight="1" x14ac:dyDescent="0.25">
      <c r="F51" s="424"/>
      <c r="G51" s="520" t="s">
        <v>1083</v>
      </c>
      <c r="H51" s="521">
        <f>$B$38+$B$39+$H$49</f>
        <v>200000</v>
      </c>
      <c r="I51" s="127"/>
      <c r="J51" s="127"/>
    </row>
    <row r="52" spans="2:11" ht="15.75" customHeight="1" x14ac:dyDescent="0.25">
      <c r="F52" s="424"/>
      <c r="G52" s="520" t="s">
        <v>1218</v>
      </c>
      <c r="H52" s="521">
        <f>IF(Amortization!I4,$B$38+$B$39+$H$49,0)</f>
        <v>0</v>
      </c>
      <c r="I52" s="127"/>
      <c r="J52" s="127"/>
    </row>
    <row r="53" spans="2:11" ht="15.75" customHeight="1" x14ac:dyDescent="0.25">
      <c r="F53" s="425"/>
      <c r="G53" s="520" t="s">
        <v>1084</v>
      </c>
      <c r="H53" s="521">
        <f>$B$37-$H$51</f>
        <v>146500</v>
      </c>
      <c r="I53" s="127"/>
      <c r="J53" s="127"/>
    </row>
    <row r="54" spans="2:11" ht="15.75" customHeight="1" x14ac:dyDescent="0.25">
      <c r="F54" s="425"/>
      <c r="G54" s="520" t="s">
        <v>1216</v>
      </c>
      <c r="H54" s="662">
        <f>$B$37-$H$51</f>
        <v>146500</v>
      </c>
      <c r="I54" s="127"/>
      <c r="J54" s="127"/>
    </row>
    <row r="55" spans="2:11" ht="15.75" customHeight="1" x14ac:dyDescent="0.25">
      <c r="F55" s="424"/>
      <c r="G55" s="520" t="s">
        <v>1085</v>
      </c>
      <c r="H55" s="877" t="str">
        <f>tradePropertyListForDocs</f>
        <v/>
      </c>
      <c r="I55" s="717"/>
      <c r="J55" s="717"/>
      <c r="K55" s="717"/>
    </row>
    <row r="56" spans="2:11" ht="15.75" customHeight="1" x14ac:dyDescent="0.25">
      <c r="F56" s="444"/>
      <c r="G56" s="520" t="s">
        <v>1086</v>
      </c>
      <c r="H56" s="877" t="str">
        <f>tradePropertyConditionsForDocs</f>
        <v>Trade credit is not final until titles/bills of sale, lien releases or payoff documentation, possession/keys, tenant and rent information, and park/lot approvals are delivered and accepted.</v>
      </c>
      <c r="I56" s="717"/>
      <c r="J56" s="717"/>
      <c r="K56" s="717"/>
    </row>
    <row r="57" spans="2:11" ht="15.75" customHeight="1" x14ac:dyDescent="0.25">
      <c r="F57" s="444"/>
      <c r="G57" s="520" t="s">
        <v>1087</v>
      </c>
      <c r="H57" s="877" t="s">
        <v>1209</v>
      </c>
      <c r="I57" s="717"/>
      <c r="J57" s="717"/>
      <c r="K57" s="717"/>
    </row>
    <row r="58" spans="2:11" ht="15.75" customHeight="1" x14ac:dyDescent="0.25">
      <c r="F58" s="444"/>
      <c r="G58" s="520" t="s">
        <v>1088</v>
      </c>
      <c r="H58" s="877" t="s">
        <v>1089</v>
      </c>
      <c r="I58" s="717"/>
      <c r="J58" s="717"/>
      <c r="K58" s="717"/>
    </row>
    <row r="59" spans="2:11" ht="15.75" customHeight="1" x14ac:dyDescent="0.25">
      <c r="F59" s="32"/>
      <c r="G59" s="32"/>
      <c r="I59" s="127"/>
      <c r="J59" s="127"/>
    </row>
    <row r="60" spans="2:11" ht="15.75" customHeight="1" x14ac:dyDescent="0.25">
      <c r="B60" s="492"/>
      <c r="C60" s="486"/>
      <c r="F60" s="424"/>
      <c r="G60" s="424"/>
      <c r="I60" s="127"/>
      <c r="J60" s="127"/>
    </row>
    <row r="61" spans="2:11" ht="15.75" customHeight="1" x14ac:dyDescent="0.25">
      <c r="B61" s="492"/>
      <c r="C61" s="486"/>
      <c r="F61" s="424"/>
      <c r="G61" s="424"/>
      <c r="I61" s="127"/>
      <c r="J61" s="127"/>
    </row>
    <row r="62" spans="2:11" ht="15.75" customHeight="1" x14ac:dyDescent="0.25">
      <c r="B62" s="492"/>
      <c r="C62" s="490"/>
      <c r="F62" s="424"/>
      <c r="G62" s="424"/>
      <c r="I62" s="127"/>
      <c r="J62" s="127"/>
    </row>
    <row r="63" spans="2:11" ht="15.75" customHeight="1" x14ac:dyDescent="0.25">
      <c r="F63" s="424"/>
      <c r="G63" s="424"/>
      <c r="I63" s="127"/>
      <c r="J63" s="127"/>
    </row>
    <row r="64" spans="2:11" ht="15.75" customHeight="1" x14ac:dyDescent="0.25">
      <c r="F64" s="424"/>
      <c r="G64" s="424"/>
      <c r="I64" s="127"/>
      <c r="J64" s="127"/>
    </row>
    <row r="65" spans="6:10" ht="15.75" customHeight="1" x14ac:dyDescent="0.25">
      <c r="F65" s="25"/>
      <c r="G65" s="25"/>
      <c r="I65" s="127"/>
      <c r="J65" s="127"/>
    </row>
    <row r="66" spans="6:10" ht="15.75" customHeight="1" x14ac:dyDescent="0.25">
      <c r="F66" s="25"/>
      <c r="G66" s="25"/>
      <c r="I66" s="127"/>
      <c r="J66" s="127"/>
    </row>
    <row r="67" spans="6:10" ht="15.75" customHeight="1" x14ac:dyDescent="0.25">
      <c r="F67" s="25"/>
      <c r="G67" s="25"/>
      <c r="I67" s="127"/>
      <c r="J67" s="127"/>
    </row>
    <row r="68" spans="6:10" ht="15.75" customHeight="1" x14ac:dyDescent="0.25">
      <c r="F68" s="25"/>
    </row>
    <row r="69" spans="6:10" ht="15.75" customHeight="1" x14ac:dyDescent="0.25">
      <c r="F69" s="25"/>
    </row>
    <row r="70" spans="6:10" ht="15.75" customHeight="1" x14ac:dyDescent="0.25">
      <c r="F70" s="425"/>
    </row>
    <row r="71" spans="6:10" ht="15.75" customHeight="1" x14ac:dyDescent="0.25">
      <c r="F71" s="425"/>
    </row>
    <row r="72" spans="6:10" ht="15.75" customHeight="1" x14ac:dyDescent="0.25">
      <c r="F72" s="25"/>
    </row>
    <row r="73" spans="6:10" ht="15.75" customHeight="1" x14ac:dyDescent="0.25">
      <c r="F73" s="25"/>
    </row>
    <row r="74" spans="6:10" ht="15.75" customHeight="1" x14ac:dyDescent="0.25">
      <c r="F74" s="424"/>
    </row>
    <row r="75" spans="6:10" ht="15.75" customHeight="1" x14ac:dyDescent="0.25">
      <c r="F75" s="424"/>
    </row>
    <row r="76" spans="6:10" ht="15.75" customHeight="1" x14ac:dyDescent="0.25">
      <c r="F76" s="487"/>
    </row>
    <row r="77" spans="6:10" ht="15.75" customHeight="1" x14ac:dyDescent="0.25">
      <c r="F77" s="487"/>
    </row>
    <row r="78" spans="6:10" ht="15.75" customHeight="1" x14ac:dyDescent="0.25">
      <c r="F78" s="487"/>
    </row>
    <row r="79" spans="6:10" ht="15.75" customHeight="1" x14ac:dyDescent="0.25">
      <c r="F79" s="487"/>
    </row>
    <row r="80" spans="6:10" ht="15.75" customHeight="1" x14ac:dyDescent="0.25">
      <c r="F80" s="487"/>
    </row>
    <row r="81" spans="4:70" ht="15.75" customHeight="1" x14ac:dyDescent="0.25">
      <c r="F81" s="487"/>
    </row>
    <row r="82" spans="4:70" ht="15.75" customHeight="1" x14ac:dyDescent="0.25">
      <c r="F82" s="487"/>
    </row>
    <row r="83" spans="4:70" ht="15.75" customHeight="1" x14ac:dyDescent="0.25">
      <c r="F83" s="25"/>
    </row>
    <row r="84" spans="4:70" ht="15.75" customHeight="1" x14ac:dyDescent="0.25">
      <c r="F84" s="25"/>
    </row>
    <row r="85" spans="4:70" ht="15.75" customHeight="1" x14ac:dyDescent="0.25"/>
    <row r="86" spans="4:70" ht="15.75" customHeight="1" x14ac:dyDescent="0.25"/>
    <row r="87" spans="4:70" ht="15.75" customHeight="1" x14ac:dyDescent="0.25">
      <c r="F87" s="25"/>
      <c r="BQ87" s="30"/>
      <c r="BR87" s="30"/>
    </row>
    <row r="88" spans="4:70" ht="15.75" customHeight="1" x14ac:dyDescent="0.25">
      <c r="F88" s="428"/>
    </row>
    <row r="89" spans="4:70" ht="15.75" customHeight="1" x14ac:dyDescent="0.25">
      <c r="F89" s="25"/>
    </row>
    <row r="90" spans="4:70" ht="15.75" customHeight="1" x14ac:dyDescent="0.25">
      <c r="F90" s="28"/>
    </row>
    <row r="91" spans="4:70" ht="15.75" customHeight="1" x14ac:dyDescent="0.25">
      <c r="F91" s="32"/>
    </row>
    <row r="92" spans="4:70" ht="15.75" customHeight="1" x14ac:dyDescent="0.25">
      <c r="D92" s="491"/>
      <c r="E92" s="491"/>
      <c r="F92" s="32"/>
    </row>
    <row r="93" spans="4:70" ht="15.75" customHeight="1" x14ac:dyDescent="0.25">
      <c r="D93" s="486"/>
      <c r="E93" s="486"/>
      <c r="F93" s="25"/>
      <c r="G93" s="25"/>
      <c r="I93" s="127"/>
      <c r="J93" s="127"/>
    </row>
    <row r="94" spans="4:70" ht="15.75" customHeight="1" x14ac:dyDescent="0.25">
      <c r="D94" s="486"/>
      <c r="E94" s="486"/>
      <c r="F94" s="25"/>
      <c r="G94" s="25"/>
      <c r="I94" s="127"/>
      <c r="J94" s="127"/>
    </row>
    <row r="95" spans="4:70" ht="15.75" customHeight="1" x14ac:dyDescent="0.25">
      <c r="D95" s="486"/>
      <c r="E95" s="486"/>
      <c r="F95" s="25"/>
      <c r="G95" s="25"/>
      <c r="I95" s="127"/>
      <c r="J95" s="127"/>
    </row>
    <row r="96" spans="4:70" ht="15.75" customHeight="1" x14ac:dyDescent="0.25">
      <c r="D96" s="486"/>
      <c r="E96" s="486"/>
      <c r="F96" s="25"/>
      <c r="G96" s="25"/>
      <c r="I96" s="127"/>
      <c r="J96" s="127"/>
    </row>
    <row r="97" spans="4:10" ht="15.75" customHeight="1" x14ac:dyDescent="0.25">
      <c r="D97" s="486"/>
      <c r="E97" s="486"/>
      <c r="F97" s="25"/>
      <c r="G97" s="25"/>
      <c r="I97" s="127"/>
      <c r="J97" s="127"/>
    </row>
    <row r="98" spans="4:10" ht="15.75" customHeight="1" x14ac:dyDescent="0.25">
      <c r="D98" s="486"/>
      <c r="E98" s="486"/>
      <c r="F98" s="25"/>
      <c r="G98" s="25"/>
      <c r="I98" s="127"/>
      <c r="J98" s="127"/>
    </row>
    <row r="99" spans="4:10" ht="15.75" customHeight="1" x14ac:dyDescent="0.25">
      <c r="D99" s="486"/>
      <c r="E99" s="486"/>
      <c r="F99" s="25"/>
      <c r="G99" s="25"/>
      <c r="I99" s="127"/>
      <c r="J99" s="127"/>
    </row>
    <row r="100" spans="4:10" ht="15.75" customHeight="1" x14ac:dyDescent="0.25">
      <c r="D100" s="486"/>
      <c r="E100" s="486"/>
      <c r="F100" s="25"/>
      <c r="G100" s="25"/>
      <c r="I100" s="127"/>
      <c r="J100" s="127"/>
    </row>
    <row r="101" spans="4:10" ht="15.75" customHeight="1" x14ac:dyDescent="0.25">
      <c r="D101" s="492"/>
      <c r="E101" s="492"/>
      <c r="F101" s="425"/>
      <c r="G101" s="425"/>
      <c r="I101" s="127"/>
      <c r="J101" s="127"/>
    </row>
    <row r="102" spans="4:10" ht="15.75" customHeight="1" x14ac:dyDescent="0.25">
      <c r="D102" s="492"/>
      <c r="E102" s="492"/>
      <c r="F102" s="425"/>
      <c r="G102" s="425"/>
      <c r="I102" s="127"/>
      <c r="J102" s="127"/>
    </row>
    <row r="103" spans="4:10" ht="15.75" customHeight="1" x14ac:dyDescent="0.25">
      <c r="D103" s="445"/>
      <c r="E103" s="445"/>
      <c r="F103" s="425"/>
      <c r="G103" s="425"/>
      <c r="I103" s="127"/>
      <c r="J103" s="127"/>
    </row>
    <row r="104" spans="4:10" ht="15.75" customHeight="1" x14ac:dyDescent="0.25">
      <c r="D104" s="486"/>
      <c r="E104" s="486"/>
      <c r="F104" s="25"/>
      <c r="G104" s="25"/>
      <c r="I104" s="127"/>
      <c r="J104" s="127"/>
    </row>
    <row r="105" spans="4:10" ht="15.75" customHeight="1" x14ac:dyDescent="0.25">
      <c r="D105" s="486"/>
      <c r="E105" s="486"/>
      <c r="F105" s="25"/>
      <c r="G105" s="25"/>
      <c r="I105" s="127"/>
      <c r="J105" s="127"/>
    </row>
    <row r="106" spans="4:10" ht="15.75" customHeight="1" x14ac:dyDescent="0.25">
      <c r="D106" s="486"/>
      <c r="E106" s="486"/>
      <c r="F106" s="25"/>
      <c r="G106" s="25"/>
      <c r="I106" s="127"/>
      <c r="J106" s="127"/>
    </row>
    <row r="107" spans="4:10" ht="15.75" customHeight="1" x14ac:dyDescent="0.25">
      <c r="D107" s="486"/>
      <c r="E107" s="486"/>
      <c r="F107" s="25"/>
      <c r="G107" s="25"/>
      <c r="I107" s="127"/>
      <c r="J107" s="127"/>
    </row>
    <row r="108" spans="4:10" ht="15.75" customHeight="1" x14ac:dyDescent="0.25">
      <c r="D108" s="486"/>
      <c r="E108" s="486"/>
      <c r="F108" s="25"/>
      <c r="G108" s="25"/>
      <c r="I108" s="127"/>
      <c r="J108" s="127"/>
    </row>
    <row r="109" spans="4:10" ht="15.75" customHeight="1" x14ac:dyDescent="0.25">
      <c r="D109" s="486"/>
      <c r="E109" s="486"/>
      <c r="F109" s="25"/>
      <c r="G109" s="25"/>
      <c r="I109" s="127"/>
      <c r="J109" s="127"/>
    </row>
    <row r="110" spans="4:10" ht="15.75" customHeight="1" x14ac:dyDescent="0.25">
      <c r="D110" s="486"/>
      <c r="E110" s="486"/>
      <c r="F110" s="25"/>
      <c r="G110" s="25"/>
      <c r="I110" s="127"/>
      <c r="J110" s="127"/>
    </row>
    <row r="111" spans="4:10" ht="15.75" customHeight="1" x14ac:dyDescent="0.25">
      <c r="D111" s="486"/>
      <c r="E111" s="486"/>
      <c r="F111" s="25"/>
      <c r="G111" s="25"/>
      <c r="I111" s="127"/>
      <c r="J111" s="127"/>
    </row>
    <row r="112" spans="4:10" ht="15.75" customHeight="1" x14ac:dyDescent="0.25">
      <c r="D112" s="486"/>
      <c r="E112" s="486"/>
      <c r="F112" s="25"/>
      <c r="G112" s="25"/>
      <c r="I112" s="127"/>
      <c r="J112" s="127"/>
    </row>
    <row r="113" spans="4:10" ht="15.75" customHeight="1" x14ac:dyDescent="0.25">
      <c r="D113" s="486"/>
      <c r="E113" s="486"/>
      <c r="F113" s="25"/>
      <c r="G113" s="25"/>
      <c r="I113" s="127"/>
      <c r="J113" s="127"/>
    </row>
    <row r="114" spans="4:10" ht="15.75" customHeight="1" x14ac:dyDescent="0.25">
      <c r="D114" s="486"/>
      <c r="E114" s="486"/>
      <c r="F114" s="25"/>
      <c r="G114" s="25"/>
      <c r="I114" s="127"/>
      <c r="J114" s="127"/>
    </row>
    <row r="115" spans="4:10" ht="15.75" customHeight="1" x14ac:dyDescent="0.25">
      <c r="D115" s="486"/>
      <c r="E115" s="486"/>
      <c r="F115" s="25"/>
      <c r="G115" s="25"/>
      <c r="I115" s="127"/>
      <c r="J115" s="127"/>
    </row>
    <row r="116" spans="4:10" ht="15.75" customHeight="1" x14ac:dyDescent="0.25">
      <c r="D116" s="486"/>
      <c r="E116" s="486"/>
      <c r="F116" s="25"/>
      <c r="G116" s="25"/>
      <c r="I116" s="127"/>
      <c r="J116" s="127"/>
    </row>
  </sheetData>
  <mergeCells count="5">
    <mergeCell ref="G48:H48"/>
    <mergeCell ref="H55:K55"/>
    <mergeCell ref="H56:K56"/>
    <mergeCell ref="H57:K57"/>
    <mergeCell ref="H58:K5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2:S23"/>
  <sheetViews>
    <sheetView showGridLines="0" topLeftCell="B1" workbookViewId="0">
      <pane ySplit="7" topLeftCell="A8" activePane="bottomLeft" state="frozenSplit"/>
      <selection pane="bottomLeft" activeCell="S8" sqref="S8"/>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x14ac:dyDescent="0.25">
      <c r="A2" s="523" t="s">
        <v>1090</v>
      </c>
      <c r="B2" s="523" t="s">
        <v>1051</v>
      </c>
      <c r="C2" s="523" t="s">
        <v>1091</v>
      </c>
      <c r="D2" s="523" t="s">
        <v>1092</v>
      </c>
      <c r="E2" s="523" t="s">
        <v>1093</v>
      </c>
      <c r="F2" s="523" t="s">
        <v>1172</v>
      </c>
      <c r="G2" s="523" t="s">
        <v>1173</v>
      </c>
      <c r="H2" s="523" t="s">
        <v>1167</v>
      </c>
      <c r="I2" s="523" t="s">
        <v>1168</v>
      </c>
      <c r="J2" s="523" t="s">
        <v>1169</v>
      </c>
      <c r="K2" s="523" t="s">
        <v>1170</v>
      </c>
      <c r="L2" s="523" t="s">
        <v>1171</v>
      </c>
      <c r="M2" s="523" t="s">
        <v>1094</v>
      </c>
      <c r="N2" s="523" t="s">
        <v>1095</v>
      </c>
      <c r="O2" s="523" t="s">
        <v>1096</v>
      </c>
      <c r="P2" s="523" t="s">
        <v>129</v>
      </c>
      <c r="R2" s="881" t="s">
        <v>1067</v>
      </c>
      <c r="S2" s="881"/>
    </row>
    <row r="3" spans="1:19" ht="33.950000000000003" customHeight="1" x14ac:dyDescent="0.25">
      <c r="A3" s="524" t="s">
        <v>1060</v>
      </c>
      <c r="B3" s="524" t="s">
        <v>1061</v>
      </c>
      <c r="C3" s="525">
        <v>70000</v>
      </c>
      <c r="D3" s="525">
        <v>782</v>
      </c>
      <c r="E3" s="525">
        <v>1800</v>
      </c>
      <c r="F3" s="525">
        <f>+C3/100*0.8721/12</f>
        <v>50.872500000000002</v>
      </c>
      <c r="G3" s="525">
        <v>150</v>
      </c>
      <c r="H3" s="525">
        <f>IF(OR(D3="",E3=""),"",E3-SUM(D3,F3:G3))</f>
        <v>817.12750000000005</v>
      </c>
      <c r="I3" s="525">
        <f>IF(H3="","",H3*12)</f>
        <v>9805.5300000000007</v>
      </c>
      <c r="J3" s="526">
        <f>IFERROR(SUM(D3,F3:G3)/E3,"")</f>
        <v>0.54604027777777775</v>
      </c>
      <c r="K3" s="526">
        <f>IFERROR(H3/E3,"")</f>
        <v>0.45395972222222225</v>
      </c>
      <c r="L3" s="526">
        <f>IFERROR(I3/C3,"")</f>
        <v>0.14007900000000001</v>
      </c>
      <c r="M3" s="525">
        <f>IF(I3="","",I3/10%)</f>
        <v>98055.3</v>
      </c>
      <c r="N3" s="525">
        <f>IF(I3="","",I3/12%)</f>
        <v>81712.750000000015</v>
      </c>
      <c r="O3" s="525">
        <f>IF(I3="","",I3/15%)</f>
        <v>65370.200000000004</v>
      </c>
      <c r="P3" s="527" t="s">
        <v>1097</v>
      </c>
      <c r="R3" s="546" t="s">
        <v>1068</v>
      </c>
      <c r="S3" s="516">
        <f>SUM(I14:I16)</f>
        <v>225450</v>
      </c>
    </row>
    <row r="4" spans="1:19" ht="33.950000000000003" customHeight="1" x14ac:dyDescent="0.25">
      <c r="A4" s="524" t="s">
        <v>1063</v>
      </c>
      <c r="B4" s="524" t="s">
        <v>1064</v>
      </c>
      <c r="C4" s="525">
        <v>104000</v>
      </c>
      <c r="D4" s="525">
        <v>782</v>
      </c>
      <c r="E4" s="525">
        <v>1950</v>
      </c>
      <c r="F4" s="525">
        <f t="shared" ref="F4:F5" si="0">+C4/100*0.8721/12</f>
        <v>75.582000000000008</v>
      </c>
      <c r="G4" s="525">
        <v>150</v>
      </c>
      <c r="H4" s="525">
        <f>IF(OR(D4="",E4=""),"",E4-SUM(D4,F4:G4))</f>
        <v>942.41800000000001</v>
      </c>
      <c r="I4" s="525">
        <f>IF(H4="","",H4*12)</f>
        <v>11309.016</v>
      </c>
      <c r="J4" s="526">
        <f>IFERROR(SUM(D4,F4:G4)/E4,"")</f>
        <v>0.51670871794871798</v>
      </c>
      <c r="K4" s="526">
        <f>IFERROR(H4/E4,"")</f>
        <v>0.48329128205128208</v>
      </c>
      <c r="L4" s="526">
        <f>IFERROR(I4/C4,"")</f>
        <v>0.10874053846153846</v>
      </c>
      <c r="M4" s="525">
        <f>IF(I4="","",I4/10%)</f>
        <v>113090.15999999999</v>
      </c>
      <c r="N4" s="525">
        <f>IF(I4="","",I4/12%)</f>
        <v>94241.8</v>
      </c>
      <c r="O4" s="525">
        <f>IF(I4="","",I4/15%)</f>
        <v>75393.440000000002</v>
      </c>
      <c r="P4" s="527" t="s">
        <v>1098</v>
      </c>
      <c r="R4" s="546" t="s">
        <v>1069</v>
      </c>
      <c r="S4" s="516">
        <f>SUM(J14:J16)</f>
        <v>0</v>
      </c>
    </row>
    <row r="5" spans="1:19" ht="25.5" x14ac:dyDescent="0.25">
      <c r="A5" s="524" t="s">
        <v>1065</v>
      </c>
      <c r="B5" s="524" t="s">
        <v>1061</v>
      </c>
      <c r="C5" s="525">
        <v>76500</v>
      </c>
      <c r="D5" s="525">
        <v>500</v>
      </c>
      <c r="E5" s="525">
        <v>1600</v>
      </c>
      <c r="F5" s="525">
        <f t="shared" si="0"/>
        <v>55.596374999999995</v>
      </c>
      <c r="G5" s="525">
        <v>150</v>
      </c>
      <c r="H5" s="525">
        <f>IF(OR(D5="",E5=""),"",E5-SUM(D5,F5:G5))</f>
        <v>894.40362500000003</v>
      </c>
      <c r="I5" s="525">
        <f>IF(H5="","",H5*12)</f>
        <v>10732.843500000001</v>
      </c>
      <c r="J5" s="526">
        <f>IFERROR(SUM(D5,F5:G5)/E5,"")</f>
        <v>0.44099773437500001</v>
      </c>
      <c r="K5" s="526">
        <f>IFERROR(H5/E5,"")</f>
        <v>0.55900226562499999</v>
      </c>
      <c r="L5" s="526">
        <f>IFERROR(I5/C5,"")</f>
        <v>0.14029860784313727</v>
      </c>
      <c r="M5" s="525">
        <f>IF(I5="","",I5/10%)</f>
        <v>107328.435</v>
      </c>
      <c r="N5" s="525">
        <f>IF(I5="","",I5/12%)</f>
        <v>89440.362500000017</v>
      </c>
      <c r="O5" s="525">
        <f>IF(I5="","",I5/15%)</f>
        <v>71552.290000000008</v>
      </c>
      <c r="P5" s="527" t="s">
        <v>1099</v>
      </c>
      <c r="R5" s="546" t="s">
        <v>1070</v>
      </c>
      <c r="S5" s="516">
        <f>K17</f>
        <v>0</v>
      </c>
    </row>
    <row r="6" spans="1:19" x14ac:dyDescent="0.25">
      <c r="A6" s="528" t="s">
        <v>263</v>
      </c>
      <c r="B6" s="528"/>
      <c r="C6" s="529">
        <f t="shared" ref="C6:I6" si="1">SUM(C3:C5)</f>
        <v>250500</v>
      </c>
      <c r="D6" s="529">
        <f t="shared" si="1"/>
        <v>2064</v>
      </c>
      <c r="E6" s="529">
        <f t="shared" si="1"/>
        <v>5350</v>
      </c>
      <c r="F6" s="529">
        <f t="shared" si="1"/>
        <v>182.05087500000002</v>
      </c>
      <c r="G6" s="529">
        <f t="shared" si="1"/>
        <v>450</v>
      </c>
      <c r="H6" s="529">
        <f t="shared" si="1"/>
        <v>2653.9491250000001</v>
      </c>
      <c r="I6" s="529">
        <f t="shared" si="1"/>
        <v>31847.389500000005</v>
      </c>
      <c r="J6" s="530">
        <f>IFERROR(SUM(D6,F6:G6)/E6,"")</f>
        <v>0.50393474299065422</v>
      </c>
      <c r="K6" s="530">
        <f>IFERROR(H6/E6,"")</f>
        <v>0.49606525700934584</v>
      </c>
      <c r="L6" s="530">
        <f>IFERROR(I6/C6,"")</f>
        <v>0.12713528742514971</v>
      </c>
      <c r="M6" s="529">
        <f>IF(I6="","",I6/10%)</f>
        <v>318473.89500000002</v>
      </c>
      <c r="N6" s="529">
        <f>IF(I6="","",I6/12%)</f>
        <v>265394.91250000003</v>
      </c>
      <c r="O6" s="529">
        <f>IF(I6="","",I6/15%)</f>
        <v>212315.93000000005</v>
      </c>
      <c r="P6" s="531"/>
      <c r="R6" s="546" t="s">
        <v>1071</v>
      </c>
      <c r="S6" s="516">
        <f>D17</f>
        <v>0</v>
      </c>
    </row>
    <row r="7" spans="1:19" s="22" customFormat="1" x14ac:dyDescent="0.25">
      <c r="R7" s="546" t="s">
        <v>1174</v>
      </c>
      <c r="S7" s="516">
        <f>C17</f>
        <v>0</v>
      </c>
    </row>
    <row r="8" spans="1:19" ht="36" customHeight="1" x14ac:dyDescent="0.3">
      <c r="A8" s="878" t="s">
        <v>1048</v>
      </c>
      <c r="B8" s="878"/>
      <c r="C8" s="878"/>
      <c r="D8" s="878"/>
      <c r="E8" s="878"/>
      <c r="F8" s="878"/>
      <c r="G8" s="878"/>
      <c r="H8" s="878"/>
      <c r="I8" s="878"/>
      <c r="J8" s="878"/>
      <c r="K8" s="878"/>
      <c r="L8" s="878"/>
      <c r="M8" s="878"/>
      <c r="N8" s="878"/>
      <c r="O8" s="878"/>
      <c r="R8" s="546" t="s">
        <v>1175</v>
      </c>
      <c r="S8" s="516">
        <f>E17</f>
        <v>0</v>
      </c>
    </row>
    <row r="9" spans="1:19" ht="36" customHeight="1" x14ac:dyDescent="0.25">
      <c r="A9" s="879" t="s">
        <v>1049</v>
      </c>
      <c r="B9" s="879"/>
      <c r="C9" s="879"/>
      <c r="D9" s="879"/>
      <c r="E9" s="879"/>
      <c r="F9" s="879"/>
      <c r="G9" s="879"/>
      <c r="H9" s="879"/>
      <c r="I9" s="879"/>
      <c r="J9" s="879"/>
      <c r="K9" s="879"/>
      <c r="L9" s="879"/>
      <c r="M9" s="879"/>
      <c r="N9" s="879"/>
      <c r="O9" s="879"/>
      <c r="R9" s="546" t="s">
        <v>1176</v>
      </c>
      <c r="S9" s="516">
        <f>F17</f>
        <v>0</v>
      </c>
    </row>
    <row r="10" spans="1:19" x14ac:dyDescent="0.25">
      <c r="A10" s="879"/>
      <c r="B10" s="879"/>
      <c r="C10" s="879"/>
      <c r="D10" s="879"/>
      <c r="E10" s="879"/>
      <c r="F10" s="879"/>
      <c r="G10" s="879"/>
      <c r="H10" s="879"/>
      <c r="I10" s="880"/>
      <c r="J10" s="879"/>
      <c r="K10" s="879"/>
      <c r="L10" s="879"/>
      <c r="M10" s="879"/>
      <c r="N10" s="879"/>
      <c r="O10" s="879"/>
      <c r="R10" s="546"/>
      <c r="S10" s="516"/>
    </row>
    <row r="11" spans="1:19" x14ac:dyDescent="0.25">
      <c r="G11" s="581"/>
      <c r="H11" s="581"/>
      <c r="I11" s="582">
        <v>0.1</v>
      </c>
      <c r="J11" s="532">
        <v>2</v>
      </c>
      <c r="R11" s="546" t="s">
        <v>1072</v>
      </c>
      <c r="S11" s="516">
        <f>S9/10%</f>
        <v>0</v>
      </c>
    </row>
    <row r="12" spans="1:19" x14ac:dyDescent="0.25">
      <c r="C12" s="882" t="s">
        <v>1165</v>
      </c>
      <c r="D12" s="883"/>
      <c r="E12" s="883"/>
      <c r="F12" s="883"/>
      <c r="G12" s="883"/>
      <c r="H12" s="883"/>
      <c r="I12" s="883"/>
      <c r="J12" s="883"/>
      <c r="K12" s="883"/>
      <c r="L12" s="717"/>
      <c r="M12" s="717"/>
      <c r="R12" s="546" t="s">
        <v>1073</v>
      </c>
      <c r="S12" s="516">
        <f>S9/12%</f>
        <v>0</v>
      </c>
    </row>
    <row r="13" spans="1:19" ht="51.75" x14ac:dyDescent="0.25">
      <c r="A13" s="522" t="s">
        <v>1050</v>
      </c>
      <c r="B13" s="522" t="s">
        <v>1051</v>
      </c>
      <c r="C13" s="584" t="s">
        <v>1166</v>
      </c>
      <c r="D13" s="583" t="s">
        <v>1052</v>
      </c>
      <c r="E13" s="583" t="s">
        <v>1167</v>
      </c>
      <c r="F13" s="583" t="s">
        <v>1168</v>
      </c>
      <c r="G13" s="583" t="s">
        <v>1101</v>
      </c>
      <c r="H13" s="583" t="s">
        <v>1100</v>
      </c>
      <c r="I13" s="583" t="s">
        <v>1053</v>
      </c>
      <c r="J13" s="583" t="s">
        <v>1054</v>
      </c>
      <c r="K13" s="583" t="s">
        <v>1055</v>
      </c>
      <c r="L13" s="522" t="s">
        <v>1059</v>
      </c>
      <c r="M13" s="522" t="s">
        <v>1056</v>
      </c>
      <c r="N13" s="522" t="s">
        <v>1057</v>
      </c>
      <c r="O13" s="522" t="s">
        <v>1058</v>
      </c>
      <c r="R13" s="546" t="s">
        <v>1074</v>
      </c>
      <c r="S13" s="516">
        <f>S9/15%</f>
        <v>0</v>
      </c>
    </row>
    <row r="14" spans="1:19" ht="30" x14ac:dyDescent="0.25">
      <c r="A14" s="515" t="str">
        <f>+A3</f>
        <v>5009 Sunnyfield Dr</v>
      </c>
      <c r="B14" s="515" t="str">
        <f t="shared" ref="B14:B16" si="2">+B3</f>
        <v>Single wide</v>
      </c>
      <c r="C14" s="512">
        <f>SUM(D3,F3:G3)</f>
        <v>982.87249999999995</v>
      </c>
      <c r="D14" s="512">
        <f>E3</f>
        <v>1800</v>
      </c>
      <c r="E14" s="513">
        <f>D14-C14</f>
        <v>817.12750000000005</v>
      </c>
      <c r="F14" s="513">
        <f>E14*12</f>
        <v>9805.5300000000007</v>
      </c>
      <c r="G14" s="513">
        <f>+O3</f>
        <v>65370.200000000004</v>
      </c>
      <c r="H14" s="513">
        <f>C3</f>
        <v>70000</v>
      </c>
      <c r="I14" s="513">
        <f>IF($J$11=2,H14,G14)*(1-$I$11)</f>
        <v>63000</v>
      </c>
      <c r="J14" s="512">
        <v>0</v>
      </c>
      <c r="K14" s="513">
        <f>IF($L14,MAX(0,I14-J14),0)</f>
        <v>0</v>
      </c>
      <c r="L14" s="533" t="b">
        <v>0</v>
      </c>
      <c r="M14" s="510" t="s">
        <v>1062</v>
      </c>
      <c r="N14" s="510" t="s">
        <v>1062</v>
      </c>
      <c r="O14" s="510" t="s">
        <v>1062</v>
      </c>
      <c r="R14" s="546"/>
      <c r="S14" s="517"/>
    </row>
    <row r="15" spans="1:19" ht="30" x14ac:dyDescent="0.25">
      <c r="A15" s="515" t="str">
        <f t="shared" ref="A15:A16" si="3">+A4</f>
        <v>5021 Sunnyfield Dr</v>
      </c>
      <c r="B15" s="515" t="str">
        <f t="shared" si="2"/>
        <v>Double wide</v>
      </c>
      <c r="C15" s="512">
        <f>SUM(D4,F4:G4)</f>
        <v>1007.582</v>
      </c>
      <c r="D15" s="512">
        <f>E4</f>
        <v>1950</v>
      </c>
      <c r="E15" s="513">
        <f>D15-C15</f>
        <v>942.41800000000001</v>
      </c>
      <c r="F15" s="513">
        <f>E15*12</f>
        <v>11309.016</v>
      </c>
      <c r="G15" s="513">
        <f>+O4</f>
        <v>75393.440000000002</v>
      </c>
      <c r="H15" s="513">
        <f>C4</f>
        <v>104000</v>
      </c>
      <c r="I15" s="513">
        <f>IF($J$11=2,H15,G15)*(1-$I$11)</f>
        <v>93600</v>
      </c>
      <c r="J15" s="512">
        <v>0</v>
      </c>
      <c r="K15" s="513">
        <f>IF($L15,MAX(0,I15-J15),0)</f>
        <v>0</v>
      </c>
      <c r="L15" s="533" t="b">
        <v>0</v>
      </c>
      <c r="M15" s="510" t="s">
        <v>1062</v>
      </c>
      <c r="N15" s="510" t="s">
        <v>1062</v>
      </c>
      <c r="O15" s="510" t="s">
        <v>1062</v>
      </c>
      <c r="R15" s="547" t="s">
        <v>1075</v>
      </c>
      <c r="S15" s="518" t="str">
        <f>_xlfn.TEXTJOIN("; ",TRUE,IF($L$14,$A$14&amp;" - "&amp;$B$14,""),IF($L$15,$A$15&amp;" - "&amp;$B$15,""),IF($L$16,$A$16&amp;" - "&amp;$B$16,""))</f>
        <v/>
      </c>
    </row>
    <row r="16" spans="1:19" ht="45" x14ac:dyDescent="0.25">
      <c r="A16" s="515" t="str">
        <f t="shared" si="3"/>
        <v>5512 Desert Willow Ln</v>
      </c>
      <c r="B16" s="515" t="str">
        <f t="shared" si="2"/>
        <v>Single wide</v>
      </c>
      <c r="C16" s="512">
        <f>SUM(D5,F5:G5)</f>
        <v>705.59637499999997</v>
      </c>
      <c r="D16" s="512">
        <f>E5</f>
        <v>1600</v>
      </c>
      <c r="E16" s="513">
        <f>D16-C16</f>
        <v>894.40362500000003</v>
      </c>
      <c r="F16" s="513">
        <f>E16*12</f>
        <v>10732.843500000001</v>
      </c>
      <c r="G16" s="513">
        <f>+O5</f>
        <v>71552.290000000008</v>
      </c>
      <c r="H16" s="513">
        <f>C5</f>
        <v>76500</v>
      </c>
      <c r="I16" s="513">
        <f>IF($J$11=2,H16,G16)*(1-$I$11)</f>
        <v>68850</v>
      </c>
      <c r="J16" s="512">
        <v>0</v>
      </c>
      <c r="K16" s="513">
        <f>IF($L16,MAX(0,I16-J16),0)</f>
        <v>0</v>
      </c>
      <c r="L16" s="533" t="b">
        <v>0</v>
      </c>
      <c r="M16" s="510" t="s">
        <v>1062</v>
      </c>
      <c r="N16" s="510" t="s">
        <v>1062</v>
      </c>
      <c r="O16" s="510" t="s">
        <v>1062</v>
      </c>
      <c r="R16" s="547" t="s">
        <v>1076</v>
      </c>
      <c r="S16" s="518" t="s">
        <v>1077</v>
      </c>
    </row>
    <row r="17" spans="1:19" x14ac:dyDescent="0.25">
      <c r="A17" s="511" t="s">
        <v>1066</v>
      </c>
      <c r="B17" s="511"/>
      <c r="C17" s="514">
        <f t="shared" ref="C17:I17" si="4">SUMPRODUCT(--($L$14:$L$16=TRUE),C14:C16)</f>
        <v>0</v>
      </c>
      <c r="D17" s="514">
        <f t="shared" si="4"/>
        <v>0</v>
      </c>
      <c r="E17" s="514">
        <f t="shared" si="4"/>
        <v>0</v>
      </c>
      <c r="F17" s="514">
        <f t="shared" si="4"/>
        <v>0</v>
      </c>
      <c r="G17" s="514">
        <f t="shared" si="4"/>
        <v>0</v>
      </c>
      <c r="H17" s="514">
        <f t="shared" si="4"/>
        <v>0</v>
      </c>
      <c r="I17" s="514">
        <f t="shared" si="4"/>
        <v>0</v>
      </c>
      <c r="J17" s="514">
        <f t="shared" ref="J17" si="5">SUM(J14:J16)</f>
        <v>0</v>
      </c>
      <c r="K17" s="514">
        <f>SUM(K14:K16)</f>
        <v>0</v>
      </c>
      <c r="L17" s="511"/>
      <c r="M17" s="511"/>
      <c r="N17" s="511"/>
      <c r="O17" s="511"/>
      <c r="R17" s="547"/>
      <c r="S17" s="518"/>
    </row>
    <row r="18" spans="1:19" ht="30" x14ac:dyDescent="0.25">
      <c r="R18" s="547" t="s">
        <v>1078</v>
      </c>
      <c r="S18" s="519" t="s">
        <v>1079</v>
      </c>
    </row>
    <row r="19" spans="1:19" x14ac:dyDescent="0.25">
      <c r="R19" s="547"/>
      <c r="S19" s="518"/>
    </row>
    <row r="23" spans="1:19" ht="48" customHeight="1" x14ac:dyDescent="0.25"/>
  </sheetData>
  <mergeCells count="4">
    <mergeCell ref="A8:O8"/>
    <mergeCell ref="A9:O10"/>
    <mergeCell ref="R2:S2"/>
    <mergeCell ref="C12:M12"/>
  </mergeCells>
  <dataValidations disablePrompts="1" count="2">
    <dataValidation type="list" allowBlank="1" showInputMessage="1" showErrorMessage="1" sqref="M14:O16" xr:uid="{4DD39BCA-D073-46D4-AEA9-CC0041E7CAE3}">
      <formula1>"Needs review,Pending,Received,Accepted,Rejected,N/A"</formula1>
    </dataValidation>
    <dataValidation type="decimal" allowBlank="1" showInputMessage="1" showErrorMessage="1" promptTitle="Discount" prompt="Enter a discount percentage from 0% to 100%." sqref="I11" xr:uid="{A1C09EC7-9D1B-446A-8851-5AF2C130A697}">
      <formula1>0</formula1>
      <formula2>1</formula2>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66562" r:id="rId4" name="optCapBasedValue">
              <controlPr defaultSize="0" autoFill="0" autoLine="0" autoPict="0">
                <anchor moveWithCells="1">
                  <from>
                    <xdr:col>6</xdr:col>
                    <xdr:colOff>28575</xdr:colOff>
                    <xdr:row>10</xdr:row>
                    <xdr:rowOff>28575</xdr:rowOff>
                  </from>
                  <to>
                    <xdr:col>7</xdr:col>
                    <xdr:colOff>352425</xdr:colOff>
                    <xdr:row>11</xdr:row>
                    <xdr:rowOff>47625</xdr:rowOff>
                  </to>
                </anchor>
              </controlPr>
            </control>
          </mc:Choice>
        </mc:AlternateContent>
        <mc:AlternateContent xmlns:mc="http://schemas.openxmlformats.org/markup-compatibility/2006">
          <mc:Choice Requires="x14">
            <control shapeId="66563" r:id="rId5" name="optCMABasedValue">
              <controlPr defaultSize="0" autoFill="0" autoLine="0" autoPict="0">
                <anchor moveWithCells="1">
                  <from>
                    <xdr:col>7</xdr:col>
                    <xdr:colOff>19050</xdr:colOff>
                    <xdr:row>10</xdr:row>
                    <xdr:rowOff>28575</xdr:rowOff>
                  </from>
                  <to>
                    <xdr:col>8</xdr:col>
                    <xdr:colOff>295275</xdr:colOff>
                    <xdr:row>11</xdr:row>
                    <xdr:rowOff>47625</xdr:rowOff>
                  </to>
                </anchor>
              </controlPr>
            </control>
          </mc:Choice>
        </mc:AlternateContent>
        <mc:AlternateContent xmlns:mc="http://schemas.openxmlformats.org/markup-compatibility/2006">
          <mc:Choice Requires="x14">
            <control shapeId="66567" r:id="rId6" name="chkIncludeContract6">
              <controlPr defaultSize="0" autoFill="0" autoLine="0" autoPict="0">
                <anchor moveWithCells="1">
                  <from>
                    <xdr:col>11</xdr:col>
                    <xdr:colOff>47625</xdr:colOff>
                    <xdr:row>13</xdr:row>
                    <xdr:rowOff>28575</xdr:rowOff>
                  </from>
                  <to>
                    <xdr:col>12</xdr:col>
                    <xdr:colOff>676275</xdr:colOff>
                    <xdr:row>14</xdr:row>
                    <xdr:rowOff>28575</xdr:rowOff>
                  </to>
                </anchor>
              </controlPr>
            </control>
          </mc:Choice>
        </mc:AlternateContent>
        <mc:AlternateContent xmlns:mc="http://schemas.openxmlformats.org/markup-compatibility/2006">
          <mc:Choice Requires="x14">
            <control shapeId="66568" r:id="rId7" name="chkIncludeContract7">
              <controlPr defaultSize="0" autoFill="0" autoLine="0" autoPict="0">
                <anchor moveWithCells="1">
                  <from>
                    <xdr:col>11</xdr:col>
                    <xdr:colOff>47625</xdr:colOff>
                    <xdr:row>14</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9"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900" t="s">
        <v>74</v>
      </c>
      <c r="D1" s="901"/>
      <c r="E1" s="717"/>
      <c r="I1" s="894"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902" t="s">
        <v>75</v>
      </c>
      <c r="K1" s="894" t="str">
        <f>+I1&amp;IF(N14="X",O14,"")&amp;"
"&amp; IF(H15="X",I15,"") &amp;"
"&amp; IF(H16="X",I16,"") &amp;"
"&amp; IF(H20="X",I20,"") &amp;"
"&amp; IF(H26="X",I26,"") &amp;"
"&amp; IF(H33="X",I33,"") &amp; "
"&amp; IF(H42="X",I42,"") &amp; "
"&amp; IF(H52="X",I52,"") &amp; "
"&amp; IF(H61="X",I61,"") &amp; "
"&amp; IF(H74="X",I74,"") &amp; "
"&amp; IF(H81="X",I81,"") &amp; "
"&amp; IF(H82="X",I82,"") &amp; "
"&amp; ""</f>
        <v xml:space="preserve">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17"/>
      <c r="J2" s="902"/>
      <c r="K2" s="894"/>
    </row>
    <row r="3" spans="1:11" ht="16.5" customHeight="1" x14ac:dyDescent="0.25">
      <c r="A3" t="s">
        <v>76</v>
      </c>
      <c r="B3" s="218"/>
      <c r="C3" s="217"/>
      <c r="D3" s="22"/>
      <c r="I3" s="717"/>
      <c r="J3" s="211"/>
      <c r="K3" s="894"/>
    </row>
    <row r="4" spans="1:11" x14ac:dyDescent="0.25">
      <c r="A4" t="s">
        <v>77</v>
      </c>
      <c r="B4" s="216"/>
      <c r="C4" s="219"/>
      <c r="D4" s="22"/>
      <c r="I4" s="717"/>
      <c r="K4" s="894"/>
    </row>
    <row r="5" spans="1:11" ht="16.5" x14ac:dyDescent="0.3">
      <c r="A5" t="s">
        <v>78</v>
      </c>
      <c r="B5" s="206"/>
      <c r="C5" s="207"/>
      <c r="D5" s="22"/>
      <c r="I5" s="717"/>
      <c r="K5" s="894"/>
    </row>
    <row r="6" spans="1:11" ht="15" customHeight="1" thickBot="1" x14ac:dyDescent="0.3">
      <c r="A6" t="s">
        <v>79</v>
      </c>
      <c r="B6" s="208"/>
      <c r="C6" s="209"/>
      <c r="D6" s="22"/>
      <c r="I6" s="717"/>
      <c r="K6" s="894"/>
    </row>
    <row r="7" spans="1:11" x14ac:dyDescent="0.25">
      <c r="I7" s="717"/>
      <c r="K7" s="894"/>
    </row>
    <row r="8" spans="1:11" x14ac:dyDescent="0.25">
      <c r="I8" s="717"/>
      <c r="K8" s="894"/>
    </row>
    <row r="9" spans="1:11" x14ac:dyDescent="0.25">
      <c r="A9" s="15" t="s">
        <v>80</v>
      </c>
      <c r="B9" s="15" t="s">
        <v>81</v>
      </c>
      <c r="C9" s="15"/>
      <c r="I9" s="717"/>
      <c r="K9" s="894"/>
    </row>
    <row r="10" spans="1:11" x14ac:dyDescent="0.25">
      <c r="B10" s="903" t="s">
        <v>82</v>
      </c>
      <c r="C10" s="904"/>
      <c r="D10" s="904"/>
      <c r="E10" s="904"/>
      <c r="F10" s="904"/>
      <c r="G10" s="904"/>
      <c r="I10" s="717"/>
      <c r="K10" s="894"/>
    </row>
    <row r="11" spans="1:11" x14ac:dyDescent="0.25">
      <c r="B11" s="717"/>
      <c r="C11" s="717"/>
      <c r="D11" s="717"/>
      <c r="E11" s="717"/>
      <c r="F11" s="717"/>
      <c r="G11" s="717"/>
      <c r="I11" s="717"/>
      <c r="K11" s="894"/>
    </row>
    <row r="12" spans="1:11" x14ac:dyDescent="0.25">
      <c r="F12" s="893" t="s">
        <v>83</v>
      </c>
      <c r="I12" s="717"/>
      <c r="K12" s="894"/>
    </row>
    <row r="13" spans="1:11" ht="15.75" thickBot="1" x14ac:dyDescent="0.3">
      <c r="B13" s="31" t="s">
        <v>84</v>
      </c>
      <c r="C13" s="204" t="s">
        <v>85</v>
      </c>
      <c r="D13" s="31" t="s">
        <v>86</v>
      </c>
      <c r="E13" s="31"/>
      <c r="F13" s="775"/>
      <c r="G13" s="31" t="s">
        <v>87</v>
      </c>
      <c r="I13" s="717"/>
      <c r="K13" s="894"/>
    </row>
    <row r="14" spans="1:11" ht="16.5" thickTop="1" thickBot="1" x14ac:dyDescent="0.3">
      <c r="B14" s="215">
        <f>+D14+F14</f>
        <v>102114.14</v>
      </c>
      <c r="C14" s="1">
        <f>+Profit!B4</f>
        <v>330000</v>
      </c>
      <c r="D14" s="1">
        <f>+Profit!M47-Profit!C20</f>
        <v>97614.14</v>
      </c>
      <c r="F14" s="214">
        <f>+B24-(B24*F16)</f>
        <v>4500</v>
      </c>
      <c r="G14" s="182">
        <f>+C14-D14-F14+Profit!D53+Profit!C20</f>
        <v>98285.045088999992</v>
      </c>
      <c r="I14" s="717"/>
      <c r="K14" s="894"/>
    </row>
    <row r="15" spans="1:11" ht="16.5" thickTop="1" thickBot="1" x14ac:dyDescent="0.3">
      <c r="C15" s="177"/>
      <c r="D15" s="178" t="s">
        <v>88</v>
      </c>
      <c r="E15" s="179">
        <f>+Profit!$M$50</f>
        <v>-57150.065089000011</v>
      </c>
      <c r="H15" s="205"/>
      <c r="K15" s="894"/>
    </row>
    <row r="16" spans="1:11" ht="16.5" thickTop="1" thickBot="1" x14ac:dyDescent="0.3">
      <c r="C16" s="177"/>
      <c r="D16" s="180" t="s">
        <v>89</v>
      </c>
      <c r="E16" s="181">
        <f>+G14/E15</f>
        <v>-1.7197713587191952</v>
      </c>
      <c r="F16" s="213">
        <v>0.1</v>
      </c>
      <c r="H16" s="205" t="s">
        <v>90</v>
      </c>
      <c r="I16" s="894"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94"/>
    </row>
    <row r="17" spans="1:13" ht="15.75" thickTop="1" x14ac:dyDescent="0.25">
      <c r="C17" s="177"/>
      <c r="D17" s="180" t="s">
        <v>91</v>
      </c>
      <c r="E17" s="181">
        <f>+G14/(F14+G14)</f>
        <v>0.95621931190375486</v>
      </c>
      <c r="F17" t="s">
        <v>92</v>
      </c>
      <c r="I17" s="894"/>
      <c r="K17" s="894"/>
    </row>
    <row r="18" spans="1:13" x14ac:dyDescent="0.25">
      <c r="I18" s="894"/>
      <c r="K18" s="894"/>
    </row>
    <row r="19" spans="1:13" ht="15.75" thickBot="1" x14ac:dyDescent="0.3">
      <c r="A19" s="15" t="s">
        <v>93</v>
      </c>
      <c r="B19" s="15" t="s">
        <v>94</v>
      </c>
      <c r="D19" s="15" t="s">
        <v>95</v>
      </c>
      <c r="H19">
        <f>IF(H20="X",1,0)</f>
        <v>0</v>
      </c>
      <c r="K19" s="894"/>
    </row>
    <row r="20" spans="1:13" ht="15" customHeight="1" thickTop="1" thickBot="1" x14ac:dyDescent="0.3">
      <c r="B20" t="s">
        <v>96</v>
      </c>
      <c r="H20" s="205"/>
      <c r="I20" s="894"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94"/>
    </row>
    <row r="21" spans="1:13" ht="15.75" thickTop="1" x14ac:dyDescent="0.25">
      <c r="B21" t="s">
        <v>97</v>
      </c>
      <c r="I21" s="894"/>
      <c r="J21" s="202"/>
      <c r="K21" s="894"/>
      <c r="L21" s="201"/>
      <c r="M21" s="201"/>
    </row>
    <row r="22" spans="1:13" ht="30" x14ac:dyDescent="0.25">
      <c r="F22" s="61" t="s">
        <v>98</v>
      </c>
      <c r="I22" s="894"/>
      <c r="J22" s="201"/>
      <c r="K22" s="894"/>
      <c r="L22" s="201"/>
      <c r="M22" s="201"/>
    </row>
    <row r="23" spans="1:13" ht="15.75" thickBot="1" x14ac:dyDescent="0.3">
      <c r="B23" s="31" t="s">
        <v>99</v>
      </c>
      <c r="C23" s="896"/>
      <c r="D23" s="897"/>
      <c r="E23" s="897"/>
      <c r="F23" s="897"/>
      <c r="G23" s="31" t="s">
        <v>87</v>
      </c>
      <c r="I23" s="895"/>
      <c r="J23" s="201"/>
      <c r="K23" s="894"/>
      <c r="L23" s="201"/>
      <c r="M23" s="201"/>
    </row>
    <row r="24" spans="1:13" ht="16.5" thickTop="1" thickBot="1" x14ac:dyDescent="0.3">
      <c r="B24" s="212">
        <f>+SUM(Profit!C19:'Profit'!C20)</f>
        <v>5000</v>
      </c>
      <c r="C24" s="898" t="s">
        <v>100</v>
      </c>
      <c r="D24" s="899"/>
      <c r="E24" s="899"/>
      <c r="F24" s="10">
        <f>+B24</f>
        <v>5000</v>
      </c>
      <c r="G24" s="182">
        <f>+Profit!M62</f>
        <v>213930.11717587989</v>
      </c>
      <c r="I24" s="717"/>
      <c r="K24" s="894"/>
    </row>
    <row r="25" spans="1:13" ht="15.4" customHeight="1" thickTop="1" thickBot="1" x14ac:dyDescent="0.3">
      <c r="C25" s="177"/>
      <c r="D25" s="178" t="s">
        <v>88</v>
      </c>
      <c r="E25" s="179">
        <f>+Profit!$M$50</f>
        <v>-57150.065089000011</v>
      </c>
      <c r="H25">
        <f>IF(H26="X",1+H19,H19)</f>
        <v>1</v>
      </c>
      <c r="K25" s="894"/>
    </row>
    <row r="26" spans="1:13" ht="15" customHeight="1" thickTop="1" thickBot="1" x14ac:dyDescent="0.3">
      <c r="C26" s="177"/>
      <c r="D26" s="180" t="s">
        <v>89</v>
      </c>
      <c r="E26" s="181">
        <f>+G24/E25</f>
        <v>-3.7433048736292025</v>
      </c>
      <c r="H26" s="205" t="s">
        <v>101</v>
      </c>
      <c r="I26" s="894"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94"/>
    </row>
    <row r="27" spans="1:13" ht="15" customHeight="1" thickTop="1" x14ac:dyDescent="0.25">
      <c r="C27" s="177"/>
      <c r="D27" s="180" t="s">
        <v>91</v>
      </c>
      <c r="E27" s="181">
        <f>+G24/(F24+G24)</f>
        <v>0.97716166206596788</v>
      </c>
      <c r="I27" s="894"/>
      <c r="K27" s="894"/>
    </row>
    <row r="28" spans="1:13" ht="15" customHeight="1" x14ac:dyDescent="0.25">
      <c r="I28" s="894"/>
      <c r="K28" s="894"/>
    </row>
    <row r="29" spans="1:13" x14ac:dyDescent="0.25">
      <c r="A29" s="15"/>
      <c r="B29" s="15"/>
      <c r="I29" s="895"/>
      <c r="K29" s="894"/>
    </row>
    <row r="30" spans="1:13" x14ac:dyDescent="0.25">
      <c r="A30" s="15" t="s">
        <v>102</v>
      </c>
      <c r="B30" s="15" t="s">
        <v>103</v>
      </c>
      <c r="D30" t="s">
        <v>104</v>
      </c>
      <c r="I30" s="717"/>
      <c r="K30" s="894"/>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94"/>
    </row>
    <row r="32" spans="1:13" ht="15.75" thickBot="1" x14ac:dyDescent="0.3">
      <c r="B32" t="s">
        <v>97</v>
      </c>
      <c r="H32">
        <f>IF(H33="X",H25+1,H25)</f>
        <v>2</v>
      </c>
      <c r="K32" s="894"/>
    </row>
    <row r="33" spans="1:13" ht="15" customHeight="1" thickTop="1" thickBot="1" x14ac:dyDescent="0.3">
      <c r="H33" s="205" t="s">
        <v>101</v>
      </c>
      <c r="I33" s="894"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94"/>
    </row>
    <row r="34" spans="1:13" ht="16.5" thickTop="1" thickBot="1" x14ac:dyDescent="0.3">
      <c r="C34" s="2" t="s">
        <v>105</v>
      </c>
      <c r="D34" s="3" t="s">
        <v>106</v>
      </c>
      <c r="F34" s="3" t="s">
        <v>107</v>
      </c>
      <c r="I34" s="894"/>
      <c r="K34" s="894"/>
    </row>
    <row r="35" spans="1:13" ht="16.5" thickTop="1" thickBot="1" x14ac:dyDescent="0.3">
      <c r="B35" s="210" t="s">
        <v>108</v>
      </c>
      <c r="C35" s="184">
        <v>10400</v>
      </c>
      <c r="D35" s="176">
        <v>60</v>
      </c>
      <c r="F35" s="893" t="s">
        <v>98</v>
      </c>
      <c r="I35" s="894"/>
      <c r="K35" s="894"/>
    </row>
    <row r="36" spans="1:13" ht="16.5" thickTop="1" thickBot="1" x14ac:dyDescent="0.3">
      <c r="B36" s="31" t="s">
        <v>109</v>
      </c>
      <c r="C36" s="31" t="s">
        <v>110</v>
      </c>
      <c r="D36" s="31" t="s">
        <v>111</v>
      </c>
      <c r="E36" s="31" t="s">
        <v>112</v>
      </c>
      <c r="F36" s="775"/>
      <c r="G36" s="31" t="s">
        <v>87</v>
      </c>
      <c r="I36" s="894"/>
      <c r="K36" s="894"/>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200790.11717587989</v>
      </c>
      <c r="I37" s="894"/>
      <c r="K37" s="894"/>
    </row>
    <row r="38" spans="1:13" ht="16.5" thickTop="1" thickBot="1" x14ac:dyDescent="0.3">
      <c r="B38" s="186">
        <v>0.34</v>
      </c>
      <c r="C38" s="200">
        <f>1-B38</f>
        <v>0.65999999999999992</v>
      </c>
      <c r="D38" s="10"/>
      <c r="E38" s="36"/>
      <c r="F38" s="10"/>
      <c r="G38" s="10"/>
      <c r="I38" s="894"/>
      <c r="K38" s="894"/>
    </row>
    <row r="39" spans="1:13" ht="15.4" customHeight="1" thickTop="1" x14ac:dyDescent="0.25">
      <c r="B39" s="10"/>
      <c r="C39" s="182"/>
      <c r="D39" s="178" t="s">
        <v>88</v>
      </c>
      <c r="E39" s="179">
        <f>+Profit!$M$50-C37+C35</f>
        <v>-60450.065089000011</v>
      </c>
      <c r="F39" s="10"/>
      <c r="G39" s="10"/>
      <c r="I39" s="894"/>
      <c r="K39" s="894"/>
    </row>
    <row r="40" spans="1:13" x14ac:dyDescent="0.25">
      <c r="C40" s="177"/>
      <c r="D40" s="180" t="s">
        <v>89</v>
      </c>
      <c r="E40" s="181">
        <f>+G37/E39</f>
        <v>-3.3215864512347282</v>
      </c>
      <c r="I40" s="894"/>
      <c r="K40" s="894"/>
    </row>
    <row r="41" spans="1:13" ht="15" customHeight="1" thickBot="1" x14ac:dyDescent="0.3">
      <c r="C41" s="177"/>
      <c r="D41" s="180" t="s">
        <v>91</v>
      </c>
      <c r="E41" s="181">
        <f>+G37/(F37+G37)</f>
        <v>0.91714250997533142</v>
      </c>
      <c r="H41">
        <f>IF(H42="X",H32+1,H32)</f>
        <v>2</v>
      </c>
      <c r="K41" s="894"/>
    </row>
    <row r="42" spans="1:13" ht="16.5" thickTop="1" thickBot="1" x14ac:dyDescent="0.3">
      <c r="A42" s="15" t="s">
        <v>113</v>
      </c>
      <c r="B42" s="15" t="s">
        <v>114</v>
      </c>
      <c r="H42" s="205"/>
      <c r="I42" s="894"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$153,181.08   *    Expected 3% appreciation per year
                          Expected Value:                    $163,181.08    ** After 60 months.</v>
      </c>
      <c r="K42" s="894"/>
    </row>
    <row r="43" spans="1:13" ht="15.75" thickTop="1" x14ac:dyDescent="0.25">
      <c r="B43" t="s">
        <v>96</v>
      </c>
      <c r="I43" s="894"/>
      <c r="K43" s="717"/>
      <c r="M43" s="188"/>
    </row>
    <row r="44" spans="1:13" x14ac:dyDescent="0.25">
      <c r="B44" t="s">
        <v>97</v>
      </c>
      <c r="I44" s="894"/>
      <c r="K44" s="717"/>
    </row>
    <row r="45" spans="1:13" ht="15" customHeight="1" x14ac:dyDescent="0.25">
      <c r="B45" t="s">
        <v>115</v>
      </c>
      <c r="I45" s="894"/>
      <c r="K45" s="717"/>
    </row>
    <row r="46" spans="1:13" x14ac:dyDescent="0.25">
      <c r="B46" t="s">
        <v>116</v>
      </c>
      <c r="I46" s="894"/>
      <c r="K46" s="717"/>
    </row>
    <row r="47" spans="1:13" x14ac:dyDescent="0.25">
      <c r="F47" s="3" t="s">
        <v>117</v>
      </c>
      <c r="I47" s="894"/>
      <c r="K47" s="717"/>
    </row>
    <row r="48" spans="1:13" x14ac:dyDescent="0.25">
      <c r="C48" s="893" t="s">
        <v>118</v>
      </c>
      <c r="D48" s="893" t="s">
        <v>119</v>
      </c>
      <c r="E48" s="893" t="s">
        <v>120</v>
      </c>
      <c r="F48" s="893" t="s">
        <v>98</v>
      </c>
      <c r="I48" s="894"/>
      <c r="K48" s="717"/>
    </row>
    <row r="49" spans="1:11" ht="15.75" thickBot="1" x14ac:dyDescent="0.3">
      <c r="B49" s="3" t="s">
        <v>109</v>
      </c>
      <c r="C49" s="775" t="s">
        <v>118</v>
      </c>
      <c r="D49" s="775" t="s">
        <v>119</v>
      </c>
      <c r="E49" s="775" t="s">
        <v>121</v>
      </c>
      <c r="F49" s="775"/>
      <c r="G49" s="31" t="s">
        <v>87</v>
      </c>
      <c r="I49" s="894"/>
      <c r="K49" s="717"/>
    </row>
    <row r="50" spans="1:11" ht="16.5" thickTop="1" thickBot="1" x14ac:dyDescent="0.3">
      <c r="B50" s="184">
        <v>10000</v>
      </c>
      <c r="C50" s="8">
        <f>+Profit!$M$62+Profit!C20-B50+(Profit!M7*Profit!B9/12*Profit!B4)</f>
        <v>218830.11717587989</v>
      </c>
      <c r="D50" s="175">
        <v>0.7</v>
      </c>
      <c r="E50" s="10">
        <f>+D50*C50</f>
        <v>153181.08202311592</v>
      </c>
      <c r="F50" s="10">
        <f>+B50+E50</f>
        <v>163181.08202311592</v>
      </c>
      <c r="G50" s="182">
        <f>(1-D50)*C50</f>
        <v>65649.035152763972</v>
      </c>
      <c r="I50" s="894"/>
      <c r="K50" s="717"/>
    </row>
    <row r="51" spans="1:11" ht="15.75" thickTop="1" x14ac:dyDescent="0.25">
      <c r="D51" s="15" t="s">
        <v>122</v>
      </c>
      <c r="I51" s="203"/>
      <c r="K51" s="717"/>
    </row>
    <row r="52" spans="1:11" x14ac:dyDescent="0.25">
      <c r="C52" s="177"/>
      <c r="D52" s="178" t="s">
        <v>88</v>
      </c>
      <c r="E52" s="179">
        <f>+Profit!$M$50-B24+B50</f>
        <v>-52150.065089000011</v>
      </c>
      <c r="H52" t="s">
        <v>90</v>
      </c>
      <c r="I52" s="894"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7"/>
    </row>
    <row r="53" spans="1:11" ht="15" customHeight="1" x14ac:dyDescent="0.25">
      <c r="C53" s="177"/>
      <c r="D53" s="180" t="s">
        <v>89</v>
      </c>
      <c r="E53" s="181">
        <f>+G50/E52</f>
        <v>-1.2588485755622056</v>
      </c>
      <c r="I53" s="717"/>
      <c r="K53" s="717"/>
    </row>
    <row r="54" spans="1:11" x14ac:dyDescent="0.25">
      <c r="C54" s="177"/>
      <c r="D54" s="180" t="s">
        <v>91</v>
      </c>
      <c r="E54" s="181">
        <f>+G50/(F50+G50)</f>
        <v>0.28688983759207631</v>
      </c>
      <c r="I54" s="717"/>
      <c r="K54" s="717"/>
    </row>
    <row r="55" spans="1:11" ht="15" customHeight="1" x14ac:dyDescent="0.25">
      <c r="I55" s="717"/>
      <c r="K55" s="717"/>
    </row>
    <row r="56" spans="1:11" ht="15.75" thickBot="1" x14ac:dyDescent="0.3">
      <c r="B56" s="15" t="s">
        <v>123</v>
      </c>
      <c r="D56" t="s">
        <v>124</v>
      </c>
      <c r="I56" s="717"/>
      <c r="K56" s="717"/>
    </row>
    <row r="57" spans="1:11" x14ac:dyDescent="0.25">
      <c r="A57" s="884"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85"/>
      <c r="C57" s="885"/>
      <c r="D57" s="885"/>
      <c r="E57" s="885"/>
      <c r="F57" s="885"/>
      <c r="G57" s="886"/>
      <c r="I57" s="717"/>
      <c r="K57" s="717"/>
    </row>
    <row r="58" spans="1:11" x14ac:dyDescent="0.25">
      <c r="A58" s="887"/>
      <c r="B58" s="888"/>
      <c r="C58" s="888"/>
      <c r="D58" s="888"/>
      <c r="E58" s="888"/>
      <c r="F58" s="888"/>
      <c r="G58" s="889"/>
      <c r="I58" s="717"/>
      <c r="K58" s="717"/>
    </row>
    <row r="59" spans="1:11" x14ac:dyDescent="0.25">
      <c r="A59" s="887"/>
      <c r="B59" s="888"/>
      <c r="C59" s="888"/>
      <c r="D59" s="888"/>
      <c r="E59" s="888"/>
      <c r="F59" s="888"/>
      <c r="G59" s="889"/>
      <c r="K59" s="717"/>
    </row>
    <row r="60" spans="1:11" x14ac:dyDescent="0.25">
      <c r="A60" s="887"/>
      <c r="B60" s="888"/>
      <c r="C60" s="888"/>
      <c r="D60" s="888"/>
      <c r="E60" s="888"/>
      <c r="F60" s="888"/>
      <c r="G60" s="889"/>
      <c r="K60" s="717"/>
    </row>
    <row r="61" spans="1:11" x14ac:dyDescent="0.25">
      <c r="A61" s="887"/>
      <c r="B61" s="888"/>
      <c r="C61" s="888"/>
      <c r="D61" s="888"/>
      <c r="E61" s="888"/>
      <c r="F61" s="888"/>
      <c r="G61" s="889"/>
      <c r="H61" t="s">
        <v>90</v>
      </c>
      <c r="I61" s="894"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7"/>
    </row>
    <row r="62" spans="1:11" x14ac:dyDescent="0.25">
      <c r="A62" s="887"/>
      <c r="B62" s="888"/>
      <c r="C62" s="888"/>
      <c r="D62" s="888"/>
      <c r="E62" s="888"/>
      <c r="F62" s="888"/>
      <c r="G62" s="889"/>
      <c r="I62" s="717"/>
      <c r="K62" s="717"/>
    </row>
    <row r="63" spans="1:11" x14ac:dyDescent="0.25">
      <c r="A63" s="887"/>
      <c r="B63" s="888"/>
      <c r="C63" s="888"/>
      <c r="D63" s="888"/>
      <c r="E63" s="888"/>
      <c r="F63" s="888"/>
      <c r="G63" s="889"/>
      <c r="I63" s="717"/>
      <c r="K63" s="717"/>
    </row>
    <row r="64" spans="1:11" x14ac:dyDescent="0.25">
      <c r="A64" s="887"/>
      <c r="B64" s="888"/>
      <c r="C64" s="888"/>
      <c r="D64" s="888"/>
      <c r="E64" s="888"/>
      <c r="F64" s="888"/>
      <c r="G64" s="889"/>
      <c r="I64" s="717"/>
      <c r="K64" s="717"/>
    </row>
    <row r="65" spans="1:11" x14ac:dyDescent="0.25">
      <c r="A65" s="887"/>
      <c r="B65" s="888"/>
      <c r="C65" s="888"/>
      <c r="D65" s="888"/>
      <c r="E65" s="888"/>
      <c r="F65" s="888"/>
      <c r="G65" s="889"/>
      <c r="I65" s="717"/>
      <c r="K65" s="717"/>
    </row>
    <row r="66" spans="1:11" x14ac:dyDescent="0.25">
      <c r="A66" s="887"/>
      <c r="B66" s="888"/>
      <c r="C66" s="888"/>
      <c r="D66" s="888"/>
      <c r="E66" s="888"/>
      <c r="F66" s="888"/>
      <c r="G66" s="889"/>
      <c r="I66" s="717"/>
      <c r="K66" s="717"/>
    </row>
    <row r="67" spans="1:11" x14ac:dyDescent="0.25">
      <c r="A67" s="887"/>
      <c r="B67" s="888"/>
      <c r="C67" s="888"/>
      <c r="D67" s="888"/>
      <c r="E67" s="888"/>
      <c r="F67" s="888"/>
      <c r="G67" s="889"/>
      <c r="I67" s="717"/>
      <c r="K67" s="717"/>
    </row>
    <row r="68" spans="1:11" x14ac:dyDescent="0.25">
      <c r="A68" s="887"/>
      <c r="B68" s="888"/>
      <c r="C68" s="888"/>
      <c r="D68" s="888"/>
      <c r="E68" s="888"/>
      <c r="F68" s="888"/>
      <c r="G68" s="889"/>
      <c r="I68" s="717"/>
    </row>
    <row r="69" spans="1:11" x14ac:dyDescent="0.25">
      <c r="A69" s="887"/>
      <c r="B69" s="888"/>
      <c r="C69" s="888"/>
      <c r="D69" s="888"/>
      <c r="E69" s="888"/>
      <c r="F69" s="888"/>
      <c r="G69" s="889"/>
      <c r="I69" s="717"/>
    </row>
    <row r="70" spans="1:11" x14ac:dyDescent="0.25">
      <c r="A70" s="887"/>
      <c r="B70" s="888"/>
      <c r="C70" s="888"/>
      <c r="D70" s="888"/>
      <c r="E70" s="888"/>
      <c r="F70" s="888"/>
      <c r="G70" s="889"/>
      <c r="I70" s="717"/>
    </row>
    <row r="71" spans="1:11" x14ac:dyDescent="0.25">
      <c r="A71" s="887"/>
      <c r="B71" s="888"/>
      <c r="C71" s="888"/>
      <c r="D71" s="888"/>
      <c r="E71" s="888"/>
      <c r="F71" s="888"/>
      <c r="G71" s="889"/>
      <c r="I71" s="717"/>
    </row>
    <row r="72" spans="1:11" x14ac:dyDescent="0.25">
      <c r="A72" s="887"/>
      <c r="B72" s="888"/>
      <c r="C72" s="888"/>
      <c r="D72" s="888"/>
      <c r="E72" s="888"/>
      <c r="F72" s="888"/>
      <c r="G72" s="889"/>
      <c r="I72" s="717"/>
    </row>
    <row r="73" spans="1:11" x14ac:dyDescent="0.25">
      <c r="A73" s="887"/>
      <c r="B73" s="888"/>
      <c r="C73" s="888"/>
      <c r="D73" s="888"/>
      <c r="E73" s="888"/>
      <c r="F73" s="888"/>
      <c r="G73" s="889"/>
    </row>
    <row r="74" spans="1:11" x14ac:dyDescent="0.25">
      <c r="A74" s="887"/>
      <c r="B74" s="888"/>
      <c r="C74" s="888"/>
      <c r="D74" s="888"/>
      <c r="E74" s="888"/>
      <c r="F74" s="888"/>
      <c r="G74" s="889"/>
      <c r="H74" t="s">
        <v>90</v>
      </c>
      <c r="I74" s="187" t="str">
        <f>"Sincerely,
Wes Browning"</f>
        <v>Sincerely,
Wes Browning</v>
      </c>
    </row>
    <row r="75" spans="1:11" ht="15" customHeight="1" x14ac:dyDescent="0.25">
      <c r="A75" s="887"/>
      <c r="B75" s="888"/>
      <c r="C75" s="888"/>
      <c r="D75" s="888"/>
      <c r="E75" s="888"/>
      <c r="F75" s="888"/>
      <c r="G75" s="889"/>
      <c r="I75" s="187"/>
    </row>
    <row r="76" spans="1:11" x14ac:dyDescent="0.25">
      <c r="A76" s="887"/>
      <c r="B76" s="888"/>
      <c r="C76" s="888"/>
      <c r="D76" s="888"/>
      <c r="E76" s="888"/>
      <c r="F76" s="888"/>
      <c r="G76" s="889"/>
      <c r="I76" s="187"/>
    </row>
    <row r="77" spans="1:11" x14ac:dyDescent="0.25">
      <c r="A77" s="887"/>
      <c r="B77" s="888"/>
      <c r="C77" s="888"/>
      <c r="D77" s="888"/>
      <c r="E77" s="888"/>
      <c r="F77" s="888"/>
      <c r="G77" s="889"/>
    </row>
    <row r="78" spans="1:11" x14ac:dyDescent="0.25">
      <c r="A78" s="887"/>
      <c r="B78" s="888"/>
      <c r="C78" s="888"/>
      <c r="D78" s="888"/>
      <c r="E78" s="888"/>
      <c r="F78" s="888"/>
      <c r="G78" s="889"/>
    </row>
    <row r="79" spans="1:11" ht="15.75" thickBot="1" x14ac:dyDescent="0.3">
      <c r="A79" s="890"/>
      <c r="B79" s="891"/>
      <c r="C79" s="891"/>
      <c r="D79" s="891"/>
      <c r="E79" s="891"/>
      <c r="F79" s="891"/>
      <c r="G79" s="892"/>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725</v>
      </c>
      <c r="B4" s="312"/>
      <c r="C4" s="28"/>
      <c r="D4" s="25" t="s">
        <v>726</v>
      </c>
      <c r="E4" s="12"/>
    </row>
    <row r="5" spans="1:9" x14ac:dyDescent="0.25">
      <c r="C5" s="28"/>
      <c r="D5" s="25" t="s">
        <v>854</v>
      </c>
      <c r="E5" s="12"/>
    </row>
    <row r="6" spans="1:9" x14ac:dyDescent="0.25">
      <c r="A6" s="2" t="s">
        <v>809</v>
      </c>
      <c r="B6" s="43" t="s">
        <v>810</v>
      </c>
      <c r="D6" s="428" t="s">
        <v>811</v>
      </c>
      <c r="E6" s="27" t="s">
        <v>812</v>
      </c>
    </row>
    <row r="7" spans="1:9" x14ac:dyDescent="0.25">
      <c r="A7" s="25" t="s">
        <v>161</v>
      </c>
      <c r="B7" s="43"/>
      <c r="E7" s="228" t="s">
        <v>813</v>
      </c>
    </row>
    <row r="8" spans="1:9" x14ac:dyDescent="0.25">
      <c r="A8" s="44"/>
      <c r="B8" s="45"/>
      <c r="D8" s="46"/>
      <c r="E8" s="27"/>
      <c r="F8" s="19"/>
    </row>
    <row r="9" spans="1:9" x14ac:dyDescent="0.25">
      <c r="A9" s="44"/>
      <c r="B9" s="45" t="s">
        <v>853</v>
      </c>
      <c r="D9" s="46"/>
      <c r="E9" s="27" t="s">
        <v>852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856</v>
      </c>
      <c r="D16" s="195" t="s">
        <v>855</v>
      </c>
      <c r="E16" s="25" t="s">
        <v>859</v>
      </c>
    </row>
    <row r="17" spans="1:25" x14ac:dyDescent="0.25">
      <c r="B17" s="2" t="s">
        <v>858</v>
      </c>
      <c r="D17" s="195" t="s">
        <v>857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910" t="s">
        <v>814</v>
      </c>
      <c r="B1" s="911"/>
      <c r="C1" s="912"/>
      <c r="D1" s="910" t="s">
        <v>469</v>
      </c>
      <c r="E1" s="911"/>
      <c r="F1" s="912"/>
      <c r="G1" s="910" t="s">
        <v>581</v>
      </c>
      <c r="H1" s="911"/>
      <c r="I1" s="912"/>
      <c r="J1" s="910" t="s">
        <v>860</v>
      </c>
      <c r="K1" s="911"/>
      <c r="L1" s="912"/>
      <c r="M1" s="910" t="s">
        <v>470</v>
      </c>
      <c r="N1" s="911"/>
      <c r="O1" s="912"/>
      <c r="P1" s="910" t="s">
        <v>861</v>
      </c>
      <c r="Q1" s="911"/>
      <c r="R1" s="912"/>
      <c r="S1" s="910" t="s">
        <v>862</v>
      </c>
      <c r="T1" s="911"/>
      <c r="U1" s="912"/>
      <c r="V1" s="910" t="s">
        <v>580</v>
      </c>
      <c r="W1" s="911"/>
      <c r="X1" s="912"/>
      <c r="Y1" s="910" t="s">
        <v>628</v>
      </c>
      <c r="Z1" s="911"/>
      <c r="AA1" s="912"/>
      <c r="AB1" s="910" t="s">
        <v>863</v>
      </c>
      <c r="AC1" s="911"/>
      <c r="AD1" s="912"/>
      <c r="AE1" s="910" t="s">
        <v>864</v>
      </c>
      <c r="AF1" s="911"/>
      <c r="AG1" s="912"/>
      <c r="AH1" s="61"/>
      <c r="AI1" s="913"/>
      <c r="AJ1" s="901"/>
      <c r="AK1" s="901"/>
      <c r="AL1" s="901"/>
      <c r="AM1" s="901"/>
      <c r="AN1" s="901"/>
      <c r="AO1" s="901"/>
      <c r="AP1" s="901"/>
      <c r="AQ1" s="901"/>
      <c r="AR1" s="901"/>
      <c r="AS1" s="901"/>
    </row>
    <row r="2" spans="1:45" ht="15" customHeight="1" x14ac:dyDescent="0.25">
      <c r="C2" s="300"/>
      <c r="F2" s="300"/>
      <c r="I2" s="300"/>
      <c r="L2" s="300"/>
      <c r="O2" s="300"/>
      <c r="R2" s="300"/>
      <c r="U2" s="300"/>
      <c r="X2" s="300"/>
      <c r="AA2" s="907" t="s">
        <v>1012</v>
      </c>
      <c r="AD2" s="300"/>
      <c r="AG2" s="300"/>
      <c r="AI2" t="s">
        <v>865</v>
      </c>
      <c r="AJ2" t="s">
        <v>866</v>
      </c>
      <c r="AK2" t="s">
        <v>248</v>
      </c>
      <c r="AL2" t="s">
        <v>155</v>
      </c>
      <c r="AM2" t="s">
        <v>203</v>
      </c>
      <c r="AN2" t="s">
        <v>867</v>
      </c>
      <c r="AO2" t="s">
        <v>868</v>
      </c>
      <c r="AP2" t="s">
        <v>869</v>
      </c>
      <c r="AQ2" t="s">
        <v>870</v>
      </c>
      <c r="AR2" t="s">
        <v>871</v>
      </c>
      <c r="AS2" t="s">
        <v>129</v>
      </c>
    </row>
    <row r="3" spans="1:45" ht="15" customHeight="1" x14ac:dyDescent="0.25">
      <c r="A3" s="3" t="s">
        <v>248</v>
      </c>
      <c r="B3" s="13" t="s">
        <v>867</v>
      </c>
      <c r="C3" s="302"/>
      <c r="D3" s="3" t="s">
        <v>248</v>
      </c>
      <c r="E3" s="13" t="s">
        <v>1011</v>
      </c>
      <c r="F3" s="302"/>
      <c r="G3" s="3" t="s">
        <v>248</v>
      </c>
      <c r="H3" s="13" t="s">
        <v>1011</v>
      </c>
      <c r="I3" s="302"/>
      <c r="J3" s="3" t="s">
        <v>248</v>
      </c>
      <c r="K3" s="13" t="s">
        <v>1011</v>
      </c>
      <c r="L3" s="300"/>
      <c r="M3" s="3" t="s">
        <v>248</v>
      </c>
      <c r="N3" s="13" t="s">
        <v>1011</v>
      </c>
      <c r="O3" s="300"/>
      <c r="P3" s="3" t="s">
        <v>248</v>
      </c>
      <c r="Q3" s="13" t="s">
        <v>1011</v>
      </c>
      <c r="R3" s="300"/>
      <c r="S3" s="3" t="s">
        <v>248</v>
      </c>
      <c r="T3" s="13" t="s">
        <v>1011</v>
      </c>
      <c r="U3" s="300"/>
      <c r="V3" t="s">
        <v>248</v>
      </c>
      <c r="W3" t="s">
        <v>1011</v>
      </c>
      <c r="X3" s="300"/>
      <c r="Y3" t="s">
        <v>248</v>
      </c>
      <c r="Z3" t="s">
        <v>1011</v>
      </c>
      <c r="AA3" s="908"/>
      <c r="AB3" s="3" t="s">
        <v>248</v>
      </c>
      <c r="AC3" s="13" t="s">
        <v>1011</v>
      </c>
      <c r="AD3" s="300"/>
      <c r="AE3" s="3" t="s">
        <v>248</v>
      </c>
      <c r="AF3" s="13" t="s">
        <v>1011</v>
      </c>
      <c r="AG3" s="300"/>
      <c r="AI3" t="s">
        <v>3</v>
      </c>
      <c r="AJ3" t="s">
        <v>814</v>
      </c>
      <c r="AK3" s="12">
        <v>45805</v>
      </c>
      <c r="AM3" t="s">
        <v>875</v>
      </c>
      <c r="AN3" s="5">
        <v>60.23</v>
      </c>
      <c r="AO3" t="s">
        <v>872</v>
      </c>
      <c r="AP3" s="127" t="s">
        <v>240</v>
      </c>
      <c r="AQ3" t="s">
        <v>876</v>
      </c>
      <c r="AR3" t="s">
        <v>873</v>
      </c>
      <c r="AS3" t="s">
        <v>877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5"/>
      <c r="AH4" s="476"/>
      <c r="AI4" t="s">
        <v>3</v>
      </c>
      <c r="AJ4" t="s">
        <v>814</v>
      </c>
      <c r="AK4" s="12">
        <v>45814</v>
      </c>
      <c r="AM4" t="s">
        <v>875</v>
      </c>
      <c r="AN4" s="5">
        <v>-8.61</v>
      </c>
      <c r="AO4" t="s">
        <v>872</v>
      </c>
      <c r="AP4" s="127" t="s">
        <v>240</v>
      </c>
      <c r="AQ4" t="s">
        <v>876</v>
      </c>
      <c r="AR4" t="s">
        <v>873</v>
      </c>
      <c r="AS4" t="s">
        <v>878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5"/>
      <c r="AH5" s="476"/>
      <c r="AI5" t="s">
        <v>3</v>
      </c>
      <c r="AJ5" t="s">
        <v>814</v>
      </c>
      <c r="AK5" s="12">
        <v>45838</v>
      </c>
      <c r="AM5" t="s">
        <v>875</v>
      </c>
      <c r="AN5" s="5">
        <v>38.33</v>
      </c>
      <c r="AO5" t="s">
        <v>872</v>
      </c>
      <c r="AP5" s="127" t="s">
        <v>240</v>
      </c>
      <c r="AQ5" t="s">
        <v>876</v>
      </c>
      <c r="AR5" t="s">
        <v>873</v>
      </c>
      <c r="AS5" t="s">
        <v>879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5"/>
      <c r="AH6" s="476"/>
      <c r="AI6" t="s">
        <v>3</v>
      </c>
      <c r="AJ6" t="s">
        <v>814</v>
      </c>
      <c r="AK6" s="12">
        <v>45868.42</v>
      </c>
      <c r="AM6" t="s">
        <v>875</v>
      </c>
      <c r="AN6" s="5"/>
      <c r="AO6" t="s">
        <v>872</v>
      </c>
      <c r="AP6" s="127" t="s">
        <v>240</v>
      </c>
      <c r="AQ6" t="s">
        <v>876</v>
      </c>
      <c r="AR6" t="s">
        <v>873</v>
      </c>
      <c r="AS6" t="s">
        <v>880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5"/>
      <c r="AH7" s="476"/>
      <c r="AI7" t="s">
        <v>3</v>
      </c>
      <c r="AJ7" t="s">
        <v>814</v>
      </c>
      <c r="AK7" s="12">
        <v>45898.84</v>
      </c>
      <c r="AM7" t="s">
        <v>875</v>
      </c>
      <c r="AN7" s="5" t="s">
        <v>143</v>
      </c>
      <c r="AO7" t="s">
        <v>872</v>
      </c>
      <c r="AP7" s="127" t="s">
        <v>240</v>
      </c>
      <c r="AQ7" t="s">
        <v>876</v>
      </c>
      <c r="AR7" t="s">
        <v>873</v>
      </c>
      <c r="AS7" t="s">
        <v>881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5"/>
      <c r="AH8" s="476"/>
      <c r="AI8" t="s">
        <v>3</v>
      </c>
      <c r="AJ8" t="s">
        <v>814</v>
      </c>
      <c r="AK8" s="12">
        <v>45929.259999999995</v>
      </c>
      <c r="AM8" t="s">
        <v>875</v>
      </c>
      <c r="AN8" s="5" t="s">
        <v>143</v>
      </c>
      <c r="AO8" t="s">
        <v>872</v>
      </c>
      <c r="AP8" s="127" t="s">
        <v>240</v>
      </c>
      <c r="AQ8" t="s">
        <v>876</v>
      </c>
      <c r="AR8" t="s">
        <v>873</v>
      </c>
      <c r="AS8" t="s">
        <v>882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5"/>
      <c r="AH9" s="476"/>
      <c r="AI9" t="s">
        <v>3</v>
      </c>
      <c r="AJ9" t="s">
        <v>814</v>
      </c>
      <c r="AK9" s="12">
        <v>45959.679999999993</v>
      </c>
      <c r="AM9" t="s">
        <v>875</v>
      </c>
      <c r="AN9" s="5" t="s">
        <v>143</v>
      </c>
      <c r="AO9" t="s">
        <v>872</v>
      </c>
      <c r="AP9" s="127" t="s">
        <v>240</v>
      </c>
      <c r="AQ9" t="s">
        <v>876</v>
      </c>
      <c r="AR9" t="s">
        <v>873</v>
      </c>
      <c r="AS9" t="s">
        <v>883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5"/>
      <c r="AH10" s="476"/>
      <c r="AI10" t="s">
        <v>3</v>
      </c>
      <c r="AJ10" t="s">
        <v>814</v>
      </c>
      <c r="AK10" s="12">
        <v>45990.099999999991</v>
      </c>
      <c r="AM10" t="s">
        <v>875</v>
      </c>
      <c r="AN10" s="5">
        <v>0</v>
      </c>
      <c r="AO10" t="s">
        <v>872</v>
      </c>
      <c r="AP10" s="127" t="s">
        <v>240</v>
      </c>
      <c r="AQ10" t="s">
        <v>876</v>
      </c>
      <c r="AR10" t="s">
        <v>873</v>
      </c>
      <c r="AS10" t="s">
        <v>884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5"/>
      <c r="AH11" s="476"/>
      <c r="AI11" t="s">
        <v>3</v>
      </c>
      <c r="AJ11" t="s">
        <v>814</v>
      </c>
      <c r="AK11" s="12">
        <v>46020.51999999999</v>
      </c>
      <c r="AM11" t="s">
        <v>875</v>
      </c>
      <c r="AN11" s="5">
        <v>0</v>
      </c>
      <c r="AO11" t="s">
        <v>872</v>
      </c>
      <c r="AP11" s="127" t="s">
        <v>240</v>
      </c>
      <c r="AQ11" t="s">
        <v>876</v>
      </c>
      <c r="AR11" t="s">
        <v>873</v>
      </c>
      <c r="AS11" t="s">
        <v>885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5"/>
      <c r="AH12" s="476"/>
      <c r="AI12" t="s">
        <v>3</v>
      </c>
      <c r="AJ12" t="s">
        <v>814</v>
      </c>
      <c r="AK12" s="12">
        <v>46050.939999999988</v>
      </c>
      <c r="AM12" t="s">
        <v>875</v>
      </c>
      <c r="AN12" s="5">
        <v>0</v>
      </c>
      <c r="AO12" t="s">
        <v>872</v>
      </c>
      <c r="AP12" s="127" t="s">
        <v>240</v>
      </c>
      <c r="AQ12" t="s">
        <v>876</v>
      </c>
      <c r="AR12" t="s">
        <v>873</v>
      </c>
      <c r="AS12" t="s">
        <v>886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5"/>
      <c r="AH13" s="476"/>
      <c r="AI13" t="s">
        <v>3</v>
      </c>
      <c r="AJ13" t="s">
        <v>814</v>
      </c>
      <c r="AK13" s="12">
        <v>46081.359999999986</v>
      </c>
      <c r="AM13" t="s">
        <v>875</v>
      </c>
      <c r="AN13" s="5">
        <v>0</v>
      </c>
      <c r="AO13" t="s">
        <v>872</v>
      </c>
      <c r="AP13" s="127" t="s">
        <v>240</v>
      </c>
      <c r="AQ13" t="s">
        <v>876</v>
      </c>
      <c r="AR13" t="s">
        <v>873</v>
      </c>
      <c r="AS13" t="s">
        <v>887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5"/>
      <c r="AH14" s="476"/>
      <c r="AI14" t="s">
        <v>3</v>
      </c>
      <c r="AJ14" t="s">
        <v>814</v>
      </c>
      <c r="AK14" s="12">
        <v>46111.779999999984</v>
      </c>
      <c r="AM14" t="s">
        <v>875</v>
      </c>
      <c r="AN14" s="5">
        <v>0</v>
      </c>
      <c r="AO14" t="s">
        <v>872</v>
      </c>
      <c r="AP14" s="127" t="s">
        <v>240</v>
      </c>
      <c r="AQ14" t="s">
        <v>876</v>
      </c>
      <c r="AR14" t="s">
        <v>873</v>
      </c>
      <c r="AS14" t="s">
        <v>888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5"/>
      <c r="AH15" s="476"/>
      <c r="AI15" t="s">
        <v>3</v>
      </c>
      <c r="AJ15" t="s">
        <v>814</v>
      </c>
      <c r="AK15" s="12">
        <v>46142.199999999983</v>
      </c>
      <c r="AM15" t="s">
        <v>875</v>
      </c>
      <c r="AN15" s="5">
        <v>0</v>
      </c>
      <c r="AO15" t="s">
        <v>872</v>
      </c>
      <c r="AP15" s="127" t="s">
        <v>240</v>
      </c>
      <c r="AQ15" t="s">
        <v>876</v>
      </c>
      <c r="AR15" t="s">
        <v>873</v>
      </c>
      <c r="AS15" t="s">
        <v>889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5"/>
      <c r="AH16" s="476"/>
      <c r="AI16" t="s">
        <v>3</v>
      </c>
      <c r="AJ16" t="s">
        <v>814</v>
      </c>
      <c r="AK16" s="12">
        <v>46172.619999999981</v>
      </c>
      <c r="AM16" t="s">
        <v>875</v>
      </c>
      <c r="AN16" s="5">
        <v>0</v>
      </c>
      <c r="AO16" t="s">
        <v>872</v>
      </c>
      <c r="AP16" s="127" t="s">
        <v>240</v>
      </c>
      <c r="AQ16" t="s">
        <v>876</v>
      </c>
      <c r="AR16" t="s">
        <v>873</v>
      </c>
      <c r="AS16" t="s">
        <v>890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5"/>
      <c r="AH17" s="476"/>
      <c r="AI17" t="s">
        <v>3</v>
      </c>
      <c r="AJ17" t="s">
        <v>814</v>
      </c>
      <c r="AK17" s="12">
        <v>46203.039999999979</v>
      </c>
      <c r="AM17" t="s">
        <v>875</v>
      </c>
      <c r="AN17" s="5">
        <v>0</v>
      </c>
      <c r="AO17" t="s">
        <v>872</v>
      </c>
      <c r="AP17" s="127" t="s">
        <v>240</v>
      </c>
      <c r="AQ17" t="s">
        <v>876</v>
      </c>
      <c r="AR17" t="s">
        <v>873</v>
      </c>
      <c r="AS17" t="s">
        <v>891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5"/>
      <c r="AH18" s="476"/>
      <c r="AI18" t="s">
        <v>3</v>
      </c>
      <c r="AJ18" t="s">
        <v>814</v>
      </c>
      <c r="AK18" s="12">
        <v>46233.459999999977</v>
      </c>
      <c r="AM18" t="s">
        <v>875</v>
      </c>
      <c r="AN18" s="5">
        <v>0</v>
      </c>
      <c r="AO18" t="s">
        <v>872</v>
      </c>
      <c r="AP18" s="127" t="s">
        <v>240</v>
      </c>
      <c r="AQ18" t="s">
        <v>876</v>
      </c>
      <c r="AR18" t="s">
        <v>873</v>
      </c>
      <c r="AS18" t="s">
        <v>892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5"/>
      <c r="AH19" s="476"/>
      <c r="AI19" t="s">
        <v>3</v>
      </c>
      <c r="AJ19" t="s">
        <v>814</v>
      </c>
      <c r="AK19" s="12">
        <v>46263.879999999976</v>
      </c>
      <c r="AM19" t="s">
        <v>875</v>
      </c>
      <c r="AN19" s="5">
        <v>0</v>
      </c>
      <c r="AO19" t="s">
        <v>872</v>
      </c>
      <c r="AP19" s="127" t="s">
        <v>240</v>
      </c>
      <c r="AQ19" t="s">
        <v>876</v>
      </c>
      <c r="AR19" t="s">
        <v>873</v>
      </c>
      <c r="AS19" t="s">
        <v>893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5"/>
      <c r="AH20" s="476"/>
      <c r="AI20" t="s">
        <v>3</v>
      </c>
      <c r="AJ20" t="s">
        <v>814</v>
      </c>
      <c r="AK20" s="12">
        <v>46294.299999999974</v>
      </c>
      <c r="AM20" t="s">
        <v>875</v>
      </c>
      <c r="AN20" s="5">
        <v>0</v>
      </c>
      <c r="AO20" t="s">
        <v>872</v>
      </c>
      <c r="AP20" s="127" t="s">
        <v>240</v>
      </c>
      <c r="AQ20" t="s">
        <v>876</v>
      </c>
      <c r="AR20" t="s">
        <v>873</v>
      </c>
      <c r="AS20" t="s">
        <v>894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5"/>
      <c r="AH21" s="476"/>
      <c r="AI21" t="s">
        <v>3</v>
      </c>
      <c r="AJ21" t="s">
        <v>814</v>
      </c>
      <c r="AK21" s="12">
        <v>46324.719999999972</v>
      </c>
      <c r="AM21" t="s">
        <v>875</v>
      </c>
      <c r="AN21" s="5">
        <v>0</v>
      </c>
      <c r="AO21" t="s">
        <v>872</v>
      </c>
      <c r="AP21" s="127" t="s">
        <v>240</v>
      </c>
      <c r="AQ21" t="s">
        <v>876</v>
      </c>
      <c r="AR21" t="s">
        <v>873</v>
      </c>
      <c r="AS21" t="s">
        <v>895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5"/>
      <c r="AH22" s="476"/>
      <c r="AI22" t="s">
        <v>3</v>
      </c>
      <c r="AJ22" t="s">
        <v>874</v>
      </c>
      <c r="AK22" s="12">
        <v>45805</v>
      </c>
      <c r="AM22" t="s">
        <v>875</v>
      </c>
      <c r="AN22" s="5">
        <v>660.59</v>
      </c>
      <c r="AO22" t="s">
        <v>872</v>
      </c>
      <c r="AP22" s="127" t="s">
        <v>240</v>
      </c>
      <c r="AQ22" t="s">
        <v>876</v>
      </c>
      <c r="AR22" t="s">
        <v>873</v>
      </c>
      <c r="AS22" t="s">
        <v>896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5"/>
      <c r="AH23" s="476"/>
      <c r="AI23" t="s">
        <v>3</v>
      </c>
      <c r="AJ23" t="s">
        <v>874</v>
      </c>
      <c r="AK23" s="12">
        <v>45835.42</v>
      </c>
      <c r="AM23" t="s">
        <v>875</v>
      </c>
      <c r="AN23" s="5">
        <v>660.59</v>
      </c>
      <c r="AO23" t="s">
        <v>872</v>
      </c>
      <c r="AP23" s="127" t="s">
        <v>240</v>
      </c>
      <c r="AQ23" t="s">
        <v>876</v>
      </c>
      <c r="AR23" t="s">
        <v>873</v>
      </c>
      <c r="AS23" t="s">
        <v>897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7"/>
      <c r="AH24" s="476"/>
      <c r="AI24" t="s">
        <v>3</v>
      </c>
      <c r="AJ24" t="s">
        <v>874</v>
      </c>
      <c r="AK24" s="12">
        <v>45865.84</v>
      </c>
      <c r="AM24" t="s">
        <v>875</v>
      </c>
      <c r="AN24" s="5">
        <v>660.59</v>
      </c>
      <c r="AO24" t="s">
        <v>872</v>
      </c>
      <c r="AP24" s="127" t="s">
        <v>240</v>
      </c>
      <c r="AQ24" t="s">
        <v>876</v>
      </c>
      <c r="AR24" t="s">
        <v>873</v>
      </c>
      <c r="AS24" t="s">
        <v>898</v>
      </c>
    </row>
    <row r="25" spans="1:45" ht="15.75" customHeight="1" thickBot="1" x14ac:dyDescent="0.3">
      <c r="A25" s="23"/>
      <c r="B25" s="905">
        <f>SUMIFS(tblCarryingExpenses[Amount],tblCarryingExpenses[Category],IF(A1="Mortgage Payment paid after Reinstatement","Mortgage Payment",A1),tblCarryingExpenses[Include],"Yes")</f>
        <v>89.949999999999989</v>
      </c>
      <c r="C25" s="906"/>
      <c r="D25" s="23"/>
      <c r="E25" s="905">
        <f>SUMIFS(tblCarryingExpenses[Amount],tblCarryingExpenses[Category],IF(D1="Mortgage Payment paid after Reinstatement","Mortgage Payment",D1),tblCarryingExpenses[Include],"Yes")</f>
        <v>3302.9500000000003</v>
      </c>
      <c r="F25" s="909"/>
      <c r="G25" s="478"/>
      <c r="H25" s="905">
        <f>SUMIFS(tblCarryingExpenses[Amount],tblCarryingExpenses[Category],IF(G1="Mortgage Payment paid after Reinstatement","Mortgage Payment",G1),tblCarryingExpenses[Include],"Yes")</f>
        <v>13745.550000000005</v>
      </c>
      <c r="I25" s="906"/>
      <c r="J25" s="478"/>
      <c r="K25" s="905">
        <f>SUMIFS(tblCarryingExpenses[Amount],tblCarryingExpenses[Category],IF(J1="Mortgage Payment paid after Reinstatement","Mortgage Payment",J1),tblCarryingExpenses[Include],"Yes")</f>
        <v>0</v>
      </c>
      <c r="L25" s="906"/>
      <c r="M25" s="478"/>
      <c r="N25" s="905">
        <f>SUMIFS(tblCarryingExpenses[Amount],tblCarryingExpenses[Category],IF(M1="Mortgage Payment paid after Reinstatement","Mortgage Payment",M1),tblCarryingExpenses[Include],"Yes")</f>
        <v>0</v>
      </c>
      <c r="O25" s="906"/>
      <c r="P25" s="478"/>
      <c r="Q25" s="905">
        <f>SUMIFS(tblCarryingExpenses[Amount],tblCarryingExpenses[Category],IF(P1="Mortgage Payment paid after Reinstatement","Mortgage Payment",P1),tblCarryingExpenses[Include],"Yes")</f>
        <v>277.64</v>
      </c>
      <c r="R25" s="906"/>
      <c r="S25" s="478"/>
      <c r="T25" s="905">
        <f>SUMIFS(tblCarryingExpenses[Amount],tblCarryingExpenses[Category],IF(S1="Mortgage Payment paid after Reinstatement","Mortgage Payment",S1),tblCarryingExpenses[Include],"Yes")</f>
        <v>0</v>
      </c>
      <c r="U25" s="906"/>
      <c r="V25" s="478"/>
      <c r="W25" s="905">
        <f>SUMIFS(tblCarryingExpenses[Amount],tblCarryingExpenses[Category],IF(V1="Mortgage Payment paid after Reinstatement","Mortgage Payment",V1),tblCarryingExpenses[Include],"Yes")</f>
        <v>0</v>
      </c>
      <c r="X25" s="906"/>
      <c r="Y25" s="478"/>
      <c r="Z25" s="905">
        <f>SUM(Z4:AA23)</f>
        <v>0</v>
      </c>
      <c r="AA25" s="906"/>
      <c r="AB25" s="478"/>
      <c r="AC25" s="905">
        <f>SUMIFS(tblCarryingExpenses[Amount],tblCarryingExpenses[Category],IF(AB1="Mortgage Payment paid after Reinstatement","Mortgage Payment",AB1),tblCarryingExpenses[Include],"Yes")</f>
        <v>0</v>
      </c>
      <c r="AD25" s="906"/>
      <c r="AE25" s="478"/>
      <c r="AF25" s="905">
        <f>SUMIFS(tblCarryingExpenses[Amount],tblCarryingExpenses[Category],IF(AE1="Mortgage Payment paid after Reinstatement","Mortgage Payment",AE1),tblCarryingExpenses[Include],"Yes")</f>
        <v>0</v>
      </c>
      <c r="AG25" s="906"/>
      <c r="AH25" s="5"/>
      <c r="AI25" t="s">
        <v>3</v>
      </c>
      <c r="AJ25" t="s">
        <v>874</v>
      </c>
      <c r="AK25" s="12">
        <v>45896.259999999995</v>
      </c>
      <c r="AM25" t="s">
        <v>875</v>
      </c>
      <c r="AN25" s="5">
        <v>660.59</v>
      </c>
      <c r="AO25" t="s">
        <v>872</v>
      </c>
      <c r="AP25" s="127" t="s">
        <v>240</v>
      </c>
      <c r="AQ25" t="s">
        <v>876</v>
      </c>
      <c r="AR25" t="s">
        <v>873</v>
      </c>
      <c r="AS25" t="s">
        <v>899</v>
      </c>
    </row>
    <row r="26" spans="1:45" ht="15" customHeight="1" x14ac:dyDescent="0.25">
      <c r="AI26" t="s">
        <v>3</v>
      </c>
      <c r="AJ26" t="s">
        <v>874</v>
      </c>
      <c r="AK26" s="12">
        <v>45926.679999999993</v>
      </c>
      <c r="AM26" t="s">
        <v>875</v>
      </c>
      <c r="AN26" s="5">
        <v>660.59</v>
      </c>
      <c r="AO26" t="s">
        <v>872</v>
      </c>
      <c r="AP26" s="127" t="s">
        <v>240</v>
      </c>
      <c r="AQ26" t="s">
        <v>876</v>
      </c>
      <c r="AR26" t="s">
        <v>873</v>
      </c>
      <c r="AS26" t="s">
        <v>900</v>
      </c>
    </row>
    <row r="27" spans="1:45" ht="15" customHeight="1" x14ac:dyDescent="0.25">
      <c r="AI27" t="s">
        <v>3</v>
      </c>
      <c r="AJ27" t="s">
        <v>874</v>
      </c>
      <c r="AK27" s="12">
        <v>45957.099999999991</v>
      </c>
      <c r="AM27" t="s">
        <v>875</v>
      </c>
      <c r="AN27" s="5">
        <v>0</v>
      </c>
      <c r="AO27" t="s">
        <v>872</v>
      </c>
      <c r="AP27" s="127" t="s">
        <v>240</v>
      </c>
      <c r="AQ27" t="s">
        <v>876</v>
      </c>
      <c r="AR27" t="s">
        <v>873</v>
      </c>
      <c r="AS27" t="s">
        <v>901</v>
      </c>
    </row>
    <row r="28" spans="1:45" ht="15" customHeight="1" x14ac:dyDescent="0.25">
      <c r="AI28" t="s">
        <v>3</v>
      </c>
      <c r="AJ28" t="s">
        <v>874</v>
      </c>
      <c r="AK28" s="12">
        <v>45987.51999999999</v>
      </c>
      <c r="AM28" t="s">
        <v>875</v>
      </c>
      <c r="AN28" s="5">
        <v>0</v>
      </c>
      <c r="AO28" t="s">
        <v>872</v>
      </c>
      <c r="AP28" s="127" t="s">
        <v>240</v>
      </c>
      <c r="AQ28" t="s">
        <v>876</v>
      </c>
      <c r="AR28" t="s">
        <v>873</v>
      </c>
      <c r="AS28" t="s">
        <v>902</v>
      </c>
    </row>
    <row r="29" spans="1:45" ht="15" customHeight="1" x14ac:dyDescent="0.25">
      <c r="AI29" t="s">
        <v>3</v>
      </c>
      <c r="AJ29" t="s">
        <v>874</v>
      </c>
      <c r="AK29" s="12">
        <v>46017.939999999988</v>
      </c>
      <c r="AM29" t="s">
        <v>875</v>
      </c>
      <c r="AN29" s="5">
        <v>0</v>
      </c>
      <c r="AO29" t="s">
        <v>872</v>
      </c>
      <c r="AP29" s="127" t="s">
        <v>240</v>
      </c>
      <c r="AQ29" t="s">
        <v>876</v>
      </c>
      <c r="AR29" t="s">
        <v>873</v>
      </c>
      <c r="AS29" t="s">
        <v>903</v>
      </c>
    </row>
    <row r="30" spans="1:45" ht="15" customHeight="1" x14ac:dyDescent="0.25">
      <c r="AI30" t="s">
        <v>3</v>
      </c>
      <c r="AJ30" t="s">
        <v>874</v>
      </c>
      <c r="AK30" s="12">
        <v>46048.359999999986</v>
      </c>
      <c r="AM30" t="s">
        <v>875</v>
      </c>
      <c r="AN30" s="5">
        <v>0</v>
      </c>
      <c r="AO30" t="s">
        <v>872</v>
      </c>
      <c r="AP30" s="127" t="s">
        <v>240</v>
      </c>
      <c r="AQ30" t="s">
        <v>876</v>
      </c>
      <c r="AR30" t="s">
        <v>873</v>
      </c>
      <c r="AS30" t="s">
        <v>904</v>
      </c>
    </row>
    <row r="31" spans="1:45" ht="15" customHeight="1" x14ac:dyDescent="0.25">
      <c r="AI31" t="s">
        <v>3</v>
      </c>
      <c r="AJ31" t="s">
        <v>874</v>
      </c>
      <c r="AK31" s="12">
        <v>46078.779999999984</v>
      </c>
      <c r="AM31" t="s">
        <v>875</v>
      </c>
      <c r="AN31" s="5">
        <v>0</v>
      </c>
      <c r="AO31" t="s">
        <v>872</v>
      </c>
      <c r="AP31" s="127" t="s">
        <v>240</v>
      </c>
      <c r="AQ31" t="s">
        <v>876</v>
      </c>
      <c r="AR31" t="s">
        <v>873</v>
      </c>
      <c r="AS31" t="s">
        <v>905</v>
      </c>
    </row>
    <row r="32" spans="1:45" ht="15" customHeight="1" x14ac:dyDescent="0.25">
      <c r="AI32" t="s">
        <v>3</v>
      </c>
      <c r="AJ32" t="s">
        <v>874</v>
      </c>
      <c r="AK32" s="12">
        <v>46109.199999999983</v>
      </c>
      <c r="AM32" t="s">
        <v>875</v>
      </c>
      <c r="AN32" s="5">
        <v>0</v>
      </c>
      <c r="AO32" t="s">
        <v>872</v>
      </c>
      <c r="AP32" s="127" t="s">
        <v>240</v>
      </c>
      <c r="AQ32" t="s">
        <v>876</v>
      </c>
      <c r="AR32" t="s">
        <v>873</v>
      </c>
      <c r="AS32" t="s">
        <v>906</v>
      </c>
    </row>
    <row r="33" spans="35:45" ht="15" customHeight="1" x14ac:dyDescent="0.25">
      <c r="AI33" t="s">
        <v>3</v>
      </c>
      <c r="AJ33" t="s">
        <v>874</v>
      </c>
      <c r="AK33" s="12">
        <v>46139.619999999981</v>
      </c>
      <c r="AM33" t="s">
        <v>875</v>
      </c>
      <c r="AN33" s="5">
        <v>0</v>
      </c>
      <c r="AO33" t="s">
        <v>872</v>
      </c>
      <c r="AP33" s="127" t="s">
        <v>240</v>
      </c>
      <c r="AQ33" t="s">
        <v>876</v>
      </c>
      <c r="AR33" t="s">
        <v>873</v>
      </c>
      <c r="AS33" t="s">
        <v>907</v>
      </c>
    </row>
    <row r="34" spans="35:45" ht="15" customHeight="1" x14ac:dyDescent="0.25">
      <c r="AI34" t="s">
        <v>3</v>
      </c>
      <c r="AJ34" t="s">
        <v>874</v>
      </c>
      <c r="AK34" s="12">
        <v>46170.039999999979</v>
      </c>
      <c r="AM34" t="s">
        <v>875</v>
      </c>
      <c r="AN34" s="5">
        <v>0</v>
      </c>
      <c r="AO34" t="s">
        <v>872</v>
      </c>
      <c r="AP34" s="127" t="s">
        <v>240</v>
      </c>
      <c r="AQ34" t="s">
        <v>876</v>
      </c>
      <c r="AR34" t="s">
        <v>873</v>
      </c>
      <c r="AS34" t="s">
        <v>908</v>
      </c>
    </row>
    <row r="35" spans="35:45" ht="15" customHeight="1" x14ac:dyDescent="0.25">
      <c r="AI35" t="s">
        <v>3</v>
      </c>
      <c r="AJ35" t="s">
        <v>874</v>
      </c>
      <c r="AK35" s="12">
        <v>46200.459999999977</v>
      </c>
      <c r="AM35" t="s">
        <v>875</v>
      </c>
      <c r="AN35" s="5">
        <v>0</v>
      </c>
      <c r="AO35" t="s">
        <v>872</v>
      </c>
      <c r="AP35" s="127" t="s">
        <v>240</v>
      </c>
      <c r="AQ35" t="s">
        <v>876</v>
      </c>
      <c r="AR35" t="s">
        <v>873</v>
      </c>
      <c r="AS35" t="s">
        <v>909</v>
      </c>
    </row>
    <row r="36" spans="35:45" ht="15" customHeight="1" x14ac:dyDescent="0.25">
      <c r="AI36" t="s">
        <v>3</v>
      </c>
      <c r="AJ36" t="s">
        <v>874</v>
      </c>
      <c r="AK36" s="12">
        <v>46230.879999999976</v>
      </c>
      <c r="AM36" t="s">
        <v>875</v>
      </c>
      <c r="AN36" s="5">
        <v>0</v>
      </c>
      <c r="AO36" t="s">
        <v>872</v>
      </c>
      <c r="AP36" s="127" t="s">
        <v>240</v>
      </c>
      <c r="AQ36" t="s">
        <v>876</v>
      </c>
      <c r="AR36" t="s">
        <v>873</v>
      </c>
      <c r="AS36" t="s">
        <v>910</v>
      </c>
    </row>
    <row r="37" spans="35:45" ht="15" customHeight="1" x14ac:dyDescent="0.25">
      <c r="AI37" t="s">
        <v>3</v>
      </c>
      <c r="AJ37" t="s">
        <v>874</v>
      </c>
      <c r="AK37" s="12">
        <v>46261.299999999974</v>
      </c>
      <c r="AM37" t="s">
        <v>875</v>
      </c>
      <c r="AN37" s="5">
        <v>0</v>
      </c>
      <c r="AO37" t="s">
        <v>872</v>
      </c>
      <c r="AP37" s="127" t="s">
        <v>240</v>
      </c>
      <c r="AQ37" t="s">
        <v>876</v>
      </c>
      <c r="AR37" t="s">
        <v>873</v>
      </c>
      <c r="AS37" t="s">
        <v>911</v>
      </c>
    </row>
    <row r="38" spans="35:45" ht="15" customHeight="1" x14ac:dyDescent="0.25">
      <c r="AI38" t="s">
        <v>3</v>
      </c>
      <c r="AJ38" t="s">
        <v>874</v>
      </c>
      <c r="AK38" s="12">
        <v>46291.719999999972</v>
      </c>
      <c r="AM38" t="s">
        <v>875</v>
      </c>
      <c r="AN38" s="5">
        <v>0</v>
      </c>
      <c r="AO38" t="s">
        <v>872</v>
      </c>
      <c r="AP38" s="127" t="s">
        <v>240</v>
      </c>
      <c r="AQ38" t="s">
        <v>876</v>
      </c>
      <c r="AR38" t="s">
        <v>873</v>
      </c>
      <c r="AS38" t="s">
        <v>912</v>
      </c>
    </row>
    <row r="39" spans="35:45" ht="15" customHeight="1" x14ac:dyDescent="0.25">
      <c r="AI39" t="s">
        <v>3</v>
      </c>
      <c r="AJ39" t="s">
        <v>874</v>
      </c>
      <c r="AK39" s="12">
        <v>46322.13999999997</v>
      </c>
      <c r="AM39" t="s">
        <v>875</v>
      </c>
      <c r="AN39" s="5">
        <v>0</v>
      </c>
      <c r="AO39" t="s">
        <v>872</v>
      </c>
      <c r="AP39" s="127" t="s">
        <v>240</v>
      </c>
      <c r="AQ39" t="s">
        <v>876</v>
      </c>
      <c r="AR39" t="s">
        <v>873</v>
      </c>
      <c r="AS39" t="s">
        <v>913</v>
      </c>
    </row>
    <row r="40" spans="35:45" ht="15" customHeight="1" x14ac:dyDescent="0.25">
      <c r="AI40" t="s">
        <v>3</v>
      </c>
      <c r="AJ40" t="s">
        <v>874</v>
      </c>
      <c r="AK40" s="12">
        <v>46352.559999999969</v>
      </c>
      <c r="AM40" t="s">
        <v>875</v>
      </c>
      <c r="AN40" s="5">
        <v>0</v>
      </c>
      <c r="AO40" t="s">
        <v>872</v>
      </c>
      <c r="AP40" s="127" t="s">
        <v>240</v>
      </c>
      <c r="AQ40" t="s">
        <v>876</v>
      </c>
      <c r="AR40" t="s">
        <v>873</v>
      </c>
      <c r="AS40" t="s">
        <v>914</v>
      </c>
    </row>
    <row r="41" spans="35:45" ht="15" customHeight="1" x14ac:dyDescent="0.25">
      <c r="AI41" t="s">
        <v>3</v>
      </c>
      <c r="AJ41" t="s">
        <v>581</v>
      </c>
      <c r="AK41" s="12">
        <v>45805</v>
      </c>
      <c r="AM41" t="s">
        <v>875</v>
      </c>
      <c r="AN41" s="5">
        <v>0</v>
      </c>
      <c r="AO41" t="s">
        <v>872</v>
      </c>
      <c r="AP41" s="127" t="s">
        <v>240</v>
      </c>
      <c r="AQ41" t="s">
        <v>876</v>
      </c>
      <c r="AR41" t="s">
        <v>873</v>
      </c>
      <c r="AS41" t="s">
        <v>915</v>
      </c>
    </row>
    <row r="42" spans="35:45" ht="15" customHeight="1" x14ac:dyDescent="0.25">
      <c r="AI42" t="s">
        <v>3</v>
      </c>
      <c r="AJ42" t="s">
        <v>581</v>
      </c>
      <c r="AK42" s="12">
        <v>45835.42</v>
      </c>
      <c r="AM42" t="s">
        <v>875</v>
      </c>
      <c r="AN42" s="5">
        <v>0</v>
      </c>
      <c r="AO42" t="s">
        <v>872</v>
      </c>
      <c r="AP42" s="127" t="s">
        <v>240</v>
      </c>
      <c r="AQ42" t="s">
        <v>876</v>
      </c>
      <c r="AR42" t="s">
        <v>873</v>
      </c>
      <c r="AS42" t="s">
        <v>916</v>
      </c>
    </row>
    <row r="43" spans="35:45" ht="15" customHeight="1" x14ac:dyDescent="0.25">
      <c r="AI43" t="s">
        <v>3</v>
      </c>
      <c r="AJ43" t="s">
        <v>581</v>
      </c>
      <c r="AK43" s="12">
        <v>45865.84</v>
      </c>
      <c r="AM43" t="s">
        <v>875</v>
      </c>
      <c r="AN43" s="5">
        <v>0</v>
      </c>
      <c r="AO43" t="s">
        <v>872</v>
      </c>
      <c r="AP43" s="127" t="s">
        <v>240</v>
      </c>
      <c r="AQ43" t="s">
        <v>876</v>
      </c>
      <c r="AR43" t="s">
        <v>873</v>
      </c>
      <c r="AS43" t="s">
        <v>917</v>
      </c>
    </row>
    <row r="44" spans="35:45" ht="15" customHeight="1" x14ac:dyDescent="0.25">
      <c r="AI44" t="s">
        <v>3</v>
      </c>
      <c r="AJ44" t="s">
        <v>581</v>
      </c>
      <c r="AK44" s="12">
        <v>45896.259999999995</v>
      </c>
      <c r="AM44" t="s">
        <v>875</v>
      </c>
      <c r="AN44" s="5">
        <v>0</v>
      </c>
      <c r="AO44" t="s">
        <v>872</v>
      </c>
      <c r="AP44" s="127" t="s">
        <v>240</v>
      </c>
      <c r="AQ44" t="s">
        <v>876</v>
      </c>
      <c r="AR44" t="s">
        <v>873</v>
      </c>
      <c r="AS44" t="s">
        <v>918</v>
      </c>
    </row>
    <row r="45" spans="35:45" ht="15" customHeight="1" x14ac:dyDescent="0.25">
      <c r="AI45" t="s">
        <v>3</v>
      </c>
      <c r="AJ45" t="s">
        <v>581</v>
      </c>
      <c r="AK45" s="12">
        <v>45931</v>
      </c>
      <c r="AM45" t="s">
        <v>875</v>
      </c>
      <c r="AN45" s="5">
        <v>916.37</v>
      </c>
      <c r="AO45" t="s">
        <v>872</v>
      </c>
      <c r="AP45" s="127" t="s">
        <v>240</v>
      </c>
      <c r="AQ45" t="s">
        <v>876</v>
      </c>
      <c r="AR45" t="s">
        <v>873</v>
      </c>
      <c r="AS45" t="s">
        <v>919</v>
      </c>
    </row>
    <row r="46" spans="35:45" ht="15" customHeight="1" x14ac:dyDescent="0.25">
      <c r="AI46" t="s">
        <v>3</v>
      </c>
      <c r="AJ46" t="s">
        <v>581</v>
      </c>
      <c r="AK46" s="12">
        <v>45961.42</v>
      </c>
      <c r="AM46" t="s">
        <v>875</v>
      </c>
      <c r="AN46" s="5">
        <v>916.37</v>
      </c>
      <c r="AO46" t="s">
        <v>872</v>
      </c>
      <c r="AP46" s="127" t="s">
        <v>240</v>
      </c>
      <c r="AQ46" t="s">
        <v>876</v>
      </c>
      <c r="AR46" t="s">
        <v>873</v>
      </c>
      <c r="AS46" t="s">
        <v>920</v>
      </c>
    </row>
    <row r="47" spans="35:45" ht="15" customHeight="1" x14ac:dyDescent="0.25">
      <c r="AI47" t="s">
        <v>3</v>
      </c>
      <c r="AJ47" t="s">
        <v>581</v>
      </c>
      <c r="AK47" s="12">
        <v>45991.839999999997</v>
      </c>
      <c r="AM47" t="s">
        <v>875</v>
      </c>
      <c r="AN47" s="5">
        <v>916.37</v>
      </c>
      <c r="AO47" t="s">
        <v>872</v>
      </c>
      <c r="AP47" s="127" t="s">
        <v>240</v>
      </c>
      <c r="AQ47" t="s">
        <v>876</v>
      </c>
      <c r="AR47" t="s">
        <v>873</v>
      </c>
      <c r="AS47" t="s">
        <v>921</v>
      </c>
    </row>
    <row r="48" spans="35:45" ht="15" customHeight="1" x14ac:dyDescent="0.25">
      <c r="AI48" t="s">
        <v>3</v>
      </c>
      <c r="AJ48" t="s">
        <v>581</v>
      </c>
      <c r="AK48" s="12">
        <v>46022.259999999995</v>
      </c>
      <c r="AM48" t="s">
        <v>875</v>
      </c>
      <c r="AN48" s="5">
        <v>916.37</v>
      </c>
      <c r="AO48" t="s">
        <v>872</v>
      </c>
      <c r="AP48" s="127" t="s">
        <v>240</v>
      </c>
      <c r="AQ48" t="s">
        <v>876</v>
      </c>
      <c r="AR48" t="s">
        <v>873</v>
      </c>
      <c r="AS48" t="s">
        <v>922</v>
      </c>
    </row>
    <row r="49" spans="35:45" ht="15" customHeight="1" x14ac:dyDescent="0.25">
      <c r="AI49" t="s">
        <v>3</v>
      </c>
      <c r="AJ49" t="s">
        <v>581</v>
      </c>
      <c r="AK49" s="12">
        <v>46052.679999999993</v>
      </c>
      <c r="AM49" t="s">
        <v>875</v>
      </c>
      <c r="AN49" s="5">
        <v>916.37</v>
      </c>
      <c r="AO49" t="s">
        <v>872</v>
      </c>
      <c r="AP49" s="127" t="s">
        <v>240</v>
      </c>
      <c r="AQ49" t="s">
        <v>876</v>
      </c>
      <c r="AR49" t="s">
        <v>873</v>
      </c>
      <c r="AS49" t="s">
        <v>923</v>
      </c>
    </row>
    <row r="50" spans="35:45" ht="15" customHeight="1" x14ac:dyDescent="0.25">
      <c r="AI50" t="s">
        <v>3</v>
      </c>
      <c r="AJ50" t="s">
        <v>581</v>
      </c>
      <c r="AK50" s="12">
        <v>46083.099999999991</v>
      </c>
      <c r="AM50" t="s">
        <v>875</v>
      </c>
      <c r="AN50" s="5">
        <v>916.37</v>
      </c>
      <c r="AO50" t="s">
        <v>872</v>
      </c>
      <c r="AP50" s="127" t="s">
        <v>240</v>
      </c>
      <c r="AQ50" t="s">
        <v>876</v>
      </c>
      <c r="AR50" t="s">
        <v>873</v>
      </c>
      <c r="AS50" t="s">
        <v>924</v>
      </c>
    </row>
    <row r="51" spans="35:45" ht="15" customHeight="1" x14ac:dyDescent="0.25">
      <c r="AI51" t="s">
        <v>3</v>
      </c>
      <c r="AJ51" t="s">
        <v>581</v>
      </c>
      <c r="AK51" s="12">
        <v>46113.51999999999</v>
      </c>
      <c r="AM51" t="s">
        <v>875</v>
      </c>
      <c r="AN51" s="5">
        <v>916.37</v>
      </c>
      <c r="AO51" t="s">
        <v>872</v>
      </c>
      <c r="AP51" s="127" t="s">
        <v>240</v>
      </c>
      <c r="AQ51" t="s">
        <v>876</v>
      </c>
      <c r="AR51" t="s">
        <v>873</v>
      </c>
      <c r="AS51" t="s">
        <v>925</v>
      </c>
    </row>
    <row r="52" spans="35:45" ht="15" customHeight="1" x14ac:dyDescent="0.25">
      <c r="AI52" t="s">
        <v>3</v>
      </c>
      <c r="AJ52" t="s">
        <v>581</v>
      </c>
      <c r="AK52" s="12">
        <v>46143.939999999988</v>
      </c>
      <c r="AM52" t="s">
        <v>875</v>
      </c>
      <c r="AN52" s="5">
        <v>916.37</v>
      </c>
      <c r="AO52" t="s">
        <v>872</v>
      </c>
      <c r="AP52" s="127" t="s">
        <v>240</v>
      </c>
      <c r="AQ52" t="s">
        <v>876</v>
      </c>
      <c r="AR52" t="s">
        <v>873</v>
      </c>
      <c r="AS52" t="s">
        <v>926</v>
      </c>
    </row>
    <row r="53" spans="35:45" ht="15" customHeight="1" x14ac:dyDescent="0.25">
      <c r="AI53" t="s">
        <v>3</v>
      </c>
      <c r="AJ53" t="s">
        <v>581</v>
      </c>
      <c r="AK53" s="12">
        <v>46174.359999999986</v>
      </c>
      <c r="AM53" t="s">
        <v>875</v>
      </c>
      <c r="AN53" s="5">
        <v>916.37</v>
      </c>
      <c r="AO53" t="s">
        <v>872</v>
      </c>
      <c r="AP53" s="127" t="s">
        <v>240</v>
      </c>
      <c r="AQ53" t="s">
        <v>876</v>
      </c>
      <c r="AR53" t="s">
        <v>873</v>
      </c>
      <c r="AS53" t="s">
        <v>927</v>
      </c>
    </row>
    <row r="54" spans="35:45" ht="15" customHeight="1" x14ac:dyDescent="0.25">
      <c r="AI54" t="s">
        <v>3</v>
      </c>
      <c r="AJ54" t="s">
        <v>581</v>
      </c>
      <c r="AK54" s="12">
        <v>46204.779999999984</v>
      </c>
      <c r="AM54" t="s">
        <v>875</v>
      </c>
      <c r="AN54" s="5">
        <v>916.37</v>
      </c>
      <c r="AO54" t="s">
        <v>872</v>
      </c>
      <c r="AP54" s="127" t="s">
        <v>240</v>
      </c>
      <c r="AQ54" t="s">
        <v>876</v>
      </c>
      <c r="AR54" t="s">
        <v>873</v>
      </c>
      <c r="AS54" t="s">
        <v>928</v>
      </c>
    </row>
    <row r="55" spans="35:45" ht="15" customHeight="1" x14ac:dyDescent="0.25">
      <c r="AI55" t="s">
        <v>3</v>
      </c>
      <c r="AJ55" t="s">
        <v>581</v>
      </c>
      <c r="AK55" s="12">
        <v>46235.199999999983</v>
      </c>
      <c r="AM55" t="s">
        <v>875</v>
      </c>
      <c r="AN55" s="5">
        <v>916.37</v>
      </c>
      <c r="AO55" t="s">
        <v>872</v>
      </c>
      <c r="AP55" s="127" t="s">
        <v>240</v>
      </c>
      <c r="AQ55" t="s">
        <v>876</v>
      </c>
      <c r="AR55" t="s">
        <v>873</v>
      </c>
      <c r="AS55" t="s">
        <v>929</v>
      </c>
    </row>
    <row r="56" spans="35:45" ht="15" customHeight="1" x14ac:dyDescent="0.25">
      <c r="AI56" t="s">
        <v>3</v>
      </c>
      <c r="AJ56" t="s">
        <v>581</v>
      </c>
      <c r="AK56" s="12">
        <v>46265.619999999981</v>
      </c>
      <c r="AM56" t="s">
        <v>875</v>
      </c>
      <c r="AN56" s="5">
        <v>916.37</v>
      </c>
      <c r="AO56" t="s">
        <v>872</v>
      </c>
      <c r="AP56" s="127" t="s">
        <v>240</v>
      </c>
      <c r="AQ56" t="s">
        <v>876</v>
      </c>
      <c r="AR56" t="s">
        <v>873</v>
      </c>
      <c r="AS56" t="s">
        <v>930</v>
      </c>
    </row>
    <row r="57" spans="35:45" ht="15" customHeight="1" x14ac:dyDescent="0.25">
      <c r="AI57" t="s">
        <v>3</v>
      </c>
      <c r="AJ57" t="s">
        <v>581</v>
      </c>
      <c r="AK57" s="12">
        <v>46296.039999999979</v>
      </c>
      <c r="AM57" t="s">
        <v>875</v>
      </c>
      <c r="AN57" s="5">
        <v>916.37</v>
      </c>
      <c r="AO57" t="s">
        <v>872</v>
      </c>
      <c r="AP57" s="127" t="s">
        <v>240</v>
      </c>
      <c r="AQ57" t="s">
        <v>876</v>
      </c>
      <c r="AR57" t="s">
        <v>873</v>
      </c>
      <c r="AS57" t="s">
        <v>931</v>
      </c>
    </row>
    <row r="58" spans="35:45" ht="15" customHeight="1" x14ac:dyDescent="0.25">
      <c r="AI58" t="s">
        <v>3</v>
      </c>
      <c r="AJ58" t="s">
        <v>581</v>
      </c>
      <c r="AK58" s="12">
        <v>46326.459999999977</v>
      </c>
      <c r="AM58" t="s">
        <v>875</v>
      </c>
      <c r="AN58" s="5">
        <v>916.37</v>
      </c>
      <c r="AO58" t="s">
        <v>872</v>
      </c>
      <c r="AP58" s="127" t="s">
        <v>240</v>
      </c>
      <c r="AQ58" t="s">
        <v>876</v>
      </c>
      <c r="AR58" t="s">
        <v>873</v>
      </c>
      <c r="AS58" t="s">
        <v>932</v>
      </c>
    </row>
    <row r="59" spans="35:45" ht="15" customHeight="1" x14ac:dyDescent="0.25">
      <c r="AI59" t="s">
        <v>3</v>
      </c>
      <c r="AJ59" t="s">
        <v>581</v>
      </c>
      <c r="AK59" s="12">
        <v>46356.879999999976</v>
      </c>
      <c r="AM59" t="s">
        <v>875</v>
      </c>
      <c r="AN59" s="5">
        <v>916.37</v>
      </c>
      <c r="AO59" t="s">
        <v>872</v>
      </c>
      <c r="AP59" s="127" t="s">
        <v>240</v>
      </c>
      <c r="AQ59" t="s">
        <v>876</v>
      </c>
      <c r="AR59" t="s">
        <v>873</v>
      </c>
      <c r="AS59" t="s">
        <v>933</v>
      </c>
    </row>
    <row r="60" spans="35:45" ht="15" customHeight="1" x14ac:dyDescent="0.25">
      <c r="AI60" t="s">
        <v>3</v>
      </c>
      <c r="AJ60" t="s">
        <v>470</v>
      </c>
      <c r="AK60" s="12">
        <v>45805</v>
      </c>
      <c r="AM60" t="s">
        <v>875</v>
      </c>
      <c r="AN60" s="5">
        <v>0</v>
      </c>
      <c r="AO60" t="s">
        <v>872</v>
      </c>
      <c r="AP60" s="127" t="s">
        <v>240</v>
      </c>
      <c r="AQ60" t="s">
        <v>876</v>
      </c>
      <c r="AR60" t="s">
        <v>873</v>
      </c>
      <c r="AS60" t="s">
        <v>934</v>
      </c>
    </row>
    <row r="61" spans="35:45" ht="15" customHeight="1" x14ac:dyDescent="0.25">
      <c r="AI61" t="s">
        <v>3</v>
      </c>
      <c r="AJ61" t="s">
        <v>470</v>
      </c>
      <c r="AK61" s="12">
        <v>45835.42</v>
      </c>
      <c r="AM61" t="s">
        <v>875</v>
      </c>
      <c r="AN61" s="5">
        <v>0</v>
      </c>
      <c r="AO61" t="s">
        <v>872</v>
      </c>
      <c r="AP61" s="127" t="s">
        <v>240</v>
      </c>
      <c r="AQ61" t="s">
        <v>876</v>
      </c>
      <c r="AR61" t="s">
        <v>873</v>
      </c>
      <c r="AS61" t="s">
        <v>935</v>
      </c>
    </row>
    <row r="62" spans="35:45" ht="15" customHeight="1" x14ac:dyDescent="0.25">
      <c r="AI62" t="s">
        <v>3</v>
      </c>
      <c r="AJ62" t="s">
        <v>470</v>
      </c>
      <c r="AK62" s="12">
        <v>45865.84</v>
      </c>
      <c r="AM62" t="s">
        <v>875</v>
      </c>
      <c r="AN62" s="5">
        <v>0</v>
      </c>
      <c r="AO62" t="s">
        <v>872</v>
      </c>
      <c r="AP62" s="127" t="s">
        <v>240</v>
      </c>
      <c r="AQ62" t="s">
        <v>876</v>
      </c>
      <c r="AR62" t="s">
        <v>873</v>
      </c>
      <c r="AS62" t="s">
        <v>936</v>
      </c>
    </row>
    <row r="63" spans="35:45" ht="15" customHeight="1" x14ac:dyDescent="0.25">
      <c r="AI63" t="s">
        <v>3</v>
      </c>
      <c r="AJ63" t="s">
        <v>470</v>
      </c>
      <c r="AK63" s="12">
        <v>45896.259999999995</v>
      </c>
      <c r="AM63" t="s">
        <v>875</v>
      </c>
      <c r="AN63" s="5">
        <v>0</v>
      </c>
      <c r="AO63" t="s">
        <v>872</v>
      </c>
      <c r="AP63" s="127" t="s">
        <v>240</v>
      </c>
      <c r="AQ63" t="s">
        <v>876</v>
      </c>
      <c r="AR63" t="s">
        <v>873</v>
      </c>
      <c r="AS63" t="s">
        <v>937</v>
      </c>
    </row>
    <row r="64" spans="35:45" ht="15" customHeight="1" x14ac:dyDescent="0.25">
      <c r="AI64" t="s">
        <v>3</v>
      </c>
      <c r="AJ64" t="s">
        <v>470</v>
      </c>
      <c r="AK64" s="12">
        <v>45926.679999999993</v>
      </c>
      <c r="AM64" t="s">
        <v>875</v>
      </c>
      <c r="AN64" s="5">
        <v>0</v>
      </c>
      <c r="AO64" t="s">
        <v>872</v>
      </c>
      <c r="AP64" s="127" t="s">
        <v>240</v>
      </c>
      <c r="AQ64" t="s">
        <v>876</v>
      </c>
      <c r="AR64" t="s">
        <v>873</v>
      </c>
      <c r="AS64" t="s">
        <v>938</v>
      </c>
    </row>
    <row r="65" spans="35:45" ht="15" customHeight="1" x14ac:dyDescent="0.25">
      <c r="AI65" t="s">
        <v>3</v>
      </c>
      <c r="AJ65" t="s">
        <v>470</v>
      </c>
      <c r="AK65" s="12">
        <v>45957.099999999991</v>
      </c>
      <c r="AM65" t="s">
        <v>875</v>
      </c>
      <c r="AN65" s="5">
        <v>0</v>
      </c>
      <c r="AO65" t="s">
        <v>872</v>
      </c>
      <c r="AP65" s="127" t="s">
        <v>240</v>
      </c>
      <c r="AQ65" t="s">
        <v>876</v>
      </c>
      <c r="AR65" t="s">
        <v>873</v>
      </c>
      <c r="AS65" t="s">
        <v>939</v>
      </c>
    </row>
    <row r="66" spans="35:45" ht="15" customHeight="1" x14ac:dyDescent="0.25">
      <c r="AI66" t="s">
        <v>3</v>
      </c>
      <c r="AJ66" t="s">
        <v>470</v>
      </c>
      <c r="AK66" s="12">
        <v>45987.51999999999</v>
      </c>
      <c r="AM66" t="s">
        <v>875</v>
      </c>
      <c r="AN66" s="5">
        <v>0</v>
      </c>
      <c r="AO66" t="s">
        <v>872</v>
      </c>
      <c r="AP66" s="127" t="s">
        <v>240</v>
      </c>
      <c r="AQ66" t="s">
        <v>876</v>
      </c>
      <c r="AR66" t="s">
        <v>873</v>
      </c>
      <c r="AS66" t="s">
        <v>940</v>
      </c>
    </row>
    <row r="67" spans="35:45" ht="15" customHeight="1" x14ac:dyDescent="0.25">
      <c r="AI67" t="s">
        <v>3</v>
      </c>
      <c r="AJ67" t="s">
        <v>470</v>
      </c>
      <c r="AK67" s="12">
        <v>46017.939999999988</v>
      </c>
      <c r="AM67" t="s">
        <v>875</v>
      </c>
      <c r="AN67" s="5">
        <v>0</v>
      </c>
      <c r="AO67" t="s">
        <v>872</v>
      </c>
      <c r="AP67" s="127" t="s">
        <v>240</v>
      </c>
      <c r="AQ67" t="s">
        <v>876</v>
      </c>
      <c r="AR67" t="s">
        <v>873</v>
      </c>
      <c r="AS67" t="s">
        <v>941</v>
      </c>
    </row>
    <row r="68" spans="35:45" ht="15" customHeight="1" x14ac:dyDescent="0.25">
      <c r="AI68" t="s">
        <v>3</v>
      </c>
      <c r="AJ68" t="s">
        <v>470</v>
      </c>
      <c r="AK68" s="12">
        <v>46048.359999999986</v>
      </c>
      <c r="AM68" t="s">
        <v>875</v>
      </c>
      <c r="AN68" s="5">
        <v>0</v>
      </c>
      <c r="AO68" t="s">
        <v>872</v>
      </c>
      <c r="AP68" s="127" t="s">
        <v>240</v>
      </c>
      <c r="AQ68" t="s">
        <v>876</v>
      </c>
      <c r="AR68" t="s">
        <v>873</v>
      </c>
      <c r="AS68" t="s">
        <v>942</v>
      </c>
    </row>
    <row r="69" spans="35:45" ht="15" customHeight="1" x14ac:dyDescent="0.25">
      <c r="AI69" t="s">
        <v>3</v>
      </c>
      <c r="AJ69" t="s">
        <v>470</v>
      </c>
      <c r="AK69" s="12">
        <v>46078.779999999984</v>
      </c>
      <c r="AM69" t="s">
        <v>875</v>
      </c>
      <c r="AN69" s="5">
        <v>0</v>
      </c>
      <c r="AO69" t="s">
        <v>872</v>
      </c>
      <c r="AP69" s="127" t="s">
        <v>240</v>
      </c>
      <c r="AQ69" t="s">
        <v>876</v>
      </c>
      <c r="AR69" t="s">
        <v>873</v>
      </c>
      <c r="AS69" t="s">
        <v>943</v>
      </c>
    </row>
    <row r="70" spans="35:45" ht="15" customHeight="1" x14ac:dyDescent="0.25">
      <c r="AI70" t="s">
        <v>3</v>
      </c>
      <c r="AJ70" t="s">
        <v>470</v>
      </c>
      <c r="AK70" s="12">
        <v>46109.199999999983</v>
      </c>
      <c r="AM70" t="s">
        <v>875</v>
      </c>
      <c r="AN70" s="5">
        <v>0</v>
      </c>
      <c r="AO70" t="s">
        <v>872</v>
      </c>
      <c r="AP70" s="127" t="s">
        <v>240</v>
      </c>
      <c r="AQ70" t="s">
        <v>876</v>
      </c>
      <c r="AR70" t="s">
        <v>873</v>
      </c>
      <c r="AS70" t="s">
        <v>944</v>
      </c>
    </row>
    <row r="71" spans="35:45" ht="15" customHeight="1" x14ac:dyDescent="0.25">
      <c r="AI71" t="s">
        <v>3</v>
      </c>
      <c r="AJ71" t="s">
        <v>470</v>
      </c>
      <c r="AK71" s="12">
        <v>46139.619999999981</v>
      </c>
      <c r="AM71" t="s">
        <v>875</v>
      </c>
      <c r="AN71" s="5">
        <v>0</v>
      </c>
      <c r="AO71" t="s">
        <v>872</v>
      </c>
      <c r="AP71" s="127" t="s">
        <v>240</v>
      </c>
      <c r="AQ71" t="s">
        <v>876</v>
      </c>
      <c r="AR71" t="s">
        <v>873</v>
      </c>
      <c r="AS71" t="s">
        <v>945</v>
      </c>
    </row>
    <row r="72" spans="35:45" ht="15" customHeight="1" x14ac:dyDescent="0.25">
      <c r="AI72" t="s">
        <v>3</v>
      </c>
      <c r="AJ72" t="s">
        <v>470</v>
      </c>
      <c r="AK72" s="12">
        <v>46170.039999999979</v>
      </c>
      <c r="AM72" t="s">
        <v>875</v>
      </c>
      <c r="AN72" s="5">
        <v>0</v>
      </c>
      <c r="AO72" t="s">
        <v>872</v>
      </c>
      <c r="AP72" s="127" t="s">
        <v>240</v>
      </c>
      <c r="AQ72" t="s">
        <v>876</v>
      </c>
      <c r="AR72" t="s">
        <v>873</v>
      </c>
      <c r="AS72" t="s">
        <v>946</v>
      </c>
    </row>
    <row r="73" spans="35:45" ht="15" customHeight="1" x14ac:dyDescent="0.25">
      <c r="AI73" t="s">
        <v>3</v>
      </c>
      <c r="AJ73" t="s">
        <v>470</v>
      </c>
      <c r="AK73" s="12">
        <v>46200.459999999977</v>
      </c>
      <c r="AM73" t="s">
        <v>875</v>
      </c>
      <c r="AN73" s="5">
        <v>0</v>
      </c>
      <c r="AO73" t="s">
        <v>872</v>
      </c>
      <c r="AP73" s="127" t="s">
        <v>240</v>
      </c>
      <c r="AQ73" t="s">
        <v>876</v>
      </c>
      <c r="AR73" t="s">
        <v>873</v>
      </c>
      <c r="AS73" t="s">
        <v>947</v>
      </c>
    </row>
    <row r="74" spans="35:45" ht="15" customHeight="1" x14ac:dyDescent="0.25">
      <c r="AI74" t="s">
        <v>3</v>
      </c>
      <c r="AJ74" t="s">
        <v>470</v>
      </c>
      <c r="AK74" s="12">
        <v>46230.879999999976</v>
      </c>
      <c r="AM74" t="s">
        <v>875</v>
      </c>
      <c r="AN74" s="5">
        <v>0</v>
      </c>
      <c r="AO74" t="s">
        <v>872</v>
      </c>
      <c r="AP74" s="127" t="s">
        <v>240</v>
      </c>
      <c r="AQ74" t="s">
        <v>876</v>
      </c>
      <c r="AR74" t="s">
        <v>873</v>
      </c>
      <c r="AS74" t="s">
        <v>948</v>
      </c>
    </row>
    <row r="75" spans="35:45" ht="15" customHeight="1" x14ac:dyDescent="0.25">
      <c r="AI75" t="s">
        <v>3</v>
      </c>
      <c r="AJ75" t="s">
        <v>470</v>
      </c>
      <c r="AK75" s="12">
        <v>46261.299999999974</v>
      </c>
      <c r="AM75" t="s">
        <v>875</v>
      </c>
      <c r="AN75" s="5">
        <v>0</v>
      </c>
      <c r="AO75" t="s">
        <v>872</v>
      </c>
      <c r="AP75" s="127" t="s">
        <v>240</v>
      </c>
      <c r="AQ75" t="s">
        <v>876</v>
      </c>
      <c r="AR75" t="s">
        <v>873</v>
      </c>
      <c r="AS75" t="s">
        <v>949</v>
      </c>
    </row>
    <row r="76" spans="35:45" ht="15" customHeight="1" x14ac:dyDescent="0.25">
      <c r="AI76" t="s">
        <v>3</v>
      </c>
      <c r="AJ76" t="s">
        <v>470</v>
      </c>
      <c r="AK76" s="12">
        <v>46291.719999999972</v>
      </c>
      <c r="AM76" t="s">
        <v>875</v>
      </c>
      <c r="AN76" s="5">
        <v>0</v>
      </c>
      <c r="AO76" t="s">
        <v>872</v>
      </c>
      <c r="AP76" s="127" t="s">
        <v>240</v>
      </c>
      <c r="AQ76" t="s">
        <v>876</v>
      </c>
      <c r="AR76" t="s">
        <v>873</v>
      </c>
      <c r="AS76" t="s">
        <v>950</v>
      </c>
    </row>
    <row r="77" spans="35:45" ht="15" customHeight="1" x14ac:dyDescent="0.25">
      <c r="AI77" t="s">
        <v>3</v>
      </c>
      <c r="AJ77" t="s">
        <v>470</v>
      </c>
      <c r="AK77" s="12">
        <v>46322.13999999997</v>
      </c>
      <c r="AM77" t="s">
        <v>875</v>
      </c>
      <c r="AN77" s="5">
        <v>0</v>
      </c>
      <c r="AO77" t="s">
        <v>872</v>
      </c>
      <c r="AP77" s="127" t="s">
        <v>240</v>
      </c>
      <c r="AQ77" t="s">
        <v>876</v>
      </c>
      <c r="AR77" t="s">
        <v>873</v>
      </c>
      <c r="AS77" t="s">
        <v>951</v>
      </c>
    </row>
    <row r="78" spans="35:45" ht="15" customHeight="1" x14ac:dyDescent="0.25">
      <c r="AI78" t="s">
        <v>3</v>
      </c>
      <c r="AJ78" t="s">
        <v>470</v>
      </c>
      <c r="AK78" s="12">
        <v>46352.559999999969</v>
      </c>
      <c r="AM78" t="s">
        <v>875</v>
      </c>
      <c r="AN78" s="5">
        <v>0</v>
      </c>
      <c r="AO78" t="s">
        <v>872</v>
      </c>
      <c r="AP78" s="127" t="s">
        <v>240</v>
      </c>
      <c r="AQ78" t="s">
        <v>876</v>
      </c>
      <c r="AR78" t="s">
        <v>873</v>
      </c>
      <c r="AS78" t="s">
        <v>952</v>
      </c>
    </row>
    <row r="79" spans="35:45" ht="15" customHeight="1" x14ac:dyDescent="0.25">
      <c r="AI79" t="s">
        <v>3</v>
      </c>
      <c r="AJ79" t="s">
        <v>861</v>
      </c>
      <c r="AK79" s="12">
        <v>45751</v>
      </c>
      <c r="AM79" t="s">
        <v>875</v>
      </c>
      <c r="AN79" s="5">
        <v>50</v>
      </c>
      <c r="AO79" t="s">
        <v>872</v>
      </c>
      <c r="AP79" s="127" t="s">
        <v>240</v>
      </c>
      <c r="AQ79" t="s">
        <v>876</v>
      </c>
      <c r="AR79" t="s">
        <v>873</v>
      </c>
      <c r="AS79" t="s">
        <v>953</v>
      </c>
    </row>
    <row r="80" spans="35:45" ht="15" customHeight="1" x14ac:dyDescent="0.25">
      <c r="AI80" t="s">
        <v>3</v>
      </c>
      <c r="AJ80" t="s">
        <v>861</v>
      </c>
      <c r="AK80" s="12">
        <v>45751</v>
      </c>
      <c r="AM80" t="s">
        <v>875</v>
      </c>
      <c r="AN80" s="5">
        <v>47.9</v>
      </c>
      <c r="AO80" t="s">
        <v>872</v>
      </c>
      <c r="AP80" s="127" t="s">
        <v>240</v>
      </c>
      <c r="AQ80" t="s">
        <v>876</v>
      </c>
      <c r="AR80" t="s">
        <v>873</v>
      </c>
      <c r="AS80" t="s">
        <v>954</v>
      </c>
    </row>
    <row r="81" spans="35:45" ht="15" customHeight="1" x14ac:dyDescent="0.25">
      <c r="AI81" t="s">
        <v>3</v>
      </c>
      <c r="AJ81" t="s">
        <v>861</v>
      </c>
      <c r="AK81" s="12">
        <v>45781.42</v>
      </c>
      <c r="AM81" t="s">
        <v>875</v>
      </c>
      <c r="AN81" s="5">
        <v>53.51</v>
      </c>
      <c r="AO81" t="s">
        <v>872</v>
      </c>
      <c r="AP81" s="127" t="s">
        <v>240</v>
      </c>
      <c r="AQ81" t="s">
        <v>876</v>
      </c>
      <c r="AR81" t="s">
        <v>873</v>
      </c>
      <c r="AS81" t="s">
        <v>955</v>
      </c>
    </row>
    <row r="82" spans="35:45" ht="15" customHeight="1" x14ac:dyDescent="0.25">
      <c r="AI82" t="s">
        <v>3</v>
      </c>
      <c r="AJ82" t="s">
        <v>861</v>
      </c>
      <c r="AK82" s="12">
        <v>45811.839999999997</v>
      </c>
      <c r="AM82" t="s">
        <v>875</v>
      </c>
      <c r="AN82" s="5">
        <v>61.43</v>
      </c>
      <c r="AO82" t="s">
        <v>872</v>
      </c>
      <c r="AP82" s="127" t="s">
        <v>240</v>
      </c>
      <c r="AQ82" t="s">
        <v>876</v>
      </c>
      <c r="AR82" t="s">
        <v>873</v>
      </c>
      <c r="AS82" t="s">
        <v>956</v>
      </c>
    </row>
    <row r="83" spans="35:45" ht="15" customHeight="1" x14ac:dyDescent="0.25">
      <c r="AI83" t="s">
        <v>3</v>
      </c>
      <c r="AJ83" t="s">
        <v>861</v>
      </c>
      <c r="AK83" s="12">
        <v>45842.259999999995</v>
      </c>
      <c r="AM83" t="s">
        <v>875</v>
      </c>
      <c r="AN83" s="5">
        <v>64.8</v>
      </c>
      <c r="AO83" t="s">
        <v>872</v>
      </c>
      <c r="AP83" s="127" t="s">
        <v>240</v>
      </c>
      <c r="AQ83" t="s">
        <v>876</v>
      </c>
      <c r="AR83" t="s">
        <v>873</v>
      </c>
      <c r="AS83" t="s">
        <v>957</v>
      </c>
    </row>
    <row r="84" spans="35:45" ht="15" customHeight="1" x14ac:dyDescent="0.25">
      <c r="AI84" t="s">
        <v>3</v>
      </c>
      <c r="AJ84" t="s">
        <v>861</v>
      </c>
      <c r="AK84" s="12">
        <v>45872.679999999993</v>
      </c>
      <c r="AM84" t="s">
        <v>875</v>
      </c>
      <c r="AN84" s="5">
        <v>0</v>
      </c>
      <c r="AO84" t="s">
        <v>872</v>
      </c>
      <c r="AP84" s="127" t="s">
        <v>240</v>
      </c>
      <c r="AQ84" t="s">
        <v>876</v>
      </c>
      <c r="AR84" t="s">
        <v>873</v>
      </c>
      <c r="AS84" t="s">
        <v>958</v>
      </c>
    </row>
    <row r="85" spans="35:45" ht="15" customHeight="1" x14ac:dyDescent="0.25">
      <c r="AI85" t="s">
        <v>3</v>
      </c>
      <c r="AJ85" t="s">
        <v>861</v>
      </c>
      <c r="AK85" s="12">
        <v>45903.099999999991</v>
      </c>
      <c r="AM85" t="s">
        <v>875</v>
      </c>
      <c r="AN85" s="5">
        <v>0</v>
      </c>
      <c r="AO85" t="s">
        <v>872</v>
      </c>
      <c r="AP85" s="127" t="s">
        <v>240</v>
      </c>
      <c r="AQ85" t="s">
        <v>876</v>
      </c>
      <c r="AR85" t="s">
        <v>873</v>
      </c>
      <c r="AS85" t="s">
        <v>959</v>
      </c>
    </row>
    <row r="86" spans="35:45" ht="15" customHeight="1" x14ac:dyDescent="0.25">
      <c r="AI86" t="s">
        <v>3</v>
      </c>
      <c r="AJ86" t="s">
        <v>861</v>
      </c>
      <c r="AK86" s="12">
        <v>45933.51999999999</v>
      </c>
      <c r="AM86" t="s">
        <v>875</v>
      </c>
      <c r="AN86" s="5">
        <v>0</v>
      </c>
      <c r="AO86" t="s">
        <v>872</v>
      </c>
      <c r="AP86" s="127" t="s">
        <v>240</v>
      </c>
      <c r="AQ86" t="s">
        <v>876</v>
      </c>
      <c r="AR86" t="s">
        <v>873</v>
      </c>
      <c r="AS86" t="s">
        <v>960</v>
      </c>
    </row>
    <row r="87" spans="35:45" ht="15" customHeight="1" x14ac:dyDescent="0.25">
      <c r="AI87" t="s">
        <v>3</v>
      </c>
      <c r="AJ87" t="s">
        <v>861</v>
      </c>
      <c r="AK87" s="12">
        <v>45963.939999999988</v>
      </c>
      <c r="AM87" t="s">
        <v>875</v>
      </c>
      <c r="AN87" s="5">
        <v>0</v>
      </c>
      <c r="AO87" t="s">
        <v>872</v>
      </c>
      <c r="AP87" s="127" t="s">
        <v>240</v>
      </c>
      <c r="AQ87" t="s">
        <v>876</v>
      </c>
      <c r="AR87" t="s">
        <v>873</v>
      </c>
      <c r="AS87" t="s">
        <v>961</v>
      </c>
    </row>
    <row r="88" spans="35:45" ht="15" customHeight="1" x14ac:dyDescent="0.25">
      <c r="AI88" t="s">
        <v>3</v>
      </c>
      <c r="AJ88" t="s">
        <v>861</v>
      </c>
      <c r="AK88" s="12">
        <v>45994.359999999986</v>
      </c>
      <c r="AM88" t="s">
        <v>875</v>
      </c>
      <c r="AN88" s="5">
        <v>0</v>
      </c>
      <c r="AO88" t="s">
        <v>872</v>
      </c>
      <c r="AP88" s="127" t="s">
        <v>240</v>
      </c>
      <c r="AQ88" t="s">
        <v>876</v>
      </c>
      <c r="AR88" t="s">
        <v>873</v>
      </c>
      <c r="AS88" t="s">
        <v>962</v>
      </c>
    </row>
    <row r="89" spans="35:45" ht="15" customHeight="1" x14ac:dyDescent="0.25">
      <c r="AI89" t="s">
        <v>3</v>
      </c>
      <c r="AJ89" t="s">
        <v>861</v>
      </c>
      <c r="AK89" s="12">
        <v>46024.779999999984</v>
      </c>
      <c r="AM89" t="s">
        <v>875</v>
      </c>
      <c r="AN89" s="5">
        <v>0</v>
      </c>
      <c r="AO89" t="s">
        <v>872</v>
      </c>
      <c r="AP89" s="127" t="s">
        <v>240</v>
      </c>
      <c r="AQ89" t="s">
        <v>876</v>
      </c>
      <c r="AR89" t="s">
        <v>873</v>
      </c>
      <c r="AS89" t="s">
        <v>963</v>
      </c>
    </row>
    <row r="90" spans="35:45" ht="15" customHeight="1" x14ac:dyDescent="0.25">
      <c r="AI90" t="s">
        <v>3</v>
      </c>
      <c r="AJ90" t="s">
        <v>861</v>
      </c>
      <c r="AK90" s="12">
        <v>46055.199999999983</v>
      </c>
      <c r="AM90" t="s">
        <v>875</v>
      </c>
      <c r="AN90" s="5">
        <v>0</v>
      </c>
      <c r="AO90" t="s">
        <v>872</v>
      </c>
      <c r="AP90" s="127" t="s">
        <v>240</v>
      </c>
      <c r="AQ90" t="s">
        <v>876</v>
      </c>
      <c r="AR90" t="s">
        <v>873</v>
      </c>
      <c r="AS90" t="s">
        <v>964</v>
      </c>
    </row>
    <row r="91" spans="35:45" ht="15" customHeight="1" x14ac:dyDescent="0.25">
      <c r="AI91" t="s">
        <v>3</v>
      </c>
      <c r="AJ91" t="s">
        <v>861</v>
      </c>
      <c r="AK91" s="12">
        <v>46085.619999999981</v>
      </c>
      <c r="AM91" t="s">
        <v>875</v>
      </c>
      <c r="AN91" s="5">
        <v>0</v>
      </c>
      <c r="AO91" t="s">
        <v>872</v>
      </c>
      <c r="AP91" s="127" t="s">
        <v>240</v>
      </c>
      <c r="AQ91" t="s">
        <v>876</v>
      </c>
      <c r="AR91" t="s">
        <v>873</v>
      </c>
      <c r="AS91" t="s">
        <v>965</v>
      </c>
    </row>
    <row r="92" spans="35:45" ht="15" customHeight="1" x14ac:dyDescent="0.25">
      <c r="AI92" t="s">
        <v>3</v>
      </c>
      <c r="AJ92" t="s">
        <v>861</v>
      </c>
      <c r="AK92" s="12">
        <v>46116.039999999979</v>
      </c>
      <c r="AM92" t="s">
        <v>875</v>
      </c>
      <c r="AN92" s="5">
        <v>0</v>
      </c>
      <c r="AO92" t="s">
        <v>872</v>
      </c>
      <c r="AP92" s="127" t="s">
        <v>240</v>
      </c>
      <c r="AQ92" t="s">
        <v>876</v>
      </c>
      <c r="AR92" t="s">
        <v>873</v>
      </c>
      <c r="AS92" t="s">
        <v>966</v>
      </c>
    </row>
    <row r="93" spans="35:45" x14ac:dyDescent="0.25">
      <c r="AI93" t="s">
        <v>3</v>
      </c>
      <c r="AJ93" t="s">
        <v>861</v>
      </c>
      <c r="AK93" s="12">
        <v>46146.459999999977</v>
      </c>
      <c r="AM93" t="s">
        <v>875</v>
      </c>
      <c r="AN93" s="5">
        <v>0</v>
      </c>
      <c r="AO93" t="s">
        <v>872</v>
      </c>
      <c r="AP93" s="127" t="s">
        <v>240</v>
      </c>
      <c r="AQ93" t="s">
        <v>876</v>
      </c>
      <c r="AR93" t="s">
        <v>873</v>
      </c>
      <c r="AS93" t="s">
        <v>967</v>
      </c>
    </row>
    <row r="94" spans="35:45" x14ac:dyDescent="0.25">
      <c r="AI94" t="s">
        <v>3</v>
      </c>
      <c r="AJ94" t="s">
        <v>861</v>
      </c>
      <c r="AK94" s="12">
        <v>46176.879999999976</v>
      </c>
      <c r="AM94" t="s">
        <v>875</v>
      </c>
      <c r="AN94" s="5">
        <v>0</v>
      </c>
      <c r="AO94" t="s">
        <v>872</v>
      </c>
      <c r="AP94" s="127" t="s">
        <v>240</v>
      </c>
      <c r="AQ94" t="s">
        <v>876</v>
      </c>
      <c r="AR94" t="s">
        <v>873</v>
      </c>
      <c r="AS94" t="s">
        <v>968</v>
      </c>
    </row>
    <row r="95" spans="35:45" x14ac:dyDescent="0.25">
      <c r="AI95" t="s">
        <v>3</v>
      </c>
      <c r="AJ95" t="s">
        <v>861</v>
      </c>
      <c r="AK95" s="12">
        <v>46207.299999999974</v>
      </c>
      <c r="AM95" t="s">
        <v>875</v>
      </c>
      <c r="AN95" s="5">
        <v>0</v>
      </c>
      <c r="AO95" t="s">
        <v>872</v>
      </c>
      <c r="AP95" s="127" t="s">
        <v>240</v>
      </c>
      <c r="AQ95" t="s">
        <v>876</v>
      </c>
      <c r="AR95" t="s">
        <v>873</v>
      </c>
      <c r="AS95" t="s">
        <v>969</v>
      </c>
    </row>
    <row r="96" spans="35:45" x14ac:dyDescent="0.25">
      <c r="AI96" t="s">
        <v>3</v>
      </c>
      <c r="AJ96" t="s">
        <v>861</v>
      </c>
      <c r="AK96" s="12">
        <v>46237.719999999972</v>
      </c>
      <c r="AM96" t="s">
        <v>875</v>
      </c>
      <c r="AN96" s="5">
        <v>0</v>
      </c>
      <c r="AO96" t="s">
        <v>872</v>
      </c>
      <c r="AP96" s="127" t="s">
        <v>240</v>
      </c>
      <c r="AQ96" t="s">
        <v>876</v>
      </c>
      <c r="AR96" t="s">
        <v>873</v>
      </c>
      <c r="AS96" t="s">
        <v>970</v>
      </c>
    </row>
    <row r="97" spans="35:45" x14ac:dyDescent="0.25">
      <c r="AI97" t="s">
        <v>3</v>
      </c>
      <c r="AJ97" t="s">
        <v>861</v>
      </c>
      <c r="AK97" s="12">
        <v>46268.13999999997</v>
      </c>
      <c r="AM97" t="s">
        <v>875</v>
      </c>
      <c r="AN97" s="5">
        <v>0</v>
      </c>
      <c r="AO97" t="s">
        <v>872</v>
      </c>
      <c r="AP97" s="127" t="s">
        <v>240</v>
      </c>
      <c r="AQ97" t="s">
        <v>876</v>
      </c>
      <c r="AR97" t="s">
        <v>873</v>
      </c>
      <c r="AS97" t="s">
        <v>971</v>
      </c>
    </row>
    <row r="98" spans="35:45" x14ac:dyDescent="0.25">
      <c r="AI98" t="s">
        <v>3</v>
      </c>
      <c r="AJ98" t="s">
        <v>861</v>
      </c>
      <c r="AK98" s="12">
        <v>46298.559999999969</v>
      </c>
      <c r="AM98" t="s">
        <v>875</v>
      </c>
      <c r="AN98" s="5">
        <v>0</v>
      </c>
      <c r="AO98" t="s">
        <v>872</v>
      </c>
      <c r="AP98" s="127" t="s">
        <v>240</v>
      </c>
      <c r="AQ98" t="s">
        <v>876</v>
      </c>
      <c r="AR98" t="s">
        <v>873</v>
      </c>
      <c r="AS98" t="s">
        <v>972</v>
      </c>
    </row>
    <row r="99" spans="35:45" x14ac:dyDescent="0.25">
      <c r="AI99" t="s">
        <v>3</v>
      </c>
      <c r="AJ99" t="s">
        <v>580</v>
      </c>
      <c r="AK99" s="12">
        <v>45751</v>
      </c>
      <c r="AM99" t="s">
        <v>875</v>
      </c>
      <c r="AN99" s="5"/>
      <c r="AO99" t="s">
        <v>872</v>
      </c>
      <c r="AP99" s="127" t="s">
        <v>240</v>
      </c>
      <c r="AQ99" t="s">
        <v>876</v>
      </c>
      <c r="AR99" t="s">
        <v>873</v>
      </c>
      <c r="AS99" t="s">
        <v>973</v>
      </c>
    </row>
    <row r="100" spans="35:45" x14ac:dyDescent="0.25">
      <c r="AI100" t="s">
        <v>3</v>
      </c>
      <c r="AJ100" t="s">
        <v>580</v>
      </c>
      <c r="AK100" s="12">
        <v>45781.42</v>
      </c>
      <c r="AM100" t="s">
        <v>875</v>
      </c>
      <c r="AN100" s="5" t="s">
        <v>143</v>
      </c>
      <c r="AO100" t="s">
        <v>872</v>
      </c>
      <c r="AP100" s="127" t="s">
        <v>240</v>
      </c>
      <c r="AQ100" t="s">
        <v>876</v>
      </c>
      <c r="AR100" t="s">
        <v>873</v>
      </c>
      <c r="AS100" t="s">
        <v>974</v>
      </c>
    </row>
    <row r="101" spans="35:45" x14ac:dyDescent="0.25">
      <c r="AI101" t="s">
        <v>3</v>
      </c>
      <c r="AJ101" t="s">
        <v>580</v>
      </c>
      <c r="AK101" s="12">
        <v>45811.839999999997</v>
      </c>
      <c r="AM101" t="s">
        <v>875</v>
      </c>
      <c r="AN101" s="5" t="s">
        <v>143</v>
      </c>
      <c r="AO101" t="s">
        <v>872</v>
      </c>
      <c r="AP101" s="127" t="s">
        <v>240</v>
      </c>
      <c r="AQ101" t="s">
        <v>876</v>
      </c>
      <c r="AR101" t="s">
        <v>873</v>
      </c>
      <c r="AS101" t="s">
        <v>975</v>
      </c>
    </row>
    <row r="102" spans="35:45" x14ac:dyDescent="0.25">
      <c r="AI102" t="s">
        <v>3</v>
      </c>
      <c r="AJ102" t="s">
        <v>580</v>
      </c>
      <c r="AK102" s="12">
        <v>45842.259999999995</v>
      </c>
      <c r="AM102" t="s">
        <v>875</v>
      </c>
      <c r="AN102" s="5" t="s">
        <v>143</v>
      </c>
      <c r="AO102" t="s">
        <v>872</v>
      </c>
      <c r="AP102" s="127" t="s">
        <v>240</v>
      </c>
      <c r="AQ102" t="s">
        <v>876</v>
      </c>
      <c r="AR102" t="s">
        <v>873</v>
      </c>
      <c r="AS102" t="s">
        <v>976</v>
      </c>
    </row>
    <row r="103" spans="35:45" x14ac:dyDescent="0.25">
      <c r="AI103" t="s">
        <v>3</v>
      </c>
      <c r="AJ103" t="s">
        <v>580</v>
      </c>
      <c r="AK103" s="12">
        <v>45872.679999999993</v>
      </c>
      <c r="AM103" t="s">
        <v>875</v>
      </c>
      <c r="AN103" s="5" t="s">
        <v>143</v>
      </c>
      <c r="AO103" t="s">
        <v>872</v>
      </c>
      <c r="AP103" s="127" t="s">
        <v>240</v>
      </c>
      <c r="AQ103" t="s">
        <v>876</v>
      </c>
      <c r="AR103" t="s">
        <v>873</v>
      </c>
      <c r="AS103" t="s">
        <v>977</v>
      </c>
    </row>
    <row r="104" spans="35:45" x14ac:dyDescent="0.25">
      <c r="AI104" t="s">
        <v>3</v>
      </c>
      <c r="AJ104" t="s">
        <v>580</v>
      </c>
      <c r="AK104" s="12">
        <v>45903.099999999991</v>
      </c>
      <c r="AM104" t="s">
        <v>875</v>
      </c>
      <c r="AN104" s="5" t="s">
        <v>143</v>
      </c>
      <c r="AO104" t="s">
        <v>872</v>
      </c>
      <c r="AP104" s="127" t="s">
        <v>240</v>
      </c>
      <c r="AQ104" t="s">
        <v>876</v>
      </c>
      <c r="AR104" t="s">
        <v>873</v>
      </c>
      <c r="AS104" t="s">
        <v>978</v>
      </c>
    </row>
    <row r="105" spans="35:45" x14ac:dyDescent="0.25">
      <c r="AI105" t="s">
        <v>3</v>
      </c>
      <c r="AJ105" t="s">
        <v>580</v>
      </c>
      <c r="AK105" s="12">
        <v>45933.51999999999</v>
      </c>
      <c r="AM105" t="s">
        <v>875</v>
      </c>
      <c r="AN105" s="5">
        <v>0</v>
      </c>
      <c r="AO105" t="s">
        <v>872</v>
      </c>
      <c r="AP105" s="127" t="s">
        <v>240</v>
      </c>
      <c r="AQ105" t="s">
        <v>876</v>
      </c>
      <c r="AR105" t="s">
        <v>873</v>
      </c>
      <c r="AS105" t="s">
        <v>979</v>
      </c>
    </row>
    <row r="106" spans="35:45" x14ac:dyDescent="0.25">
      <c r="AI106" t="s">
        <v>3</v>
      </c>
      <c r="AJ106" t="s">
        <v>580</v>
      </c>
      <c r="AK106" s="12">
        <v>45963.939999999988</v>
      </c>
      <c r="AM106" t="s">
        <v>875</v>
      </c>
      <c r="AN106" s="5">
        <v>0</v>
      </c>
      <c r="AO106" t="s">
        <v>872</v>
      </c>
      <c r="AP106" s="127" t="s">
        <v>240</v>
      </c>
      <c r="AQ106" t="s">
        <v>876</v>
      </c>
      <c r="AR106" t="s">
        <v>873</v>
      </c>
      <c r="AS106" t="s">
        <v>980</v>
      </c>
    </row>
    <row r="107" spans="35:45" x14ac:dyDescent="0.25">
      <c r="AI107" t="s">
        <v>3</v>
      </c>
      <c r="AJ107" t="s">
        <v>580</v>
      </c>
      <c r="AK107" s="12">
        <v>45994.359999999986</v>
      </c>
      <c r="AM107" t="s">
        <v>875</v>
      </c>
      <c r="AN107" s="5">
        <v>0</v>
      </c>
      <c r="AO107" t="s">
        <v>872</v>
      </c>
      <c r="AP107" s="127" t="s">
        <v>240</v>
      </c>
      <c r="AQ107" t="s">
        <v>876</v>
      </c>
      <c r="AR107" t="s">
        <v>873</v>
      </c>
      <c r="AS107" t="s">
        <v>981</v>
      </c>
    </row>
    <row r="108" spans="35:45" x14ac:dyDescent="0.25">
      <c r="AI108" t="s">
        <v>3</v>
      </c>
      <c r="AJ108" t="s">
        <v>580</v>
      </c>
      <c r="AK108" s="12">
        <v>46024.779999999984</v>
      </c>
      <c r="AM108" t="s">
        <v>875</v>
      </c>
      <c r="AN108" s="5">
        <v>0</v>
      </c>
      <c r="AO108" t="s">
        <v>872</v>
      </c>
      <c r="AP108" s="127" t="s">
        <v>240</v>
      </c>
      <c r="AQ108" t="s">
        <v>876</v>
      </c>
      <c r="AR108" t="s">
        <v>873</v>
      </c>
      <c r="AS108" t="s">
        <v>982</v>
      </c>
    </row>
    <row r="109" spans="35:45" x14ac:dyDescent="0.25">
      <c r="AI109" t="s">
        <v>3</v>
      </c>
      <c r="AJ109" t="s">
        <v>580</v>
      </c>
      <c r="AK109" s="12">
        <v>46055.199999999983</v>
      </c>
      <c r="AM109" t="s">
        <v>875</v>
      </c>
      <c r="AN109" s="5">
        <v>0</v>
      </c>
      <c r="AO109" t="s">
        <v>872</v>
      </c>
      <c r="AP109" s="127" t="s">
        <v>240</v>
      </c>
      <c r="AQ109" t="s">
        <v>876</v>
      </c>
      <c r="AR109" t="s">
        <v>873</v>
      </c>
      <c r="AS109" t="s">
        <v>983</v>
      </c>
    </row>
    <row r="110" spans="35:45" x14ac:dyDescent="0.25">
      <c r="AI110" t="s">
        <v>3</v>
      </c>
      <c r="AJ110" t="s">
        <v>580</v>
      </c>
      <c r="AK110" s="12">
        <v>46085.619999999981</v>
      </c>
      <c r="AM110" t="s">
        <v>875</v>
      </c>
      <c r="AN110" s="5">
        <v>0</v>
      </c>
      <c r="AO110" t="s">
        <v>872</v>
      </c>
      <c r="AP110" s="127" t="s">
        <v>240</v>
      </c>
      <c r="AQ110" t="s">
        <v>876</v>
      </c>
      <c r="AR110" t="s">
        <v>873</v>
      </c>
      <c r="AS110" t="s">
        <v>984</v>
      </c>
    </row>
    <row r="111" spans="35:45" x14ac:dyDescent="0.25">
      <c r="AI111" t="s">
        <v>3</v>
      </c>
      <c r="AJ111" t="s">
        <v>580</v>
      </c>
      <c r="AK111" s="12">
        <v>46116.039999999979</v>
      </c>
      <c r="AM111" t="s">
        <v>875</v>
      </c>
      <c r="AN111" s="5">
        <v>0</v>
      </c>
      <c r="AO111" t="s">
        <v>872</v>
      </c>
      <c r="AP111" s="127" t="s">
        <v>240</v>
      </c>
      <c r="AQ111" t="s">
        <v>876</v>
      </c>
      <c r="AR111" t="s">
        <v>873</v>
      </c>
      <c r="AS111" t="s">
        <v>985</v>
      </c>
    </row>
    <row r="112" spans="35:45" x14ac:dyDescent="0.25">
      <c r="AI112" t="s">
        <v>3</v>
      </c>
      <c r="AJ112" t="s">
        <v>580</v>
      </c>
      <c r="AK112" s="12">
        <v>46146.459999999977</v>
      </c>
      <c r="AM112" t="s">
        <v>875</v>
      </c>
      <c r="AN112" s="5">
        <v>0</v>
      </c>
      <c r="AO112" t="s">
        <v>872</v>
      </c>
      <c r="AP112" s="127" t="s">
        <v>240</v>
      </c>
      <c r="AQ112" t="s">
        <v>876</v>
      </c>
      <c r="AR112" t="s">
        <v>873</v>
      </c>
      <c r="AS112" t="s">
        <v>986</v>
      </c>
    </row>
    <row r="113" spans="35:45" x14ac:dyDescent="0.25">
      <c r="AI113" t="s">
        <v>3</v>
      </c>
      <c r="AJ113" t="s">
        <v>580</v>
      </c>
      <c r="AK113" s="12">
        <v>46176.879999999976</v>
      </c>
      <c r="AM113" t="s">
        <v>875</v>
      </c>
      <c r="AN113" s="5">
        <v>0</v>
      </c>
      <c r="AO113" t="s">
        <v>872</v>
      </c>
      <c r="AP113" s="127" t="s">
        <v>240</v>
      </c>
      <c r="AQ113" t="s">
        <v>876</v>
      </c>
      <c r="AR113" t="s">
        <v>873</v>
      </c>
      <c r="AS113" t="s">
        <v>987</v>
      </c>
    </row>
    <row r="114" spans="35:45" x14ac:dyDescent="0.25">
      <c r="AI114" t="s">
        <v>3</v>
      </c>
      <c r="AJ114" t="s">
        <v>580</v>
      </c>
      <c r="AK114" s="12">
        <v>46207.299999999974</v>
      </c>
      <c r="AM114" t="s">
        <v>875</v>
      </c>
      <c r="AN114" s="5">
        <v>0</v>
      </c>
      <c r="AO114" t="s">
        <v>872</v>
      </c>
      <c r="AP114" s="127" t="s">
        <v>240</v>
      </c>
      <c r="AQ114" t="s">
        <v>876</v>
      </c>
      <c r="AR114" t="s">
        <v>873</v>
      </c>
      <c r="AS114" t="s">
        <v>988</v>
      </c>
    </row>
    <row r="115" spans="35:45" x14ac:dyDescent="0.25">
      <c r="AI115" t="s">
        <v>3</v>
      </c>
      <c r="AJ115" t="s">
        <v>580</v>
      </c>
      <c r="AK115" s="12">
        <v>46237.719999999972</v>
      </c>
      <c r="AM115" t="s">
        <v>875</v>
      </c>
      <c r="AN115" s="5">
        <v>0</v>
      </c>
      <c r="AO115" t="s">
        <v>872</v>
      </c>
      <c r="AP115" s="127" t="s">
        <v>240</v>
      </c>
      <c r="AQ115" t="s">
        <v>876</v>
      </c>
      <c r="AR115" t="s">
        <v>873</v>
      </c>
      <c r="AS115" t="s">
        <v>989</v>
      </c>
    </row>
    <row r="116" spans="35:45" x14ac:dyDescent="0.25">
      <c r="AI116" t="s">
        <v>3</v>
      </c>
      <c r="AJ116" t="s">
        <v>580</v>
      </c>
      <c r="AK116" s="12">
        <v>46268.13999999997</v>
      </c>
      <c r="AM116" t="s">
        <v>875</v>
      </c>
      <c r="AN116" s="5">
        <v>0</v>
      </c>
      <c r="AO116" t="s">
        <v>872</v>
      </c>
      <c r="AP116" s="127" t="s">
        <v>240</v>
      </c>
      <c r="AQ116" t="s">
        <v>876</v>
      </c>
      <c r="AR116" t="s">
        <v>873</v>
      </c>
      <c r="AS116" t="s">
        <v>990</v>
      </c>
    </row>
    <row r="117" spans="35:45" x14ac:dyDescent="0.25">
      <c r="AI117" t="s">
        <v>3</v>
      </c>
      <c r="AJ117" t="s">
        <v>580</v>
      </c>
      <c r="AK117" s="12">
        <v>46298.559999999969</v>
      </c>
      <c r="AM117" t="s">
        <v>875</v>
      </c>
      <c r="AN117" s="5">
        <v>0</v>
      </c>
      <c r="AO117" t="s">
        <v>872</v>
      </c>
      <c r="AP117" s="127" t="s">
        <v>240</v>
      </c>
      <c r="AQ117" t="s">
        <v>876</v>
      </c>
      <c r="AR117" t="s">
        <v>873</v>
      </c>
      <c r="AS117" t="s">
        <v>991</v>
      </c>
    </row>
    <row r="118" spans="35:45" x14ac:dyDescent="0.25">
      <c r="AI118" t="s">
        <v>3</v>
      </c>
      <c r="AJ118" t="s">
        <v>628</v>
      </c>
      <c r="AK118" s="12">
        <v>45170</v>
      </c>
      <c r="AM118" t="s">
        <v>875</v>
      </c>
      <c r="AN118" s="5">
        <v>893</v>
      </c>
      <c r="AO118" t="s">
        <v>872</v>
      </c>
      <c r="AP118" s="127" t="s">
        <v>240</v>
      </c>
      <c r="AQ118" t="s">
        <v>876</v>
      </c>
      <c r="AR118" t="s">
        <v>873</v>
      </c>
      <c r="AS118" t="s">
        <v>992</v>
      </c>
    </row>
    <row r="119" spans="35:45" x14ac:dyDescent="0.25">
      <c r="AI119" t="s">
        <v>3</v>
      </c>
      <c r="AJ119" t="s">
        <v>628</v>
      </c>
      <c r="AK119" s="12">
        <v>45536</v>
      </c>
      <c r="AM119" t="s">
        <v>875</v>
      </c>
      <c r="AN119" s="5">
        <v>2453</v>
      </c>
      <c r="AO119" t="s">
        <v>872</v>
      </c>
      <c r="AP119" s="127" t="s">
        <v>240</v>
      </c>
      <c r="AQ119" t="s">
        <v>876</v>
      </c>
      <c r="AR119" t="s">
        <v>873</v>
      </c>
      <c r="AS119" t="s">
        <v>993</v>
      </c>
    </row>
    <row r="120" spans="35:45" x14ac:dyDescent="0.25">
      <c r="AI120" t="s">
        <v>3</v>
      </c>
      <c r="AJ120" t="s">
        <v>628</v>
      </c>
      <c r="AK120" s="12">
        <v>45901</v>
      </c>
      <c r="AM120" t="s">
        <v>875</v>
      </c>
      <c r="AN120" s="5">
        <v>2557.71</v>
      </c>
      <c r="AO120" t="s">
        <v>872</v>
      </c>
      <c r="AP120" s="127" t="s">
        <v>240</v>
      </c>
      <c r="AQ120" t="s">
        <v>876</v>
      </c>
      <c r="AR120" t="s">
        <v>873</v>
      </c>
      <c r="AS120" t="s">
        <v>994</v>
      </c>
    </row>
    <row r="121" spans="35:45" x14ac:dyDescent="0.25">
      <c r="AI121" t="s">
        <v>3</v>
      </c>
      <c r="AJ121" t="s">
        <v>628</v>
      </c>
      <c r="AK121" s="12">
        <v>46266</v>
      </c>
      <c r="AM121" t="s">
        <v>875</v>
      </c>
      <c r="AN121" s="5">
        <v>0</v>
      </c>
      <c r="AO121" t="s">
        <v>872</v>
      </c>
      <c r="AP121" s="127" t="s">
        <v>240</v>
      </c>
      <c r="AQ121" t="s">
        <v>876</v>
      </c>
      <c r="AR121" t="s">
        <v>873</v>
      </c>
      <c r="AS121" t="s">
        <v>995</v>
      </c>
    </row>
    <row r="122" spans="35:45" x14ac:dyDescent="0.25">
      <c r="AI122" t="s">
        <v>3</v>
      </c>
      <c r="AJ122" t="s">
        <v>628</v>
      </c>
      <c r="AK122" s="12">
        <v>46631</v>
      </c>
      <c r="AM122" t="s">
        <v>875</v>
      </c>
      <c r="AN122" s="5">
        <v>0</v>
      </c>
      <c r="AO122" t="s">
        <v>872</v>
      </c>
      <c r="AP122" s="127" t="s">
        <v>240</v>
      </c>
      <c r="AQ122" t="s">
        <v>876</v>
      </c>
      <c r="AR122" t="s">
        <v>873</v>
      </c>
      <c r="AS122" t="s">
        <v>996</v>
      </c>
    </row>
    <row r="123" spans="35:45" x14ac:dyDescent="0.25">
      <c r="AI123" t="s">
        <v>3</v>
      </c>
      <c r="AJ123" t="s">
        <v>628</v>
      </c>
      <c r="AK123" s="12">
        <v>46996</v>
      </c>
      <c r="AM123" t="s">
        <v>875</v>
      </c>
      <c r="AN123" s="5">
        <v>0</v>
      </c>
      <c r="AO123" t="s">
        <v>872</v>
      </c>
      <c r="AP123" s="127" t="s">
        <v>240</v>
      </c>
      <c r="AQ123" t="s">
        <v>876</v>
      </c>
      <c r="AR123" t="s">
        <v>873</v>
      </c>
      <c r="AS123" t="s">
        <v>997</v>
      </c>
    </row>
    <row r="124" spans="35:45" x14ac:dyDescent="0.25">
      <c r="AI124" t="s">
        <v>3</v>
      </c>
      <c r="AJ124" t="s">
        <v>628</v>
      </c>
      <c r="AK124" s="12">
        <v>47361</v>
      </c>
      <c r="AM124" t="s">
        <v>875</v>
      </c>
      <c r="AN124" s="5">
        <v>0</v>
      </c>
      <c r="AO124" t="s">
        <v>872</v>
      </c>
      <c r="AP124" s="127" t="s">
        <v>240</v>
      </c>
      <c r="AQ124" t="s">
        <v>876</v>
      </c>
      <c r="AR124" t="s">
        <v>873</v>
      </c>
      <c r="AS124" t="s">
        <v>998</v>
      </c>
    </row>
    <row r="125" spans="35:45" x14ac:dyDescent="0.25">
      <c r="AI125" t="s">
        <v>3</v>
      </c>
      <c r="AJ125" t="s">
        <v>628</v>
      </c>
      <c r="AK125" s="12">
        <v>47726</v>
      </c>
      <c r="AM125" t="s">
        <v>875</v>
      </c>
      <c r="AN125" s="5">
        <v>0</v>
      </c>
      <c r="AO125" t="s">
        <v>872</v>
      </c>
      <c r="AP125" s="127" t="s">
        <v>240</v>
      </c>
      <c r="AQ125" t="s">
        <v>876</v>
      </c>
      <c r="AR125" t="s">
        <v>873</v>
      </c>
      <c r="AS125" t="s">
        <v>999</v>
      </c>
    </row>
    <row r="126" spans="35:45" x14ac:dyDescent="0.25">
      <c r="AI126" t="s">
        <v>3</v>
      </c>
      <c r="AJ126" t="s">
        <v>628</v>
      </c>
      <c r="AK126" s="12">
        <v>48091</v>
      </c>
      <c r="AM126" t="s">
        <v>875</v>
      </c>
      <c r="AN126" s="5">
        <v>0</v>
      </c>
      <c r="AO126" t="s">
        <v>872</v>
      </c>
      <c r="AP126" s="127" t="s">
        <v>240</v>
      </c>
      <c r="AQ126" t="s">
        <v>876</v>
      </c>
      <c r="AR126" t="s">
        <v>873</v>
      </c>
      <c r="AS126" t="s">
        <v>1000</v>
      </c>
    </row>
    <row r="127" spans="35:45" x14ac:dyDescent="0.25">
      <c r="AI127" t="s">
        <v>3</v>
      </c>
      <c r="AJ127" t="s">
        <v>628</v>
      </c>
      <c r="AK127" s="12">
        <v>48456</v>
      </c>
      <c r="AM127" t="s">
        <v>875</v>
      </c>
      <c r="AN127" s="5">
        <v>0</v>
      </c>
      <c r="AO127" t="s">
        <v>872</v>
      </c>
      <c r="AP127" s="127" t="s">
        <v>240</v>
      </c>
      <c r="AQ127" t="s">
        <v>876</v>
      </c>
      <c r="AR127" t="s">
        <v>873</v>
      </c>
      <c r="AS127" t="s">
        <v>1001</v>
      </c>
    </row>
    <row r="128" spans="35:45" x14ac:dyDescent="0.25">
      <c r="AI128" t="s">
        <v>3</v>
      </c>
      <c r="AJ128" t="s">
        <v>628</v>
      </c>
      <c r="AK128" s="12">
        <v>48821</v>
      </c>
      <c r="AM128" t="s">
        <v>875</v>
      </c>
      <c r="AN128" s="5">
        <v>0</v>
      </c>
      <c r="AO128" t="s">
        <v>872</v>
      </c>
      <c r="AP128" s="127" t="s">
        <v>240</v>
      </c>
      <c r="AQ128" t="s">
        <v>876</v>
      </c>
      <c r="AR128" t="s">
        <v>873</v>
      </c>
      <c r="AS128" t="s">
        <v>1002</v>
      </c>
    </row>
    <row r="129" spans="35:45" x14ac:dyDescent="0.25">
      <c r="AI129" t="s">
        <v>3</v>
      </c>
      <c r="AJ129" t="s">
        <v>628</v>
      </c>
      <c r="AK129" s="12">
        <v>49186</v>
      </c>
      <c r="AM129" t="s">
        <v>875</v>
      </c>
      <c r="AN129" s="5">
        <v>0</v>
      </c>
      <c r="AO129" t="s">
        <v>872</v>
      </c>
      <c r="AP129" s="127" t="s">
        <v>240</v>
      </c>
      <c r="AQ129" t="s">
        <v>876</v>
      </c>
      <c r="AR129" t="s">
        <v>873</v>
      </c>
      <c r="AS129" t="s">
        <v>1003</v>
      </c>
    </row>
    <row r="130" spans="35:45" x14ac:dyDescent="0.25">
      <c r="AI130" t="s">
        <v>3</v>
      </c>
      <c r="AJ130" t="s">
        <v>628</v>
      </c>
      <c r="AK130" s="12">
        <v>49551</v>
      </c>
      <c r="AM130" t="s">
        <v>875</v>
      </c>
      <c r="AN130" s="5">
        <v>0</v>
      </c>
      <c r="AO130" t="s">
        <v>872</v>
      </c>
      <c r="AP130" s="127" t="s">
        <v>240</v>
      </c>
      <c r="AQ130" t="s">
        <v>876</v>
      </c>
      <c r="AR130" t="s">
        <v>873</v>
      </c>
      <c r="AS130" t="s">
        <v>1004</v>
      </c>
    </row>
    <row r="131" spans="35:45" x14ac:dyDescent="0.25">
      <c r="AI131" t="s">
        <v>3</v>
      </c>
      <c r="AJ131" t="s">
        <v>628</v>
      </c>
      <c r="AK131" s="12">
        <v>49916</v>
      </c>
      <c r="AM131" t="s">
        <v>875</v>
      </c>
      <c r="AN131" s="5">
        <v>0</v>
      </c>
      <c r="AO131" t="s">
        <v>872</v>
      </c>
      <c r="AP131" s="127" t="s">
        <v>240</v>
      </c>
      <c r="AQ131" t="s">
        <v>876</v>
      </c>
      <c r="AR131" t="s">
        <v>873</v>
      </c>
      <c r="AS131" t="s">
        <v>1005</v>
      </c>
    </row>
    <row r="132" spans="35:45" x14ac:dyDescent="0.25">
      <c r="AI132" t="s">
        <v>3</v>
      </c>
      <c r="AJ132" t="s">
        <v>628</v>
      </c>
      <c r="AK132" s="12">
        <v>50281</v>
      </c>
      <c r="AM132" t="s">
        <v>875</v>
      </c>
      <c r="AN132" s="5">
        <v>0</v>
      </c>
      <c r="AO132" t="s">
        <v>872</v>
      </c>
      <c r="AP132" s="127" t="s">
        <v>240</v>
      </c>
      <c r="AQ132" t="s">
        <v>876</v>
      </c>
      <c r="AR132" t="s">
        <v>873</v>
      </c>
      <c r="AS132" t="s">
        <v>1006</v>
      </c>
    </row>
    <row r="133" spans="35:45" x14ac:dyDescent="0.25">
      <c r="AI133" t="s">
        <v>3</v>
      </c>
      <c r="AJ133" t="s">
        <v>628</v>
      </c>
      <c r="AK133" s="12">
        <v>50646</v>
      </c>
      <c r="AM133" t="s">
        <v>875</v>
      </c>
      <c r="AN133" s="5">
        <v>0</v>
      </c>
      <c r="AO133" t="s">
        <v>872</v>
      </c>
      <c r="AP133" s="127" t="s">
        <v>240</v>
      </c>
      <c r="AQ133" t="s">
        <v>876</v>
      </c>
      <c r="AR133" t="s">
        <v>873</v>
      </c>
      <c r="AS133" t="s">
        <v>1007</v>
      </c>
    </row>
    <row r="134" spans="35:45" x14ac:dyDescent="0.25">
      <c r="AI134" t="s">
        <v>3</v>
      </c>
      <c r="AJ134" t="s">
        <v>628</v>
      </c>
      <c r="AK134" s="12">
        <v>51011</v>
      </c>
      <c r="AM134" t="s">
        <v>875</v>
      </c>
      <c r="AN134" s="5">
        <v>0</v>
      </c>
      <c r="AO134" t="s">
        <v>872</v>
      </c>
      <c r="AP134" s="127" t="s">
        <v>240</v>
      </c>
      <c r="AQ134" t="s">
        <v>876</v>
      </c>
      <c r="AR134" t="s">
        <v>873</v>
      </c>
      <c r="AS134" t="s">
        <v>1008</v>
      </c>
    </row>
    <row r="135" spans="35:45" x14ac:dyDescent="0.25">
      <c r="AI135" t="s">
        <v>3</v>
      </c>
      <c r="AJ135" t="s">
        <v>628</v>
      </c>
      <c r="AK135" s="12">
        <v>51376</v>
      </c>
      <c r="AM135" t="s">
        <v>875</v>
      </c>
      <c r="AN135" s="5">
        <v>0</v>
      </c>
      <c r="AO135" t="s">
        <v>872</v>
      </c>
      <c r="AP135" s="127" t="s">
        <v>240</v>
      </c>
      <c r="AQ135" t="s">
        <v>876</v>
      </c>
      <c r="AR135" t="s">
        <v>873</v>
      </c>
      <c r="AS135" t="s">
        <v>1009</v>
      </c>
    </row>
    <row r="136" spans="35:45" x14ac:dyDescent="0.25">
      <c r="AI136" t="s">
        <v>3</v>
      </c>
      <c r="AJ136" t="s">
        <v>628</v>
      </c>
      <c r="AK136" s="12">
        <v>51741</v>
      </c>
      <c r="AM136" t="s">
        <v>875</v>
      </c>
      <c r="AN136" s="5">
        <v>0</v>
      </c>
      <c r="AO136" t="s">
        <v>872</v>
      </c>
      <c r="AP136" s="127" t="s">
        <v>240</v>
      </c>
      <c r="AQ136" t="s">
        <v>876</v>
      </c>
      <c r="AR136" t="s">
        <v>873</v>
      </c>
      <c r="AS136" t="s">
        <v>1010</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914" t="e">
        <f>"Preassigned Rows Indicating Payment or Scheduling by " &amp;Profit!#REF!&amp;" Your Home"</f>
        <v>#REF!</v>
      </c>
      <c r="C2" s="915"/>
      <c r="E2" s="54"/>
    </row>
    <row r="3" spans="1:13" ht="15.75" hidden="1" thickBot="1" x14ac:dyDescent="0.3">
      <c r="B3" s="916"/>
      <c r="C3" s="917"/>
      <c r="E3" s="54"/>
    </row>
    <row r="4" spans="1:13" hidden="1" x14ac:dyDescent="0.25">
      <c r="B4" s="922" t="s">
        <v>168</v>
      </c>
      <c r="C4" s="923"/>
      <c r="E4" s="54"/>
    </row>
    <row r="5" spans="1:13" ht="15.75" hidden="1" thickBot="1" x14ac:dyDescent="0.3">
      <c r="B5" s="924"/>
      <c r="C5" s="925"/>
      <c r="E5" s="54"/>
    </row>
    <row r="6" spans="1:13" hidden="1" x14ac:dyDescent="0.25">
      <c r="B6" s="918" t="s">
        <v>169</v>
      </c>
      <c r="C6" s="919"/>
      <c r="E6" s="54"/>
    </row>
    <row r="7" spans="1:13" ht="15.75" hidden="1" thickBot="1" x14ac:dyDescent="0.3">
      <c r="B7" s="920"/>
      <c r="C7" s="921"/>
    </row>
    <row r="8" spans="1:13" hidden="1" x14ac:dyDescent="0.25">
      <c r="B8" s="926" t="s">
        <v>170</v>
      </c>
      <c r="C8" s="927"/>
    </row>
    <row r="9" spans="1:13" ht="15.75" hidden="1" thickBot="1" x14ac:dyDescent="0.3">
      <c r="B9" s="928"/>
      <c r="C9" s="929"/>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0" t="s">
        <v>728</v>
      </c>
      <c r="D21" s="462">
        <v>1</v>
      </c>
      <c r="E21" s="241">
        <v>155</v>
      </c>
    </row>
    <row r="22" spans="1:13" x14ac:dyDescent="0.25">
      <c r="A22" s="224"/>
      <c r="B22" s="224"/>
      <c r="C22" s="224" t="s">
        <v>727</v>
      </c>
      <c r="D22" s="462">
        <v>1</v>
      </c>
      <c r="E22" s="226">
        <v>45</v>
      </c>
    </row>
    <row r="23" spans="1:13" x14ac:dyDescent="0.25">
      <c r="A23" s="224"/>
      <c r="B23" s="220"/>
      <c r="C23" s="220" t="s">
        <v>741</v>
      </c>
      <c r="D23" s="240">
        <v>1</v>
      </c>
      <c r="E23" s="241">
        <v>25</v>
      </c>
    </row>
    <row r="24" spans="1:13" x14ac:dyDescent="0.25">
      <c r="A24" s="220"/>
      <c r="B24" s="220"/>
      <c r="C24" s="220" t="s">
        <v>729</v>
      </c>
      <c r="D24" s="462">
        <v>1</v>
      </c>
      <c r="E24" s="241">
        <v>85</v>
      </c>
    </row>
    <row r="25" spans="1:13" x14ac:dyDescent="0.25">
      <c r="A25" s="220"/>
      <c r="B25" s="220"/>
      <c r="C25" s="220" t="s">
        <v>730</v>
      </c>
      <c r="D25" s="462">
        <v>1</v>
      </c>
      <c r="E25" s="241">
        <v>25</v>
      </c>
    </row>
    <row r="26" spans="1:13" x14ac:dyDescent="0.25">
      <c r="A26" s="220"/>
      <c r="B26" s="220"/>
      <c r="C26" s="220" t="s">
        <v>731</v>
      </c>
      <c r="D26" s="240">
        <v>2</v>
      </c>
      <c r="E26" s="241">
        <v>35</v>
      </c>
    </row>
    <row r="27" spans="1:13" x14ac:dyDescent="0.25">
      <c r="A27" s="220"/>
      <c r="B27" s="220"/>
      <c r="C27" s="220" t="s">
        <v>732</v>
      </c>
      <c r="D27" s="462">
        <v>1</v>
      </c>
      <c r="E27" s="241">
        <v>350</v>
      </c>
    </row>
    <row r="28" spans="1:13" x14ac:dyDescent="0.25">
      <c r="A28" s="220"/>
      <c r="B28" s="220"/>
      <c r="C28" s="220" t="s">
        <v>733</v>
      </c>
      <c r="D28" s="462">
        <v>1</v>
      </c>
      <c r="E28" s="241">
        <v>1200</v>
      </c>
    </row>
    <row r="29" spans="1:13" x14ac:dyDescent="0.25">
      <c r="A29" s="220"/>
      <c r="B29" s="220"/>
      <c r="C29" s="220" t="s">
        <v>734</v>
      </c>
      <c r="D29" s="462">
        <v>1</v>
      </c>
      <c r="E29" s="241">
        <v>110</v>
      </c>
    </row>
    <row r="30" spans="1:13" x14ac:dyDescent="0.25">
      <c r="A30" s="220"/>
      <c r="B30" s="220"/>
      <c r="C30" s="220" t="s">
        <v>735</v>
      </c>
      <c r="D30" s="462">
        <v>1</v>
      </c>
      <c r="E30" s="241">
        <v>215</v>
      </c>
    </row>
    <row r="31" spans="1:13" x14ac:dyDescent="0.25">
      <c r="A31" s="220"/>
      <c r="B31" s="220"/>
      <c r="C31" s="220" t="s">
        <v>736</v>
      </c>
      <c r="D31" s="462">
        <v>1</v>
      </c>
      <c r="E31" s="241">
        <v>1300.0999999999999</v>
      </c>
    </row>
    <row r="32" spans="1:13" x14ac:dyDescent="0.25">
      <c r="A32" s="220"/>
      <c r="B32" s="220"/>
      <c r="C32" s="220" t="s">
        <v>737</v>
      </c>
      <c r="D32" s="462">
        <v>1</v>
      </c>
      <c r="E32" s="241">
        <v>95</v>
      </c>
    </row>
    <row r="33" spans="1:7" x14ac:dyDescent="0.25">
      <c r="A33" s="220"/>
      <c r="B33" s="220"/>
      <c r="C33" s="220" t="s">
        <v>738</v>
      </c>
      <c r="D33" s="462">
        <v>1</v>
      </c>
      <c r="E33" s="241">
        <v>65</v>
      </c>
    </row>
    <row r="34" spans="1:7" x14ac:dyDescent="0.25">
      <c r="A34" s="220"/>
      <c r="B34" s="220"/>
      <c r="C34" s="224" t="s">
        <v>739</v>
      </c>
      <c r="D34" s="462">
        <v>1</v>
      </c>
      <c r="E34" s="241">
        <v>95</v>
      </c>
    </row>
    <row r="35" spans="1:7" x14ac:dyDescent="0.25">
      <c r="A35" s="461"/>
      <c r="B35" s="461"/>
      <c r="C35" s="461" t="s">
        <v>740</v>
      </c>
      <c r="D35" s="462">
        <v>0</v>
      </c>
      <c r="E35" s="464">
        <v>95</v>
      </c>
    </row>
    <row r="36" spans="1:7" x14ac:dyDescent="0.25">
      <c r="A36" s="461"/>
      <c r="B36" s="461"/>
      <c r="C36" s="461" t="s">
        <v>731</v>
      </c>
      <c r="D36" s="462">
        <v>1</v>
      </c>
      <c r="E36" s="464">
        <v>35</v>
      </c>
    </row>
    <row r="37" spans="1:7" x14ac:dyDescent="0.25">
      <c r="A37" s="461"/>
      <c r="B37" s="461"/>
      <c r="C37" s="461" t="s">
        <v>742</v>
      </c>
      <c r="D37" s="462">
        <v>1</v>
      </c>
      <c r="E37" s="464">
        <v>0</v>
      </c>
    </row>
    <row r="38" spans="1:7" x14ac:dyDescent="0.25">
      <c r="A38" s="461"/>
      <c r="B38" s="461"/>
      <c r="C38" s="461" t="s">
        <v>744</v>
      </c>
      <c r="D38" s="462">
        <v>1</v>
      </c>
      <c r="E38" s="464">
        <v>45</v>
      </c>
    </row>
    <row r="39" spans="1:7" x14ac:dyDescent="0.25">
      <c r="A39" s="461"/>
      <c r="B39" s="461"/>
      <c r="C39" s="461" t="s">
        <v>745</v>
      </c>
      <c r="D39" s="462">
        <v>1</v>
      </c>
      <c r="E39" s="464">
        <v>95</v>
      </c>
    </row>
    <row r="40" spans="1:7" x14ac:dyDescent="0.25">
      <c r="A40" s="461"/>
      <c r="B40" s="461"/>
      <c r="C40" s="461" t="s">
        <v>746</v>
      </c>
      <c r="D40" s="462">
        <v>1</v>
      </c>
      <c r="E40" s="464">
        <v>95</v>
      </c>
    </row>
    <row r="41" spans="1:7" x14ac:dyDescent="0.25">
      <c r="A41" s="461"/>
      <c r="B41" s="461"/>
      <c r="C41" s="461" t="s">
        <v>750</v>
      </c>
      <c r="D41" s="462">
        <v>8</v>
      </c>
      <c r="E41" s="464">
        <v>25</v>
      </c>
    </row>
    <row r="42" spans="1:7" x14ac:dyDescent="0.25">
      <c r="A42" s="461"/>
      <c r="B42" s="461"/>
      <c r="C42" s="461" t="s">
        <v>747</v>
      </c>
      <c r="D42" s="462">
        <v>8</v>
      </c>
      <c r="E42" s="464">
        <v>10</v>
      </c>
    </row>
    <row r="43" spans="1:7" x14ac:dyDescent="0.25">
      <c r="A43" s="461"/>
      <c r="B43" s="461"/>
      <c r="C43" s="461" t="s">
        <v>748</v>
      </c>
      <c r="D43" s="462">
        <v>3</v>
      </c>
      <c r="E43" s="464">
        <v>10</v>
      </c>
    </row>
    <row r="44" spans="1:7" x14ac:dyDescent="0.25">
      <c r="A44" s="461"/>
      <c r="B44" s="461"/>
      <c r="C44" s="461" t="s">
        <v>749</v>
      </c>
      <c r="D44" s="462">
        <v>2</v>
      </c>
      <c r="E44" s="464">
        <v>35</v>
      </c>
    </row>
    <row r="45" spans="1:7" x14ac:dyDescent="0.25">
      <c r="A45" s="461"/>
      <c r="B45" s="461"/>
      <c r="C45" s="461" t="s">
        <v>743</v>
      </c>
      <c r="D45" s="462">
        <v>1</v>
      </c>
      <c r="E45" s="464">
        <v>95</v>
      </c>
    </row>
    <row r="46" spans="1:7" x14ac:dyDescent="0.25">
      <c r="A46" s="461"/>
      <c r="B46" s="461"/>
      <c r="C46" s="461" t="s">
        <v>751</v>
      </c>
      <c r="D46" s="462">
        <v>1</v>
      </c>
      <c r="E46" s="464">
        <v>50</v>
      </c>
    </row>
    <row r="47" spans="1:7" s="48" customFormat="1" x14ac:dyDescent="0.25">
      <c r="A47" s="461"/>
      <c r="B47" s="461"/>
      <c r="C47" s="461" t="s">
        <v>807</v>
      </c>
      <c r="D47" s="463">
        <v>1</v>
      </c>
      <c r="E47" s="465">
        <v>48</v>
      </c>
      <c r="G47" s="49"/>
    </row>
    <row r="48" spans="1:7" x14ac:dyDescent="0.25">
      <c r="A48" s="461"/>
      <c r="B48" s="461"/>
      <c r="C48" s="461" t="s">
        <v>808</v>
      </c>
      <c r="D48" s="462">
        <v>1</v>
      </c>
      <c r="E48" s="464">
        <v>80</v>
      </c>
    </row>
    <row r="49" spans="1:5" x14ac:dyDescent="0.25">
      <c r="A49" s="461"/>
      <c r="B49" s="461"/>
      <c r="C49" s="220" t="s">
        <v>829</v>
      </c>
      <c r="D49" s="462">
        <v>1</v>
      </c>
      <c r="E49" s="464">
        <v>139.47</v>
      </c>
    </row>
    <row r="50" spans="1:5" x14ac:dyDescent="0.25">
      <c r="A50" s="461"/>
      <c r="B50" s="461"/>
      <c r="C50" s="461"/>
      <c r="D50" s="462"/>
      <c r="E50" s="464"/>
    </row>
    <row r="51" spans="1:5" x14ac:dyDescent="0.25">
      <c r="A51" s="461"/>
      <c r="B51" s="461"/>
      <c r="C51" s="460"/>
      <c r="D51" s="462"/>
      <c r="E51" s="464"/>
    </row>
    <row r="52" spans="1:5" x14ac:dyDescent="0.25">
      <c r="A52" s="461"/>
      <c r="B52" s="461"/>
      <c r="C52" s="461"/>
      <c r="D52" s="462"/>
      <c r="E52" s="464"/>
    </row>
    <row r="53" spans="1:5" x14ac:dyDescent="0.25">
      <c r="A53" s="461"/>
      <c r="B53" s="461"/>
      <c r="C53" s="461"/>
      <c r="D53" s="462"/>
      <c r="E53" s="464"/>
    </row>
    <row r="54" spans="1:5" x14ac:dyDescent="0.25">
      <c r="A54" s="461"/>
      <c r="B54" s="461"/>
      <c r="C54" s="461"/>
      <c r="D54" s="462"/>
      <c r="E54" s="464"/>
    </row>
    <row r="55" spans="1:5" x14ac:dyDescent="0.25">
      <c r="A55" s="461"/>
      <c r="B55" s="461"/>
      <c r="C55" s="461"/>
      <c r="D55" s="462"/>
      <c r="E55" s="464"/>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F6" sqref="F6"/>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939" t="s">
        <v>192</v>
      </c>
      <c r="B1" s="940"/>
      <c r="C1" s="940"/>
      <c r="D1" s="940"/>
      <c r="E1" s="940"/>
      <c r="F1" s="940"/>
      <c r="G1" s="940"/>
      <c r="H1" s="941"/>
      <c r="I1" s="930" t="s">
        <v>193</v>
      </c>
      <c r="J1" s="931"/>
      <c r="K1" s="931"/>
      <c r="L1" s="931"/>
      <c r="M1" s="931"/>
      <c r="N1" s="932"/>
      <c r="P1" s="30" t="s">
        <v>194</v>
      </c>
      <c r="Q1" s="15">
        <v>1</v>
      </c>
      <c r="R1" s="59" t="s">
        <v>195</v>
      </c>
      <c r="S1" s="15">
        <v>4</v>
      </c>
    </row>
    <row r="2" spans="1:19" x14ac:dyDescent="0.25">
      <c r="A2" s="942"/>
      <c r="B2" s="717"/>
      <c r="C2" s="717"/>
      <c r="D2" s="717"/>
      <c r="E2" s="717"/>
      <c r="F2" s="717"/>
      <c r="G2" s="717"/>
      <c r="H2" s="943"/>
      <c r="I2" s="933"/>
      <c r="J2" s="934"/>
      <c r="K2" s="934"/>
      <c r="L2" s="934"/>
      <c r="M2" s="934"/>
      <c r="N2" s="935"/>
      <c r="P2" s="30" t="s">
        <v>196</v>
      </c>
      <c r="Q2" s="15">
        <v>2</v>
      </c>
      <c r="R2" s="30" t="s">
        <v>197</v>
      </c>
      <c r="S2" s="15">
        <v>0</v>
      </c>
    </row>
    <row r="3" spans="1:19" ht="15.75" thickBot="1" x14ac:dyDescent="0.3">
      <c r="A3" s="944"/>
      <c r="B3" s="945"/>
      <c r="C3" s="945"/>
      <c r="D3" s="945"/>
      <c r="E3" s="945"/>
      <c r="F3" s="945"/>
      <c r="G3" s="945"/>
      <c r="H3" s="946"/>
      <c r="I3" s="936"/>
      <c r="J3" s="937"/>
      <c r="K3" s="937"/>
      <c r="L3" s="937"/>
      <c r="M3" s="937"/>
      <c r="N3" s="938"/>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728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727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741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729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730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731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732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733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734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735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736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737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738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739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740</v>
      </c>
      <c r="F28" s="72">
        <v>0</v>
      </c>
      <c r="G28" s="274">
        <v>95</v>
      </c>
      <c r="H28" s="274">
        <v>0</v>
      </c>
      <c r="I28" s="222"/>
      <c r="J28" s="68"/>
      <c r="K28" s="239"/>
      <c r="L28" s="68"/>
      <c r="M28" s="238"/>
      <c r="N28" s="69"/>
    </row>
    <row r="29" spans="1:14" x14ac:dyDescent="0.25">
      <c r="A29" s="72" t="str">
        <f>+IF(FromProposal[[#This Row],[Cost Code]]&lt;&gt;0,+'Gnatt Chart'!$A$2,"")</f>
        <v/>
      </c>
      <c r="B29" s="70">
        <v>25</v>
      </c>
      <c r="E29" s="72" t="s">
        <v>731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742</v>
      </c>
      <c r="F30" s="72">
        <v>1</v>
      </c>
      <c r="G30" s="274">
        <v>0</v>
      </c>
      <c r="H30" s="274">
        <v>0</v>
      </c>
      <c r="I30" s="222"/>
      <c r="J30" s="68"/>
      <c r="K30" s="239"/>
      <c r="L30" s="68"/>
      <c r="M30" s="238"/>
      <c r="N30" s="69"/>
    </row>
    <row r="31" spans="1:14" x14ac:dyDescent="0.25">
      <c r="A31" s="72" t="str">
        <f>+IF(FromProposal[[#This Row],[Cost Code]]&lt;&gt;0,+'Gnatt Chart'!$A$2,"")</f>
        <v/>
      </c>
      <c r="B31" s="70">
        <v>27</v>
      </c>
      <c r="E31" s="72" t="s">
        <v>744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745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746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750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747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748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749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743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751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807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808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829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9"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51" t="s">
        <v>210</v>
      </c>
      <c r="K1" s="951"/>
      <c r="L1" s="148"/>
      <c r="M1" s="947" t="s">
        <v>211</v>
      </c>
      <c r="N1" s="948"/>
      <c r="O1" s="252" t="s">
        <v>212</v>
      </c>
    </row>
    <row r="2" spans="1:125" ht="30" customHeight="1" thickBot="1" x14ac:dyDescent="0.35">
      <c r="A2" s="976" t="s">
        <v>483</v>
      </c>
      <c r="B2" s="977"/>
      <c r="C2" s="975" t="e">
        <f>Profit!#REF!&amp; " Your Home"</f>
        <v>#REF!</v>
      </c>
      <c r="D2" s="732"/>
      <c r="E2" s="157" t="s">
        <v>213</v>
      </c>
      <c r="F2" s="973">
        <f>+MIN(ProposalToGnatt[Start Date])</f>
        <v>45363</v>
      </c>
      <c r="G2" s="974"/>
      <c r="H2" s="954" t="s">
        <v>214</v>
      </c>
      <c r="I2" s="955"/>
      <c r="J2" s="963">
        <f>+SUM(H8:H20)</f>
        <v>20549.104910999999</v>
      </c>
      <c r="K2" s="779"/>
      <c r="L2" s="149"/>
      <c r="M2" s="963">
        <f>+SUM(N8:N20)-SUM(M8:M20)</f>
        <v>0</v>
      </c>
      <c r="N2" s="665"/>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64"/>
      <c r="B3" s="965"/>
      <c r="C3" s="965"/>
      <c r="D3" s="965"/>
      <c r="E3" s="158"/>
      <c r="G3" s="34"/>
      <c r="H3" s="956" t="s">
        <v>215</v>
      </c>
      <c r="I3" s="957"/>
      <c r="J3" s="962">
        <f>SUM(H22:H25)</f>
        <v>0</v>
      </c>
      <c r="K3" s="969"/>
      <c r="L3" s="150"/>
      <c r="M3" s="962">
        <f>+J3-SUM(M22:M25)</f>
        <v>0</v>
      </c>
      <c r="N3" s="665"/>
      <c r="O3" s="254">
        <f>+SUM(H22:H25)-SUM(M22:M25)</f>
        <v>0</v>
      </c>
      <c r="AP3" s="15"/>
      <c r="AQ3" s="15"/>
      <c r="AR3" s="15"/>
    </row>
    <row r="4" spans="1:125" ht="30" customHeight="1" x14ac:dyDescent="0.3">
      <c r="A4" s="964" t="str">
        <f>+Profit!B2</f>
        <v>4121 Tensity Dr</v>
      </c>
      <c r="B4" s="965" t="str">
        <f>+Profit!B2</f>
        <v>4121 Tensity Dr</v>
      </c>
      <c r="C4" s="965"/>
      <c r="D4" s="965"/>
      <c r="E4" s="952" t="s">
        <v>216</v>
      </c>
      <c r="F4" s="953"/>
      <c r="G4" s="76">
        <v>1</v>
      </c>
      <c r="H4" s="958" t="str">
        <f>+A2 &amp; "Total:"</f>
        <v>Tim Flemming Total:</v>
      </c>
      <c r="I4" s="959"/>
      <c r="J4" s="960">
        <f>SUM(ProposalToGnatt[Price])</f>
        <v>4897.5700000000006</v>
      </c>
      <c r="K4" s="970"/>
      <c r="L4" s="151"/>
      <c r="M4" s="960" cm="1">
        <f t="array" ref="M4">+SUM(ProposalToGnatt[Due]-ProposalToGnatt[Paid])</f>
        <v>1.9895196601282805E-13</v>
      </c>
      <c r="N4" s="665"/>
      <c r="O4" s="255">
        <f>+SUM(ProposalToGnatt[Price])-SUM(ProposalToGnatt[Paid])</f>
        <v>0</v>
      </c>
      <c r="AP4" s="15"/>
      <c r="AQ4" s="15"/>
      <c r="AR4" s="15"/>
    </row>
    <row r="5" spans="1:125" ht="18" customHeight="1" thickBot="1" x14ac:dyDescent="0.3">
      <c r="A5" s="152"/>
      <c r="B5" s="153" t="s">
        <v>217</v>
      </c>
      <c r="C5" s="154"/>
      <c r="D5" s="155"/>
      <c r="E5" s="967" t="s">
        <v>218</v>
      </c>
      <c r="F5" s="968"/>
      <c r="G5" s="156">
        <v>2</v>
      </c>
      <c r="H5" s="966" t="s">
        <v>219</v>
      </c>
      <c r="I5" s="966"/>
      <c r="J5" s="971">
        <f>+SUM(J2:K4)</f>
        <v>25446.674910999998</v>
      </c>
      <c r="K5" s="972"/>
      <c r="L5" s="24"/>
      <c r="M5" s="961">
        <f>+SUM(M2:M4)</f>
        <v>1.9895196601282805E-13</v>
      </c>
      <c r="N5" s="668"/>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49" t="s">
        <v>236</v>
      </c>
      <c r="AB22" s="950"/>
      <c r="AC22" s="950"/>
      <c r="AD22" s="950"/>
      <c r="AE22" s="950"/>
      <c r="AF22" s="950"/>
      <c r="AG22" s="950"/>
      <c r="AH22" s="950"/>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50"/>
      <c r="AB23" s="950"/>
      <c r="AC23" s="950"/>
      <c r="AD23" s="950"/>
      <c r="AE23" s="950"/>
      <c r="AF23" s="950"/>
      <c r="AG23" s="950"/>
      <c r="AH23" s="950"/>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728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727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741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729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730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731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732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733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734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735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736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737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738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739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740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731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742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744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745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746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750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747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748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749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743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751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807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808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829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5" priority="1">
      <formula>P$27&lt;=TODAY()</formula>
    </cfRule>
  </conditionalFormatting>
  <conditionalFormatting sqref="P27:CU27">
    <cfRule type="expression" dxfId="4" priority="27">
      <formula>P$27&lt;=TODAY()</formula>
    </cfRule>
  </conditionalFormatting>
  <conditionalFormatting sqref="P7:DT7 AQ10:AQ15 AP14:AP15 AR14:DU15 AP16:DU16 P26:CU82 P28:DU34 AA35:DU35 P36:DU76 R73:CW82 P73:CT94 AP17:AP21 AQ17:DU23 AQ8:DU9">
    <cfRule type="expression" dxfId="3" priority="12">
      <formula>#REF!&lt;=Today</formula>
    </cfRule>
  </conditionalFormatting>
  <conditionalFormatting sqref="P28:DU34 P28:CU82 AA35:DU35 P36:DU76 AP73:DU81 R73:CW82 P73:CT94">
    <cfRule type="expression" dxfId="2" priority="4">
      <formula>#REF!&lt;=Today</formula>
    </cfRule>
  </conditionalFormatting>
  <conditionalFormatting sqref="AP77:DR81">
    <cfRule type="expression" dxfId="1" priority="2">
      <formula>#REF!&lt;=Today</formula>
    </cfRule>
  </conditionalFormatting>
  <conditionalFormatting sqref="AR10:DU11 AR13:DU19">
    <cfRule type="expression" dxfId="0"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824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728</v>
      </c>
      <c r="D12">
        <v>1</v>
      </c>
      <c r="E12" s="14">
        <v>155</v>
      </c>
      <c r="F12" s="14">
        <v>155</v>
      </c>
      <c r="G12" t="s">
        <v>29</v>
      </c>
      <c r="H12" s="277">
        <v>155</v>
      </c>
    </row>
    <row r="13" spans="1:8" x14ac:dyDescent="0.25">
      <c r="A13" t="s">
        <v>240</v>
      </c>
      <c r="B13">
        <v>11</v>
      </c>
      <c r="C13" t="s">
        <v>727</v>
      </c>
      <c r="D13">
        <v>1</v>
      </c>
      <c r="E13" s="14">
        <v>45</v>
      </c>
      <c r="F13" s="14">
        <v>45</v>
      </c>
      <c r="G13" t="s">
        <v>29</v>
      </c>
      <c r="H13" s="277">
        <v>45</v>
      </c>
    </row>
    <row r="14" spans="1:8" x14ac:dyDescent="0.25">
      <c r="A14" t="s">
        <v>240</v>
      </c>
      <c r="B14">
        <v>12</v>
      </c>
      <c r="C14" t="s">
        <v>741</v>
      </c>
      <c r="D14">
        <v>1</v>
      </c>
      <c r="E14" s="14">
        <v>25</v>
      </c>
      <c r="F14" s="14">
        <v>25</v>
      </c>
      <c r="G14" t="s">
        <v>29</v>
      </c>
      <c r="H14" s="277">
        <v>25</v>
      </c>
    </row>
    <row r="15" spans="1:8" x14ac:dyDescent="0.25">
      <c r="A15" t="s">
        <v>240</v>
      </c>
      <c r="B15">
        <v>13</v>
      </c>
      <c r="C15" t="s">
        <v>729</v>
      </c>
      <c r="D15">
        <v>1</v>
      </c>
      <c r="E15" s="14">
        <v>85</v>
      </c>
      <c r="F15" s="14">
        <v>85</v>
      </c>
      <c r="G15" t="s">
        <v>29</v>
      </c>
      <c r="H15" s="277">
        <v>85</v>
      </c>
    </row>
    <row r="16" spans="1:8" x14ac:dyDescent="0.25">
      <c r="A16" t="s">
        <v>240</v>
      </c>
      <c r="B16">
        <v>14</v>
      </c>
      <c r="C16" t="s">
        <v>730</v>
      </c>
      <c r="D16">
        <v>1</v>
      </c>
      <c r="E16" s="14">
        <v>25</v>
      </c>
      <c r="F16" s="14">
        <v>25</v>
      </c>
      <c r="G16" t="s">
        <v>29</v>
      </c>
      <c r="H16" s="277">
        <v>25</v>
      </c>
    </row>
    <row r="17" spans="1:8" x14ac:dyDescent="0.25">
      <c r="A17" t="s">
        <v>240</v>
      </c>
      <c r="B17">
        <v>15</v>
      </c>
      <c r="C17" t="s">
        <v>731</v>
      </c>
      <c r="D17">
        <v>2</v>
      </c>
      <c r="E17" s="14">
        <v>35</v>
      </c>
      <c r="F17" s="14">
        <v>70</v>
      </c>
      <c r="G17" t="s">
        <v>29</v>
      </c>
      <c r="H17" s="277">
        <v>70</v>
      </c>
    </row>
    <row r="18" spans="1:8" x14ac:dyDescent="0.25">
      <c r="A18" t="s">
        <v>240</v>
      </c>
      <c r="B18">
        <v>16</v>
      </c>
      <c r="C18" t="s">
        <v>732</v>
      </c>
      <c r="D18">
        <v>1</v>
      </c>
      <c r="E18" s="14">
        <v>350</v>
      </c>
      <c r="F18" s="14">
        <v>350</v>
      </c>
      <c r="G18" t="s">
        <v>29</v>
      </c>
      <c r="H18" s="277">
        <v>350</v>
      </c>
    </row>
    <row r="19" spans="1:8" x14ac:dyDescent="0.25">
      <c r="A19" t="s">
        <v>240</v>
      </c>
      <c r="B19">
        <v>17</v>
      </c>
      <c r="C19" t="s">
        <v>733</v>
      </c>
      <c r="D19">
        <v>1</v>
      </c>
      <c r="E19" s="14">
        <v>1200</v>
      </c>
      <c r="F19" s="14">
        <v>1200</v>
      </c>
      <c r="G19" t="s">
        <v>29</v>
      </c>
      <c r="H19" s="277">
        <v>1200</v>
      </c>
    </row>
    <row r="20" spans="1:8" x14ac:dyDescent="0.25">
      <c r="A20" t="s">
        <v>240</v>
      </c>
      <c r="B20">
        <v>18</v>
      </c>
      <c r="C20" t="s">
        <v>734</v>
      </c>
      <c r="D20">
        <v>1</v>
      </c>
      <c r="E20" s="14">
        <v>110</v>
      </c>
      <c r="F20" s="14">
        <v>110</v>
      </c>
      <c r="G20" t="s">
        <v>29</v>
      </c>
      <c r="H20" s="277">
        <v>110</v>
      </c>
    </row>
    <row r="21" spans="1:8" x14ac:dyDescent="0.25">
      <c r="A21" t="s">
        <v>240</v>
      </c>
      <c r="B21">
        <v>19</v>
      </c>
      <c r="C21" t="s">
        <v>735</v>
      </c>
      <c r="D21">
        <v>1</v>
      </c>
      <c r="E21" s="14">
        <v>215</v>
      </c>
      <c r="F21" s="14">
        <v>215</v>
      </c>
      <c r="G21" t="s">
        <v>29</v>
      </c>
      <c r="H21" s="277">
        <v>215</v>
      </c>
    </row>
    <row r="22" spans="1:8" x14ac:dyDescent="0.25">
      <c r="A22" t="s">
        <v>240</v>
      </c>
      <c r="B22">
        <v>20</v>
      </c>
      <c r="C22" t="s">
        <v>736</v>
      </c>
      <c r="D22">
        <v>1</v>
      </c>
      <c r="E22" s="14">
        <v>1300.0999999999999</v>
      </c>
      <c r="F22" s="14">
        <v>1300.0999999999999</v>
      </c>
      <c r="G22" t="s">
        <v>29</v>
      </c>
      <c r="H22" s="277">
        <v>1300.0999999999999</v>
      </c>
    </row>
    <row r="23" spans="1:8" x14ac:dyDescent="0.25">
      <c r="A23" t="s">
        <v>240</v>
      </c>
      <c r="B23">
        <v>21</v>
      </c>
      <c r="C23" t="s">
        <v>737</v>
      </c>
      <c r="D23">
        <v>1</v>
      </c>
      <c r="E23" s="14">
        <v>95</v>
      </c>
      <c r="F23" s="14">
        <v>95</v>
      </c>
      <c r="G23" t="s">
        <v>29</v>
      </c>
      <c r="H23" s="277">
        <v>95</v>
      </c>
    </row>
    <row r="24" spans="1:8" x14ac:dyDescent="0.25">
      <c r="A24" t="s">
        <v>240</v>
      </c>
      <c r="B24">
        <v>22</v>
      </c>
      <c r="C24" t="s">
        <v>738</v>
      </c>
      <c r="D24">
        <v>1</v>
      </c>
      <c r="E24" s="14">
        <v>65</v>
      </c>
      <c r="F24" s="14">
        <v>65</v>
      </c>
      <c r="G24" t="s">
        <v>29</v>
      </c>
      <c r="H24" s="277">
        <v>65</v>
      </c>
    </row>
    <row r="25" spans="1:8" x14ac:dyDescent="0.25">
      <c r="A25" t="s">
        <v>240</v>
      </c>
      <c r="B25">
        <v>23</v>
      </c>
      <c r="C25" t="s">
        <v>739</v>
      </c>
      <c r="D25">
        <v>1</v>
      </c>
      <c r="E25" s="14">
        <v>95</v>
      </c>
      <c r="F25" s="14">
        <v>95</v>
      </c>
      <c r="G25" t="s">
        <v>29</v>
      </c>
      <c r="H25" s="277">
        <v>95</v>
      </c>
    </row>
    <row r="26" spans="1:8" x14ac:dyDescent="0.25">
      <c r="A26" t="s">
        <v>240</v>
      </c>
      <c r="B26">
        <v>24</v>
      </c>
      <c r="C26" t="s">
        <v>740</v>
      </c>
      <c r="D26">
        <v>0</v>
      </c>
      <c r="E26" s="14">
        <v>95</v>
      </c>
      <c r="F26" s="14">
        <v>0</v>
      </c>
      <c r="H26" s="277"/>
    </row>
    <row r="27" spans="1:8" x14ac:dyDescent="0.25">
      <c r="A27" t="s">
        <v>240</v>
      </c>
      <c r="B27">
        <v>25</v>
      </c>
      <c r="C27" t="s">
        <v>731</v>
      </c>
      <c r="D27">
        <v>1</v>
      </c>
      <c r="E27" s="14">
        <v>35</v>
      </c>
      <c r="F27" s="14">
        <v>35</v>
      </c>
      <c r="G27" t="s">
        <v>29</v>
      </c>
      <c r="H27" s="277">
        <v>35</v>
      </c>
    </row>
    <row r="28" spans="1:8" x14ac:dyDescent="0.25">
      <c r="A28" t="s">
        <v>240</v>
      </c>
      <c r="B28">
        <v>26</v>
      </c>
      <c r="C28" t="s">
        <v>742</v>
      </c>
      <c r="D28">
        <v>1</v>
      </c>
      <c r="E28" s="14">
        <v>0</v>
      </c>
      <c r="F28" s="14">
        <v>0</v>
      </c>
      <c r="H28" s="277"/>
    </row>
    <row r="29" spans="1:8" x14ac:dyDescent="0.25">
      <c r="A29" t="s">
        <v>240</v>
      </c>
      <c r="B29">
        <v>27</v>
      </c>
      <c r="C29" t="s">
        <v>744</v>
      </c>
      <c r="D29">
        <v>1</v>
      </c>
      <c r="E29" s="14">
        <v>45</v>
      </c>
      <c r="F29" s="14">
        <v>45</v>
      </c>
      <c r="G29" t="s">
        <v>29</v>
      </c>
      <c r="H29" s="277">
        <v>45</v>
      </c>
    </row>
    <row r="30" spans="1:8" x14ac:dyDescent="0.25">
      <c r="A30" t="s">
        <v>240</v>
      </c>
      <c r="B30">
        <v>28</v>
      </c>
      <c r="C30" t="s">
        <v>745</v>
      </c>
      <c r="D30">
        <v>1</v>
      </c>
      <c r="E30" s="14">
        <v>95</v>
      </c>
      <c r="F30" s="14">
        <v>95</v>
      </c>
      <c r="G30" t="s">
        <v>29</v>
      </c>
      <c r="H30" s="277">
        <v>95</v>
      </c>
    </row>
    <row r="31" spans="1:8" x14ac:dyDescent="0.25">
      <c r="A31" t="s">
        <v>240</v>
      </c>
      <c r="B31">
        <v>29</v>
      </c>
      <c r="C31" t="s">
        <v>746</v>
      </c>
      <c r="D31">
        <v>1</v>
      </c>
      <c r="E31" s="14">
        <v>95</v>
      </c>
      <c r="F31" s="14">
        <v>95</v>
      </c>
      <c r="G31" t="s">
        <v>29</v>
      </c>
      <c r="H31" s="277">
        <v>95</v>
      </c>
    </row>
    <row r="32" spans="1:8" x14ac:dyDescent="0.25">
      <c r="A32" t="s">
        <v>240</v>
      </c>
      <c r="B32">
        <v>30</v>
      </c>
      <c r="C32" t="s">
        <v>750</v>
      </c>
      <c r="D32">
        <v>8</v>
      </c>
      <c r="E32" s="14">
        <v>25</v>
      </c>
      <c r="F32" s="14">
        <v>200</v>
      </c>
      <c r="G32" t="s">
        <v>29</v>
      </c>
      <c r="H32" s="277">
        <v>200</v>
      </c>
    </row>
    <row r="33" spans="1:8" x14ac:dyDescent="0.25">
      <c r="A33" t="s">
        <v>240</v>
      </c>
      <c r="B33">
        <v>31</v>
      </c>
      <c r="C33" t="s">
        <v>747</v>
      </c>
      <c r="D33">
        <v>8</v>
      </c>
      <c r="E33" s="14">
        <v>10</v>
      </c>
      <c r="F33" s="14">
        <v>80</v>
      </c>
      <c r="G33" t="s">
        <v>29</v>
      </c>
      <c r="H33" s="277">
        <v>80</v>
      </c>
    </row>
    <row r="34" spans="1:8" x14ac:dyDescent="0.25">
      <c r="A34" t="s">
        <v>240</v>
      </c>
      <c r="B34">
        <v>32</v>
      </c>
      <c r="C34" t="s">
        <v>748</v>
      </c>
      <c r="D34">
        <v>3</v>
      </c>
      <c r="E34" s="14">
        <v>10</v>
      </c>
      <c r="F34" s="14">
        <v>30</v>
      </c>
      <c r="G34" t="s">
        <v>29</v>
      </c>
      <c r="H34" s="277">
        <v>30</v>
      </c>
    </row>
    <row r="35" spans="1:8" x14ac:dyDescent="0.25">
      <c r="A35" t="s">
        <v>240</v>
      </c>
      <c r="B35">
        <v>33</v>
      </c>
      <c r="C35" t="s">
        <v>749</v>
      </c>
      <c r="D35">
        <v>2</v>
      </c>
      <c r="E35" s="14">
        <v>35</v>
      </c>
      <c r="F35" s="14">
        <v>70</v>
      </c>
      <c r="G35" t="s">
        <v>29</v>
      </c>
      <c r="H35" s="277">
        <v>70</v>
      </c>
    </row>
    <row r="36" spans="1:8" x14ac:dyDescent="0.25">
      <c r="A36" t="s">
        <v>240</v>
      </c>
      <c r="B36">
        <v>34</v>
      </c>
      <c r="C36" t="s">
        <v>743</v>
      </c>
      <c r="D36">
        <v>1</v>
      </c>
      <c r="E36" s="14">
        <v>95</v>
      </c>
      <c r="F36" s="14">
        <v>95</v>
      </c>
      <c r="G36" t="s">
        <v>29</v>
      </c>
      <c r="H36" s="277">
        <v>95</v>
      </c>
    </row>
    <row r="37" spans="1:8" x14ac:dyDescent="0.25">
      <c r="A37" t="s">
        <v>240</v>
      </c>
      <c r="B37">
        <v>35</v>
      </c>
      <c r="C37" t="s">
        <v>751</v>
      </c>
      <c r="D37">
        <v>1</v>
      </c>
      <c r="E37" s="14">
        <v>50</v>
      </c>
      <c r="F37" s="14">
        <v>50</v>
      </c>
      <c r="G37" t="s">
        <v>29</v>
      </c>
      <c r="H37" s="277">
        <v>50</v>
      </c>
    </row>
    <row r="38" spans="1:8" x14ac:dyDescent="0.25">
      <c r="A38" t="s">
        <v>240</v>
      </c>
      <c r="B38">
        <v>36</v>
      </c>
      <c r="C38" t="s">
        <v>807</v>
      </c>
      <c r="D38">
        <v>1</v>
      </c>
      <c r="E38" s="14">
        <v>48</v>
      </c>
      <c r="F38" s="14">
        <v>48</v>
      </c>
      <c r="G38" t="s">
        <v>29</v>
      </c>
      <c r="H38" s="277">
        <v>48</v>
      </c>
    </row>
    <row r="39" spans="1:8" x14ac:dyDescent="0.25">
      <c r="A39" t="s">
        <v>240</v>
      </c>
      <c r="B39">
        <v>37</v>
      </c>
      <c r="C39" t="s">
        <v>808</v>
      </c>
      <c r="D39">
        <v>1</v>
      </c>
      <c r="E39" s="14">
        <v>80</v>
      </c>
      <c r="F39" s="14">
        <v>80</v>
      </c>
      <c r="G39" t="s">
        <v>29</v>
      </c>
      <c r="H39" s="277">
        <v>80</v>
      </c>
    </row>
    <row r="41" spans="1:8" x14ac:dyDescent="0.25">
      <c r="F41" t="s">
        <v>825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89" t="s">
        <v>241</v>
      </c>
      <c r="B1" s="990"/>
      <c r="C1" s="779"/>
      <c r="D1" s="779"/>
      <c r="E1" s="779"/>
      <c r="F1" s="779"/>
      <c r="G1" s="717"/>
      <c r="I1" s="985" t="s">
        <v>242</v>
      </c>
      <c r="J1" s="986"/>
      <c r="K1" s="987"/>
      <c r="L1" s="988"/>
      <c r="M1"/>
      <c r="N1" s="978" t="s">
        <v>243</v>
      </c>
      <c r="O1" s="979"/>
      <c r="P1" s="979"/>
      <c r="Q1" s="979"/>
      <c r="R1" s="979"/>
      <c r="S1" s="980"/>
      <c r="W1"/>
    </row>
    <row r="2" spans="1:23" ht="15.75" thickBot="1" x14ac:dyDescent="0.3">
      <c r="A2" s="989" t="s">
        <v>244</v>
      </c>
      <c r="B2" s="990"/>
      <c r="C2" s="779"/>
      <c r="D2" s="779"/>
      <c r="E2" s="779"/>
      <c r="F2" s="779"/>
      <c r="G2" s="717"/>
      <c r="I2" s="984" t="s">
        <v>245</v>
      </c>
      <c r="J2" s="707"/>
      <c r="K2" s="708"/>
      <c r="L2" s="709"/>
      <c r="M2"/>
      <c r="N2" s="981" t="str">
        <f>"Recap Summary Table - " &amp; +Profit!B2</f>
        <v>Recap Summary Table - 4121 Tensity Dr</v>
      </c>
      <c r="O2" s="982"/>
      <c r="P2" s="982"/>
      <c r="Q2" s="982"/>
      <c r="R2" s="982"/>
      <c r="S2" s="983"/>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740</v>
      </c>
      <c r="F10" s="265">
        <v>0</v>
      </c>
      <c r="G10"/>
      <c r="H10"/>
      <c r="I10"/>
      <c r="K10" s="225"/>
      <c r="M10"/>
      <c r="W10"/>
    </row>
    <row r="11" spans="1:23" x14ac:dyDescent="0.25">
      <c r="A11">
        <v>26</v>
      </c>
      <c r="C11" t="s">
        <v>742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93" t="s">
        <v>2</v>
      </c>
      <c r="J2" s="993" t="str">
        <f>IF(Profit!$W$6,IF(K2="No","No","Yes"),"No")</f>
        <v>No</v>
      </c>
      <c r="K2" s="995"/>
    </row>
    <row r="3" spans="1:11" s="3" customFormat="1" ht="15.75" thickBot="1" x14ac:dyDescent="0.3">
      <c r="A3" s="3" t="s">
        <v>300</v>
      </c>
      <c r="B3" s="3" t="s">
        <v>248</v>
      </c>
      <c r="C3" s="13" t="s">
        <v>301</v>
      </c>
      <c r="D3" s="3" t="s">
        <v>302</v>
      </c>
      <c r="E3" s="13" t="s">
        <v>303</v>
      </c>
      <c r="F3" s="3" t="s">
        <v>304</v>
      </c>
      <c r="I3" s="994"/>
      <c r="J3" s="994"/>
      <c r="K3" s="996"/>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91"/>
      <c r="D28" s="992"/>
      <c r="E28" s="992"/>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606</v>
      </c>
      <c r="B2" s="381"/>
      <c r="C2" s="382"/>
      <c r="D2" s="381"/>
      <c r="E2" s="382"/>
      <c r="F2" s="382">
        <v>0</v>
      </c>
    </row>
    <row r="3" spans="1:10" x14ac:dyDescent="0.25">
      <c r="A3" s="380" t="s">
        <v>305</v>
      </c>
      <c r="B3" s="383"/>
      <c r="C3" s="382" t="s">
        <v>584</v>
      </c>
      <c r="D3" s="381">
        <v>0</v>
      </c>
      <c r="E3" s="382">
        <v>75</v>
      </c>
      <c r="F3" s="382">
        <f>IF($I$3="Yes",+D3*E3,0)</f>
        <v>0</v>
      </c>
      <c r="H3" s="993" t="s">
        <v>2</v>
      </c>
      <c r="I3" s="993" t="str">
        <f>IF(Profit!$W$6,IF(J3,"Yes","N0"),"no")</f>
        <v>no</v>
      </c>
      <c r="J3" s="997" t="b">
        <v>1</v>
      </c>
    </row>
    <row r="4" spans="1:10" ht="15.75" thickBot="1" x14ac:dyDescent="0.3">
      <c r="A4" s="380" t="s">
        <v>305</v>
      </c>
      <c r="B4" s="384"/>
      <c r="C4" s="382" t="s">
        <v>306</v>
      </c>
      <c r="D4" s="381">
        <v>0</v>
      </c>
      <c r="E4" s="382">
        <v>325</v>
      </c>
      <c r="F4" s="382">
        <f t="shared" ref="F4:F5" si="0">IF($I$3="Yes",+D4*E4,0)</f>
        <v>0</v>
      </c>
      <c r="H4" s="994"/>
      <c r="I4" s="994"/>
      <c r="J4" s="998"/>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752</v>
      </c>
      <c r="B16" s="414">
        <v>45757</v>
      </c>
      <c r="C16" s="133" t="s">
        <v>514</v>
      </c>
      <c r="D16" s="242">
        <v>1</v>
      </c>
      <c r="E16" s="413">
        <v>250</v>
      </c>
      <c r="F16" s="413">
        <f t="shared" si="1"/>
        <v>250</v>
      </c>
    </row>
    <row r="17" spans="1:10" x14ac:dyDescent="0.25">
      <c r="A17" s="133" t="s">
        <v>752</v>
      </c>
      <c r="B17" s="415">
        <v>45810</v>
      </c>
      <c r="C17" s="133" t="s">
        <v>827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609</v>
      </c>
      <c r="B4" s="385"/>
      <c r="C4" s="385"/>
      <c r="D4" s="386"/>
      <c r="E4" s="387"/>
      <c r="F4" s="387"/>
      <c r="G4" s="387"/>
      <c r="I4" s="993" t="s">
        <v>2</v>
      </c>
      <c r="J4" s="993" t="str">
        <f>IF(Profit!$W$6,IF(K4,"Yes","N0"),"no")</f>
        <v>no</v>
      </c>
      <c r="K4" s="997" t="b">
        <v>0</v>
      </c>
    </row>
    <row r="5" spans="1:11" ht="15.75" thickBot="1" x14ac:dyDescent="0.3">
      <c r="A5" s="380" t="s">
        <v>612</v>
      </c>
      <c r="B5" s="380">
        <v>977057</v>
      </c>
      <c r="C5" s="381">
        <v>0</v>
      </c>
      <c r="D5" s="388">
        <v>149</v>
      </c>
      <c r="E5" s="382">
        <f>+C5*D5</f>
        <v>0</v>
      </c>
      <c r="F5" s="389">
        <f>+E5*0.0725</f>
        <v>0</v>
      </c>
      <c r="G5" s="387"/>
      <c r="I5" s="994"/>
      <c r="J5" s="994"/>
      <c r="K5" s="998"/>
    </row>
    <row r="6" spans="1:11" x14ac:dyDescent="0.25">
      <c r="A6" s="380" t="s">
        <v>611</v>
      </c>
      <c r="B6" s="380">
        <v>3648606</v>
      </c>
      <c r="C6" s="381">
        <v>0</v>
      </c>
      <c r="D6" s="388">
        <v>700</v>
      </c>
      <c r="E6" s="382">
        <f>+C6*D6</f>
        <v>0</v>
      </c>
      <c r="F6" s="389">
        <f t="shared" ref="F6" si="0">+E6*0.0725</f>
        <v>0</v>
      </c>
      <c r="G6" s="387"/>
    </row>
    <row r="7" spans="1:11" ht="15.75" thickBot="1" x14ac:dyDescent="0.3">
      <c r="A7" s="380" t="s">
        <v>610</v>
      </c>
      <c r="B7" s="380">
        <v>1654366</v>
      </c>
      <c r="C7" s="381">
        <v>0</v>
      </c>
      <c r="D7" s="388">
        <v>450</v>
      </c>
      <c r="E7" s="382">
        <f>+C7*D7</f>
        <v>0</v>
      </c>
      <c r="F7" s="389">
        <f t="shared" ref="F7" si="1">+E7*0.0725</f>
        <v>0</v>
      </c>
      <c r="G7" s="390"/>
    </row>
    <row r="8" spans="1:11" x14ac:dyDescent="0.25">
      <c r="A8" s="385"/>
      <c r="B8" s="385"/>
      <c r="C8" s="385"/>
      <c r="D8" s="214" t="s">
        <v>608</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607</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92" t="s">
        <v>327</v>
      </c>
      <c r="D30" s="992"/>
      <c r="E30" s="992"/>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7"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609</v>
      </c>
      <c r="C4" s="3"/>
      <c r="D4" s="3"/>
      <c r="E4" s="8"/>
      <c r="F4" s="13"/>
      <c r="G4" s="13"/>
      <c r="H4" s="13"/>
    </row>
    <row r="5" spans="1:12" x14ac:dyDescent="0.25">
      <c r="B5" s="391" t="s">
        <v>335</v>
      </c>
      <c r="C5" s="391"/>
      <c r="D5" s="381">
        <v>1</v>
      </c>
      <c r="E5" s="388">
        <v>179</v>
      </c>
      <c r="F5" s="382">
        <f>+D5*E5</f>
        <v>179</v>
      </c>
      <c r="G5" s="389">
        <f t="shared" ref="G5:G9" si="0">+F5*0.0725</f>
        <v>12.977499999999999</v>
      </c>
      <c r="H5" s="387"/>
      <c r="J5" s="993" t="s">
        <v>2</v>
      </c>
      <c r="K5" s="993" t="str">
        <f>IF(Profit!W6,IF(L5,"Yes","No"),"No")</f>
        <v>No</v>
      </c>
      <c r="L5" s="997" t="b">
        <v>0</v>
      </c>
    </row>
    <row r="6" spans="1:12" ht="15.75" thickBot="1" x14ac:dyDescent="0.3">
      <c r="B6" s="391" t="s">
        <v>613</v>
      </c>
      <c r="C6" s="391"/>
      <c r="D6" s="381">
        <v>1</v>
      </c>
      <c r="E6" s="388">
        <v>53.98</v>
      </c>
      <c r="F6" s="382">
        <f>+D6*E6</f>
        <v>53.98</v>
      </c>
      <c r="G6" s="389">
        <f t="shared" si="0"/>
        <v>3.9135499999999994</v>
      </c>
      <c r="H6" s="387"/>
      <c r="J6" s="994"/>
      <c r="K6" s="994"/>
      <c r="L6" s="998"/>
    </row>
    <row r="7" spans="1:12" x14ac:dyDescent="0.25">
      <c r="B7" s="391" t="s">
        <v>283</v>
      </c>
      <c r="C7" s="391"/>
      <c r="D7" s="381">
        <v>2</v>
      </c>
      <c r="E7" s="388">
        <v>15.47</v>
      </c>
      <c r="F7" s="382">
        <f>+D7*E7</f>
        <v>30.94</v>
      </c>
      <c r="G7" s="389">
        <f t="shared" si="0"/>
        <v>2.24315</v>
      </c>
      <c r="H7" s="387"/>
    </row>
    <row r="8" spans="1:12" x14ac:dyDescent="0.25">
      <c r="B8" s="391" t="s">
        <v>614</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799</v>
      </c>
      <c r="C13" s="244" t="s">
        <v>800</v>
      </c>
      <c r="D13" s="242">
        <v>2</v>
      </c>
      <c r="E13" s="229">
        <v>28.12</v>
      </c>
      <c r="F13" s="14">
        <f>+D13*E13</f>
        <v>56.24</v>
      </c>
      <c r="G13" s="26">
        <f t="shared" ref="G13:G30" si="1">+F13*0.0725</f>
        <v>4.0773999999999999</v>
      </c>
      <c r="H13" s="13"/>
    </row>
    <row r="14" spans="1:12" x14ac:dyDescent="0.25">
      <c r="B14" s="244" t="s">
        <v>784</v>
      </c>
      <c r="C14" s="244" t="s">
        <v>785</v>
      </c>
      <c r="D14" s="242">
        <v>1</v>
      </c>
      <c r="E14" s="229">
        <v>48.58</v>
      </c>
      <c r="F14" s="14">
        <f>+D14*E14</f>
        <v>48.58</v>
      </c>
      <c r="G14" s="26">
        <f t="shared" si="1"/>
        <v>3.5220499999999997</v>
      </c>
    </row>
    <row r="15" spans="1:12" x14ac:dyDescent="0.25">
      <c r="B15" s="244" t="s">
        <v>795</v>
      </c>
      <c r="C15" s="244" t="s">
        <v>796</v>
      </c>
      <c r="D15" s="242">
        <v>1</v>
      </c>
      <c r="E15" s="229">
        <v>35.229999999999997</v>
      </c>
      <c r="F15" s="14">
        <f>+D15*E15</f>
        <v>35.229999999999997</v>
      </c>
      <c r="G15" s="26">
        <f t="shared" si="1"/>
        <v>2.5541749999999994</v>
      </c>
    </row>
    <row r="16" spans="1:12" x14ac:dyDescent="0.25">
      <c r="B16" s="244" t="s">
        <v>797</v>
      </c>
      <c r="C16" s="244" t="s">
        <v>798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769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831</v>
      </c>
      <c r="C27" s="468">
        <v>45845</v>
      </c>
      <c r="D27" s="242">
        <v>1</v>
      </c>
      <c r="E27" s="229">
        <v>1299.33</v>
      </c>
      <c r="F27" s="14">
        <f t="shared" si="2"/>
        <v>1299.33</v>
      </c>
      <c r="G27" s="26" t="s">
        <v>143</v>
      </c>
    </row>
    <row r="28" spans="1:11" x14ac:dyDescent="0.25">
      <c r="A28" s="12">
        <v>45845</v>
      </c>
      <c r="B28" s="244" t="s">
        <v>851</v>
      </c>
      <c r="C28" s="468">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93" t="s">
        <v>2</v>
      </c>
      <c r="L2" s="993" t="str">
        <f>IF(Profit!W6,IF(M2,"Yes","No"),"No")</f>
        <v>No</v>
      </c>
      <c r="M2" s="997" t="b">
        <v>1</v>
      </c>
    </row>
    <row r="3" spans="1:13" s="22" customFormat="1" ht="14.25" customHeight="1" thickBot="1" x14ac:dyDescent="0.3">
      <c r="A3" s="3" t="s">
        <v>203</v>
      </c>
      <c r="B3" s="3" t="s">
        <v>248</v>
      </c>
      <c r="C3" s="3" t="s">
        <v>316</v>
      </c>
      <c r="D3" s="3" t="s">
        <v>260</v>
      </c>
      <c r="E3" s="8" t="s">
        <v>261</v>
      </c>
      <c r="F3" s="13" t="s">
        <v>262</v>
      </c>
      <c r="G3" s="13"/>
      <c r="H3" s="13" t="s">
        <v>263</v>
      </c>
      <c r="K3" s="994"/>
      <c r="L3" s="994"/>
      <c r="M3" s="998"/>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776</v>
      </c>
      <c r="B6" s="3" t="s">
        <v>777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823</v>
      </c>
      <c r="B8" s="32" t="s">
        <v>822</v>
      </c>
      <c r="C8" s="32" t="s">
        <v>143</v>
      </c>
      <c r="D8" s="244">
        <v>1</v>
      </c>
      <c r="E8" s="229">
        <v>5.68</v>
      </c>
      <c r="F8" s="14">
        <f t="shared" si="0"/>
        <v>5.68</v>
      </c>
      <c r="G8" s="14">
        <f t="shared" si="1"/>
        <v>0.41179999999999994</v>
      </c>
      <c r="H8" s="13"/>
    </row>
    <row r="9" spans="1:13" ht="14.25" customHeight="1" x14ac:dyDescent="0.25">
      <c r="A9" s="32" t="s">
        <v>821</v>
      </c>
      <c r="B9" s="32" t="s">
        <v>783</v>
      </c>
      <c r="C9" s="32" t="s">
        <v>143</v>
      </c>
      <c r="D9" s="244">
        <v>1</v>
      </c>
      <c r="E9" s="229">
        <v>47.48</v>
      </c>
      <c r="F9" s="14">
        <f>+D9*E9</f>
        <v>47.48</v>
      </c>
      <c r="G9" s="14">
        <f t="shared" si="1"/>
        <v>3.4422999999999995</v>
      </c>
      <c r="H9" s="13"/>
    </row>
    <row r="10" spans="1:13" ht="14.25" customHeight="1" x14ac:dyDescent="0.25">
      <c r="A10" s="32" t="s">
        <v>819</v>
      </c>
      <c r="B10" s="32" t="s">
        <v>820</v>
      </c>
      <c r="C10" s="32" t="s">
        <v>143</v>
      </c>
      <c r="D10" s="242">
        <v>1</v>
      </c>
      <c r="E10" s="229">
        <v>74.08</v>
      </c>
      <c r="F10" s="14">
        <f t="shared" si="0"/>
        <v>74.08</v>
      </c>
      <c r="G10" s="14">
        <f t="shared" si="1"/>
        <v>5.3707999999999991</v>
      </c>
    </row>
    <row r="11" spans="1:13" ht="14.25" customHeight="1" x14ac:dyDescent="0.25">
      <c r="A11" s="32" t="s">
        <v>817</v>
      </c>
      <c r="B11" s="32" t="s">
        <v>818</v>
      </c>
      <c r="C11" s="32" t="s">
        <v>143</v>
      </c>
      <c r="D11" s="242">
        <v>1</v>
      </c>
      <c r="E11" s="229">
        <v>47.96</v>
      </c>
      <c r="F11" s="14">
        <f t="shared" si="0"/>
        <v>47.96</v>
      </c>
      <c r="G11" s="14">
        <f t="shared" si="1"/>
        <v>3.4770999999999996</v>
      </c>
    </row>
    <row r="12" spans="1:13" ht="14.25" customHeight="1" x14ac:dyDescent="0.25">
      <c r="A12" s="32" t="s">
        <v>793</v>
      </c>
      <c r="B12" s="32" t="s">
        <v>794</v>
      </c>
      <c r="C12" s="32" t="s">
        <v>143</v>
      </c>
      <c r="D12" s="242">
        <v>1</v>
      </c>
      <c r="E12" s="229">
        <v>104.72</v>
      </c>
      <c r="F12" s="14">
        <f>+D12*E12</f>
        <v>104.72</v>
      </c>
      <c r="G12" s="14">
        <f t="shared" si="1"/>
        <v>7.5921999999999992</v>
      </c>
    </row>
    <row r="13" spans="1:13" ht="14.25" customHeight="1" x14ac:dyDescent="0.25">
      <c r="A13" s="32" t="s">
        <v>791</v>
      </c>
      <c r="B13" s="32" t="s">
        <v>792</v>
      </c>
      <c r="C13" s="32" t="s">
        <v>143</v>
      </c>
      <c r="D13" s="242">
        <v>1</v>
      </c>
      <c r="E13" s="229">
        <v>103.04</v>
      </c>
      <c r="F13" s="14">
        <f t="shared" si="0"/>
        <v>103.04</v>
      </c>
      <c r="G13" s="14">
        <f t="shared" si="1"/>
        <v>7.4703999999999997</v>
      </c>
    </row>
    <row r="14" spans="1:13" ht="14.25" customHeight="1" x14ac:dyDescent="0.25">
      <c r="A14" s="32" t="s">
        <v>788</v>
      </c>
      <c r="B14" s="32" t="s">
        <v>790</v>
      </c>
      <c r="C14" s="32" t="s">
        <v>143</v>
      </c>
      <c r="D14" s="242">
        <v>2</v>
      </c>
      <c r="E14" s="229">
        <v>18.46</v>
      </c>
      <c r="F14" s="14">
        <f t="shared" si="0"/>
        <v>36.92</v>
      </c>
      <c r="G14" s="14">
        <f t="shared" si="1"/>
        <v>2.6766999999999999</v>
      </c>
    </row>
    <row r="15" spans="1:13" ht="14.25" customHeight="1" x14ac:dyDescent="0.25">
      <c r="A15" s="32" t="s">
        <v>788</v>
      </c>
      <c r="B15" s="32" t="s">
        <v>789</v>
      </c>
      <c r="C15" s="32" t="s">
        <v>143</v>
      </c>
      <c r="D15" s="242">
        <v>2</v>
      </c>
      <c r="E15" s="229">
        <v>14.5</v>
      </c>
      <c r="F15" s="14">
        <f t="shared" si="0"/>
        <v>29</v>
      </c>
      <c r="G15" s="14">
        <f t="shared" si="1"/>
        <v>2.1025</v>
      </c>
    </row>
    <row r="16" spans="1:13" ht="14.25" customHeight="1" x14ac:dyDescent="0.25">
      <c r="A16" s="32" t="s">
        <v>782</v>
      </c>
      <c r="B16" s="32" t="s">
        <v>783</v>
      </c>
      <c r="C16" s="32" t="s">
        <v>143</v>
      </c>
      <c r="D16" s="242">
        <v>1</v>
      </c>
      <c r="E16" s="229">
        <v>44.98</v>
      </c>
      <c r="F16" s="14">
        <f t="shared" si="0"/>
        <v>44.98</v>
      </c>
      <c r="G16" s="14">
        <f t="shared" si="1"/>
        <v>3.2610499999999996</v>
      </c>
    </row>
    <row r="17" spans="1:7" ht="14.25" customHeight="1" x14ac:dyDescent="0.25">
      <c r="A17" s="32" t="s">
        <v>780</v>
      </c>
      <c r="B17" s="32" t="s">
        <v>781</v>
      </c>
      <c r="C17" s="32"/>
      <c r="D17" s="242">
        <v>1</v>
      </c>
      <c r="E17" s="229">
        <v>66.599999999999994</v>
      </c>
      <c r="F17" s="14">
        <f t="shared" si="0"/>
        <v>66.599999999999994</v>
      </c>
      <c r="G17" s="14">
        <f t="shared" si="1"/>
        <v>4.8284999999999991</v>
      </c>
    </row>
    <row r="18" spans="1:7" ht="14.25" customHeight="1" x14ac:dyDescent="0.25">
      <c r="A18" s="32" t="s">
        <v>779</v>
      </c>
      <c r="B18" s="32" t="s">
        <v>778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772</v>
      </c>
      <c r="B29" s="32" t="s">
        <v>773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768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93" t="s">
        <v>2</v>
      </c>
      <c r="K2" s="993" t="str">
        <f>IF(Profit!W6,IF(L2,"Yes","No"),"No")</f>
        <v>No</v>
      </c>
      <c r="L2" s="997" t="b">
        <v>1</v>
      </c>
    </row>
    <row r="3" spans="1:12" ht="15.75" thickBot="1" x14ac:dyDescent="0.3">
      <c r="A3" s="31" t="s">
        <v>203</v>
      </c>
      <c r="B3" s="31" t="s">
        <v>316</v>
      </c>
      <c r="C3" s="31" t="s">
        <v>260</v>
      </c>
      <c r="D3" s="248" t="s">
        <v>261</v>
      </c>
      <c r="E3" s="249" t="s">
        <v>262</v>
      </c>
      <c r="F3" s="249" t="s">
        <v>249</v>
      </c>
      <c r="G3" s="249" t="s">
        <v>263</v>
      </c>
      <c r="J3" s="994"/>
      <c r="K3" s="994"/>
      <c r="L3" s="998"/>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843</v>
      </c>
      <c r="N1" s="993" t="s">
        <v>2</v>
      </c>
      <c r="O1" s="993" t="str">
        <f>IF(Profit!W6,IF(P1,"Yes","No"),"No")</f>
        <v>No</v>
      </c>
      <c r="P1" s="997" t="b">
        <v>1</v>
      </c>
    </row>
    <row r="2" spans="1:16" s="3" customFormat="1" ht="15.75" thickBot="1" x14ac:dyDescent="0.3">
      <c r="A2" s="416" t="s">
        <v>248</v>
      </c>
      <c r="B2" s="3" t="s">
        <v>841</v>
      </c>
      <c r="C2" s="3" t="s">
        <v>203</v>
      </c>
      <c r="D2" s="3" t="s">
        <v>532</v>
      </c>
      <c r="E2" s="3" t="s">
        <v>388</v>
      </c>
      <c r="G2" s="3" t="s">
        <v>842</v>
      </c>
      <c r="H2" s="3" t="s">
        <v>174</v>
      </c>
      <c r="I2" s="8" t="s">
        <v>261</v>
      </c>
      <c r="J2" s="6" t="s">
        <v>262</v>
      </c>
      <c r="K2" s="13" t="s">
        <v>249</v>
      </c>
      <c r="L2" s="3" t="s">
        <v>263</v>
      </c>
      <c r="M2" s="3" t="s">
        <v>209</v>
      </c>
      <c r="N2" s="994"/>
      <c r="O2" s="994"/>
      <c r="P2" s="998"/>
    </row>
    <row r="3" spans="1:16" s="3" customFormat="1" x14ac:dyDescent="0.25">
      <c r="A3" s="471"/>
      <c r="B3" s="385"/>
      <c r="C3" s="385" t="s">
        <v>609</v>
      </c>
      <c r="D3" s="385"/>
      <c r="E3" s="392">
        <f>+Profit!M9</f>
        <v>1368</v>
      </c>
      <c r="F3" s="469"/>
      <c r="G3" s="385"/>
      <c r="H3" s="385"/>
      <c r="I3" s="386"/>
      <c r="J3" s="396"/>
      <c r="K3" s="387"/>
      <c r="N3"/>
      <c r="O3"/>
      <c r="P3" s="5"/>
    </row>
    <row r="4" spans="1:16" s="3" customFormat="1" x14ac:dyDescent="0.25">
      <c r="A4" s="472"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2"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2"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2"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2" t="s">
        <v>410</v>
      </c>
      <c r="B8" s="380"/>
      <c r="C8" s="380"/>
      <c r="D8" s="380"/>
      <c r="E8" s="392">
        <f>+$E$3</f>
        <v>1368</v>
      </c>
      <c r="F8" s="469"/>
      <c r="G8" s="380" t="s">
        <v>412</v>
      </c>
      <c r="H8" s="395">
        <v>5.1528384279475983</v>
      </c>
      <c r="I8" s="388">
        <v>2.41</v>
      </c>
      <c r="J8" s="388">
        <f>H8*$E$3</f>
        <v>7049.0829694323147</v>
      </c>
      <c r="K8" s="393"/>
      <c r="L8"/>
      <c r="M8"/>
    </row>
    <row r="9" spans="1:16" s="3" customFormat="1" x14ac:dyDescent="0.25">
      <c r="A9" s="416"/>
      <c r="H9" s="991" t="s">
        <v>615</v>
      </c>
      <c r="I9" s="992"/>
      <c r="J9" s="992"/>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844</v>
      </c>
      <c r="C12" s="133" t="s">
        <v>832</v>
      </c>
      <c r="D12" s="133" t="s">
        <v>833</v>
      </c>
      <c r="F12" s="2" t="s">
        <v>402</v>
      </c>
      <c r="G12" s="133" t="s">
        <v>834</v>
      </c>
      <c r="H12" s="242">
        <v>5</v>
      </c>
      <c r="I12" s="229">
        <v>37.549999999999997</v>
      </c>
      <c r="J12" s="5">
        <f t="shared" ref="J12:J18" si="2">+H12*I12</f>
        <v>187.75</v>
      </c>
      <c r="K12" s="26">
        <f t="shared" ref="K12:K18" si="3">+J12*0.0725</f>
        <v>13.611875</v>
      </c>
      <c r="L12"/>
      <c r="M12" t="s">
        <v>3</v>
      </c>
      <c r="P12" s="5"/>
    </row>
    <row r="13" spans="1:16" x14ac:dyDescent="0.25">
      <c r="A13" s="12">
        <v>45780</v>
      </c>
      <c r="B13" t="s">
        <v>847</v>
      </c>
      <c r="C13" s="133" t="s">
        <v>835</v>
      </c>
      <c r="D13" s="133" t="s">
        <v>837</v>
      </c>
      <c r="G13" s="133" t="s">
        <v>836</v>
      </c>
      <c r="H13" s="242">
        <v>2</v>
      </c>
      <c r="I13" s="229">
        <v>29</v>
      </c>
      <c r="J13" s="5">
        <f t="shared" si="2"/>
        <v>58</v>
      </c>
      <c r="K13" s="26">
        <f t="shared" si="3"/>
        <v>4.2050000000000001</v>
      </c>
      <c r="L13"/>
      <c r="M13" t="s">
        <v>3</v>
      </c>
      <c r="P13" s="5"/>
    </row>
    <row r="14" spans="1:16" x14ac:dyDescent="0.25">
      <c r="A14" s="12">
        <v>45780</v>
      </c>
      <c r="B14" t="s">
        <v>848</v>
      </c>
      <c r="C14" s="133" t="s">
        <v>835</v>
      </c>
      <c r="D14" s="133" t="s">
        <v>838</v>
      </c>
      <c r="G14" s="133" t="s">
        <v>839</v>
      </c>
      <c r="H14" s="242">
        <v>1</v>
      </c>
      <c r="I14" s="229">
        <v>31</v>
      </c>
      <c r="J14" s="5">
        <f t="shared" si="2"/>
        <v>31</v>
      </c>
      <c r="K14" s="26">
        <f t="shared" si="3"/>
        <v>2.2475000000000001</v>
      </c>
      <c r="L14"/>
      <c r="M14" t="s">
        <v>3</v>
      </c>
      <c r="P14" s="5"/>
    </row>
    <row r="15" spans="1:16" x14ac:dyDescent="0.25">
      <c r="A15" s="12">
        <v>45786</v>
      </c>
      <c r="B15" t="s">
        <v>845</v>
      </c>
      <c r="C15" s="133" t="s">
        <v>832</v>
      </c>
      <c r="D15" s="133" t="s">
        <v>833</v>
      </c>
      <c r="F15" s="2" t="s">
        <v>846</v>
      </c>
      <c r="G15" s="133" t="s">
        <v>834</v>
      </c>
      <c r="H15" s="242">
        <v>2</v>
      </c>
      <c r="I15" s="229">
        <v>37.549999999999997</v>
      </c>
      <c r="J15" s="5">
        <f t="shared" ref="J15" si="4">+H15*I15</f>
        <v>75.099999999999994</v>
      </c>
      <c r="K15" s="26">
        <f t="shared" ref="K15" si="5">+J15*0.0725</f>
        <v>5.4447499999999991</v>
      </c>
      <c r="L15"/>
      <c r="M15" t="s">
        <v>840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0"/>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91" t="s">
        <v>409</v>
      </c>
      <c r="I43" s="992"/>
      <c r="J43" s="992"/>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0"/>
      <c r="G46" s="133" t="s">
        <v>412</v>
      </c>
      <c r="H46" s="242">
        <v>1</v>
      </c>
      <c r="I46" s="229">
        <v>3400</v>
      </c>
      <c r="J46" s="1">
        <f>IF(H46="yes",E46*#REF!,I46)</f>
        <v>3400</v>
      </c>
      <c r="K46" s="1"/>
      <c r="L46"/>
      <c r="M46"/>
    </row>
    <row r="47" spans="1:18" x14ac:dyDescent="0.25">
      <c r="C47" s="133" t="s">
        <v>410</v>
      </c>
      <c r="D47" s="133"/>
      <c r="E47" s="174">
        <v>200</v>
      </c>
      <c r="F47" s="470"/>
      <c r="G47" s="133" t="s">
        <v>538</v>
      </c>
      <c r="H47" s="242">
        <v>0</v>
      </c>
      <c r="I47" s="229">
        <v>0</v>
      </c>
      <c r="J47" s="1">
        <f>IF(H47="yes",E47*#REF!,I47)</f>
        <v>0</v>
      </c>
      <c r="K47" s="1"/>
      <c r="L47"/>
      <c r="M47"/>
    </row>
    <row r="48" spans="1:18" ht="15.75" thickBot="1" x14ac:dyDescent="0.3">
      <c r="C48" s="133" t="s">
        <v>410</v>
      </c>
      <c r="D48" s="133"/>
      <c r="E48" s="174">
        <f>+$E$3</f>
        <v>1368</v>
      </c>
      <c r="F48" s="470"/>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93" t="s">
        <v>2</v>
      </c>
      <c r="K1" s="993" t="str">
        <f>IF(Profit!W6,IF(L1,"Yes","No"),"No")</f>
        <v>No</v>
      </c>
      <c r="L1" s="997" t="b">
        <v>1</v>
      </c>
    </row>
    <row r="2" spans="1:12" s="3" customFormat="1" ht="15.75" thickBot="1" x14ac:dyDescent="0.3">
      <c r="A2" s="249" t="s">
        <v>203</v>
      </c>
      <c r="B2" s="249" t="s">
        <v>388</v>
      </c>
      <c r="C2" s="249" t="s">
        <v>221</v>
      </c>
      <c r="D2" s="249" t="s">
        <v>174</v>
      </c>
      <c r="E2" s="249" t="s">
        <v>261</v>
      </c>
      <c r="F2" s="249" t="s">
        <v>262</v>
      </c>
      <c r="G2" s="249" t="s">
        <v>249</v>
      </c>
      <c r="H2" s="249" t="s">
        <v>263</v>
      </c>
      <c r="J2" s="994"/>
      <c r="K2" s="994"/>
      <c r="L2" s="998"/>
    </row>
    <row r="3" spans="1:12" x14ac:dyDescent="0.25">
      <c r="A3" s="385" t="s">
        <v>609</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756</v>
      </c>
      <c r="B8" s="185">
        <v>1368</v>
      </c>
      <c r="C8" s="133" t="s">
        <v>412</v>
      </c>
      <c r="D8" s="242">
        <v>1</v>
      </c>
      <c r="E8" s="229">
        <v>5.5487134502923983</v>
      </c>
      <c r="F8" s="393">
        <f t="shared" ref="F8:F20" si="1">B8*E8*D8</f>
        <v>7590.6400000000012</v>
      </c>
      <c r="G8" s="26">
        <f>+F8*0.0299</f>
        <v>226.96013600000003</v>
      </c>
      <c r="H8"/>
      <c r="I8" s="233" t="s">
        <v>757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93" t="s">
        <v>2</v>
      </c>
      <c r="K1" s="993" t="str">
        <f>IF(Profit!W6,IF(L1,"Yes","No"),"No")</f>
        <v>No</v>
      </c>
      <c r="L1" s="997" t="b">
        <v>0</v>
      </c>
    </row>
    <row r="2" spans="1:16" ht="15.75" thickBot="1" x14ac:dyDescent="0.3">
      <c r="A2" s="32" t="s">
        <v>184</v>
      </c>
      <c r="B2" s="32"/>
      <c r="C2" s="32"/>
      <c r="J2" s="994"/>
      <c r="K2" s="994"/>
      <c r="L2" s="998"/>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753</v>
      </c>
      <c r="C6" s="3"/>
      <c r="D6" s="3" t="s">
        <v>754</v>
      </c>
      <c r="E6" s="3">
        <v>1</v>
      </c>
      <c r="F6" s="8">
        <v>152.83000000000001</v>
      </c>
      <c r="G6" s="26">
        <f t="shared" ref="G6:G7" si="0">+E6*F6</f>
        <v>152.83000000000001</v>
      </c>
      <c r="H6" s="3"/>
      <c r="J6" s="3"/>
      <c r="K6" s="3"/>
    </row>
    <row r="7" spans="1:16" s="22" customFormat="1" x14ac:dyDescent="0.25">
      <c r="A7" s="3"/>
      <c r="B7" s="3" t="s">
        <v>753</v>
      </c>
      <c r="C7" s="3"/>
      <c r="D7" s="3" t="s">
        <v>755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762</v>
      </c>
      <c r="C15" t="s">
        <v>143</v>
      </c>
      <c r="D15" s="2" t="s">
        <v>763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91"/>
      <c r="F17" s="992"/>
      <c r="G17" s="992"/>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91"/>
      <c r="N24" s="992"/>
      <c r="O24" s="992"/>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93" t="s">
        <v>2</v>
      </c>
      <c r="J1" s="993" t="str">
        <f>IF(Profit!W6,IF(K1,"Yes","No"),"No")</f>
        <v>No</v>
      </c>
      <c r="K1" s="997" t="b">
        <v>0</v>
      </c>
    </row>
    <row r="2" spans="1:11" ht="15.75" thickBot="1" x14ac:dyDescent="0.3">
      <c r="C2" s="3"/>
      <c r="D2" s="8"/>
      <c r="E2" s="13"/>
      <c r="F2" s="13"/>
      <c r="G2" s="13"/>
      <c r="I2" s="994"/>
      <c r="J2" s="994"/>
      <c r="K2" s="998"/>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770</v>
      </c>
      <c r="C11" s="30">
        <v>1</v>
      </c>
      <c r="D11" s="8">
        <v>80.73</v>
      </c>
      <c r="E11" s="14">
        <f>+C11*D11</f>
        <v>80.73</v>
      </c>
      <c r="F11" s="26">
        <f t="shared" ref="F11:F33" si="2">+E11*0.0725</f>
        <v>5.8529249999999999</v>
      </c>
      <c r="G11" s="13"/>
    </row>
    <row r="12" spans="1:11" x14ac:dyDescent="0.25">
      <c r="A12" s="30" t="s">
        <v>493</v>
      </c>
      <c r="B12" s="30" t="s">
        <v>771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849</v>
      </c>
      <c r="B19" s="30" t="s">
        <v>850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93" t="s">
        <v>2</v>
      </c>
      <c r="I1" s="993" t="str">
        <f>IF(Profit!$W$6,IF(J1="No","No","Yes"),"no")</f>
        <v>no</v>
      </c>
      <c r="J1" s="995"/>
    </row>
    <row r="2" spans="1:10" s="15" customFormat="1" ht="15.75" thickBot="1" x14ac:dyDescent="0.3">
      <c r="A2" s="3" t="s">
        <v>200</v>
      </c>
      <c r="B2" s="17" t="s">
        <v>446</v>
      </c>
      <c r="C2" s="30" t="s">
        <v>447</v>
      </c>
      <c r="D2" s="3" t="s">
        <v>260</v>
      </c>
      <c r="E2" s="8" t="s">
        <v>448</v>
      </c>
      <c r="F2" s="6" t="s">
        <v>449</v>
      </c>
      <c r="G2" s="15" t="s">
        <v>263</v>
      </c>
      <c r="H2" s="994"/>
      <c r="I2" s="994"/>
      <c r="J2" s="996"/>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816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764</v>
      </c>
      <c r="B13" s="18" t="s">
        <v>143</v>
      </c>
      <c r="D13">
        <v>1</v>
      </c>
      <c r="E13" s="5">
        <v>80</v>
      </c>
      <c r="F13" s="1">
        <f>+D13*E13</f>
        <v>80</v>
      </c>
    </row>
    <row r="14" spans="1:10" x14ac:dyDescent="0.25">
      <c r="A14" s="2" t="s">
        <v>828</v>
      </c>
      <c r="C14" s="421">
        <v>45836</v>
      </c>
      <c r="D14">
        <v>1</v>
      </c>
      <c r="E14" s="5">
        <v>75</v>
      </c>
      <c r="F14" s="1">
        <f>+D14*E14</f>
        <v>75</v>
      </c>
    </row>
    <row r="15" spans="1:10" x14ac:dyDescent="0.25">
      <c r="A15" s="2" t="s">
        <v>815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617</v>
      </c>
      <c r="B1" s="32"/>
      <c r="C1" s="32"/>
      <c r="D1" s="16"/>
      <c r="I1" s="993" t="s">
        <v>2</v>
      </c>
      <c r="J1" s="993" t="str">
        <f>IF(Profit!$W$6,IF(K1="No","No","Yes"),"no")</f>
        <v>no</v>
      </c>
      <c r="K1" s="995"/>
    </row>
    <row r="2" spans="1:14" s="61" customFormat="1" ht="30.75" thickBot="1" x14ac:dyDescent="0.3">
      <c r="A2" s="61" t="s">
        <v>200</v>
      </c>
      <c r="B2" s="61" t="s">
        <v>200</v>
      </c>
      <c r="C2" s="61" t="s">
        <v>174</v>
      </c>
      <c r="D2" s="304" t="s">
        <v>456</v>
      </c>
      <c r="E2" s="61" t="s">
        <v>263</v>
      </c>
      <c r="F2" s="61" t="s">
        <v>457</v>
      </c>
      <c r="G2" s="237"/>
      <c r="H2" s="304">
        <v>20</v>
      </c>
      <c r="I2" s="994"/>
      <c r="J2" s="994"/>
      <c r="K2" s="996"/>
    </row>
    <row r="4" spans="1:14" x14ac:dyDescent="0.25">
      <c r="A4" s="2" t="s">
        <v>188</v>
      </c>
      <c r="C4" s="2">
        <v>0</v>
      </c>
      <c r="D4" s="18">
        <v>800</v>
      </c>
      <c r="E4" s="5">
        <f>+C4*D4</f>
        <v>0</v>
      </c>
    </row>
    <row r="5" spans="1:14" x14ac:dyDescent="0.25">
      <c r="A5" s="2" t="s">
        <v>458</v>
      </c>
      <c r="B5" s="2" t="s">
        <v>767</v>
      </c>
      <c r="C5" s="2">
        <v>1</v>
      </c>
      <c r="D5" s="18">
        <v>24.63</v>
      </c>
      <c r="E5" s="5">
        <f t="shared" ref="E5:E20" si="0">+C5*D5</f>
        <v>24.63</v>
      </c>
    </row>
    <row r="6" spans="1:14" x14ac:dyDescent="0.25">
      <c r="A6" s="2" t="s">
        <v>774</v>
      </c>
      <c r="B6" s="2" t="s">
        <v>775</v>
      </c>
      <c r="C6" s="2">
        <v>1</v>
      </c>
      <c r="D6" s="18">
        <v>35.229999999999997</v>
      </c>
      <c r="E6" s="5">
        <f t="shared" si="0"/>
        <v>35.229999999999997</v>
      </c>
    </row>
    <row r="7" spans="1:14" x14ac:dyDescent="0.25">
      <c r="A7" s="2" t="s">
        <v>459</v>
      </c>
      <c r="C7" s="2">
        <v>0</v>
      </c>
      <c r="D7" s="18">
        <v>28.47</v>
      </c>
      <c r="E7" s="5">
        <f t="shared" si="0"/>
        <v>0</v>
      </c>
    </row>
    <row r="8" spans="1:14" x14ac:dyDescent="0.25">
      <c r="A8" s="32" t="s">
        <v>758</v>
      </c>
      <c r="B8" s="32"/>
      <c r="C8" s="2">
        <v>0</v>
      </c>
      <c r="D8" s="18">
        <v>28.47</v>
      </c>
      <c r="E8" s="5">
        <f t="shared" ref="E8:E12" si="1">+C8*D8</f>
        <v>0</v>
      </c>
    </row>
    <row r="9" spans="1:14" x14ac:dyDescent="0.25">
      <c r="A9" s="2" t="s">
        <v>765</v>
      </c>
      <c r="C9" s="2">
        <v>2</v>
      </c>
      <c r="D9" s="18">
        <v>300</v>
      </c>
      <c r="E9" s="5">
        <v>643.5</v>
      </c>
    </row>
    <row r="10" spans="1:14" x14ac:dyDescent="0.25">
      <c r="A10" s="2" t="s">
        <v>759</v>
      </c>
      <c r="C10" s="2">
        <v>0</v>
      </c>
      <c r="D10" s="18">
        <v>1000</v>
      </c>
      <c r="E10" s="5">
        <f t="shared" si="1"/>
        <v>0</v>
      </c>
    </row>
    <row r="11" spans="1:14" x14ac:dyDescent="0.25">
      <c r="A11" s="2" t="s">
        <v>760</v>
      </c>
      <c r="C11" s="2">
        <v>0</v>
      </c>
      <c r="D11" s="18">
        <v>300</v>
      </c>
      <c r="E11" s="5">
        <f t="shared" si="1"/>
        <v>0</v>
      </c>
    </row>
    <row r="12" spans="1:14" x14ac:dyDescent="0.25">
      <c r="A12" s="2" t="s">
        <v>761</v>
      </c>
      <c r="C12" s="2">
        <v>0</v>
      </c>
      <c r="D12" s="18">
        <v>500</v>
      </c>
      <c r="E12" s="5">
        <f t="shared" si="1"/>
        <v>0</v>
      </c>
    </row>
    <row r="13" spans="1:14" x14ac:dyDescent="0.25">
      <c r="A13" s="2" t="s">
        <v>786</v>
      </c>
      <c r="B13" s="2" t="s">
        <v>787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801</v>
      </c>
      <c r="B18" s="2" t="s">
        <v>802</v>
      </c>
      <c r="C18" s="2">
        <v>1</v>
      </c>
      <c r="D18" s="18">
        <v>12.33</v>
      </c>
      <c r="E18" s="5">
        <f t="shared" si="0"/>
        <v>12.33</v>
      </c>
    </row>
    <row r="19" spans="1:10" x14ac:dyDescent="0.25">
      <c r="A19" s="2" t="s">
        <v>803</v>
      </c>
      <c r="B19" s="2" t="s">
        <v>804</v>
      </c>
      <c r="C19" s="2">
        <v>1</v>
      </c>
      <c r="D19" s="18">
        <v>14.23</v>
      </c>
      <c r="E19" s="5">
        <f t="shared" si="0"/>
        <v>14.23</v>
      </c>
    </row>
    <row r="20" spans="1:10" x14ac:dyDescent="0.25">
      <c r="A20" s="2" t="s">
        <v>805</v>
      </c>
      <c r="B20" s="2" t="s">
        <v>806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830</v>
      </c>
      <c r="C24" s="2">
        <v>1</v>
      </c>
      <c r="D24" s="18">
        <v>367.22</v>
      </c>
      <c r="E24" s="5">
        <f>+C24*D24</f>
        <v>367.22</v>
      </c>
      <c r="I24" s="1"/>
      <c r="J24" t="s">
        <v>143</v>
      </c>
    </row>
    <row r="25" spans="1:10" x14ac:dyDescent="0.25">
      <c r="A25" s="2" t="s">
        <v>766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900" t="s">
        <v>561</v>
      </c>
      <c r="C1" s="901"/>
      <c r="E1" s="900" t="s">
        <v>565</v>
      </c>
      <c r="F1" s="901"/>
      <c r="H1" s="900" t="s">
        <v>564</v>
      </c>
      <c r="I1" s="901"/>
      <c r="L1" s="900" t="s">
        <v>579</v>
      </c>
      <c r="M1" s="901"/>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900" t="s">
        <v>561</v>
      </c>
      <c r="C12" s="901"/>
      <c r="D12" s="3"/>
      <c r="E12" s="900" t="s">
        <v>565</v>
      </c>
      <c r="F12" s="901"/>
      <c r="G12" s="3"/>
      <c r="H12" s="900" t="s">
        <v>564</v>
      </c>
      <c r="I12" s="901"/>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1003" t="s">
        <v>583</v>
      </c>
      <c r="C2" s="1004"/>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999">
        <f>+AVERAGE(E3:F3)</f>
        <v>167500</v>
      </c>
      <c r="D8" s="684"/>
      <c r="E8" s="1005"/>
      <c r="F8" s="717"/>
      <c r="G8" s="718"/>
      <c r="I8" s="61"/>
      <c r="J8" s="61"/>
      <c r="K8" s="61"/>
    </row>
    <row r="9" spans="1:11" ht="15.75" thickBot="1" x14ac:dyDescent="0.3">
      <c r="B9" s="139" t="s">
        <v>150</v>
      </c>
      <c r="C9" s="999">
        <f>+AVERAGE(E4:F4)</f>
        <v>44549.638750000006</v>
      </c>
      <c r="D9" s="684"/>
      <c r="E9" s="857"/>
      <c r="F9" s="720"/>
      <c r="G9" s="721"/>
      <c r="I9" s="61"/>
      <c r="J9" s="61"/>
      <c r="K9" s="61"/>
    </row>
    <row r="10" spans="1:11" ht="15.75" thickBot="1" x14ac:dyDescent="0.3">
      <c r="B10" s="139" t="s">
        <v>151</v>
      </c>
      <c r="C10" s="999">
        <f>+AVERAGE(E5:F5)</f>
        <v>42487.25</v>
      </c>
      <c r="D10" s="684"/>
      <c r="E10" s="1006" t="s">
        <v>152</v>
      </c>
      <c r="F10" s="695"/>
      <c r="G10" s="696"/>
      <c r="I10" s="61"/>
      <c r="J10" s="61"/>
      <c r="K10" s="61"/>
    </row>
    <row r="11" spans="1:11" ht="15.75" thickBot="1" x14ac:dyDescent="0.3">
      <c r="B11" s="139" t="s">
        <v>153</v>
      </c>
      <c r="C11" s="999">
        <f>+AVERAGE(E6:F6)</f>
        <v>45703.346999999994</v>
      </c>
      <c r="D11" s="684"/>
      <c r="E11" s="1000" t="s">
        <v>154</v>
      </c>
      <c r="F11" s="1001"/>
      <c r="G11" s="1002"/>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1003" t="s">
        <v>582</v>
      </c>
      <c r="C2" s="1004"/>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999">
        <f>+AVERAGE(E3:F3)</f>
        <v>375000</v>
      </c>
      <c r="D8" s="684"/>
      <c r="E8" s="1005"/>
      <c r="F8" s="717"/>
      <c r="G8" s="718"/>
    </row>
    <row r="9" spans="1:8" ht="15.75" thickBot="1" x14ac:dyDescent="0.3">
      <c r="B9" s="139" t="s">
        <v>150</v>
      </c>
      <c r="C9" s="999">
        <f>+AVERAGE(E4:F4)</f>
        <v>176184.5</v>
      </c>
      <c r="D9" s="684"/>
      <c r="E9" s="857"/>
      <c r="F9" s="720"/>
      <c r="G9" s="721"/>
    </row>
    <row r="10" spans="1:8" ht="15.75" thickBot="1" x14ac:dyDescent="0.3">
      <c r="B10" s="139" t="s">
        <v>151</v>
      </c>
      <c r="C10" s="999">
        <f>+AVERAGE(E5:F5)</f>
        <v>121133.5</v>
      </c>
      <c r="D10" s="684"/>
      <c r="E10" s="1006" t="s">
        <v>152</v>
      </c>
      <c r="F10" s="695"/>
      <c r="G10" s="696"/>
    </row>
    <row r="11" spans="1:8" ht="15.75" thickBot="1" x14ac:dyDescent="0.3">
      <c r="B11" s="139" t="s">
        <v>153</v>
      </c>
      <c r="C11" s="999">
        <f>+AVERAGE(E6:F6)</f>
        <v>77681.948333333334</v>
      </c>
      <c r="D11" s="684"/>
      <c r="E11" s="1000" t="s">
        <v>154</v>
      </c>
      <c r="F11" s="1001"/>
      <c r="G11" s="1002"/>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1003" t="s">
        <v>468</v>
      </c>
      <c r="C2" s="1010"/>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999">
        <f>+AVERAGE(E3:H3)</f>
        <v>315632.25</v>
      </c>
      <c r="D8" s="1007"/>
      <c r="E8" s="1005"/>
      <c r="F8" s="717"/>
      <c r="G8" s="717"/>
      <c r="H8" s="717"/>
      <c r="I8" s="718"/>
    </row>
    <row r="9" spans="1:10" ht="15.75" thickBot="1" x14ac:dyDescent="0.3">
      <c r="A9" s="142"/>
      <c r="B9" s="139" t="s">
        <v>150</v>
      </c>
      <c r="C9" s="999">
        <f>+AVERAGE(E4:H4)</f>
        <v>138648.73000000001</v>
      </c>
      <c r="D9" s="1007"/>
      <c r="E9" s="857"/>
      <c r="F9" s="720"/>
      <c r="G9" s="720"/>
      <c r="H9" s="720"/>
      <c r="I9" s="721"/>
    </row>
    <row r="10" spans="1:10" ht="15.75" thickBot="1" x14ac:dyDescent="0.3">
      <c r="A10" s="142"/>
      <c r="B10" s="139" t="s">
        <v>151</v>
      </c>
      <c r="C10" s="999">
        <f>+AVERAGE(E5:H5)</f>
        <v>37177.026874999996</v>
      </c>
      <c r="D10" s="1007"/>
      <c r="E10" s="1006" t="s">
        <v>152</v>
      </c>
      <c r="F10" s="1011"/>
      <c r="G10" s="1011"/>
      <c r="H10" s="1011"/>
      <c r="I10" s="1012"/>
    </row>
    <row r="11" spans="1:10" ht="15.75" thickBot="1" x14ac:dyDescent="0.3">
      <c r="B11" s="139" t="s">
        <v>153</v>
      </c>
      <c r="C11" s="999">
        <f>+AVERAGE(E6:H6)</f>
        <v>117803.01925000001</v>
      </c>
      <c r="D11" s="1007"/>
      <c r="E11" s="1000" t="s">
        <v>154</v>
      </c>
      <c r="F11" s="1008"/>
      <c r="G11" s="1008"/>
      <c r="H11" s="1008"/>
      <c r="I11" s="1009"/>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1003" t="s">
        <v>468</v>
      </c>
      <c r="C2" s="1004"/>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999">
        <f>+AVERAGE(E3:G3)</f>
        <v>270600</v>
      </c>
      <c r="D8" s="684"/>
      <c r="E8" s="1005"/>
      <c r="F8" s="1013"/>
      <c r="G8" s="717"/>
      <c r="H8" s="718"/>
    </row>
    <row r="9" spans="1:9" ht="15.75" thickBot="1" x14ac:dyDescent="0.3">
      <c r="B9" s="139" t="s">
        <v>150</v>
      </c>
      <c r="C9" s="999">
        <f>+AVERAGE(E4:G4)</f>
        <v>133923.63333333333</v>
      </c>
      <c r="D9" s="684"/>
      <c r="E9" s="857"/>
      <c r="F9" s="720"/>
      <c r="G9" s="720"/>
      <c r="H9" s="721"/>
    </row>
    <row r="10" spans="1:9" ht="15.75" thickBot="1" x14ac:dyDescent="0.3">
      <c r="B10" s="139" t="s">
        <v>151</v>
      </c>
      <c r="C10" s="999">
        <f>+AVERAGE(E5:G5)</f>
        <v>48783.358384708328</v>
      </c>
      <c r="D10" s="684"/>
      <c r="E10" s="1006" t="s">
        <v>152</v>
      </c>
      <c r="F10" s="1011"/>
      <c r="G10" s="695"/>
      <c r="H10" s="696"/>
    </row>
    <row r="11" spans="1:9" ht="15.75" thickBot="1" x14ac:dyDescent="0.3">
      <c r="B11" s="139" t="s">
        <v>153</v>
      </c>
      <c r="C11" s="999">
        <f>+AVERAGE(E6:G6)</f>
        <v>85689.034948625005</v>
      </c>
      <c r="D11" s="684"/>
      <c r="E11" s="1000" t="s">
        <v>154</v>
      </c>
      <c r="F11" s="1008"/>
      <c r="G11" s="1001"/>
      <c r="H11" s="1002"/>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1003" t="s">
        <v>468</v>
      </c>
      <c r="C2" s="1004"/>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999">
        <f>+AVERAGE(E3:G3)</f>
        <v>180000</v>
      </c>
      <c r="D8" s="684"/>
      <c r="E8" s="1005"/>
      <c r="F8" s="1013"/>
      <c r="G8" s="717"/>
      <c r="H8" s="718"/>
    </row>
    <row r="9" spans="1:9" ht="15.75" thickBot="1" x14ac:dyDescent="0.3">
      <c r="B9" s="139" t="s">
        <v>150</v>
      </c>
      <c r="C9" s="999">
        <f>+AVERAGE(E4:G4)</f>
        <v>103547.57</v>
      </c>
      <c r="D9" s="684"/>
      <c r="E9" s="857"/>
      <c r="F9" s="720"/>
      <c r="G9" s="720"/>
      <c r="H9" s="721"/>
    </row>
    <row r="10" spans="1:9" ht="15.75" thickBot="1" x14ac:dyDescent="0.3">
      <c r="B10" s="139" t="s">
        <v>151</v>
      </c>
      <c r="C10" s="999">
        <f>+AVERAGE(E5:G5)</f>
        <v>16660.233833333332</v>
      </c>
      <c r="D10" s="684"/>
      <c r="E10" s="1006" t="s">
        <v>152</v>
      </c>
      <c r="F10" s="1011"/>
      <c r="G10" s="695"/>
      <c r="H10" s="696"/>
    </row>
    <row r="11" spans="1:9" ht="15.75" thickBot="1" x14ac:dyDescent="0.3">
      <c r="B11" s="139" t="s">
        <v>153</v>
      </c>
      <c r="C11" s="999">
        <f>+AVERAGE(E6:G6)</f>
        <v>38679.975259259263</v>
      </c>
      <c r="D11" s="684"/>
      <c r="E11" s="1000" t="s">
        <v>154</v>
      </c>
      <c r="F11" s="1008"/>
      <c r="G11" s="1001"/>
      <c r="H11" s="1002"/>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5.xml>�� 
</file>

<file path=customXml/item6.xml>�� 
</file>

<file path=customXml/item7.xml>��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5.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2026-06-27T18:53:45Z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