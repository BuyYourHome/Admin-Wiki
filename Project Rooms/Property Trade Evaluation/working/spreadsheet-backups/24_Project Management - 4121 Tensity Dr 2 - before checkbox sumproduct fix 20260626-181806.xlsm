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99" documentId="13_ncr:1_{EA464569-25D9-47E1-8EC9-01098F0F1ECC}" xr6:coauthVersionLast="47" xr6:coauthVersionMax="47" xr10:uidLastSave="{836022DF-F90E-4C72-8333-D067C9DA57D0}"/>
  <bookViews>
    <workbookView xWindow="-120" yWindow="-120" windowWidth="38640" windowHeight="15720" tabRatio="889" activeTab="8"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R4" i="71"/>
  <c r="Q4" i="71"/>
  <c r="P4" i="71"/>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D17" i="67" l="1"/>
  <c r="S6" i="67" s="1"/>
  <c r="H5" i="67"/>
  <c r="I5" i="67" s="1"/>
  <c r="L5" i="67" s="1"/>
  <c r="C15" i="67"/>
  <c r="C17" i="67" s="1"/>
  <c r="S7" i="67" s="1"/>
  <c r="J3" i="67"/>
  <c r="H4" i="67"/>
  <c r="I4" i="67" s="1"/>
  <c r="L4" i="67" s="1"/>
  <c r="H3" i="67"/>
  <c r="I3" i="67" s="1"/>
  <c r="L3" i="67" s="1"/>
  <c r="F6" i="67"/>
  <c r="J5" i="67"/>
  <c r="E16" i="67"/>
  <c r="F16" i="67" s="1"/>
  <c r="E14" i="67"/>
  <c r="H57" i="1"/>
  <c r="B24" i="66"/>
  <c r="A21" i="71"/>
  <c r="N21" i="71" s="1"/>
  <c r="AC10" i="71"/>
  <c r="E20" i="71"/>
  <c r="J20" i="71" s="1"/>
  <c r="E6" i="71"/>
  <c r="O3" i="71"/>
  <c r="R11" i="71"/>
  <c r="Q11" i="71"/>
  <c r="P11" i="71"/>
  <c r="S14" i="71"/>
  <c r="S13" i="71"/>
  <c r="R8" i="71"/>
  <c r="P8" i="71"/>
  <c r="B6" i="1" l="1"/>
  <c r="E15" i="67"/>
  <c r="F15" i="67" s="1"/>
  <c r="K4" i="67"/>
  <c r="K5" i="67"/>
  <c r="I6" i="67"/>
  <c r="K3" i="67"/>
  <c r="H6" i="67"/>
  <c r="F14" i="67"/>
  <c r="K55" i="1"/>
  <c r="O56" i="1"/>
  <c r="O4" i="71"/>
  <c r="B39" i="66" s="1"/>
  <c r="B37" i="66"/>
  <c r="A22" i="71"/>
  <c r="N22" i="71" s="1"/>
  <c r="C20" i="71"/>
  <c r="S21" i="71"/>
  <c r="Y21" i="71"/>
  <c r="Q21" i="71" s="1"/>
  <c r="Y20" i="71"/>
  <c r="S20" i="71"/>
  <c r="O11" i="71"/>
  <c r="B26" i="66" s="1"/>
  <c r="O8" i="7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H17" i="67" s="1"/>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S3" i="67" s="1"/>
  <c r="O6" i="67"/>
  <c r="N6" i="67"/>
  <c r="M6" i="67"/>
  <c r="S13" i="67"/>
  <c r="S11" i="67"/>
  <c r="J15" i="4"/>
  <c r="K15" i="4" s="1"/>
  <c r="T15" i="1"/>
  <c r="K14" i="67" l="1"/>
  <c r="K17" i="67" s="1"/>
  <c r="S5" i="67" s="1"/>
  <c r="I17" i="67"/>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<sst xmlns="http://schemas.openxmlformats.org/spreadsheetml/2006/main" count="2923" uniqueCount="1213">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</sst>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0" xfId="0"/>
    <xf numFmtId="0" fontId="0" fillId="0" borderId="27" xfId="0" applyBorder="1"/>
    <xf numFmtId="0" fontId="0" fillId="0" borderId="23" xfId="0" applyBorder="1"/>
    <xf numFmtId="0" fontId="0" fillId="0" borderId="24" xfId="0" applyBorder="1"/>
    <xf numFmtId="0" fontId="0" fillId="0" borderId="25" xfId="0" applyBorder="1"/>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L$14" lockText="1" noThreeD="1"/>
</file>

<file path=xl/ctrlProps/ctrlProp16.xml><?xml version="1.0" encoding="utf-8"?>
<formControlPr xmlns="http://schemas.microsoft.com/office/spreadsheetml/2009/9/main" objectType="CheckBox"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84" headerRowBorderDxfId="83">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82"/>
    <tableColumn id="2" xr3:uid="{97169920-9E20-46B0-9275-CDB69F2B7E20}" name="Beg" dataDxfId="81"/>
    <tableColumn id="3" xr3:uid="{29B13418-7AB5-4BED-8938-1AFD73584620}" name="Payment" dataDxfId="80"/>
    <tableColumn id="4" xr3:uid="{59D98215-D250-4E98-B28F-28E8FEF5B704}" name="Princ" dataDxfId="79"/>
    <tableColumn id="5" xr3:uid="{CA09D9DD-EDE2-4CFD-9E21-030519667110}" name="Int" dataDxfId="78"/>
    <tableColumn id="6" xr3:uid="{EDF5A829-F409-40AE-89E2-E8CB9B5D0FF4}" name="Ins" dataDxfId="77"/>
    <tableColumn id="7" xr3:uid="{589E968B-91B9-4913-8C3D-42359D5891E7}" name="Taxes" dataDxfId="76"/>
    <tableColumn id="8" xr3:uid="{08030123-3EE6-4201-B7FB-4B90DBAD70D8}" name="Total " dataDxfId="75"/>
    <tableColumn id="9" xr3:uid="{B55DFD4A-3AC5-40B7-8DCD-59805B6DBFDB}" name="Principal" dataDxfId="74"/>
    <tableColumn id="10" xr3:uid="{6B0DA8E4-1B75-412D-9DAC-6338B0794CBF}" name="Interest" dataDxfId="73"/>
    <tableColumn id="11" xr3:uid="{F8CE94A6-5C5E-4EDE-B208-4DCC524F986E}" name="Balance" dataDxfId="7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71" dataDxfId="69" headerRowBorderDxfId="70" tableBorderDxfId="68">
  <autoFilter ref="L19:M833" xr:uid="{73D951D4-A168-44D6-974D-EBA44A3BA7B6}">
    <filterColumn colId="0" hiddenButton="1"/>
    <filterColumn colId="1" hiddenButton="1"/>
  </autoFilter>
  <tableColumns count="2">
    <tableColumn id="1" xr3:uid="{CCF10384-7D00-426D-996F-822402246933}" name="Year" dataDxfId="67"/>
    <tableColumn id="2" xr3:uid="{147517BE-5732-44A7-974A-14DAE4109340}" name="Period" dataDxfId="66">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65" headerRowBorderDxfId="64">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63">
      <calculatedColumnFormula>INDEX(tblSubjectToLoan[Date],ROW()-ROW(tblContractForDeed[#Headers]))</calculatedColumnFormula>
    </tableColumn>
    <tableColumn id="2" xr3:uid="{ECB873B5-C083-4C40-8069-B9E5F8698705}" name="Beg" dataDxfId="62">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61">
      <calculatedColumnFormula>IF(tblContractForDeed[[#This Row],[Date]]="","",IF(tblContractForDeed[[#This Row],[Date]]&lt;cfdRateChangeDate,cfdRate1,cfdRate2))</calculatedColumnFormula>
    </tableColumn>
    <tableColumn id="4" xr3:uid="{1636A52E-B78B-4971-A350-27AAF73BE8AB}" name="Payment" dataDxfId="60">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59">
      <calculatedColumnFormula>IF(tblContractForDeed[[#This Row],[Payment]]=0,0,MAX(0,MIN(tblContractForDeed[[#This Row],[Beg]],tblContractForDeed[[#This Row],[Payment]]-tblContractForDeed[[#This Row],[Int]])))</calculatedColumnFormula>
    </tableColumn>
    <tableColumn id="6" xr3:uid="{333AB5D2-CFCA-47CE-BEB7-DEC4603F289D}" name="Int" dataDxfId="58">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57">
      <calculatedColumnFormula>IF(tblContractForDeed[[#This Row],[Payment]]=0,0,$W$2)</calculatedColumnFormula>
    </tableColumn>
    <tableColumn id="8" xr3:uid="{953DECD1-A993-404F-BB01-67C5B5235815}" name="Taxes" dataDxfId="56">
      <calculatedColumnFormula>IF(tblContractForDeed[[#This Row],[Princ]]=0,0,$W$3)</calculatedColumnFormula>
    </tableColumn>
    <tableColumn id="9" xr3:uid="{61523046-F564-451D-8252-202BB1589694}" name="Total" dataDxfId="55">
      <calculatedColumnFormula>SUM(tblContractForDeed[[#This Row],[Princ]],tblContractForDeed[[#This Row],[Int]],tblContractForDeed[[#This Row],[Ins]],tblContractForDeed[[#This Row],[Taxes]])</calculatedColumnFormula>
    </tableColumn>
    <tableColumn id="10" xr3:uid="{0044FA08-9081-4FAC-B454-F81C52BDD807}" name="Cumul Princ" dataDxfId="54">
      <calculatedColumnFormula>SUM(INDEX(tblContractForDeed[Princ],1):INDEX(tblContractForDeed[Princ],ROW()-ROW(tblContractForDeed[#Headers])))</calculatedColumnFormula>
    </tableColumn>
    <tableColumn id="11" xr3:uid="{E4D2C53C-A408-49FE-BA58-469487DDF7C4}" name="End Bal" dataDxfId="53">
      <calculatedColumnFormula>IF(tblContractForDeed[[#This Row],[Beg]]&lt;=0,0,tblContractForDeed[[#This Row],[Beg]]-tblContractForDeed[[#This Row],[Princ]])</calculatedColumnFormula>
    </tableColumn>
    <tableColumn id="12" xr3:uid="{4416FB9A-4A9F-4AF7-9D43-BF28E4CF4E75}" name="Period" dataDxfId="52">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51" headerRowBorderDxfId="50" tableBorderDxfId="49">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48">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47"/>
    <tableColumn id="4" xr3:uid="{226D6180-901A-48F0-9597-8830FAEE2FB1}" name="Monthly Cash Flow" dataDxfId="46">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45">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44">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43">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42"/>
    <tableColumn id="4" xr3:uid="{190BD60E-30EC-4E24-9935-E2190E0233E5}" name="Vendor"/>
    <tableColumn id="5" xr3:uid="{0EEF483C-D90C-4BD2-8F3B-5458E833A4F6}" name="Description"/>
    <tableColumn id="6" xr3:uid="{B6FEFB87-38EC-4F40-A491-700E378F77FA}" name="Amount" dataDxfId="41"/>
    <tableColumn id="7" xr3:uid="{3C0463BE-769E-4291-834E-CBEDED63E449}" name="Source"/>
    <tableColumn id="8" xr3:uid="{DC4DDB7E-B6A8-4ACA-BF15-72944CBFA858}" name="Invoice #" dataDxfId="40"/>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39" headerRowBorderDxfId="38">
  <autoFilter ref="A11:E55" xr:uid="{E8A9C9B7-BAF7-4CAB-9067-DC10D354858C}"/>
  <tableColumns count="5">
    <tableColumn id="1" xr3:uid="{9A4F1599-587C-4C12-AC23-D5B3879D1321}" name="Cost Code" dataDxfId="37"/>
    <tableColumn id="2" xr3:uid="{3ACCA719-70D2-4F0D-A8A3-69AE3272D3C1}" name="Title" dataDxfId="36"/>
    <tableColumn id="3" xr3:uid="{661FF8D2-2D43-4F8B-B73F-EC14A34B7050}" name="Description" dataDxfId="35"/>
    <tableColumn id="5" xr3:uid="{96319F4C-C120-4B14-BEB7-1D271C147258}" name="Qty" dataDxfId="34"/>
    <tableColumn id="6" xr3:uid="{CAFF8447-B9F2-4425-B2CD-C62CE1EB051F}" name="Unit Price" dataDxfId="33"/>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132" dataDxfId="131">
  <autoFilter ref="A4:N48" xr:uid="{4A34AA4E-C13A-41A2-95E8-83E7E9409806}"/>
  <tableColumns count="14">
    <tableColumn id="8" xr3:uid="{96E49A5C-5367-4ACB-B14D-E01CC163A0F1}" uniqueName="8" name="Party" queryTableFieldId="8" dataDxfId="130">
      <calculatedColumnFormula>+IF(FromProposal[[#This Row],[Cost Code]]&lt;&gt;0,+'Gnatt Chart'!$A$2,"")</calculatedColumnFormula>
    </tableColumn>
    <tableColumn id="1" xr3:uid="{6ADBCE42-4844-4052-8DB6-AB34AD671DD5}" uniqueName="1" name="Item" queryTableFieldId="15" dataDxfId="129"/>
    <tableColumn id="2" xr3:uid="{33F8A9BB-342C-4F7D-B125-F381BCB77C64}" uniqueName="2" name="Cost Code" queryTableFieldId="2" dataDxfId="128"/>
    <tableColumn id="3" xr3:uid="{EAE8FFCB-2C04-49B6-85CD-78C67097E902}" uniqueName="3" name="Title" queryTableFieldId="3" dataDxfId="127"/>
    <tableColumn id="4" xr3:uid="{439B82DD-03F8-428D-9245-8543A46F29DC}" uniqueName="4" name="Description" queryTableFieldId="4" dataDxfId="126"/>
    <tableColumn id="5" xr3:uid="{1E080297-D531-4180-92D4-1B19AACF49C1}" uniqueName="5" name="Qty" queryTableFieldId="5" dataDxfId="125"/>
    <tableColumn id="6" xr3:uid="{575B5FBE-3F82-40CD-8A54-810E146EF82F}" uniqueName="6" name="Unit Price" queryTableFieldId="6" dataDxfId="124"/>
    <tableColumn id="7" xr3:uid="{766B7F26-7C49-427A-A617-067C40444D87}" uniqueName="7" name="Price" queryTableFieldId="7" dataDxfId="123"/>
    <tableColumn id="9" xr3:uid="{A5701DF5-B99B-45EC-8FC5-7061E5C93440}" uniqueName="9" name="Done" queryTableFieldId="17" dataDxfId="122"/>
    <tableColumn id="14" xr3:uid="{1C4B67EF-B985-4B9A-9327-556AFBB5C4A1}" uniqueName="14" name="Group Order" queryTableFieldId="20" dataDxfId="121"/>
    <tableColumn id="12" xr3:uid="{A3E3248C-A9FB-45EA-9F9E-83897992215A}" uniqueName="12" name="Start Date" queryTableFieldId="12" dataDxfId="120"/>
    <tableColumn id="15" xr3:uid="{E31CECDC-7A24-4472-8474-4283CEDBD8FC}" uniqueName="15" name="Days" queryTableFieldId="14" dataDxfId="119"/>
    <tableColumn id="10" xr3:uid="{3EA3D46A-2606-48C3-B90D-0603A94FFB2E}" uniqueName="10" name="Paid" queryTableFieldId="18" dataDxfId="118"/>
    <tableColumn id="13" xr3:uid="{7268DDA6-B96D-499B-92E4-F124E0D116A3}" uniqueName="13" name="Notes" queryTableFieldId="19" dataDxfId="11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0"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819" t="s">
        <v>826</v>
      </c>
      <c r="G1" s="820"/>
      <c r="H1" s="820"/>
      <c r="I1" s="820"/>
      <c r="J1" s="820"/>
      <c r="K1" s="820"/>
      <c r="L1" s="820"/>
      <c r="M1" s="821"/>
      <c r="N1" s="808" t="s">
        <v>1158</v>
      </c>
      <c r="O1" s="809"/>
      <c r="S1" s="793" t="s">
        <v>627</v>
      </c>
      <c r="T1" s="672"/>
      <c r="U1" s="672"/>
      <c r="V1" s="672"/>
      <c r="W1" s="37" t="b">
        <v>0</v>
      </c>
    </row>
    <row r="2" spans="1:27" ht="16.5" customHeight="1" thickBot="1" x14ac:dyDescent="0.3">
      <c r="A2" s="113"/>
      <c r="B2" s="753" t="s">
        <v>710</v>
      </c>
      <c r="C2" s="754"/>
      <c r="D2" s="754"/>
      <c r="E2" s="742" t="s">
        <v>711</v>
      </c>
      <c r="F2" s="743"/>
      <c r="G2" s="593" t="s">
        <v>712</v>
      </c>
      <c r="H2" s="594"/>
      <c r="I2" s="594"/>
      <c r="J2" s="594"/>
      <c r="K2" s="594"/>
      <c r="L2" s="796" t="s">
        <v>1</v>
      </c>
      <c r="M2" s="804">
        <v>45715</v>
      </c>
      <c r="N2" s="810"/>
      <c r="O2" s="811"/>
      <c r="Q2" s="407" t="s">
        <v>2</v>
      </c>
      <c r="R2" s="407"/>
      <c r="S2" s="793" t="s">
        <v>626</v>
      </c>
      <c r="T2" s="672"/>
      <c r="U2" s="672"/>
      <c r="V2" s="672"/>
      <c r="W2" s="37" t="b">
        <v>0</v>
      </c>
    </row>
    <row r="3" spans="1:27" ht="12" customHeight="1" thickBot="1" x14ac:dyDescent="0.3">
      <c r="A3" s="115" t="s">
        <v>4</v>
      </c>
      <c r="B3" s="116"/>
      <c r="D3" s="739" t="s">
        <v>1117</v>
      </c>
      <c r="E3" s="740"/>
      <c r="F3" s="739" t="s">
        <v>1122</v>
      </c>
      <c r="G3" s="740"/>
      <c r="H3" s="739" t="s">
        <v>1123</v>
      </c>
      <c r="I3" s="740"/>
      <c r="J3" s="739" t="s">
        <v>0</v>
      </c>
      <c r="K3" s="740"/>
      <c r="L3" s="797"/>
      <c r="M3" s="805"/>
      <c r="N3" s="812"/>
      <c r="O3" s="813"/>
      <c r="S3" s="793" t="s">
        <v>34</v>
      </c>
      <c r="T3" s="672"/>
      <c r="U3" s="672"/>
      <c r="V3" s="672"/>
      <c r="W3" s="37" t="b">
        <v>0</v>
      </c>
    </row>
    <row r="4" spans="1:27" ht="12" customHeight="1" thickBot="1" x14ac:dyDescent="0.3">
      <c r="A4" s="38" t="s">
        <v>5</v>
      </c>
      <c r="B4" s="778">
        <v>330000</v>
      </c>
      <c r="C4" s="779"/>
      <c r="D4" s="343"/>
      <c r="E4" s="344"/>
      <c r="F4" s="363"/>
      <c r="G4" s="325"/>
      <c r="H4" s="552"/>
      <c r="I4" s="556"/>
      <c r="J4" s="356"/>
      <c r="K4" s="357"/>
      <c r="N4" s="597"/>
      <c r="O4" s="598"/>
      <c r="S4" s="793" t="s">
        <v>35</v>
      </c>
      <c r="T4" s="672"/>
      <c r="U4" s="672"/>
      <c r="V4" s="672"/>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793" t="s">
        <v>36</v>
      </c>
      <c r="T5" s="672"/>
      <c r="U5" s="672"/>
      <c r="V5" s="672"/>
      <c r="W5" s="37" t="b">
        <v>1</v>
      </c>
    </row>
    <row r="6" spans="1:27" ht="12" customHeight="1" thickBot="1" x14ac:dyDescent="0.3">
      <c r="A6" s="38" t="s">
        <v>9</v>
      </c>
      <c r="B6" s="780">
        <f>IF($E$1=1,B4,IF($E$1=2,B4*(1+C5),+Amortization!O3))</f>
        <v>346500</v>
      </c>
      <c r="C6" s="781"/>
      <c r="D6" s="345"/>
      <c r="E6" s="320"/>
      <c r="F6" s="324"/>
      <c r="G6" s="325">
        <f>IF(OR(E1=1,E1=2),$B$6,0)</f>
        <v>0</v>
      </c>
      <c r="H6" s="554"/>
      <c r="I6" s="558"/>
      <c r="J6" s="356"/>
      <c r="K6" s="357"/>
      <c r="N6" s="597"/>
      <c r="O6" s="598"/>
      <c r="S6" s="793"/>
      <c r="T6" s="672"/>
      <c r="U6" s="672"/>
      <c r="V6" s="672"/>
      <c r="W6" s="37" t="b">
        <v>0</v>
      </c>
    </row>
    <row r="7" spans="1:27" ht="12" customHeight="1" thickBot="1" x14ac:dyDescent="0.25">
      <c r="A7" s="38" t="s">
        <v>11</v>
      </c>
      <c r="B7" s="411">
        <f>+Amortization!$K$3</f>
        <v>0.57720000000000005</v>
      </c>
      <c r="C7" s="318">
        <f>+Amortization!O4</f>
        <v>189900</v>
      </c>
      <c r="D7" s="345"/>
      <c r="E7" s="320"/>
      <c r="F7" s="324"/>
      <c r="G7" s="545">
        <f>IF(E1=3,+C7,0)</f>
        <v>189900</v>
      </c>
      <c r="H7" s="554"/>
      <c r="I7" s="558"/>
      <c r="J7" s="356"/>
      <c r="K7" s="357"/>
      <c r="L7" s="829" t="s">
        <v>10</v>
      </c>
      <c r="M7" s="835">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797"/>
      <c r="M8" s="836"/>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1453.8</v>
      </c>
      <c r="L9" s="829" t="s">
        <v>12</v>
      </c>
      <c r="M9" s="833">
        <v>1368</v>
      </c>
      <c r="N9" s="599"/>
      <c r="O9" s="600">
        <f>+tradeMonthlyNetSpread</f>
        <v>0</v>
      </c>
    </row>
    <row r="10" spans="1:27" ht="12" customHeight="1" thickBot="1" x14ac:dyDescent="0.25">
      <c r="C10" s="782" t="s">
        <v>13</v>
      </c>
      <c r="D10" s="744" t="s">
        <v>13</v>
      </c>
      <c r="E10" s="117">
        <f>SUM(D4:E9)</f>
        <v>22200</v>
      </c>
      <c r="F10" s="794">
        <f>+SUM(F4:G9)</f>
        <v>189900</v>
      </c>
      <c r="G10" s="795"/>
      <c r="H10" s="114"/>
      <c r="I10" s="114"/>
      <c r="J10" s="794">
        <f>SUM(J4:K9)</f>
        <v>1453.8</v>
      </c>
      <c r="K10" s="795"/>
      <c r="L10" s="830"/>
      <c r="M10" s="834"/>
      <c r="N10" s="794">
        <f>SUM(N4:O9)</f>
        <v>0</v>
      </c>
      <c r="O10" s="795"/>
      <c r="Q10" s="448" t="s">
        <v>618</v>
      </c>
      <c r="R10" s="449"/>
      <c r="S10" s="442"/>
      <c r="T10" s="450"/>
      <c r="W10" s="37" t="s">
        <v>713</v>
      </c>
      <c r="X10" s="37" t="s">
        <v>714</v>
      </c>
      <c r="Y10" s="130"/>
    </row>
    <row r="11" spans="1:27" ht="12" customHeight="1" thickBot="1" x14ac:dyDescent="0.3">
      <c r="C11" s="118"/>
      <c r="D11" s="774" t="str">
        <f>IF(E1=3,"Profit calculations based on selling in 5 years","")</f>
        <v>Profit calculations based on selling in 5 years</v>
      </c>
      <c r="E11" s="775"/>
      <c r="F11" s="775"/>
      <c r="G11" s="775"/>
      <c r="H11" s="775"/>
      <c r="I11" s="775"/>
      <c r="J11" s="775"/>
      <c r="K11" s="775"/>
      <c r="L11" s="776"/>
      <c r="M11" s="776"/>
      <c r="N11" s="776"/>
      <c r="O11" s="777"/>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1</v>
      </c>
      <c r="T13" s="452">
        <f>M61</f>
        <v>145229.66617587986</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98" t="s">
        <v>16</v>
      </c>
      <c r="I14" s="799"/>
      <c r="J14" s="776"/>
      <c r="K14" s="777"/>
      <c r="L14" s="755" t="s">
        <v>17</v>
      </c>
      <c r="M14" s="822"/>
      <c r="N14" s="595"/>
      <c r="O14" s="596"/>
      <c r="Q14" s="451" t="s">
        <v>619</v>
      </c>
      <c r="R14" s="454">
        <v>0.35</v>
      </c>
      <c r="S14" s="310" t="b">
        <f>R14&lt;M61/B4</f>
        <v>1</v>
      </c>
      <c r="T14" s="455">
        <f>+M61/B4</f>
        <v>0.44008989750266625</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823"/>
      <c r="M15" s="824"/>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823"/>
      <c r="M16" s="824"/>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825"/>
      <c r="M17" s="826"/>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746">
        <f>-SUM(D14:D20)</f>
        <v>102614.14</v>
      </c>
      <c r="C21" s="832"/>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827" t="s">
        <v>602</v>
      </c>
      <c r="M22" s="828"/>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827" t="s">
        <v>590</v>
      </c>
      <c r="M23" s="828"/>
      <c r="N23" s="597"/>
      <c r="O23" s="598"/>
      <c r="T23" s="406"/>
    </row>
    <row r="24" spans="1:26" ht="12" customHeight="1" thickBot="1" x14ac:dyDescent="0.25">
      <c r="A24" s="38" t="s">
        <v>594</v>
      </c>
      <c r="B24" s="831">
        <v>45566</v>
      </c>
      <c r="C24" s="736"/>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51">
        <v>5000</v>
      </c>
      <c r="C27" s="752">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837" t="s">
        <v>23</v>
      </c>
      <c r="M29" s="758"/>
      <c r="N29" s="597"/>
      <c r="O29" s="598"/>
      <c r="U29" s="130"/>
    </row>
    <row r="30" spans="1:26" ht="12" customHeight="1" thickBot="1" x14ac:dyDescent="0.25">
      <c r="A30" s="128" t="s">
        <v>575</v>
      </c>
      <c r="C30" s="467">
        <f>+B45/B9</f>
        <v>2120.5562425833332</v>
      </c>
      <c r="D30" s="345"/>
      <c r="E30" s="320"/>
      <c r="F30" s="324"/>
      <c r="G30" s="325"/>
      <c r="H30" s="551"/>
      <c r="I30" s="558"/>
      <c r="J30" s="358"/>
      <c r="K30" s="357"/>
      <c r="L30" s="838"/>
      <c r="M30" s="839"/>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814" t="s">
        <v>25</v>
      </c>
      <c r="M31" s="815"/>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816"/>
      <c r="M32" s="817"/>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816"/>
      <c r="M33" s="817"/>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818"/>
      <c r="M34" s="694"/>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802" t="s">
        <v>26</v>
      </c>
      <c r="M41" s="800">
        <f>IF(+E1=3,-J53,+B42/B28)</f>
        <v>966.7131191153934</v>
      </c>
      <c r="N41" s="597"/>
      <c r="O41" s="598"/>
    </row>
    <row r="42" spans="1:15" ht="12" customHeight="1" thickBot="1" x14ac:dyDescent="0.3">
      <c r="A42" s="38" t="s">
        <v>26</v>
      </c>
      <c r="B42" s="746">
        <f>+B28*SUM(B31:B41)</f>
        <v>17416.090000000004</v>
      </c>
      <c r="C42" s="747"/>
      <c r="D42" s="319">
        <f>IF(E1=1,-B42,0)</f>
        <v>0</v>
      </c>
      <c r="E42" s="320"/>
      <c r="F42" s="324"/>
      <c r="G42" s="325"/>
      <c r="H42" s="551"/>
      <c r="I42" s="558"/>
      <c r="J42" s="358"/>
      <c r="K42" s="357"/>
      <c r="L42" s="803"/>
      <c r="M42" s="801"/>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802" t="s">
        <v>1013</v>
      </c>
      <c r="M44" s="800">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803"/>
      <c r="M45" s="801"/>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806" t="s">
        <v>27</v>
      </c>
      <c r="M47" s="800">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807"/>
      <c r="M48" s="801"/>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66"/>
      <c r="C50" s="767"/>
      <c r="D50" s="346"/>
      <c r="E50" s="320"/>
      <c r="F50" s="324">
        <f>-C50</f>
        <v>0</v>
      </c>
      <c r="G50" s="325"/>
      <c r="H50" s="551"/>
      <c r="I50" s="558"/>
      <c r="J50" s="360"/>
      <c r="K50" s="357"/>
      <c r="L50" s="806" t="s">
        <v>31</v>
      </c>
      <c r="M50" s="800">
        <f>-E54</f>
        <v>-57150.065089000011</v>
      </c>
      <c r="N50" s="597"/>
      <c r="O50" s="598"/>
    </row>
    <row r="51" spans="1:19" ht="12" customHeight="1" thickBot="1" x14ac:dyDescent="0.25">
      <c r="A51" s="38" t="s">
        <v>38</v>
      </c>
      <c r="B51" s="764">
        <f>+D89</f>
        <v>940</v>
      </c>
      <c r="C51" s="765"/>
      <c r="D51" s="345">
        <f>-B51</f>
        <v>-940</v>
      </c>
      <c r="E51" s="320"/>
      <c r="F51" s="324"/>
      <c r="G51" s="325"/>
      <c r="H51" s="551"/>
      <c r="I51" s="558"/>
      <c r="J51" s="360"/>
      <c r="K51" s="357"/>
      <c r="L51" s="807"/>
      <c r="M51" s="801"/>
      <c r="N51" s="597"/>
      <c r="O51" s="598"/>
    </row>
    <row r="52" spans="1:19" ht="12" customHeight="1" thickBot="1" x14ac:dyDescent="0.25">
      <c r="A52" s="38" t="s">
        <v>39</v>
      </c>
      <c r="B52" s="762">
        <f>+D100</f>
        <v>290</v>
      </c>
      <c r="C52" s="763"/>
      <c r="D52" s="347"/>
      <c r="E52" s="348"/>
      <c r="F52" s="349">
        <f>-B52</f>
        <v>-290</v>
      </c>
      <c r="G52" s="350"/>
      <c r="H52" s="550"/>
      <c r="I52" s="559"/>
      <c r="J52" s="361"/>
      <c r="K52" s="362"/>
      <c r="L52" s="631"/>
      <c r="M52" s="608"/>
      <c r="N52" s="599"/>
      <c r="O52" s="600"/>
    </row>
    <row r="53" spans="1:19" ht="12" customHeight="1" thickBot="1" x14ac:dyDescent="0.25">
      <c r="B53" s="748" t="s">
        <v>40</v>
      </c>
      <c r="C53" s="749"/>
      <c r="D53" s="183">
        <f>+SUM(D14:D52)</f>
        <v>-134600.81491099999</v>
      </c>
      <c r="E53" s="404"/>
      <c r="F53" s="405">
        <f>+SUM(F14:F52)</f>
        <v>-290</v>
      </c>
      <c r="G53" s="404"/>
      <c r="H53" s="405">
        <f>+SUM(H14:H52)</f>
        <v>-134352.06</v>
      </c>
      <c r="I53" s="404"/>
      <c r="J53" s="405">
        <f>SUM(J15:J52)</f>
        <v>-966.7131191153934</v>
      </c>
      <c r="K53" s="635"/>
      <c r="L53" s="689" t="s">
        <v>42</v>
      </c>
      <c r="M53" s="692" t="s">
        <v>43</v>
      </c>
      <c r="N53" s="634">
        <f>SUM(N15:N52)</f>
        <v>0</v>
      </c>
      <c r="O53" s="634"/>
    </row>
    <row r="54" spans="1:19" ht="12" customHeight="1" thickBot="1" x14ac:dyDescent="0.25">
      <c r="A54" s="39"/>
      <c r="B54" s="744" t="s">
        <v>41</v>
      </c>
      <c r="C54" s="745"/>
      <c r="D54" s="745"/>
      <c r="E54" s="560">
        <f>+SUM(D10:E52)</f>
        <v>57150.065089000011</v>
      </c>
      <c r="F54" s="704">
        <f>+SUM(F10:G52)</f>
        <v>189610</v>
      </c>
      <c r="G54" s="705"/>
      <c r="H54" s="686"/>
      <c r="I54" s="686"/>
      <c r="J54" s="686">
        <f>+SUM(J10:K52)</f>
        <v>487.0868808846065</v>
      </c>
      <c r="K54" s="686"/>
      <c r="L54" s="690"/>
      <c r="M54" s="693"/>
      <c r="N54" s="615"/>
      <c r="O54" s="617">
        <f>+SUM(N10:O52)</f>
        <v>0</v>
      </c>
    </row>
    <row r="55" spans="1:19" ht="12" customHeight="1" thickBot="1" x14ac:dyDescent="0.25">
      <c r="A55" s="39"/>
      <c r="B55" s="39"/>
      <c r="D55" s="39"/>
      <c r="E55" s="750" t="s">
        <v>1163</v>
      </c>
      <c r="F55" s="731"/>
      <c r="G55" s="549">
        <f>SUM(E54:G54)</f>
        <v>246760.06508900001</v>
      </c>
      <c r="H55" s="686">
        <f>+SUM(H10:I52)</f>
        <v>-134352.06</v>
      </c>
      <c r="I55" s="686"/>
      <c r="J55" s="627" t="s">
        <v>90</v>
      </c>
      <c r="K55" s="632">
        <f>+$H$57</f>
        <v>120</v>
      </c>
      <c r="L55" s="690"/>
      <c r="M55" s="693"/>
      <c r="N55" s="615"/>
      <c r="O55" s="617"/>
    </row>
    <row r="56" spans="1:19" ht="12" customHeight="1" thickBot="1" x14ac:dyDescent="0.3">
      <c r="A56" s="39"/>
      <c r="B56" s="39"/>
      <c r="D56" s="39"/>
      <c r="E56" s="750" t="s">
        <v>1164</v>
      </c>
      <c r="F56" s="731"/>
      <c r="G56" s="131"/>
      <c r="H56" s="700">
        <f>SUM(G55:I55)</f>
        <v>112408.00508900001</v>
      </c>
      <c r="I56" s="701"/>
      <c r="J56" s="610"/>
      <c r="K56" s="611">
        <f>IF(OR($E$1=2,$E$1=3),+K55*SUM(J10:K52),0)</f>
        <v>58450.425706152782</v>
      </c>
      <c r="L56" s="691"/>
      <c r="M56" s="694"/>
      <c r="N56" s="633" t="s">
        <v>90</v>
      </c>
      <c r="O56" s="637">
        <f>+$H$57</f>
        <v>120</v>
      </c>
      <c r="P56" s="683" t="s">
        <v>1160</v>
      </c>
      <c r="Q56" s="684"/>
      <c r="R56" s="684"/>
      <c r="S56" s="685"/>
    </row>
    <row r="57" spans="1:19" ht="12" customHeight="1" thickBot="1" x14ac:dyDescent="0.3">
      <c r="A57" s="39"/>
      <c r="B57" s="39"/>
      <c r="E57" s="706" t="s">
        <v>1161</v>
      </c>
      <c r="F57" s="707"/>
      <c r="G57" s="672"/>
      <c r="H57" s="625">
        <f>IF(OR(E1=2,E1=3),IF(E1=2,B9,cfdFirstRateMonths),0)</f>
        <v>120</v>
      </c>
      <c r="I57" s="607"/>
      <c r="J57" s="687">
        <f>SUM(H56:K56)</f>
        <v>170858.43079515279</v>
      </c>
      <c r="K57" s="688"/>
      <c r="L57" s="626"/>
      <c r="M57" s="626"/>
      <c r="N57" s="618"/>
      <c r="O57" s="616">
        <f>IF($E$1=3,+$H$57*O54,0)</f>
        <v>0</v>
      </c>
      <c r="P57" s="680"/>
      <c r="Q57" s="681"/>
      <c r="R57" s="681"/>
      <c r="S57" s="682"/>
    </row>
    <row r="58" spans="1:19" ht="12" customHeight="1" thickBot="1" x14ac:dyDescent="0.3">
      <c r="A58" s="39"/>
      <c r="B58" s="39"/>
      <c r="E58" s="590"/>
      <c r="F58" s="702" t="s">
        <v>604</v>
      </c>
      <c r="G58" s="703"/>
      <c r="H58" s="591"/>
      <c r="I58" s="591"/>
      <c r="J58" s="592"/>
      <c r="K58" s="592"/>
      <c r="L58" s="609">
        <f>$B$25*$K$58</f>
        <v>0</v>
      </c>
      <c r="M58" s="614">
        <f>+J57</f>
        <v>170858.43079515279</v>
      </c>
      <c r="N58" s="619"/>
      <c r="O58" s="620"/>
      <c r="P58" s="680"/>
      <c r="Q58" s="681"/>
      <c r="R58" s="681"/>
      <c r="S58" s="682"/>
    </row>
    <row r="59" spans="1:19" ht="12" customHeight="1" thickTop="1" thickBot="1" x14ac:dyDescent="0.3">
      <c r="A59" s="124" t="s">
        <v>44</v>
      </c>
      <c r="B59" s="772">
        <f>IF(OR($E$1=2,$E$1=3),0.15,0)</f>
        <v>0.15</v>
      </c>
      <c r="C59" s="773"/>
      <c r="D59" s="124"/>
      <c r="E59" s="124"/>
      <c r="F59" s="695" t="s">
        <v>595</v>
      </c>
      <c r="G59" s="696"/>
      <c r="H59" s="696"/>
      <c r="I59" s="672"/>
      <c r="J59" s="672"/>
      <c r="K59" s="672"/>
      <c r="L59" s="131">
        <f>-J83</f>
        <v>0</v>
      </c>
      <c r="M59" s="613">
        <f>+J83</f>
        <v>0</v>
      </c>
      <c r="N59" s="621"/>
      <c r="O59" s="622">
        <f>SUM(J57:O57)</f>
        <v>170858.43079515279</v>
      </c>
      <c r="P59" s="680" t="s">
        <v>1162</v>
      </c>
      <c r="Q59" s="681"/>
      <c r="R59" s="681"/>
      <c r="S59" s="682"/>
    </row>
    <row r="60" spans="1:19" ht="12" customHeight="1" thickTop="1" thickBot="1" x14ac:dyDescent="0.3">
      <c r="A60" s="38" t="s">
        <v>45</v>
      </c>
      <c r="B60" s="768">
        <v>0.1</v>
      </c>
      <c r="C60" s="769">
        <v>0.15</v>
      </c>
      <c r="D60" s="770">
        <f>+M62*B60</f>
        <v>14522.966617587987</v>
      </c>
      <c r="E60" s="771"/>
      <c r="F60" s="695" t="s">
        <v>1119</v>
      </c>
      <c r="G60" s="696"/>
      <c r="H60" s="696"/>
      <c r="I60" s="672"/>
      <c r="J60" s="672"/>
      <c r="K60" s="672"/>
      <c r="L60" s="379" t="s">
        <v>466</v>
      </c>
      <c r="M60" s="628">
        <f>IF(OR($B$59="",M58&lt;0),0,-$B$59*SUM(M58:M59))</f>
        <v>-25628.764619272919</v>
      </c>
      <c r="N60" s="623"/>
      <c r="O60" s="636">
        <f>IF(OR($B$59="",O58&lt;0),0,-$B$59*O59)</f>
        <v>-25628.764619272919</v>
      </c>
      <c r="P60" s="680"/>
      <c r="Q60" s="681"/>
      <c r="R60" s="681"/>
      <c r="S60" s="682"/>
    </row>
    <row r="61" spans="1:19" ht="12" customHeight="1" thickBot="1" x14ac:dyDescent="0.3">
      <c r="F61" s="695" t="s">
        <v>1120</v>
      </c>
      <c r="G61" s="696"/>
      <c r="H61" s="696"/>
      <c r="I61" s="672"/>
      <c r="J61" s="672"/>
      <c r="K61" s="672"/>
      <c r="L61" s="123">
        <f>SUM(L58:L60)</f>
        <v>0</v>
      </c>
      <c r="M61" s="612">
        <f>SUM(M58:M60)</f>
        <v>145229.66617587986</v>
      </c>
      <c r="N61" s="623"/>
      <c r="O61" s="617">
        <f>IF($E$1=3,Docs!H49,0)</f>
        <v>0</v>
      </c>
      <c r="P61" s="680" t="str">
        <f>IF('Trade Properties'!$J$11=2, ":CMA Based", ":Cap Based") &amp; " - Trade Asset Value Received:"</f>
        <v>:CMA Based - Trade Asset Value Received:</v>
      </c>
      <c r="Q61" s="681"/>
      <c r="R61" s="681"/>
      <c r="S61" s="682"/>
    </row>
    <row r="62" spans="1:19" ht="12" customHeight="1" thickBot="1" x14ac:dyDescent="0.3">
      <c r="A62" s="116"/>
      <c r="C62" s="38"/>
      <c r="D62" s="38"/>
      <c r="E62" s="38"/>
      <c r="F62" s="697" t="s">
        <v>605</v>
      </c>
      <c r="G62" s="698"/>
      <c r="H62" s="698"/>
      <c r="I62" s="699"/>
      <c r="J62" s="699"/>
      <c r="K62" s="699"/>
      <c r="L62" s="629"/>
      <c r="M62" s="630">
        <f>SUM(L61:M61)</f>
        <v>145229.66617587986</v>
      </c>
      <c r="N62" s="619"/>
      <c r="O62" s="624">
        <f>SUM(O59:O61)</f>
        <v>145229.66617587986</v>
      </c>
      <c r="P62" s="677" t="s">
        <v>1159</v>
      </c>
      <c r="Q62" s="678"/>
      <c r="R62" s="678"/>
      <c r="S62" s="679"/>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10">
        <f>+'Gnatt Chart'!J5</f>
        <v>25446.674910999998</v>
      </c>
      <c r="C66" s="710"/>
      <c r="D66" s="710">
        <f>-B66</f>
        <v>-25446.674910999998</v>
      </c>
      <c r="E66" s="710"/>
    </row>
    <row r="67" spans="1:12" ht="12" customHeight="1" thickBot="1" x14ac:dyDescent="0.25">
      <c r="A67" s="38" t="s">
        <v>48</v>
      </c>
      <c r="B67" s="125">
        <v>0.1</v>
      </c>
      <c r="D67" s="710"/>
      <c r="E67" s="710"/>
    </row>
    <row r="68" spans="1:12" ht="12" customHeight="1" thickBot="1" x14ac:dyDescent="0.25">
      <c r="A68" s="38" t="s">
        <v>49</v>
      </c>
      <c r="B68" s="741">
        <f>IF(M13,0,+B67*SUM(B66:C66))</f>
        <v>0</v>
      </c>
      <c r="C68" s="741"/>
      <c r="D68" s="741">
        <f>-B68</f>
        <v>0</v>
      </c>
      <c r="E68" s="741"/>
      <c r="G68" s="755" t="s">
        <v>1156</v>
      </c>
      <c r="H68" s="756"/>
      <c r="I68" s="756"/>
      <c r="J68" s="757"/>
      <c r="K68" s="757"/>
      <c r="L68" s="758"/>
    </row>
    <row r="69" spans="1:12" ht="12" customHeight="1" thickBot="1" x14ac:dyDescent="0.25">
      <c r="A69" s="38" t="s">
        <v>50</v>
      </c>
      <c r="D69" s="708">
        <f>+SUM(D66:E68)</f>
        <v>-25446.674910999998</v>
      </c>
      <c r="E69" s="709"/>
      <c r="G69" s="759"/>
      <c r="H69" s="760"/>
      <c r="I69" s="760"/>
      <c r="J69" s="760"/>
      <c r="K69" s="760"/>
      <c r="L69" s="761"/>
    </row>
    <row r="70" spans="1:12" ht="12" customHeight="1" thickTop="1" thickBot="1" x14ac:dyDescent="0.25">
      <c r="A70" s="126" t="s">
        <v>51</v>
      </c>
      <c r="B70" s="124"/>
      <c r="C70" s="124"/>
      <c r="D70" s="38"/>
      <c r="E70" s="38"/>
      <c r="G70" s="720" t="s">
        <v>1157</v>
      </c>
      <c r="H70" s="721"/>
      <c r="I70" s="721"/>
      <c r="J70" s="722"/>
      <c r="K70" s="722"/>
      <c r="L70" s="723"/>
    </row>
    <row r="71" spans="1:12" ht="12" customHeight="1" thickBot="1" x14ac:dyDescent="0.25">
      <c r="A71" s="38" t="s">
        <v>52</v>
      </c>
      <c r="B71" s="786">
        <v>350</v>
      </c>
      <c r="C71" s="787"/>
      <c r="D71" s="710"/>
      <c r="E71" s="710"/>
      <c r="G71" s="717"/>
      <c r="H71" s="718"/>
      <c r="I71" s="718"/>
      <c r="J71" s="718"/>
      <c r="K71" s="718"/>
      <c r="L71" s="719"/>
    </row>
    <row r="72" spans="1:12" ht="12" customHeight="1" thickBot="1" x14ac:dyDescent="0.25">
      <c r="A72" s="38" t="s">
        <v>53</v>
      </c>
      <c r="B72" s="783">
        <v>0</v>
      </c>
      <c r="C72" s="784"/>
      <c r="D72" s="710"/>
      <c r="E72" s="710"/>
      <c r="J72" s="37"/>
      <c r="K72" s="37"/>
    </row>
    <row r="73" spans="1:12" ht="12" customHeight="1" thickBot="1" x14ac:dyDescent="0.3">
      <c r="A73" s="38" t="s">
        <v>54</v>
      </c>
      <c r="B73" s="783">
        <v>250</v>
      </c>
      <c r="C73" s="784"/>
      <c r="F73" s="785" t="s">
        <v>475</v>
      </c>
      <c r="G73" s="738"/>
      <c r="H73" s="738" t="s">
        <v>207</v>
      </c>
      <c r="I73" s="738"/>
      <c r="J73" s="737" t="s">
        <v>476</v>
      </c>
      <c r="K73" s="672"/>
    </row>
    <row r="74" spans="1:12" ht="12" customHeight="1" thickBot="1" x14ac:dyDescent="0.3">
      <c r="A74" s="38" t="s">
        <v>54</v>
      </c>
      <c r="B74" s="783"/>
      <c r="C74" s="784"/>
      <c r="F74" s="711">
        <f>_xlfn.DAYS(J74,H74)</f>
        <v>183</v>
      </c>
      <c r="G74" s="712"/>
      <c r="H74" s="735">
        <v>45748</v>
      </c>
      <c r="I74" s="736"/>
      <c r="J74" s="735">
        <v>45931</v>
      </c>
      <c r="K74" s="736"/>
    </row>
    <row r="75" spans="1:12" ht="12" customHeight="1" x14ac:dyDescent="0.2">
      <c r="A75" s="38" t="s">
        <v>55</v>
      </c>
      <c r="B75" s="783"/>
      <c r="C75" s="784"/>
      <c r="D75" s="121"/>
      <c r="E75" s="114"/>
      <c r="F75" s="114"/>
      <c r="H75" s="114"/>
      <c r="I75" s="292"/>
      <c r="J75" s="293"/>
      <c r="K75" s="114"/>
      <c r="L75" s="724" t="s">
        <v>559</v>
      </c>
    </row>
    <row r="76" spans="1:12" ht="12" customHeight="1" x14ac:dyDescent="0.2">
      <c r="A76" s="38" t="s">
        <v>55</v>
      </c>
      <c r="B76" s="783"/>
      <c r="C76" s="784"/>
      <c r="D76" s="294"/>
      <c r="G76" s="727"/>
      <c r="H76" s="727" t="s">
        <v>477</v>
      </c>
      <c r="I76" s="727" t="s">
        <v>478</v>
      </c>
      <c r="J76" s="727" t="s">
        <v>479</v>
      </c>
      <c r="K76" s="727" t="s">
        <v>480</v>
      </c>
      <c r="L76" s="725"/>
    </row>
    <row r="77" spans="1:12" ht="12" customHeight="1" thickBot="1" x14ac:dyDescent="0.25">
      <c r="A77" s="38" t="s">
        <v>56</v>
      </c>
      <c r="B77" s="783"/>
      <c r="C77" s="784"/>
      <c r="D77" s="115" t="s">
        <v>248</v>
      </c>
      <c r="E77" s="792" t="s">
        <v>481</v>
      </c>
      <c r="F77" s="792"/>
      <c r="G77" s="728"/>
      <c r="H77" s="728"/>
      <c r="I77" s="728"/>
      <c r="J77" s="728"/>
      <c r="K77" s="728"/>
      <c r="L77" s="726"/>
    </row>
    <row r="78" spans="1:12" ht="12" customHeight="1" x14ac:dyDescent="0.25">
      <c r="A78" s="38" t="s">
        <v>57</v>
      </c>
      <c r="B78" s="783"/>
      <c r="C78" s="784"/>
      <c r="D78" s="543">
        <v>45397</v>
      </c>
      <c r="E78" s="733" t="s">
        <v>598</v>
      </c>
      <c r="F78" s="734"/>
      <c r="G78" s="672"/>
      <c r="H78" s="351"/>
      <c r="I78" s="352">
        <f>+H78/$H$84</f>
        <v>0</v>
      </c>
      <c r="J78" s="353">
        <f>+$L$58*I78</f>
        <v>0</v>
      </c>
      <c r="K78" s="354">
        <f>+H78+J78</f>
        <v>0</v>
      </c>
      <c r="L78" s="355">
        <f>IF(H78="",0,+J78/H78*365/_xlfn.DAYS($J$74,D78))</f>
        <v>0</v>
      </c>
    </row>
    <row r="79" spans="1:12" ht="12" customHeight="1" x14ac:dyDescent="0.25">
      <c r="A79" s="38" t="s">
        <v>58</v>
      </c>
      <c r="B79" s="783"/>
      <c r="C79" s="784"/>
      <c r="D79" s="543">
        <f>+D78+90</f>
        <v>45487</v>
      </c>
      <c r="E79" s="733" t="str">
        <f>+E78</f>
        <v>unknown</v>
      </c>
      <c r="F79" s="734"/>
      <c r="G79" s="672"/>
      <c r="H79" s="351"/>
      <c r="I79" s="352">
        <f>+H79/$H$84</f>
        <v>0</v>
      </c>
      <c r="J79" s="353">
        <f>+$L$58*I79</f>
        <v>0</v>
      </c>
      <c r="K79" s="354">
        <f>+H79+J79</f>
        <v>0</v>
      </c>
      <c r="L79" s="355">
        <f>IF(H79="",0,+J79/H79*365/_xlfn.DAYS($J$74,D79))</f>
        <v>0</v>
      </c>
    </row>
    <row r="80" spans="1:12" ht="12" customHeight="1" x14ac:dyDescent="0.25">
      <c r="A80" s="38" t="s">
        <v>59</v>
      </c>
      <c r="B80" s="783"/>
      <c r="C80" s="784"/>
      <c r="D80" s="543">
        <f>+D79+270</f>
        <v>45757</v>
      </c>
      <c r="E80" s="733" t="str">
        <f>+E79</f>
        <v>unknown</v>
      </c>
      <c r="F80" s="734"/>
      <c r="G80" s="672"/>
      <c r="H80" s="351"/>
      <c r="I80" s="352">
        <f>+H80/$H$84</f>
        <v>0</v>
      </c>
      <c r="J80" s="353">
        <f>+$L$58*I80</f>
        <v>0</v>
      </c>
      <c r="K80" s="354">
        <f>+H80+J80</f>
        <v>0</v>
      </c>
      <c r="L80" s="355">
        <f>IF(H80="",0,+J80/H80*365/_xlfn.DAYS($J$74,D80))</f>
        <v>0</v>
      </c>
    </row>
    <row r="81" spans="1:12" ht="12" customHeight="1" thickBot="1" x14ac:dyDescent="0.3">
      <c r="A81" s="38" t="s">
        <v>60</v>
      </c>
      <c r="B81" s="783"/>
      <c r="C81" s="784"/>
      <c r="D81" s="543">
        <f>+J74-120</f>
        <v>45811</v>
      </c>
      <c r="E81" s="733" t="str">
        <f>+E80</f>
        <v>unknown</v>
      </c>
      <c r="F81" s="734"/>
      <c r="G81" s="672"/>
      <c r="H81" s="351"/>
      <c r="I81" s="352">
        <f>+H81/$H$84</f>
        <v>0</v>
      </c>
      <c r="J81" s="353">
        <f>+$L$58*I81</f>
        <v>0</v>
      </c>
      <c r="K81" s="354">
        <f>+H81+J81</f>
        <v>0</v>
      </c>
      <c r="L81" s="355">
        <f>IF(H81="",0,+J81/H81*365/_xlfn.DAYS($J$74,D81))</f>
        <v>0</v>
      </c>
    </row>
    <row r="82" spans="1:12" ht="12" customHeight="1" thickBot="1" x14ac:dyDescent="0.3">
      <c r="A82" s="38" t="s">
        <v>61</v>
      </c>
      <c r="B82" s="783">
        <v>200</v>
      </c>
      <c r="C82" s="784"/>
      <c r="D82" s="544">
        <v>45422</v>
      </c>
      <c r="E82" s="731" t="str">
        <f>+F1</f>
        <v>Heritage Management</v>
      </c>
      <c r="F82" s="732"/>
      <c r="G82" s="672"/>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83"/>
      <c r="C83" s="784"/>
      <c r="D83" s="332" t="str">
        <f>+J73</f>
        <v>End Date</v>
      </c>
      <c r="E83" s="733" t="s">
        <v>596</v>
      </c>
      <c r="F83" s="734"/>
      <c r="G83" s="672"/>
      <c r="H83" s="333">
        <f>+SUM(H77:H80)</f>
        <v>0</v>
      </c>
      <c r="I83" s="334">
        <f>+SUM(I77:I80)</f>
        <v>0</v>
      </c>
      <c r="J83" s="333">
        <f>+SUM(J77:J80)</f>
        <v>0</v>
      </c>
      <c r="K83" s="333">
        <f>+SUM(K77:K80)</f>
        <v>0</v>
      </c>
      <c r="L83" s="335">
        <f>AVERAGE(L77:L80)</f>
        <v>0</v>
      </c>
    </row>
    <row r="84" spans="1:12" ht="12" customHeight="1" thickBot="1" x14ac:dyDescent="0.3">
      <c r="A84" s="38" t="s">
        <v>63</v>
      </c>
      <c r="B84" s="783"/>
      <c r="C84" s="784"/>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83">
        <v>90</v>
      </c>
      <c r="C85" s="784"/>
      <c r="D85" s="710"/>
      <c r="E85" s="710"/>
    </row>
    <row r="86" spans="1:12" ht="12" customHeight="1" x14ac:dyDescent="0.2">
      <c r="A86" s="38" t="s">
        <v>560</v>
      </c>
      <c r="B86" s="783">
        <v>20</v>
      </c>
      <c r="C86" s="784"/>
      <c r="D86" s="710"/>
      <c r="E86" s="710"/>
    </row>
    <row r="87" spans="1:12" ht="12" customHeight="1" x14ac:dyDescent="0.2">
      <c r="A87" s="38" t="s">
        <v>65</v>
      </c>
      <c r="B87" s="783">
        <v>30</v>
      </c>
      <c r="C87" s="784"/>
      <c r="D87" s="710"/>
      <c r="E87" s="710"/>
    </row>
    <row r="88" spans="1:12" ht="12" customHeight="1" thickBot="1" x14ac:dyDescent="0.25">
      <c r="A88" s="38" t="s">
        <v>66</v>
      </c>
      <c r="B88" s="788"/>
      <c r="C88" s="789"/>
      <c r="D88" s="729"/>
      <c r="E88" s="730"/>
    </row>
    <row r="89" spans="1:12" ht="12" customHeight="1" thickBot="1" x14ac:dyDescent="0.25">
      <c r="D89" s="708">
        <f>+SUM(B71:C88)</f>
        <v>940</v>
      </c>
      <c r="E89" s="709"/>
      <c r="G89" s="713" t="s">
        <v>67</v>
      </c>
      <c r="H89" s="714"/>
      <c r="I89" s="714"/>
      <c r="J89" s="715"/>
      <c r="K89" s="715"/>
      <c r="L89" s="716"/>
    </row>
    <row r="90" spans="1:12" ht="12" customHeight="1" thickBot="1" x14ac:dyDescent="0.25">
      <c r="G90" s="717"/>
      <c r="H90" s="718"/>
      <c r="I90" s="718"/>
      <c r="J90" s="718"/>
      <c r="K90" s="718"/>
      <c r="L90" s="719"/>
    </row>
    <row r="91" spans="1:12" ht="12" customHeight="1" thickTop="1" thickBot="1" x14ac:dyDescent="0.25">
      <c r="A91" s="126" t="s">
        <v>68</v>
      </c>
      <c r="B91" s="124"/>
      <c r="C91" s="124"/>
      <c r="D91" s="124"/>
      <c r="E91" s="124"/>
    </row>
    <row r="92" spans="1:12" ht="12" customHeight="1" x14ac:dyDescent="0.2">
      <c r="A92" s="38" t="s">
        <v>52</v>
      </c>
      <c r="B92" s="786"/>
      <c r="C92" s="787"/>
      <c r="D92" s="710"/>
      <c r="E92" s="710"/>
    </row>
    <row r="93" spans="1:12" ht="12" customHeight="1" x14ac:dyDescent="0.2">
      <c r="A93" s="38" t="s">
        <v>54</v>
      </c>
      <c r="B93" s="783">
        <v>250</v>
      </c>
      <c r="C93" s="784"/>
      <c r="D93" s="710"/>
      <c r="E93" s="710"/>
    </row>
    <row r="94" spans="1:12" ht="12" customHeight="1" x14ac:dyDescent="0.2">
      <c r="A94" s="38" t="s">
        <v>69</v>
      </c>
      <c r="B94" s="783">
        <v>0</v>
      </c>
      <c r="C94" s="784"/>
      <c r="D94" s="710"/>
      <c r="E94" s="710"/>
    </row>
    <row r="95" spans="1:12" ht="12" customHeight="1" x14ac:dyDescent="0.2">
      <c r="A95" s="38" t="s">
        <v>70</v>
      </c>
      <c r="B95" s="783"/>
      <c r="C95" s="784"/>
      <c r="D95" s="710"/>
      <c r="E95" s="710"/>
    </row>
    <row r="96" spans="1:12" ht="12" customHeight="1" x14ac:dyDescent="0.2">
      <c r="A96" s="38" t="s">
        <v>64</v>
      </c>
      <c r="B96" s="783"/>
      <c r="C96" s="784"/>
      <c r="D96" s="710"/>
      <c r="E96" s="710"/>
    </row>
    <row r="97" spans="1:12" ht="12" customHeight="1" x14ac:dyDescent="0.2">
      <c r="A97" s="38" t="s">
        <v>71</v>
      </c>
      <c r="B97" s="783">
        <v>40</v>
      </c>
      <c r="C97" s="784"/>
      <c r="D97" s="710"/>
      <c r="E97" s="710"/>
    </row>
    <row r="98" spans="1:12" ht="12" customHeight="1" x14ac:dyDescent="0.2">
      <c r="A98" s="38" t="s">
        <v>72</v>
      </c>
      <c r="B98" s="783"/>
      <c r="C98" s="784"/>
      <c r="D98" s="710"/>
      <c r="E98" s="710"/>
    </row>
    <row r="99" spans="1:12" ht="12" customHeight="1" thickBot="1" x14ac:dyDescent="0.25">
      <c r="A99" s="38" t="s">
        <v>66</v>
      </c>
      <c r="B99" s="790"/>
      <c r="C99" s="791"/>
      <c r="D99" s="729"/>
      <c r="E99" s="730"/>
    </row>
    <row r="100" spans="1:12" ht="12" customHeight="1" thickTop="1" thickBot="1" x14ac:dyDescent="0.25">
      <c r="D100" s="708">
        <f>+SUM(B92:C99)</f>
        <v>290</v>
      </c>
      <c r="E100" s="709"/>
      <c r="G100" s="713" t="s">
        <v>73</v>
      </c>
      <c r="H100" s="714"/>
      <c r="I100" s="714"/>
      <c r="J100" s="715"/>
      <c r="K100" s="715"/>
      <c r="L100" s="716"/>
    </row>
    <row r="101" spans="1:12" ht="12" customHeight="1" thickBot="1" x14ac:dyDescent="0.25">
      <c r="G101" s="717"/>
      <c r="H101" s="718"/>
      <c r="I101" s="718"/>
      <c r="J101" s="718"/>
      <c r="K101" s="718"/>
      <c r="L101" s="719"/>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116" priority="40">
      <formula>IF(B1="flip",-C19,0)</formula>
    </cfRule>
  </conditionalFormatting>
  <conditionalFormatting sqref="B59">
    <cfRule type="expression" dxfId="115" priority="35">
      <formula>IF(OR(C1="Hold",D1="slow flip"),0.15,0)</formula>
    </cfRule>
  </conditionalFormatting>
  <conditionalFormatting sqref="C22">
    <cfRule type="expression" dxfId="114" priority="107">
      <formula>IF(C1="Hold",+B4*B22,0)</formula>
    </cfRule>
  </conditionalFormatting>
  <conditionalFormatting sqref="F22">
    <cfRule type="expression" dxfId="113" priority="108">
      <formula>IF(OR(C1="hold",D1="slow flip"),-C22,"")</formula>
    </cfRule>
  </conditionalFormatting>
  <conditionalFormatting sqref="J22">
    <cfRule type="expression" dxfId="112" priority="109">
      <formula>IF(OR(C1="hold",C4="slow flip"),IPMT(B23/12,1,C23*12,C22),PMT(B23/12,12*C23,C22))</formula>
    </cfRule>
  </conditionalFormatting>
  <conditionalFormatting sqref="E22">
    <cfRule type="expression" dxfId="111" priority="111">
      <formula>IF(C1="hold",C22-C15-C19-C28-B45,0)</formula>
    </cfRule>
  </conditionalFormatting>
  <conditionalFormatting sqref="A9">
    <cfRule type="expression" dxfId="110" priority="17">
      <formula>"(R3=3)"</formula>
    </cfRule>
  </conditionalFormatting>
  <conditionalFormatting sqref="I15:I49">
    <cfRule type="expression" dxfId="109" priority="8">
      <formula>IF(OR(W12=1,W12=2),$B$6,0)</formula>
    </cfRule>
  </conditionalFormatting>
  <conditionalFormatting sqref="I6:I7">
    <cfRule type="expression" dxfId="108" priority="163">
      <formula>IF(OR(AA3=1,AA3=2),$B$6,0)</formula>
    </cfRule>
  </conditionalFormatting>
  <conditionalFormatting sqref="I8">
    <cfRule type="expression" dxfId="107" priority="164">
      <formula>AA3=2</formula>
    </cfRule>
  </conditionalFormatting>
  <conditionalFormatting sqref="H6:H7">
    <cfRule type="expression" dxfId="106" priority="165">
      <formula>IF(OR(AA3=1,AA3=2),$B$6,0)</formula>
    </cfRule>
  </conditionalFormatting>
  <conditionalFormatting sqref="H8">
    <cfRule type="expression" dxfId="105" priority="166">
      <formula>AA3=2</formula>
    </cfRule>
  </conditionalFormatting>
  <conditionalFormatting sqref="H12:H13">
    <cfRule type="expression" dxfId="104" priority="168">
      <formula>IF(AA2=3,+#REF!,0)</formula>
    </cfRule>
  </conditionalFormatting>
  <conditionalFormatting sqref="F49">
    <cfRule type="expression" dxfId="103" priority="187">
      <formula>OR(E1=1,E1=2)</formula>
    </cfRule>
  </conditionalFormatting>
  <conditionalFormatting sqref="F48">
    <cfRule type="expression" dxfId="102" priority="188">
      <formula>OR(E1=1,E1=2)</formula>
    </cfRule>
  </conditionalFormatting>
  <conditionalFormatting sqref="G7">
    <cfRule type="expression" dxfId="101" priority="189">
      <formula>$E$1=3</formula>
    </cfRule>
  </conditionalFormatting>
  <conditionalFormatting sqref="D37">
    <cfRule type="expression" dxfId="100" priority="190">
      <formula>IF(OR(E1=1,E1=2),-B37,0)</formula>
    </cfRule>
  </conditionalFormatting>
  <conditionalFormatting sqref="D11">
    <cfRule type="expression" dxfId="99" priority="191">
      <formula>IF(E1=3,+#REF!,0)</formula>
    </cfRule>
  </conditionalFormatting>
  <conditionalFormatting sqref="O9">
    <cfRule type="expression" dxfId="98" priority="194">
      <formula>IF(OR(E1="Hold",F1="Slow Flip"),+D9,"")</formula>
    </cfRule>
  </conditionalFormatting>
  <conditionalFormatting sqref="D45:D47">
    <cfRule type="expression" dxfId="97" priority="203">
      <formula>IF(OR(V7=1,V7=2),-B45,0)</formula>
    </cfRule>
  </conditionalFormatting>
  <conditionalFormatting sqref="D40:D42">
    <cfRule type="expression" dxfId="96" priority="204">
      <formula>IF(OR(V7=1,V7=2),-B40,0)</formula>
    </cfRule>
  </conditionalFormatting>
  <conditionalFormatting sqref="F17">
    <cfRule type="expression" dxfId="95" priority="205">
      <formula>IF(X5=3,-C17,0)</formula>
    </cfRule>
  </conditionalFormatting>
  <conditionalFormatting sqref="D43:D44">
    <cfRule type="expression" dxfId="94" priority="206">
      <formula>IF(OR(X5=1,X5=2),-B43,0)</formula>
    </cfRule>
  </conditionalFormatting>
  <conditionalFormatting sqref="D38:D39">
    <cfRule type="expression" dxfId="93" priority="207">
      <formula>IF(OR(X5=1,X5=2),-B38,0)</formula>
    </cfRule>
  </conditionalFormatting>
  <conditionalFormatting sqref="K9">
    <cfRule type="expression" dxfId="92" priority="212">
      <formula>IF(OR(C1="Hold",D1="Slow Flip"),+C9,"")</formula>
    </cfRule>
  </conditionalFormatting>
  <conditionalFormatting sqref="H57">
    <cfRule type="expression" dxfId="91" priority="223">
      <formula>IF(OR(C1="Hold",D1="slow Flip"),B9,0)</formula>
    </cfRule>
  </conditionalFormatting>
  <conditionalFormatting sqref="I50:I51">
    <cfRule type="expression" dxfId="90" priority="225">
      <formula>IF(OR(W48=1,W48=2),$B$6,0)</formula>
    </cfRule>
  </conditionalFormatting>
  <conditionalFormatting sqref="M60:N60">
    <cfRule type="expression" dxfId="89" priority="226">
      <formula>IF(C1="Hold",-$B$59*M58,0)</formula>
    </cfRule>
  </conditionalFormatting>
  <conditionalFormatting sqref="C7">
    <cfRule type="expression" dxfId="88" priority="227">
      <formula>IF(C1048569="Hold",+B1048572*B7,0)</formula>
    </cfRule>
  </conditionalFormatting>
  <conditionalFormatting sqref="N53:O54 N57:O62">
    <cfRule type="expression" dxfId="87" priority="5">
      <formula>$E$1=3</formula>
    </cfRule>
  </conditionalFormatting>
  <conditionalFormatting sqref="N56:O56">
    <cfRule type="expression" dxfId="86" priority="2">
      <formula>$E$1=3</formula>
    </cfRule>
  </conditionalFormatting>
  <conditionalFormatting sqref="N55:O55">
    <cfRule type="expression" dxfId="85"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83" activePane="bottomLeft" state="frozen"/>
      <selection pane="bottomLeft" activeCell="P8" sqref="P8"/>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47" t="s">
        <v>588</v>
      </c>
      <c r="C2" s="848"/>
      <c r="D2" s="775"/>
      <c r="E2" s="775"/>
      <c r="F2" s="851"/>
      <c r="J2" s="2" t="s">
        <v>1102</v>
      </c>
      <c r="K2" s="855">
        <v>6000</v>
      </c>
      <c r="L2" s="747"/>
      <c r="N2" s="30" t="s">
        <v>1103</v>
      </c>
      <c r="O2" s="535">
        <f>IF($S$1=1,P2,IF($S$1=2,Q2,IF($S$1=3,R2)))</f>
        <v>0.05</v>
      </c>
      <c r="P2" s="536">
        <v>0.05</v>
      </c>
      <c r="Q2" s="536">
        <v>0.05</v>
      </c>
      <c r="R2" s="536">
        <v>0.05</v>
      </c>
      <c r="U2" s="14"/>
      <c r="V2" s="432" t="s">
        <v>1112</v>
      </c>
      <c r="W2" s="434">
        <v>134.16999999999999</v>
      </c>
      <c r="Z2" s="847" t="s">
        <v>1134</v>
      </c>
      <c r="AA2" s="848"/>
      <c r="AB2" s="849"/>
      <c r="AC2" s="850"/>
      <c r="AM2" s="265"/>
      <c r="AN2" s="265"/>
      <c r="AQ2"/>
    </row>
    <row r="3" spans="2:43" ht="15.75" thickBot="1" x14ac:dyDescent="0.3">
      <c r="B3" s="852" t="s">
        <v>1151</v>
      </c>
      <c r="C3" s="853"/>
      <c r="D3" s="815"/>
      <c r="E3" s="438">
        <f>+Profit!C15</f>
        <v>69550.880000000005</v>
      </c>
      <c r="F3" s="580"/>
      <c r="J3" s="30" t="s">
        <v>1104</v>
      </c>
      <c r="K3" s="856">
        <v>0.57720000000000005</v>
      </c>
      <c r="L3" s="857"/>
      <c r="N3" s="30" t="s">
        <v>1105</v>
      </c>
      <c r="O3" s="366">
        <f>IF($S$1=1,P3,IF($S$1=2,Q3,IF($S$1=3,R3)))</f>
        <v>346500</v>
      </c>
      <c r="P3" s="537">
        <f>+Profit!$B$4*(1++P2)</f>
        <v>346500</v>
      </c>
      <c r="Q3" s="367">
        <f>+Profit!$B$4*(1++Q2)</f>
        <v>346500</v>
      </c>
      <c r="R3" s="368">
        <f>+Profit!$B$4*(1++R2)</f>
        <v>346500</v>
      </c>
      <c r="U3" s="14"/>
      <c r="V3" s="432" t="s">
        <v>1113</v>
      </c>
      <c r="W3" s="434">
        <v>188.55</v>
      </c>
      <c r="Z3" s="840" t="s">
        <v>1135</v>
      </c>
      <c r="AA3" s="841"/>
      <c r="AB3" s="707"/>
      <c r="AC3" s="577">
        <f>cfdRate1Payment</f>
        <v>1899.99</v>
      </c>
      <c r="AM3" s="265"/>
      <c r="AN3" s="265"/>
      <c r="AQ3"/>
    </row>
    <row r="4" spans="2:43" ht="15.75" thickBot="1" x14ac:dyDescent="0.3">
      <c r="B4" s="852" t="s">
        <v>586</v>
      </c>
      <c r="C4" s="853"/>
      <c r="D4" s="815"/>
      <c r="E4" s="420">
        <f>+Profit!B15</f>
        <v>3.7499999999999999E-2</v>
      </c>
      <c r="F4" s="303"/>
      <c r="J4" s="30" t="s">
        <v>1212</v>
      </c>
      <c r="K4" s="860">
        <v>189900</v>
      </c>
      <c r="L4" s="861"/>
      <c r="N4" s="30" t="s">
        <v>1107</v>
      </c>
      <c r="O4" s="366">
        <f>IF($S$1=1,P4,IF($S$1=2,Q4,IF($S$1=3,R4)))</f>
        <v>189900</v>
      </c>
      <c r="P4" s="537">
        <f>IF($K$4=0,+$O$3*$K$3,$K$4)</f>
        <v>189900</v>
      </c>
      <c r="Q4" s="367">
        <f t="shared" ref="Q4:R4" si="0">IF($K$4=0,+$O$3*$K$3,$K$4)</f>
        <v>189900</v>
      </c>
      <c r="R4" s="368">
        <f t="shared" si="0"/>
        <v>189900</v>
      </c>
      <c r="U4" s="14"/>
      <c r="V4" s="432" t="s">
        <v>1116</v>
      </c>
      <c r="W4" s="433">
        <f>+O9+W2+W3</f>
        <v>2222.71</v>
      </c>
      <c r="Z4" s="840" t="s">
        <v>1136</v>
      </c>
      <c r="AA4" s="841"/>
      <c r="AB4" s="707"/>
      <c r="AC4" s="578">
        <f>cfdRate2Payment</f>
        <v>0</v>
      </c>
      <c r="AM4" s="265"/>
      <c r="AN4" s="265"/>
      <c r="AP4" s="435"/>
      <c r="AQ4" s="14"/>
    </row>
    <row r="5" spans="2:43" ht="15.75" thickBot="1" x14ac:dyDescent="0.3">
      <c r="B5" s="852" t="s">
        <v>1152</v>
      </c>
      <c r="C5" s="853"/>
      <c r="D5" s="815"/>
      <c r="E5" s="438">
        <f>subjectRemainingMonths/12</f>
        <v>17.833333333333332</v>
      </c>
      <c r="F5" s="438">
        <f>DATEDIF(subjectKnownBalanceDate,subjectMortgageEndDate,"m")+1</f>
        <v>214</v>
      </c>
      <c r="J5" s="30" t="s">
        <v>1106</v>
      </c>
      <c r="K5" s="858">
        <f>+Profit!M62</f>
        <v>145229.66617587986</v>
      </c>
      <c r="L5" s="859"/>
      <c r="N5" s="30" t="s">
        <v>1121</v>
      </c>
      <c r="O5" s="366">
        <f>+tradeNetCreditIncluded</f>
        <v>0</v>
      </c>
      <c r="P5" s="537">
        <f>+O5</f>
        <v>0</v>
      </c>
      <c r="Q5" s="367">
        <f>+O5</f>
        <v>0</v>
      </c>
      <c r="R5" s="368">
        <f>+O5</f>
        <v>0</v>
      </c>
      <c r="U5" s="435"/>
      <c r="V5" s="435"/>
      <c r="W5" s="435"/>
      <c r="Z5" s="840" t="s">
        <v>1137</v>
      </c>
      <c r="AA5" s="841"/>
      <c r="AB5" s="707"/>
      <c r="AC5" s="578">
        <f>IFERROR(_xlfn.XLOOKUP(cfdFirstRateMonths-1,tblContractForDeed[Period],tblContractForDeed[End Bal]),"")</f>
        <v>0</v>
      </c>
    </row>
    <row r="6" spans="2:43" ht="15.75" thickBot="1" x14ac:dyDescent="0.3">
      <c r="B6" s="852" t="s">
        <v>585</v>
      </c>
      <c r="C6" s="853"/>
      <c r="D6" s="815"/>
      <c r="E6" s="433">
        <f>ROUND(PMT(subjectInterestRate/12,subjectRemainingMonths,-subjectKnownBalance,0),2)</f>
        <v>446.19</v>
      </c>
      <c r="F6" s="303"/>
      <c r="N6" s="30" t="s">
        <v>1108</v>
      </c>
      <c r="O6" s="366">
        <f>IF($S$1=1,P6,IF($S$1=2,Q6,IF($S$1=3,R6)))</f>
        <v>156600</v>
      </c>
      <c r="P6" s="537">
        <f>+P3-P4-$O$5</f>
        <v>156600</v>
      </c>
      <c r="Q6" s="367">
        <f t="shared" ref="Q6:R6" si="1">+Q3-Q4-$O$5</f>
        <v>156600</v>
      </c>
      <c r="R6" s="368">
        <f t="shared" si="1"/>
        <v>156600</v>
      </c>
      <c r="U6" s="435"/>
      <c r="V6" s="435"/>
      <c r="W6" s="435"/>
      <c r="Z6" s="840" t="s">
        <v>1155</v>
      </c>
      <c r="AA6" s="841"/>
      <c r="AB6" s="707"/>
      <c r="AC6" s="578" cm="1">
        <f t="array" ref="AC6">IFERROR(_xlfn.XLOOKUP(TRUE,tblBuyerOutputs[Monthly Cash Flow]&lt;&gt;0,tblBuyerOutputs[Monthly Cash Flow]),"")</f>
        <v>1453.8</v>
      </c>
    </row>
    <row r="7" spans="2:43" ht="15.75" thickBot="1" x14ac:dyDescent="0.3">
      <c r="B7" s="852" t="s">
        <v>1153</v>
      </c>
      <c r="C7" s="853"/>
      <c r="D7" s="815"/>
      <c r="E7" s="539">
        <v>45839</v>
      </c>
      <c r="F7" s="303"/>
      <c r="N7" s="30" t="s">
        <v>1109</v>
      </c>
      <c r="P7" s="538">
        <v>4.2500000000000003E-2</v>
      </c>
      <c r="Q7" s="538">
        <v>3.5000000000000003E-2</v>
      </c>
      <c r="R7" s="538">
        <v>3.2500000000000001E-2</v>
      </c>
      <c r="U7" s="435"/>
      <c r="V7" s="435"/>
      <c r="W7" s="435"/>
      <c r="Z7" s="840" t="s">
        <v>1154</v>
      </c>
      <c r="AA7" s="841"/>
      <c r="AB7" s="707"/>
      <c r="AC7" s="578">
        <f>IFERROR(_xlfn.XLOOKUP(cfdFirstRateMonths-1,tblContractForDeed[Period],tblBuyerOutputs[Cumul Cash Flow]),"")</f>
        <v>173975.43999999983</v>
      </c>
    </row>
    <row r="8" spans="2:43" ht="15.75" thickBot="1" x14ac:dyDescent="0.3">
      <c r="B8" s="866" t="s">
        <v>1110</v>
      </c>
      <c r="C8" s="867"/>
      <c r="D8" s="777"/>
      <c r="E8" s="539">
        <v>52322</v>
      </c>
      <c r="F8" s="481"/>
      <c r="N8" s="30" t="s">
        <v>1130</v>
      </c>
      <c r="O8" s="420">
        <f>IF($S$1=1,P8,IF($S$1=2,Q8,IF($S$1=3,R8)))</f>
        <v>0.08</v>
      </c>
      <c r="P8" s="540">
        <f>+$E$4+P7</f>
        <v>0.08</v>
      </c>
      <c r="Q8" s="541">
        <f>+$E$4+Q7</f>
        <v>7.2500000000000009E-2</v>
      </c>
      <c r="R8" s="542">
        <f>+$E$4+R7</f>
        <v>7.0000000000000007E-2</v>
      </c>
      <c r="U8" s="422" t="str">
        <f>"Rate 1 Payment at "&amp;TEXT($O$8,"0.00%")</f>
        <v>Rate 1 Payment at 8.00%</v>
      </c>
      <c r="V8" s="366">
        <f>IF(cfdContractMonths&lt;=0,0,ROUND(PMT(cfdRate1/12,cfdContractMonths,-$O$6,0),2))</f>
        <v>1899.99</v>
      </c>
      <c r="Z8" s="840" t="s">
        <v>1138</v>
      </c>
      <c r="AA8" s="841"/>
      <c r="AB8" s="707"/>
      <c r="AC8" s="578">
        <f>IFERROR(_xlfn.XLOOKUP(cfdFirstRateMonths-1,tblContractForDeed[Period],tblBuyerOutputs[Monthly Appr]),"")</f>
        <v>0</v>
      </c>
    </row>
    <row r="9" spans="2:43" ht="15.75" thickBot="1" x14ac:dyDescent="0.3">
      <c r="N9" s="30" t="s">
        <v>1111</v>
      </c>
      <c r="O9" s="366">
        <f>IF($P$14&lt;=0,0,ROUND(PMT($O$8/12,$P$14,-$O$6,0),2))</f>
        <v>1899.99</v>
      </c>
      <c r="P9" s="537">
        <f>IF($P$14&lt;=0,0,ROUND(PMT(P8/12,$P$14,-P6,0),2))</f>
        <v>1899.99</v>
      </c>
      <c r="Q9" s="367">
        <f>IF($P$14&lt;=0,0,ROUND(PMT(Q8/12,$P$14,-Q6,0),2))</f>
        <v>1838.5</v>
      </c>
      <c r="R9" s="368">
        <f>IF($P$14&lt;=0,0,ROUND(PMT(R8/12,$P$14,-R6,0),2))</f>
        <v>1818.26</v>
      </c>
      <c r="Z9" s="840" t="s">
        <v>1139</v>
      </c>
      <c r="AA9" s="841"/>
      <c r="AB9" s="707"/>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42" t="s">
        <v>1140</v>
      </c>
      <c r="AA10" s="843"/>
      <c r="AB10" s="844"/>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54" t="s">
        <v>1114</v>
      </c>
      <c r="I13" s="777"/>
      <c r="J13" s="565">
        <v>46204</v>
      </c>
      <c r="K13" s="854" t="s">
        <v>1142</v>
      </c>
      <c r="L13" s="776"/>
      <c r="M13" s="776"/>
      <c r="N13" s="777"/>
      <c r="O13" s="437">
        <v>10</v>
      </c>
      <c r="P13" s="438">
        <f>+O13*12</f>
        <v>120</v>
      </c>
      <c r="Q13" s="854" t="s">
        <v>1141</v>
      </c>
      <c r="R13" s="777"/>
      <c r="S13" s="845">
        <f>EDATE(J13,P13)</f>
        <v>49857</v>
      </c>
      <c r="T13" s="832"/>
      <c r="AC13"/>
      <c r="AH13" s="22"/>
      <c r="AI13" s="22"/>
      <c r="AJ13" s="22"/>
      <c r="AK13" s="22"/>
      <c r="AL13"/>
    </row>
    <row r="14" spans="2:43" ht="15.75" thickBot="1" x14ac:dyDescent="0.3">
      <c r="K14" s="854" t="s">
        <v>1143</v>
      </c>
      <c r="L14" s="776"/>
      <c r="M14" s="776"/>
      <c r="N14" s="777"/>
      <c r="O14" s="437">
        <v>10</v>
      </c>
      <c r="P14" s="438">
        <f>+O14*12</f>
        <v>120</v>
      </c>
      <c r="Q14" s="854" t="s">
        <v>1115</v>
      </c>
      <c r="R14" s="777"/>
      <c r="S14" s="845">
        <f>EDATE(J13,P14-1)</f>
        <v>49827</v>
      </c>
      <c r="T14" s="832"/>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46" t="s">
        <v>1149</v>
      </c>
      <c r="B17" s="820"/>
      <c r="C17" s="820"/>
      <c r="D17" s="820"/>
      <c r="E17" s="820"/>
      <c r="F17" s="820"/>
      <c r="G17" s="820"/>
      <c r="H17" s="820"/>
      <c r="I17" s="820"/>
      <c r="J17" s="820"/>
      <c r="K17" s="821"/>
      <c r="N17" s="435"/>
      <c r="O17" s="846" t="str">
        <f>"Official Contract for Deed Schedule: "&amp;TEXT($O$8,"0.00%")&amp;" for first "&amp;$O$13&amp;" years, then "&amp;TEXT($O$11,"0.00%")</f>
        <v>Official Contract for Deed Schedule: 8.00% for first 10 years, then 6.75%</v>
      </c>
      <c r="P17" s="820"/>
      <c r="Q17" s="820"/>
      <c r="R17" s="820"/>
      <c r="S17" s="820"/>
      <c r="T17" s="820"/>
      <c r="U17" s="820"/>
      <c r="V17" s="820"/>
      <c r="W17" s="820"/>
      <c r="X17" s="820"/>
      <c r="Y17" s="821"/>
      <c r="Z17" s="846" t="s">
        <v>1148</v>
      </c>
      <c r="AA17" s="820"/>
      <c r="AB17" s="820"/>
      <c r="AC17" s="820"/>
      <c r="AD17" s="820"/>
      <c r="AE17" s="821"/>
    </row>
    <row r="18" spans="1:45" ht="15" customHeight="1" thickBot="1" x14ac:dyDescent="0.3">
      <c r="A18" s="865"/>
      <c r="B18" s="832"/>
      <c r="C18" s="868" t="s">
        <v>649</v>
      </c>
      <c r="D18" s="869"/>
      <c r="E18" s="870"/>
      <c r="F18" s="870"/>
      <c r="G18" s="870"/>
      <c r="H18" s="871"/>
      <c r="I18" s="872" t="s">
        <v>646</v>
      </c>
      <c r="J18" s="873"/>
      <c r="K18" s="385"/>
      <c r="L18" s="872" t="s">
        <v>1145</v>
      </c>
      <c r="M18" s="880"/>
      <c r="N18" s="864"/>
      <c r="O18" s="439"/>
      <c r="P18" s="567"/>
      <c r="Q18" s="874" t="s">
        <v>649</v>
      </c>
      <c r="R18" s="875"/>
      <c r="S18" s="876"/>
      <c r="T18" s="876"/>
      <c r="U18" s="876"/>
      <c r="V18" s="813"/>
      <c r="W18" s="874" t="s">
        <v>646</v>
      </c>
      <c r="X18" s="877"/>
      <c r="Y18" s="385"/>
      <c r="Z18" s="878" t="s">
        <v>1132</v>
      </c>
      <c r="AA18" s="879"/>
      <c r="AB18" s="862" t="s">
        <v>1126</v>
      </c>
      <c r="AC18" s="863"/>
      <c r="AD18" s="863"/>
      <c r="AE18" s="864"/>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156600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156600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652.5</v>
      </c>
      <c r="AE20" s="587">
        <f>IF(INDEX(tblContractForDeed[End Bal],ROW()-ROW(tblBuyerOutputs[#Headers]))&lt;=0,0,IF(ROW()=ROW(tblBuyerOutputs[#Headers])+1,0,INDEX(tblBuyerOutputs[Cumul Appr],ROW()-ROW(tblBuyerOutputs[#Headers])-1))+tblBuyerOutputs[[#This Row],[Monthly Appr]])</f>
        <v>652.5</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156600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156600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655.21875</v>
      </c>
      <c r="AE21" s="588">
        <f>IF(INDEX(tblContractForDeed[End Bal],ROW()-ROW(tblBuyerOutputs[#Headers]))&lt;=0,0,IF(ROW()=ROW(tblBuyerOutputs[#Headers])+1,0,INDEX(tblBuyerOutputs[Cumul Appr],ROW()-ROW(tblBuyerOutputs[#Headers])-1))+tblBuyerOutputs[[#This Row],[Monthly Appr]])</f>
        <v>1307.71875</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156600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156600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657.94882812499998</v>
      </c>
      <c r="AE22" s="588">
        <f>IF(INDEX(tblContractForDeed[End Bal],ROW()-ROW(tblBuyerOutputs[#Headers]))&lt;=0,0,IF(ROW()=ROW(tblBuyerOutputs[#Headers])+1,0,INDEX(tblBuyerOutputs[Cumul Appr],ROW()-ROW(tblBuyerOutputs[#Headers])-1))+tblBuyerOutputs[[#This Row],[Monthly Appr]])</f>
        <v>1965.6675781250001</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156600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156600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660.69028157552077</v>
      </c>
      <c r="AE23" s="588">
        <f>IF(INDEX(tblContractForDeed[End Bal],ROW()-ROW(tblBuyerOutputs[#Headers]))&lt;=0,0,IF(ROW()=ROW(tblBuyerOutputs[#Headers])+1,0,INDEX(tblBuyerOutputs[Cumul Appr],ROW()-ROW(tblBuyerOutputs[#Headers])-1))+tblBuyerOutputs[[#This Row],[Monthly Appr]])</f>
        <v>2626.3578597005207</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156600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156600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663.44315774875213</v>
      </c>
      <c r="AE24" s="588">
        <f>IF(INDEX(tblContractForDeed[End Bal],ROW()-ROW(tblBuyerOutputs[#Headers]))&lt;=0,0,IF(ROW()=ROW(tblBuyerOutputs[#Headers])+1,0,INDEX(tblBuyerOutputs[Cumul Appr],ROW()-ROW(tblBuyerOutputs[#Headers])-1))+tblBuyerOutputs[[#This Row],[Monthly Appr]])</f>
        <v>3289.8010174492729</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156600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156600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666.20750423937204</v>
      </c>
      <c r="AE25" s="588">
        <f>IF(INDEX(tblContractForDeed[End Bal],ROW()-ROW(tblBuyerOutputs[#Headers]))&lt;=0,0,IF(ROW()=ROW(tblBuyerOutputs[#Headers])+1,0,INDEX(tblBuyerOutputs[Cumul Appr],ROW()-ROW(tblBuyerOutputs[#Headers])-1))+tblBuyerOutputs[[#This Row],[Monthly Appr]])</f>
        <v>3956.008521688645</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156600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156600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668.98336884036928</v>
      </c>
      <c r="AE26" s="588">
        <f>IF(INDEX(tblContractForDeed[End Bal],ROW()-ROW(tblBuyerOutputs[#Headers]))&lt;=0,0,IF(ROW()=ROW(tblBuyerOutputs[#Headers])+1,0,INDEX(tblBuyerOutputs[Cumul Appr],ROW()-ROW(tblBuyerOutputs[#Headers])-1))+tblBuyerOutputs[[#This Row],[Monthly Appr]])</f>
        <v>4624.9918905290142</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156600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156600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671.77079954387102</v>
      </c>
      <c r="AE27" s="588">
        <f>IF(INDEX(tblContractForDeed[End Bal],ROW()-ROW(tblBuyerOutputs[#Headers]))&lt;=0,0,IF(ROW()=ROW(tblBuyerOutputs[#Headers])+1,0,INDEX(tblBuyerOutputs[Cumul Appr],ROW()-ROW(tblBuyerOutputs[#Headers])-1))+tblBuyerOutputs[[#This Row],[Monthly Appr]])</f>
        <v>5296.7626900728856</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156600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156600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674.56984454197038</v>
      </c>
      <c r="AE28" s="588">
        <f>IF(INDEX(tblContractForDeed[End Bal],ROW()-ROW(tblBuyerOutputs[#Headers]))&lt;=0,0,IF(ROW()=ROW(tblBuyerOutputs[#Headers])+1,0,INDEX(tblBuyerOutputs[Cumul Appr],ROW()-ROW(tblBuyerOutputs[#Headers])-1))+tblBuyerOutputs[[#This Row],[Monthly Appr]])</f>
        <v>5971.3325346148558</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156600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156600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677.38055222756191</v>
      </c>
      <c r="AE29" s="588">
        <f>IF(INDEX(tblContractForDeed[End Bal],ROW()-ROW(tblBuyerOutputs[#Headers]))&lt;=0,0,IF(ROW()=ROW(tblBuyerOutputs[#Headers])+1,0,INDEX(tblBuyerOutputs[Cumul Appr],ROW()-ROW(tblBuyerOutputs[#Headers])-1))+tblBuyerOutputs[[#This Row],[Monthly Appr]])</f>
        <v>6648.7130868424174</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156600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156600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680.2029711951767</v>
      </c>
      <c r="AE30" s="588">
        <f>IF(INDEX(tblContractForDeed[End Bal],ROW()-ROW(tblBuyerOutputs[#Headers]))&lt;=0,0,IF(ROW()=ROW(tblBuyerOutputs[#Headers])+1,0,INDEX(tblBuyerOutputs[Cumul Appr],ROW()-ROW(tblBuyerOutputs[#Headers])-1))+tblBuyerOutputs[[#This Row],[Monthly Appr]])</f>
        <v>7328.9160580375938</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156600</v>
      </c>
      <c r="P31" s="586">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156600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683.03715024182338</v>
      </c>
      <c r="AE31" s="589">
        <f>IF(INDEX(tblContractForDeed[End Bal],ROW()-ROW(tblBuyerOutputs[#Headers]))&lt;=0,0,IF(ROW()=ROW(tblBuyerOutputs[#Headers])+1,0,INDEX(tblBuyerOutputs[Cumul Appr],ROW()-ROW(tblBuyerOutputs[#Headers])-1))+tblBuyerOutputs[[#This Row],[Monthly Appr]])</f>
        <v>8011.9532082794176</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156600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2" s="265">
        <f>IF(tblContractForDeed[[#This Row],[Payment]]=0,0,MAX(0,MIN(tblContractForDeed[[#This Row],[Beg]],tblContractForDeed[[#This Row],[Payment]]-tblContractForDeed[[#This Row],[Int]])))</f>
        <v>855.99</v>
      </c>
      <c r="S32" s="265">
        <f>IF(OR(tblContractForDeed[[#This Row],[Date]]&lt;cfdContractDate,tblContractForDeed[[#This Row],[Date]]&gt;cfdEndDate),0,ROUND(tblContractForDeed[[#This Row],[Beg]]*(tblContractForDeed[[#This Row],[Int Rate]]/12),2))</f>
        <v>1044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2222.71</v>
      </c>
      <c r="W32" s="265">
        <f>SUM(INDEX(tblContractForDeed[Princ],1):INDEX(tblContractForDeed[Princ],ROW()-ROW(tblContractForDeed[#Headers])))</f>
        <v>855.99</v>
      </c>
      <c r="X32" s="265">
        <f>IF(tblContractForDeed[[#This Row],[Beg]]&lt;=0,0,tblContractForDeed[[#This Row],[Beg]]-tblContractForDeed[[#This Row],[Princ]])</f>
        <v>155744.01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1453.8</v>
      </c>
      <c r="AA32"/>
      <c r="AB32" s="14">
        <f>IF(INDEX(tblContractForDeed[Payment],ROW()-ROW(tblBuyerOutputs[#Headers]))=0,0,INDEX(tblContractForDeed[Payment],ROW()-ROW(tblBuyerOutputs[#Headers]))-INDEX(tblSubjectToLoan[Payment],ROW()-ROW(tblBuyerOutputs[#Headers])))-IFERROR(tblBuyerOutputs[[#This Row],[PMI]],0)</f>
        <v>1453.8</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1453.8</v>
      </c>
      <c r="AD32" s="265">
        <f>IF(INDEX(tblContractForDeed[End Bal],ROW()-ROW(tblBuyerOutputs[#Headers]))&lt;=0,0,($O$6+IF(ROW()=ROW(tblBuyerOutputs[#Headers])+1,0,INDEX(tblBuyerOutputs[Cumul Appr],ROW()-ROW(tblBuyerOutputs[#Headers])-1)))*$O$2/12)</f>
        <v>685.88313836783084</v>
      </c>
      <c r="AE32" s="588">
        <f>IF(INDEX(tblContractForDeed[End Bal],ROW()-ROW(tblBuyerOutputs[#Headers]))&lt;=0,0,IF(ROW()=ROW(tblBuyerOutputs[#Headers])+1,0,INDEX(tblBuyerOutputs[Cumul Appr],ROW()-ROW(tblBuyerOutputs[#Headers])-1))+tblBuyerOutputs[[#This Row],[Monthly Appr]])</f>
        <v>8697.8363466472492</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155744.01</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3" s="265">
        <f>IF(tblContractForDeed[[#This Row],[Payment]]=0,0,MAX(0,MIN(tblContractForDeed[[#This Row],[Beg]],tblContractForDeed[[#This Row],[Payment]]-tblContractForDeed[[#This Row],[Int]])))</f>
        <v>861.7</v>
      </c>
      <c r="S33" s="265">
        <f>IF(OR(tblContractForDeed[[#This Row],[Date]]&lt;cfdContractDate,tblContractForDeed[[#This Row],[Date]]&gt;cfdEndDate),0,ROUND(tblContractForDeed[[#This Row],[Beg]]*(tblContractForDeed[[#This Row],[Int Rate]]/12),2))</f>
        <v>1038.29</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2222.71</v>
      </c>
      <c r="W33" s="265">
        <f>SUM(INDEX(tblContractForDeed[Princ],1):INDEX(tblContractForDeed[Princ],ROW()-ROW(tblContractForDeed[#Headers])))</f>
        <v>1717.69</v>
      </c>
      <c r="X33" s="265">
        <f>IF(tblContractForDeed[[#This Row],[Beg]]&lt;=0,0,tblContractForDeed[[#This Row],[Beg]]-tblContractForDeed[[#This Row],[Princ]])</f>
        <v>154882.31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1453.8</v>
      </c>
      <c r="AA33"/>
      <c r="AB33" s="14">
        <f>IF(INDEX(tblContractForDeed[Payment],ROW()-ROW(tblBuyerOutputs[#Headers]))=0,0,INDEX(tblContractForDeed[Payment],ROW()-ROW(tblBuyerOutputs[#Headers]))-INDEX(tblSubjectToLoan[Payment],ROW()-ROW(tblBuyerOutputs[#Headers])))-IFERROR(tblBuyerOutputs[[#This Row],[PMI]],0)</f>
        <v>1453.8</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2907.6</v>
      </c>
      <c r="AD33" s="265">
        <f>IF(INDEX(tblContractForDeed[End Bal],ROW()-ROW(tblBuyerOutputs[#Headers]))&lt;=0,0,($O$6+IF(ROW()=ROW(tblBuyerOutputs[#Headers])+1,0,INDEX(tblBuyerOutputs[Cumul Appr],ROW()-ROW(tblBuyerOutputs[#Headers])-1)))*$O$2/12)</f>
        <v>688.74098477769678</v>
      </c>
      <c r="AE33" s="588">
        <f>IF(INDEX(tblContractForDeed[End Bal],ROW()-ROW(tblBuyerOutputs[#Headers]))&lt;=0,0,IF(ROW()=ROW(tblBuyerOutputs[#Headers])+1,0,INDEX(tblBuyerOutputs[Cumul Appr],ROW()-ROW(tblBuyerOutputs[#Headers])-1))+tblBuyerOutputs[[#This Row],[Monthly Appr]])</f>
        <v>9386.5773314249454</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154882.31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4" s="265">
        <f>IF(tblContractForDeed[[#This Row],[Payment]]=0,0,MAX(0,MIN(tblContractForDeed[[#This Row],[Beg]],tblContractForDeed[[#This Row],[Payment]]-tblContractForDeed[[#This Row],[Int]])))</f>
        <v>867.44</v>
      </c>
      <c r="S34" s="265">
        <f>IF(OR(tblContractForDeed[[#This Row],[Date]]&lt;cfdContractDate,tblContractForDeed[[#This Row],[Date]]&gt;cfdEndDate),0,ROUND(tblContractForDeed[[#This Row],[Beg]]*(tblContractForDeed[[#This Row],[Int Rate]]/12),2))</f>
        <v>1032.55</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2222.71</v>
      </c>
      <c r="W34" s="265">
        <f>SUM(INDEX(tblContractForDeed[Princ],1):INDEX(tblContractForDeed[Princ],ROW()-ROW(tblContractForDeed[#Headers])))</f>
        <v>2585.13</v>
      </c>
      <c r="X34" s="265">
        <f>IF(tblContractForDeed[[#This Row],[Beg]]&lt;=0,0,tblContractForDeed[[#This Row],[Beg]]-tblContractForDeed[[#This Row],[Princ]])</f>
        <v>154014.87</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1453.8</v>
      </c>
      <c r="AA34"/>
      <c r="AB34" s="14">
        <f>IF(INDEX(tblContractForDeed[Payment],ROW()-ROW(tblBuyerOutputs[#Headers]))=0,0,INDEX(tblContractForDeed[Payment],ROW()-ROW(tblBuyerOutputs[#Headers]))-INDEX(tblSubjectToLoan[Payment],ROW()-ROW(tblBuyerOutputs[#Headers])))-IFERROR(tblBuyerOutputs[[#This Row],[PMI]],0)</f>
        <v>1453.8</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4361.3999999999996</v>
      </c>
      <c r="AD34" s="265">
        <f>IF(INDEX(tblContractForDeed[End Bal],ROW()-ROW(tblBuyerOutputs[#Headers]))&lt;=0,0,($O$6+IF(ROW()=ROW(tblBuyerOutputs[#Headers])+1,0,INDEX(tblBuyerOutputs[Cumul Appr],ROW()-ROW(tblBuyerOutputs[#Headers])-1)))*$O$2/12)</f>
        <v>691.61073888093733</v>
      </c>
      <c r="AE34" s="588">
        <f>IF(INDEX(tblContractForDeed[End Bal],ROW()-ROW(tblBuyerOutputs[#Headers]))&lt;=0,0,IF(ROW()=ROW(tblBuyerOutputs[#Headers])+1,0,INDEX(tblBuyerOutputs[Cumul Appr],ROW()-ROW(tblBuyerOutputs[#Headers])-1))+tblBuyerOutputs[[#This Row],[Monthly Appr]])</f>
        <v>10078.188070305883</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154014.87</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5" s="265">
        <f>IF(tblContractForDeed[[#This Row],[Payment]]=0,0,MAX(0,MIN(tblContractForDeed[[#This Row],[Beg]],tblContractForDeed[[#This Row],[Payment]]-tblContractForDeed[[#This Row],[Int]])))</f>
        <v>873.22</v>
      </c>
      <c r="S35" s="265">
        <f>IF(OR(tblContractForDeed[[#This Row],[Date]]&lt;cfdContractDate,tblContractForDeed[[#This Row],[Date]]&gt;cfdEndDate),0,ROUND(tblContractForDeed[[#This Row],[Beg]]*(tblContractForDeed[[#This Row],[Int Rate]]/12),2))</f>
        <v>1026.77</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2222.71</v>
      </c>
      <c r="W35" s="265">
        <f>SUM(INDEX(tblContractForDeed[Princ],1):INDEX(tblContractForDeed[Princ],ROW()-ROW(tblContractForDeed[#Headers])))</f>
        <v>3458.3500000000004</v>
      </c>
      <c r="X35" s="265">
        <f>IF(tblContractForDeed[[#This Row],[Beg]]&lt;=0,0,tblContractForDeed[[#This Row],[Beg]]-tblContractForDeed[[#This Row],[Princ]])</f>
        <v>153141.65</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1453.8</v>
      </c>
      <c r="AA35"/>
      <c r="AB35" s="14">
        <f>IF(INDEX(tblContractForDeed[Payment],ROW()-ROW(tblBuyerOutputs[#Headers]))=0,0,INDEX(tblContractForDeed[Payment],ROW()-ROW(tblBuyerOutputs[#Headers]))-INDEX(tblSubjectToLoan[Payment],ROW()-ROW(tblBuyerOutputs[#Headers])))-IFERROR(tblBuyerOutputs[[#This Row],[PMI]],0)</f>
        <v>1453.8</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5815.2</v>
      </c>
      <c r="AD35" s="265">
        <f>IF(INDEX(tblContractForDeed[End Bal],ROW()-ROW(tblBuyerOutputs[#Headers]))&lt;=0,0,($O$6+IF(ROW()=ROW(tblBuyerOutputs[#Headers])+1,0,INDEX(tblBuyerOutputs[Cumul Appr],ROW()-ROW(tblBuyerOutputs[#Headers])-1)))*$O$2/12)</f>
        <v>694.49245029294116</v>
      </c>
      <c r="AE35" s="588">
        <f>IF(INDEX(tblContractForDeed[End Bal],ROW()-ROW(tblBuyerOutputs[#Headers]))&lt;=0,0,IF(ROW()=ROW(tblBuyerOutputs[#Headers])+1,0,INDEX(tblBuyerOutputs[Cumul Appr],ROW()-ROW(tblBuyerOutputs[#Headers])-1))+tblBuyerOutputs[[#This Row],[Monthly Appr]])</f>
        <v>10772.680520598824</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153141.65</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6" s="265">
        <f>IF(tblContractForDeed[[#This Row],[Payment]]=0,0,MAX(0,MIN(tblContractForDeed[[#This Row],[Beg]],tblContractForDeed[[#This Row],[Payment]]-tblContractForDeed[[#This Row],[Int]])))</f>
        <v>879.05</v>
      </c>
      <c r="S36" s="265">
        <f>IF(OR(tblContractForDeed[[#This Row],[Date]]&lt;cfdContractDate,tblContractForDeed[[#This Row],[Date]]&gt;cfdEndDate),0,ROUND(tblContractForDeed[[#This Row],[Beg]]*(tblContractForDeed[[#This Row],[Int Rate]]/12),2))</f>
        <v>1020.94</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2222.71</v>
      </c>
      <c r="W36" s="265">
        <f>SUM(INDEX(tblContractForDeed[Princ],1):INDEX(tblContractForDeed[Princ],ROW()-ROW(tblContractForDeed[#Headers])))</f>
        <v>4337.4000000000005</v>
      </c>
      <c r="X36" s="265">
        <f>IF(tblContractForDeed[[#This Row],[Beg]]&lt;=0,0,tblContractForDeed[[#This Row],[Beg]]-tblContractForDeed[[#This Row],[Princ]])</f>
        <v>152262.6</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1453.8</v>
      </c>
      <c r="AA36"/>
      <c r="AB36" s="14">
        <f>IF(INDEX(tblContractForDeed[Payment],ROW()-ROW(tblBuyerOutputs[#Headers]))=0,0,INDEX(tblContractForDeed[Payment],ROW()-ROW(tblBuyerOutputs[#Headers]))-INDEX(tblSubjectToLoan[Payment],ROW()-ROW(tblBuyerOutputs[#Headers])))-IFERROR(tblBuyerOutputs[[#This Row],[PMI]],0)</f>
        <v>1453.8</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7269</v>
      </c>
      <c r="AD36" s="265">
        <f>IF(INDEX(tblContractForDeed[End Bal],ROW()-ROW(tblBuyerOutputs[#Headers]))&lt;=0,0,($O$6+IF(ROW()=ROW(tblBuyerOutputs[#Headers])+1,0,INDEX(tblBuyerOutputs[Cumul Appr],ROW()-ROW(tblBuyerOutputs[#Headers])-1)))*$O$2/12)</f>
        <v>697.38616883582847</v>
      </c>
      <c r="AE36" s="588">
        <f>IF(INDEX(tblContractForDeed[End Bal],ROW()-ROW(tblBuyerOutputs[#Headers]))&lt;=0,0,IF(ROW()=ROW(tblBuyerOutputs[#Headers])+1,0,INDEX(tblBuyerOutputs[Cumul Appr],ROW()-ROW(tblBuyerOutputs[#Headers])-1))+tblBuyerOutputs[[#This Row],[Monthly Appr]])</f>
        <v>11470.066689434652</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152262.6</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7" s="265">
        <f>IF(tblContractForDeed[[#This Row],[Payment]]=0,0,MAX(0,MIN(tblContractForDeed[[#This Row],[Beg]],tblContractForDeed[[#This Row],[Payment]]-tblContractForDeed[[#This Row],[Int]])))</f>
        <v>884.91</v>
      </c>
      <c r="S37" s="265">
        <f>IF(OR(tblContractForDeed[[#This Row],[Date]]&lt;cfdContractDate,tblContractForDeed[[#This Row],[Date]]&gt;cfdEndDate),0,ROUND(tblContractForDeed[[#This Row],[Beg]]*(tblContractForDeed[[#This Row],[Int Rate]]/12),2))</f>
        <v>1015.08</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2222.71</v>
      </c>
      <c r="W37" s="265">
        <f>SUM(INDEX(tblContractForDeed[Princ],1):INDEX(tblContractForDeed[Princ],ROW()-ROW(tblContractForDeed[#Headers])))</f>
        <v>5222.3100000000004</v>
      </c>
      <c r="X37" s="265">
        <f>IF(tblContractForDeed[[#This Row],[Beg]]&lt;=0,0,tblContractForDeed[[#This Row],[Beg]]-tblContractForDeed[[#This Row],[Princ]])</f>
        <v>151377.69</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1453.8</v>
      </c>
      <c r="AA37"/>
      <c r="AB37" s="14">
        <f>IF(INDEX(tblContractForDeed[Payment],ROW()-ROW(tblBuyerOutputs[#Headers]))=0,0,INDEX(tblContractForDeed[Payment],ROW()-ROW(tblBuyerOutputs[#Headers]))-INDEX(tblSubjectToLoan[Payment],ROW()-ROW(tblBuyerOutputs[#Headers])))-IFERROR(tblBuyerOutputs[[#This Row],[PMI]],0)</f>
        <v>1453.8</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8722.7999999999993</v>
      </c>
      <c r="AD37" s="265">
        <f>IF(INDEX(tblContractForDeed[End Bal],ROW()-ROW(tblBuyerOutputs[#Headers]))&lt;=0,0,($O$6+IF(ROW()=ROW(tblBuyerOutputs[#Headers])+1,0,INDEX(tblBuyerOutputs[Cumul Appr],ROW()-ROW(tblBuyerOutputs[#Headers])-1)))*$O$2/12)</f>
        <v>700.2919445393112</v>
      </c>
      <c r="AE37" s="588">
        <f>IF(INDEX(tblContractForDeed[End Bal],ROW()-ROW(tblBuyerOutputs[#Headers]))&lt;=0,0,IF(ROW()=ROW(tblBuyerOutputs[#Headers])+1,0,INDEX(tblBuyerOutputs[Cumul Appr],ROW()-ROW(tblBuyerOutputs[#Headers])-1))+tblBuyerOutputs[[#This Row],[Monthly Appr]])</f>
        <v>12170.358633973963</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151377.69</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8" s="265">
        <f>IF(tblContractForDeed[[#This Row],[Payment]]=0,0,MAX(0,MIN(tblContractForDeed[[#This Row],[Beg]],tblContractForDeed[[#This Row],[Payment]]-tblContractForDeed[[#This Row],[Int]])))</f>
        <v>890.81000000000006</v>
      </c>
      <c r="S38" s="265">
        <f>IF(OR(tblContractForDeed[[#This Row],[Date]]&lt;cfdContractDate,tblContractForDeed[[#This Row],[Date]]&gt;cfdEndDate),0,ROUND(tblContractForDeed[[#This Row],[Beg]]*(tblContractForDeed[[#This Row],[Int Rate]]/12),2))</f>
        <v>1009.18</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2222.71</v>
      </c>
      <c r="W38" s="265">
        <f>SUM(INDEX(tblContractForDeed[Princ],1):INDEX(tblContractForDeed[Princ],ROW()-ROW(tblContractForDeed[#Headers])))</f>
        <v>6113.1200000000008</v>
      </c>
      <c r="X38" s="265">
        <f>IF(tblContractForDeed[[#This Row],[Beg]]&lt;=0,0,tblContractForDeed[[#This Row],[Beg]]-tblContractForDeed[[#This Row],[Princ]])</f>
        <v>150486.88</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1453.8</v>
      </c>
      <c r="AA38"/>
      <c r="AB38" s="14">
        <f>IF(INDEX(tblContractForDeed[Payment],ROW()-ROW(tblBuyerOutputs[#Headers]))=0,0,INDEX(tblContractForDeed[Payment],ROW()-ROW(tblBuyerOutputs[#Headers]))-INDEX(tblSubjectToLoan[Payment],ROW()-ROW(tblBuyerOutputs[#Headers])))-IFERROR(tblBuyerOutputs[[#This Row],[PMI]],0)</f>
        <v>1453.8</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10176.599999999999</v>
      </c>
      <c r="AD38" s="265">
        <f>IF(INDEX(tblContractForDeed[End Bal],ROW()-ROW(tblBuyerOutputs[#Headers]))&lt;=0,0,($O$6+IF(ROW()=ROW(tblBuyerOutputs[#Headers])+1,0,INDEX(tblBuyerOutputs[Cumul Appr],ROW()-ROW(tblBuyerOutputs[#Headers])-1)))*$O$2/12)</f>
        <v>703.20982764155815</v>
      </c>
      <c r="AE38" s="588">
        <f>IF(INDEX(tblContractForDeed[End Bal],ROW()-ROW(tblBuyerOutputs[#Headers]))&lt;=0,0,IF(ROW()=ROW(tblBuyerOutputs[#Headers])+1,0,INDEX(tblBuyerOutputs[Cumul Appr],ROW()-ROW(tblBuyerOutputs[#Headers])-1))+tblBuyerOutputs[[#This Row],[Monthly Appr]])</f>
        <v>12873.568461615521</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150486.88</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9" s="265">
        <f>IF(tblContractForDeed[[#This Row],[Payment]]=0,0,MAX(0,MIN(tblContractForDeed[[#This Row],[Beg]],tblContractForDeed[[#This Row],[Payment]]-tblContractForDeed[[#This Row],[Int]])))</f>
        <v>896.74</v>
      </c>
      <c r="S39" s="265">
        <f>IF(OR(tblContractForDeed[[#This Row],[Date]]&lt;cfdContractDate,tblContractForDeed[[#This Row],[Date]]&gt;cfdEndDate),0,ROUND(tblContractForDeed[[#This Row],[Beg]]*(tblContractForDeed[[#This Row],[Int Rate]]/12),2))</f>
        <v>1003.25</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2222.71</v>
      </c>
      <c r="W39" s="265">
        <f>SUM(INDEX(tblContractForDeed[Princ],1):INDEX(tblContractForDeed[Princ],ROW()-ROW(tblContractForDeed[#Headers])))</f>
        <v>7009.8600000000006</v>
      </c>
      <c r="X39" s="265">
        <f>IF(tblContractForDeed[[#This Row],[Beg]]&lt;=0,0,tblContractForDeed[[#This Row],[Beg]]-tblContractForDeed[[#This Row],[Princ]])</f>
        <v>149590.14000000001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1453.8</v>
      </c>
      <c r="AA39"/>
      <c r="AB39" s="14">
        <f>IF(INDEX(tblContractForDeed[Payment],ROW()-ROW(tblBuyerOutputs[#Headers]))=0,0,INDEX(tblContractForDeed[Payment],ROW()-ROW(tblBuyerOutputs[#Headers]))-INDEX(tblSubjectToLoan[Payment],ROW()-ROW(tblBuyerOutputs[#Headers])))-IFERROR(tblBuyerOutputs[[#This Row],[PMI]],0)</f>
        <v>1453.8</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11630.399999999998</v>
      </c>
      <c r="AD39" s="265">
        <f>IF(INDEX(tblContractForDeed[End Bal],ROW()-ROW(tblBuyerOutputs[#Headers]))&lt;=0,0,($O$6+IF(ROW()=ROW(tblBuyerOutputs[#Headers])+1,0,INDEX(tblBuyerOutputs[Cumul Appr],ROW()-ROW(tblBuyerOutputs[#Headers])-1)))*$O$2/12)</f>
        <v>706.13986859006479</v>
      </c>
      <c r="AE39" s="588">
        <f>IF(INDEX(tblContractForDeed[End Bal],ROW()-ROW(tblBuyerOutputs[#Headers]))&lt;=0,0,IF(ROW()=ROW(tblBuyerOutputs[#Headers])+1,0,INDEX(tblBuyerOutputs[Cumul Appr],ROW()-ROW(tblBuyerOutputs[#Headers])-1))+tblBuyerOutputs[[#This Row],[Monthly Appr]])</f>
        <v>13579.708330205585</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149590.14000000001</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0" s="265">
        <f>IF(tblContractForDeed[[#This Row],[Payment]]=0,0,MAX(0,MIN(tblContractForDeed[[#This Row],[Beg]],tblContractForDeed[[#This Row],[Payment]]-tblContractForDeed[[#This Row],[Int]])))</f>
        <v>902.72</v>
      </c>
      <c r="S40" s="265">
        <f>IF(OR(tblContractForDeed[[#This Row],[Date]]&lt;cfdContractDate,tblContractForDeed[[#This Row],[Date]]&gt;cfdEndDate),0,ROUND(tblContractForDeed[[#This Row],[Beg]]*(tblContractForDeed[[#This Row],[Int Rate]]/12),2))</f>
        <v>997.27</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2222.71</v>
      </c>
      <c r="W40" s="265">
        <f>SUM(INDEX(tblContractForDeed[Princ],1):INDEX(tblContractForDeed[Princ],ROW()-ROW(tblContractForDeed[#Headers])))</f>
        <v>7912.5800000000008</v>
      </c>
      <c r="X40" s="265">
        <f>IF(tblContractForDeed[[#This Row],[Beg]]&lt;=0,0,tblContractForDeed[[#This Row],[Beg]]-tblContractForDeed[[#This Row],[Princ]])</f>
        <v>148687.42000000001</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1453.8</v>
      </c>
      <c r="AA40"/>
      <c r="AB40" s="14">
        <f>IF(INDEX(tblContractForDeed[Payment],ROW()-ROW(tblBuyerOutputs[#Headers]))=0,0,INDEX(tblContractForDeed[Payment],ROW()-ROW(tblBuyerOutputs[#Headers]))-INDEX(tblSubjectToLoan[Payment],ROW()-ROW(tblBuyerOutputs[#Headers])))-IFERROR(tblBuyerOutputs[[#This Row],[PMI]],0)</f>
        <v>1453.8</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13084.199999999997</v>
      </c>
      <c r="AD40" s="265">
        <f>IF(INDEX(tblContractForDeed[End Bal],ROW()-ROW(tblBuyerOutputs[#Headers]))&lt;=0,0,($O$6+IF(ROW()=ROW(tblBuyerOutputs[#Headers])+1,0,INDEX(tblBuyerOutputs[Cumul Appr],ROW()-ROW(tblBuyerOutputs[#Headers])-1)))*$O$2/12)</f>
        <v>709.08211804252323</v>
      </c>
      <c r="AE40" s="588">
        <f>IF(INDEX(tblContractForDeed[End Bal],ROW()-ROW(tblBuyerOutputs[#Headers]))&lt;=0,0,IF(ROW()=ROW(tblBuyerOutputs[#Headers])+1,0,INDEX(tblBuyerOutputs[Cumul Appr],ROW()-ROW(tblBuyerOutputs[#Headers])-1))+tblBuyerOutputs[[#This Row],[Monthly Appr]])</f>
        <v>14288.790448248108</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148687.42000000001</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1" s="265">
        <f>IF(tblContractForDeed[[#This Row],[Payment]]=0,0,MAX(0,MIN(tblContractForDeed[[#This Row],[Beg]],tblContractForDeed[[#This Row],[Payment]]-tblContractForDeed[[#This Row],[Int]])))</f>
        <v>908.74</v>
      </c>
      <c r="S41" s="265">
        <f>IF(OR(tblContractForDeed[[#This Row],[Date]]&lt;cfdContractDate,tblContractForDeed[[#This Row],[Date]]&gt;cfdEndDate),0,ROUND(tblContractForDeed[[#This Row],[Beg]]*(tblContractForDeed[[#This Row],[Int Rate]]/12),2))</f>
        <v>991.25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2222.71</v>
      </c>
      <c r="W41" s="265">
        <f>SUM(INDEX(tblContractForDeed[Princ],1):INDEX(tblContractForDeed[Princ],ROW()-ROW(tblContractForDeed[#Headers])))</f>
        <v>8821.3200000000015</v>
      </c>
      <c r="X41" s="265">
        <f>IF(tblContractForDeed[[#This Row],[Beg]]&lt;=0,0,tblContractForDeed[[#This Row],[Beg]]-tblContractForDeed[[#This Row],[Princ]])</f>
        <v>147778.68000000002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1453.8</v>
      </c>
      <c r="AA41"/>
      <c r="AB41" s="14">
        <f>IF(INDEX(tblContractForDeed[Payment],ROW()-ROW(tblBuyerOutputs[#Headers]))=0,0,INDEX(tblContractForDeed[Payment],ROW()-ROW(tblBuyerOutputs[#Headers]))-INDEX(tblSubjectToLoan[Payment],ROW()-ROW(tblBuyerOutputs[#Headers])))-IFERROR(tblBuyerOutputs[[#This Row],[PMI]],0)</f>
        <v>1453.8</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14537.999999999996</v>
      </c>
      <c r="AD41" s="265">
        <f>IF(INDEX(tblContractForDeed[End Bal],ROW()-ROW(tblBuyerOutputs[#Headers]))&lt;=0,0,($O$6+IF(ROW()=ROW(tblBuyerOutputs[#Headers])+1,0,INDEX(tblBuyerOutputs[Cumul Appr],ROW()-ROW(tblBuyerOutputs[#Headers])-1)))*$O$2/12)</f>
        <v>712.03662686770042</v>
      </c>
      <c r="AE41" s="588">
        <f>IF(INDEX(tblContractForDeed[End Bal],ROW()-ROW(tblBuyerOutputs[#Headers]))&lt;=0,0,IF(ROW()=ROW(tblBuyerOutputs[#Headers])+1,0,INDEX(tblBuyerOutputs[Cumul Appr],ROW()-ROW(tblBuyerOutputs[#Headers])-1))+tblBuyerOutputs[[#This Row],[Monthly Appr]])</f>
        <v>15000.827075115809</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147778.68000000002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2" s="265">
        <f>IF(tblContractForDeed[[#This Row],[Payment]]=0,0,MAX(0,MIN(tblContractForDeed[[#This Row],[Beg]],tblContractForDeed[[#This Row],[Payment]]-tblContractForDeed[[#This Row],[Int]])))</f>
        <v>914.8</v>
      </c>
      <c r="S42" s="265">
        <f>IF(OR(tblContractForDeed[[#This Row],[Date]]&lt;cfdContractDate,tblContractForDeed[[#This Row],[Date]]&gt;cfdEndDate),0,ROUND(tblContractForDeed[[#This Row],[Beg]]*(tblContractForDeed[[#This Row],[Int Rate]]/12),2))</f>
        <v>985.19</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2222.71</v>
      </c>
      <c r="W42" s="265">
        <f>SUM(INDEX(tblContractForDeed[Princ],1):INDEX(tblContractForDeed[Princ],ROW()-ROW(tblContractForDeed[#Headers])))</f>
        <v>9736.1200000000008</v>
      </c>
      <c r="X42" s="265">
        <f>IF(tblContractForDeed[[#This Row],[Beg]]&lt;=0,0,tblContractForDeed[[#This Row],[Beg]]-tblContractForDeed[[#This Row],[Princ]])</f>
        <v>146863.88000000003</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1453.8</v>
      </c>
      <c r="AA42"/>
      <c r="AB42" s="14">
        <f>IF(INDEX(tblContractForDeed[Payment],ROW()-ROW(tblBuyerOutputs[#Headers]))=0,0,INDEX(tblContractForDeed[Payment],ROW()-ROW(tblBuyerOutputs[#Headers]))-INDEX(tblSubjectToLoan[Payment],ROW()-ROW(tblBuyerOutputs[#Headers])))-IFERROR(tblBuyerOutputs[[#This Row],[PMI]],0)</f>
        <v>1453.8</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15991.799999999996</v>
      </c>
      <c r="AD42" s="265">
        <f>IF(INDEX(tblContractForDeed[End Bal],ROW()-ROW(tblBuyerOutputs[#Headers]))&lt;=0,0,($O$6+IF(ROW()=ROW(tblBuyerOutputs[#Headers])+1,0,INDEX(tblBuyerOutputs[Cumul Appr],ROW()-ROW(tblBuyerOutputs[#Headers])-1)))*$O$2/12)</f>
        <v>715.00344614631592</v>
      </c>
      <c r="AE42" s="588">
        <f>IF(INDEX(tblContractForDeed[End Bal],ROW()-ROW(tblBuyerOutputs[#Headers]))&lt;=0,0,IF(ROW()=ROW(tblBuyerOutputs[#Headers])+1,0,INDEX(tblBuyerOutputs[Cumul Appr],ROW()-ROW(tblBuyerOutputs[#Headers])-1))+tblBuyerOutputs[[#This Row],[Monthly Appr]])</f>
        <v>15715.830521262125</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146863.88000000003</v>
      </c>
      <c r="P43" s="586">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3" s="316">
        <f>IF(tblContractForDeed[[#This Row],[Payment]]=0,0,MAX(0,MIN(tblContractForDeed[[#This Row],[Beg]],tblContractForDeed[[#This Row],[Payment]]-tblContractForDeed[[#This Row],[Int]])))</f>
        <v>920.9</v>
      </c>
      <c r="S43" s="316">
        <f>IF(OR(tblContractForDeed[[#This Row],[Date]]&lt;cfdContractDate,tblContractForDeed[[#This Row],[Date]]&gt;cfdEndDate),0,ROUND(tblContractForDeed[[#This Row],[Beg]]*(tblContractForDeed[[#This Row],[Int Rate]]/12),2))</f>
        <v>979.09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2222.71</v>
      </c>
      <c r="W43" s="316">
        <f>SUM(INDEX(tblContractForDeed[Princ],1):INDEX(tblContractForDeed[Princ],ROW()-ROW(tblContractForDeed[#Headers])))</f>
        <v>10657.02</v>
      </c>
      <c r="X43" s="316">
        <f>IF(tblContractForDeed[[#This Row],[Beg]]&lt;=0,0,tblContractForDeed[[#This Row],[Beg]]-tblContractForDeed[[#This Row],[Princ]])</f>
        <v>145942.98000000004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1453.8</v>
      </c>
      <c r="AA43" s="23"/>
      <c r="AB43" s="21">
        <f>IF(INDEX(tblContractForDeed[Payment],ROW()-ROW(tblBuyerOutputs[#Headers]))=0,0,INDEX(tblContractForDeed[Payment],ROW()-ROW(tblBuyerOutputs[#Headers]))-INDEX(tblSubjectToLoan[Payment],ROW()-ROW(tblBuyerOutputs[#Headers])))-IFERROR(tblBuyerOutputs[[#This Row],[PMI]],0)</f>
        <v>1453.8</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17445.599999999995</v>
      </c>
      <c r="AD43" s="316">
        <f>IF(INDEX(tblContractForDeed[End Bal],ROW()-ROW(tblBuyerOutputs[#Headers]))&lt;=0,0,($O$6+IF(ROW()=ROW(tblBuyerOutputs[#Headers])+1,0,INDEX(tblBuyerOutputs[Cumul Appr],ROW()-ROW(tblBuyerOutputs[#Headers])-1)))*$O$2/12)</f>
        <v>717.98262717192563</v>
      </c>
      <c r="AE43" s="589">
        <f>IF(INDEX(tblContractForDeed[End Bal],ROW()-ROW(tblBuyerOutputs[#Headers]))&lt;=0,0,IF(ROW()=ROW(tblBuyerOutputs[#Headers])+1,0,INDEX(tblBuyerOutputs[Cumul Appr],ROW()-ROW(tblBuyerOutputs[#Headers])-1))+tblBuyerOutputs[[#This Row],[Monthly Appr]])</f>
        <v>16433.813148434052</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145942.98000000004</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4" s="265">
        <f>IF(tblContractForDeed[[#This Row],[Payment]]=0,0,MAX(0,MIN(tblContractForDeed[[#This Row],[Beg]],tblContractForDeed[[#This Row],[Payment]]-tblContractForDeed[[#This Row],[Int]])))</f>
        <v>927.04</v>
      </c>
      <c r="S44" s="265">
        <f>IF(OR(tblContractForDeed[[#This Row],[Date]]&lt;cfdContractDate,tblContractForDeed[[#This Row],[Date]]&gt;cfdEndDate),0,ROUND(tblContractForDeed[[#This Row],[Beg]]*(tblContractForDeed[[#This Row],[Int Rate]]/12),2))</f>
        <v>972.95</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2222.71</v>
      </c>
      <c r="W44" s="265">
        <f>SUM(INDEX(tblContractForDeed[Princ],1):INDEX(tblContractForDeed[Princ],ROW()-ROW(tblContractForDeed[#Headers])))</f>
        <v>11584.060000000001</v>
      </c>
      <c r="X44" s="265">
        <f>IF(tblContractForDeed[[#This Row],[Beg]]&lt;=0,0,tblContractForDeed[[#This Row],[Beg]]-tblContractForDeed[[#This Row],[Princ]])</f>
        <v>145015.94000000003</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1453.8</v>
      </c>
      <c r="AA44"/>
      <c r="AB44" s="14">
        <f>IF(INDEX(tblContractForDeed[Payment],ROW()-ROW(tblBuyerOutputs[#Headers]))=0,0,INDEX(tblContractForDeed[Payment],ROW()-ROW(tblBuyerOutputs[#Headers]))-INDEX(tblSubjectToLoan[Payment],ROW()-ROW(tblBuyerOutputs[#Headers])))-IFERROR(tblBuyerOutputs[[#This Row],[PMI]],0)</f>
        <v>1453.8</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18899.399999999994</v>
      </c>
      <c r="AD44" s="265">
        <f>IF(INDEX(tblContractForDeed[End Bal],ROW()-ROW(tblBuyerOutputs[#Headers]))&lt;=0,0,($O$6+IF(ROW()=ROW(tblBuyerOutputs[#Headers])+1,0,INDEX(tblBuyerOutputs[Cumul Appr],ROW()-ROW(tblBuyerOutputs[#Headers])-1)))*$O$2/12)</f>
        <v>720.9742214518086</v>
      </c>
      <c r="AE44" s="588">
        <f>IF(INDEX(tblContractForDeed[End Bal],ROW()-ROW(tblBuyerOutputs[#Headers]))&lt;=0,0,IF(ROW()=ROW(tblBuyerOutputs[#Headers])+1,0,INDEX(tblBuyerOutputs[Cumul Appr],ROW()-ROW(tblBuyerOutputs[#Headers])-1))+tblBuyerOutputs[[#This Row],[Monthly Appr]])</f>
        <v>17154.78736988586</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145015.94000000003</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5" s="265">
        <f>IF(tblContractForDeed[[#This Row],[Payment]]=0,0,MAX(0,MIN(tblContractForDeed[[#This Row],[Beg]],tblContractForDeed[[#This Row],[Payment]]-tblContractForDeed[[#This Row],[Int]])))</f>
        <v>933.22</v>
      </c>
      <c r="S45" s="265">
        <f>IF(OR(tblContractForDeed[[#This Row],[Date]]&lt;cfdContractDate,tblContractForDeed[[#This Row],[Date]]&gt;cfdEndDate),0,ROUND(tblContractForDeed[[#This Row],[Beg]]*(tblContractForDeed[[#This Row],[Int Rate]]/12),2))</f>
        <v>966.77</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2222.71</v>
      </c>
      <c r="W45" s="265">
        <f>SUM(INDEX(tblContractForDeed[Princ],1):INDEX(tblContractForDeed[Princ],ROW()-ROW(tblContractForDeed[#Headers])))</f>
        <v>12517.28</v>
      </c>
      <c r="X45" s="265">
        <f>IF(tblContractForDeed[[#This Row],[Beg]]&lt;=0,0,tblContractForDeed[[#This Row],[Beg]]-tblContractForDeed[[#This Row],[Princ]])</f>
        <v>144082.72000000003</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1453.8</v>
      </c>
      <c r="AA45"/>
      <c r="AB45" s="14">
        <f>IF(INDEX(tblContractForDeed[Payment],ROW()-ROW(tblBuyerOutputs[#Headers]))=0,0,INDEX(tblContractForDeed[Payment],ROW()-ROW(tblBuyerOutputs[#Headers]))-INDEX(tblSubjectToLoan[Payment],ROW()-ROW(tblBuyerOutputs[#Headers])))-IFERROR(tblBuyerOutputs[[#This Row],[PMI]],0)</f>
        <v>1453.8</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20353.199999999993</v>
      </c>
      <c r="AD45" s="265">
        <f>IF(INDEX(tblContractForDeed[End Bal],ROW()-ROW(tblBuyerOutputs[#Headers]))&lt;=0,0,($O$6+IF(ROW()=ROW(tblBuyerOutputs[#Headers])+1,0,INDEX(tblBuyerOutputs[Cumul Appr],ROW()-ROW(tblBuyerOutputs[#Headers])-1)))*$O$2/12)</f>
        <v>723.97828070785772</v>
      </c>
      <c r="AE45" s="588">
        <f>IF(INDEX(tblContractForDeed[End Bal],ROW()-ROW(tblBuyerOutputs[#Headers]))&lt;=0,0,IF(ROW()=ROW(tblBuyerOutputs[#Headers])+1,0,INDEX(tblBuyerOutputs[Cumul Appr],ROW()-ROW(tblBuyerOutputs[#Headers])-1))+tblBuyerOutputs[[#This Row],[Monthly Appr]])</f>
        <v>17878.765650593719</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144082.72000000003</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6" s="265">
        <f>IF(tblContractForDeed[[#This Row],[Payment]]=0,0,MAX(0,MIN(tblContractForDeed[[#This Row],[Beg]],tblContractForDeed[[#This Row],[Payment]]-tblContractForDeed[[#This Row],[Int]])))</f>
        <v>939.44</v>
      </c>
      <c r="S46" s="265">
        <f>IF(OR(tblContractForDeed[[#This Row],[Date]]&lt;cfdContractDate,tblContractForDeed[[#This Row],[Date]]&gt;cfdEndDate),0,ROUND(tblContractForDeed[[#This Row],[Beg]]*(tblContractForDeed[[#This Row],[Int Rate]]/12),2))</f>
        <v>960.55</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2222.71</v>
      </c>
      <c r="W46" s="265">
        <f>SUM(INDEX(tblContractForDeed[Princ],1):INDEX(tblContractForDeed[Princ],ROW()-ROW(tblContractForDeed[#Headers])))</f>
        <v>13456.720000000001</v>
      </c>
      <c r="X46" s="265">
        <f>IF(tblContractForDeed[[#This Row],[Beg]]&lt;=0,0,tblContractForDeed[[#This Row],[Beg]]-tblContractForDeed[[#This Row],[Princ]])</f>
        <v>143143.28000000003</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1453.8</v>
      </c>
      <c r="AA46"/>
      <c r="AB46" s="14">
        <f>IF(INDEX(tblContractForDeed[Payment],ROW()-ROW(tblBuyerOutputs[#Headers]))=0,0,INDEX(tblContractForDeed[Payment],ROW()-ROW(tblBuyerOutputs[#Headers]))-INDEX(tblSubjectToLoan[Payment],ROW()-ROW(tblBuyerOutputs[#Headers])))-IFERROR(tblBuyerOutputs[[#This Row],[PMI]],0)</f>
        <v>1453.8</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21806.999999999993</v>
      </c>
      <c r="AD46" s="265">
        <f>IF(INDEX(tblContractForDeed[End Bal],ROW()-ROW(tblBuyerOutputs[#Headers]))&lt;=0,0,($O$6+IF(ROW()=ROW(tblBuyerOutputs[#Headers])+1,0,INDEX(tblBuyerOutputs[Cumul Appr],ROW()-ROW(tblBuyerOutputs[#Headers])-1)))*$O$2/12)</f>
        <v>726.99485687747392</v>
      </c>
      <c r="AE46" s="588">
        <f>IF(INDEX(tblContractForDeed[End Bal],ROW()-ROW(tblBuyerOutputs[#Headers]))&lt;=0,0,IF(ROW()=ROW(tblBuyerOutputs[#Headers])+1,0,INDEX(tblBuyerOutputs[Cumul Appr],ROW()-ROW(tblBuyerOutputs[#Headers])-1))+tblBuyerOutputs[[#This Row],[Monthly Appr]])</f>
        <v>18605.760507471194</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143143.28000000003</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7" s="265">
        <f>IF(tblContractForDeed[[#This Row],[Payment]]=0,0,MAX(0,MIN(tblContractForDeed[[#This Row],[Beg]],tblContractForDeed[[#This Row],[Payment]]-tblContractForDeed[[#This Row],[Int]])))</f>
        <v>945.7</v>
      </c>
      <c r="S47" s="265">
        <f>IF(OR(tblContractForDeed[[#This Row],[Date]]&lt;cfdContractDate,tblContractForDeed[[#This Row],[Date]]&gt;cfdEndDate),0,ROUND(tblContractForDeed[[#This Row],[Beg]]*(tblContractForDeed[[#This Row],[Int Rate]]/12),2))</f>
        <v>954.29</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2222.71</v>
      </c>
      <c r="W47" s="265">
        <f>SUM(INDEX(tblContractForDeed[Princ],1):INDEX(tblContractForDeed[Princ],ROW()-ROW(tblContractForDeed[#Headers])))</f>
        <v>14402.420000000002</v>
      </c>
      <c r="X47" s="265">
        <f>IF(tblContractForDeed[[#This Row],[Beg]]&lt;=0,0,tblContractForDeed[[#This Row],[Beg]]-tblContractForDeed[[#This Row],[Princ]])</f>
        <v>142197.58000000002</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1453.8</v>
      </c>
      <c r="AA47"/>
      <c r="AB47" s="14">
        <f>IF(INDEX(tblContractForDeed[Payment],ROW()-ROW(tblBuyerOutputs[#Headers]))=0,0,INDEX(tblContractForDeed[Payment],ROW()-ROW(tblBuyerOutputs[#Headers]))-INDEX(tblSubjectToLoan[Payment],ROW()-ROW(tblBuyerOutputs[#Headers])))-IFERROR(tblBuyerOutputs[[#This Row],[PMI]],0)</f>
        <v>1453.8</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23260.799999999992</v>
      </c>
      <c r="AD47" s="265">
        <f>IF(INDEX(tblContractForDeed[End Bal],ROW()-ROW(tblBuyerOutputs[#Headers]))&lt;=0,0,($O$6+IF(ROW()=ROW(tblBuyerOutputs[#Headers])+1,0,INDEX(tblBuyerOutputs[Cumul Appr],ROW()-ROW(tblBuyerOutputs[#Headers])-1)))*$O$2/12)</f>
        <v>730.02400211446331</v>
      </c>
      <c r="AE47" s="588">
        <f>IF(INDEX(tblContractForDeed[End Bal],ROW()-ROW(tblBuyerOutputs[#Headers]))&lt;=0,0,IF(ROW()=ROW(tblBuyerOutputs[#Headers])+1,0,INDEX(tblBuyerOutputs[Cumul Appr],ROW()-ROW(tblBuyerOutputs[#Headers])-1))+tblBuyerOutputs[[#This Row],[Monthly Appr]])</f>
        <v>19335.784509585657</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142197.58000000002</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8" s="265">
        <f>IF(tblContractForDeed[[#This Row],[Payment]]=0,0,MAX(0,MIN(tblContractForDeed[[#This Row],[Beg]],tblContractForDeed[[#This Row],[Payment]]-tblContractForDeed[[#This Row],[Int]])))</f>
        <v>952.01</v>
      </c>
      <c r="S48" s="265">
        <f>IF(OR(tblContractForDeed[[#This Row],[Date]]&lt;cfdContractDate,tblContractForDeed[[#This Row],[Date]]&gt;cfdEndDate),0,ROUND(tblContractForDeed[[#This Row],[Beg]]*(tblContractForDeed[[#This Row],[Int Rate]]/12),2))</f>
        <v>947.98</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2222.71</v>
      </c>
      <c r="W48" s="265">
        <f>SUM(INDEX(tblContractForDeed[Princ],1):INDEX(tblContractForDeed[Princ],ROW()-ROW(tblContractForDeed[#Headers])))</f>
        <v>15354.430000000002</v>
      </c>
      <c r="X48" s="265">
        <f>IF(tblContractForDeed[[#This Row],[Beg]]&lt;=0,0,tblContractForDeed[[#This Row],[Beg]]-tblContractForDeed[[#This Row],[Princ]])</f>
        <v>141245.57</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1453.8</v>
      </c>
      <c r="AA48"/>
      <c r="AB48" s="14">
        <f>IF(INDEX(tblContractForDeed[Payment],ROW()-ROW(tblBuyerOutputs[#Headers]))=0,0,INDEX(tblContractForDeed[Payment],ROW()-ROW(tblBuyerOutputs[#Headers]))-INDEX(tblSubjectToLoan[Payment],ROW()-ROW(tblBuyerOutputs[#Headers])))-IFERROR(tblBuyerOutputs[[#This Row],[PMI]],0)</f>
        <v>1453.8</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24714.599999999991</v>
      </c>
      <c r="AD48" s="265">
        <f>IF(INDEX(tblContractForDeed[End Bal],ROW()-ROW(tblBuyerOutputs[#Headers]))&lt;=0,0,($O$6+IF(ROW()=ROW(tblBuyerOutputs[#Headers])+1,0,INDEX(tblBuyerOutputs[Cumul Appr],ROW()-ROW(tblBuyerOutputs[#Headers])-1)))*$O$2/12)</f>
        <v>733.06576878994019</v>
      </c>
      <c r="AE48" s="588">
        <f>IF(INDEX(tblContractForDeed[End Bal],ROW()-ROW(tblBuyerOutputs[#Headers]))&lt;=0,0,IF(ROW()=ROW(tblBuyerOutputs[#Headers])+1,0,INDEX(tblBuyerOutputs[Cumul Appr],ROW()-ROW(tblBuyerOutputs[#Headers])-1))+tblBuyerOutputs[[#This Row],[Monthly Appr]])</f>
        <v>20068.850278375598</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141245.57</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9" s="265">
        <f>IF(tblContractForDeed[[#This Row],[Payment]]=0,0,MAX(0,MIN(tblContractForDeed[[#This Row],[Beg]],tblContractForDeed[[#This Row],[Payment]]-tblContractForDeed[[#This Row],[Int]])))</f>
        <v>958.35</v>
      </c>
      <c r="S49" s="265">
        <f>IF(OR(tblContractForDeed[[#This Row],[Date]]&lt;cfdContractDate,tblContractForDeed[[#This Row],[Date]]&gt;cfdEndDate),0,ROUND(tblContractForDeed[[#This Row],[Beg]]*(tblContractForDeed[[#This Row],[Int Rate]]/12),2))</f>
        <v>941.64</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2222.71</v>
      </c>
      <c r="W49" s="265">
        <f>SUM(INDEX(tblContractForDeed[Princ],1):INDEX(tblContractForDeed[Princ],ROW()-ROW(tblContractForDeed[#Headers])))</f>
        <v>16312.780000000002</v>
      </c>
      <c r="X49" s="265">
        <f>IF(tblContractForDeed[[#This Row],[Beg]]&lt;=0,0,tblContractForDeed[[#This Row],[Beg]]-tblContractForDeed[[#This Row],[Princ]])</f>
        <v>140287.22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1453.8</v>
      </c>
      <c r="AA49"/>
      <c r="AB49" s="14">
        <f>IF(INDEX(tblContractForDeed[Payment],ROW()-ROW(tblBuyerOutputs[#Headers]))=0,0,INDEX(tblContractForDeed[Payment],ROW()-ROW(tblBuyerOutputs[#Headers]))-INDEX(tblSubjectToLoan[Payment],ROW()-ROW(tblBuyerOutputs[#Headers])))-IFERROR(tblBuyerOutputs[[#This Row],[PMI]],0)</f>
        <v>1453.8</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26168.399999999991</v>
      </c>
      <c r="AD49" s="265">
        <f>IF(INDEX(tblContractForDeed[End Bal],ROW()-ROW(tblBuyerOutputs[#Headers]))&lt;=0,0,($O$6+IF(ROW()=ROW(tblBuyerOutputs[#Headers])+1,0,INDEX(tblBuyerOutputs[Cumul Appr],ROW()-ROW(tblBuyerOutputs[#Headers])-1)))*$O$2/12)</f>
        <v>736.12020949323176</v>
      </c>
      <c r="AE49" s="588">
        <f>IF(INDEX(tblContractForDeed[End Bal],ROW()-ROW(tblBuyerOutputs[#Headers]))&lt;=0,0,IF(ROW()=ROW(tblBuyerOutputs[#Headers])+1,0,INDEX(tblBuyerOutputs[Cumul Appr],ROW()-ROW(tblBuyerOutputs[#Headers])-1))+tblBuyerOutputs[[#This Row],[Monthly Appr]])</f>
        <v>20804.970487868828</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140287.22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0" s="265">
        <f>IF(tblContractForDeed[[#This Row],[Payment]]=0,0,MAX(0,MIN(tblContractForDeed[[#This Row],[Beg]],tblContractForDeed[[#This Row],[Payment]]-tblContractForDeed[[#This Row],[Int]])))</f>
        <v>964.74</v>
      </c>
      <c r="S50" s="265">
        <f>IF(OR(tblContractForDeed[[#This Row],[Date]]&lt;cfdContractDate,tblContractForDeed[[#This Row],[Date]]&gt;cfdEndDate),0,ROUND(tblContractForDeed[[#This Row],[Beg]]*(tblContractForDeed[[#This Row],[Int Rate]]/12),2))</f>
        <v>935.25</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2222.71</v>
      </c>
      <c r="W50" s="265">
        <f>SUM(INDEX(tblContractForDeed[Princ],1):INDEX(tblContractForDeed[Princ],ROW()-ROW(tblContractForDeed[#Headers])))</f>
        <v>17277.520000000004</v>
      </c>
      <c r="X50" s="265">
        <f>IF(tblContractForDeed[[#This Row],[Beg]]&lt;=0,0,tblContractForDeed[[#This Row],[Beg]]-tblContractForDeed[[#This Row],[Princ]])</f>
        <v>139322.48000000001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1453.8</v>
      </c>
      <c r="AA50"/>
      <c r="AB50" s="14">
        <f>IF(INDEX(tblContractForDeed[Payment],ROW()-ROW(tblBuyerOutputs[#Headers]))=0,0,INDEX(tblContractForDeed[Payment],ROW()-ROW(tblBuyerOutputs[#Headers]))-INDEX(tblSubjectToLoan[Payment],ROW()-ROW(tblBuyerOutputs[#Headers])))-IFERROR(tblBuyerOutputs[[#This Row],[PMI]],0)</f>
        <v>1453.8</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27622.19999999999</v>
      </c>
      <c r="AD50" s="265">
        <f>IF(INDEX(tblContractForDeed[End Bal],ROW()-ROW(tblBuyerOutputs[#Headers]))&lt;=0,0,($O$6+IF(ROW()=ROW(tblBuyerOutputs[#Headers])+1,0,INDEX(tblBuyerOutputs[Cumul Appr],ROW()-ROW(tblBuyerOutputs[#Headers])-1)))*$O$2/12)</f>
        <v>739.18737703278669</v>
      </c>
      <c r="AE50" s="588">
        <f>IF(INDEX(tblContractForDeed[End Bal],ROW()-ROW(tblBuyerOutputs[#Headers]))&lt;=0,0,IF(ROW()=ROW(tblBuyerOutputs[#Headers])+1,0,INDEX(tblBuyerOutputs[Cumul Appr],ROW()-ROW(tblBuyerOutputs[#Headers])-1))+tblBuyerOutputs[[#This Row],[Monthly Appr]])</f>
        <v>21544.157864901616</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139322.48000000001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1" s="265">
        <f>IF(tblContractForDeed[[#This Row],[Payment]]=0,0,MAX(0,MIN(tblContractForDeed[[#This Row],[Beg]],tblContractForDeed[[#This Row],[Payment]]-tblContractForDeed[[#This Row],[Int]])))</f>
        <v>971.17</v>
      </c>
      <c r="S51" s="265">
        <f>IF(OR(tblContractForDeed[[#This Row],[Date]]&lt;cfdContractDate,tblContractForDeed[[#This Row],[Date]]&gt;cfdEndDate),0,ROUND(tblContractForDeed[[#This Row],[Beg]]*(tblContractForDeed[[#This Row],[Int Rate]]/12),2))</f>
        <v>928.82</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2222.71</v>
      </c>
      <c r="W51" s="265">
        <f>SUM(INDEX(tblContractForDeed[Princ],1):INDEX(tblContractForDeed[Princ],ROW()-ROW(tblContractForDeed[#Headers])))</f>
        <v>18248.690000000002</v>
      </c>
      <c r="X51" s="265">
        <f>IF(tblContractForDeed[[#This Row],[Beg]]&lt;=0,0,tblContractForDeed[[#This Row],[Beg]]-tblContractForDeed[[#This Row],[Princ]])</f>
        <v>138351.31</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1453.8</v>
      </c>
      <c r="AA51"/>
      <c r="AB51" s="14">
        <f>IF(INDEX(tblContractForDeed[Payment],ROW()-ROW(tblBuyerOutputs[#Headers]))=0,0,INDEX(tblContractForDeed[Payment],ROW()-ROW(tblBuyerOutputs[#Headers]))-INDEX(tblSubjectToLoan[Payment],ROW()-ROW(tblBuyerOutputs[#Headers])))-IFERROR(tblBuyerOutputs[[#This Row],[PMI]],0)</f>
        <v>1453.8</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29075.999999999989</v>
      </c>
      <c r="AD51" s="265">
        <f>IF(INDEX(tblContractForDeed[End Bal],ROW()-ROW(tblBuyerOutputs[#Headers]))&lt;=0,0,($O$6+IF(ROW()=ROW(tblBuyerOutputs[#Headers])+1,0,INDEX(tblBuyerOutputs[Cumul Appr],ROW()-ROW(tblBuyerOutputs[#Headers])-1)))*$O$2/12)</f>
        <v>742.26732443709</v>
      </c>
      <c r="AE51" s="588">
        <f>IF(INDEX(tblContractForDeed[End Bal],ROW()-ROW(tblBuyerOutputs[#Headers]))&lt;=0,0,IF(ROW()=ROW(tblBuyerOutputs[#Headers])+1,0,INDEX(tblBuyerOutputs[Cumul Appr],ROW()-ROW(tblBuyerOutputs[#Headers])-1))+tblBuyerOutputs[[#This Row],[Monthly Appr]])</f>
        <v>22286.425189338705</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138351.31</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2" s="265">
        <f>IF(tblContractForDeed[[#This Row],[Payment]]=0,0,MAX(0,MIN(tblContractForDeed[[#This Row],[Beg]],tblContractForDeed[[#This Row],[Payment]]-tblContractForDeed[[#This Row],[Int]])))</f>
        <v>977.65</v>
      </c>
      <c r="S52" s="265">
        <f>IF(OR(tblContractForDeed[[#This Row],[Date]]&lt;cfdContractDate,tblContractForDeed[[#This Row],[Date]]&gt;cfdEndDate),0,ROUND(tblContractForDeed[[#This Row],[Beg]]*(tblContractForDeed[[#This Row],[Int Rate]]/12),2))</f>
        <v>922.34</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2222.71</v>
      </c>
      <c r="W52" s="265">
        <f>SUM(INDEX(tblContractForDeed[Princ],1):INDEX(tblContractForDeed[Princ],ROW()-ROW(tblContractForDeed[#Headers])))</f>
        <v>19226.340000000004</v>
      </c>
      <c r="X52" s="265">
        <f>IF(tblContractForDeed[[#This Row],[Beg]]&lt;=0,0,tblContractForDeed[[#This Row],[Beg]]-tblContractForDeed[[#This Row],[Princ]])</f>
        <v>137373.66</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1453.8</v>
      </c>
      <c r="AA52"/>
      <c r="AB52" s="14">
        <f>IF(INDEX(tblContractForDeed[Payment],ROW()-ROW(tblBuyerOutputs[#Headers]))=0,0,INDEX(tblContractForDeed[Payment],ROW()-ROW(tblBuyerOutputs[#Headers]))-INDEX(tblSubjectToLoan[Payment],ROW()-ROW(tblBuyerOutputs[#Headers])))-IFERROR(tblBuyerOutputs[[#This Row],[PMI]],0)</f>
        <v>1453.8</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30529.799999999988</v>
      </c>
      <c r="AD52" s="265">
        <f>IF(INDEX(tblContractForDeed[End Bal],ROW()-ROW(tblBuyerOutputs[#Headers]))&lt;=0,0,($O$6+IF(ROW()=ROW(tblBuyerOutputs[#Headers])+1,0,INDEX(tblBuyerOutputs[Cumul Appr],ROW()-ROW(tblBuyerOutputs[#Headers])-1)))*$O$2/12)</f>
        <v>745.36010495557809</v>
      </c>
      <c r="AE52" s="588">
        <f>IF(INDEX(tblContractForDeed[End Bal],ROW()-ROW(tblBuyerOutputs[#Headers]))&lt;=0,0,IF(ROW()=ROW(tblBuyerOutputs[#Headers])+1,0,INDEX(tblBuyerOutputs[Cumul Appr],ROW()-ROW(tblBuyerOutputs[#Headers])-1))+tblBuyerOutputs[[#This Row],[Monthly Appr]])</f>
        <v>23031.785294294281</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137373.66</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3" s="265">
        <f>IF(tblContractForDeed[[#This Row],[Payment]]=0,0,MAX(0,MIN(tblContractForDeed[[#This Row],[Beg]],tblContractForDeed[[#This Row],[Payment]]-tblContractForDeed[[#This Row],[Int]])))</f>
        <v>984.17</v>
      </c>
      <c r="S53" s="265">
        <f>IF(OR(tblContractForDeed[[#This Row],[Date]]&lt;cfdContractDate,tblContractForDeed[[#This Row],[Date]]&gt;cfdEndDate),0,ROUND(tblContractForDeed[[#This Row],[Beg]]*(tblContractForDeed[[#This Row],[Int Rate]]/12),2))</f>
        <v>915.82</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2222.71</v>
      </c>
      <c r="W53" s="265">
        <f>SUM(INDEX(tblContractForDeed[Princ],1):INDEX(tblContractForDeed[Princ],ROW()-ROW(tblContractForDeed[#Headers])))</f>
        <v>20210.510000000002</v>
      </c>
      <c r="X53" s="265">
        <f>IF(tblContractForDeed[[#This Row],[Beg]]&lt;=0,0,tblContractForDeed[[#This Row],[Beg]]-tblContractForDeed[[#This Row],[Princ]])</f>
        <v>136389.49</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1453.8</v>
      </c>
      <c r="AA53"/>
      <c r="AB53" s="14">
        <f>IF(INDEX(tblContractForDeed[Payment],ROW()-ROW(tblBuyerOutputs[#Headers]))=0,0,INDEX(tblContractForDeed[Payment],ROW()-ROW(tblBuyerOutputs[#Headers]))-INDEX(tblSubjectToLoan[Payment],ROW()-ROW(tblBuyerOutputs[#Headers])))-IFERROR(tblBuyerOutputs[[#This Row],[PMI]],0)</f>
        <v>1453.8</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31983.599999999988</v>
      </c>
      <c r="AD53" s="265">
        <f>IF(INDEX(tblContractForDeed[End Bal],ROW()-ROW(tblBuyerOutputs[#Headers]))&lt;=0,0,($O$6+IF(ROW()=ROW(tblBuyerOutputs[#Headers])+1,0,INDEX(tblBuyerOutputs[Cumul Appr],ROW()-ROW(tblBuyerOutputs[#Headers])-1)))*$O$2/12)</f>
        <v>748.46577205955953</v>
      </c>
      <c r="AE53" s="588">
        <f>IF(INDEX(tblContractForDeed[End Bal],ROW()-ROW(tblBuyerOutputs[#Headers]))&lt;=0,0,IF(ROW()=ROW(tblBuyerOutputs[#Headers])+1,0,INDEX(tblBuyerOutputs[Cumul Appr],ROW()-ROW(tblBuyerOutputs[#Headers])-1))+tblBuyerOutputs[[#This Row],[Monthly Appr]])</f>
        <v>23780.251066353841</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136389.49</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4" s="265">
        <f>IF(tblContractForDeed[[#This Row],[Payment]]=0,0,MAX(0,MIN(tblContractForDeed[[#This Row],[Beg]],tblContractForDeed[[#This Row],[Payment]]-tblContractForDeed[[#This Row],[Int]])))</f>
        <v>990.73</v>
      </c>
      <c r="S54" s="265">
        <f>IF(OR(tblContractForDeed[[#This Row],[Date]]&lt;cfdContractDate,tblContractForDeed[[#This Row],[Date]]&gt;cfdEndDate),0,ROUND(tblContractForDeed[[#This Row],[Beg]]*(tblContractForDeed[[#This Row],[Int Rate]]/12),2))</f>
        <v>909.26</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2222.71</v>
      </c>
      <c r="W54" s="265">
        <f>SUM(INDEX(tblContractForDeed[Princ],1):INDEX(tblContractForDeed[Princ],ROW()-ROW(tblContractForDeed[#Headers])))</f>
        <v>21201.24</v>
      </c>
      <c r="X54" s="265">
        <f>IF(tblContractForDeed[[#This Row],[Beg]]&lt;=0,0,tblContractForDeed[[#This Row],[Beg]]-tblContractForDeed[[#This Row],[Princ]])</f>
        <v>135398.75999999998</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1453.8</v>
      </c>
      <c r="AA54"/>
      <c r="AB54" s="14">
        <f>IF(INDEX(tblContractForDeed[Payment],ROW()-ROW(tblBuyerOutputs[#Headers]))=0,0,INDEX(tblContractForDeed[Payment],ROW()-ROW(tblBuyerOutputs[#Headers]))-INDEX(tblSubjectToLoan[Payment],ROW()-ROW(tblBuyerOutputs[#Headers])))-IFERROR(tblBuyerOutputs[[#This Row],[PMI]],0)</f>
        <v>1453.8</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33437.399999999987</v>
      </c>
      <c r="AD54" s="265">
        <f>IF(INDEX(tblContractForDeed[End Bal],ROW()-ROW(tblBuyerOutputs[#Headers]))&lt;=0,0,($O$6+IF(ROW()=ROW(tblBuyerOutputs[#Headers])+1,0,INDEX(tblBuyerOutputs[Cumul Appr],ROW()-ROW(tblBuyerOutputs[#Headers])-1)))*$O$2/12)</f>
        <v>751.58437944314107</v>
      </c>
      <c r="AE54" s="588">
        <f>IF(INDEX(tblContractForDeed[End Bal],ROW()-ROW(tblBuyerOutputs[#Headers]))&lt;=0,0,IF(ROW()=ROW(tblBuyerOutputs[#Headers])+1,0,INDEX(tblBuyerOutputs[Cumul Appr],ROW()-ROW(tblBuyerOutputs[#Headers])-1))+tblBuyerOutputs[[#This Row],[Monthly Appr]])</f>
        <v>24531.835445796984</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135398.75999999998</v>
      </c>
      <c r="P55" s="586">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5" s="316">
        <f>IF(tblContractForDeed[[#This Row],[Payment]]=0,0,MAX(0,MIN(tblContractForDeed[[#This Row],[Beg]],tblContractForDeed[[#This Row],[Payment]]-tblContractForDeed[[#This Row],[Int]])))</f>
        <v>997.33</v>
      </c>
      <c r="S55" s="316">
        <f>IF(OR(tblContractForDeed[[#This Row],[Date]]&lt;cfdContractDate,tblContractForDeed[[#This Row],[Date]]&gt;cfdEndDate),0,ROUND(tblContractForDeed[[#This Row],[Beg]]*(tblContractForDeed[[#This Row],[Int Rate]]/12),2))</f>
        <v>902.66</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2222.71</v>
      </c>
      <c r="W55" s="316">
        <f>SUM(INDEX(tblContractForDeed[Princ],1):INDEX(tblContractForDeed[Princ],ROW()-ROW(tblContractForDeed[#Headers])))</f>
        <v>22198.570000000003</v>
      </c>
      <c r="X55" s="316">
        <f>IF(tblContractForDeed[[#This Row],[Beg]]&lt;=0,0,tblContractForDeed[[#This Row],[Beg]]-tblContractForDeed[[#This Row],[Princ]])</f>
        <v>134401.43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1453.8</v>
      </c>
      <c r="AA55" s="23"/>
      <c r="AB55" s="21">
        <f>IF(INDEX(tblContractForDeed[Payment],ROW()-ROW(tblBuyerOutputs[#Headers]))=0,0,INDEX(tblContractForDeed[Payment],ROW()-ROW(tblBuyerOutputs[#Headers]))-INDEX(tblSubjectToLoan[Payment],ROW()-ROW(tblBuyerOutputs[#Headers])))-IFERROR(tblBuyerOutputs[[#This Row],[PMI]],0)</f>
        <v>1453.8</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34891.19999999999</v>
      </c>
      <c r="AD55" s="316">
        <f>IF(INDEX(tblContractForDeed[End Bal],ROW()-ROW(tblBuyerOutputs[#Headers]))&lt;=0,0,($O$6+IF(ROW()=ROW(tblBuyerOutputs[#Headers])+1,0,INDEX(tblBuyerOutputs[Cumul Appr],ROW()-ROW(tblBuyerOutputs[#Headers])-1)))*$O$2/12)</f>
        <v>754.71598102415419</v>
      </c>
      <c r="AE55" s="589">
        <f>IF(INDEX(tblContractForDeed[End Bal],ROW()-ROW(tblBuyerOutputs[#Headers]))&lt;=0,0,IF(ROW()=ROW(tblBuyerOutputs[#Headers])+1,0,INDEX(tblBuyerOutputs[Cumul Appr],ROW()-ROW(tblBuyerOutputs[#Headers])-1))+tblBuyerOutputs[[#This Row],[Monthly Appr]])</f>
        <v>25286.551426821137</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134401.43</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6" s="265">
        <f>IF(tblContractForDeed[[#This Row],[Payment]]=0,0,MAX(0,MIN(tblContractForDeed[[#This Row],[Beg]],tblContractForDeed[[#This Row],[Payment]]-tblContractForDeed[[#This Row],[Int]])))</f>
        <v>1003.98</v>
      </c>
      <c r="S56" s="265">
        <f>IF(OR(tblContractForDeed[[#This Row],[Date]]&lt;cfdContractDate,tblContractForDeed[[#This Row],[Date]]&gt;cfdEndDate),0,ROUND(tblContractForDeed[[#This Row],[Beg]]*(tblContractForDeed[[#This Row],[Int Rate]]/12),2))</f>
        <v>896.01</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2222.71</v>
      </c>
      <c r="W56" s="265">
        <f>SUM(INDEX(tblContractForDeed[Princ],1):INDEX(tblContractForDeed[Princ],ROW()-ROW(tblContractForDeed[#Headers])))</f>
        <v>23202.550000000003</v>
      </c>
      <c r="X56" s="265">
        <f>IF(tblContractForDeed[[#This Row],[Beg]]&lt;=0,0,tblContractForDeed[[#This Row],[Beg]]-tblContractForDeed[[#This Row],[Princ]])</f>
        <v>133397.44999999998</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1453.8</v>
      </c>
      <c r="AA56"/>
      <c r="AB56" s="14">
        <f>IF(INDEX(tblContractForDeed[Payment],ROW()-ROW(tblBuyerOutputs[#Headers]))=0,0,INDEX(tblContractForDeed[Payment],ROW()-ROW(tblBuyerOutputs[#Headers]))-INDEX(tblSubjectToLoan[Payment],ROW()-ROW(tblBuyerOutputs[#Headers])))-IFERROR(tblBuyerOutputs[[#This Row],[PMI]],0)</f>
        <v>1453.8</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36344.999999999993</v>
      </c>
      <c r="AD56" s="265">
        <f>IF(INDEX(tblContractForDeed[End Bal],ROW()-ROW(tblBuyerOutputs[#Headers]))&lt;=0,0,($O$6+IF(ROW()=ROW(tblBuyerOutputs[#Headers])+1,0,INDEX(tblBuyerOutputs[Cumul Appr],ROW()-ROW(tblBuyerOutputs[#Headers])-1)))*$O$2/12)</f>
        <v>757.86063094508802</v>
      </c>
      <c r="AE56" s="588">
        <f>IF(INDEX(tblContractForDeed[End Bal],ROW()-ROW(tblBuyerOutputs[#Headers]))&lt;=0,0,IF(ROW()=ROW(tblBuyerOutputs[#Headers])+1,0,INDEX(tblBuyerOutputs[Cumul Appr],ROW()-ROW(tblBuyerOutputs[#Headers])-1))+tblBuyerOutputs[[#This Row],[Monthly Appr]])</f>
        <v>26044.412057766225</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133397.44999999998</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7" s="265">
        <f>IF(tblContractForDeed[[#This Row],[Payment]]=0,0,MAX(0,MIN(tblContractForDeed[[#This Row],[Beg]],tblContractForDeed[[#This Row],[Payment]]-tblContractForDeed[[#This Row],[Int]])))</f>
        <v>1010.67</v>
      </c>
      <c r="S57" s="265">
        <f>IF(OR(tblContractForDeed[[#This Row],[Date]]&lt;cfdContractDate,tblContractForDeed[[#This Row],[Date]]&gt;cfdEndDate),0,ROUND(tblContractForDeed[[#This Row],[Beg]]*(tblContractForDeed[[#This Row],[Int Rate]]/12),2))</f>
        <v>889.32</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2222.71</v>
      </c>
      <c r="W57" s="265">
        <f>SUM(INDEX(tblContractForDeed[Princ],1):INDEX(tblContractForDeed[Princ],ROW()-ROW(tblContractForDeed[#Headers])))</f>
        <v>24213.22</v>
      </c>
      <c r="X57" s="265">
        <f>IF(tblContractForDeed[[#This Row],[Beg]]&lt;=0,0,tblContractForDeed[[#This Row],[Beg]]-tblContractForDeed[[#This Row],[Princ]])</f>
        <v>132386.77999999997</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1453.8</v>
      </c>
      <c r="AA57"/>
      <c r="AB57" s="14">
        <f>IF(INDEX(tblContractForDeed[Payment],ROW()-ROW(tblBuyerOutputs[#Headers]))=0,0,INDEX(tblContractForDeed[Payment],ROW()-ROW(tblBuyerOutputs[#Headers]))-INDEX(tblSubjectToLoan[Payment],ROW()-ROW(tblBuyerOutputs[#Headers])))-IFERROR(tblBuyerOutputs[[#This Row],[PMI]],0)</f>
        <v>1453.8</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37798.799999999996</v>
      </c>
      <c r="AD57" s="265">
        <f>IF(INDEX(tblContractForDeed[End Bal],ROW()-ROW(tblBuyerOutputs[#Headers]))&lt;=0,0,($O$6+IF(ROW()=ROW(tblBuyerOutputs[#Headers])+1,0,INDEX(tblBuyerOutputs[Cumul Appr],ROW()-ROW(tblBuyerOutputs[#Headers])-1)))*$O$2/12)</f>
        <v>761.01838357402596</v>
      </c>
      <c r="AE57" s="588">
        <f>IF(INDEX(tblContractForDeed[End Bal],ROW()-ROW(tblBuyerOutputs[#Headers]))&lt;=0,0,IF(ROW()=ROW(tblBuyerOutputs[#Headers])+1,0,INDEX(tblBuyerOutputs[Cumul Appr],ROW()-ROW(tblBuyerOutputs[#Headers])-1))+tblBuyerOutputs[[#This Row],[Monthly Appr]])</f>
        <v>26805.43044134025</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132386.77999999997</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8" s="265">
        <f>IF(tblContractForDeed[[#This Row],[Payment]]=0,0,MAX(0,MIN(tblContractForDeed[[#This Row],[Beg]],tblContractForDeed[[#This Row],[Payment]]-tblContractForDeed[[#This Row],[Int]])))</f>
        <v>1017.41</v>
      </c>
      <c r="S58" s="265">
        <f>IF(OR(tblContractForDeed[[#This Row],[Date]]&lt;cfdContractDate,tblContractForDeed[[#This Row],[Date]]&gt;cfdEndDate),0,ROUND(tblContractForDeed[[#This Row],[Beg]]*(tblContractForDeed[[#This Row],[Int Rate]]/12),2))</f>
        <v>882.58</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2222.71</v>
      </c>
      <c r="W58" s="265">
        <f>SUM(INDEX(tblContractForDeed[Princ],1):INDEX(tblContractForDeed[Princ],ROW()-ROW(tblContractForDeed[#Headers])))</f>
        <v>25230.63</v>
      </c>
      <c r="X58" s="265">
        <f>IF(tblContractForDeed[[#This Row],[Beg]]&lt;=0,0,tblContractForDeed[[#This Row],[Beg]]-tblContractForDeed[[#This Row],[Princ]])</f>
        <v>131369.36999999997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1453.8</v>
      </c>
      <c r="AA58"/>
      <c r="AB58" s="14">
        <f>IF(INDEX(tblContractForDeed[Payment],ROW()-ROW(tblBuyerOutputs[#Headers]))=0,0,INDEX(tblContractForDeed[Payment],ROW()-ROW(tblBuyerOutputs[#Headers]))-INDEX(tblSubjectToLoan[Payment],ROW()-ROW(tblBuyerOutputs[#Headers])))-IFERROR(tblBuyerOutputs[[#This Row],[PMI]],0)</f>
        <v>1453.8</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39252.6</v>
      </c>
      <c r="AD58" s="265">
        <f>IF(INDEX(tblContractForDeed[End Bal],ROW()-ROW(tblBuyerOutputs[#Headers]))&lt;=0,0,($O$6+IF(ROW()=ROW(tblBuyerOutputs[#Headers])+1,0,INDEX(tblBuyerOutputs[Cumul Appr],ROW()-ROW(tblBuyerOutputs[#Headers])-1)))*$O$2/12)</f>
        <v>764.18929350558437</v>
      </c>
      <c r="AE58" s="588">
        <f>IF(INDEX(tblContractForDeed[End Bal],ROW()-ROW(tblBuyerOutputs[#Headers]))&lt;=0,0,IF(ROW()=ROW(tblBuyerOutputs[#Headers])+1,0,INDEX(tblBuyerOutputs[Cumul Appr],ROW()-ROW(tblBuyerOutputs[#Headers])-1))+tblBuyerOutputs[[#This Row],[Monthly Appr]])</f>
        <v>27569.619734845834</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131369.36999999997</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9" s="265">
        <f>IF(tblContractForDeed[[#This Row],[Payment]]=0,0,MAX(0,MIN(tblContractForDeed[[#This Row],[Beg]],tblContractForDeed[[#This Row],[Payment]]-tblContractForDeed[[#This Row],[Int]])))</f>
        <v>1024.19</v>
      </c>
      <c r="S59" s="265">
        <f>IF(OR(tblContractForDeed[[#This Row],[Date]]&lt;cfdContractDate,tblContractForDeed[[#This Row],[Date]]&gt;cfdEndDate),0,ROUND(tblContractForDeed[[#This Row],[Beg]]*(tblContractForDeed[[#This Row],[Int Rate]]/12),2))</f>
        <v>875.8</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2222.71</v>
      </c>
      <c r="W59" s="265">
        <f>SUM(INDEX(tblContractForDeed[Princ],1):INDEX(tblContractForDeed[Princ],ROW()-ROW(tblContractForDeed[#Headers])))</f>
        <v>26254.82</v>
      </c>
      <c r="X59" s="265">
        <f>IF(tblContractForDeed[[#This Row],[Beg]]&lt;=0,0,tblContractForDeed[[#This Row],[Beg]]-tblContractForDeed[[#This Row],[Princ]])</f>
        <v>130345.17999999996</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1453.8</v>
      </c>
      <c r="AA59"/>
      <c r="AB59" s="14">
        <f>IF(INDEX(tblContractForDeed[Payment],ROW()-ROW(tblBuyerOutputs[#Headers]))=0,0,INDEX(tblContractForDeed[Payment],ROW()-ROW(tblBuyerOutputs[#Headers]))-INDEX(tblSubjectToLoan[Payment],ROW()-ROW(tblBuyerOutputs[#Headers])))-IFERROR(tblBuyerOutputs[[#This Row],[PMI]],0)</f>
        <v>1453.8</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40706.400000000001</v>
      </c>
      <c r="AD59" s="265">
        <f>IF(INDEX(tblContractForDeed[End Bal],ROW()-ROW(tblBuyerOutputs[#Headers]))&lt;=0,0,($O$6+IF(ROW()=ROW(tblBuyerOutputs[#Headers])+1,0,INDEX(tblBuyerOutputs[Cumul Appr],ROW()-ROW(tblBuyerOutputs[#Headers])-1)))*$O$2/12)</f>
        <v>767.37341556185766</v>
      </c>
      <c r="AE59" s="588">
        <f>IF(INDEX(tblContractForDeed[End Bal],ROW()-ROW(tblBuyerOutputs[#Headers]))&lt;=0,0,IF(ROW()=ROW(tblBuyerOutputs[#Headers])+1,0,INDEX(tblBuyerOutputs[Cumul Appr],ROW()-ROW(tblBuyerOutputs[#Headers])-1))+tblBuyerOutputs[[#This Row],[Monthly Appr]])</f>
        <v>28336.993150407692</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130345.17999999996</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0" s="265">
        <f>IF(tblContractForDeed[[#This Row],[Payment]]=0,0,MAX(0,MIN(tblContractForDeed[[#This Row],[Beg]],tblContractForDeed[[#This Row],[Payment]]-tblContractForDeed[[#This Row],[Int]])))</f>
        <v>1031.02</v>
      </c>
      <c r="S60" s="265">
        <f>IF(OR(tblContractForDeed[[#This Row],[Date]]&lt;cfdContractDate,tblContractForDeed[[#This Row],[Date]]&gt;cfdEndDate),0,ROUND(tblContractForDeed[[#This Row],[Beg]]*(tblContractForDeed[[#This Row],[Int Rate]]/12),2))</f>
        <v>868.97</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2222.71</v>
      </c>
      <c r="W60" s="265">
        <f>SUM(INDEX(tblContractForDeed[Princ],1):INDEX(tblContractForDeed[Princ],ROW()-ROW(tblContractForDeed[#Headers])))</f>
        <v>27285.84</v>
      </c>
      <c r="X60" s="265">
        <f>IF(tblContractForDeed[[#This Row],[Beg]]&lt;=0,0,tblContractForDeed[[#This Row],[Beg]]-tblContractForDeed[[#This Row],[Princ]])</f>
        <v>129314.15999999996</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1453.8</v>
      </c>
      <c r="AA60"/>
      <c r="AB60" s="14">
        <f>IF(INDEX(tblContractForDeed[Payment],ROW()-ROW(tblBuyerOutputs[#Headers]))=0,0,INDEX(tblContractForDeed[Payment],ROW()-ROW(tblBuyerOutputs[#Headers]))-INDEX(tblSubjectToLoan[Payment],ROW()-ROW(tblBuyerOutputs[#Headers])))-IFERROR(tblBuyerOutputs[[#This Row],[PMI]],0)</f>
        <v>1453.8</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42160.200000000004</v>
      </c>
      <c r="AD60" s="265">
        <f>IF(INDEX(tblContractForDeed[End Bal],ROW()-ROW(tblBuyerOutputs[#Headers]))&lt;=0,0,($O$6+IF(ROW()=ROW(tblBuyerOutputs[#Headers])+1,0,INDEX(tblBuyerOutputs[Cumul Appr],ROW()-ROW(tblBuyerOutputs[#Headers])-1)))*$O$2/12)</f>
        <v>770.57080479336537</v>
      </c>
      <c r="AE60" s="588">
        <f>IF(INDEX(tblContractForDeed[End Bal],ROW()-ROW(tblBuyerOutputs[#Headers]))&lt;=0,0,IF(ROW()=ROW(tblBuyerOutputs[#Headers])+1,0,INDEX(tblBuyerOutputs[Cumul Appr],ROW()-ROW(tblBuyerOutputs[#Headers])-1))+tblBuyerOutputs[[#This Row],[Monthly Appr]])</f>
        <v>29107.563955201058</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129314.15999999996</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1" s="265">
        <f>IF(tblContractForDeed[[#This Row],[Payment]]=0,0,MAX(0,MIN(tblContractForDeed[[#This Row],[Beg]],tblContractForDeed[[#This Row],[Payment]]-tblContractForDeed[[#This Row],[Int]])))</f>
        <v>1037.9000000000001</v>
      </c>
      <c r="S61" s="265">
        <f>IF(OR(tblContractForDeed[[#This Row],[Date]]&lt;cfdContractDate,tblContractForDeed[[#This Row],[Date]]&gt;cfdEndDate),0,ROUND(tblContractForDeed[[#This Row],[Beg]]*(tblContractForDeed[[#This Row],[Int Rate]]/12),2))</f>
        <v>862.09</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2222.7100000000005</v>
      </c>
      <c r="W61" s="265">
        <f>SUM(INDEX(tblContractForDeed[Princ],1):INDEX(tblContractForDeed[Princ],ROW()-ROW(tblContractForDeed[#Headers])))</f>
        <v>28323.74</v>
      </c>
      <c r="X61" s="265">
        <f>IF(tblContractForDeed[[#This Row],[Beg]]&lt;=0,0,tblContractForDeed[[#This Row],[Beg]]-tblContractForDeed[[#This Row],[Princ]])</f>
        <v>128276.25999999997</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1453.8</v>
      </c>
      <c r="AA61"/>
      <c r="AB61" s="14">
        <f>IF(INDEX(tblContractForDeed[Payment],ROW()-ROW(tblBuyerOutputs[#Headers]))=0,0,INDEX(tblContractForDeed[Payment],ROW()-ROW(tblBuyerOutputs[#Headers]))-INDEX(tblSubjectToLoan[Payment],ROW()-ROW(tblBuyerOutputs[#Headers])))-IFERROR(tblBuyerOutputs[[#This Row],[PMI]],0)</f>
        <v>1453.8</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43614.000000000007</v>
      </c>
      <c r="AD61" s="265">
        <f>IF(INDEX(tblContractForDeed[End Bal],ROW()-ROW(tblBuyerOutputs[#Headers]))&lt;=0,0,($O$6+IF(ROW()=ROW(tblBuyerOutputs[#Headers])+1,0,INDEX(tblBuyerOutputs[Cumul Appr],ROW()-ROW(tblBuyerOutputs[#Headers])-1)))*$O$2/12)</f>
        <v>773.78151648000448</v>
      </c>
      <c r="AE61" s="588">
        <f>IF(INDEX(tblContractForDeed[End Bal],ROW()-ROW(tblBuyerOutputs[#Headers]))&lt;=0,0,IF(ROW()=ROW(tblBuyerOutputs[#Headers])+1,0,INDEX(tblBuyerOutputs[Cumul Appr],ROW()-ROW(tblBuyerOutputs[#Headers])-1))+tblBuyerOutputs[[#This Row],[Monthly Appr]])</f>
        <v>29881.345471681063</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128276.25999999997</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2" s="265">
        <f>IF(tblContractForDeed[[#This Row],[Payment]]=0,0,MAX(0,MIN(tblContractForDeed[[#This Row],[Beg]],tblContractForDeed[[#This Row],[Payment]]-tblContractForDeed[[#This Row],[Int]])))</f>
        <v>1044.81</v>
      </c>
      <c r="S62" s="265">
        <f>IF(OR(tblContractForDeed[[#This Row],[Date]]&lt;cfdContractDate,tblContractForDeed[[#This Row],[Date]]&gt;cfdEndDate),0,ROUND(tblContractForDeed[[#This Row],[Beg]]*(tblContractForDeed[[#This Row],[Int Rate]]/12),2))</f>
        <v>855.18</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2222.71</v>
      </c>
      <c r="W62" s="265">
        <f>SUM(INDEX(tblContractForDeed[Princ],1):INDEX(tblContractForDeed[Princ],ROW()-ROW(tblContractForDeed[#Headers])))</f>
        <v>29368.550000000003</v>
      </c>
      <c r="X62" s="265">
        <f>IF(tblContractForDeed[[#This Row],[Beg]]&lt;=0,0,tblContractForDeed[[#This Row],[Beg]]-tblContractForDeed[[#This Row],[Princ]])</f>
        <v>127231.44999999997</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1453.8</v>
      </c>
      <c r="AA62"/>
      <c r="AB62" s="14">
        <f>IF(INDEX(tblContractForDeed[Payment],ROW()-ROW(tblBuyerOutputs[#Headers]))=0,0,INDEX(tblContractForDeed[Payment],ROW()-ROW(tblBuyerOutputs[#Headers]))-INDEX(tblSubjectToLoan[Payment],ROW()-ROW(tblBuyerOutputs[#Headers])))-IFERROR(tblBuyerOutputs[[#This Row],[PMI]],0)</f>
        <v>1453.8</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45067.80000000001</v>
      </c>
      <c r="AD62" s="265">
        <f>IF(INDEX(tblContractForDeed[End Bal],ROW()-ROW(tblBuyerOutputs[#Headers]))&lt;=0,0,($O$6+IF(ROW()=ROW(tblBuyerOutputs[#Headers])+1,0,INDEX(tblBuyerOutputs[Cumul Appr],ROW()-ROW(tblBuyerOutputs[#Headers])-1)))*$O$2/12)</f>
        <v>777.00560613200457</v>
      </c>
      <c r="AE62" s="588">
        <f>IF(INDEX(tblContractForDeed[End Bal],ROW()-ROW(tblBuyerOutputs[#Headers]))&lt;=0,0,IF(ROW()=ROW(tblBuyerOutputs[#Headers])+1,0,INDEX(tblBuyerOutputs[Cumul Appr],ROW()-ROW(tblBuyerOutputs[#Headers])-1))+tblBuyerOutputs[[#This Row],[Monthly Appr]])</f>
        <v>30658.351077813066</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127231.44999999997</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3" s="265">
        <f>IF(tblContractForDeed[[#This Row],[Payment]]=0,0,MAX(0,MIN(tblContractForDeed[[#This Row],[Beg]],tblContractForDeed[[#This Row],[Payment]]-tblContractForDeed[[#This Row],[Int]])))</f>
        <v>1051.78</v>
      </c>
      <c r="S63" s="265">
        <f>IF(OR(tblContractForDeed[[#This Row],[Date]]&lt;cfdContractDate,tblContractForDeed[[#This Row],[Date]]&gt;cfdEndDate),0,ROUND(tblContractForDeed[[#This Row],[Beg]]*(tblContractForDeed[[#This Row],[Int Rate]]/12),2))</f>
        <v>848.21</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2222.71</v>
      </c>
      <c r="W63" s="265">
        <f>SUM(INDEX(tblContractForDeed[Princ],1):INDEX(tblContractForDeed[Princ],ROW()-ROW(tblContractForDeed[#Headers])))</f>
        <v>30420.33</v>
      </c>
      <c r="X63" s="265">
        <f>IF(tblContractForDeed[[#This Row],[Beg]]&lt;=0,0,tblContractForDeed[[#This Row],[Beg]]-tblContractForDeed[[#This Row],[Princ]])</f>
        <v>126179.66999999997</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1453.8</v>
      </c>
      <c r="AA63"/>
      <c r="AB63" s="14">
        <f>IF(INDEX(tblContractForDeed[Payment],ROW()-ROW(tblBuyerOutputs[#Headers]))=0,0,INDEX(tblContractForDeed[Payment],ROW()-ROW(tblBuyerOutputs[#Headers]))-INDEX(tblSubjectToLoan[Payment],ROW()-ROW(tblBuyerOutputs[#Headers])))-IFERROR(tblBuyerOutputs[[#This Row],[PMI]],0)</f>
        <v>1453.8</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46521.600000000013</v>
      </c>
      <c r="AD63" s="265">
        <f>IF(INDEX(tblContractForDeed[End Bal],ROW()-ROW(tblBuyerOutputs[#Headers]))&lt;=0,0,($O$6+IF(ROW()=ROW(tblBuyerOutputs[#Headers])+1,0,INDEX(tblBuyerOutputs[Cumul Appr],ROW()-ROW(tblBuyerOutputs[#Headers])-1)))*$O$2/12)</f>
        <v>780.2431294908879</v>
      </c>
      <c r="AE63" s="588">
        <f>IF(INDEX(tblContractForDeed[End Bal],ROW()-ROW(tblBuyerOutputs[#Headers]))&lt;=0,0,IF(ROW()=ROW(tblBuyerOutputs[#Headers])+1,0,INDEX(tblBuyerOutputs[Cumul Appr],ROW()-ROW(tblBuyerOutputs[#Headers])-1))+tblBuyerOutputs[[#This Row],[Monthly Appr]])</f>
        <v>31438.594207303955</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126179.66999999997</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4" s="265">
        <f>IF(tblContractForDeed[[#This Row],[Payment]]=0,0,MAX(0,MIN(tblContractForDeed[[#This Row],[Beg]],tblContractForDeed[[#This Row],[Payment]]-tblContractForDeed[[#This Row],[Int]])))</f>
        <v>1058.79</v>
      </c>
      <c r="S64" s="265">
        <f>IF(OR(tblContractForDeed[[#This Row],[Date]]&lt;cfdContractDate,tblContractForDeed[[#This Row],[Date]]&gt;cfdEndDate),0,ROUND(tblContractForDeed[[#This Row],[Beg]]*(tblContractForDeed[[#This Row],[Int Rate]]/12),2))</f>
        <v>841.2</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2222.71</v>
      </c>
      <c r="W64" s="265">
        <f>SUM(INDEX(tblContractForDeed[Princ],1):INDEX(tblContractForDeed[Princ],ROW()-ROW(tblContractForDeed[#Headers])))</f>
        <v>31479.120000000003</v>
      </c>
      <c r="X64" s="265">
        <f>IF(tblContractForDeed[[#This Row],[Beg]]&lt;=0,0,tblContractForDeed[[#This Row],[Beg]]-tblContractForDeed[[#This Row],[Princ]])</f>
        <v>125120.87999999998</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1453.8</v>
      </c>
      <c r="AA64">
        <v>120.14</v>
      </c>
      <c r="AB64" s="14">
        <f>IF(INDEX(tblContractForDeed[Payment],ROW()-ROW(tblBuyerOutputs[#Headers]))=0,0,INDEX(tblContractForDeed[Payment],ROW()-ROW(tblBuyerOutputs[#Headers]))-INDEX(tblSubjectToLoan[Payment],ROW()-ROW(tblBuyerOutputs[#Headers])))-IFERROR(tblBuyerOutputs[[#This Row],[PMI]],0)</f>
        <v>1333.6599999999999</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47855.260000000009</v>
      </c>
      <c r="AD64" s="265">
        <f>IF(INDEX(tblContractForDeed[End Bal],ROW()-ROW(tblBuyerOutputs[#Headers]))&lt;=0,0,($O$6+IF(ROW()=ROW(tblBuyerOutputs[#Headers])+1,0,INDEX(tblBuyerOutputs[Cumul Appr],ROW()-ROW(tblBuyerOutputs[#Headers])-1)))*$O$2/12)</f>
        <v>783.49414253043312</v>
      </c>
      <c r="AE64" s="588">
        <f>IF(INDEX(tblContractForDeed[End Bal],ROW()-ROW(tblBuyerOutputs[#Headers]))&lt;=0,0,IF(ROW()=ROW(tblBuyerOutputs[#Headers])+1,0,INDEX(tblBuyerOutputs[Cumul Appr],ROW()-ROW(tblBuyerOutputs[#Headers])-1))+tblBuyerOutputs[[#This Row],[Monthly Appr]])</f>
        <v>32222.088349834386</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125120.87999999998</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5" s="265">
        <f>IF(tblContractForDeed[[#This Row],[Payment]]=0,0,MAX(0,MIN(tblContractForDeed[[#This Row],[Beg]],tblContractForDeed[[#This Row],[Payment]]-tblContractForDeed[[#This Row],[Int]])))</f>
        <v>1065.8499999999999</v>
      </c>
      <c r="S65" s="265">
        <f>IF(OR(tblContractForDeed[[#This Row],[Date]]&lt;cfdContractDate,tblContractForDeed[[#This Row],[Date]]&gt;cfdEndDate),0,ROUND(tblContractForDeed[[#This Row],[Beg]]*(tblContractForDeed[[#This Row],[Int Rate]]/12),2))</f>
        <v>834.14</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2222.71</v>
      </c>
      <c r="W65" s="265">
        <f>SUM(INDEX(tblContractForDeed[Princ],1):INDEX(tblContractForDeed[Princ],ROW()-ROW(tblContractForDeed[#Headers])))</f>
        <v>32544.97</v>
      </c>
      <c r="X65" s="265">
        <f>IF(tblContractForDeed[[#This Row],[Beg]]&lt;=0,0,tblContractForDeed[[#This Row],[Beg]]-tblContractForDeed[[#This Row],[Princ]])</f>
        <v>124055.02999999997</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1453.8</v>
      </c>
      <c r="AA65">
        <v>120.14</v>
      </c>
      <c r="AB65" s="14">
        <f>IF(INDEX(tblContractForDeed[Payment],ROW()-ROW(tblBuyerOutputs[#Headers]))=0,0,INDEX(tblContractForDeed[Payment],ROW()-ROW(tblBuyerOutputs[#Headers]))-INDEX(tblSubjectToLoan[Payment],ROW()-ROW(tblBuyerOutputs[#Headers])))-IFERROR(tblBuyerOutputs[[#This Row],[PMI]],0)</f>
        <v>1333.6599999999999</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49188.920000000013</v>
      </c>
      <c r="AD65" s="265">
        <f>IF(INDEX(tblContractForDeed[End Bal],ROW()-ROW(tblBuyerOutputs[#Headers]))&lt;=0,0,($O$6+IF(ROW()=ROW(tblBuyerOutputs[#Headers])+1,0,INDEX(tblBuyerOutputs[Cumul Appr],ROW()-ROW(tblBuyerOutputs[#Headers])-1)))*$O$2/12)</f>
        <v>786.75870145764327</v>
      </c>
      <c r="AE65" s="588">
        <f>IF(INDEX(tblContractForDeed[End Bal],ROW()-ROW(tblBuyerOutputs[#Headers]))&lt;=0,0,IF(ROW()=ROW(tblBuyerOutputs[#Headers])+1,0,INDEX(tblBuyerOutputs[Cumul Appr],ROW()-ROW(tblBuyerOutputs[#Headers])-1))+tblBuyerOutputs[[#This Row],[Monthly Appr]])</f>
        <v>33008.847051292032</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124055.02999999997</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6" s="265">
        <f>IF(tblContractForDeed[[#This Row],[Payment]]=0,0,MAX(0,MIN(tblContractForDeed[[#This Row],[Beg]],tblContractForDeed[[#This Row],[Payment]]-tblContractForDeed[[#This Row],[Int]])))</f>
        <v>1072.96</v>
      </c>
      <c r="S66" s="265">
        <f>IF(OR(tblContractForDeed[[#This Row],[Date]]&lt;cfdContractDate,tblContractForDeed[[#This Row],[Date]]&gt;cfdEndDate),0,ROUND(tblContractForDeed[[#This Row],[Beg]]*(tblContractForDeed[[#This Row],[Int Rate]]/12),2))</f>
        <v>827.03</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2222.71</v>
      </c>
      <c r="W66" s="265">
        <f>SUM(INDEX(tblContractForDeed[Princ],1):INDEX(tblContractForDeed[Princ],ROW()-ROW(tblContractForDeed[#Headers])))</f>
        <v>33617.93</v>
      </c>
      <c r="X66" s="265">
        <f>IF(tblContractForDeed[[#This Row],[Beg]]&lt;=0,0,tblContractForDeed[[#This Row],[Beg]]-tblContractForDeed[[#This Row],[Princ]])</f>
        <v>122982.06999999996</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1453.8</v>
      </c>
      <c r="AA66">
        <v>120.14</v>
      </c>
      <c r="AB66" s="14">
        <f>IF(INDEX(tblContractForDeed[Payment],ROW()-ROW(tblBuyerOutputs[#Headers]))=0,0,INDEX(tblContractForDeed[Payment],ROW()-ROW(tblBuyerOutputs[#Headers]))-INDEX(tblSubjectToLoan[Payment],ROW()-ROW(tblBuyerOutputs[#Headers])))-IFERROR(tblBuyerOutputs[[#This Row],[PMI]],0)</f>
        <v>1333.6599999999999</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50522.580000000016</v>
      </c>
      <c r="AD66" s="265">
        <f>IF(INDEX(tblContractForDeed[End Bal],ROW()-ROW(tblBuyerOutputs[#Headers]))&lt;=0,0,($O$6+IF(ROW()=ROW(tblBuyerOutputs[#Headers])+1,0,INDEX(tblBuyerOutputs[Cumul Appr],ROW()-ROW(tblBuyerOutputs[#Headers])-1)))*$O$2/12)</f>
        <v>790.0368627137168</v>
      </c>
      <c r="AE66" s="588">
        <f>IF(INDEX(tblContractForDeed[End Bal],ROW()-ROW(tblBuyerOutputs[#Headers]))&lt;=0,0,IF(ROW()=ROW(tblBuyerOutputs[#Headers])+1,0,INDEX(tblBuyerOutputs[Cumul Appr],ROW()-ROW(tblBuyerOutputs[#Headers])-1))+tblBuyerOutputs[[#This Row],[Monthly Appr]])</f>
        <v>33798.883914005746</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122982.06999999996</v>
      </c>
      <c r="P67" s="586">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7" s="316">
        <f>IF(tblContractForDeed[[#This Row],[Payment]]=0,0,MAX(0,MIN(tblContractForDeed[[#This Row],[Beg]],tblContractForDeed[[#This Row],[Payment]]-tblContractForDeed[[#This Row],[Int]])))</f>
        <v>1080.1100000000001</v>
      </c>
      <c r="S67" s="316">
        <f>IF(OR(tblContractForDeed[[#This Row],[Date]]&lt;cfdContractDate,tblContractForDeed[[#This Row],[Date]]&gt;cfdEndDate),0,ROUND(tblContractForDeed[[#This Row],[Beg]]*(tblContractForDeed[[#This Row],[Int Rate]]/12),2))</f>
        <v>819.88</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2222.7100000000005</v>
      </c>
      <c r="W67" s="316">
        <f>SUM(INDEX(tblContractForDeed[Princ],1):INDEX(tblContractForDeed[Princ],ROW()-ROW(tblContractForDeed[#Headers])))</f>
        <v>34698.04</v>
      </c>
      <c r="X67" s="316">
        <f>IF(tblContractForDeed[[#This Row],[Beg]]&lt;=0,0,tblContractForDeed[[#This Row],[Beg]]-tblContractForDeed[[#This Row],[Princ]])</f>
        <v>121901.95999999996</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1453.8</v>
      </c>
      <c r="AA67">
        <v>120.14</v>
      </c>
      <c r="AB67" s="21">
        <f>IF(INDEX(tblContractForDeed[Payment],ROW()-ROW(tblBuyerOutputs[#Headers]))=0,0,INDEX(tblContractForDeed[Payment],ROW()-ROW(tblBuyerOutputs[#Headers]))-INDEX(tblSubjectToLoan[Payment],ROW()-ROW(tblBuyerOutputs[#Headers])))-IFERROR(tblBuyerOutputs[[#This Row],[PMI]],0)</f>
        <v>1333.6599999999999</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51856.24000000002</v>
      </c>
      <c r="AD67" s="316">
        <f>IF(INDEX(tblContractForDeed[End Bal],ROW()-ROW(tblBuyerOutputs[#Headers]))&lt;=0,0,($O$6+IF(ROW()=ROW(tblBuyerOutputs[#Headers])+1,0,INDEX(tblBuyerOutputs[Cumul Appr],ROW()-ROW(tblBuyerOutputs[#Headers])-1)))*$O$2/12)</f>
        <v>793.32868297502398</v>
      </c>
      <c r="AE67" s="589">
        <f>IF(INDEX(tblContractForDeed[End Bal],ROW()-ROW(tblBuyerOutputs[#Headers]))&lt;=0,0,IF(ROW()=ROW(tblBuyerOutputs[#Headers])+1,0,INDEX(tblBuyerOutputs[Cumul Appr],ROW()-ROW(tblBuyerOutputs[#Headers])-1))+tblBuyerOutputs[[#This Row],[Monthly Appr]])</f>
        <v>34592.212596980768</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121901.95999999996</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8" s="265">
        <f>IF(tblContractForDeed[[#This Row],[Payment]]=0,0,MAX(0,MIN(tblContractForDeed[[#This Row],[Beg]],tblContractForDeed[[#This Row],[Payment]]-tblContractForDeed[[#This Row],[Int]])))</f>
        <v>1087.31</v>
      </c>
      <c r="S68" s="265">
        <f>IF(OR(tblContractForDeed[[#This Row],[Date]]&lt;cfdContractDate,tblContractForDeed[[#This Row],[Date]]&gt;cfdEndDate),0,ROUND(tblContractForDeed[[#This Row],[Beg]]*(tblContractForDeed[[#This Row],[Int Rate]]/12),2))</f>
        <v>812.68</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2222.71</v>
      </c>
      <c r="W68" s="265">
        <f>SUM(INDEX(tblContractForDeed[Princ],1):INDEX(tblContractForDeed[Princ],ROW()-ROW(tblContractForDeed[#Headers])))</f>
        <v>35785.35</v>
      </c>
      <c r="X68" s="265">
        <f>IF(tblContractForDeed[[#This Row],[Beg]]&lt;=0,0,tblContractForDeed[[#This Row],[Beg]]-tblContractForDeed[[#This Row],[Princ]])</f>
        <v>120814.64999999997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1453.8</v>
      </c>
      <c r="AA68"/>
      <c r="AB68" s="14">
        <f>IF(INDEX(tblContractForDeed[Payment],ROW()-ROW(tblBuyerOutputs[#Headers]))=0,0,INDEX(tblContractForDeed[Payment],ROW()-ROW(tblBuyerOutputs[#Headers]))-INDEX(tblSubjectToLoan[Payment],ROW()-ROW(tblBuyerOutputs[#Headers])))-IFERROR(tblBuyerOutputs[[#This Row],[PMI]],0)</f>
        <v>1453.8</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53310.040000000023</v>
      </c>
      <c r="AD68" s="265">
        <f>IF(INDEX(tblContractForDeed[End Bal],ROW()-ROW(tblBuyerOutputs[#Headers]))&lt;=0,0,($O$6+IF(ROW()=ROW(tblBuyerOutputs[#Headers])+1,0,INDEX(tblBuyerOutputs[Cumul Appr],ROW()-ROW(tblBuyerOutputs[#Headers])-1)))*$O$2/12)</f>
        <v>796.63421915408662</v>
      </c>
      <c r="AE68" s="588">
        <f>IF(INDEX(tblContractForDeed[End Bal],ROW()-ROW(tblBuyerOutputs[#Headers]))&lt;=0,0,IF(ROW()=ROW(tblBuyerOutputs[#Headers])+1,0,INDEX(tblBuyerOutputs[Cumul Appr],ROW()-ROW(tblBuyerOutputs[#Headers])-1))+tblBuyerOutputs[[#This Row],[Monthly Appr]])</f>
        <v>35388.846816134857</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120814.64999999997</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9" s="265">
        <f>IF(tblContractForDeed[[#This Row],[Payment]]=0,0,MAX(0,MIN(tblContractForDeed[[#This Row],[Beg]],tblContractForDeed[[#This Row],[Payment]]-tblContractForDeed[[#This Row],[Int]])))</f>
        <v>1094.56</v>
      </c>
      <c r="S69" s="265">
        <f>IF(OR(tblContractForDeed[[#This Row],[Date]]&lt;cfdContractDate,tblContractForDeed[[#This Row],[Date]]&gt;cfdEndDate),0,ROUND(tblContractForDeed[[#This Row],[Beg]]*(tblContractForDeed[[#This Row],[Int Rate]]/12),2))</f>
        <v>805.43</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2222.71</v>
      </c>
      <c r="W69" s="265">
        <f>SUM(INDEX(tblContractForDeed[Princ],1):INDEX(tblContractForDeed[Princ],ROW()-ROW(tblContractForDeed[#Headers])))</f>
        <v>36879.909999999996</v>
      </c>
      <c r="X69" s="265">
        <f>IF(tblContractForDeed[[#This Row],[Beg]]&lt;=0,0,tblContractForDeed[[#This Row],[Beg]]-tblContractForDeed[[#This Row],[Princ]])</f>
        <v>119720.08999999997</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1453.8</v>
      </c>
      <c r="AA69"/>
      <c r="AB69" s="14">
        <f>IF(INDEX(tblContractForDeed[Payment],ROW()-ROW(tblBuyerOutputs[#Headers]))=0,0,INDEX(tblContractForDeed[Payment],ROW()-ROW(tblBuyerOutputs[#Headers]))-INDEX(tblSubjectToLoan[Payment],ROW()-ROW(tblBuyerOutputs[#Headers])))-IFERROR(tblBuyerOutputs[[#This Row],[PMI]],0)</f>
        <v>1453.8</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54763.840000000026</v>
      </c>
      <c r="AD69" s="265">
        <f>IF(INDEX(tblContractForDeed[End Bal],ROW()-ROW(tblBuyerOutputs[#Headers]))&lt;=0,0,($O$6+IF(ROW()=ROW(tblBuyerOutputs[#Headers])+1,0,INDEX(tblBuyerOutputs[Cumul Appr],ROW()-ROW(tblBuyerOutputs[#Headers])-1)))*$O$2/12)</f>
        <v>799.95352840056194</v>
      </c>
      <c r="AE69" s="588">
        <f>IF(INDEX(tblContractForDeed[End Bal],ROW()-ROW(tblBuyerOutputs[#Headers]))&lt;=0,0,IF(ROW()=ROW(tblBuyerOutputs[#Headers])+1,0,INDEX(tblBuyerOutputs[Cumul Appr],ROW()-ROW(tblBuyerOutputs[#Headers])-1))+tblBuyerOutputs[[#This Row],[Monthly Appr]])</f>
        <v>36188.800344535419</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119720.08999999997</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0" s="265">
        <f>IF(tblContractForDeed[[#This Row],[Payment]]=0,0,MAX(0,MIN(tblContractForDeed[[#This Row],[Beg]],tblContractForDeed[[#This Row],[Payment]]-tblContractForDeed[[#This Row],[Int]])))</f>
        <v>1101.8600000000001</v>
      </c>
      <c r="S70" s="265">
        <f>IF(OR(tblContractForDeed[[#This Row],[Date]]&lt;cfdContractDate,tblContractForDeed[[#This Row],[Date]]&gt;cfdEndDate),0,ROUND(tblContractForDeed[[#This Row],[Beg]]*(tblContractForDeed[[#This Row],[Int Rate]]/12),2))</f>
        <v>798.13</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2222.7100000000005</v>
      </c>
      <c r="W70" s="265">
        <f>SUM(INDEX(tblContractForDeed[Princ],1):INDEX(tblContractForDeed[Princ],ROW()-ROW(tblContractForDeed[#Headers])))</f>
        <v>37981.769999999997</v>
      </c>
      <c r="X70" s="265">
        <f>IF(tblContractForDeed[[#This Row],[Beg]]&lt;=0,0,tblContractForDeed[[#This Row],[Beg]]-tblContractForDeed[[#This Row],[Princ]])</f>
        <v>118618.22999999997</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1453.8</v>
      </c>
      <c r="AA70"/>
      <c r="AB70" s="14">
        <f>IF(INDEX(tblContractForDeed[Payment],ROW()-ROW(tblBuyerOutputs[#Headers]))=0,0,INDEX(tblContractForDeed[Payment],ROW()-ROW(tblBuyerOutputs[#Headers]))-INDEX(tblSubjectToLoan[Payment],ROW()-ROW(tblBuyerOutputs[#Headers])))-IFERROR(tblBuyerOutputs[[#This Row],[PMI]],0)</f>
        <v>1453.8</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56217.640000000029</v>
      </c>
      <c r="AD70" s="265">
        <f>IF(INDEX(tblContractForDeed[End Bal],ROW()-ROW(tblBuyerOutputs[#Headers]))&lt;=0,0,($O$6+IF(ROW()=ROW(tblBuyerOutputs[#Headers])+1,0,INDEX(tblBuyerOutputs[Cumul Appr],ROW()-ROW(tblBuyerOutputs[#Headers])-1)))*$O$2/12)</f>
        <v>803.28666810223092</v>
      </c>
      <c r="AE70" s="588">
        <f>IF(INDEX(tblContractForDeed[End Bal],ROW()-ROW(tblBuyerOutputs[#Headers]))&lt;=0,0,IF(ROW()=ROW(tblBuyerOutputs[#Headers])+1,0,INDEX(tblBuyerOutputs[Cumul Appr],ROW()-ROW(tblBuyerOutputs[#Headers])-1))+tblBuyerOutputs[[#This Row],[Monthly Appr]])</f>
        <v>36992.087012637647</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118618.22999999997</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1" s="265">
        <f>IF(tblContractForDeed[[#This Row],[Payment]]=0,0,MAX(0,MIN(tblContractForDeed[[#This Row],[Beg]],tblContractForDeed[[#This Row],[Payment]]-tblContractForDeed[[#This Row],[Int]])))</f>
        <v>1109.2</v>
      </c>
      <c r="S71" s="265">
        <f>IF(OR(tblContractForDeed[[#This Row],[Date]]&lt;cfdContractDate,tblContractForDeed[[#This Row],[Date]]&gt;cfdEndDate),0,ROUND(tblContractForDeed[[#This Row],[Beg]]*(tblContractForDeed[[#This Row],[Int Rate]]/12),2))</f>
        <v>790.79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2222.71</v>
      </c>
      <c r="W71" s="265">
        <f>SUM(INDEX(tblContractForDeed[Princ],1):INDEX(tblContractForDeed[Princ],ROW()-ROW(tblContractForDeed[#Headers])))</f>
        <v>39090.969999999994</v>
      </c>
      <c r="X71" s="265">
        <f>IF(tblContractForDeed[[#This Row],[Beg]]&lt;=0,0,tblContractForDeed[[#This Row],[Beg]]-tblContractForDeed[[#This Row],[Princ]])</f>
        <v>117509.02999999997</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1453.8</v>
      </c>
      <c r="AA71"/>
      <c r="AB71" s="14">
        <f>IF(INDEX(tblContractForDeed[Payment],ROW()-ROW(tblBuyerOutputs[#Headers]))=0,0,INDEX(tblContractForDeed[Payment],ROW()-ROW(tblBuyerOutputs[#Headers]))-INDEX(tblSubjectToLoan[Payment],ROW()-ROW(tblBuyerOutputs[#Headers])))-IFERROR(tblBuyerOutputs[[#This Row],[PMI]],0)</f>
        <v>1453.8</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57671.440000000031</v>
      </c>
      <c r="AD71" s="265">
        <f>IF(INDEX(tblContractForDeed[End Bal],ROW()-ROW(tblBuyerOutputs[#Headers]))&lt;=0,0,($O$6+IF(ROW()=ROW(tblBuyerOutputs[#Headers])+1,0,INDEX(tblBuyerOutputs[Cumul Appr],ROW()-ROW(tblBuyerOutputs[#Headers])-1)))*$O$2/12)</f>
        <v>806.63369588599016</v>
      </c>
      <c r="AE71" s="588">
        <f>IF(INDEX(tblContractForDeed[End Bal],ROW()-ROW(tblBuyerOutputs[#Headers]))&lt;=0,0,IF(ROW()=ROW(tblBuyerOutputs[#Headers])+1,0,INDEX(tblBuyerOutputs[Cumul Appr],ROW()-ROW(tblBuyerOutputs[#Headers])-1))+tblBuyerOutputs[[#This Row],[Monthly Appr]])</f>
        <v>37798.720708523637</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117509.02999999997</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2" s="265">
        <f>IF(tblContractForDeed[[#This Row],[Payment]]=0,0,MAX(0,MIN(tblContractForDeed[[#This Row],[Beg]],tblContractForDeed[[#This Row],[Payment]]-tblContractForDeed[[#This Row],[Int]])))</f>
        <v>1116.5999999999999</v>
      </c>
      <c r="S72" s="265">
        <f>IF(OR(tblContractForDeed[[#This Row],[Date]]&lt;cfdContractDate,tblContractForDeed[[#This Row],[Date]]&gt;cfdEndDate),0,ROUND(tblContractForDeed[[#This Row],[Beg]]*(tblContractForDeed[[#This Row],[Int Rate]]/12),2))</f>
        <v>783.39</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2222.71</v>
      </c>
      <c r="W72" s="265">
        <f>SUM(INDEX(tblContractForDeed[Princ],1):INDEX(tblContractForDeed[Princ],ROW()-ROW(tblContractForDeed[#Headers])))</f>
        <v>40207.569999999992</v>
      </c>
      <c r="X72" s="265">
        <f>IF(tblContractForDeed[[#This Row],[Beg]]&lt;=0,0,tblContractForDeed[[#This Row],[Beg]]-tblContractForDeed[[#This Row],[Princ]])</f>
        <v>116392.42999999996</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1453.8</v>
      </c>
      <c r="AA72"/>
      <c r="AB72" s="14">
        <f>IF(INDEX(tblContractForDeed[Payment],ROW()-ROW(tblBuyerOutputs[#Headers]))=0,0,INDEX(tblContractForDeed[Payment],ROW()-ROW(tblBuyerOutputs[#Headers]))-INDEX(tblSubjectToLoan[Payment],ROW()-ROW(tblBuyerOutputs[#Headers])))-IFERROR(tblBuyerOutputs[[#This Row],[PMI]],0)</f>
        <v>1453.8</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59125.240000000034</v>
      </c>
      <c r="AD72" s="265">
        <f>IF(INDEX(tblContractForDeed[End Bal],ROW()-ROW(tblBuyerOutputs[#Headers]))&lt;=0,0,($O$6+IF(ROW()=ROW(tblBuyerOutputs[#Headers])+1,0,INDEX(tblBuyerOutputs[Cumul Appr],ROW()-ROW(tblBuyerOutputs[#Headers])-1)))*$O$2/12)</f>
        <v>809.99466961884855</v>
      </c>
      <c r="AE72" s="588">
        <f>IF(INDEX(tblContractForDeed[End Bal],ROW()-ROW(tblBuyerOutputs[#Headers]))&lt;=0,0,IF(ROW()=ROW(tblBuyerOutputs[#Headers])+1,0,INDEX(tblBuyerOutputs[Cumul Appr],ROW()-ROW(tblBuyerOutputs[#Headers])-1))+tblBuyerOutputs[[#This Row],[Monthly Appr]])</f>
        <v>38608.715378142486</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116392.42999999996</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3" s="265">
        <f>IF(tblContractForDeed[[#This Row],[Payment]]=0,0,MAX(0,MIN(tblContractForDeed[[#This Row],[Beg]],tblContractForDeed[[#This Row],[Payment]]-tblContractForDeed[[#This Row],[Int]])))</f>
        <v>1124.04</v>
      </c>
      <c r="S73" s="265">
        <f>IF(OR(tblContractForDeed[[#This Row],[Date]]&lt;cfdContractDate,tblContractForDeed[[#This Row],[Date]]&gt;cfdEndDate),0,ROUND(tblContractForDeed[[#This Row],[Beg]]*(tblContractForDeed[[#This Row],[Int Rate]]/12),2))</f>
        <v>775.95</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2222.71</v>
      </c>
      <c r="W73" s="265">
        <f>SUM(INDEX(tblContractForDeed[Princ],1):INDEX(tblContractForDeed[Princ],ROW()-ROW(tblContractForDeed[#Headers])))</f>
        <v>41331.609999999993</v>
      </c>
      <c r="X73" s="265">
        <f>IF(tblContractForDeed[[#This Row],[Beg]]&lt;=0,0,tblContractForDeed[[#This Row],[Beg]]-tblContractForDeed[[#This Row],[Princ]])</f>
        <v>115268.38999999997</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1453.8</v>
      </c>
      <c r="AA73"/>
      <c r="AB73" s="14">
        <f>IF(INDEX(tblContractForDeed[Payment],ROW()-ROW(tblBuyerOutputs[#Headers]))=0,0,INDEX(tblContractForDeed[Payment],ROW()-ROW(tblBuyerOutputs[#Headers]))-INDEX(tblSubjectToLoan[Payment],ROW()-ROW(tblBuyerOutputs[#Headers])))-IFERROR(tblBuyerOutputs[[#This Row],[PMI]],0)</f>
        <v>1453.8</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60579.040000000037</v>
      </c>
      <c r="AD73" s="265">
        <f>IF(INDEX(tblContractForDeed[End Bal],ROW()-ROW(tblBuyerOutputs[#Headers]))&lt;=0,0,($O$6+IF(ROW()=ROW(tblBuyerOutputs[#Headers])+1,0,INDEX(tblBuyerOutputs[Cumul Appr],ROW()-ROW(tblBuyerOutputs[#Headers])-1)))*$O$2/12)</f>
        <v>813.36964740892699</v>
      </c>
      <c r="AE73" s="588">
        <f>IF(INDEX(tblContractForDeed[End Bal],ROW()-ROW(tblBuyerOutputs[#Headers]))&lt;=0,0,IF(ROW()=ROW(tblBuyerOutputs[#Headers])+1,0,INDEX(tblBuyerOutputs[Cumul Appr],ROW()-ROW(tblBuyerOutputs[#Headers])-1))+tblBuyerOutputs[[#This Row],[Monthly Appr]])</f>
        <v>39422.085025551416</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115268.38999999997</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4" s="265">
        <f>IF(tblContractForDeed[[#This Row],[Payment]]=0,0,MAX(0,MIN(tblContractForDeed[[#This Row],[Beg]],tblContractForDeed[[#This Row],[Payment]]-tblContractForDeed[[#This Row],[Int]])))</f>
        <v>1131.53</v>
      </c>
      <c r="S74" s="265">
        <f>IF(OR(tblContractForDeed[[#This Row],[Date]]&lt;cfdContractDate,tblContractForDeed[[#This Row],[Date]]&gt;cfdEndDate),0,ROUND(tblContractForDeed[[#This Row],[Beg]]*(tblContractForDeed[[#This Row],[Int Rate]]/12),2))</f>
        <v>768.46</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2222.71</v>
      </c>
      <c r="W74" s="265">
        <f>SUM(INDEX(tblContractForDeed[Princ],1):INDEX(tblContractForDeed[Princ],ROW()-ROW(tblContractForDeed[#Headers])))</f>
        <v>42463.139999999992</v>
      </c>
      <c r="X74" s="265">
        <f>IF(tblContractForDeed[[#This Row],[Beg]]&lt;=0,0,tblContractForDeed[[#This Row],[Beg]]-tblContractForDeed[[#This Row],[Princ]])</f>
        <v>114136.85999999997</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1453.8</v>
      </c>
      <c r="AA74"/>
      <c r="AB74" s="14">
        <f>IF(INDEX(tblContractForDeed[Payment],ROW()-ROW(tblBuyerOutputs[#Headers]))=0,0,INDEX(tblContractForDeed[Payment],ROW()-ROW(tblBuyerOutputs[#Headers]))-INDEX(tblSubjectToLoan[Payment],ROW()-ROW(tblBuyerOutputs[#Headers])))-IFERROR(tblBuyerOutputs[[#This Row],[PMI]],0)</f>
        <v>1453.8</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62032.84000000004</v>
      </c>
      <c r="AD74" s="265">
        <f>IF(INDEX(tblContractForDeed[End Bal],ROW()-ROW(tblBuyerOutputs[#Headers]))&lt;=0,0,($O$6+IF(ROW()=ROW(tblBuyerOutputs[#Headers])+1,0,INDEX(tblBuyerOutputs[Cumul Appr],ROW()-ROW(tblBuyerOutputs[#Headers])-1)))*$O$2/12)</f>
        <v>816.75868760646426</v>
      </c>
      <c r="AE74" s="588">
        <f>IF(INDEX(tblContractForDeed[End Bal],ROW()-ROW(tblBuyerOutputs[#Headers]))&lt;=0,0,IF(ROW()=ROW(tblBuyerOutputs[#Headers])+1,0,INDEX(tblBuyerOutputs[Cumul Appr],ROW()-ROW(tblBuyerOutputs[#Headers])-1))+tblBuyerOutputs[[#This Row],[Monthly Appr]])</f>
        <v>40238.843713157883</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114136.85999999997</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5" s="265">
        <f>IF(tblContractForDeed[[#This Row],[Payment]]=0,0,MAX(0,MIN(tblContractForDeed[[#This Row],[Beg]],tblContractForDeed[[#This Row],[Payment]]-tblContractForDeed[[#This Row],[Int]])))</f>
        <v>1139.08</v>
      </c>
      <c r="S75" s="265">
        <f>IF(OR(tblContractForDeed[[#This Row],[Date]]&lt;cfdContractDate,tblContractForDeed[[#This Row],[Date]]&gt;cfdEndDate),0,ROUND(tblContractForDeed[[#This Row],[Beg]]*(tblContractForDeed[[#This Row],[Int Rate]]/12),2))</f>
        <v>760.91</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2222.71</v>
      </c>
      <c r="W75" s="265">
        <f>SUM(INDEX(tblContractForDeed[Princ],1):INDEX(tblContractForDeed[Princ],ROW()-ROW(tblContractForDeed[#Headers])))</f>
        <v>43602.219999999994</v>
      </c>
      <c r="X75" s="265">
        <f>IF(tblContractForDeed[[#This Row],[Beg]]&lt;=0,0,tblContractForDeed[[#This Row],[Beg]]-tblContractForDeed[[#This Row],[Princ]])</f>
        <v>112997.77999999997</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1453.8</v>
      </c>
      <c r="AA75"/>
      <c r="AB75" s="14">
        <f>IF(INDEX(tblContractForDeed[Payment],ROW()-ROW(tblBuyerOutputs[#Headers]))=0,0,INDEX(tblContractForDeed[Payment],ROW()-ROW(tblBuyerOutputs[#Headers]))-INDEX(tblSubjectToLoan[Payment],ROW()-ROW(tblBuyerOutputs[#Headers])))-IFERROR(tblBuyerOutputs[[#This Row],[PMI]],0)</f>
        <v>1453.8</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63486.640000000043</v>
      </c>
      <c r="AD75" s="265">
        <f>IF(INDEX(tblContractForDeed[End Bal],ROW()-ROW(tblBuyerOutputs[#Headers]))&lt;=0,0,($O$6+IF(ROW()=ROW(tblBuyerOutputs[#Headers])+1,0,INDEX(tblBuyerOutputs[Cumul Appr],ROW()-ROW(tblBuyerOutputs[#Headers])-1)))*$O$2/12)</f>
        <v>820.16184880482444</v>
      </c>
      <c r="AE75" s="588">
        <f>IF(INDEX(tblContractForDeed[End Bal],ROW()-ROW(tblBuyerOutputs[#Headers]))&lt;=0,0,IF(ROW()=ROW(tblBuyerOutputs[#Headers])+1,0,INDEX(tblBuyerOutputs[Cumul Appr],ROW()-ROW(tblBuyerOutputs[#Headers])-1))+tblBuyerOutputs[[#This Row],[Monthly Appr]])</f>
        <v>41059.005561962709</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112997.77999999997</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6" s="265">
        <f>IF(tblContractForDeed[[#This Row],[Payment]]=0,0,MAX(0,MIN(tblContractForDeed[[#This Row],[Beg]],tblContractForDeed[[#This Row],[Payment]]-tblContractForDeed[[#This Row],[Int]])))</f>
        <v>1146.67</v>
      </c>
      <c r="S76" s="265">
        <f>IF(OR(tblContractForDeed[[#This Row],[Date]]&lt;cfdContractDate,tblContractForDeed[[#This Row],[Date]]&gt;cfdEndDate),0,ROUND(tblContractForDeed[[#This Row],[Beg]]*(tblContractForDeed[[#This Row],[Int Rate]]/12),2))</f>
        <v>753.32</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2222.7100000000005</v>
      </c>
      <c r="W76" s="265">
        <f>SUM(INDEX(tblContractForDeed[Princ],1):INDEX(tblContractForDeed[Princ],ROW()-ROW(tblContractForDeed[#Headers])))</f>
        <v>44748.889999999992</v>
      </c>
      <c r="X76" s="265">
        <f>IF(tblContractForDeed[[#This Row],[Beg]]&lt;=0,0,tblContractForDeed[[#This Row],[Beg]]-tblContractForDeed[[#This Row],[Princ]])</f>
        <v>111851.10999999997</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1453.8</v>
      </c>
      <c r="AA76"/>
      <c r="AB76" s="14">
        <f>IF(INDEX(tblContractForDeed[Payment],ROW()-ROW(tblBuyerOutputs[#Headers]))=0,0,INDEX(tblContractForDeed[Payment],ROW()-ROW(tblBuyerOutputs[#Headers]))-INDEX(tblSubjectToLoan[Payment],ROW()-ROW(tblBuyerOutputs[#Headers])))-IFERROR(tblBuyerOutputs[[#This Row],[PMI]],0)</f>
        <v>1453.8</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64940.440000000046</v>
      </c>
      <c r="AD76" s="265">
        <f>IF(INDEX(tblContractForDeed[End Bal],ROW()-ROW(tblBuyerOutputs[#Headers]))&lt;=0,0,($O$6+IF(ROW()=ROW(tblBuyerOutputs[#Headers])+1,0,INDEX(tblBuyerOutputs[Cumul Appr],ROW()-ROW(tblBuyerOutputs[#Headers])-1)))*$O$2/12)</f>
        <v>823.57918984151138</v>
      </c>
      <c r="AE76" s="588">
        <f>IF(INDEX(tblContractForDeed[End Bal],ROW()-ROW(tblBuyerOutputs[#Headers]))&lt;=0,0,IF(ROW()=ROW(tblBuyerOutputs[#Headers])+1,0,INDEX(tblBuyerOutputs[Cumul Appr],ROW()-ROW(tblBuyerOutputs[#Headers])-1))+tblBuyerOutputs[[#This Row],[Monthly Appr]])</f>
        <v>41882.584751804221</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111851.10999999997</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7" s="265">
        <f>IF(tblContractForDeed[[#This Row],[Payment]]=0,0,MAX(0,MIN(tblContractForDeed[[#This Row],[Beg]],tblContractForDeed[[#This Row],[Payment]]-tblContractForDeed[[#This Row],[Int]])))</f>
        <v>1154.3200000000002</v>
      </c>
      <c r="S77" s="265">
        <f>IF(OR(tblContractForDeed[[#This Row],[Date]]&lt;cfdContractDate,tblContractForDeed[[#This Row],[Date]]&gt;cfdEndDate),0,ROUND(tblContractForDeed[[#This Row],[Beg]]*(tblContractForDeed[[#This Row],[Int Rate]]/12),2))</f>
        <v>745.67</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2222.7100000000005</v>
      </c>
      <c r="W77" s="265">
        <f>SUM(INDEX(tblContractForDeed[Princ],1):INDEX(tblContractForDeed[Princ],ROW()-ROW(tblContractForDeed[#Headers])))</f>
        <v>45903.209999999992</v>
      </c>
      <c r="X77" s="265">
        <f>IF(tblContractForDeed[[#This Row],[Beg]]&lt;=0,0,tblContractForDeed[[#This Row],[Beg]]-tblContractForDeed[[#This Row],[Princ]])</f>
        <v>110696.78999999996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1453.8</v>
      </c>
      <c r="AA77"/>
      <c r="AB77" s="14">
        <f>IF(INDEX(tblContractForDeed[Payment],ROW()-ROW(tblBuyerOutputs[#Headers]))=0,0,INDEX(tblContractForDeed[Payment],ROW()-ROW(tblBuyerOutputs[#Headers]))-INDEX(tblSubjectToLoan[Payment],ROW()-ROW(tblBuyerOutputs[#Headers])))-IFERROR(tblBuyerOutputs[[#This Row],[PMI]],0)</f>
        <v>1453.8</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66394.240000000049</v>
      </c>
      <c r="AD77" s="265">
        <f>IF(INDEX(tblContractForDeed[End Bal],ROW()-ROW(tblBuyerOutputs[#Headers]))&lt;=0,0,($O$6+IF(ROW()=ROW(tblBuyerOutputs[#Headers])+1,0,INDEX(tblBuyerOutputs[Cumul Appr],ROW()-ROW(tblBuyerOutputs[#Headers])-1)))*$O$2/12)</f>
        <v>827.01076979918435</v>
      </c>
      <c r="AE77" s="588">
        <f>IF(INDEX(tblContractForDeed[End Bal],ROW()-ROW(tblBuyerOutputs[#Headers]))&lt;=0,0,IF(ROW()=ROW(tblBuyerOutputs[#Headers])+1,0,INDEX(tblBuyerOutputs[Cumul Appr],ROW()-ROW(tblBuyerOutputs[#Headers])-1))+tblBuyerOutputs[[#This Row],[Monthly Appr]])</f>
        <v>42709.595521603405</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110696.78999999996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8" s="265">
        <f>IF(tblContractForDeed[[#This Row],[Payment]]=0,0,MAX(0,MIN(tblContractForDeed[[#This Row],[Beg]],tblContractForDeed[[#This Row],[Payment]]-tblContractForDeed[[#This Row],[Int]])))</f>
        <v>1162.01</v>
      </c>
      <c r="S78" s="265">
        <f>IF(OR(tblContractForDeed[[#This Row],[Date]]&lt;cfdContractDate,tblContractForDeed[[#This Row],[Date]]&gt;cfdEndDate),0,ROUND(tblContractForDeed[[#This Row],[Beg]]*(tblContractForDeed[[#This Row],[Int Rate]]/12),2))</f>
        <v>737.98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2222.71</v>
      </c>
      <c r="W78" s="265">
        <f>SUM(INDEX(tblContractForDeed[Princ],1):INDEX(tblContractForDeed[Princ],ROW()-ROW(tblContractForDeed[#Headers])))</f>
        <v>47065.219999999994</v>
      </c>
      <c r="X78" s="265">
        <f>IF(tblContractForDeed[[#This Row],[Beg]]&lt;=0,0,tblContractForDeed[[#This Row],[Beg]]-tblContractForDeed[[#This Row],[Princ]])</f>
        <v>109534.77999999997</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1453.8</v>
      </c>
      <c r="AA78"/>
      <c r="AB78" s="14">
        <f>IF(INDEX(tblContractForDeed[Payment],ROW()-ROW(tblBuyerOutputs[#Headers]))=0,0,INDEX(tblContractForDeed[Payment],ROW()-ROW(tblBuyerOutputs[#Headers]))-INDEX(tblSubjectToLoan[Payment],ROW()-ROW(tblBuyerOutputs[#Headers])))-IFERROR(tblBuyerOutputs[[#This Row],[PMI]],0)</f>
        <v>1453.8</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67848.040000000052</v>
      </c>
      <c r="AD78" s="265">
        <f>IF(INDEX(tblContractForDeed[End Bal],ROW()-ROW(tblBuyerOutputs[#Headers]))&lt;=0,0,($O$6+IF(ROW()=ROW(tblBuyerOutputs[#Headers])+1,0,INDEX(tblBuyerOutputs[Cumul Appr],ROW()-ROW(tblBuyerOutputs[#Headers])-1)))*$O$2/12)</f>
        <v>830.45664800668101</v>
      </c>
      <c r="AE78" s="588">
        <f>IF(INDEX(tblContractForDeed[End Bal],ROW()-ROW(tblBuyerOutputs[#Headers]))&lt;=0,0,IF(ROW()=ROW(tblBuyerOutputs[#Headers])+1,0,INDEX(tblBuyerOutputs[Cumul Appr],ROW()-ROW(tblBuyerOutputs[#Headers])-1))+tblBuyerOutputs[[#This Row],[Monthly Appr]])</f>
        <v>43540.052169610084</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109534.77999999997</v>
      </c>
      <c r="P79" s="586">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9" s="316">
        <f>IF(tblContractForDeed[[#This Row],[Payment]]=0,0,MAX(0,MIN(tblContractForDeed[[#This Row],[Beg]],tblContractForDeed[[#This Row],[Payment]]-tblContractForDeed[[#This Row],[Int]])))</f>
        <v>1169.76</v>
      </c>
      <c r="S79" s="316">
        <f>IF(OR(tblContractForDeed[[#This Row],[Date]]&lt;cfdContractDate,tblContractForDeed[[#This Row],[Date]]&gt;cfdEndDate),0,ROUND(tblContractForDeed[[#This Row],[Beg]]*(tblContractForDeed[[#This Row],[Int Rate]]/12),2))</f>
        <v>730.23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2222.71</v>
      </c>
      <c r="W79" s="316">
        <f>SUM(INDEX(tblContractForDeed[Princ],1):INDEX(tblContractForDeed[Princ],ROW()-ROW(tblContractForDeed[#Headers])))</f>
        <v>48234.979999999996</v>
      </c>
      <c r="X79" s="316">
        <f>IF(tblContractForDeed[[#This Row],[Beg]]&lt;=0,0,tblContractForDeed[[#This Row],[Beg]]-tblContractForDeed[[#This Row],[Princ]])</f>
        <v>108365.01999999997</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1453.8</v>
      </c>
      <c r="AA79" s="23"/>
      <c r="AB79" s="21">
        <f>IF(INDEX(tblContractForDeed[Payment],ROW()-ROW(tblBuyerOutputs[#Headers]))=0,0,INDEX(tblContractForDeed[Payment],ROW()-ROW(tblBuyerOutputs[#Headers]))-INDEX(tblSubjectToLoan[Payment],ROW()-ROW(tblBuyerOutputs[#Headers])))-IFERROR(tblBuyerOutputs[[#This Row],[PMI]],0)</f>
        <v>1453.8</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69301.840000000055</v>
      </c>
      <c r="AD79" s="316">
        <f>IF(INDEX(tblContractForDeed[End Bal],ROW()-ROW(tblBuyerOutputs[#Headers]))&lt;=0,0,($O$6+IF(ROW()=ROW(tblBuyerOutputs[#Headers])+1,0,INDEX(tblBuyerOutputs[Cumul Appr],ROW()-ROW(tblBuyerOutputs[#Headers])-1)))*$O$2/12)</f>
        <v>833.91688404004208</v>
      </c>
      <c r="AE79" s="589">
        <f>IF(INDEX(tblContractForDeed[End Bal],ROW()-ROW(tblBuyerOutputs[#Headers]))&lt;=0,0,IF(ROW()=ROW(tblBuyerOutputs[#Headers])+1,0,INDEX(tblBuyerOutputs[Cumul Appr],ROW()-ROW(tblBuyerOutputs[#Headers])-1))+tblBuyerOutputs[[#This Row],[Monthly Appr]])</f>
        <v>44373.969053650129</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108365.01999999997</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0" s="265">
        <f>IF(tblContractForDeed[[#This Row],[Payment]]=0,0,MAX(0,MIN(tblContractForDeed[[#This Row],[Beg]],tblContractForDeed[[#This Row],[Payment]]-tblContractForDeed[[#This Row],[Int]])))</f>
        <v>1177.56</v>
      </c>
      <c r="S80" s="265">
        <f>IF(OR(tblContractForDeed[[#This Row],[Date]]&lt;cfdContractDate,tblContractForDeed[[#This Row],[Date]]&gt;cfdEndDate),0,ROUND(tblContractForDeed[[#This Row],[Beg]]*(tblContractForDeed[[#This Row],[Int Rate]]/12),2))</f>
        <v>722.43</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2222.71</v>
      </c>
      <c r="W80" s="265">
        <f>SUM(INDEX(tblContractForDeed[Princ],1):INDEX(tblContractForDeed[Princ],ROW()-ROW(tblContractForDeed[#Headers])))</f>
        <v>49412.539999999994</v>
      </c>
      <c r="X80" s="265">
        <f>IF(tblContractForDeed[[#This Row],[Beg]]&lt;=0,0,tblContractForDeed[[#This Row],[Beg]]-tblContractForDeed[[#This Row],[Princ]])</f>
        <v>107187.45999999998</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1453.8</v>
      </c>
      <c r="AA80"/>
      <c r="AB80" s="14">
        <f>IF(INDEX(tblContractForDeed[Payment],ROW()-ROW(tblBuyerOutputs[#Headers]))=0,0,INDEX(tblContractForDeed[Payment],ROW()-ROW(tblBuyerOutputs[#Headers]))-INDEX(tblSubjectToLoan[Payment],ROW()-ROW(tblBuyerOutputs[#Headers])))-IFERROR(tblBuyerOutputs[[#This Row],[PMI]],0)</f>
        <v>1453.8</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70755.640000000058</v>
      </c>
      <c r="AD80" s="265">
        <f>IF(INDEX(tblContractForDeed[End Bal],ROW()-ROW(tblBuyerOutputs[#Headers]))&lt;=0,0,($O$6+IF(ROW()=ROW(tblBuyerOutputs[#Headers])+1,0,INDEX(tblBuyerOutputs[Cumul Appr],ROW()-ROW(tblBuyerOutputs[#Headers])-1)))*$O$2/12)</f>
        <v>837.39153772354223</v>
      </c>
      <c r="AE80" s="588">
        <f>IF(INDEX(tblContractForDeed[End Bal],ROW()-ROW(tblBuyerOutputs[#Headers]))&lt;=0,0,IF(ROW()=ROW(tblBuyerOutputs[#Headers])+1,0,INDEX(tblBuyerOutputs[Cumul Appr],ROW()-ROW(tblBuyerOutputs[#Headers])-1))+tblBuyerOutputs[[#This Row],[Monthly Appr]])</f>
        <v>45211.360591373668</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107187.45999999998</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1" s="265">
        <f>IF(tblContractForDeed[[#This Row],[Payment]]=0,0,MAX(0,MIN(tblContractForDeed[[#This Row],[Beg]],tblContractForDeed[[#This Row],[Payment]]-tblContractForDeed[[#This Row],[Int]])))</f>
        <v>1185.4099999999999</v>
      </c>
      <c r="S81" s="265">
        <f>IF(OR(tblContractForDeed[[#This Row],[Date]]&lt;cfdContractDate,tblContractForDeed[[#This Row],[Date]]&gt;cfdEndDate),0,ROUND(tblContractForDeed[[#This Row],[Beg]]*(tblContractForDeed[[#This Row],[Int Rate]]/12),2))</f>
        <v>714.58</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2222.71</v>
      </c>
      <c r="W81" s="265">
        <f>SUM(INDEX(tblContractForDeed[Princ],1):INDEX(tblContractForDeed[Princ],ROW()-ROW(tblContractForDeed[#Headers])))</f>
        <v>50597.95</v>
      </c>
      <c r="X81" s="265">
        <f>IF(tblContractForDeed[[#This Row],[Beg]]&lt;=0,0,tblContractForDeed[[#This Row],[Beg]]-tblContractForDeed[[#This Row],[Princ]])</f>
        <v>106002.04999999997</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1453.8</v>
      </c>
      <c r="AA81"/>
      <c r="AB81" s="14">
        <f>IF(INDEX(tblContractForDeed[Payment],ROW()-ROW(tblBuyerOutputs[#Headers]))=0,0,INDEX(tblContractForDeed[Payment],ROW()-ROW(tblBuyerOutputs[#Headers]))-INDEX(tblSubjectToLoan[Payment],ROW()-ROW(tblBuyerOutputs[#Headers])))-IFERROR(tblBuyerOutputs[[#This Row],[PMI]],0)</f>
        <v>1453.8</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72209.440000000061</v>
      </c>
      <c r="AD81" s="265">
        <f>IF(INDEX(tblContractForDeed[End Bal],ROW()-ROW(tblBuyerOutputs[#Headers]))&lt;=0,0,($O$6+IF(ROW()=ROW(tblBuyerOutputs[#Headers])+1,0,INDEX(tblBuyerOutputs[Cumul Appr],ROW()-ROW(tblBuyerOutputs[#Headers])-1)))*$O$2/12)</f>
        <v>840.88066913072362</v>
      </c>
      <c r="AE81" s="588">
        <f>IF(INDEX(tblContractForDeed[End Bal],ROW()-ROW(tblBuyerOutputs[#Headers]))&lt;=0,0,IF(ROW()=ROW(tblBuyerOutputs[#Headers])+1,0,INDEX(tblBuyerOutputs[Cumul Appr],ROW()-ROW(tblBuyerOutputs[#Headers])-1))+tblBuyerOutputs[[#This Row],[Monthly Appr]])</f>
        <v>46052.241260504394</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106002.04999999997</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2" s="265">
        <f>IF(tblContractForDeed[[#This Row],[Payment]]=0,0,MAX(0,MIN(tblContractForDeed[[#This Row],[Beg]],tblContractForDeed[[#This Row],[Payment]]-tblContractForDeed[[#This Row],[Int]])))</f>
        <v>1193.31</v>
      </c>
      <c r="S82" s="265">
        <f>IF(OR(tblContractForDeed[[#This Row],[Date]]&lt;cfdContractDate,tblContractForDeed[[#This Row],[Date]]&gt;cfdEndDate),0,ROUND(tblContractForDeed[[#This Row],[Beg]]*(tblContractForDeed[[#This Row],[Int Rate]]/12),2))</f>
        <v>706.68</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2222.71</v>
      </c>
      <c r="W82" s="265">
        <f>SUM(INDEX(tblContractForDeed[Princ],1):INDEX(tblContractForDeed[Princ],ROW()-ROW(tblContractForDeed[#Headers])))</f>
        <v>51791.259999999995</v>
      </c>
      <c r="X82" s="265">
        <f>IF(tblContractForDeed[[#This Row],[Beg]]&lt;=0,0,tblContractForDeed[[#This Row],[Beg]]-tblContractForDeed[[#This Row],[Princ]])</f>
        <v>104808.73999999998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1453.8</v>
      </c>
      <c r="AA82"/>
      <c r="AB82" s="14">
        <f>IF(INDEX(tblContractForDeed[Payment],ROW()-ROW(tblBuyerOutputs[#Headers]))=0,0,INDEX(tblContractForDeed[Payment],ROW()-ROW(tblBuyerOutputs[#Headers]))-INDEX(tblSubjectToLoan[Payment],ROW()-ROW(tblBuyerOutputs[#Headers])))-IFERROR(tblBuyerOutputs[[#This Row],[PMI]],0)</f>
        <v>1453.8</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73663.240000000063</v>
      </c>
      <c r="AD82" s="265">
        <f>IF(INDEX(tblContractForDeed[End Bal],ROW()-ROW(tblBuyerOutputs[#Headers]))&lt;=0,0,($O$6+IF(ROW()=ROW(tblBuyerOutputs[#Headers])+1,0,INDEX(tblBuyerOutputs[Cumul Appr],ROW()-ROW(tblBuyerOutputs[#Headers])-1)))*$O$2/12)</f>
        <v>844.3843385854351</v>
      </c>
      <c r="AE82" s="588">
        <f>IF(INDEX(tblContractForDeed[End Bal],ROW()-ROW(tblBuyerOutputs[#Headers]))&lt;=0,0,IF(ROW()=ROW(tblBuyerOutputs[#Headers])+1,0,INDEX(tblBuyerOutputs[Cumul Appr],ROW()-ROW(tblBuyerOutputs[#Headers])-1))+tblBuyerOutputs[[#This Row],[Monthly Appr]])</f>
        <v>46896.625599089828</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104808.73999999998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3" s="265">
        <f>IF(tblContractForDeed[[#This Row],[Payment]]=0,0,MAX(0,MIN(tblContractForDeed[[#This Row],[Beg]],tblContractForDeed[[#This Row],[Payment]]-tblContractForDeed[[#This Row],[Int]])))</f>
        <v>1201.27</v>
      </c>
      <c r="S83" s="265">
        <f>IF(OR(tblContractForDeed[[#This Row],[Date]]&lt;cfdContractDate,tblContractForDeed[[#This Row],[Date]]&gt;cfdEndDate),0,ROUND(tblContractForDeed[[#This Row],[Beg]]*(tblContractForDeed[[#This Row],[Int Rate]]/12),2))</f>
        <v>698.72</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2222.71</v>
      </c>
      <c r="W83" s="265">
        <f>SUM(INDEX(tblContractForDeed[Princ],1):INDEX(tblContractForDeed[Princ],ROW()-ROW(tblContractForDeed[#Headers])))</f>
        <v>52992.529999999992</v>
      </c>
      <c r="X83" s="265">
        <f>IF(tblContractForDeed[[#This Row],[Beg]]&lt;=0,0,tblContractForDeed[[#This Row],[Beg]]-tblContractForDeed[[#This Row],[Princ]])</f>
        <v>103607.46999999997</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1453.8</v>
      </c>
      <c r="AA83"/>
      <c r="AB83" s="14">
        <f>IF(INDEX(tblContractForDeed[Payment],ROW()-ROW(tblBuyerOutputs[#Headers]))=0,0,INDEX(tblContractForDeed[Payment],ROW()-ROW(tblBuyerOutputs[#Headers]))-INDEX(tblSubjectToLoan[Payment],ROW()-ROW(tblBuyerOutputs[#Headers])))-IFERROR(tblBuyerOutputs[[#This Row],[PMI]],0)</f>
        <v>1453.8</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75117.040000000066</v>
      </c>
      <c r="AD83" s="265">
        <f>IF(INDEX(tblContractForDeed[End Bal],ROW()-ROW(tblBuyerOutputs[#Headers]))&lt;=0,0,($O$6+IF(ROW()=ROW(tblBuyerOutputs[#Headers])+1,0,INDEX(tblBuyerOutputs[Cumul Appr],ROW()-ROW(tblBuyerOutputs[#Headers])-1)))*$O$2/12)</f>
        <v>847.9026066628744</v>
      </c>
      <c r="AE83" s="588">
        <f>IF(INDEX(tblContractForDeed[End Bal],ROW()-ROW(tblBuyerOutputs[#Headers]))&lt;=0,0,IF(ROW()=ROW(tblBuyerOutputs[#Headers])+1,0,INDEX(tblBuyerOutputs[Cumul Appr],ROW()-ROW(tblBuyerOutputs[#Headers])-1))+tblBuyerOutputs[[#This Row],[Monthly Appr]])</f>
        <v>47744.5282057527</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103607.46999999997</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4" s="265">
        <f>IF(tblContractForDeed[[#This Row],[Payment]]=0,0,MAX(0,MIN(tblContractForDeed[[#This Row],[Beg]],tblContractForDeed[[#This Row],[Payment]]-tblContractForDeed[[#This Row],[Int]])))</f>
        <v>1209.27</v>
      </c>
      <c r="S84" s="265">
        <f>IF(OR(tblContractForDeed[[#This Row],[Date]]&lt;cfdContractDate,tblContractForDeed[[#This Row],[Date]]&gt;cfdEndDate),0,ROUND(tblContractForDeed[[#This Row],[Beg]]*(tblContractForDeed[[#This Row],[Int Rate]]/12),2))</f>
        <v>690.72</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2222.71</v>
      </c>
      <c r="W84" s="265">
        <f>SUM(INDEX(tblContractForDeed[Princ],1):INDEX(tblContractForDeed[Princ],ROW()-ROW(tblContractForDeed[#Headers])))</f>
        <v>54201.799999999988</v>
      </c>
      <c r="X84" s="265">
        <f>IF(tblContractForDeed[[#This Row],[Beg]]&lt;=0,0,tblContractForDeed[[#This Row],[Beg]]-tblContractForDeed[[#This Row],[Princ]])</f>
        <v>102398.19999999997</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1453.8</v>
      </c>
      <c r="AA84"/>
      <c r="AB84" s="14">
        <f>IF(INDEX(tblContractForDeed[Payment],ROW()-ROW(tblBuyerOutputs[#Headers]))=0,0,INDEX(tblContractForDeed[Payment],ROW()-ROW(tblBuyerOutputs[#Headers]))-INDEX(tblSubjectToLoan[Payment],ROW()-ROW(tblBuyerOutputs[#Headers])))-IFERROR(tblBuyerOutputs[[#This Row],[PMI]],0)</f>
        <v>1453.8</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76570.840000000069</v>
      </c>
      <c r="AD84" s="265">
        <f>IF(INDEX(tblContractForDeed[End Bal],ROW()-ROW(tblBuyerOutputs[#Headers]))&lt;=0,0,($O$6+IF(ROW()=ROW(tblBuyerOutputs[#Headers])+1,0,INDEX(tblBuyerOutputs[Cumul Appr],ROW()-ROW(tblBuyerOutputs[#Headers])-1)))*$O$2/12)</f>
        <v>851.4355341906363</v>
      </c>
      <c r="AE84" s="588">
        <f>IF(INDEX(tblContractForDeed[End Bal],ROW()-ROW(tblBuyerOutputs[#Headers]))&lt;=0,0,IF(ROW()=ROW(tblBuyerOutputs[#Headers])+1,0,INDEX(tblBuyerOutputs[Cumul Appr],ROW()-ROW(tblBuyerOutputs[#Headers])-1))+tblBuyerOutputs[[#This Row],[Monthly Appr]])</f>
        <v>48595.963739943334</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102398.19999999997</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5" s="265">
        <f>IF(tblContractForDeed[[#This Row],[Payment]]=0,0,MAX(0,MIN(tblContractForDeed[[#This Row],[Beg]],tblContractForDeed[[#This Row],[Payment]]-tblContractForDeed[[#This Row],[Int]])))</f>
        <v>1217.3400000000001</v>
      </c>
      <c r="S85" s="265">
        <f>IF(OR(tblContractForDeed[[#This Row],[Date]]&lt;cfdContractDate,tblContractForDeed[[#This Row],[Date]]&gt;cfdEndDate),0,ROUND(tblContractForDeed[[#This Row],[Beg]]*(tblContractForDeed[[#This Row],[Int Rate]]/12),2))</f>
        <v>682.65</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2222.7100000000005</v>
      </c>
      <c r="W85" s="265">
        <f>SUM(INDEX(tblContractForDeed[Princ],1):INDEX(tblContractForDeed[Princ],ROW()-ROW(tblContractForDeed[#Headers])))</f>
        <v>55419.139999999985</v>
      </c>
      <c r="X85" s="265">
        <f>IF(tblContractForDeed[[#This Row],[Beg]]&lt;=0,0,tblContractForDeed[[#This Row],[Beg]]-tblContractForDeed[[#This Row],[Princ]])</f>
        <v>101180.85999999997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1453.8</v>
      </c>
      <c r="AA85"/>
      <c r="AB85" s="14">
        <f>IF(INDEX(tblContractForDeed[Payment],ROW()-ROW(tblBuyerOutputs[#Headers]))=0,0,INDEX(tblContractForDeed[Payment],ROW()-ROW(tblBuyerOutputs[#Headers]))-INDEX(tblSubjectToLoan[Payment],ROW()-ROW(tblBuyerOutputs[#Headers])))-IFERROR(tblBuyerOutputs[[#This Row],[PMI]],0)</f>
        <v>1453.8</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78024.640000000072</v>
      </c>
      <c r="AD85" s="265">
        <f>IF(INDEX(tblContractForDeed[End Bal],ROW()-ROW(tblBuyerOutputs[#Headers]))&lt;=0,0,($O$6+IF(ROW()=ROW(tblBuyerOutputs[#Headers])+1,0,INDEX(tblBuyerOutputs[Cumul Appr],ROW()-ROW(tblBuyerOutputs[#Headers])-1)))*$O$2/12)</f>
        <v>854.98318224976401</v>
      </c>
      <c r="AE85" s="588">
        <f>IF(INDEX(tblContractForDeed[End Bal],ROW()-ROW(tblBuyerOutputs[#Headers]))&lt;=0,0,IF(ROW()=ROW(tblBuyerOutputs[#Headers])+1,0,INDEX(tblBuyerOutputs[Cumul Appr],ROW()-ROW(tblBuyerOutputs[#Headers])-1))+tblBuyerOutputs[[#This Row],[Monthly Appr]])</f>
        <v>49450.946922193099</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101180.85999999997</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6" s="265">
        <f>IF(tblContractForDeed[[#This Row],[Payment]]=0,0,MAX(0,MIN(tblContractForDeed[[#This Row],[Beg]],tblContractForDeed[[#This Row],[Payment]]-tblContractForDeed[[#This Row],[Int]])))</f>
        <v>1225.45</v>
      </c>
      <c r="S86" s="265">
        <f>IF(OR(tblContractForDeed[[#This Row],[Date]]&lt;cfdContractDate,tblContractForDeed[[#This Row],[Date]]&gt;cfdEndDate),0,ROUND(tblContractForDeed[[#This Row],[Beg]]*(tblContractForDeed[[#This Row],[Int Rate]]/12),2))</f>
        <v>674.54</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2222.71</v>
      </c>
      <c r="W86" s="265">
        <f>SUM(INDEX(tblContractForDeed[Princ],1):INDEX(tblContractForDeed[Princ],ROW()-ROW(tblContractForDeed[#Headers])))</f>
        <v>56644.589999999982</v>
      </c>
      <c r="X86" s="265">
        <f>IF(tblContractForDeed[[#This Row],[Beg]]&lt;=0,0,tblContractForDeed[[#This Row],[Beg]]-tblContractForDeed[[#This Row],[Princ]])</f>
        <v>99955.409999999974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1453.8</v>
      </c>
      <c r="AA86"/>
      <c r="AB86" s="14">
        <f>IF(INDEX(tblContractForDeed[Payment],ROW()-ROW(tblBuyerOutputs[#Headers]))=0,0,INDEX(tblContractForDeed[Payment],ROW()-ROW(tblBuyerOutputs[#Headers]))-INDEX(tblSubjectToLoan[Payment],ROW()-ROW(tblBuyerOutputs[#Headers])))-IFERROR(tblBuyerOutputs[[#This Row],[PMI]],0)</f>
        <v>1453.8</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79478.440000000075</v>
      </c>
      <c r="AD86" s="265">
        <f>IF(INDEX(tblContractForDeed[End Bal],ROW()-ROW(tblBuyerOutputs[#Headers]))&lt;=0,0,($O$6+IF(ROW()=ROW(tblBuyerOutputs[#Headers])+1,0,INDEX(tblBuyerOutputs[Cumul Appr],ROW()-ROW(tblBuyerOutputs[#Headers])-1)))*$O$2/12)</f>
        <v>858.54561217580465</v>
      </c>
      <c r="AE86" s="588">
        <f>IF(INDEX(tblContractForDeed[End Bal],ROW()-ROW(tblBuyerOutputs[#Headers]))&lt;=0,0,IF(ROW()=ROW(tblBuyerOutputs[#Headers])+1,0,INDEX(tblBuyerOutputs[Cumul Appr],ROW()-ROW(tblBuyerOutputs[#Headers])-1))+tblBuyerOutputs[[#This Row],[Monthly Appr]])</f>
        <v>50309.492534368903</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99955.409999999974</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7" s="265">
        <f>IF(tblContractForDeed[[#This Row],[Payment]]=0,0,MAX(0,MIN(tblContractForDeed[[#This Row],[Beg]],tblContractForDeed[[#This Row],[Payment]]-tblContractForDeed[[#This Row],[Int]])))</f>
        <v>1233.6199999999999</v>
      </c>
      <c r="S87" s="265">
        <f>IF(OR(tblContractForDeed[[#This Row],[Date]]&lt;cfdContractDate,tblContractForDeed[[#This Row],[Date]]&gt;cfdEndDate),0,ROUND(tblContractForDeed[[#This Row],[Beg]]*(tblContractForDeed[[#This Row],[Int Rate]]/12),2))</f>
        <v>666.37</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2222.71</v>
      </c>
      <c r="W87" s="265">
        <f>SUM(INDEX(tblContractForDeed[Princ],1):INDEX(tblContractForDeed[Princ],ROW()-ROW(tblContractForDeed[#Headers])))</f>
        <v>57878.209999999985</v>
      </c>
      <c r="X87" s="265">
        <f>IF(tblContractForDeed[[#This Row],[Beg]]&lt;=0,0,tblContractForDeed[[#This Row],[Beg]]-tblContractForDeed[[#This Row],[Princ]])</f>
        <v>98721.789999999979</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1453.8</v>
      </c>
      <c r="AA87"/>
      <c r="AB87" s="14">
        <f>IF(INDEX(tblContractForDeed[Payment],ROW()-ROW(tblBuyerOutputs[#Headers]))=0,0,INDEX(tblContractForDeed[Payment],ROW()-ROW(tblBuyerOutputs[#Headers]))-INDEX(tblSubjectToLoan[Payment],ROW()-ROW(tblBuyerOutputs[#Headers])))-IFERROR(tblBuyerOutputs[[#This Row],[PMI]],0)</f>
        <v>1453.8</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80932.240000000078</v>
      </c>
      <c r="AD87" s="265">
        <f>IF(INDEX(tblContractForDeed[End Bal],ROW()-ROW(tblBuyerOutputs[#Headers]))&lt;=0,0,($O$6+IF(ROW()=ROW(tblBuyerOutputs[#Headers])+1,0,INDEX(tblBuyerOutputs[Cumul Appr],ROW()-ROW(tblBuyerOutputs[#Headers])-1)))*$O$2/12)</f>
        <v>862.1228855598705</v>
      </c>
      <c r="AE87" s="588">
        <f>IF(INDEX(tblContractForDeed[End Bal],ROW()-ROW(tblBuyerOutputs[#Headers]))&lt;=0,0,IF(ROW()=ROW(tblBuyerOutputs[#Headers])+1,0,INDEX(tblBuyerOutputs[Cumul Appr],ROW()-ROW(tblBuyerOutputs[#Headers])-1))+tblBuyerOutputs[[#This Row],[Monthly Appr]])</f>
        <v>51171.61541992877</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98721.789999999979</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8" s="265">
        <f>IF(tblContractForDeed[[#This Row],[Payment]]=0,0,MAX(0,MIN(tblContractForDeed[[#This Row],[Beg]],tblContractForDeed[[#This Row],[Payment]]-tblContractForDeed[[#This Row],[Int]])))</f>
        <v>1241.8400000000001</v>
      </c>
      <c r="S88" s="265">
        <f>IF(OR(tblContractForDeed[[#This Row],[Date]]&lt;cfdContractDate,tblContractForDeed[[#This Row],[Date]]&gt;cfdEndDate),0,ROUND(tblContractForDeed[[#This Row],[Beg]]*(tblContractForDeed[[#This Row],[Int Rate]]/12),2))</f>
        <v>658.15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2222.7100000000005</v>
      </c>
      <c r="W88" s="265">
        <f>SUM(INDEX(tblContractForDeed[Princ],1):INDEX(tblContractForDeed[Princ],ROW()-ROW(tblContractForDeed[#Headers])))</f>
        <v>59120.049999999988</v>
      </c>
      <c r="X88" s="265">
        <f>IF(tblContractForDeed[[#This Row],[Beg]]&lt;=0,0,tblContractForDeed[[#This Row],[Beg]]-tblContractForDeed[[#This Row],[Princ]])</f>
        <v>97479.949999999983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1453.8</v>
      </c>
      <c r="AA88"/>
      <c r="AB88" s="14">
        <f>IF(INDEX(tblContractForDeed[Payment],ROW()-ROW(tblBuyerOutputs[#Headers]))=0,0,INDEX(tblContractForDeed[Payment],ROW()-ROW(tblBuyerOutputs[#Headers]))-INDEX(tblSubjectToLoan[Payment],ROW()-ROW(tblBuyerOutputs[#Headers])))-IFERROR(tblBuyerOutputs[[#This Row],[PMI]],0)</f>
        <v>1453.8</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82386.040000000081</v>
      </c>
      <c r="AD88" s="265">
        <f>IF(INDEX(tblContractForDeed[End Bal],ROW()-ROW(tblBuyerOutputs[#Headers]))&lt;=0,0,($O$6+IF(ROW()=ROW(tblBuyerOutputs[#Headers])+1,0,INDEX(tblBuyerOutputs[Cumul Appr],ROW()-ROW(tblBuyerOutputs[#Headers])-1)))*$O$2/12)</f>
        <v>865.71506424970323</v>
      </c>
      <c r="AE88" s="588">
        <f>IF(INDEX(tblContractForDeed[End Bal],ROW()-ROW(tblBuyerOutputs[#Headers]))&lt;=0,0,IF(ROW()=ROW(tblBuyerOutputs[#Headers])+1,0,INDEX(tblBuyerOutputs[Cumul Appr],ROW()-ROW(tblBuyerOutputs[#Headers])-1))+tblBuyerOutputs[[#This Row],[Monthly Appr]])</f>
        <v>52037.33048417847</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97479.949999999983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9" s="265">
        <f>IF(tblContractForDeed[[#This Row],[Payment]]=0,0,MAX(0,MIN(tblContractForDeed[[#This Row],[Beg]],tblContractForDeed[[#This Row],[Payment]]-tblContractForDeed[[#This Row],[Int]])))</f>
        <v>1250.1199999999999</v>
      </c>
      <c r="S89" s="265">
        <f>IF(OR(tblContractForDeed[[#This Row],[Date]]&lt;cfdContractDate,tblContractForDeed[[#This Row],[Date]]&gt;cfdEndDate),0,ROUND(tblContractForDeed[[#This Row],[Beg]]*(tblContractForDeed[[#This Row],[Int Rate]]/12),2))</f>
        <v>649.87</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2222.71</v>
      </c>
      <c r="W89" s="265">
        <f>SUM(INDEX(tblContractForDeed[Princ],1):INDEX(tblContractForDeed[Princ],ROW()-ROW(tblContractForDeed[#Headers])))</f>
        <v>60370.169999999991</v>
      </c>
      <c r="X89" s="265">
        <f>IF(tblContractForDeed[[#This Row],[Beg]]&lt;=0,0,tblContractForDeed[[#This Row],[Beg]]-tblContractForDeed[[#This Row],[Princ]])</f>
        <v>96229.829999999987</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1453.8</v>
      </c>
      <c r="AA89"/>
      <c r="AB89" s="14">
        <f>IF(INDEX(tblContractForDeed[Payment],ROW()-ROW(tblBuyerOutputs[#Headers]))=0,0,INDEX(tblContractForDeed[Payment],ROW()-ROW(tblBuyerOutputs[#Headers]))-INDEX(tblSubjectToLoan[Payment],ROW()-ROW(tblBuyerOutputs[#Headers])))-IFERROR(tblBuyerOutputs[[#This Row],[PMI]],0)</f>
        <v>1453.8</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83839.840000000084</v>
      </c>
      <c r="AD89" s="265">
        <f>IF(INDEX(tblContractForDeed[End Bal],ROW()-ROW(tblBuyerOutputs[#Headers]))&lt;=0,0,($O$6+IF(ROW()=ROW(tblBuyerOutputs[#Headers])+1,0,INDEX(tblBuyerOutputs[Cumul Appr],ROW()-ROW(tblBuyerOutputs[#Headers])-1)))*$O$2/12)</f>
        <v>869.32221035074372</v>
      </c>
      <c r="AE89" s="588">
        <f>IF(INDEX(tblContractForDeed[End Bal],ROW()-ROW(tblBuyerOutputs[#Headers]))&lt;=0,0,IF(ROW()=ROW(tblBuyerOutputs[#Headers])+1,0,INDEX(tblBuyerOutputs[Cumul Appr],ROW()-ROW(tblBuyerOutputs[#Headers])-1))+tblBuyerOutputs[[#This Row],[Monthly Appr]])</f>
        <v>52906.652694529213</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96229.829999999987</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0" s="265">
        <f>IF(tblContractForDeed[[#This Row],[Payment]]=0,0,MAX(0,MIN(tblContractForDeed[[#This Row],[Beg]],tblContractForDeed[[#This Row],[Payment]]-tblContractForDeed[[#This Row],[Int]])))</f>
        <v>1258.46</v>
      </c>
      <c r="S90" s="265">
        <f>IF(OR(tblContractForDeed[[#This Row],[Date]]&lt;cfdContractDate,tblContractForDeed[[#This Row],[Date]]&gt;cfdEndDate),0,ROUND(tblContractForDeed[[#This Row],[Beg]]*(tblContractForDeed[[#This Row],[Int Rate]]/12),2))</f>
        <v>641.53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2222.71</v>
      </c>
      <c r="W90" s="265">
        <f>SUM(INDEX(tblContractForDeed[Princ],1):INDEX(tblContractForDeed[Princ],ROW()-ROW(tblContractForDeed[#Headers])))</f>
        <v>61628.62999999999</v>
      </c>
      <c r="X90" s="265">
        <f>IF(tblContractForDeed[[#This Row],[Beg]]&lt;=0,0,tblContractForDeed[[#This Row],[Beg]]-tblContractForDeed[[#This Row],[Princ]])</f>
        <v>94971.369999999981</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1453.8</v>
      </c>
      <c r="AA90"/>
      <c r="AB90" s="14">
        <f>IF(INDEX(tblContractForDeed[Payment],ROW()-ROW(tblBuyerOutputs[#Headers]))=0,0,INDEX(tblContractForDeed[Payment],ROW()-ROW(tblBuyerOutputs[#Headers]))-INDEX(tblSubjectToLoan[Payment],ROW()-ROW(tblBuyerOutputs[#Headers])))-IFERROR(tblBuyerOutputs[[#This Row],[PMI]],0)</f>
        <v>1453.8</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85293.640000000087</v>
      </c>
      <c r="AD90" s="265">
        <f>IF(INDEX(tblContractForDeed[End Bal],ROW()-ROW(tblBuyerOutputs[#Headers]))&lt;=0,0,($O$6+IF(ROW()=ROW(tblBuyerOutputs[#Headers])+1,0,INDEX(tblBuyerOutputs[Cumul Appr],ROW()-ROW(tblBuyerOutputs[#Headers])-1)))*$O$2/12)</f>
        <v>872.94438622720509</v>
      </c>
      <c r="AE90" s="588">
        <f>IF(INDEX(tblContractForDeed[End Bal],ROW()-ROW(tblBuyerOutputs[#Headers]))&lt;=0,0,IF(ROW()=ROW(tblBuyerOutputs[#Headers])+1,0,INDEX(tblBuyerOutputs[Cumul Appr],ROW()-ROW(tblBuyerOutputs[#Headers])-1))+tblBuyerOutputs[[#This Row],[Monthly Appr]])</f>
        <v>53779.597080756415</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94971.369999999981</v>
      </c>
      <c r="P91" s="586">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1" s="316">
        <f>IF(tblContractForDeed[[#This Row],[Payment]]=0,0,MAX(0,MIN(tblContractForDeed[[#This Row],[Beg]],tblContractForDeed[[#This Row],[Payment]]-tblContractForDeed[[#This Row],[Int]])))</f>
        <v>1266.8499999999999</v>
      </c>
      <c r="S91" s="316">
        <f>IF(OR(tblContractForDeed[[#This Row],[Date]]&lt;cfdContractDate,tblContractForDeed[[#This Row],[Date]]&gt;cfdEndDate),0,ROUND(tblContractForDeed[[#This Row],[Beg]]*(tblContractForDeed[[#This Row],[Int Rate]]/12),2))</f>
        <v>633.14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2222.71</v>
      </c>
      <c r="W91" s="316">
        <f>SUM(INDEX(tblContractForDeed[Princ],1):INDEX(tblContractForDeed[Princ],ROW()-ROW(tblContractForDeed[#Headers])))</f>
        <v>62895.479999999989</v>
      </c>
      <c r="X91" s="316">
        <f>IF(tblContractForDeed[[#This Row],[Beg]]&lt;=0,0,tblContractForDeed[[#This Row],[Beg]]-tblContractForDeed[[#This Row],[Princ]])</f>
        <v>93704.519999999975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1453.8</v>
      </c>
      <c r="AA91" s="23"/>
      <c r="AB91" s="21">
        <f>IF(INDEX(tblContractForDeed[Payment],ROW()-ROW(tblBuyerOutputs[#Headers]))=0,0,INDEX(tblContractForDeed[Payment],ROW()-ROW(tblBuyerOutputs[#Headers]))-INDEX(tblSubjectToLoan[Payment],ROW()-ROW(tblBuyerOutputs[#Headers])))-IFERROR(tblBuyerOutputs[[#This Row],[PMI]],0)</f>
        <v>1453.8</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86747.44000000009</v>
      </c>
      <c r="AD91" s="316">
        <f>IF(INDEX(tblContractForDeed[End Bal],ROW()-ROW(tblBuyerOutputs[#Headers]))&lt;=0,0,($O$6+IF(ROW()=ROW(tblBuyerOutputs[#Headers])+1,0,INDEX(tblBuyerOutputs[Cumul Appr],ROW()-ROW(tblBuyerOutputs[#Headers])-1)))*$O$2/12)</f>
        <v>876.58165450315175</v>
      </c>
      <c r="AE91" s="589">
        <f>IF(INDEX(tblContractForDeed[End Bal],ROW()-ROW(tblBuyerOutputs[#Headers]))&lt;=0,0,IF(ROW()=ROW(tblBuyerOutputs[#Headers])+1,0,INDEX(tblBuyerOutputs[Cumul Appr],ROW()-ROW(tblBuyerOutputs[#Headers])-1))+tblBuyerOutputs[[#This Row],[Monthly Appr]])</f>
        <v>54656.178735259564</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93704.519999999975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2" s="265">
        <f>IF(tblContractForDeed[[#This Row],[Payment]]=0,0,MAX(0,MIN(tblContractForDeed[[#This Row],[Beg]],tblContractForDeed[[#This Row],[Payment]]-tblContractForDeed[[#This Row],[Int]])))</f>
        <v>1275.29</v>
      </c>
      <c r="S92" s="265">
        <f>IF(OR(tblContractForDeed[[#This Row],[Date]]&lt;cfdContractDate,tblContractForDeed[[#This Row],[Date]]&gt;cfdEndDate),0,ROUND(tblContractForDeed[[#This Row],[Beg]]*(tblContractForDeed[[#This Row],[Int Rate]]/12),2))</f>
        <v>624.70000000000005</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2222.71</v>
      </c>
      <c r="W92" s="265">
        <f>SUM(INDEX(tblContractForDeed[Princ],1):INDEX(tblContractForDeed[Princ],ROW()-ROW(tblContractForDeed[#Headers])))</f>
        <v>64170.76999999999</v>
      </c>
      <c r="X92" s="265">
        <f>IF(tblContractForDeed[[#This Row],[Beg]]&lt;=0,0,tblContractForDeed[[#This Row],[Beg]]-tblContractForDeed[[#This Row],[Princ]])</f>
        <v>92429.229999999981</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1453.8</v>
      </c>
      <c r="AA92"/>
      <c r="AB92" s="14">
        <f>IF(INDEX(tblContractForDeed[Payment],ROW()-ROW(tblBuyerOutputs[#Headers]))=0,0,INDEX(tblContractForDeed[Payment],ROW()-ROW(tblBuyerOutputs[#Headers]))-INDEX(tblSubjectToLoan[Payment],ROW()-ROW(tblBuyerOutputs[#Headers])))-IFERROR(tblBuyerOutputs[[#This Row],[PMI]],0)</f>
        <v>1453.8</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88201.240000000093</v>
      </c>
      <c r="AD92" s="265">
        <f>IF(INDEX(tblContractForDeed[End Bal],ROW()-ROW(tblBuyerOutputs[#Headers]))&lt;=0,0,($O$6+IF(ROW()=ROW(tblBuyerOutputs[#Headers])+1,0,INDEX(tblBuyerOutputs[Cumul Appr],ROW()-ROW(tblBuyerOutputs[#Headers])-1)))*$O$2/12)</f>
        <v>880.23407806358171</v>
      </c>
      <c r="AE92" s="588">
        <f>IF(INDEX(tblContractForDeed[End Bal],ROW()-ROW(tblBuyerOutputs[#Headers]))&lt;=0,0,IF(ROW()=ROW(tblBuyerOutputs[#Headers])+1,0,INDEX(tblBuyerOutputs[Cumul Appr],ROW()-ROW(tblBuyerOutputs[#Headers])-1))+tblBuyerOutputs[[#This Row],[Monthly Appr]])</f>
        <v>55536.412813323142</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92429.229999999981</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3" s="265">
        <f>IF(tblContractForDeed[[#This Row],[Payment]]=0,0,MAX(0,MIN(tblContractForDeed[[#This Row],[Beg]],tblContractForDeed[[#This Row],[Payment]]-tblContractForDeed[[#This Row],[Int]])))</f>
        <v>1283.8</v>
      </c>
      <c r="S93" s="265">
        <f>IF(OR(tblContractForDeed[[#This Row],[Date]]&lt;cfdContractDate,tblContractForDeed[[#This Row],[Date]]&gt;cfdEndDate),0,ROUND(tblContractForDeed[[#This Row],[Beg]]*(tblContractForDeed[[#This Row],[Int Rate]]/12),2))</f>
        <v>616.19000000000005</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2222.71</v>
      </c>
      <c r="W93" s="265">
        <f>SUM(INDEX(tblContractForDeed[Princ],1):INDEX(tblContractForDeed[Princ],ROW()-ROW(tblContractForDeed[#Headers])))</f>
        <v>65454.569999999992</v>
      </c>
      <c r="X93" s="265">
        <f>IF(tblContractForDeed[[#This Row],[Beg]]&lt;=0,0,tblContractForDeed[[#This Row],[Beg]]-tblContractForDeed[[#This Row],[Princ]])</f>
        <v>91145.429999999978</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1453.8</v>
      </c>
      <c r="AA93"/>
      <c r="AB93" s="14">
        <f>IF(INDEX(tblContractForDeed[Payment],ROW()-ROW(tblBuyerOutputs[#Headers]))=0,0,INDEX(tblContractForDeed[Payment],ROW()-ROW(tblBuyerOutputs[#Headers]))-INDEX(tblSubjectToLoan[Payment],ROW()-ROW(tblBuyerOutputs[#Headers])))-IFERROR(tblBuyerOutputs[[#This Row],[PMI]],0)</f>
        <v>1453.8</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89655.040000000095</v>
      </c>
      <c r="AD93" s="265">
        <f>IF(INDEX(tblContractForDeed[End Bal],ROW()-ROW(tblBuyerOutputs[#Headers]))&lt;=0,0,($O$6+IF(ROW()=ROW(tblBuyerOutputs[#Headers])+1,0,INDEX(tblBuyerOutputs[Cumul Appr],ROW()-ROW(tblBuyerOutputs[#Headers])-1)))*$O$2/12)</f>
        <v>883.90172005551312</v>
      </c>
      <c r="AE93" s="588">
        <f>IF(INDEX(tblContractForDeed[End Bal],ROW()-ROW(tblBuyerOutputs[#Headers]))&lt;=0,0,IF(ROW()=ROW(tblBuyerOutputs[#Headers])+1,0,INDEX(tblBuyerOutputs[Cumul Appr],ROW()-ROW(tblBuyerOutputs[#Headers])-1))+tblBuyerOutputs[[#This Row],[Monthly Appr]])</f>
        <v>56420.314533378652</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91145.429999999978</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4" s="265">
        <f>IF(tblContractForDeed[[#This Row],[Payment]]=0,0,MAX(0,MIN(tblContractForDeed[[#This Row],[Beg]],tblContractForDeed[[#This Row],[Payment]]-tblContractForDeed[[#This Row],[Int]])))</f>
        <v>1292.3499999999999</v>
      </c>
      <c r="S94" s="265">
        <f>IF(OR(tblContractForDeed[[#This Row],[Date]]&lt;cfdContractDate,tblContractForDeed[[#This Row],[Date]]&gt;cfdEndDate),0,ROUND(tblContractForDeed[[#This Row],[Beg]]*(tblContractForDeed[[#This Row],[Int Rate]]/12),2))</f>
        <v>607.64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2222.71</v>
      </c>
      <c r="W94" s="265">
        <f>SUM(INDEX(tblContractForDeed[Princ],1):INDEX(tblContractForDeed[Princ],ROW()-ROW(tblContractForDeed[#Headers])))</f>
        <v>66746.92</v>
      </c>
      <c r="X94" s="265">
        <f>IF(tblContractForDeed[[#This Row],[Beg]]&lt;=0,0,tblContractForDeed[[#This Row],[Beg]]-tblContractForDeed[[#This Row],[Princ]])</f>
        <v>89853.079999999973</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1453.8</v>
      </c>
      <c r="AA94"/>
      <c r="AB94" s="14">
        <f>IF(INDEX(tblContractForDeed[Payment],ROW()-ROW(tblBuyerOutputs[#Headers]))=0,0,INDEX(tblContractForDeed[Payment],ROW()-ROW(tblBuyerOutputs[#Headers]))-INDEX(tblSubjectToLoan[Payment],ROW()-ROW(tblBuyerOutputs[#Headers])))-IFERROR(tblBuyerOutputs[[#This Row],[PMI]],0)</f>
        <v>1453.8</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91108.840000000098</v>
      </c>
      <c r="AD94" s="265">
        <f>IF(INDEX(tblContractForDeed[End Bal],ROW()-ROW(tblBuyerOutputs[#Headers]))&lt;=0,0,($O$6+IF(ROW()=ROW(tblBuyerOutputs[#Headers])+1,0,INDEX(tblBuyerOutputs[Cumul Appr],ROW()-ROW(tblBuyerOutputs[#Headers])-1)))*$O$2/12)</f>
        <v>887.58464388907771</v>
      </c>
      <c r="AE94" s="588">
        <f>IF(INDEX(tblContractForDeed[End Bal],ROW()-ROW(tblBuyerOutputs[#Headers]))&lt;=0,0,IF(ROW()=ROW(tblBuyerOutputs[#Headers])+1,0,INDEX(tblBuyerOutputs[Cumul Appr],ROW()-ROW(tblBuyerOutputs[#Headers])-1))+tblBuyerOutputs[[#This Row],[Monthly Appr]])</f>
        <v>57307.899177267733</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89853.079999999973</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5" s="265">
        <f>IF(tblContractForDeed[[#This Row],[Payment]]=0,0,MAX(0,MIN(tblContractForDeed[[#This Row],[Beg]],tblContractForDeed[[#This Row],[Payment]]-tblContractForDeed[[#This Row],[Int]])))</f>
        <v>1300.97</v>
      </c>
      <c r="S95" s="265">
        <f>IF(OR(tblContractForDeed[[#This Row],[Date]]&lt;cfdContractDate,tblContractForDeed[[#This Row],[Date]]&gt;cfdEndDate),0,ROUND(tblContractForDeed[[#This Row],[Beg]]*(tblContractForDeed[[#This Row],[Int Rate]]/12),2))</f>
        <v>599.02</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2222.71</v>
      </c>
      <c r="W95" s="265">
        <f>SUM(INDEX(tblContractForDeed[Princ],1):INDEX(tblContractForDeed[Princ],ROW()-ROW(tblContractForDeed[#Headers])))</f>
        <v>68047.89</v>
      </c>
      <c r="X95" s="265">
        <f>IF(tblContractForDeed[[#This Row],[Beg]]&lt;=0,0,tblContractForDeed[[#This Row],[Beg]]-tblContractForDeed[[#This Row],[Princ]])</f>
        <v>88552.109999999971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1453.8</v>
      </c>
      <c r="AA95"/>
      <c r="AB95" s="14">
        <f>IF(INDEX(tblContractForDeed[Payment],ROW()-ROW(tblBuyerOutputs[#Headers]))=0,0,INDEX(tblContractForDeed[Payment],ROW()-ROW(tblBuyerOutputs[#Headers]))-INDEX(tblSubjectToLoan[Payment],ROW()-ROW(tblBuyerOutputs[#Headers])))-IFERROR(tblBuyerOutputs[[#This Row],[PMI]],0)</f>
        <v>1453.8</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92562.640000000101</v>
      </c>
      <c r="AD95" s="265">
        <f>IF(INDEX(tblContractForDeed[End Bal],ROW()-ROW(tblBuyerOutputs[#Headers]))&lt;=0,0,($O$6+IF(ROW()=ROW(tblBuyerOutputs[#Headers])+1,0,INDEX(tblBuyerOutputs[Cumul Appr],ROW()-ROW(tblBuyerOutputs[#Headers])-1)))*$O$2/12)</f>
        <v>891.28291323861561</v>
      </c>
      <c r="AE95" s="588">
        <f>IF(INDEX(tblContractForDeed[End Bal],ROW()-ROW(tblBuyerOutputs[#Headers]))&lt;=0,0,IF(ROW()=ROW(tblBuyerOutputs[#Headers])+1,0,INDEX(tblBuyerOutputs[Cumul Appr],ROW()-ROW(tblBuyerOutputs[#Headers])-1))+tblBuyerOutputs[[#This Row],[Monthly Appr]])</f>
        <v>58199.182090506351</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88552.109999999971</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6" s="265">
        <f>IF(tblContractForDeed[[#This Row],[Payment]]=0,0,MAX(0,MIN(tblContractForDeed[[#This Row],[Beg]],tblContractForDeed[[#This Row],[Payment]]-tblContractForDeed[[#This Row],[Int]])))</f>
        <v>1309.6399999999999</v>
      </c>
      <c r="S96" s="265">
        <f>IF(OR(tblContractForDeed[[#This Row],[Date]]&lt;cfdContractDate,tblContractForDeed[[#This Row],[Date]]&gt;cfdEndDate),0,ROUND(tblContractForDeed[[#This Row],[Beg]]*(tblContractForDeed[[#This Row],[Int Rate]]/12),2))</f>
        <v>590.35</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2222.71</v>
      </c>
      <c r="W96" s="265">
        <f>SUM(INDEX(tblContractForDeed[Princ],1):INDEX(tblContractForDeed[Princ],ROW()-ROW(tblContractForDeed[#Headers])))</f>
        <v>69357.53</v>
      </c>
      <c r="X96" s="265">
        <f>IF(tblContractForDeed[[#This Row],[Beg]]&lt;=0,0,tblContractForDeed[[#This Row],[Beg]]-tblContractForDeed[[#This Row],[Princ]])</f>
        <v>87242.469999999972</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1453.8</v>
      </c>
      <c r="AA96"/>
      <c r="AB96" s="14">
        <f>IF(INDEX(tblContractForDeed[Payment],ROW()-ROW(tblBuyerOutputs[#Headers]))=0,0,INDEX(tblContractForDeed[Payment],ROW()-ROW(tblBuyerOutputs[#Headers]))-INDEX(tblSubjectToLoan[Payment],ROW()-ROW(tblBuyerOutputs[#Headers])))-IFERROR(tblBuyerOutputs[[#This Row],[PMI]],0)</f>
        <v>1453.8</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94016.440000000104</v>
      </c>
      <c r="AD96" s="265">
        <f>IF(INDEX(tblContractForDeed[End Bal],ROW()-ROW(tblBuyerOutputs[#Headers]))&lt;=0,0,($O$6+IF(ROW()=ROW(tblBuyerOutputs[#Headers])+1,0,INDEX(tblBuyerOutputs[Cumul Appr],ROW()-ROW(tblBuyerOutputs[#Headers])-1)))*$O$2/12)</f>
        <v>894.99659204377656</v>
      </c>
      <c r="AE96" s="588">
        <f>IF(INDEX(tblContractForDeed[End Bal],ROW()-ROW(tblBuyerOutputs[#Headers]))&lt;=0,0,IF(ROW()=ROW(tblBuyerOutputs[#Headers])+1,0,INDEX(tblBuyerOutputs[Cumul Appr],ROW()-ROW(tblBuyerOutputs[#Headers])-1))+tblBuyerOutputs[[#This Row],[Monthly Appr]])</f>
        <v>59094.178682550126</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87242.469999999972</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7" s="265">
        <f>IF(tblContractForDeed[[#This Row],[Payment]]=0,0,MAX(0,MIN(tblContractForDeed[[#This Row],[Beg]],tblContractForDeed[[#This Row],[Payment]]-tblContractForDeed[[#This Row],[Int]])))</f>
        <v>1318.37</v>
      </c>
      <c r="S97" s="265">
        <f>IF(OR(tblContractForDeed[[#This Row],[Date]]&lt;cfdContractDate,tblContractForDeed[[#This Row],[Date]]&gt;cfdEndDate),0,ROUND(tblContractForDeed[[#This Row],[Beg]]*(tblContractForDeed[[#This Row],[Int Rate]]/12),2))</f>
        <v>581.62</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2222.71</v>
      </c>
      <c r="W97" s="265">
        <f>SUM(INDEX(tblContractForDeed[Princ],1):INDEX(tblContractForDeed[Princ],ROW()-ROW(tblContractForDeed[#Headers])))</f>
        <v>70675.899999999994</v>
      </c>
      <c r="X97" s="265">
        <f>IF(tblContractForDeed[[#This Row],[Beg]]&lt;=0,0,tblContractForDeed[[#This Row],[Beg]]-tblContractForDeed[[#This Row],[Princ]])</f>
        <v>85924.099999999977</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1453.8</v>
      </c>
      <c r="AA97"/>
      <c r="AB97" s="14">
        <f>IF(INDEX(tblContractForDeed[Payment],ROW()-ROW(tblBuyerOutputs[#Headers]))=0,0,INDEX(tblContractForDeed[Payment],ROW()-ROW(tblBuyerOutputs[#Headers]))-INDEX(tblSubjectToLoan[Payment],ROW()-ROW(tblBuyerOutputs[#Headers])))-IFERROR(tblBuyerOutputs[[#This Row],[PMI]],0)</f>
        <v>1453.8</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95470.240000000107</v>
      </c>
      <c r="AD97" s="265">
        <f>IF(INDEX(tblContractForDeed[End Bal],ROW()-ROW(tblBuyerOutputs[#Headers]))&lt;=0,0,($O$6+IF(ROW()=ROW(tblBuyerOutputs[#Headers])+1,0,INDEX(tblBuyerOutputs[Cumul Appr],ROW()-ROW(tblBuyerOutputs[#Headers])-1)))*$O$2/12)</f>
        <v>898.72574451062553</v>
      </c>
      <c r="AE97" s="588">
        <f>IF(INDEX(tblContractForDeed[End Bal],ROW()-ROW(tblBuyerOutputs[#Headers]))&lt;=0,0,IF(ROW()=ROW(tblBuyerOutputs[#Headers])+1,0,INDEX(tblBuyerOutputs[Cumul Appr],ROW()-ROW(tblBuyerOutputs[#Headers])-1))+tblBuyerOutputs[[#This Row],[Monthly Appr]])</f>
        <v>59992.904427060748</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85924.099999999977</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8" s="265">
        <f>IF(tblContractForDeed[[#This Row],[Payment]]=0,0,MAX(0,MIN(tblContractForDeed[[#This Row],[Beg]],tblContractForDeed[[#This Row],[Payment]]-tblContractForDeed[[#This Row],[Int]])))</f>
        <v>1327.1599999999999</v>
      </c>
      <c r="S98" s="265">
        <f>IF(OR(tblContractForDeed[[#This Row],[Date]]&lt;cfdContractDate,tblContractForDeed[[#This Row],[Date]]&gt;cfdEndDate),0,ROUND(tblContractForDeed[[#This Row],[Beg]]*(tblContractForDeed[[#This Row],[Int Rate]]/12),2))</f>
        <v>572.83000000000004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2222.71</v>
      </c>
      <c r="W98" s="265">
        <f>SUM(INDEX(tblContractForDeed[Princ],1):INDEX(tblContractForDeed[Princ],ROW()-ROW(tblContractForDeed[#Headers])))</f>
        <v>72003.06</v>
      </c>
      <c r="X98" s="265">
        <f>IF(tblContractForDeed[[#This Row],[Beg]]&lt;=0,0,tblContractForDeed[[#This Row],[Beg]]-tblContractForDeed[[#This Row],[Princ]])</f>
        <v>84596.939999999973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1453.8</v>
      </c>
      <c r="AA98"/>
      <c r="AB98" s="14">
        <f>IF(INDEX(tblContractForDeed[Payment],ROW()-ROW(tblBuyerOutputs[#Headers]))=0,0,INDEX(tblContractForDeed[Payment],ROW()-ROW(tblBuyerOutputs[#Headers]))-INDEX(tblSubjectToLoan[Payment],ROW()-ROW(tblBuyerOutputs[#Headers])))-IFERROR(tblBuyerOutputs[[#This Row],[PMI]],0)</f>
        <v>1453.8</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96924.04000000011</v>
      </c>
      <c r="AD98" s="265">
        <f>IF(INDEX(tblContractForDeed[End Bal],ROW()-ROW(tblBuyerOutputs[#Headers]))&lt;=0,0,($O$6+IF(ROW()=ROW(tblBuyerOutputs[#Headers])+1,0,INDEX(tblBuyerOutputs[Cumul Appr],ROW()-ROW(tblBuyerOutputs[#Headers])-1)))*$O$2/12)</f>
        <v>902.47043511275308</v>
      </c>
      <c r="AE98" s="588">
        <f>IF(INDEX(tblContractForDeed[End Bal],ROW()-ROW(tblBuyerOutputs[#Headers]))&lt;=0,0,IF(ROW()=ROW(tblBuyerOutputs[#Headers])+1,0,INDEX(tblBuyerOutputs[Cumul Appr],ROW()-ROW(tblBuyerOutputs[#Headers])-1))+tblBuyerOutputs[[#This Row],[Monthly Appr]])</f>
        <v>60895.374862173499</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84596.939999999973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9" s="265">
        <f>IF(tblContractForDeed[[#This Row],[Payment]]=0,0,MAX(0,MIN(tblContractForDeed[[#This Row],[Beg]],tblContractForDeed[[#This Row],[Payment]]-tblContractForDeed[[#This Row],[Int]])))</f>
        <v>1336.01</v>
      </c>
      <c r="S99" s="265">
        <f>IF(OR(tblContractForDeed[[#This Row],[Date]]&lt;cfdContractDate,tblContractForDeed[[#This Row],[Date]]&gt;cfdEndDate),0,ROUND(tblContractForDeed[[#This Row],[Beg]]*(tblContractForDeed[[#This Row],[Int Rate]]/12),2))</f>
        <v>563.98</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2222.71</v>
      </c>
      <c r="W99" s="265">
        <f>SUM(INDEX(tblContractForDeed[Princ],1):INDEX(tblContractForDeed[Princ],ROW()-ROW(tblContractForDeed[#Headers])))</f>
        <v>73339.069999999992</v>
      </c>
      <c r="X99" s="265">
        <f>IF(tblContractForDeed[[#This Row],[Beg]]&lt;=0,0,tblContractForDeed[[#This Row],[Beg]]-tblContractForDeed[[#This Row],[Princ]])</f>
        <v>83260.929999999978</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1453.8</v>
      </c>
      <c r="AA99"/>
      <c r="AB99" s="14">
        <f>IF(INDEX(tblContractForDeed[Payment],ROW()-ROW(tblBuyerOutputs[#Headers]))=0,0,INDEX(tblContractForDeed[Payment],ROW()-ROW(tblBuyerOutputs[#Headers]))-INDEX(tblSubjectToLoan[Payment],ROW()-ROW(tblBuyerOutputs[#Headers])))-IFERROR(tblBuyerOutputs[[#This Row],[PMI]],0)</f>
        <v>1453.8</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98377.840000000113</v>
      </c>
      <c r="AD99" s="265">
        <f>IF(INDEX(tblContractForDeed[End Bal],ROW()-ROW(tblBuyerOutputs[#Headers]))&lt;=0,0,($O$6+IF(ROW()=ROW(tblBuyerOutputs[#Headers])+1,0,INDEX(tblBuyerOutputs[Cumul Appr],ROW()-ROW(tblBuyerOutputs[#Headers])-1)))*$O$2/12)</f>
        <v>906.23072859238971</v>
      </c>
      <c r="AE99" s="588">
        <f>IF(INDEX(tblContractForDeed[End Bal],ROW()-ROW(tblBuyerOutputs[#Headers]))&lt;=0,0,IF(ROW()=ROW(tblBuyerOutputs[#Headers])+1,0,INDEX(tblBuyerOutputs[Cumul Appr],ROW()-ROW(tblBuyerOutputs[#Headers])-1))+tblBuyerOutputs[[#This Row],[Monthly Appr]])</f>
        <v>61801.605590765888</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83260.929999999978</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0" s="265">
        <f>IF(tblContractForDeed[[#This Row],[Payment]]=0,0,MAX(0,MIN(tblContractForDeed[[#This Row],[Beg]],tblContractForDeed[[#This Row],[Payment]]-tblContractForDeed[[#This Row],[Int]])))</f>
        <v>1344.92</v>
      </c>
      <c r="S100" s="265">
        <f>IF(OR(tblContractForDeed[[#This Row],[Date]]&lt;cfdContractDate,tblContractForDeed[[#This Row],[Date]]&gt;cfdEndDate),0,ROUND(tblContractForDeed[[#This Row],[Beg]]*(tblContractForDeed[[#This Row],[Int Rate]]/12),2))</f>
        <v>555.07000000000005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2222.7100000000005</v>
      </c>
      <c r="W100" s="265">
        <f>SUM(INDEX(tblContractForDeed[Princ],1):INDEX(tblContractForDeed[Princ],ROW()-ROW(tblContractForDeed[#Headers])))</f>
        <v>74683.989999999991</v>
      </c>
      <c r="X100" s="265">
        <f>IF(tblContractForDeed[[#This Row],[Beg]]&lt;=0,0,tblContractForDeed[[#This Row],[Beg]]-tblContractForDeed[[#This Row],[Princ]])</f>
        <v>81916.00999999998</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1453.8</v>
      </c>
      <c r="AA100"/>
      <c r="AB100" s="14">
        <f>IF(INDEX(tblContractForDeed[Payment],ROW()-ROW(tblBuyerOutputs[#Headers]))=0,0,INDEX(tblContractForDeed[Payment],ROW()-ROW(tblBuyerOutputs[#Headers]))-INDEX(tblSubjectToLoan[Payment],ROW()-ROW(tblBuyerOutputs[#Headers])))-IFERROR(tblBuyerOutputs[[#This Row],[PMI]],0)</f>
        <v>1453.8</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99831.640000000116</v>
      </c>
      <c r="AD100" s="265">
        <f>IF(INDEX(tblContractForDeed[End Bal],ROW()-ROW(tblBuyerOutputs[#Headers]))&lt;=0,0,($O$6+IF(ROW()=ROW(tblBuyerOutputs[#Headers])+1,0,INDEX(tblBuyerOutputs[Cumul Appr],ROW()-ROW(tblBuyerOutputs[#Headers])-1)))*$O$2/12)</f>
        <v>910.00668996152456</v>
      </c>
      <c r="AE100" s="588">
        <f>IF(INDEX(tblContractForDeed[End Bal],ROW()-ROW(tblBuyerOutputs[#Headers]))&lt;=0,0,IF(ROW()=ROW(tblBuyerOutputs[#Headers])+1,0,INDEX(tblBuyerOutputs[Cumul Appr],ROW()-ROW(tblBuyerOutputs[#Headers])-1))+tblBuyerOutputs[[#This Row],[Monthly Appr]])</f>
        <v>62711.612280727415</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81916.00999999998</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1" s="265">
        <f>IF(tblContractForDeed[[#This Row],[Payment]]=0,0,MAX(0,MIN(tblContractForDeed[[#This Row],[Beg]],tblContractForDeed[[#This Row],[Payment]]-tblContractForDeed[[#This Row],[Int]])))</f>
        <v>1353.88</v>
      </c>
      <c r="S101" s="265">
        <f>IF(OR(tblContractForDeed[[#This Row],[Date]]&lt;cfdContractDate,tblContractForDeed[[#This Row],[Date]]&gt;cfdEndDate),0,ROUND(tblContractForDeed[[#This Row],[Beg]]*(tblContractForDeed[[#This Row],[Int Rate]]/12),2))</f>
        <v>546.11</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2222.7100000000005</v>
      </c>
      <c r="W101" s="265">
        <f>SUM(INDEX(tblContractForDeed[Princ],1):INDEX(tblContractForDeed[Princ],ROW()-ROW(tblContractForDeed[#Headers])))</f>
        <v>76037.87</v>
      </c>
      <c r="X101" s="265">
        <f>IF(tblContractForDeed[[#This Row],[Beg]]&lt;=0,0,tblContractForDeed[[#This Row],[Beg]]-tblContractForDeed[[#This Row],[Princ]])</f>
        <v>80562.129999999976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1453.8</v>
      </c>
      <c r="AA101"/>
      <c r="AB101" s="14">
        <f>IF(INDEX(tblContractForDeed[Payment],ROW()-ROW(tblBuyerOutputs[#Headers]))=0,0,INDEX(tblContractForDeed[Payment],ROW()-ROW(tblBuyerOutputs[#Headers]))-INDEX(tblSubjectToLoan[Payment],ROW()-ROW(tblBuyerOutputs[#Headers])))-IFERROR(tblBuyerOutputs[[#This Row],[PMI]],0)</f>
        <v>1453.8</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101285.44000000012</v>
      </c>
      <c r="AD101" s="265">
        <f>IF(INDEX(tblContractForDeed[End Bal],ROW()-ROW(tblBuyerOutputs[#Headers]))&lt;=0,0,($O$6+IF(ROW()=ROW(tblBuyerOutputs[#Headers])+1,0,INDEX(tblBuyerOutputs[Cumul Appr],ROW()-ROW(tblBuyerOutputs[#Headers])-1)))*$O$2/12)</f>
        <v>913.79838450303089</v>
      </c>
      <c r="AE101" s="588">
        <f>IF(INDEX(tblContractForDeed[End Bal],ROW()-ROW(tblBuyerOutputs[#Headers]))&lt;=0,0,IF(ROW()=ROW(tblBuyerOutputs[#Headers])+1,0,INDEX(tblBuyerOutputs[Cumul Appr],ROW()-ROW(tblBuyerOutputs[#Headers])-1))+tblBuyerOutputs[[#This Row],[Monthly Appr]])</f>
        <v>63625.410665230447</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80562.129999999976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2" s="265">
        <f>IF(tblContractForDeed[[#This Row],[Payment]]=0,0,MAX(0,MIN(tblContractForDeed[[#This Row],[Beg]],tblContractForDeed[[#This Row],[Payment]]-tblContractForDeed[[#This Row],[Int]])))</f>
        <v>1362.9099999999999</v>
      </c>
      <c r="S102" s="265">
        <f>IF(OR(tblContractForDeed[[#This Row],[Date]]&lt;cfdContractDate,tblContractForDeed[[#This Row],[Date]]&gt;cfdEndDate),0,ROUND(tblContractForDeed[[#This Row],[Beg]]*(tblContractForDeed[[#This Row],[Int Rate]]/12),2))</f>
        <v>537.08000000000004</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2222.71</v>
      </c>
      <c r="W102" s="265">
        <f>SUM(INDEX(tblContractForDeed[Princ],1):INDEX(tblContractForDeed[Princ],ROW()-ROW(tblContractForDeed[#Headers])))</f>
        <v>77400.78</v>
      </c>
      <c r="X102" s="265">
        <f>IF(tblContractForDeed[[#This Row],[Beg]]&lt;=0,0,tblContractForDeed[[#This Row],[Beg]]-tblContractForDeed[[#This Row],[Princ]])</f>
        <v>79199.219999999972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1453.8</v>
      </c>
      <c r="AA102"/>
      <c r="AB102" s="14">
        <f>IF(INDEX(tblContractForDeed[Payment],ROW()-ROW(tblBuyerOutputs[#Headers]))=0,0,INDEX(tblContractForDeed[Payment],ROW()-ROW(tblBuyerOutputs[#Headers]))-INDEX(tblSubjectToLoan[Payment],ROW()-ROW(tblBuyerOutputs[#Headers])))-IFERROR(tblBuyerOutputs[[#This Row],[PMI]],0)</f>
        <v>1453.8</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102739.24000000012</v>
      </c>
      <c r="AD102" s="265">
        <f>IF(INDEX(tblContractForDeed[End Bal],ROW()-ROW(tblBuyerOutputs[#Headers]))&lt;=0,0,($O$6+IF(ROW()=ROW(tblBuyerOutputs[#Headers])+1,0,INDEX(tblBuyerOutputs[Cumul Appr],ROW()-ROW(tblBuyerOutputs[#Headers])-1)))*$O$2/12)</f>
        <v>917.60587777179353</v>
      </c>
      <c r="AE102" s="588">
        <f>IF(INDEX(tblContractForDeed[End Bal],ROW()-ROW(tblBuyerOutputs[#Headers]))&lt;=0,0,IF(ROW()=ROW(tblBuyerOutputs[#Headers])+1,0,INDEX(tblBuyerOutputs[Cumul Appr],ROW()-ROW(tblBuyerOutputs[#Headers])-1))+tblBuyerOutputs[[#This Row],[Monthly Appr]])</f>
        <v>64543.016543002239</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79199.219999999972</v>
      </c>
      <c r="P103" s="586">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3" s="316">
        <f>IF(tblContractForDeed[[#This Row],[Payment]]=0,0,MAX(0,MIN(tblContractForDeed[[#This Row],[Beg]],tblContractForDeed[[#This Row],[Payment]]-tblContractForDeed[[#This Row],[Int]])))</f>
        <v>1372</v>
      </c>
      <c r="S103" s="316">
        <f>IF(OR(tblContractForDeed[[#This Row],[Date]]&lt;cfdContractDate,tblContractForDeed[[#This Row],[Date]]&gt;cfdEndDate),0,ROUND(tblContractForDeed[[#This Row],[Beg]]*(tblContractForDeed[[#This Row],[Int Rate]]/12),2))</f>
        <v>527.99</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2222.71</v>
      </c>
      <c r="W103" s="316">
        <f>SUM(INDEX(tblContractForDeed[Princ],1):INDEX(tblContractForDeed[Princ],ROW()-ROW(tblContractForDeed[#Headers])))</f>
        <v>78772.78</v>
      </c>
      <c r="X103" s="316">
        <f>IF(tblContractForDeed[[#This Row],[Beg]]&lt;=0,0,tblContractForDeed[[#This Row],[Beg]]-tblContractForDeed[[#This Row],[Princ]])</f>
        <v>77827.219999999972</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1453.8</v>
      </c>
      <c r="AA103" s="23"/>
      <c r="AB103" s="21">
        <f>IF(INDEX(tblContractForDeed[Payment],ROW()-ROW(tblBuyerOutputs[#Headers]))=0,0,INDEX(tblContractForDeed[Payment],ROW()-ROW(tblBuyerOutputs[#Headers]))-INDEX(tblSubjectToLoan[Payment],ROW()-ROW(tblBuyerOutputs[#Headers])))-IFERROR(tblBuyerOutputs[[#This Row],[PMI]],0)</f>
        <v>1453.8</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104193.04000000012</v>
      </c>
      <c r="AD103" s="316">
        <f>IF(INDEX(tblContractForDeed[End Bal],ROW()-ROW(tblBuyerOutputs[#Headers]))&lt;=0,0,($O$6+IF(ROW()=ROW(tblBuyerOutputs[#Headers])+1,0,INDEX(tblBuyerOutputs[Cumul Appr],ROW()-ROW(tblBuyerOutputs[#Headers])-1)))*$O$2/12)</f>
        <v>921.42923559584278</v>
      </c>
      <c r="AE103" s="589">
        <f>IF(INDEX(tblContractForDeed[End Bal],ROW()-ROW(tblBuyerOutputs[#Headers]))&lt;=0,0,IF(ROW()=ROW(tblBuyerOutputs[#Headers])+1,0,INDEX(tblBuyerOutputs[Cumul Appr],ROW()-ROW(tblBuyerOutputs[#Headers])-1))+tblBuyerOutputs[[#This Row],[Monthly Appr]])</f>
        <v>65464.445778598085</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77827.219999999972</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4" s="265">
        <f>IF(tblContractForDeed[[#This Row],[Payment]]=0,0,MAX(0,MIN(tblContractForDeed[[#This Row],[Beg]],tblContractForDeed[[#This Row],[Payment]]-tblContractForDeed[[#This Row],[Int]])))</f>
        <v>1381.1399999999999</v>
      </c>
      <c r="S104" s="265">
        <f>IF(OR(tblContractForDeed[[#This Row],[Date]]&lt;cfdContractDate,tblContractForDeed[[#This Row],[Date]]&gt;cfdEndDate),0,ROUND(tblContractForDeed[[#This Row],[Beg]]*(tblContractForDeed[[#This Row],[Int Rate]]/12),2))</f>
        <v>518.85</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2222.71</v>
      </c>
      <c r="W104" s="265">
        <f>SUM(INDEX(tblContractForDeed[Princ],1):INDEX(tblContractForDeed[Princ],ROW()-ROW(tblContractForDeed[#Headers])))</f>
        <v>80153.919999999998</v>
      </c>
      <c r="X104" s="265">
        <f>IF(tblContractForDeed[[#This Row],[Beg]]&lt;=0,0,tblContractForDeed[[#This Row],[Beg]]-tblContractForDeed[[#This Row],[Princ]])</f>
        <v>76446.079999999973</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1453.8</v>
      </c>
      <c r="AA104"/>
      <c r="AB104" s="14">
        <f>IF(INDEX(tblContractForDeed[Payment],ROW()-ROW(tblBuyerOutputs[#Headers]))=0,0,INDEX(tblContractForDeed[Payment],ROW()-ROW(tblBuyerOutputs[#Headers]))-INDEX(tblSubjectToLoan[Payment],ROW()-ROW(tblBuyerOutputs[#Headers])))-IFERROR(tblBuyerOutputs[[#This Row],[PMI]],0)</f>
        <v>1453.8</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105646.84000000013</v>
      </c>
      <c r="AD104" s="265">
        <f>IF(INDEX(tblContractForDeed[End Bal],ROW()-ROW(tblBuyerOutputs[#Headers]))&lt;=0,0,($O$6+IF(ROW()=ROW(tblBuyerOutputs[#Headers])+1,0,INDEX(tblBuyerOutputs[Cumul Appr],ROW()-ROW(tblBuyerOutputs[#Headers])-1)))*$O$2/12)</f>
        <v>925.26852407749209</v>
      </c>
      <c r="AE104" s="588">
        <f>IF(INDEX(tblContractForDeed[End Bal],ROW()-ROW(tblBuyerOutputs[#Headers]))&lt;=0,0,IF(ROW()=ROW(tblBuyerOutputs[#Headers])+1,0,INDEX(tblBuyerOutputs[Cumul Appr],ROW()-ROW(tblBuyerOutputs[#Headers])-1))+tblBuyerOutputs[[#This Row],[Monthly Appr]])</f>
        <v>66389.71430267558</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76446.079999999973</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5" s="265">
        <f>IF(tblContractForDeed[[#This Row],[Payment]]=0,0,MAX(0,MIN(tblContractForDeed[[#This Row],[Beg]],tblContractForDeed[[#This Row],[Payment]]-tblContractForDeed[[#This Row],[Int]])))</f>
        <v>1390.35</v>
      </c>
      <c r="S105" s="265">
        <f>IF(OR(tblContractForDeed[[#This Row],[Date]]&lt;cfdContractDate,tblContractForDeed[[#This Row],[Date]]&gt;cfdEndDate),0,ROUND(tblContractForDeed[[#This Row],[Beg]]*(tblContractForDeed[[#This Row],[Int Rate]]/12),2))</f>
        <v>509.64</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2222.71</v>
      </c>
      <c r="W105" s="265">
        <f>SUM(INDEX(tblContractForDeed[Princ],1):INDEX(tblContractForDeed[Princ],ROW()-ROW(tblContractForDeed[#Headers])))</f>
        <v>81544.27</v>
      </c>
      <c r="X105" s="265">
        <f>IF(tblContractForDeed[[#This Row],[Beg]]&lt;=0,0,tblContractForDeed[[#This Row],[Beg]]-tblContractForDeed[[#This Row],[Princ]])</f>
        <v>75055.729999999967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1453.8</v>
      </c>
      <c r="AA105"/>
      <c r="AB105" s="14">
        <f>IF(INDEX(tblContractForDeed[Payment],ROW()-ROW(tblBuyerOutputs[#Headers]))=0,0,INDEX(tblContractForDeed[Payment],ROW()-ROW(tblBuyerOutputs[#Headers]))-INDEX(tblSubjectToLoan[Payment],ROW()-ROW(tblBuyerOutputs[#Headers])))-IFERROR(tblBuyerOutputs[[#This Row],[PMI]],0)</f>
        <v>1453.8</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107100.64000000013</v>
      </c>
      <c r="AD105" s="265">
        <f>IF(INDEX(tblContractForDeed[End Bal],ROW()-ROW(tblBuyerOutputs[#Headers]))&lt;=0,0,($O$6+IF(ROW()=ROW(tblBuyerOutputs[#Headers])+1,0,INDEX(tblBuyerOutputs[Cumul Appr],ROW()-ROW(tblBuyerOutputs[#Headers])-1)))*$O$2/12)</f>
        <v>929.12380959448149</v>
      </c>
      <c r="AE105" s="588">
        <f>IF(INDEX(tblContractForDeed[End Bal],ROW()-ROW(tblBuyerOutputs[#Headers]))&lt;=0,0,IF(ROW()=ROW(tblBuyerOutputs[#Headers])+1,0,INDEX(tblBuyerOutputs[Cumul Appr],ROW()-ROW(tblBuyerOutputs[#Headers])-1))+tblBuyerOutputs[[#This Row],[Monthly Appr]])</f>
        <v>67318.838112270067</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75055.729999999967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6" s="265">
        <f>IF(tblContractForDeed[[#This Row],[Payment]]=0,0,MAX(0,MIN(tblContractForDeed[[#This Row],[Beg]],tblContractForDeed[[#This Row],[Payment]]-tblContractForDeed[[#This Row],[Int]])))</f>
        <v>1399.62</v>
      </c>
      <c r="S106" s="265">
        <f>IF(OR(tblContractForDeed[[#This Row],[Date]]&lt;cfdContractDate,tblContractForDeed[[#This Row],[Date]]&gt;cfdEndDate),0,ROUND(tblContractForDeed[[#This Row],[Beg]]*(tblContractForDeed[[#This Row],[Int Rate]]/12),2))</f>
        <v>500.37</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2222.71</v>
      </c>
      <c r="W106" s="265">
        <f>SUM(INDEX(tblContractForDeed[Princ],1):INDEX(tblContractForDeed[Princ],ROW()-ROW(tblContractForDeed[#Headers])))</f>
        <v>82943.89</v>
      </c>
      <c r="X106" s="265">
        <f>IF(tblContractForDeed[[#This Row],[Beg]]&lt;=0,0,tblContractForDeed[[#This Row],[Beg]]-tblContractForDeed[[#This Row],[Princ]])</f>
        <v>73656.109999999971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1453.8</v>
      </c>
      <c r="AA106"/>
      <c r="AB106" s="14">
        <f>IF(INDEX(tblContractForDeed[Payment],ROW()-ROW(tblBuyerOutputs[#Headers]))=0,0,INDEX(tblContractForDeed[Payment],ROW()-ROW(tblBuyerOutputs[#Headers]))-INDEX(tblSubjectToLoan[Payment],ROW()-ROW(tblBuyerOutputs[#Headers])))-IFERROR(tblBuyerOutputs[[#This Row],[PMI]],0)</f>
        <v>1453.8</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108554.44000000013</v>
      </c>
      <c r="AD106" s="265">
        <f>IF(INDEX(tblContractForDeed[End Bal],ROW()-ROW(tblBuyerOutputs[#Headers]))&lt;=0,0,($O$6+IF(ROW()=ROW(tblBuyerOutputs[#Headers])+1,0,INDEX(tblBuyerOutputs[Cumul Appr],ROW()-ROW(tblBuyerOutputs[#Headers])-1)))*$O$2/12)</f>
        <v>932.99515880112529</v>
      </c>
      <c r="AE106" s="588">
        <f>IF(INDEX(tblContractForDeed[End Bal],ROW()-ROW(tblBuyerOutputs[#Headers]))&lt;=0,0,IF(ROW()=ROW(tblBuyerOutputs[#Headers])+1,0,INDEX(tblBuyerOutputs[Cumul Appr],ROW()-ROW(tblBuyerOutputs[#Headers])-1))+tblBuyerOutputs[[#This Row],[Monthly Appr]])</f>
        <v>68251.833271071198</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73656.109999999971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7" s="265">
        <f>IF(tblContractForDeed[[#This Row],[Payment]]=0,0,MAX(0,MIN(tblContractForDeed[[#This Row],[Beg]],tblContractForDeed[[#This Row],[Payment]]-tblContractForDeed[[#This Row],[Int]])))</f>
        <v>1408.95</v>
      </c>
      <c r="S107" s="265">
        <f>IF(OR(tblContractForDeed[[#This Row],[Date]]&lt;cfdContractDate,tblContractForDeed[[#This Row],[Date]]&gt;cfdEndDate),0,ROUND(tblContractForDeed[[#This Row],[Beg]]*(tblContractForDeed[[#This Row],[Int Rate]]/12),2))</f>
        <v>491.04</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2222.71</v>
      </c>
      <c r="W107" s="265">
        <f>SUM(INDEX(tblContractForDeed[Princ],1):INDEX(tblContractForDeed[Princ],ROW()-ROW(tblContractForDeed[#Headers])))</f>
        <v>84352.84</v>
      </c>
      <c r="X107" s="265">
        <f>IF(tblContractForDeed[[#This Row],[Beg]]&lt;=0,0,tblContractForDeed[[#This Row],[Beg]]-tblContractForDeed[[#This Row],[Princ]])</f>
        <v>72247.159999999974</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1453.8</v>
      </c>
      <c r="AA107"/>
      <c r="AB107" s="14">
        <f>IF(INDEX(tblContractForDeed[Payment],ROW()-ROW(tblBuyerOutputs[#Headers]))=0,0,INDEX(tblContractForDeed[Payment],ROW()-ROW(tblBuyerOutputs[#Headers]))-INDEX(tblSubjectToLoan[Payment],ROW()-ROW(tblBuyerOutputs[#Headers])))-IFERROR(tblBuyerOutputs[[#This Row],[PMI]],0)</f>
        <v>1453.8</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110008.24000000014</v>
      </c>
      <c r="AD107" s="265">
        <f>IF(INDEX(tblContractForDeed[End Bal],ROW()-ROW(tblBuyerOutputs[#Headers]))&lt;=0,0,($O$6+IF(ROW()=ROW(tblBuyerOutputs[#Headers])+1,0,INDEX(tblBuyerOutputs[Cumul Appr],ROW()-ROW(tblBuyerOutputs[#Headers])-1)))*$O$2/12)</f>
        <v>936.88263862946349</v>
      </c>
      <c r="AE107" s="588">
        <f>IF(INDEX(tblContractForDeed[End Bal],ROW()-ROW(tblBuyerOutputs[#Headers]))&lt;=0,0,IF(ROW()=ROW(tblBuyerOutputs[#Headers])+1,0,INDEX(tblBuyerOutputs[Cumul Appr],ROW()-ROW(tblBuyerOutputs[#Headers])-1))+tblBuyerOutputs[[#This Row],[Monthly Appr]])</f>
        <v>69188.715909700666</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72247.159999999974</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8" s="265">
        <f>IF(tblContractForDeed[[#This Row],[Payment]]=0,0,MAX(0,MIN(tblContractForDeed[[#This Row],[Beg]],tblContractForDeed[[#This Row],[Payment]]-tblContractForDeed[[#This Row],[Int]])))</f>
        <v>1418.3400000000001</v>
      </c>
      <c r="S108" s="265">
        <f>IF(OR(tblContractForDeed[[#This Row],[Date]]&lt;cfdContractDate,tblContractForDeed[[#This Row],[Date]]&gt;cfdEndDate),0,ROUND(tblContractForDeed[[#This Row],[Beg]]*(tblContractForDeed[[#This Row],[Int Rate]]/12),2))</f>
        <v>481.65</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2222.7100000000005</v>
      </c>
      <c r="W108" s="265">
        <f>SUM(INDEX(tblContractForDeed[Princ],1):INDEX(tblContractForDeed[Princ],ROW()-ROW(tblContractForDeed[#Headers])))</f>
        <v>85771.18</v>
      </c>
      <c r="X108" s="265">
        <f>IF(tblContractForDeed[[#This Row],[Beg]]&lt;=0,0,tblContractForDeed[[#This Row],[Beg]]-tblContractForDeed[[#This Row],[Princ]])</f>
        <v>70828.819999999978</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1453.8</v>
      </c>
      <c r="AA108"/>
      <c r="AB108" s="14">
        <f>IF(INDEX(tblContractForDeed[Payment],ROW()-ROW(tblBuyerOutputs[#Headers]))=0,0,INDEX(tblContractForDeed[Payment],ROW()-ROW(tblBuyerOutputs[#Headers]))-INDEX(tblSubjectToLoan[Payment],ROW()-ROW(tblBuyerOutputs[#Headers])))-IFERROR(tblBuyerOutputs[[#This Row],[PMI]],0)</f>
        <v>1453.8</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111462.04000000014</v>
      </c>
      <c r="AD108" s="265">
        <f>IF(INDEX(tblContractForDeed[End Bal],ROW()-ROW(tblBuyerOutputs[#Headers]))&lt;=0,0,($O$6+IF(ROW()=ROW(tblBuyerOutputs[#Headers])+1,0,INDEX(tblBuyerOutputs[Cumul Appr],ROW()-ROW(tblBuyerOutputs[#Headers])-1)))*$O$2/12)</f>
        <v>940.78631629041956</v>
      </c>
      <c r="AE108" s="588">
        <f>IF(INDEX(tblContractForDeed[End Bal],ROW()-ROW(tblBuyerOutputs[#Headers]))&lt;=0,0,IF(ROW()=ROW(tblBuyerOutputs[#Headers])+1,0,INDEX(tblBuyerOutputs[Cumul Appr],ROW()-ROW(tblBuyerOutputs[#Headers])-1))+tblBuyerOutputs[[#This Row],[Monthly Appr]])</f>
        <v>70129.502225991091</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70828.819999999978</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9" s="265">
        <f>IF(tblContractForDeed[[#This Row],[Payment]]=0,0,MAX(0,MIN(tblContractForDeed[[#This Row],[Beg]],tblContractForDeed[[#This Row],[Payment]]-tblContractForDeed[[#This Row],[Int]])))</f>
        <v>1427.8</v>
      </c>
      <c r="S109" s="265">
        <f>IF(OR(tblContractForDeed[[#This Row],[Date]]&lt;cfdContractDate,tblContractForDeed[[#This Row],[Date]]&gt;cfdEndDate),0,ROUND(tblContractForDeed[[#This Row],[Beg]]*(tblContractForDeed[[#This Row],[Int Rate]]/12),2))</f>
        <v>472.19</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2222.71</v>
      </c>
      <c r="W109" s="265">
        <f>SUM(INDEX(tblContractForDeed[Princ],1):INDEX(tblContractForDeed[Princ],ROW()-ROW(tblContractForDeed[#Headers])))</f>
        <v>87198.98</v>
      </c>
      <c r="X109" s="265">
        <f>IF(tblContractForDeed[[#This Row],[Beg]]&lt;=0,0,tblContractForDeed[[#This Row],[Beg]]-tblContractForDeed[[#This Row],[Princ]])</f>
        <v>69401.019999999975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1453.8</v>
      </c>
      <c r="AA109"/>
      <c r="AB109" s="14">
        <f>IF(INDEX(tblContractForDeed[Payment],ROW()-ROW(tblBuyerOutputs[#Headers]))=0,0,INDEX(tblContractForDeed[Payment],ROW()-ROW(tblBuyerOutputs[#Headers]))-INDEX(tblSubjectToLoan[Payment],ROW()-ROW(tblBuyerOutputs[#Headers])))-IFERROR(tblBuyerOutputs[[#This Row],[PMI]],0)</f>
        <v>1453.8</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112915.84000000014</v>
      </c>
      <c r="AD109" s="265">
        <f>IF(INDEX(tblContractForDeed[End Bal],ROW()-ROW(tblBuyerOutputs[#Headers]))&lt;=0,0,($O$6+IF(ROW()=ROW(tblBuyerOutputs[#Headers])+1,0,INDEX(tblBuyerOutputs[Cumul Appr],ROW()-ROW(tblBuyerOutputs[#Headers])-1)))*$O$2/12)</f>
        <v>944.70625927496303</v>
      </c>
      <c r="AE109" s="588">
        <f>IF(INDEX(tblContractForDeed[End Bal],ROW()-ROW(tblBuyerOutputs[#Headers]))&lt;=0,0,IF(ROW()=ROW(tblBuyerOutputs[#Headers])+1,0,INDEX(tblBuyerOutputs[Cumul Appr],ROW()-ROW(tblBuyerOutputs[#Headers])-1))+tblBuyerOutputs[[#This Row],[Monthly Appr]])</f>
        <v>71074.208485266048</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69401.019999999975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0" s="265">
        <f>IF(tblContractForDeed[[#This Row],[Payment]]=0,0,MAX(0,MIN(tblContractForDeed[[#This Row],[Beg]],tblContractForDeed[[#This Row],[Payment]]-tblContractForDeed[[#This Row],[Int]])))</f>
        <v>1437.32</v>
      </c>
      <c r="S110" s="265">
        <f>IF(OR(tblContractForDeed[[#This Row],[Date]]&lt;cfdContractDate,tblContractForDeed[[#This Row],[Date]]&gt;cfdEndDate),0,ROUND(tblContractForDeed[[#This Row],[Beg]]*(tblContractForDeed[[#This Row],[Int Rate]]/12),2))</f>
        <v>462.67</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2222.71</v>
      </c>
      <c r="W110" s="265">
        <f>SUM(INDEX(tblContractForDeed[Princ],1):INDEX(tblContractForDeed[Princ],ROW()-ROW(tblContractForDeed[#Headers])))</f>
        <v>88636.3</v>
      </c>
      <c r="X110" s="265">
        <f>IF(tblContractForDeed[[#This Row],[Beg]]&lt;=0,0,tblContractForDeed[[#This Row],[Beg]]-tblContractForDeed[[#This Row],[Princ]])</f>
        <v>67963.699999999968</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1453.8</v>
      </c>
      <c r="AA110"/>
      <c r="AB110" s="14">
        <f>IF(INDEX(tblContractForDeed[Payment],ROW()-ROW(tblBuyerOutputs[#Headers]))=0,0,INDEX(tblContractForDeed[Payment],ROW()-ROW(tblBuyerOutputs[#Headers]))-INDEX(tblSubjectToLoan[Payment],ROW()-ROW(tblBuyerOutputs[#Headers])))-IFERROR(tblBuyerOutputs[[#This Row],[PMI]],0)</f>
        <v>1453.8</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114369.64000000014</v>
      </c>
      <c r="AD110" s="265">
        <f>IF(INDEX(tblContractForDeed[End Bal],ROW()-ROW(tblBuyerOutputs[#Headers]))&lt;=0,0,($O$6+IF(ROW()=ROW(tblBuyerOutputs[#Headers])+1,0,INDEX(tblBuyerOutputs[Cumul Appr],ROW()-ROW(tblBuyerOutputs[#Headers])-1)))*$O$2/12)</f>
        <v>948.6425353552753</v>
      </c>
      <c r="AE110" s="588">
        <f>IF(INDEX(tblContractForDeed[End Bal],ROW()-ROW(tblBuyerOutputs[#Headers]))&lt;=0,0,IF(ROW()=ROW(tblBuyerOutputs[#Headers])+1,0,INDEX(tblBuyerOutputs[Cumul Appr],ROW()-ROW(tblBuyerOutputs[#Headers])-1))+tblBuyerOutputs[[#This Row],[Monthly Appr]])</f>
        <v>72022.851020621325</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67963.699999999968</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1" s="265">
        <f>IF(tblContractForDeed[[#This Row],[Payment]]=0,0,MAX(0,MIN(tblContractForDeed[[#This Row],[Beg]],tblContractForDeed[[#This Row],[Payment]]-tblContractForDeed[[#This Row],[Int]])))</f>
        <v>1446.9</v>
      </c>
      <c r="S111" s="265">
        <f>IF(OR(tblContractForDeed[[#This Row],[Date]]&lt;cfdContractDate,tblContractForDeed[[#This Row],[Date]]&gt;cfdEndDate),0,ROUND(tblContractForDeed[[#This Row],[Beg]]*(tblContractForDeed[[#This Row],[Int Rate]]/12),2))</f>
        <v>453.09</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2222.71</v>
      </c>
      <c r="W111" s="265">
        <f>SUM(INDEX(tblContractForDeed[Princ],1):INDEX(tblContractForDeed[Princ],ROW()-ROW(tblContractForDeed[#Headers])))</f>
        <v>90083.199999999997</v>
      </c>
      <c r="X111" s="265">
        <f>IF(tblContractForDeed[[#This Row],[Beg]]&lt;=0,0,tblContractForDeed[[#This Row],[Beg]]-tblContractForDeed[[#This Row],[Princ]])</f>
        <v>66516.799999999974</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1453.8</v>
      </c>
      <c r="AA111"/>
      <c r="AB111" s="14">
        <f>IF(INDEX(tblContractForDeed[Payment],ROW()-ROW(tblBuyerOutputs[#Headers]))=0,0,INDEX(tblContractForDeed[Payment],ROW()-ROW(tblBuyerOutputs[#Headers]))-INDEX(tblSubjectToLoan[Payment],ROW()-ROW(tblBuyerOutputs[#Headers])))-IFERROR(tblBuyerOutputs[[#This Row],[PMI]],0)</f>
        <v>1453.8</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115823.44000000015</v>
      </c>
      <c r="AD111" s="265">
        <f>IF(INDEX(tblContractForDeed[End Bal],ROW()-ROW(tblBuyerOutputs[#Headers]))&lt;=0,0,($O$6+IF(ROW()=ROW(tblBuyerOutputs[#Headers])+1,0,INDEX(tblBuyerOutputs[Cumul Appr],ROW()-ROW(tblBuyerOutputs[#Headers])-1)))*$O$2/12)</f>
        <v>952.59521258592213</v>
      </c>
      <c r="AE111" s="588">
        <f>IF(INDEX(tblContractForDeed[End Bal],ROW()-ROW(tblBuyerOutputs[#Headers]))&lt;=0,0,IF(ROW()=ROW(tblBuyerOutputs[#Headers])+1,0,INDEX(tblBuyerOutputs[Cumul Appr],ROW()-ROW(tblBuyerOutputs[#Headers])-1))+tblBuyerOutputs[[#This Row],[Monthly Appr]])</f>
        <v>72975.446233207243</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66516.799999999974</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2" s="265">
        <f>IF(tblContractForDeed[[#This Row],[Payment]]=0,0,MAX(0,MIN(tblContractForDeed[[#This Row],[Beg]],tblContractForDeed[[#This Row],[Payment]]-tblContractForDeed[[#This Row],[Int]])))</f>
        <v>1456.54</v>
      </c>
      <c r="S112" s="265">
        <f>IF(OR(tblContractForDeed[[#This Row],[Date]]&lt;cfdContractDate,tblContractForDeed[[#This Row],[Date]]&gt;cfdEndDate),0,ROUND(tblContractForDeed[[#This Row],[Beg]]*(tblContractForDeed[[#This Row],[Int Rate]]/12),2))</f>
        <v>443.45</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2222.71</v>
      </c>
      <c r="W112" s="265">
        <f>SUM(INDEX(tblContractForDeed[Princ],1):INDEX(tblContractForDeed[Princ],ROW()-ROW(tblContractForDeed[#Headers])))</f>
        <v>91539.739999999991</v>
      </c>
      <c r="X112" s="265">
        <f>IF(tblContractForDeed[[#This Row],[Beg]]&lt;=0,0,tblContractForDeed[[#This Row],[Beg]]-tblContractForDeed[[#This Row],[Princ]])</f>
        <v>65060.259999999973</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1453.8</v>
      </c>
      <c r="AA112"/>
      <c r="AB112" s="14">
        <f>IF(INDEX(tblContractForDeed[Payment],ROW()-ROW(tblBuyerOutputs[#Headers]))=0,0,INDEX(tblContractForDeed[Payment],ROW()-ROW(tblBuyerOutputs[#Headers]))-INDEX(tblSubjectToLoan[Payment],ROW()-ROW(tblBuyerOutputs[#Headers])))-IFERROR(tblBuyerOutputs[[#This Row],[PMI]],0)</f>
        <v>1453.8</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117277.24000000015</v>
      </c>
      <c r="AD112" s="265">
        <f>IF(INDEX(tblContractForDeed[End Bal],ROW()-ROW(tblBuyerOutputs[#Headers]))&lt;=0,0,($O$6+IF(ROW()=ROW(tblBuyerOutputs[#Headers])+1,0,INDEX(tblBuyerOutputs[Cumul Appr],ROW()-ROW(tblBuyerOutputs[#Headers])-1)))*$O$2/12)</f>
        <v>956.56435930503028</v>
      </c>
      <c r="AE112" s="588">
        <f>IF(INDEX(tblContractForDeed[End Bal],ROW()-ROW(tblBuyerOutputs[#Headers]))&lt;=0,0,IF(ROW()=ROW(tblBuyerOutputs[#Headers])+1,0,INDEX(tblBuyerOutputs[Cumul Appr],ROW()-ROW(tblBuyerOutputs[#Headers])-1))+tblBuyerOutputs[[#This Row],[Monthly Appr]])</f>
        <v>73932.010592512277</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65060.259999999973</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3" s="265">
        <f>IF(tblContractForDeed[[#This Row],[Payment]]=0,0,MAX(0,MIN(tblContractForDeed[[#This Row],[Beg]],tblContractForDeed[[#This Row],[Payment]]-tblContractForDeed[[#This Row],[Int]])))</f>
        <v>1466.25</v>
      </c>
      <c r="S113" s="265">
        <f>IF(OR(tblContractForDeed[[#This Row],[Date]]&lt;cfdContractDate,tblContractForDeed[[#This Row],[Date]]&gt;cfdEndDate),0,ROUND(tblContractForDeed[[#This Row],[Beg]]*(tblContractForDeed[[#This Row],[Int Rate]]/12),2))</f>
        <v>433.74</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2222.71</v>
      </c>
      <c r="W113" s="265">
        <f>SUM(INDEX(tblContractForDeed[Princ],1):INDEX(tblContractForDeed[Princ],ROW()-ROW(tblContractForDeed[#Headers])))</f>
        <v>93005.989999999991</v>
      </c>
      <c r="X113" s="265">
        <f>IF(tblContractForDeed[[#This Row],[Beg]]&lt;=0,0,tblContractForDeed[[#This Row],[Beg]]-tblContractForDeed[[#This Row],[Princ]])</f>
        <v>63594.009999999973</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1453.8</v>
      </c>
      <c r="AA113"/>
      <c r="AB113" s="14">
        <f>IF(INDEX(tblContractForDeed[Payment],ROW()-ROW(tblBuyerOutputs[#Headers]))=0,0,INDEX(tblContractForDeed[Payment],ROW()-ROW(tblBuyerOutputs[#Headers]))-INDEX(tblSubjectToLoan[Payment],ROW()-ROW(tblBuyerOutputs[#Headers])))-IFERROR(tblBuyerOutputs[[#This Row],[PMI]],0)</f>
        <v>1453.8</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118731.04000000015</v>
      </c>
      <c r="AD113" s="265">
        <f>IF(INDEX(tblContractForDeed[End Bal],ROW()-ROW(tblBuyerOutputs[#Headers]))&lt;=0,0,($O$6+IF(ROW()=ROW(tblBuyerOutputs[#Headers])+1,0,INDEX(tblBuyerOutputs[Cumul Appr],ROW()-ROW(tblBuyerOutputs[#Headers])-1)))*$O$2/12)</f>
        <v>960.55004413546783</v>
      </c>
      <c r="AE113" s="588">
        <f>IF(INDEX(tblContractForDeed[End Bal],ROW()-ROW(tblBuyerOutputs[#Headers]))&lt;=0,0,IF(ROW()=ROW(tblBuyerOutputs[#Headers])+1,0,INDEX(tblBuyerOutputs[Cumul Appr],ROW()-ROW(tblBuyerOutputs[#Headers])-1))+tblBuyerOutputs[[#This Row],[Monthly Appr]])</f>
        <v>74892.560636647744</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63594.009999999973</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4" s="265">
        <f>IF(tblContractForDeed[[#This Row],[Payment]]=0,0,MAX(0,MIN(tblContractForDeed[[#This Row],[Beg]],tblContractForDeed[[#This Row],[Payment]]-tblContractForDeed[[#This Row],[Int]])))</f>
        <v>1476.03</v>
      </c>
      <c r="S114" s="265">
        <f>IF(OR(tblContractForDeed[[#This Row],[Date]]&lt;cfdContractDate,tblContractForDeed[[#This Row],[Date]]&gt;cfdEndDate),0,ROUND(tblContractForDeed[[#This Row],[Beg]]*(tblContractForDeed[[#This Row],[Int Rate]]/12),2))</f>
        <v>423.96</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2222.71</v>
      </c>
      <c r="W114" s="265">
        <f>SUM(INDEX(tblContractForDeed[Princ],1):INDEX(tblContractForDeed[Princ],ROW()-ROW(tblContractForDeed[#Headers])))</f>
        <v>94482.01999999999</v>
      </c>
      <c r="X114" s="265">
        <f>IF(tblContractForDeed[[#This Row],[Beg]]&lt;=0,0,tblContractForDeed[[#This Row],[Beg]]-tblContractForDeed[[#This Row],[Princ]])</f>
        <v>62117.979999999974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1453.8</v>
      </c>
      <c r="AA114"/>
      <c r="AB114" s="14">
        <f>IF(INDEX(tblContractForDeed[Payment],ROW()-ROW(tblBuyerOutputs[#Headers]))=0,0,INDEX(tblContractForDeed[Payment],ROW()-ROW(tblBuyerOutputs[#Headers]))-INDEX(tblSubjectToLoan[Payment],ROW()-ROW(tblBuyerOutputs[#Headers])))-IFERROR(tblBuyerOutputs[[#This Row],[PMI]],0)</f>
        <v>1453.8</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120184.84000000016</v>
      </c>
      <c r="AD114" s="265">
        <f>IF(INDEX(tblContractForDeed[End Bal],ROW()-ROW(tblBuyerOutputs[#Headers]))&lt;=0,0,($O$6+IF(ROW()=ROW(tblBuyerOutputs[#Headers])+1,0,INDEX(tblBuyerOutputs[Cumul Appr],ROW()-ROW(tblBuyerOutputs[#Headers])-1)))*$O$2/12)</f>
        <v>964.55233598603229</v>
      </c>
      <c r="AE114" s="588">
        <f>IF(INDEX(tblContractForDeed[End Bal],ROW()-ROW(tblBuyerOutputs[#Headers]))&lt;=0,0,IF(ROW()=ROW(tblBuyerOutputs[#Headers])+1,0,INDEX(tblBuyerOutputs[Cumul Appr],ROW()-ROW(tblBuyerOutputs[#Headers])-1))+tblBuyerOutputs[[#This Row],[Monthly Appr]])</f>
        <v>75857.112972633782</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62117.979999999974</v>
      </c>
      <c r="P115" s="586">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5" s="316">
        <f>IF(tblContractForDeed[[#This Row],[Payment]]=0,0,MAX(0,MIN(tblContractForDeed[[#This Row],[Beg]],tblContractForDeed[[#This Row],[Payment]]-tblContractForDeed[[#This Row],[Int]])))</f>
        <v>1485.87</v>
      </c>
      <c r="S115" s="316">
        <f>IF(OR(tblContractForDeed[[#This Row],[Date]]&lt;cfdContractDate,tblContractForDeed[[#This Row],[Date]]&gt;cfdEndDate),0,ROUND(tblContractForDeed[[#This Row],[Beg]]*(tblContractForDeed[[#This Row],[Int Rate]]/12),2))</f>
        <v>414.12</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2222.71</v>
      </c>
      <c r="W115" s="316">
        <f>SUM(INDEX(tblContractForDeed[Princ],1):INDEX(tblContractForDeed[Princ],ROW()-ROW(tblContractForDeed[#Headers])))</f>
        <v>95967.889999999985</v>
      </c>
      <c r="X115" s="316">
        <f>IF(tblContractForDeed[[#This Row],[Beg]]&lt;=0,0,tblContractForDeed[[#This Row],[Beg]]-tblContractForDeed[[#This Row],[Princ]])</f>
        <v>60632.109999999971</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1453.8</v>
      </c>
      <c r="AA115" s="23"/>
      <c r="AB115" s="21">
        <f>IF(INDEX(tblContractForDeed[Payment],ROW()-ROW(tblBuyerOutputs[#Headers]))=0,0,INDEX(tblContractForDeed[Payment],ROW()-ROW(tblBuyerOutputs[#Headers]))-INDEX(tblSubjectToLoan[Payment],ROW()-ROW(tblBuyerOutputs[#Headers])))-IFERROR(tblBuyerOutputs[[#This Row],[PMI]],0)</f>
        <v>1453.8</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121638.64000000016</v>
      </c>
      <c r="AD115" s="316">
        <f>IF(INDEX(tblContractForDeed[End Bal],ROW()-ROW(tblBuyerOutputs[#Headers]))&lt;=0,0,($O$6+IF(ROW()=ROW(tblBuyerOutputs[#Headers])+1,0,INDEX(tblBuyerOutputs[Cumul Appr],ROW()-ROW(tblBuyerOutputs[#Headers])-1)))*$O$2/12)</f>
        <v>968.57130405264081</v>
      </c>
      <c r="AE115" s="589">
        <f>IF(INDEX(tblContractForDeed[End Bal],ROW()-ROW(tblBuyerOutputs[#Headers]))&lt;=0,0,IF(ROW()=ROW(tblBuyerOutputs[#Headers])+1,0,INDEX(tblBuyerOutputs[Cumul Appr],ROW()-ROW(tblBuyerOutputs[#Headers])-1))+tblBuyerOutputs[[#This Row],[Monthly Appr]])</f>
        <v>76825.684276686428</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60632.109999999971</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6" s="265">
        <f>IF(tblContractForDeed[[#This Row],[Payment]]=0,0,MAX(0,MIN(tblContractForDeed[[#This Row],[Beg]],tblContractForDeed[[#This Row],[Payment]]-tblContractForDeed[[#This Row],[Int]])))</f>
        <v>1495.78</v>
      </c>
      <c r="S116" s="265">
        <f>IF(OR(tblContractForDeed[[#This Row],[Date]]&lt;cfdContractDate,tblContractForDeed[[#This Row],[Date]]&gt;cfdEndDate),0,ROUND(tblContractForDeed[[#This Row],[Beg]]*(tblContractForDeed[[#This Row],[Int Rate]]/12),2))</f>
        <v>404.21</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2222.71</v>
      </c>
      <c r="W116" s="265">
        <f>SUM(INDEX(tblContractForDeed[Princ],1):INDEX(tblContractForDeed[Princ],ROW()-ROW(tblContractForDeed[#Headers])))</f>
        <v>97463.669999999984</v>
      </c>
      <c r="X116" s="265">
        <f>IF(tblContractForDeed[[#This Row],[Beg]]&lt;=0,0,tblContractForDeed[[#This Row],[Beg]]-tblContractForDeed[[#This Row],[Princ]])</f>
        <v>59136.329999999973</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1453.8</v>
      </c>
      <c r="AA116"/>
      <c r="AB116" s="14">
        <f>IF(INDEX(tblContractForDeed[Payment],ROW()-ROW(tblBuyerOutputs[#Headers]))=0,0,INDEX(tblContractForDeed[Payment],ROW()-ROW(tblBuyerOutputs[#Headers]))-INDEX(tblSubjectToLoan[Payment],ROW()-ROW(tblBuyerOutputs[#Headers])))-IFERROR(tblBuyerOutputs[[#This Row],[PMI]],0)</f>
        <v>1453.8</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123092.44000000016</v>
      </c>
      <c r="AD116" s="265">
        <f>IF(INDEX(tblContractForDeed[End Bal],ROW()-ROW(tblBuyerOutputs[#Headers]))&lt;=0,0,($O$6+IF(ROW()=ROW(tblBuyerOutputs[#Headers])+1,0,INDEX(tblBuyerOutputs[Cumul Appr],ROW()-ROW(tblBuyerOutputs[#Headers])-1)))*$O$2/12)</f>
        <v>972.60701781952685</v>
      </c>
      <c r="AE116" s="588">
        <f>IF(INDEX(tblContractForDeed[End Bal],ROW()-ROW(tblBuyerOutputs[#Headers]))&lt;=0,0,IF(ROW()=ROW(tblBuyerOutputs[#Headers])+1,0,INDEX(tblBuyerOutputs[Cumul Appr],ROW()-ROW(tblBuyerOutputs[#Headers])-1))+tblBuyerOutputs[[#This Row],[Monthly Appr]])</f>
        <v>77798.291294505951</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59136.329999999973</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7" s="265">
        <f>IF(tblContractForDeed[[#This Row],[Payment]]=0,0,MAX(0,MIN(tblContractForDeed[[#This Row],[Beg]],tblContractForDeed[[#This Row],[Payment]]-tblContractForDeed[[#This Row],[Int]])))</f>
        <v>1505.75</v>
      </c>
      <c r="S117" s="265">
        <f>IF(OR(tblContractForDeed[[#This Row],[Date]]&lt;cfdContractDate,tblContractForDeed[[#This Row],[Date]]&gt;cfdEndDate),0,ROUND(tblContractForDeed[[#This Row],[Beg]]*(tblContractForDeed[[#This Row],[Int Rate]]/12),2))</f>
        <v>394.24</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2222.71</v>
      </c>
      <c r="W117" s="265">
        <f>SUM(INDEX(tblContractForDeed[Princ],1):INDEX(tblContractForDeed[Princ],ROW()-ROW(tblContractForDeed[#Headers])))</f>
        <v>98969.419999999984</v>
      </c>
      <c r="X117" s="265">
        <f>IF(tblContractForDeed[[#This Row],[Beg]]&lt;=0,0,tblContractForDeed[[#This Row],[Beg]]-tblContractForDeed[[#This Row],[Princ]])</f>
        <v>57630.579999999973</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1453.8</v>
      </c>
      <c r="AA117"/>
      <c r="AB117" s="14">
        <f>IF(INDEX(tblContractForDeed[Payment],ROW()-ROW(tblBuyerOutputs[#Headers]))=0,0,INDEX(tblContractForDeed[Payment],ROW()-ROW(tblBuyerOutputs[#Headers]))-INDEX(tblSubjectToLoan[Payment],ROW()-ROW(tblBuyerOutputs[#Headers])))-IFERROR(tblBuyerOutputs[[#This Row],[PMI]],0)</f>
        <v>1453.8</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124546.24000000017</v>
      </c>
      <c r="AD117" s="265">
        <f>IF(INDEX(tblContractForDeed[End Bal],ROW()-ROW(tblBuyerOutputs[#Headers]))&lt;=0,0,($O$6+IF(ROW()=ROW(tblBuyerOutputs[#Headers])+1,0,INDEX(tblBuyerOutputs[Cumul Appr],ROW()-ROW(tblBuyerOutputs[#Headers])-1)))*$O$2/12)</f>
        <v>976.65954706044147</v>
      </c>
      <c r="AE117" s="588">
        <f>IF(INDEX(tblContractForDeed[End Bal],ROW()-ROW(tblBuyerOutputs[#Headers]))&lt;=0,0,IF(ROW()=ROW(tblBuyerOutputs[#Headers])+1,0,INDEX(tblBuyerOutputs[Cumul Appr],ROW()-ROW(tblBuyerOutputs[#Headers])-1))+tblBuyerOutputs[[#This Row],[Monthly Appr]])</f>
        <v>78774.950841566388</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57630.579999999973</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8" s="265">
        <f>IF(tblContractForDeed[[#This Row],[Payment]]=0,0,MAX(0,MIN(tblContractForDeed[[#This Row],[Beg]],tblContractForDeed[[#This Row],[Payment]]-tblContractForDeed[[#This Row],[Int]])))</f>
        <v>1515.79</v>
      </c>
      <c r="S118" s="265">
        <f>IF(OR(tblContractForDeed[[#This Row],[Date]]&lt;cfdContractDate,tblContractForDeed[[#This Row],[Date]]&gt;cfdEndDate),0,ROUND(tblContractForDeed[[#This Row],[Beg]]*(tblContractForDeed[[#This Row],[Int Rate]]/12),2))</f>
        <v>384.2</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2222.71</v>
      </c>
      <c r="W118" s="265">
        <f>SUM(INDEX(tblContractForDeed[Princ],1):INDEX(tblContractForDeed[Princ],ROW()-ROW(tblContractForDeed[#Headers])))</f>
        <v>100485.20999999998</v>
      </c>
      <c r="X118" s="265">
        <f>IF(tblContractForDeed[[#This Row],[Beg]]&lt;=0,0,tblContractForDeed[[#This Row],[Beg]]-tblContractForDeed[[#This Row],[Princ]])</f>
        <v>56114.789999999972</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1453.8</v>
      </c>
      <c r="AA118"/>
      <c r="AB118" s="14">
        <f>IF(INDEX(tblContractForDeed[Payment],ROW()-ROW(tblBuyerOutputs[#Headers]))=0,0,INDEX(tblContractForDeed[Payment],ROW()-ROW(tblBuyerOutputs[#Headers]))-INDEX(tblSubjectToLoan[Payment],ROW()-ROW(tblBuyerOutputs[#Headers])))-IFERROR(tblBuyerOutputs[[#This Row],[PMI]],0)</f>
        <v>1453.8</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126000.04000000017</v>
      </c>
      <c r="AD118" s="265">
        <f>IF(INDEX(tblContractForDeed[End Bal],ROW()-ROW(tblBuyerOutputs[#Headers]))&lt;=0,0,($O$6+IF(ROW()=ROW(tblBuyerOutputs[#Headers])+1,0,INDEX(tblBuyerOutputs[Cumul Appr],ROW()-ROW(tblBuyerOutputs[#Headers])-1)))*$O$2/12)</f>
        <v>980.72896183985995</v>
      </c>
      <c r="AE118" s="588">
        <f>IF(INDEX(tblContractForDeed[End Bal],ROW()-ROW(tblBuyerOutputs[#Headers]))&lt;=0,0,IF(ROW()=ROW(tblBuyerOutputs[#Headers])+1,0,INDEX(tblBuyerOutputs[Cumul Appr],ROW()-ROW(tblBuyerOutputs[#Headers])-1))+tblBuyerOutputs[[#This Row],[Monthly Appr]])</f>
        <v>79755.679803406252</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56114.789999999972</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9" s="265">
        <f>IF(tblContractForDeed[[#This Row],[Payment]]=0,0,MAX(0,MIN(tblContractForDeed[[#This Row],[Beg]],tblContractForDeed[[#This Row],[Payment]]-tblContractForDeed[[#This Row],[Int]])))</f>
        <v>1525.8899999999999</v>
      </c>
      <c r="S119" s="265">
        <f>IF(OR(tblContractForDeed[[#This Row],[Date]]&lt;cfdContractDate,tblContractForDeed[[#This Row],[Date]]&gt;cfdEndDate),0,ROUND(tblContractForDeed[[#This Row],[Beg]]*(tblContractForDeed[[#This Row],[Int Rate]]/12),2))</f>
        <v>374.1</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2222.71</v>
      </c>
      <c r="W119" s="265">
        <f>SUM(INDEX(tblContractForDeed[Princ],1):INDEX(tblContractForDeed[Princ],ROW()-ROW(tblContractForDeed[#Headers])))</f>
        <v>102011.09999999998</v>
      </c>
      <c r="X119" s="265">
        <f>IF(tblContractForDeed[[#This Row],[Beg]]&lt;=0,0,tblContractForDeed[[#This Row],[Beg]]-tblContractForDeed[[#This Row],[Princ]])</f>
        <v>54588.899999999972</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1453.8</v>
      </c>
      <c r="AA119"/>
      <c r="AB119" s="14">
        <f>IF(INDEX(tblContractForDeed[Payment],ROW()-ROW(tblBuyerOutputs[#Headers]))=0,0,INDEX(tblContractForDeed[Payment],ROW()-ROW(tblBuyerOutputs[#Headers]))-INDEX(tblSubjectToLoan[Payment],ROW()-ROW(tblBuyerOutputs[#Headers])))-IFERROR(tblBuyerOutputs[[#This Row],[PMI]],0)</f>
        <v>1453.8</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127453.84000000017</v>
      </c>
      <c r="AD119" s="265">
        <f>IF(INDEX(tblContractForDeed[End Bal],ROW()-ROW(tblBuyerOutputs[#Headers]))&lt;=0,0,($O$6+IF(ROW()=ROW(tblBuyerOutputs[#Headers])+1,0,INDEX(tblBuyerOutputs[Cumul Appr],ROW()-ROW(tblBuyerOutputs[#Headers])-1)))*$O$2/12)</f>
        <v>984.81533251419262</v>
      </c>
      <c r="AE119" s="588">
        <f>IF(INDEX(tblContractForDeed[End Bal],ROW()-ROW(tblBuyerOutputs[#Headers]))&lt;=0,0,IF(ROW()=ROW(tblBuyerOutputs[#Headers])+1,0,INDEX(tblBuyerOutputs[Cumul Appr],ROW()-ROW(tblBuyerOutputs[#Headers])-1))+tblBuyerOutputs[[#This Row],[Monthly Appr]])</f>
        <v>80740.495135920442</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54588.899999999972</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0" s="265">
        <f>IF(tblContractForDeed[[#This Row],[Payment]]=0,0,MAX(0,MIN(tblContractForDeed[[#This Row],[Beg]],tblContractForDeed[[#This Row],[Payment]]-tblContractForDeed[[#This Row],[Int]])))</f>
        <v>1536.06</v>
      </c>
      <c r="S120" s="265">
        <f>IF(OR(tblContractForDeed[[#This Row],[Date]]&lt;cfdContractDate,tblContractForDeed[[#This Row],[Date]]&gt;cfdEndDate),0,ROUND(tblContractForDeed[[#This Row],[Beg]]*(tblContractForDeed[[#This Row],[Int Rate]]/12),2))</f>
        <v>363.93</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2222.71</v>
      </c>
      <c r="W120" s="265">
        <f>SUM(INDEX(tblContractForDeed[Princ],1):INDEX(tblContractForDeed[Princ],ROW()-ROW(tblContractForDeed[#Headers])))</f>
        <v>103547.15999999997</v>
      </c>
      <c r="X120" s="265">
        <f>IF(tblContractForDeed[[#This Row],[Beg]]&lt;=0,0,tblContractForDeed[[#This Row],[Beg]]-tblContractForDeed[[#This Row],[Princ]])</f>
        <v>53052.839999999975</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1453.8</v>
      </c>
      <c r="AA120"/>
      <c r="AB120" s="14">
        <f>IF(INDEX(tblContractForDeed[Payment],ROW()-ROW(tblBuyerOutputs[#Headers]))=0,0,INDEX(tblContractForDeed[Payment],ROW()-ROW(tblBuyerOutputs[#Headers]))-INDEX(tblSubjectToLoan[Payment],ROW()-ROW(tblBuyerOutputs[#Headers])))-IFERROR(tblBuyerOutputs[[#This Row],[PMI]],0)</f>
        <v>1453.8</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128907.64000000017</v>
      </c>
      <c r="AD120" s="265">
        <f>IF(INDEX(tblContractForDeed[End Bal],ROW()-ROW(tblBuyerOutputs[#Headers]))&lt;=0,0,($O$6+IF(ROW()=ROW(tblBuyerOutputs[#Headers])+1,0,INDEX(tblBuyerOutputs[Cumul Appr],ROW()-ROW(tblBuyerOutputs[#Headers])-1)))*$O$2/12)</f>
        <v>988.9187297330019</v>
      </c>
      <c r="AE120" s="588">
        <f>IF(INDEX(tblContractForDeed[End Bal],ROW()-ROW(tblBuyerOutputs[#Headers]))&lt;=0,0,IF(ROW()=ROW(tblBuyerOutputs[#Headers])+1,0,INDEX(tblBuyerOutputs[Cumul Appr],ROW()-ROW(tblBuyerOutputs[#Headers])-1))+tblBuyerOutputs[[#This Row],[Monthly Appr]])</f>
        <v>81729.413865653449</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53052.839999999975</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1" s="265">
        <f>IF(tblContractForDeed[[#This Row],[Payment]]=0,0,MAX(0,MIN(tblContractForDeed[[#This Row],[Beg]],tblContractForDeed[[#This Row],[Payment]]-tblContractForDeed[[#This Row],[Int]])))</f>
        <v>1546.3</v>
      </c>
      <c r="S121" s="265">
        <f>IF(OR(tblContractForDeed[[#This Row],[Date]]&lt;cfdContractDate,tblContractForDeed[[#This Row],[Date]]&gt;cfdEndDate),0,ROUND(tblContractForDeed[[#This Row],[Beg]]*(tblContractForDeed[[#This Row],[Int Rate]]/12),2))</f>
        <v>353.69</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2222.71</v>
      </c>
      <c r="W121" s="265">
        <f>SUM(INDEX(tblContractForDeed[Princ],1):INDEX(tblContractForDeed[Princ],ROW()-ROW(tblContractForDeed[#Headers])))</f>
        <v>105093.45999999998</v>
      </c>
      <c r="X121" s="265">
        <f>IF(tblContractForDeed[[#This Row],[Beg]]&lt;=0,0,tblContractForDeed[[#This Row],[Beg]]-tblContractForDeed[[#This Row],[Princ]])</f>
        <v>51506.539999999972</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1453.8</v>
      </c>
      <c r="AA121"/>
      <c r="AB121" s="14">
        <f>IF(INDEX(tblContractForDeed[Payment],ROW()-ROW(tblBuyerOutputs[#Headers]))=0,0,INDEX(tblContractForDeed[Payment],ROW()-ROW(tblBuyerOutputs[#Headers]))-INDEX(tblSubjectToLoan[Payment],ROW()-ROW(tblBuyerOutputs[#Headers])))-IFERROR(tblBuyerOutputs[[#This Row],[PMI]],0)</f>
        <v>1453.8</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130361.44000000018</v>
      </c>
      <c r="AD121" s="265">
        <f>IF(INDEX(tblContractForDeed[End Bal],ROW()-ROW(tblBuyerOutputs[#Headers]))&lt;=0,0,($O$6+IF(ROW()=ROW(tblBuyerOutputs[#Headers])+1,0,INDEX(tblBuyerOutputs[Cumul Appr],ROW()-ROW(tblBuyerOutputs[#Headers])-1)))*$O$2/12)</f>
        <v>993.03922444022282</v>
      </c>
      <c r="AE121" s="588">
        <f>IF(INDEX(tblContractForDeed[End Bal],ROW()-ROW(tblBuyerOutputs[#Headers]))&lt;=0,0,IF(ROW()=ROW(tblBuyerOutputs[#Headers])+1,0,INDEX(tblBuyerOutputs[Cumul Appr],ROW()-ROW(tblBuyerOutputs[#Headers])-1))+tblBuyerOutputs[[#This Row],[Monthly Appr]])</f>
        <v>82722.453090093666</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51506.539999999972</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2" s="265">
        <f>IF(tblContractForDeed[[#This Row],[Payment]]=0,0,MAX(0,MIN(tblContractForDeed[[#This Row],[Beg]],tblContractForDeed[[#This Row],[Payment]]-tblContractForDeed[[#This Row],[Int]])))</f>
        <v>1556.6100000000001</v>
      </c>
      <c r="S122" s="265">
        <f>IF(OR(tblContractForDeed[[#This Row],[Date]]&lt;cfdContractDate,tblContractForDeed[[#This Row],[Date]]&gt;cfdEndDate),0,ROUND(tblContractForDeed[[#This Row],[Beg]]*(tblContractForDeed[[#This Row],[Int Rate]]/12),2))</f>
        <v>343.38</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2222.7100000000005</v>
      </c>
      <c r="W122" s="265">
        <f>SUM(INDEX(tblContractForDeed[Princ],1):INDEX(tblContractForDeed[Princ],ROW()-ROW(tblContractForDeed[#Headers])))</f>
        <v>106650.06999999998</v>
      </c>
      <c r="X122" s="265">
        <f>IF(tblContractForDeed[[#This Row],[Beg]]&lt;=0,0,tblContractForDeed[[#This Row],[Beg]]-tblContractForDeed[[#This Row],[Princ]])</f>
        <v>49949.929999999971</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1453.8</v>
      </c>
      <c r="AA122"/>
      <c r="AB122" s="14">
        <f>IF(INDEX(tblContractForDeed[Payment],ROW()-ROW(tblBuyerOutputs[#Headers]))=0,0,INDEX(tblContractForDeed[Payment],ROW()-ROW(tblBuyerOutputs[#Headers]))-INDEX(tblSubjectToLoan[Payment],ROW()-ROW(tblBuyerOutputs[#Headers])))-IFERROR(tblBuyerOutputs[[#This Row],[PMI]],0)</f>
        <v>1453.8</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131815.24000000017</v>
      </c>
      <c r="AD122" s="265">
        <f>IF(INDEX(tblContractForDeed[End Bal],ROW()-ROW(tblBuyerOutputs[#Headers]))&lt;=0,0,($O$6+IF(ROW()=ROW(tblBuyerOutputs[#Headers])+1,0,INDEX(tblBuyerOutputs[Cumul Appr],ROW()-ROW(tblBuyerOutputs[#Headers])-1)))*$O$2/12)</f>
        <v>997.17688787539043</v>
      </c>
      <c r="AE122" s="588">
        <f>IF(INDEX(tblContractForDeed[End Bal],ROW()-ROW(tblBuyerOutputs[#Headers]))&lt;=0,0,IF(ROW()=ROW(tblBuyerOutputs[#Headers])+1,0,INDEX(tblBuyerOutputs[Cumul Appr],ROW()-ROW(tblBuyerOutputs[#Headers])-1))+tblBuyerOutputs[[#This Row],[Monthly Appr]])</f>
        <v>83719.62997796906</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49949.929999999971</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3" s="265">
        <f>IF(tblContractForDeed[[#This Row],[Payment]]=0,0,MAX(0,MIN(tblContractForDeed[[#This Row],[Beg]],tblContractForDeed[[#This Row],[Payment]]-tblContractForDeed[[#This Row],[Int]])))</f>
        <v>1566.99</v>
      </c>
      <c r="S123" s="265">
        <f>IF(OR(tblContractForDeed[[#This Row],[Date]]&lt;cfdContractDate,tblContractForDeed[[#This Row],[Date]]&gt;cfdEndDate),0,ROUND(tblContractForDeed[[#This Row],[Beg]]*(tblContractForDeed[[#This Row],[Int Rate]]/12),2))</f>
        <v>333</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2222.71</v>
      </c>
      <c r="W123" s="265">
        <f>SUM(INDEX(tblContractForDeed[Princ],1):INDEX(tblContractForDeed[Princ],ROW()-ROW(tblContractForDeed[#Headers])))</f>
        <v>108217.05999999998</v>
      </c>
      <c r="X123" s="265">
        <f>IF(tblContractForDeed[[#This Row],[Beg]]&lt;=0,0,tblContractForDeed[[#This Row],[Beg]]-tblContractForDeed[[#This Row],[Princ]])</f>
        <v>48382.939999999973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1453.8</v>
      </c>
      <c r="AA123"/>
      <c r="AB123" s="14">
        <f>IF(INDEX(tblContractForDeed[Payment],ROW()-ROW(tblBuyerOutputs[#Headers]))=0,0,INDEX(tblContractForDeed[Payment],ROW()-ROW(tblBuyerOutputs[#Headers]))-INDEX(tblSubjectToLoan[Payment],ROW()-ROW(tblBuyerOutputs[#Headers])))-IFERROR(tblBuyerOutputs[[#This Row],[PMI]],0)</f>
        <v>1453.8</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133269.04000000015</v>
      </c>
      <c r="AD123" s="265">
        <f>IF(INDEX(tblContractForDeed[End Bal],ROW()-ROW(tblBuyerOutputs[#Headers]))&lt;=0,0,($O$6+IF(ROW()=ROW(tblBuyerOutputs[#Headers])+1,0,INDEX(tblBuyerOutputs[Cumul Appr],ROW()-ROW(tblBuyerOutputs[#Headers])-1)))*$O$2/12)</f>
        <v>1001.3317915748711</v>
      </c>
      <c r="AE123" s="588">
        <f>IF(INDEX(tblContractForDeed[End Bal],ROW()-ROW(tblBuyerOutputs[#Headers]))&lt;=0,0,IF(ROW()=ROW(tblBuyerOutputs[#Headers])+1,0,INDEX(tblBuyerOutputs[Cumul Appr],ROW()-ROW(tblBuyerOutputs[#Headers])-1))+tblBuyerOutputs[[#This Row],[Monthly Appr]])</f>
        <v>84720.961769543937</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48382.939999999973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4" s="265">
        <f>IF(tblContractForDeed[[#This Row],[Payment]]=0,0,MAX(0,MIN(tblContractForDeed[[#This Row],[Beg]],tblContractForDeed[[#This Row],[Payment]]-tblContractForDeed[[#This Row],[Int]])))</f>
        <v>1577.44</v>
      </c>
      <c r="S124" s="265">
        <f>IF(OR(tblContractForDeed[[#This Row],[Date]]&lt;cfdContractDate,tblContractForDeed[[#This Row],[Date]]&gt;cfdEndDate),0,ROUND(tblContractForDeed[[#This Row],[Beg]]*(tblContractForDeed[[#This Row],[Int Rate]]/12),2))</f>
        <v>322.55</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2222.71</v>
      </c>
      <c r="W124" s="265">
        <f>SUM(INDEX(tblContractForDeed[Princ],1):INDEX(tblContractForDeed[Princ],ROW()-ROW(tblContractForDeed[#Headers])))</f>
        <v>109794.49999999999</v>
      </c>
      <c r="X124" s="265">
        <f>IF(tblContractForDeed[[#This Row],[Beg]]&lt;=0,0,tblContractForDeed[[#This Row],[Beg]]-tblContractForDeed[[#This Row],[Princ]])</f>
        <v>46805.499999999971</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1453.8</v>
      </c>
      <c r="AA124"/>
      <c r="AB124" s="14">
        <f>IF(INDEX(tblContractForDeed[Payment],ROW()-ROW(tblBuyerOutputs[#Headers]))=0,0,INDEX(tblContractForDeed[Payment],ROW()-ROW(tblBuyerOutputs[#Headers]))-INDEX(tblSubjectToLoan[Payment],ROW()-ROW(tblBuyerOutputs[#Headers])))-IFERROR(tblBuyerOutputs[[#This Row],[PMI]],0)</f>
        <v>1453.8</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134722.84000000014</v>
      </c>
      <c r="AD124" s="265">
        <f>IF(INDEX(tblContractForDeed[End Bal],ROW()-ROW(tblBuyerOutputs[#Headers]))&lt;=0,0,($O$6+IF(ROW()=ROW(tblBuyerOutputs[#Headers])+1,0,INDEX(tblBuyerOutputs[Cumul Appr],ROW()-ROW(tblBuyerOutputs[#Headers])-1)))*$O$2/12)</f>
        <v>1005.5040073730997</v>
      </c>
      <c r="AE124" s="588">
        <f>IF(INDEX(tblContractForDeed[End Bal],ROW()-ROW(tblBuyerOutputs[#Headers]))&lt;=0,0,IF(ROW()=ROW(tblBuyerOutputs[#Headers])+1,0,INDEX(tblBuyerOutputs[Cumul Appr],ROW()-ROW(tblBuyerOutputs[#Headers])-1))+tblBuyerOutputs[[#This Row],[Monthly Appr]])</f>
        <v>85726.46577691703</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46805.499999999971</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5" s="265">
        <f>IF(tblContractForDeed[[#This Row],[Payment]]=0,0,MAX(0,MIN(tblContractForDeed[[#This Row],[Beg]],tblContractForDeed[[#This Row],[Payment]]-tblContractForDeed[[#This Row],[Int]])))</f>
        <v>1587.95</v>
      </c>
      <c r="S125" s="265">
        <f>IF(OR(tblContractForDeed[[#This Row],[Date]]&lt;cfdContractDate,tblContractForDeed[[#This Row],[Date]]&gt;cfdEndDate),0,ROUND(tblContractForDeed[[#This Row],[Beg]]*(tblContractForDeed[[#This Row],[Int Rate]]/12),2))</f>
        <v>312.04000000000002</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2222.71</v>
      </c>
      <c r="W125" s="265">
        <f>SUM(INDEX(tblContractForDeed[Princ],1):INDEX(tblContractForDeed[Princ],ROW()-ROW(tblContractForDeed[#Headers])))</f>
        <v>111382.44999999998</v>
      </c>
      <c r="X125" s="265">
        <f>IF(tblContractForDeed[[#This Row],[Beg]]&lt;=0,0,tblContractForDeed[[#This Row],[Beg]]-tblContractForDeed[[#This Row],[Princ]])</f>
        <v>45217.549999999974</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1453.8</v>
      </c>
      <c r="AA125"/>
      <c r="AB125" s="14">
        <f>IF(INDEX(tblContractForDeed[Payment],ROW()-ROW(tblBuyerOutputs[#Headers]))=0,0,INDEX(tblContractForDeed[Payment],ROW()-ROW(tblBuyerOutputs[#Headers]))-INDEX(tblSubjectToLoan[Payment],ROW()-ROW(tblBuyerOutputs[#Headers])))-IFERROR(tblBuyerOutputs[[#This Row],[PMI]],0)</f>
        <v>1453.8</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136176.64000000013</v>
      </c>
      <c r="AD125" s="265">
        <f>IF(INDEX(tblContractForDeed[End Bal],ROW()-ROW(tblBuyerOutputs[#Headers]))&lt;=0,0,($O$6+IF(ROW()=ROW(tblBuyerOutputs[#Headers])+1,0,INDEX(tblBuyerOutputs[Cumul Appr],ROW()-ROW(tblBuyerOutputs[#Headers])-1)))*$O$2/12)</f>
        <v>1009.6936074038209</v>
      </c>
      <c r="AE125" s="588">
        <f>IF(INDEX(tblContractForDeed[End Bal],ROW()-ROW(tblBuyerOutputs[#Headers]))&lt;=0,0,IF(ROW()=ROW(tblBuyerOutputs[#Headers])+1,0,INDEX(tblBuyerOutputs[Cumul Appr],ROW()-ROW(tblBuyerOutputs[#Headers])-1))+tblBuyerOutputs[[#This Row],[Monthly Appr]])</f>
        <v>86736.159384320854</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45217.549999999974</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6" s="265">
        <f>IF(tblContractForDeed[[#This Row],[Payment]]=0,0,MAX(0,MIN(tblContractForDeed[[#This Row],[Beg]],tblContractForDeed[[#This Row],[Payment]]-tblContractForDeed[[#This Row],[Int]])))</f>
        <v>1598.54</v>
      </c>
      <c r="S126" s="265">
        <f>IF(OR(tblContractForDeed[[#This Row],[Date]]&lt;cfdContractDate,tblContractForDeed[[#This Row],[Date]]&gt;cfdEndDate),0,ROUND(tblContractForDeed[[#This Row],[Beg]]*(tblContractForDeed[[#This Row],[Int Rate]]/12),2))</f>
        <v>301.45</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2222.71</v>
      </c>
      <c r="W126" s="265">
        <f>SUM(INDEX(tblContractForDeed[Princ],1):INDEX(tblContractForDeed[Princ],ROW()-ROW(tblContractForDeed[#Headers])))</f>
        <v>112980.98999999998</v>
      </c>
      <c r="X126" s="265">
        <f>IF(tblContractForDeed[[#This Row],[Beg]]&lt;=0,0,tblContractForDeed[[#This Row],[Beg]]-tblContractForDeed[[#This Row],[Princ]])</f>
        <v>43619.009999999973</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1453.8</v>
      </c>
      <c r="AA126"/>
      <c r="AB126" s="14">
        <f>IF(INDEX(tblContractForDeed[Payment],ROW()-ROW(tblBuyerOutputs[#Headers]))=0,0,INDEX(tblContractForDeed[Payment],ROW()-ROW(tblBuyerOutputs[#Headers]))-INDEX(tblSubjectToLoan[Payment],ROW()-ROW(tblBuyerOutputs[#Headers])))-IFERROR(tblBuyerOutputs[[#This Row],[PMI]],0)</f>
        <v>1453.8</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137630.44000000012</v>
      </c>
      <c r="AD126" s="265">
        <f>IF(INDEX(tblContractForDeed[End Bal],ROW()-ROW(tblBuyerOutputs[#Headers]))&lt;=0,0,($O$6+IF(ROW()=ROW(tblBuyerOutputs[#Headers])+1,0,INDEX(tblBuyerOutputs[Cumul Appr],ROW()-ROW(tblBuyerOutputs[#Headers])-1)))*$O$2/12)</f>
        <v>1013.9006641013369</v>
      </c>
      <c r="AE126" s="588">
        <f>IF(INDEX(tblContractForDeed[End Bal],ROW()-ROW(tblBuyerOutputs[#Headers]))&lt;=0,0,IF(ROW()=ROW(tblBuyerOutputs[#Headers])+1,0,INDEX(tblBuyerOutputs[Cumul Appr],ROW()-ROW(tblBuyerOutputs[#Headers])-1))+tblBuyerOutputs[[#This Row],[Monthly Appr]])</f>
        <v>87750.060048422194</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43619.009999999973</v>
      </c>
      <c r="P127" s="586">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7" s="316">
        <f>IF(tblContractForDeed[[#This Row],[Payment]]=0,0,MAX(0,MIN(tblContractForDeed[[#This Row],[Beg]],tblContractForDeed[[#This Row],[Payment]]-tblContractForDeed[[#This Row],[Int]])))</f>
        <v>1609.2</v>
      </c>
      <c r="S127" s="316">
        <f>IF(OR(tblContractForDeed[[#This Row],[Date]]&lt;cfdContractDate,tblContractForDeed[[#This Row],[Date]]&gt;cfdEndDate),0,ROUND(tblContractForDeed[[#This Row],[Beg]]*(tblContractForDeed[[#This Row],[Int Rate]]/12),2))</f>
        <v>290.79000000000002</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2222.71</v>
      </c>
      <c r="W127" s="316">
        <f>SUM(INDEX(tblContractForDeed[Princ],1):INDEX(tblContractForDeed[Princ],ROW()-ROW(tblContractForDeed[#Headers])))</f>
        <v>114590.18999999997</v>
      </c>
      <c r="X127" s="316">
        <f>IF(tblContractForDeed[[#This Row],[Beg]]&lt;=0,0,tblContractForDeed[[#This Row],[Beg]]-tblContractForDeed[[#This Row],[Princ]])</f>
        <v>42009.809999999976</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1453.8</v>
      </c>
      <c r="AA127" s="23"/>
      <c r="AB127" s="21">
        <f>IF(INDEX(tblContractForDeed[Payment],ROW()-ROW(tblBuyerOutputs[#Headers]))=0,0,INDEX(tblContractForDeed[Payment],ROW()-ROW(tblBuyerOutputs[#Headers]))-INDEX(tblSubjectToLoan[Payment],ROW()-ROW(tblBuyerOutputs[#Headers])))-IFERROR(tblBuyerOutputs[[#This Row],[PMI]],0)</f>
        <v>1453.8</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139084.24000000011</v>
      </c>
      <c r="AD127" s="316">
        <f>IF(INDEX(tblContractForDeed[End Bal],ROW()-ROW(tblBuyerOutputs[#Headers]))&lt;=0,0,($O$6+IF(ROW()=ROW(tblBuyerOutputs[#Headers])+1,0,INDEX(tblBuyerOutputs[Cumul Appr],ROW()-ROW(tblBuyerOutputs[#Headers])-1)))*$O$2/12)</f>
        <v>1018.1252502017592</v>
      </c>
      <c r="AE127" s="589">
        <f>IF(INDEX(tblContractForDeed[End Bal],ROW()-ROW(tblBuyerOutputs[#Headers]))&lt;=0,0,IF(ROW()=ROW(tblBuyerOutputs[#Headers])+1,0,INDEX(tblBuyerOutputs[Cumul Appr],ROW()-ROW(tblBuyerOutputs[#Headers])-1))+tblBuyerOutputs[[#This Row],[Monthly Appr]])</f>
        <v>88768.185298623954</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42009.809999999976</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8" s="265">
        <f>IF(tblContractForDeed[[#This Row],[Payment]]=0,0,MAX(0,MIN(tblContractForDeed[[#This Row],[Beg]],tblContractForDeed[[#This Row],[Payment]]-tblContractForDeed[[#This Row],[Int]])))</f>
        <v>1619.92</v>
      </c>
      <c r="S128" s="265">
        <f>IF(OR(tblContractForDeed[[#This Row],[Date]]&lt;cfdContractDate,tblContractForDeed[[#This Row],[Date]]&gt;cfdEndDate),0,ROUND(tblContractForDeed[[#This Row],[Beg]]*(tblContractForDeed[[#This Row],[Int Rate]]/12),2))</f>
        <v>280.07</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2222.71</v>
      </c>
      <c r="W128" s="265">
        <f>SUM(INDEX(tblContractForDeed[Princ],1):INDEX(tblContractForDeed[Princ],ROW()-ROW(tblContractForDeed[#Headers])))</f>
        <v>116210.10999999997</v>
      </c>
      <c r="X128" s="265">
        <f>IF(tblContractForDeed[[#This Row],[Beg]]&lt;=0,0,tblContractForDeed[[#This Row],[Beg]]-tblContractForDeed[[#This Row],[Princ]])</f>
        <v>40389.889999999978</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1453.8</v>
      </c>
      <c r="AA128"/>
      <c r="AB128" s="14">
        <f>IF(INDEX(tblContractForDeed[Payment],ROW()-ROW(tblBuyerOutputs[#Headers]))=0,0,INDEX(tblContractForDeed[Payment],ROW()-ROW(tblBuyerOutputs[#Headers]))-INDEX(tblSubjectToLoan[Payment],ROW()-ROW(tblBuyerOutputs[#Headers])))-IFERROR(tblBuyerOutputs[[#This Row],[PMI]],0)</f>
        <v>1453.8</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140538.0400000001</v>
      </c>
      <c r="AD128" s="265">
        <f>IF(INDEX(tblContractForDeed[End Bal],ROW()-ROW(tblBuyerOutputs[#Headers]))&lt;=0,0,($O$6+IF(ROW()=ROW(tblBuyerOutputs[#Headers])+1,0,INDEX(tblBuyerOutputs[Cumul Appr],ROW()-ROW(tblBuyerOutputs[#Headers])-1)))*$O$2/12)</f>
        <v>1022.3674387442666</v>
      </c>
      <c r="AE128" s="588">
        <f>IF(INDEX(tblContractForDeed[End Bal],ROW()-ROW(tblBuyerOutputs[#Headers]))&lt;=0,0,IF(ROW()=ROW(tblBuyerOutputs[#Headers])+1,0,INDEX(tblBuyerOutputs[Cumul Appr],ROW()-ROW(tblBuyerOutputs[#Headers])-1))+tblBuyerOutputs[[#This Row],[Monthly Appr]])</f>
        <v>89790.552737368227</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40389.889999999978</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9" s="265">
        <f>IF(tblContractForDeed[[#This Row],[Payment]]=0,0,MAX(0,MIN(tblContractForDeed[[#This Row],[Beg]],tblContractForDeed[[#This Row],[Payment]]-tblContractForDeed[[#This Row],[Int]])))</f>
        <v>1630.72</v>
      </c>
      <c r="S129" s="265">
        <f>IF(OR(tblContractForDeed[[#This Row],[Date]]&lt;cfdContractDate,tblContractForDeed[[#This Row],[Date]]&gt;cfdEndDate),0,ROUND(tblContractForDeed[[#This Row],[Beg]]*(tblContractForDeed[[#This Row],[Int Rate]]/12),2))</f>
        <v>269.27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2222.71</v>
      </c>
      <c r="W129" s="265">
        <f>SUM(INDEX(tblContractForDeed[Princ],1):INDEX(tblContractForDeed[Princ],ROW()-ROW(tblContractForDeed[#Headers])))</f>
        <v>117840.82999999997</v>
      </c>
      <c r="X129" s="265">
        <f>IF(tblContractForDeed[[#This Row],[Beg]]&lt;=0,0,tblContractForDeed[[#This Row],[Beg]]-tblContractForDeed[[#This Row],[Princ]])</f>
        <v>38759.169999999976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1453.8</v>
      </c>
      <c r="AA129"/>
      <c r="AB129" s="14">
        <f>IF(INDEX(tblContractForDeed[Payment],ROW()-ROW(tblBuyerOutputs[#Headers]))=0,0,INDEX(tblContractForDeed[Payment],ROW()-ROW(tblBuyerOutputs[#Headers]))-INDEX(tblSubjectToLoan[Payment],ROW()-ROW(tblBuyerOutputs[#Headers])))-IFERROR(tblBuyerOutputs[[#This Row],[PMI]],0)</f>
        <v>1453.8</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141991.84000000008</v>
      </c>
      <c r="AD129" s="265">
        <f>IF(INDEX(tblContractForDeed[End Bal],ROW()-ROW(tblBuyerOutputs[#Headers]))&lt;=0,0,($O$6+IF(ROW()=ROW(tblBuyerOutputs[#Headers])+1,0,INDEX(tblBuyerOutputs[Cumul Appr],ROW()-ROW(tblBuyerOutputs[#Headers])-1)))*$O$2/12)</f>
        <v>1026.6273030723676</v>
      </c>
      <c r="AE129" s="588">
        <f>IF(INDEX(tblContractForDeed[End Bal],ROW()-ROW(tblBuyerOutputs[#Headers]))&lt;=0,0,IF(ROW()=ROW(tblBuyerOutputs[#Headers])+1,0,INDEX(tblBuyerOutputs[Cumul Appr],ROW()-ROW(tblBuyerOutputs[#Headers])-1))+tblBuyerOutputs[[#This Row],[Monthly Appr]])</f>
        <v>90817.180040440595</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38759.169999999976</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0" s="265">
        <f>IF(tblContractForDeed[[#This Row],[Payment]]=0,0,MAX(0,MIN(tblContractForDeed[[#This Row],[Beg]],tblContractForDeed[[#This Row],[Payment]]-tblContractForDeed[[#This Row],[Int]])))</f>
        <v>1641.6</v>
      </c>
      <c r="S130" s="265">
        <f>IF(OR(tblContractForDeed[[#This Row],[Date]]&lt;cfdContractDate,tblContractForDeed[[#This Row],[Date]]&gt;cfdEndDate),0,ROUND(tblContractForDeed[[#This Row],[Beg]]*(tblContractForDeed[[#This Row],[Int Rate]]/12),2))</f>
        <v>258.39</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2222.71</v>
      </c>
      <c r="W130" s="265">
        <f>SUM(INDEX(tblContractForDeed[Princ],1):INDEX(tblContractForDeed[Princ],ROW()-ROW(tblContractForDeed[#Headers])))</f>
        <v>119482.42999999998</v>
      </c>
      <c r="X130" s="265">
        <f>IF(tblContractForDeed[[#This Row],[Beg]]&lt;=0,0,tblContractForDeed[[#This Row],[Beg]]-tblContractForDeed[[#This Row],[Princ]])</f>
        <v>37117.569999999978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1453.8</v>
      </c>
      <c r="AA130"/>
      <c r="AB130" s="14">
        <f>IF(INDEX(tblContractForDeed[Payment],ROW()-ROW(tblBuyerOutputs[#Headers]))=0,0,INDEX(tblContractForDeed[Payment],ROW()-ROW(tblBuyerOutputs[#Headers]))-INDEX(tblSubjectToLoan[Payment],ROW()-ROW(tblBuyerOutputs[#Headers])))-IFERROR(tblBuyerOutputs[[#This Row],[PMI]],0)</f>
        <v>1453.8</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143445.64000000007</v>
      </c>
      <c r="AD130" s="265">
        <f>IF(INDEX(tblContractForDeed[End Bal],ROW()-ROW(tblBuyerOutputs[#Headers]))&lt;=0,0,($O$6+IF(ROW()=ROW(tblBuyerOutputs[#Headers])+1,0,INDEX(tblBuyerOutputs[Cumul Appr],ROW()-ROW(tblBuyerOutputs[#Headers])-1)))*$O$2/12)</f>
        <v>1030.9049168351692</v>
      </c>
      <c r="AE130" s="588">
        <f>IF(INDEX(tblContractForDeed[End Bal],ROW()-ROW(tblBuyerOutputs[#Headers]))&lt;=0,0,IF(ROW()=ROW(tblBuyerOutputs[#Headers])+1,0,INDEX(tblBuyerOutputs[Cumul Appr],ROW()-ROW(tblBuyerOutputs[#Headers])-1))+tblBuyerOutputs[[#This Row],[Monthly Appr]])</f>
        <v>91848.084957275758</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37117.569999999978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1" s="265">
        <f>IF(tblContractForDeed[[#This Row],[Payment]]=0,0,MAX(0,MIN(tblContractForDeed[[#This Row],[Beg]],tblContractForDeed[[#This Row],[Payment]]-tblContractForDeed[[#This Row],[Int]])))</f>
        <v>1652.54</v>
      </c>
      <c r="S131" s="265">
        <f>IF(OR(tblContractForDeed[[#This Row],[Date]]&lt;cfdContractDate,tblContractForDeed[[#This Row],[Date]]&gt;cfdEndDate),0,ROUND(tblContractForDeed[[#This Row],[Beg]]*(tblContractForDeed[[#This Row],[Int Rate]]/12),2))</f>
        <v>247.45</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2222.71</v>
      </c>
      <c r="W131" s="265">
        <f>SUM(INDEX(tblContractForDeed[Princ],1):INDEX(tblContractForDeed[Princ],ROW()-ROW(tblContractForDeed[#Headers])))</f>
        <v>121134.96999999997</v>
      </c>
      <c r="X131" s="265">
        <f>IF(tblContractForDeed[[#This Row],[Beg]]&lt;=0,0,tblContractForDeed[[#This Row],[Beg]]-tblContractForDeed[[#This Row],[Princ]])</f>
        <v>35465.029999999977</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1453.8</v>
      </c>
      <c r="AA131"/>
      <c r="AB131" s="14">
        <f>IF(INDEX(tblContractForDeed[Payment],ROW()-ROW(tblBuyerOutputs[#Headers]))=0,0,INDEX(tblContractForDeed[Payment],ROW()-ROW(tblBuyerOutputs[#Headers]))-INDEX(tblSubjectToLoan[Payment],ROW()-ROW(tblBuyerOutputs[#Headers])))-IFERROR(tblBuyerOutputs[[#This Row],[PMI]],0)</f>
        <v>1453.8</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144899.44000000006</v>
      </c>
      <c r="AD131" s="265">
        <f>IF(INDEX(tblContractForDeed[End Bal],ROW()-ROW(tblBuyerOutputs[#Headers]))&lt;=0,0,($O$6+IF(ROW()=ROW(tblBuyerOutputs[#Headers])+1,0,INDEX(tblBuyerOutputs[Cumul Appr],ROW()-ROW(tblBuyerOutputs[#Headers])-1)))*$O$2/12)</f>
        <v>1035.2003539886491</v>
      </c>
      <c r="AE131" s="588">
        <f>IF(INDEX(tblContractForDeed[End Bal],ROW()-ROW(tblBuyerOutputs[#Headers]))&lt;=0,0,IF(ROW()=ROW(tblBuyerOutputs[#Headers])+1,0,INDEX(tblBuyerOutputs[Cumul Appr],ROW()-ROW(tblBuyerOutputs[#Headers])-1))+tblBuyerOutputs[[#This Row],[Monthly Appr]])</f>
        <v>92883.285311264408</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35465.029999999977</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2" s="265">
        <f>IF(tblContractForDeed[[#This Row],[Payment]]=0,0,MAX(0,MIN(tblContractForDeed[[#This Row],[Beg]],tblContractForDeed[[#This Row],[Payment]]-tblContractForDeed[[#This Row],[Int]])))</f>
        <v>1663.56</v>
      </c>
      <c r="S132" s="265">
        <f>IF(OR(tblContractForDeed[[#This Row],[Date]]&lt;cfdContractDate,tblContractForDeed[[#This Row],[Date]]&gt;cfdEndDate),0,ROUND(tblContractForDeed[[#This Row],[Beg]]*(tblContractForDeed[[#This Row],[Int Rate]]/12),2))</f>
        <v>236.43</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2222.71</v>
      </c>
      <c r="W132" s="265">
        <f>SUM(INDEX(tblContractForDeed[Princ],1):INDEX(tblContractForDeed[Princ],ROW()-ROW(tblContractForDeed[#Headers])))</f>
        <v>122798.52999999997</v>
      </c>
      <c r="X132" s="265">
        <f>IF(tblContractForDeed[[#This Row],[Beg]]&lt;=0,0,tblContractForDeed[[#This Row],[Beg]]-tblContractForDeed[[#This Row],[Princ]])</f>
        <v>33801.469999999979</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1453.8</v>
      </c>
      <c r="AA132"/>
      <c r="AB132" s="14">
        <f>IF(INDEX(tblContractForDeed[Payment],ROW()-ROW(tblBuyerOutputs[#Headers]))=0,0,INDEX(tblContractForDeed[Payment],ROW()-ROW(tblBuyerOutputs[#Headers]))-INDEX(tblSubjectToLoan[Payment],ROW()-ROW(tblBuyerOutputs[#Headers])))-IFERROR(tblBuyerOutputs[[#This Row],[PMI]],0)</f>
        <v>1453.8</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146353.24000000005</v>
      </c>
      <c r="AD132" s="265">
        <f>IF(INDEX(tblContractForDeed[End Bal],ROW()-ROW(tblBuyerOutputs[#Headers]))&lt;=0,0,($O$6+IF(ROW()=ROW(tblBuyerOutputs[#Headers])+1,0,INDEX(tblBuyerOutputs[Cumul Appr],ROW()-ROW(tblBuyerOutputs[#Headers])-1)))*$O$2/12)</f>
        <v>1039.513688796935</v>
      </c>
      <c r="AE132" s="588">
        <f>IF(INDEX(tblContractForDeed[End Bal],ROW()-ROW(tblBuyerOutputs[#Headers]))&lt;=0,0,IF(ROW()=ROW(tblBuyerOutputs[#Headers])+1,0,INDEX(tblBuyerOutputs[Cumul Appr],ROW()-ROW(tblBuyerOutputs[#Headers])-1))+tblBuyerOutputs[[#This Row],[Monthly Appr]])</f>
        <v>93922.79900006135</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33801.469999999979</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3" s="265">
        <f>IF(tblContractForDeed[[#This Row],[Payment]]=0,0,MAX(0,MIN(tblContractForDeed[[#This Row],[Beg]],tblContractForDeed[[#This Row],[Payment]]-tblContractForDeed[[#This Row],[Int]])))</f>
        <v>1674.65</v>
      </c>
      <c r="S133" s="265">
        <f>IF(OR(tblContractForDeed[[#This Row],[Date]]&lt;cfdContractDate,tblContractForDeed[[#This Row],[Date]]&gt;cfdEndDate),0,ROUND(tblContractForDeed[[#This Row],[Beg]]*(tblContractForDeed[[#This Row],[Int Rate]]/12),2))</f>
        <v>225.34</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2222.71</v>
      </c>
      <c r="W133" s="265">
        <f>SUM(INDEX(tblContractForDeed[Princ],1):INDEX(tblContractForDeed[Princ],ROW()-ROW(tblContractForDeed[#Headers])))</f>
        <v>124473.17999999996</v>
      </c>
      <c r="X133" s="265">
        <f>IF(tblContractForDeed[[#This Row],[Beg]]&lt;=0,0,tblContractForDeed[[#This Row],[Beg]]-tblContractForDeed[[#This Row],[Princ]])</f>
        <v>32126.819999999978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1453.8</v>
      </c>
      <c r="AA133"/>
      <c r="AB133" s="14">
        <f>IF(INDEX(tblContractForDeed[Payment],ROW()-ROW(tblBuyerOutputs[#Headers]))=0,0,INDEX(tblContractForDeed[Payment],ROW()-ROW(tblBuyerOutputs[#Headers]))-INDEX(tblSubjectToLoan[Payment],ROW()-ROW(tblBuyerOutputs[#Headers])))-IFERROR(tblBuyerOutputs[[#This Row],[PMI]],0)</f>
        <v>1453.8</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147807.04000000004</v>
      </c>
      <c r="AD133" s="265">
        <f>IF(INDEX(tblContractForDeed[End Bal],ROW()-ROW(tblBuyerOutputs[#Headers]))&lt;=0,0,($O$6+IF(ROW()=ROW(tblBuyerOutputs[#Headers])+1,0,INDEX(tblBuyerOutputs[Cumul Appr],ROW()-ROW(tblBuyerOutputs[#Headers])-1)))*$O$2/12)</f>
        <v>1043.8449958335889</v>
      </c>
      <c r="AE133" s="588">
        <f>IF(INDEX(tblContractForDeed[End Bal],ROW()-ROW(tblBuyerOutputs[#Headers]))&lt;=0,0,IF(ROW()=ROW(tblBuyerOutputs[#Headers])+1,0,INDEX(tblBuyerOutputs[Cumul Appr],ROW()-ROW(tblBuyerOutputs[#Headers])-1))+tblBuyerOutputs[[#This Row],[Monthly Appr]])</f>
        <v>94966.643995894934</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32126.819999999978</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4" s="265">
        <f>IF(tblContractForDeed[[#This Row],[Payment]]=0,0,MAX(0,MIN(tblContractForDeed[[#This Row],[Beg]],tblContractForDeed[[#This Row],[Payment]]-tblContractForDeed[[#This Row],[Int]])))</f>
        <v>1685.81</v>
      </c>
      <c r="S134" s="265">
        <f>IF(OR(tblContractForDeed[[#This Row],[Date]]&lt;cfdContractDate,tblContractForDeed[[#This Row],[Date]]&gt;cfdEndDate),0,ROUND(tblContractForDeed[[#This Row],[Beg]]*(tblContractForDeed[[#This Row],[Int Rate]]/12),2))</f>
        <v>214.18</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2222.71</v>
      </c>
      <c r="W134" s="265">
        <f>SUM(INDEX(tblContractForDeed[Princ],1):INDEX(tblContractForDeed[Princ],ROW()-ROW(tblContractForDeed[#Headers])))</f>
        <v>126158.98999999996</v>
      </c>
      <c r="X134" s="265">
        <f>IF(tblContractForDeed[[#This Row],[Beg]]&lt;=0,0,tblContractForDeed[[#This Row],[Beg]]-tblContractForDeed[[#This Row],[Princ]])</f>
        <v>30441.009999999977</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1453.8</v>
      </c>
      <c r="AA134"/>
      <c r="AB134" s="14">
        <f>IF(INDEX(tblContractForDeed[Payment],ROW()-ROW(tblBuyerOutputs[#Headers]))=0,0,INDEX(tblContractForDeed[Payment],ROW()-ROW(tblBuyerOutputs[#Headers]))-INDEX(tblSubjectToLoan[Payment],ROW()-ROW(tblBuyerOutputs[#Headers])))-IFERROR(tblBuyerOutputs[[#This Row],[PMI]],0)</f>
        <v>1453.8</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149260.84000000003</v>
      </c>
      <c r="AD134" s="265">
        <f>IF(INDEX(tblContractForDeed[End Bal],ROW()-ROW(tblBuyerOutputs[#Headers]))&lt;=0,0,($O$6+IF(ROW()=ROW(tblBuyerOutputs[#Headers])+1,0,INDEX(tblBuyerOutputs[Cumul Appr],ROW()-ROW(tblBuyerOutputs[#Headers])-1)))*$O$2/12)</f>
        <v>1048.1943499828956</v>
      </c>
      <c r="AE134" s="588">
        <f>IF(INDEX(tblContractForDeed[End Bal],ROW()-ROW(tblBuyerOutputs[#Headers]))&lt;=0,0,IF(ROW()=ROW(tblBuyerOutputs[#Headers])+1,0,INDEX(tblBuyerOutputs[Cumul Appr],ROW()-ROW(tblBuyerOutputs[#Headers])-1))+tblBuyerOutputs[[#This Row],[Monthly Appr]])</f>
        <v>96014.838345877826</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30441.009999999977</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5" s="265">
        <f>IF(tblContractForDeed[[#This Row],[Payment]]=0,0,MAX(0,MIN(tblContractForDeed[[#This Row],[Beg]],tblContractForDeed[[#This Row],[Payment]]-tblContractForDeed[[#This Row],[Int]])))</f>
        <v>1697.05</v>
      </c>
      <c r="S135" s="265">
        <f>IF(OR(tblContractForDeed[[#This Row],[Date]]&lt;cfdContractDate,tblContractForDeed[[#This Row],[Date]]&gt;cfdEndDate),0,ROUND(tblContractForDeed[[#This Row],[Beg]]*(tblContractForDeed[[#This Row],[Int Rate]]/12),2))</f>
        <v>202.94</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2222.71</v>
      </c>
      <c r="W135" s="265">
        <f>SUM(INDEX(tblContractForDeed[Princ],1):INDEX(tblContractForDeed[Princ],ROW()-ROW(tblContractForDeed[#Headers])))</f>
        <v>127856.03999999996</v>
      </c>
      <c r="X135" s="265">
        <f>IF(tblContractForDeed[[#This Row],[Beg]]&lt;=0,0,tblContractForDeed[[#This Row],[Beg]]-tblContractForDeed[[#This Row],[Princ]])</f>
        <v>28743.959999999977</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1453.8</v>
      </c>
      <c r="AA135"/>
      <c r="AB135" s="14">
        <f>IF(INDEX(tblContractForDeed[Payment],ROW()-ROW(tblBuyerOutputs[#Headers]))=0,0,INDEX(tblContractForDeed[Payment],ROW()-ROW(tblBuyerOutputs[#Headers]))-INDEX(tblSubjectToLoan[Payment],ROW()-ROW(tblBuyerOutputs[#Headers])))-IFERROR(tblBuyerOutputs[[#This Row],[PMI]],0)</f>
        <v>1453.8</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150714.64000000001</v>
      </c>
      <c r="AD135" s="265">
        <f>IF(INDEX(tblContractForDeed[End Bal],ROW()-ROW(tblBuyerOutputs[#Headers]))&lt;=0,0,($O$6+IF(ROW()=ROW(tblBuyerOutputs[#Headers])+1,0,INDEX(tblBuyerOutputs[Cumul Appr],ROW()-ROW(tblBuyerOutputs[#Headers])-1)))*$O$2/12)</f>
        <v>1052.5618264411576</v>
      </c>
      <c r="AE135" s="588">
        <f>IF(INDEX(tblContractForDeed[End Bal],ROW()-ROW(tblBuyerOutputs[#Headers]))&lt;=0,0,IF(ROW()=ROW(tblBuyerOutputs[#Headers])+1,0,INDEX(tblBuyerOutputs[Cumul Appr],ROW()-ROW(tblBuyerOutputs[#Headers])-1))+tblBuyerOutputs[[#This Row],[Monthly Appr]])</f>
        <v>97067.400172318987</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28743.959999999977</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6" s="265">
        <f>IF(tblContractForDeed[[#This Row],[Payment]]=0,0,MAX(0,MIN(tblContractForDeed[[#This Row],[Beg]],tblContractForDeed[[#This Row],[Payment]]-tblContractForDeed[[#This Row],[Int]])))</f>
        <v>1708.3600000000001</v>
      </c>
      <c r="S136" s="265">
        <f>IF(OR(tblContractForDeed[[#This Row],[Date]]&lt;cfdContractDate,tblContractForDeed[[#This Row],[Date]]&gt;cfdEndDate),0,ROUND(tblContractForDeed[[#This Row],[Beg]]*(tblContractForDeed[[#This Row],[Int Rate]]/12),2))</f>
        <v>191.63</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2222.7100000000005</v>
      </c>
      <c r="W136" s="265">
        <f>SUM(INDEX(tblContractForDeed[Princ],1):INDEX(tblContractForDeed[Princ],ROW()-ROW(tblContractForDeed[#Headers])))</f>
        <v>129564.39999999997</v>
      </c>
      <c r="X136" s="265">
        <f>IF(tblContractForDeed[[#This Row],[Beg]]&lt;=0,0,tblContractForDeed[[#This Row],[Beg]]-tblContractForDeed[[#This Row],[Princ]])</f>
        <v>27035.599999999977</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1453.8</v>
      </c>
      <c r="AA136"/>
      <c r="AB136" s="14">
        <f>IF(INDEX(tblContractForDeed[Payment],ROW()-ROW(tblBuyerOutputs[#Headers]))=0,0,INDEX(tblContractForDeed[Payment],ROW()-ROW(tblBuyerOutputs[#Headers]))-INDEX(tblSubjectToLoan[Payment],ROW()-ROW(tblBuyerOutputs[#Headers])))-IFERROR(tblBuyerOutputs[[#This Row],[PMI]],0)</f>
        <v>1453.8</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152168.44</v>
      </c>
      <c r="AD136" s="265">
        <f>IF(INDEX(tblContractForDeed[End Bal],ROW()-ROW(tblBuyerOutputs[#Headers]))&lt;=0,0,($O$6+IF(ROW()=ROW(tblBuyerOutputs[#Headers])+1,0,INDEX(tblBuyerOutputs[Cumul Appr],ROW()-ROW(tblBuyerOutputs[#Headers])-1)))*$O$2/12)</f>
        <v>1056.9475007179958</v>
      </c>
      <c r="AE136" s="588">
        <f>IF(INDEX(tblContractForDeed[End Bal],ROW()-ROW(tblBuyerOutputs[#Headers]))&lt;=0,0,IF(ROW()=ROW(tblBuyerOutputs[#Headers])+1,0,INDEX(tblBuyerOutputs[Cumul Appr],ROW()-ROW(tblBuyerOutputs[#Headers])-1))+tblBuyerOutputs[[#This Row],[Monthly Appr]])</f>
        <v>98124.347673036988</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27035.599999999977</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7" s="265">
        <f>IF(tblContractForDeed[[#This Row],[Payment]]=0,0,MAX(0,MIN(tblContractForDeed[[#This Row],[Beg]],tblContractForDeed[[#This Row],[Payment]]-tblContractForDeed[[#This Row],[Int]])))</f>
        <v>1719.75</v>
      </c>
      <c r="S137" s="265">
        <f>IF(OR(tblContractForDeed[[#This Row],[Date]]&lt;cfdContractDate,tblContractForDeed[[#This Row],[Date]]&gt;cfdEndDate),0,ROUND(tblContractForDeed[[#This Row],[Beg]]*(tblContractForDeed[[#This Row],[Int Rate]]/12),2))</f>
        <v>180.24</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2222.71</v>
      </c>
      <c r="W137" s="265">
        <f>SUM(INDEX(tblContractForDeed[Princ],1):INDEX(tblContractForDeed[Princ],ROW()-ROW(tblContractForDeed[#Headers])))</f>
        <v>131284.14999999997</v>
      </c>
      <c r="X137" s="265">
        <f>IF(tblContractForDeed[[#This Row],[Beg]]&lt;=0,0,tblContractForDeed[[#This Row],[Beg]]-tblContractForDeed[[#This Row],[Princ]])</f>
        <v>25315.849999999977</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1453.8</v>
      </c>
      <c r="AA137"/>
      <c r="AB137" s="14">
        <f>IF(INDEX(tblContractForDeed[Payment],ROW()-ROW(tblBuyerOutputs[#Headers]))=0,0,INDEX(tblContractForDeed[Payment],ROW()-ROW(tblBuyerOutputs[#Headers]))-INDEX(tblSubjectToLoan[Payment],ROW()-ROW(tblBuyerOutputs[#Headers])))-IFERROR(tblBuyerOutputs[[#This Row],[PMI]],0)</f>
        <v>1453.8</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153622.24</v>
      </c>
      <c r="AD137" s="265">
        <f>IF(INDEX(tblContractForDeed[End Bal],ROW()-ROW(tblBuyerOutputs[#Headers]))&lt;=0,0,($O$6+IF(ROW()=ROW(tblBuyerOutputs[#Headers])+1,0,INDEX(tblBuyerOutputs[Cumul Appr],ROW()-ROW(tblBuyerOutputs[#Headers])-1)))*$O$2/12)</f>
        <v>1061.3514486376541</v>
      </c>
      <c r="AE137" s="588">
        <f>IF(INDEX(tblContractForDeed[End Bal],ROW()-ROW(tblBuyerOutputs[#Headers]))&lt;=0,0,IF(ROW()=ROW(tblBuyerOutputs[#Headers])+1,0,INDEX(tblBuyerOutputs[Cumul Appr],ROW()-ROW(tblBuyerOutputs[#Headers])-1))+tblBuyerOutputs[[#This Row],[Monthly Appr]])</f>
        <v>99185.699121674639</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25315.849999999977</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8" s="265">
        <f>IF(tblContractForDeed[[#This Row],[Payment]]=0,0,MAX(0,MIN(tblContractForDeed[[#This Row],[Beg]],tblContractForDeed[[#This Row],[Payment]]-tblContractForDeed[[#This Row],[Int]])))</f>
        <v>1731.22</v>
      </c>
      <c r="S138" s="265">
        <f>IF(OR(tblContractForDeed[[#This Row],[Date]]&lt;cfdContractDate,tblContractForDeed[[#This Row],[Date]]&gt;cfdEndDate),0,ROUND(tblContractForDeed[[#This Row],[Beg]]*(tblContractForDeed[[#This Row],[Int Rate]]/12),2))</f>
        <v>168.77</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2222.71</v>
      </c>
      <c r="W138" s="265">
        <f>SUM(INDEX(tblContractForDeed[Princ],1):INDEX(tblContractForDeed[Princ],ROW()-ROW(tblContractForDeed[#Headers])))</f>
        <v>133015.36999999997</v>
      </c>
      <c r="X138" s="265">
        <f>IF(tblContractForDeed[[#This Row],[Beg]]&lt;=0,0,tblContractForDeed[[#This Row],[Beg]]-tblContractForDeed[[#This Row],[Princ]])</f>
        <v>23584.629999999976</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1453.8</v>
      </c>
      <c r="AA138"/>
      <c r="AB138" s="14">
        <f>IF(INDEX(tblContractForDeed[Payment],ROW()-ROW(tblBuyerOutputs[#Headers]))=0,0,INDEX(tblContractForDeed[Payment],ROW()-ROW(tblBuyerOutputs[#Headers]))-INDEX(tblSubjectToLoan[Payment],ROW()-ROW(tblBuyerOutputs[#Headers])))-IFERROR(tblBuyerOutputs[[#This Row],[PMI]],0)</f>
        <v>1453.8</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155076.03999999998</v>
      </c>
      <c r="AD138" s="265">
        <f>IF(INDEX(tblContractForDeed[End Bal],ROW()-ROW(tblBuyerOutputs[#Headers]))&lt;=0,0,($O$6+IF(ROW()=ROW(tblBuyerOutputs[#Headers])+1,0,INDEX(tblBuyerOutputs[Cumul Appr],ROW()-ROW(tblBuyerOutputs[#Headers])-1)))*$O$2/12)</f>
        <v>1065.7737463403112</v>
      </c>
      <c r="AE138" s="588">
        <f>IF(INDEX(tblContractForDeed[End Bal],ROW()-ROW(tblBuyerOutputs[#Headers]))&lt;=0,0,IF(ROW()=ROW(tblBuyerOutputs[#Headers])+1,0,INDEX(tblBuyerOutputs[Cumul Appr],ROW()-ROW(tblBuyerOutputs[#Headers])-1))+tblBuyerOutputs[[#This Row],[Monthly Appr]])</f>
        <v>100251.47286801496</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23584.629999999976</v>
      </c>
      <c r="P139" s="586">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9" s="316">
        <f>IF(tblContractForDeed[[#This Row],[Payment]]=0,0,MAX(0,MIN(tblContractForDeed[[#This Row],[Beg]],tblContractForDeed[[#This Row],[Payment]]-tblContractForDeed[[#This Row],[Int]])))</f>
        <v>1742.76</v>
      </c>
      <c r="S139" s="316">
        <f>IF(OR(tblContractForDeed[[#This Row],[Date]]&lt;cfdContractDate,tblContractForDeed[[#This Row],[Date]]&gt;cfdEndDate),0,ROUND(tblContractForDeed[[#This Row],[Beg]]*(tblContractForDeed[[#This Row],[Int Rate]]/12),2))</f>
        <v>157.22999999999999</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2222.71</v>
      </c>
      <c r="W139" s="316">
        <f>SUM(INDEX(tblContractForDeed[Princ],1):INDEX(tblContractForDeed[Princ],ROW()-ROW(tblContractForDeed[#Headers])))</f>
        <v>134758.12999999998</v>
      </c>
      <c r="X139" s="316">
        <f>IF(tblContractForDeed[[#This Row],[Beg]]&lt;=0,0,tblContractForDeed[[#This Row],[Beg]]-tblContractForDeed[[#This Row],[Princ]])</f>
        <v>21841.869999999977</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1453.8</v>
      </c>
      <c r="AA139" s="23"/>
      <c r="AB139" s="21">
        <f>IF(INDEX(tblContractForDeed[Payment],ROW()-ROW(tblBuyerOutputs[#Headers]))=0,0,INDEX(tblContractForDeed[Payment],ROW()-ROW(tblBuyerOutputs[#Headers]))-INDEX(tblSubjectToLoan[Payment],ROW()-ROW(tblBuyerOutputs[#Headers])))-IFERROR(tblBuyerOutputs[[#This Row],[PMI]],0)</f>
        <v>1453.8</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156529.83999999997</v>
      </c>
      <c r="AD139" s="316">
        <f>IF(INDEX(tblContractForDeed[End Bal],ROW()-ROW(tblBuyerOutputs[#Headers]))&lt;=0,0,($O$6+IF(ROW()=ROW(tblBuyerOutputs[#Headers])+1,0,INDEX(tblBuyerOutputs[Cumul Appr],ROW()-ROW(tblBuyerOutputs[#Headers])-1)))*$O$2/12)</f>
        <v>1070.2144702833957</v>
      </c>
      <c r="AE139" s="589">
        <f>IF(INDEX(tblContractForDeed[End Bal],ROW()-ROW(tblBuyerOutputs[#Headers]))&lt;=0,0,IF(ROW()=ROW(tblBuyerOutputs[#Headers])+1,0,INDEX(tblBuyerOutputs[Cumul Appr],ROW()-ROW(tblBuyerOutputs[#Headers])-1))+tblBuyerOutputs[[#This Row],[Monthly Appr]])</f>
        <v>101321.68733829835</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21841.869999999977</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0" s="265">
        <f>IF(tblContractForDeed[[#This Row],[Payment]]=0,0,MAX(0,MIN(tblContractForDeed[[#This Row],[Beg]],tblContractForDeed[[#This Row],[Payment]]-tblContractForDeed[[#This Row],[Int]])))</f>
        <v>1754.38</v>
      </c>
      <c r="S140" s="265">
        <f>IF(OR(tblContractForDeed[[#This Row],[Date]]&lt;cfdContractDate,tblContractForDeed[[#This Row],[Date]]&gt;cfdEndDate),0,ROUND(tblContractForDeed[[#This Row],[Beg]]*(tblContractForDeed[[#This Row],[Int Rate]]/12),2))</f>
        <v>145.61000000000001</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2222.7100000000005</v>
      </c>
      <c r="W140" s="265">
        <f>SUM(INDEX(tblContractForDeed[Princ],1):INDEX(tblContractForDeed[Princ],ROW()-ROW(tblContractForDeed[#Headers])))</f>
        <v>136512.50999999998</v>
      </c>
      <c r="X140" s="265">
        <f>IF(tblContractForDeed[[#This Row],[Beg]]&lt;=0,0,tblContractForDeed[[#This Row],[Beg]]-tblContractForDeed[[#This Row],[Princ]])</f>
        <v>20087.489999999976</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1453.8</v>
      </c>
      <c r="AA140"/>
      <c r="AB140" s="14">
        <f>IF(INDEX(tblContractForDeed[Payment],ROW()-ROW(tblBuyerOutputs[#Headers]))=0,0,INDEX(tblContractForDeed[Payment],ROW()-ROW(tblBuyerOutputs[#Headers]))-INDEX(tblSubjectToLoan[Payment],ROW()-ROW(tblBuyerOutputs[#Headers])))-IFERROR(tblBuyerOutputs[[#This Row],[PMI]],0)</f>
        <v>1453.8</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157983.63999999996</v>
      </c>
      <c r="AD140" s="265">
        <f>IF(INDEX(tblContractForDeed[End Bal],ROW()-ROW(tblBuyerOutputs[#Headers]))&lt;=0,0,($O$6+IF(ROW()=ROW(tblBuyerOutputs[#Headers])+1,0,INDEX(tblBuyerOutputs[Cumul Appr],ROW()-ROW(tblBuyerOutputs[#Headers])-1)))*$O$2/12)</f>
        <v>1074.6736972429098</v>
      </c>
      <c r="AE140" s="588">
        <f>IF(INDEX(tblContractForDeed[End Bal],ROW()-ROW(tblBuyerOutputs[#Headers]))&lt;=0,0,IF(ROW()=ROW(tblBuyerOutputs[#Headers])+1,0,INDEX(tblBuyerOutputs[Cumul Appr],ROW()-ROW(tblBuyerOutputs[#Headers])-1))+tblBuyerOutputs[[#This Row],[Monthly Appr]])</f>
        <v>102396.36103554125</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20087.489999999976</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1" s="265">
        <f>IF(tblContractForDeed[[#This Row],[Payment]]=0,0,MAX(0,MIN(tblContractForDeed[[#This Row],[Beg]],tblContractForDeed[[#This Row],[Payment]]-tblContractForDeed[[#This Row],[Int]])))</f>
        <v>1766.07</v>
      </c>
      <c r="S141" s="265">
        <f>IF(OR(tblContractForDeed[[#This Row],[Date]]&lt;cfdContractDate,tblContractForDeed[[#This Row],[Date]]&gt;cfdEndDate),0,ROUND(tblContractForDeed[[#This Row],[Beg]]*(tblContractForDeed[[#This Row],[Int Rate]]/12),2))</f>
        <v>133.91999999999999</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2222.71</v>
      </c>
      <c r="W141" s="265">
        <f>SUM(INDEX(tblContractForDeed[Princ],1):INDEX(tblContractForDeed[Princ],ROW()-ROW(tblContractForDeed[#Headers])))</f>
        <v>138278.57999999999</v>
      </c>
      <c r="X141" s="265">
        <f>IF(tblContractForDeed[[#This Row],[Beg]]&lt;=0,0,tblContractForDeed[[#This Row],[Beg]]-tblContractForDeed[[#This Row],[Princ]])</f>
        <v>18321.419999999976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1453.8</v>
      </c>
      <c r="AA141"/>
      <c r="AB141" s="14">
        <f>IF(INDEX(tblContractForDeed[Payment],ROW()-ROW(tblBuyerOutputs[#Headers]))=0,0,INDEX(tblContractForDeed[Payment],ROW()-ROW(tblBuyerOutputs[#Headers]))-INDEX(tblSubjectToLoan[Payment],ROW()-ROW(tblBuyerOutputs[#Headers])))-IFERROR(tblBuyerOutputs[[#This Row],[PMI]],0)</f>
        <v>1453.8</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159437.43999999994</v>
      </c>
      <c r="AD141" s="265">
        <f>IF(INDEX(tblContractForDeed[End Bal],ROW()-ROW(tblBuyerOutputs[#Headers]))&lt;=0,0,($O$6+IF(ROW()=ROW(tblBuyerOutputs[#Headers])+1,0,INDEX(tblBuyerOutputs[Cumul Appr],ROW()-ROW(tblBuyerOutputs[#Headers])-1)))*$O$2/12)</f>
        <v>1079.1515043147554</v>
      </c>
      <c r="AE141" s="588">
        <f>IF(INDEX(tblContractForDeed[End Bal],ROW()-ROW(tblBuyerOutputs[#Headers]))&lt;=0,0,IF(ROW()=ROW(tblBuyerOutputs[#Headers])+1,0,INDEX(tblBuyerOutputs[Cumul Appr],ROW()-ROW(tblBuyerOutputs[#Headers])-1))+tblBuyerOutputs[[#This Row],[Monthly Appr]])</f>
        <v>103475.512539856</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18321.419999999976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2" s="265">
        <f>IF(tblContractForDeed[[#This Row],[Payment]]=0,0,MAX(0,MIN(tblContractForDeed[[#This Row],[Beg]],tblContractForDeed[[#This Row],[Payment]]-tblContractForDeed[[#This Row],[Int]])))</f>
        <v>1777.85</v>
      </c>
      <c r="S142" s="265">
        <f>IF(OR(tblContractForDeed[[#This Row],[Date]]&lt;cfdContractDate,tblContractForDeed[[#This Row],[Date]]&gt;cfdEndDate),0,ROUND(tblContractForDeed[[#This Row],[Beg]]*(tblContractForDeed[[#This Row],[Int Rate]]/12),2))</f>
        <v>122.14</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2222.71</v>
      </c>
      <c r="W142" s="265">
        <f>SUM(INDEX(tblContractForDeed[Princ],1):INDEX(tblContractForDeed[Princ],ROW()-ROW(tblContractForDeed[#Headers])))</f>
        <v>140056.43</v>
      </c>
      <c r="X142" s="265">
        <f>IF(tblContractForDeed[[#This Row],[Beg]]&lt;=0,0,tblContractForDeed[[#This Row],[Beg]]-tblContractForDeed[[#This Row],[Princ]])</f>
        <v>16543.569999999978</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1453.8</v>
      </c>
      <c r="AA142"/>
      <c r="AB142" s="14">
        <f>IF(INDEX(tblContractForDeed[Payment],ROW()-ROW(tblBuyerOutputs[#Headers]))=0,0,INDEX(tblContractForDeed[Payment],ROW()-ROW(tblBuyerOutputs[#Headers]))-INDEX(tblSubjectToLoan[Payment],ROW()-ROW(tblBuyerOutputs[#Headers])))-IFERROR(tblBuyerOutputs[[#This Row],[PMI]],0)</f>
        <v>1453.8</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160891.23999999993</v>
      </c>
      <c r="AD142" s="265">
        <f>IF(INDEX(tblContractForDeed[End Bal],ROW()-ROW(tblBuyerOutputs[#Headers]))&lt;=0,0,($O$6+IF(ROW()=ROW(tblBuyerOutputs[#Headers])+1,0,INDEX(tblBuyerOutputs[Cumul Appr],ROW()-ROW(tblBuyerOutputs[#Headers])-1)))*$O$2/12)</f>
        <v>1083.6479689160667</v>
      </c>
      <c r="AE142" s="588">
        <f>IF(INDEX(tblContractForDeed[End Bal],ROW()-ROW(tblBuyerOutputs[#Headers]))&lt;=0,0,IF(ROW()=ROW(tblBuyerOutputs[#Headers])+1,0,INDEX(tblBuyerOutputs[Cumul Appr],ROW()-ROW(tblBuyerOutputs[#Headers])-1))+tblBuyerOutputs[[#This Row],[Monthly Appr]])</f>
        <v>104559.16050877207</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16543.569999999978</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3" s="265">
        <f>IF(tblContractForDeed[[#This Row],[Payment]]=0,0,MAX(0,MIN(tblContractForDeed[[#This Row],[Beg]],tblContractForDeed[[#This Row],[Payment]]-tblContractForDeed[[#This Row],[Int]])))</f>
        <v>1789.7</v>
      </c>
      <c r="S143" s="265">
        <f>IF(OR(tblContractForDeed[[#This Row],[Date]]&lt;cfdContractDate,tblContractForDeed[[#This Row],[Date]]&gt;cfdEndDate),0,ROUND(tblContractForDeed[[#This Row],[Beg]]*(tblContractForDeed[[#This Row],[Int Rate]]/12),2))</f>
        <v>110.29</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2222.71</v>
      </c>
      <c r="W143" s="265">
        <f>SUM(INDEX(tblContractForDeed[Princ],1):INDEX(tblContractForDeed[Princ],ROW()-ROW(tblContractForDeed[#Headers])))</f>
        <v>141846.13</v>
      </c>
      <c r="X143" s="265">
        <f>IF(tblContractForDeed[[#This Row],[Beg]]&lt;=0,0,tblContractForDeed[[#This Row],[Beg]]-tblContractForDeed[[#This Row],[Princ]])</f>
        <v>14753.869999999977</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1453.8</v>
      </c>
      <c r="AA143"/>
      <c r="AB143" s="14">
        <f>IF(INDEX(tblContractForDeed[Payment],ROW()-ROW(tblBuyerOutputs[#Headers]))=0,0,INDEX(tblContractForDeed[Payment],ROW()-ROW(tblBuyerOutputs[#Headers]))-INDEX(tblSubjectToLoan[Payment],ROW()-ROW(tblBuyerOutputs[#Headers])))-IFERROR(tblBuyerOutputs[[#This Row],[PMI]],0)</f>
        <v>1453.8</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162345.03999999992</v>
      </c>
      <c r="AD143" s="265">
        <f>IF(INDEX(tblContractForDeed[End Bal],ROW()-ROW(tblBuyerOutputs[#Headers]))&lt;=0,0,($O$6+IF(ROW()=ROW(tblBuyerOutputs[#Headers])+1,0,INDEX(tblBuyerOutputs[Cumul Appr],ROW()-ROW(tblBuyerOutputs[#Headers])-1)))*$O$2/12)</f>
        <v>1088.1631687865504</v>
      </c>
      <c r="AE143" s="588">
        <f>IF(INDEX(tblContractForDeed[End Bal],ROW()-ROW(tblBuyerOutputs[#Headers]))&lt;=0,0,IF(ROW()=ROW(tblBuyerOutputs[#Headers])+1,0,INDEX(tblBuyerOutputs[Cumul Appr],ROW()-ROW(tblBuyerOutputs[#Headers])-1))+tblBuyerOutputs[[#This Row],[Monthly Appr]])</f>
        <v>105647.32367755861</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14753.869999999977</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4" s="265">
        <f>IF(tblContractForDeed[[#This Row],[Payment]]=0,0,MAX(0,MIN(tblContractForDeed[[#This Row],[Beg]],tblContractForDeed[[#This Row],[Payment]]-tblContractForDeed[[#This Row],[Int]])))</f>
        <v>1801.63</v>
      </c>
      <c r="S144" s="265">
        <f>IF(OR(tblContractForDeed[[#This Row],[Date]]&lt;cfdContractDate,tblContractForDeed[[#This Row],[Date]]&gt;cfdEndDate),0,ROUND(tblContractForDeed[[#This Row],[Beg]]*(tblContractForDeed[[#This Row],[Int Rate]]/12),2))</f>
        <v>98.36</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2222.71</v>
      </c>
      <c r="W144" s="265">
        <f>SUM(INDEX(tblContractForDeed[Princ],1):INDEX(tblContractForDeed[Princ],ROW()-ROW(tblContractForDeed[#Headers])))</f>
        <v>143647.76</v>
      </c>
      <c r="X144" s="265">
        <f>IF(tblContractForDeed[[#This Row],[Beg]]&lt;=0,0,tblContractForDeed[[#This Row],[Beg]]-tblContractForDeed[[#This Row],[Princ]])</f>
        <v>12952.239999999976</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1453.8</v>
      </c>
      <c r="AA144"/>
      <c r="AB144" s="14">
        <f>IF(INDEX(tblContractForDeed[Payment],ROW()-ROW(tblBuyerOutputs[#Headers]))=0,0,INDEX(tblContractForDeed[Payment],ROW()-ROW(tblBuyerOutputs[#Headers]))-INDEX(tblSubjectToLoan[Payment],ROW()-ROW(tblBuyerOutputs[#Headers])))-IFERROR(tblBuyerOutputs[[#This Row],[PMI]],0)</f>
        <v>1453.8</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163798.83999999991</v>
      </c>
      <c r="AD144" s="265">
        <f>IF(INDEX(tblContractForDeed[End Bal],ROW()-ROW(tblBuyerOutputs[#Headers]))&lt;=0,0,($O$6+IF(ROW()=ROW(tblBuyerOutputs[#Headers])+1,0,INDEX(tblBuyerOutputs[Cumul Appr],ROW()-ROW(tblBuyerOutputs[#Headers])-1)))*$O$2/12)</f>
        <v>1092.6971819898276</v>
      </c>
      <c r="AE144" s="588">
        <f>IF(INDEX(tblContractForDeed[End Bal],ROW()-ROW(tblBuyerOutputs[#Headers]))&lt;=0,0,IF(ROW()=ROW(tblBuyerOutputs[#Headers])+1,0,INDEX(tblBuyerOutputs[Cumul Appr],ROW()-ROW(tblBuyerOutputs[#Headers])-1))+tblBuyerOutputs[[#This Row],[Monthly Appr]])</f>
        <v>106740.02085954844</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12952.239999999976</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5" s="265">
        <f>IF(tblContractForDeed[[#This Row],[Payment]]=0,0,MAX(0,MIN(tblContractForDeed[[#This Row],[Beg]],tblContractForDeed[[#This Row],[Payment]]-tblContractForDeed[[#This Row],[Int]])))</f>
        <v>1813.64</v>
      </c>
      <c r="S145" s="265">
        <f>IF(OR(tblContractForDeed[[#This Row],[Date]]&lt;cfdContractDate,tblContractForDeed[[#This Row],[Date]]&gt;cfdEndDate),0,ROUND(tblContractForDeed[[#This Row],[Beg]]*(tblContractForDeed[[#This Row],[Int Rate]]/12),2))</f>
        <v>86.35</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2222.71</v>
      </c>
      <c r="W145" s="265">
        <f>SUM(INDEX(tblContractForDeed[Princ],1):INDEX(tblContractForDeed[Princ],ROW()-ROW(tblContractForDeed[#Headers])))</f>
        <v>145461.40000000002</v>
      </c>
      <c r="X145" s="265">
        <f>IF(tblContractForDeed[[#This Row],[Beg]]&lt;=0,0,tblContractForDeed[[#This Row],[Beg]]-tblContractForDeed[[#This Row],[Princ]])</f>
        <v>11138.599999999977</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1453.8</v>
      </c>
      <c r="AA145"/>
      <c r="AB145" s="14">
        <f>IF(INDEX(tblContractForDeed[Payment],ROW()-ROW(tblBuyerOutputs[#Headers]))=0,0,INDEX(tblContractForDeed[Payment],ROW()-ROW(tblBuyerOutputs[#Headers]))-INDEX(tblSubjectToLoan[Payment],ROW()-ROW(tblBuyerOutputs[#Headers])))-IFERROR(tblBuyerOutputs[[#This Row],[PMI]],0)</f>
        <v>1453.8</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165252.6399999999</v>
      </c>
      <c r="AD145" s="265">
        <f>IF(INDEX(tblContractForDeed[End Bal],ROW()-ROW(tblBuyerOutputs[#Headers]))&lt;=0,0,($O$6+IF(ROW()=ROW(tblBuyerOutputs[#Headers])+1,0,INDEX(tblBuyerOutputs[Cumul Appr],ROW()-ROW(tblBuyerOutputs[#Headers])-1)))*$O$2/12)</f>
        <v>1097.2500869147855</v>
      </c>
      <c r="AE145" s="588">
        <f>IF(INDEX(tblContractForDeed[End Bal],ROW()-ROW(tblBuyerOutputs[#Headers]))&lt;=0,0,IF(ROW()=ROW(tblBuyerOutputs[#Headers])+1,0,INDEX(tblBuyerOutputs[Cumul Appr],ROW()-ROW(tblBuyerOutputs[#Headers])-1))+tblBuyerOutputs[[#This Row],[Monthly Appr]])</f>
        <v>107837.27094646324</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11138.599999999977</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6" s="265">
        <f>IF(tblContractForDeed[[#This Row],[Payment]]=0,0,MAX(0,MIN(tblContractForDeed[[#This Row],[Beg]],tblContractForDeed[[#This Row],[Payment]]-tblContractForDeed[[#This Row],[Int]])))</f>
        <v>1825.73</v>
      </c>
      <c r="S146" s="265">
        <f>IF(OR(tblContractForDeed[[#This Row],[Date]]&lt;cfdContractDate,tblContractForDeed[[#This Row],[Date]]&gt;cfdEndDate),0,ROUND(tblContractForDeed[[#This Row],[Beg]]*(tblContractForDeed[[#This Row],[Int Rate]]/12),2))</f>
        <v>74.260000000000005</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2222.71</v>
      </c>
      <c r="W146" s="265">
        <f>SUM(INDEX(tblContractForDeed[Princ],1):INDEX(tblContractForDeed[Princ],ROW()-ROW(tblContractForDeed[#Headers])))</f>
        <v>147287.13000000003</v>
      </c>
      <c r="X146" s="265">
        <f>IF(tblContractForDeed[[#This Row],[Beg]]&lt;=0,0,tblContractForDeed[[#This Row],[Beg]]-tblContractForDeed[[#This Row],[Princ]])</f>
        <v>9312.8699999999772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1453.8</v>
      </c>
      <c r="AA146"/>
      <c r="AB146" s="14">
        <f>IF(INDEX(tblContractForDeed[Payment],ROW()-ROW(tblBuyerOutputs[#Headers]))=0,0,INDEX(tblContractForDeed[Payment],ROW()-ROW(tblBuyerOutputs[#Headers]))-INDEX(tblSubjectToLoan[Payment],ROW()-ROW(tblBuyerOutputs[#Headers])))-IFERROR(tblBuyerOutputs[[#This Row],[PMI]],0)</f>
        <v>1453.8</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166706.43999999989</v>
      </c>
      <c r="AD146" s="265">
        <f>IF(INDEX(tblContractForDeed[End Bal],ROW()-ROW(tblBuyerOutputs[#Headers]))&lt;=0,0,($O$6+IF(ROW()=ROW(tblBuyerOutputs[#Headers])+1,0,INDEX(tblBuyerOutputs[Cumul Appr],ROW()-ROW(tblBuyerOutputs[#Headers])-1)))*$O$2/12)</f>
        <v>1101.8219622769302</v>
      </c>
      <c r="AE146" s="588">
        <f>IF(INDEX(tblContractForDeed[End Bal],ROW()-ROW(tblBuyerOutputs[#Headers]))&lt;=0,0,IF(ROW()=ROW(tblBuyerOutputs[#Headers])+1,0,INDEX(tblBuyerOutputs[Cumul Appr],ROW()-ROW(tblBuyerOutputs[#Headers])-1))+tblBuyerOutputs[[#This Row],[Monthly Appr]])</f>
        <v>108939.09290874016</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9312.8699999999772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7" s="265">
        <f>IF(tblContractForDeed[[#This Row],[Payment]]=0,0,MAX(0,MIN(tblContractForDeed[[#This Row],[Beg]],tblContractForDeed[[#This Row],[Payment]]-tblContractForDeed[[#This Row],[Int]])))</f>
        <v>1837.9</v>
      </c>
      <c r="S147" s="265">
        <f>IF(OR(tblContractForDeed[[#This Row],[Date]]&lt;cfdContractDate,tblContractForDeed[[#This Row],[Date]]&gt;cfdEndDate),0,ROUND(tblContractForDeed[[#This Row],[Beg]]*(tblContractForDeed[[#This Row],[Int Rate]]/12),2))</f>
        <v>62.09</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2222.71</v>
      </c>
      <c r="W147" s="265">
        <f>SUM(INDEX(tblContractForDeed[Princ],1):INDEX(tblContractForDeed[Princ],ROW()-ROW(tblContractForDeed[#Headers])))</f>
        <v>149125.03000000003</v>
      </c>
      <c r="X147" s="265">
        <f>IF(tblContractForDeed[[#This Row],[Beg]]&lt;=0,0,tblContractForDeed[[#This Row],[Beg]]-tblContractForDeed[[#This Row],[Princ]])</f>
        <v>7474.9699999999775</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1453.8</v>
      </c>
      <c r="AA147"/>
      <c r="AB147" s="14">
        <f>IF(INDEX(tblContractForDeed[Payment],ROW()-ROW(tblBuyerOutputs[#Headers]))=0,0,INDEX(tblContractForDeed[Payment],ROW()-ROW(tblBuyerOutputs[#Headers]))-INDEX(tblSubjectToLoan[Payment],ROW()-ROW(tblBuyerOutputs[#Headers])))-IFERROR(tblBuyerOutputs[[#This Row],[PMI]],0)</f>
        <v>1453.8</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168160.23999999987</v>
      </c>
      <c r="AD147" s="265">
        <f>IF(INDEX(tblContractForDeed[End Bal],ROW()-ROW(tblBuyerOutputs[#Headers]))&lt;=0,0,($O$6+IF(ROW()=ROW(tblBuyerOutputs[#Headers])+1,0,INDEX(tblBuyerOutputs[Cumul Appr],ROW()-ROW(tblBuyerOutputs[#Headers])-1)))*$O$2/12)</f>
        <v>1106.4128871197506</v>
      </c>
      <c r="AE147" s="588">
        <f>IF(INDEX(tblContractForDeed[End Bal],ROW()-ROW(tblBuyerOutputs[#Headers]))&lt;=0,0,IF(ROW()=ROW(tblBuyerOutputs[#Headers])+1,0,INDEX(tblBuyerOutputs[Cumul Appr],ROW()-ROW(tblBuyerOutputs[#Headers])-1))+tblBuyerOutputs[[#This Row],[Monthly Appr]])</f>
        <v>110045.50579585991</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7474.9699999999775</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8" s="265">
        <f>IF(tblContractForDeed[[#This Row],[Payment]]=0,0,MAX(0,MIN(tblContractForDeed[[#This Row],[Beg]],tblContractForDeed[[#This Row],[Payment]]-tblContractForDeed[[#This Row],[Int]])))</f>
        <v>1850.16</v>
      </c>
      <c r="S148" s="265">
        <f>IF(OR(tblContractForDeed[[#This Row],[Date]]&lt;cfdContractDate,tblContractForDeed[[#This Row],[Date]]&gt;cfdEndDate),0,ROUND(tblContractForDeed[[#This Row],[Beg]]*(tblContractForDeed[[#This Row],[Int Rate]]/12),2))</f>
        <v>49.83</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2222.71</v>
      </c>
      <c r="W148" s="265">
        <f>SUM(INDEX(tblContractForDeed[Princ],1):INDEX(tblContractForDeed[Princ],ROW()-ROW(tblContractForDeed[#Headers])))</f>
        <v>150975.19000000003</v>
      </c>
      <c r="X148" s="265">
        <f>IF(tblContractForDeed[[#This Row],[Beg]]&lt;=0,0,tblContractForDeed[[#This Row],[Beg]]-tblContractForDeed[[#This Row],[Princ]])</f>
        <v>5624.8099999999777</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1453.8</v>
      </c>
      <c r="AA148"/>
      <c r="AB148" s="14">
        <f>IF(INDEX(tblContractForDeed[Payment],ROW()-ROW(tblBuyerOutputs[#Headers]))=0,0,INDEX(tblContractForDeed[Payment],ROW()-ROW(tblBuyerOutputs[#Headers]))-INDEX(tblSubjectToLoan[Payment],ROW()-ROW(tblBuyerOutputs[#Headers])))-IFERROR(tblBuyerOutputs[[#This Row],[PMI]],0)</f>
        <v>1453.8</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169614.03999999986</v>
      </c>
      <c r="AD148" s="265">
        <f>IF(INDEX(tblContractForDeed[End Bal],ROW()-ROW(tblBuyerOutputs[#Headers]))&lt;=0,0,($O$6+IF(ROW()=ROW(tblBuyerOutputs[#Headers])+1,0,INDEX(tblBuyerOutputs[Cumul Appr],ROW()-ROW(tblBuyerOutputs[#Headers])-1)))*$O$2/12)</f>
        <v>1111.0229408160831</v>
      </c>
      <c r="AE148" s="588">
        <f>IF(INDEX(tblContractForDeed[End Bal],ROW()-ROW(tblBuyerOutputs[#Headers]))&lt;=0,0,IF(ROW()=ROW(tblBuyerOutputs[#Headers])+1,0,INDEX(tblBuyerOutputs[Cumul Appr],ROW()-ROW(tblBuyerOutputs[#Headers])-1))+tblBuyerOutputs[[#This Row],[Monthly Appr]])</f>
        <v>111156.52873667599</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5624.8099999999777</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9" s="265">
        <f>IF(tblContractForDeed[[#This Row],[Payment]]=0,0,MAX(0,MIN(tblContractForDeed[[#This Row],[Beg]],tblContractForDeed[[#This Row],[Payment]]-tblContractForDeed[[#This Row],[Int]])))</f>
        <v>1862.49</v>
      </c>
      <c r="S149" s="265">
        <f>IF(OR(tblContractForDeed[[#This Row],[Date]]&lt;cfdContractDate,tblContractForDeed[[#This Row],[Date]]&gt;cfdEndDate),0,ROUND(tblContractForDeed[[#This Row],[Beg]]*(tblContractForDeed[[#This Row],[Int Rate]]/12),2))</f>
        <v>37.5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2222.71</v>
      </c>
      <c r="W149" s="265">
        <f>SUM(INDEX(tblContractForDeed[Princ],1):INDEX(tblContractForDeed[Princ],ROW()-ROW(tblContractForDeed[#Headers])))</f>
        <v>152837.68000000002</v>
      </c>
      <c r="X149" s="265">
        <f>IF(tblContractForDeed[[#This Row],[Beg]]&lt;=0,0,tblContractForDeed[[#This Row],[Beg]]-tblContractForDeed[[#This Row],[Princ]])</f>
        <v>3762.3199999999779</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1453.8</v>
      </c>
      <c r="AA149"/>
      <c r="AB149" s="14">
        <f>IF(INDEX(tblContractForDeed[Payment],ROW()-ROW(tblBuyerOutputs[#Headers]))=0,0,INDEX(tblContractForDeed[Payment],ROW()-ROW(tblBuyerOutputs[#Headers]))-INDEX(tblSubjectToLoan[Payment],ROW()-ROW(tblBuyerOutputs[#Headers])))-IFERROR(tblBuyerOutputs[[#This Row],[PMI]],0)</f>
        <v>1453.8</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171067.83999999985</v>
      </c>
      <c r="AD149" s="265">
        <f>IF(INDEX(tblContractForDeed[End Bal],ROW()-ROW(tblBuyerOutputs[#Headers]))&lt;=0,0,($O$6+IF(ROW()=ROW(tblBuyerOutputs[#Headers])+1,0,INDEX(tblBuyerOutputs[Cumul Appr],ROW()-ROW(tblBuyerOutputs[#Headers])-1)))*$O$2/12)</f>
        <v>1115.6522030694832</v>
      </c>
      <c r="AE149" s="588">
        <f>IF(INDEX(tblContractForDeed[End Bal],ROW()-ROW(tblBuyerOutputs[#Headers]))&lt;=0,0,IF(ROW()=ROW(tblBuyerOutputs[#Headers])+1,0,INDEX(tblBuyerOutputs[Cumul Appr],ROW()-ROW(tblBuyerOutputs[#Headers])-1))+tblBuyerOutputs[[#This Row],[Monthly Appr]])</f>
        <v>112272.18093974548</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3762.3199999999779</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50" s="265">
        <f>IF(tblContractForDeed[[#This Row],[Payment]]=0,0,MAX(0,MIN(tblContractForDeed[[#This Row],[Beg]],tblContractForDeed[[#This Row],[Payment]]-tblContractForDeed[[#This Row],[Int]])))</f>
        <v>1874.91</v>
      </c>
      <c r="S150" s="265">
        <f>IF(OR(tblContractForDeed[[#This Row],[Date]]&lt;cfdContractDate,tblContractForDeed[[#This Row],[Date]]&gt;cfdEndDate),0,ROUND(tblContractForDeed[[#This Row],[Beg]]*(tblContractForDeed[[#This Row],[Int Rate]]/12),2))</f>
        <v>25.08</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2222.71</v>
      </c>
      <c r="W150" s="265">
        <f>SUM(INDEX(tblContractForDeed[Princ],1):INDEX(tblContractForDeed[Princ],ROW()-ROW(tblContractForDeed[#Headers])))</f>
        <v>154712.59000000003</v>
      </c>
      <c r="X150" s="265">
        <f>IF(tblContractForDeed[[#This Row],[Beg]]&lt;=0,0,tblContractForDeed[[#This Row],[Beg]]-tblContractForDeed[[#This Row],[Princ]])</f>
        <v>1887.4099999999778</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1453.8</v>
      </c>
      <c r="AA150"/>
      <c r="AB150" s="14">
        <f>IF(INDEX(tblContractForDeed[Payment],ROW()-ROW(tblBuyerOutputs[#Headers]))=0,0,INDEX(tblContractForDeed[Payment],ROW()-ROW(tblBuyerOutputs[#Headers]))-INDEX(tblSubjectToLoan[Payment],ROW()-ROW(tblBuyerOutputs[#Headers])))-IFERROR(tblBuyerOutputs[[#This Row],[PMI]],0)</f>
        <v>1453.8</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172521.63999999984</v>
      </c>
      <c r="AD150" s="265">
        <f>IF(INDEX(tblContractForDeed[End Bal],ROW()-ROW(tblBuyerOutputs[#Headers]))&lt;=0,0,($O$6+IF(ROW()=ROW(tblBuyerOutputs[#Headers])+1,0,INDEX(tblBuyerOutputs[Cumul Appr],ROW()-ROW(tblBuyerOutputs[#Headers])-1)))*$O$2/12)</f>
        <v>1120.3007539156063</v>
      </c>
      <c r="AE150" s="588">
        <f>IF(INDEX(tblContractForDeed[End Bal],ROW()-ROW(tblBuyerOutputs[#Headers]))&lt;=0,0,IF(ROW()=ROW(tblBuyerOutputs[#Headers])+1,0,INDEX(tblBuyerOutputs[Cumul Appr],ROW()-ROW(tblBuyerOutputs[#Headers])-1))+tblBuyerOutputs[[#This Row],[Monthly Appr]])</f>
        <v>113392.48169366109</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1887.4099999999778</v>
      </c>
      <c r="P151" s="586">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1899.9899999999777</v>
      </c>
      <c r="R151" s="316">
        <f>IF(tblContractForDeed[[#This Row],[Payment]]=0,0,MAX(0,MIN(tblContractForDeed[[#This Row],[Beg]],tblContractForDeed[[#This Row],[Payment]]-tblContractForDeed[[#This Row],[Int]])))</f>
        <v>1887.4099999999778</v>
      </c>
      <c r="S151" s="316">
        <f>IF(OR(tblContractForDeed[[#This Row],[Date]]&lt;cfdContractDate,tblContractForDeed[[#This Row],[Date]]&gt;cfdEndDate),0,ROUND(tblContractForDeed[[#This Row],[Beg]]*(tblContractForDeed[[#This Row],[Int Rate]]/12),2))</f>
        <v>12.58</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2222.7099999999778</v>
      </c>
      <c r="W151" s="316">
        <f>SUM(INDEX(tblContractForDeed[Princ],1):INDEX(tblContractForDeed[Princ],ROW()-ROW(tblContractForDeed[#Headers])))</f>
        <v>156600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1453.7999999999777</v>
      </c>
      <c r="AA151" s="23"/>
      <c r="AB151" s="21">
        <f>IF(INDEX(tblContractForDeed[Payment],ROW()-ROW(tblBuyerOutputs[#Headers]))=0,0,INDEX(tblContractForDeed[Payment],ROW()-ROW(tblBuyerOutputs[#Headers]))-INDEX(tblSubjectToLoan[Payment],ROW()-ROW(tblBuyerOutputs[#Headers])))-IFERROR(tblBuyerOutputs[[#This Row],[PMI]],0)</f>
        <v>1453.7999999999777</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156600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156600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156600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156600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156600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156600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156600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156600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156600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156600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156600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156600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156600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156600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156600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156600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156600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156600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156600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156600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156600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156600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156600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156600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156600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156600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156600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156600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156600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156600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156600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156600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156600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156600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156600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156600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156600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156600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156600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156600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156600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156600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156600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156600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156600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156600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156600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156600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156600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156600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156600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156600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156600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156600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156600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156600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156600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156600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156600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156600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156600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156600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156600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156600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156600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156600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156600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156600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156600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156600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156600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156600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156600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156600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156600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156600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156600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156600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156600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156600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156600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156600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156600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156600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156600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156600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156600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156600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156600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156600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156600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156600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156600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156600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156600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156600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156600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156600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156600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156600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156600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156600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156600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156600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156600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156600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156600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156600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156600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156600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156600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156600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156600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156600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156600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156600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156600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156600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156600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156600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156600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156600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156600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156600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156600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156600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156600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156600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156600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156600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156600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156600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156600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156600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156600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156600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156600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156600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156600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156600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156600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156600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156600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156600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156600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156600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156600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156600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156600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156600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156600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156600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156600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156600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156600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156600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156600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156600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156600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156600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156600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156600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156600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156600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156600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156600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156600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156600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156600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156600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156600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156600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156600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156600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156600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156600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156600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156600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156600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156600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156600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156600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156600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156600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156600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156600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156600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156600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156600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156600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156600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156600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156600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156600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156600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156600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156600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156600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156600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156600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156600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156600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156600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156600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156600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156600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156600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156600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156600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156600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156600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156600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156600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156600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156600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156600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156600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156600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156600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156600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156600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156600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156600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156600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156600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156600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156600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156600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156600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156600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156600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156600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156600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156600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156600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156600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156600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156600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156600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156600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156600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156600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156600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156600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156600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156600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156600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156600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156600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156600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156600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156600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156600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156600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156600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156600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156600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156600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156600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156600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156600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156600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156600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156600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156600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156600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156600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156600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156600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156600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156600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156600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156600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156600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156600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156600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156600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156600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156600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156600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156600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156600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156600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156600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156600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156600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156600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156600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156600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156600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156600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156600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156600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156600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156600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156600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156600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156600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156600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156600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156600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156600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156600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156600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156600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156600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156600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156600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156600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156600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156600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156600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156600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156600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156600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156600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156600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156600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156600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156600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156600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156600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156600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156600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156600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156600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156600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156600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156600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156600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156600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156600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156600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156600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156600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156600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156600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156600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156600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156600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156600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156600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156600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156600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156600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156600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156600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156600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156600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156600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156600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156600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156600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156600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156600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156600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156600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156600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156600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156600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156600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156600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156600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156600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156600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156600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156600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156600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156600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156600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156600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156600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156600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156600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156600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156600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156600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156600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156600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156600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156600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156600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156600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156600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156600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156600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156600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156600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156600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156600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156600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156600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156600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156600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156600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156600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156600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156600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156600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156600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156600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156600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156600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156600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156600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156600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156600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156600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156600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156600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156600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156600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156600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156600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156600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156600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156600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156600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156600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156600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156600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156600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156600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156600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156600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156600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156600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156600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156600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156600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156600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156600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156600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156600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156600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156600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156600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156600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156600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156600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156600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156600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156600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156600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156600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156600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156600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156600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156600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156600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156600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156600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156600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156600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156600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156600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156600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156600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156600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156600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156600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156600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156600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156600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156600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156600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156600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156600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156600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156600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156600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156600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156600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156600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156600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156600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156600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156600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156600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156600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156600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156600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156600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156600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156600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156600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156600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156600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156600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156600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156600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156600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156600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156600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156600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156600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156600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156600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156600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156600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156600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156600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156600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156600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156600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156600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156600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156600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156600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156600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156600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156600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156600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156600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156600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156600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156600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156600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156600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156600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156600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156600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156600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156600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156600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156600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156600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156600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156600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156600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156600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156600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156600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156600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156600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156600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156600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156600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156600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156600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156600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156600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156600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156600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156600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156600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156600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156600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156600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156600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156600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156600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156600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156600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156600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156600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156600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156600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156600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156600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156600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156600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156600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156600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156600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156600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156600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156600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156600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156600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156600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156600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156600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156600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156600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156600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156600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156600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156600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156600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156600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156600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156600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156600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156600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156600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156600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156600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156600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156600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156600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156600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156600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156600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156600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156600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156600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156600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156600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156600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156600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156600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156600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156600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156600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156600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156600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156600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156600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156600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156600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156600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156600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156600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156600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156600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156600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156600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156600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156600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156600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156600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156600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156600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156600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156600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156600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156600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156600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156600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156600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156600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156600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156600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156600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156600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156600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156600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156600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156600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156600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156600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156600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156600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156600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156600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156600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156600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156600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156600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156600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156600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156600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156600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156600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156600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156600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156600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156600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156600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156600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156600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156600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156600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156600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156600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156600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156600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156600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156600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156600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156600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156600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156600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156600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156600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156600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156600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156600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156600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156600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156600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5:L5"/>
    <mergeCell ref="Q13:R13"/>
    <mergeCell ref="K4:L4"/>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156600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1899.99</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0.08</v>
      </c>
      <c r="I10" s="487"/>
    </row>
    <row r="11" spans="1:10" ht="13.5" customHeight="1" x14ac:dyDescent="0.25">
      <c r="A11" s="30" t="s">
        <v>645</v>
      </c>
      <c r="B11" s="509"/>
      <c r="C11" s="509"/>
      <c r="D11" s="30" t="s">
        <v>643</v>
      </c>
      <c r="F11" s="427"/>
      <c r="G11" s="30" t="s">
        <v>708</v>
      </c>
      <c r="H11" s="487" t="str">
        <f>IF(H2&gt;0,"X","")</f>
        <v>X</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156600</v>
      </c>
      <c r="I35" s="642" t="s">
        <v>1211</v>
      </c>
    </row>
    <row r="36" spans="1:10" ht="15.75" customHeight="1" x14ac:dyDescent="0.25">
      <c r="A36" s="30" t="s">
        <v>667</v>
      </c>
      <c r="B36" s="487" t="s">
        <v>673</v>
      </c>
      <c r="C36" s="497"/>
      <c r="D36" s="30" t="s">
        <v>1022</v>
      </c>
      <c r="E36" s="489"/>
      <c r="F36" s="25"/>
      <c r="G36" s="647" t="s">
        <v>1185</v>
      </c>
      <c r="H36" s="656">
        <f>+Amortization!AC3</f>
        <v>1899.99</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183900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81" t="s">
        <v>1080</v>
      </c>
      <c r="H48" s="881"/>
      <c r="I48" s="127"/>
      <c r="J48" s="127"/>
    </row>
    <row r="49" spans="2:11" ht="15.75" customHeight="1" x14ac:dyDescent="0.25">
      <c r="F49" s="426"/>
      <c r="G49" s="521" t="s">
        <v>1081</v>
      </c>
      <c r="H49" s="522">
        <f>tradeNetCreditIncluded</f>
        <v>0</v>
      </c>
      <c r="I49" s="127"/>
      <c r="J49" s="127"/>
    </row>
    <row r="50" spans="2:11" ht="15.75" customHeight="1" x14ac:dyDescent="0.25">
      <c r="F50" s="426"/>
      <c r="G50" s="521" t="s">
        <v>1082</v>
      </c>
      <c r="H50" s="522">
        <f>$B$39</f>
        <v>183900</v>
      </c>
      <c r="I50" s="127"/>
      <c r="J50" s="127"/>
    </row>
    <row r="51" spans="2:11" ht="15.75" customHeight="1" x14ac:dyDescent="0.25">
      <c r="F51" s="424"/>
      <c r="G51" s="521" t="s">
        <v>1083</v>
      </c>
      <c r="H51" s="522">
        <f>$B$38+$B$39+$H$49</f>
        <v>189900</v>
      </c>
      <c r="I51" s="127"/>
      <c r="J51" s="127"/>
    </row>
    <row r="52" spans="2:11" ht="15.75" customHeight="1" x14ac:dyDescent="0.25">
      <c r="F52" s="425"/>
      <c r="G52" s="521" t="s">
        <v>1084</v>
      </c>
      <c r="H52" s="522">
        <f>$B$37-$H$51</f>
        <v>156600</v>
      </c>
      <c r="I52" s="127"/>
      <c r="J52" s="127"/>
    </row>
    <row r="53" spans="2:11" ht="15.75" customHeight="1" x14ac:dyDescent="0.25">
      <c r="F53" s="424"/>
      <c r="G53" s="521" t="s">
        <v>1085</v>
      </c>
      <c r="H53" s="882" t="str">
        <f>tradePropertyListForDocs</f>
        <v/>
      </c>
      <c r="I53" s="672"/>
      <c r="J53" s="672"/>
      <c r="K53" s="672"/>
    </row>
    <row r="54" spans="2:11" ht="15.75" customHeight="1" x14ac:dyDescent="0.25">
      <c r="F54" s="445"/>
      <c r="G54" s="521" t="s">
        <v>1086</v>
      </c>
      <c r="H54" s="882" t="str">
        <f>tradePropertyConditionsForDocs</f>
        <v>Trade credit is not final until titles/bills of sale, lien releases or payoff documentation, possession/keys, tenant and rent information, and park/lot approvals are delivered and accepted.</v>
      </c>
      <c r="I54" s="672"/>
      <c r="J54" s="672"/>
      <c r="K54" s="672"/>
    </row>
    <row r="55" spans="2:11" ht="15.75" customHeight="1" x14ac:dyDescent="0.25">
      <c r="F55" s="445"/>
      <c r="G55" s="521" t="s">
        <v>1087</v>
      </c>
      <c r="H55" s="882" t="s">
        <v>1209</v>
      </c>
      <c r="I55" s="672"/>
      <c r="J55" s="672"/>
      <c r="K55" s="672"/>
    </row>
    <row r="56" spans="2:11" ht="15.75" customHeight="1" x14ac:dyDescent="0.25">
      <c r="F56" s="445"/>
      <c r="G56" s="521" t="s">
        <v>1088</v>
      </c>
      <c r="H56" s="882" t="s">
        <v>1089</v>
      </c>
      <c r="I56" s="672"/>
      <c r="J56" s="672"/>
      <c r="K56" s="672"/>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86" t="s">
        <v>1067</v>
      </c>
      <c r="S2" s="886"/>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K17</f>
        <v>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D17</f>
        <v>0</v>
      </c>
    </row>
    <row r="7" spans="1:19" s="22" customFormat="1" x14ac:dyDescent="0.25">
      <c r="R7" s="547" t="s">
        <v>1174</v>
      </c>
      <c r="S7" s="517">
        <f>C17</f>
        <v>0</v>
      </c>
    </row>
    <row r="8" spans="1:19" ht="36" customHeight="1" x14ac:dyDescent="0.3">
      <c r="A8" s="883" t="s">
        <v>1048</v>
      </c>
      <c r="B8" s="883"/>
      <c r="C8" s="883"/>
      <c r="D8" s="883"/>
      <c r="E8" s="883"/>
      <c r="F8" s="883"/>
      <c r="G8" s="883"/>
      <c r="H8" s="883"/>
      <c r="I8" s="883"/>
      <c r="J8" s="883"/>
      <c r="K8" s="883"/>
      <c r="L8" s="883"/>
      <c r="M8" s="883"/>
      <c r="N8" s="883"/>
      <c r="O8" s="883"/>
      <c r="R8" s="547" t="s">
        <v>1175</v>
      </c>
      <c r="S8" s="517">
        <f>E17</f>
        <v>0</v>
      </c>
    </row>
    <row r="9" spans="1:19" ht="36" customHeight="1" x14ac:dyDescent="0.25">
      <c r="A9" s="884" t="s">
        <v>1049</v>
      </c>
      <c r="B9" s="884"/>
      <c r="C9" s="884"/>
      <c r="D9" s="884"/>
      <c r="E9" s="884"/>
      <c r="F9" s="884"/>
      <c r="G9" s="884"/>
      <c r="H9" s="884"/>
      <c r="I9" s="884"/>
      <c r="J9" s="884"/>
      <c r="K9" s="884"/>
      <c r="L9" s="884"/>
      <c r="M9" s="884"/>
      <c r="N9" s="884"/>
      <c r="O9" s="884"/>
      <c r="R9" s="547" t="s">
        <v>1176</v>
      </c>
      <c r="S9" s="517">
        <f>F17</f>
        <v>0</v>
      </c>
    </row>
    <row r="10" spans="1:19" x14ac:dyDescent="0.25">
      <c r="A10" s="884"/>
      <c r="B10" s="884"/>
      <c r="C10" s="884"/>
      <c r="D10" s="884"/>
      <c r="E10" s="884"/>
      <c r="F10" s="884"/>
      <c r="G10" s="884"/>
      <c r="H10" s="884"/>
      <c r="I10" s="885"/>
      <c r="J10" s="884"/>
      <c r="K10" s="884"/>
      <c r="L10" s="884"/>
      <c r="M10" s="884"/>
      <c r="N10" s="884"/>
      <c r="O10" s="884"/>
      <c r="R10" s="547"/>
      <c r="S10" s="517"/>
    </row>
    <row r="11" spans="1:19" x14ac:dyDescent="0.25">
      <c r="G11" s="582"/>
      <c r="H11" s="582"/>
      <c r="I11" s="583">
        <v>0.1</v>
      </c>
      <c r="J11" s="533">
        <v>2</v>
      </c>
      <c r="R11" s="547" t="s">
        <v>1072</v>
      </c>
      <c r="S11" s="517">
        <f>S9/10%</f>
        <v>0</v>
      </c>
    </row>
    <row r="12" spans="1:19" x14ac:dyDescent="0.25">
      <c r="C12" s="887" t="s">
        <v>1165</v>
      </c>
      <c r="D12" s="888"/>
      <c r="E12" s="888"/>
      <c r="F12" s="888"/>
      <c r="G12" s="888"/>
      <c r="H12" s="888"/>
      <c r="I12" s="888"/>
      <c r="J12" s="888"/>
      <c r="K12" s="888"/>
      <c r="L12" s="672"/>
      <c r="M12" s="672"/>
      <c r="R12" s="547" t="s">
        <v>1073</v>
      </c>
      <c r="S12" s="517">
        <f>S9/12%</f>
        <v>0</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0</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0</v>
      </c>
      <c r="L14" s="534" t="b">
        <v>0</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0</v>
      </c>
      <c r="L15" s="534" t="b">
        <v>0</v>
      </c>
      <c r="M15" s="511" t="s">
        <v>1062</v>
      </c>
      <c r="N15" s="511" t="s">
        <v>1062</v>
      </c>
      <c r="O15" s="511" t="s">
        <v>1062</v>
      </c>
      <c r="R15" s="548" t="s">
        <v>1075</v>
      </c>
      <c r="S15" s="519" t="str">
        <f>_xlfn.TEXTJOIN("; ",TRUE,IF($L$14,$A$14&amp;" - "&amp;$B$14,""),IF($L$15,$A$15&amp;" - "&amp;$B$15,""),IF($L$16,$A$16&amp;" - "&amp;$B$16,""))</f>
        <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SUMIF($L$14:$L$16,TRUE,C14:C16)</f>
        <v>0</v>
      </c>
      <c r="D17" s="515">
        <f t="shared" si="4"/>
        <v>0</v>
      </c>
      <c r="E17" s="515">
        <f t="shared" si="4"/>
        <v>0</v>
      </c>
      <c r="F17" s="515">
        <f t="shared" si="4"/>
        <v>0</v>
      </c>
      <c r="G17" s="515">
        <f t="shared" si="4"/>
        <v>0</v>
      </c>
      <c r="H17" s="515">
        <f t="shared" si="4"/>
        <v>0</v>
      </c>
      <c r="I17" s="515">
        <f t="shared" si="4"/>
        <v>0</v>
      </c>
      <c r="J17" s="515">
        <f t="shared" ref="J17" si="5">SUM(J14:J16)</f>
        <v>0</v>
      </c>
      <c r="K17" s="515">
        <f>SUM(K14:K16)</f>
        <v>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905" t="s">
        <v>74</v>
      </c>
      <c r="D1" s="906"/>
      <c r="E1" s="672"/>
      <c r="I1" s="89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907" t="s">
        <v>75</v>
      </c>
      <c r="K1" s="899"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2"/>
      <c r="J2" s="907"/>
      <c r="K2" s="899"/>
    </row>
    <row r="3" spans="1:11" ht="16.5" customHeight="1" x14ac:dyDescent="0.25">
      <c r="A3" t="s">
        <v>76</v>
      </c>
      <c r="B3" s="218"/>
      <c r="C3" s="217"/>
      <c r="D3" s="22"/>
      <c r="I3" s="672"/>
      <c r="J3" s="211"/>
      <c r="K3" s="899"/>
    </row>
    <row r="4" spans="1:11" x14ac:dyDescent="0.25">
      <c r="A4" t="s">
        <v>77</v>
      </c>
      <c r="B4" s="216"/>
      <c r="C4" s="219"/>
      <c r="D4" s="22"/>
      <c r="I4" s="672"/>
      <c r="K4" s="899"/>
    </row>
    <row r="5" spans="1:11" ht="16.5" x14ac:dyDescent="0.3">
      <c r="A5" t="s">
        <v>78</v>
      </c>
      <c r="B5" s="206"/>
      <c r="C5" s="207"/>
      <c r="D5" s="22"/>
      <c r="I5" s="672"/>
      <c r="K5" s="899"/>
    </row>
    <row r="6" spans="1:11" ht="15" customHeight="1" thickBot="1" x14ac:dyDescent="0.3">
      <c r="A6" t="s">
        <v>79</v>
      </c>
      <c r="B6" s="208"/>
      <c r="C6" s="209"/>
      <c r="D6" s="22"/>
      <c r="I6" s="672"/>
      <c r="K6" s="899"/>
    </row>
    <row r="7" spans="1:11" x14ac:dyDescent="0.25">
      <c r="I7" s="672"/>
      <c r="K7" s="899"/>
    </row>
    <row r="8" spans="1:11" x14ac:dyDescent="0.25">
      <c r="I8" s="672"/>
      <c r="K8" s="899"/>
    </row>
    <row r="9" spans="1:11" x14ac:dyDescent="0.25">
      <c r="A9" s="15" t="s">
        <v>80</v>
      </c>
      <c r="B9" s="15" t="s">
        <v>81</v>
      </c>
      <c r="C9" s="15"/>
      <c r="I9" s="672"/>
      <c r="K9" s="899"/>
    </row>
    <row r="10" spans="1:11" x14ac:dyDescent="0.25">
      <c r="B10" s="908" t="s">
        <v>82</v>
      </c>
      <c r="C10" s="909"/>
      <c r="D10" s="909"/>
      <c r="E10" s="909"/>
      <c r="F10" s="909"/>
      <c r="G10" s="909"/>
      <c r="I10" s="672"/>
      <c r="K10" s="899"/>
    </row>
    <row r="11" spans="1:11" x14ac:dyDescent="0.25">
      <c r="B11" s="672"/>
      <c r="C11" s="672"/>
      <c r="D11" s="672"/>
      <c r="E11" s="672"/>
      <c r="F11" s="672"/>
      <c r="G11" s="672"/>
      <c r="I11" s="672"/>
      <c r="K11" s="899"/>
    </row>
    <row r="12" spans="1:11" x14ac:dyDescent="0.25">
      <c r="F12" s="898" t="s">
        <v>83</v>
      </c>
      <c r="I12" s="672"/>
      <c r="K12" s="899"/>
    </row>
    <row r="13" spans="1:11" ht="15.75" thickBot="1" x14ac:dyDescent="0.3">
      <c r="B13" s="31" t="s">
        <v>84</v>
      </c>
      <c r="C13" s="204" t="s">
        <v>85</v>
      </c>
      <c r="D13" s="31" t="s">
        <v>86</v>
      </c>
      <c r="E13" s="31"/>
      <c r="F13" s="728"/>
      <c r="G13" s="31" t="s">
        <v>87</v>
      </c>
      <c r="I13" s="672"/>
      <c r="K13" s="899"/>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72"/>
      <c r="K14" s="899"/>
    </row>
    <row r="15" spans="1:11" ht="16.5" thickTop="1" thickBot="1" x14ac:dyDescent="0.3">
      <c r="C15" s="177"/>
      <c r="D15" s="178" t="s">
        <v>88</v>
      </c>
      <c r="E15" s="179">
        <f>+Profit!$M$50</f>
        <v>-57150.065089000011</v>
      </c>
      <c r="H15" s="205"/>
      <c r="K15" s="899"/>
    </row>
    <row r="16" spans="1:11" ht="16.5" thickTop="1" thickBot="1" x14ac:dyDescent="0.3">
      <c r="C16" s="177"/>
      <c r="D16" s="180" t="s">
        <v>89</v>
      </c>
      <c r="E16" s="181">
        <f>+G14/E15</f>
        <v>-1.7197713587191952</v>
      </c>
      <c r="F16" s="213">
        <v>0.1</v>
      </c>
      <c r="H16" s="205" t="s">
        <v>90</v>
      </c>
      <c r="I16" s="89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9"/>
    </row>
    <row r="17" spans="1:13" ht="15.75" thickTop="1" x14ac:dyDescent="0.25">
      <c r="C17" s="177"/>
      <c r="D17" s="180" t="s">
        <v>91</v>
      </c>
      <c r="E17" s="181">
        <f>+G14/(F14+G14)</f>
        <v>0.95621931190375486</v>
      </c>
      <c r="F17" t="s">
        <v>92</v>
      </c>
      <c r="I17" s="899"/>
      <c r="K17" s="899"/>
    </row>
    <row r="18" spans="1:13" x14ac:dyDescent="0.25">
      <c r="I18" s="899"/>
      <c r="K18" s="899"/>
    </row>
    <row r="19" spans="1:13" ht="15.75" thickBot="1" x14ac:dyDescent="0.3">
      <c r="A19" s="15" t="s">
        <v>93</v>
      </c>
      <c r="B19" s="15" t="s">
        <v>94</v>
      </c>
      <c r="D19" s="15" t="s">
        <v>95</v>
      </c>
      <c r="H19">
        <f>IF(H20="X",1,0)</f>
        <v>0</v>
      </c>
      <c r="K19" s="899"/>
    </row>
    <row r="20" spans="1:13" ht="15" customHeight="1" thickTop="1" thickBot="1" x14ac:dyDescent="0.3">
      <c r="B20" t="s">
        <v>96</v>
      </c>
      <c r="H20" s="205"/>
      <c r="I20" s="89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9"/>
    </row>
    <row r="21" spans="1:13" ht="15.75" thickTop="1" x14ac:dyDescent="0.25">
      <c r="B21" t="s">
        <v>97</v>
      </c>
      <c r="I21" s="899"/>
      <c r="J21" s="202"/>
      <c r="K21" s="899"/>
      <c r="L21" s="201"/>
      <c r="M21" s="201"/>
    </row>
    <row r="22" spans="1:13" ht="30" x14ac:dyDescent="0.25">
      <c r="F22" s="61" t="s">
        <v>98</v>
      </c>
      <c r="I22" s="899"/>
      <c r="J22" s="201"/>
      <c r="K22" s="899"/>
      <c r="L22" s="201"/>
      <c r="M22" s="201"/>
    </row>
    <row r="23" spans="1:13" ht="15.75" thickBot="1" x14ac:dyDescent="0.3">
      <c r="B23" s="31" t="s">
        <v>99</v>
      </c>
      <c r="C23" s="901"/>
      <c r="D23" s="902"/>
      <c r="E23" s="902"/>
      <c r="F23" s="902"/>
      <c r="G23" s="31" t="s">
        <v>87</v>
      </c>
      <c r="I23" s="900"/>
      <c r="J23" s="201"/>
      <c r="K23" s="899"/>
      <c r="L23" s="201"/>
      <c r="M23" s="201"/>
    </row>
    <row r="24" spans="1:13" ht="16.5" thickTop="1" thickBot="1" x14ac:dyDescent="0.3">
      <c r="B24" s="212">
        <f>+SUM(Profit!C19:'Profit'!C20)</f>
        <v>5000</v>
      </c>
      <c r="C24" s="903" t="s">
        <v>100</v>
      </c>
      <c r="D24" s="904"/>
      <c r="E24" s="904"/>
      <c r="F24" s="10">
        <f>+B24</f>
        <v>5000</v>
      </c>
      <c r="G24" s="182">
        <f>+Profit!M62</f>
        <v>145229.66617587986</v>
      </c>
      <c r="I24" s="672"/>
      <c r="K24" s="899"/>
    </row>
    <row r="25" spans="1:13" ht="15.4" customHeight="1" thickTop="1" thickBot="1" x14ac:dyDescent="0.3">
      <c r="C25" s="177"/>
      <c r="D25" s="178" t="s">
        <v>88</v>
      </c>
      <c r="E25" s="179">
        <f>+Profit!$M$50</f>
        <v>-57150.065089000011</v>
      </c>
      <c r="H25">
        <f>IF(H26="X",1+H19,H19)</f>
        <v>1</v>
      </c>
      <c r="K25" s="899"/>
    </row>
    <row r="26" spans="1:13" ht="15" customHeight="1" thickTop="1" thickBot="1" x14ac:dyDescent="0.3">
      <c r="C26" s="177"/>
      <c r="D26" s="180" t="s">
        <v>89</v>
      </c>
      <c r="E26" s="181">
        <f>+G24/E25</f>
        <v>-2.541198613679847</v>
      </c>
      <c r="H26" s="205" t="s">
        <v>101</v>
      </c>
      <c r="I26" s="89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9"/>
    </row>
    <row r="27" spans="1:13" ht="15" customHeight="1" thickTop="1" x14ac:dyDescent="0.25">
      <c r="C27" s="177"/>
      <c r="D27" s="180" t="s">
        <v>91</v>
      </c>
      <c r="E27" s="181">
        <f>+G24/(F24+G24)</f>
        <v>0.966717625571062</v>
      </c>
      <c r="I27" s="899"/>
      <c r="K27" s="899"/>
    </row>
    <row r="28" spans="1:13" ht="15" customHeight="1" x14ac:dyDescent="0.25">
      <c r="I28" s="899"/>
      <c r="K28" s="899"/>
    </row>
    <row r="29" spans="1:13" x14ac:dyDescent="0.25">
      <c r="A29" s="15"/>
      <c r="B29" s="15"/>
      <c r="I29" s="900"/>
      <c r="K29" s="899"/>
    </row>
    <row r="30" spans="1:13" x14ac:dyDescent="0.25">
      <c r="A30" s="15" t="s">
        <v>102</v>
      </c>
      <c r="B30" s="15" t="s">
        <v>103</v>
      </c>
      <c r="D30" t="s">
        <v>104</v>
      </c>
      <c r="I30" s="672"/>
      <c r="K30" s="899"/>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9"/>
    </row>
    <row r="32" spans="1:13" ht="15.75" thickBot="1" x14ac:dyDescent="0.3">
      <c r="B32" t="s">
        <v>97</v>
      </c>
      <c r="H32">
        <f>IF(H33="X",H25+1,H25)</f>
        <v>2</v>
      </c>
      <c r="K32" s="899"/>
    </row>
    <row r="33" spans="1:13" ht="15" customHeight="1" thickTop="1" thickBot="1" x14ac:dyDescent="0.3">
      <c r="H33" s="205" t="s">
        <v>101</v>
      </c>
      <c r="I33" s="89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9"/>
    </row>
    <row r="34" spans="1:13" ht="16.5" thickTop="1" thickBot="1" x14ac:dyDescent="0.3">
      <c r="C34" s="2" t="s">
        <v>105</v>
      </c>
      <c r="D34" s="3" t="s">
        <v>106</v>
      </c>
      <c r="F34" s="3" t="s">
        <v>107</v>
      </c>
      <c r="I34" s="899"/>
      <c r="K34" s="899"/>
    </row>
    <row r="35" spans="1:13" ht="16.5" thickTop="1" thickBot="1" x14ac:dyDescent="0.3">
      <c r="B35" s="210" t="s">
        <v>108</v>
      </c>
      <c r="C35" s="184">
        <v>10400</v>
      </c>
      <c r="D35" s="176">
        <v>60</v>
      </c>
      <c r="F35" s="898" t="s">
        <v>98</v>
      </c>
      <c r="I35" s="899"/>
      <c r="K35" s="899"/>
    </row>
    <row r="36" spans="1:13" ht="16.5" thickTop="1" thickBot="1" x14ac:dyDescent="0.3">
      <c r="B36" s="31" t="s">
        <v>109</v>
      </c>
      <c r="C36" s="31" t="s">
        <v>110</v>
      </c>
      <c r="D36" s="31" t="s">
        <v>111</v>
      </c>
      <c r="E36" s="31" t="s">
        <v>112</v>
      </c>
      <c r="F36" s="728"/>
      <c r="G36" s="31" t="s">
        <v>87</v>
      </c>
      <c r="I36" s="899"/>
      <c r="K36" s="899"/>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132089.66617587986</v>
      </c>
      <c r="I37" s="899"/>
      <c r="K37" s="899"/>
    </row>
    <row r="38" spans="1:13" ht="16.5" thickTop="1" thickBot="1" x14ac:dyDescent="0.3">
      <c r="B38" s="186">
        <v>0.34</v>
      </c>
      <c r="C38" s="200">
        <f>1-B38</f>
        <v>0.65999999999999992</v>
      </c>
      <c r="D38" s="10"/>
      <c r="E38" s="36"/>
      <c r="F38" s="10"/>
      <c r="G38" s="10"/>
      <c r="I38" s="899"/>
      <c r="K38" s="899"/>
    </row>
    <row r="39" spans="1:13" ht="15.4" customHeight="1" thickTop="1" x14ac:dyDescent="0.25">
      <c r="B39" s="10"/>
      <c r="C39" s="182"/>
      <c r="D39" s="178" t="s">
        <v>88</v>
      </c>
      <c r="E39" s="179">
        <f>+Profit!$M$50-C37+C35</f>
        <v>-60450.065089000011</v>
      </c>
      <c r="F39" s="10"/>
      <c r="G39" s="10"/>
      <c r="I39" s="899"/>
      <c r="K39" s="899"/>
    </row>
    <row r="40" spans="1:13" x14ac:dyDescent="0.25">
      <c r="C40" s="177"/>
      <c r="D40" s="180" t="s">
        <v>89</v>
      </c>
      <c r="E40" s="181">
        <f>+G37/E39</f>
        <v>-2.1851037874219918</v>
      </c>
      <c r="I40" s="899"/>
      <c r="K40" s="899"/>
    </row>
    <row r="41" spans="1:13" ht="15" customHeight="1" thickBot="1" x14ac:dyDescent="0.3">
      <c r="C41" s="177"/>
      <c r="D41" s="180" t="s">
        <v>91</v>
      </c>
      <c r="E41" s="181">
        <f>+G37/(F37+G37)</f>
        <v>0.87925154557181284</v>
      </c>
      <c r="H41">
        <f>IF(H42="X",H32+1,H32)</f>
        <v>2</v>
      </c>
      <c r="K41" s="899"/>
    </row>
    <row r="42" spans="1:13" ht="16.5" thickTop="1" thickBot="1" x14ac:dyDescent="0.3">
      <c r="A42" s="15" t="s">
        <v>113</v>
      </c>
      <c r="B42" s="15" t="s">
        <v>114</v>
      </c>
      <c r="H42" s="205"/>
      <c r="I42" s="89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$105,090.77   *    Expected 3% appreciation per year
                          Expected Value:                    $115,090.77    ** After 60 months.</v>
      </c>
      <c r="K42" s="899"/>
    </row>
    <row r="43" spans="1:13" ht="15.75" thickTop="1" x14ac:dyDescent="0.25">
      <c r="B43" t="s">
        <v>96</v>
      </c>
      <c r="I43" s="899"/>
      <c r="K43" s="672"/>
      <c r="M43" s="188"/>
    </row>
    <row r="44" spans="1:13" x14ac:dyDescent="0.25">
      <c r="B44" t="s">
        <v>97</v>
      </c>
      <c r="I44" s="899"/>
      <c r="K44" s="672"/>
    </row>
    <row r="45" spans="1:13" ht="15" customHeight="1" x14ac:dyDescent="0.25">
      <c r="B45" t="s">
        <v>115</v>
      </c>
      <c r="I45" s="899"/>
      <c r="K45" s="672"/>
    </row>
    <row r="46" spans="1:13" x14ac:dyDescent="0.25">
      <c r="B46" t="s">
        <v>116</v>
      </c>
      <c r="I46" s="899"/>
      <c r="K46" s="672"/>
    </row>
    <row r="47" spans="1:13" x14ac:dyDescent="0.25">
      <c r="F47" s="3" t="s">
        <v>117</v>
      </c>
      <c r="I47" s="899"/>
      <c r="K47" s="672"/>
    </row>
    <row r="48" spans="1:13" x14ac:dyDescent="0.25">
      <c r="C48" s="898" t="s">
        <v>118</v>
      </c>
      <c r="D48" s="898" t="s">
        <v>119</v>
      </c>
      <c r="E48" s="898" t="s">
        <v>120</v>
      </c>
      <c r="F48" s="898" t="s">
        <v>98</v>
      </c>
      <c r="I48" s="899"/>
      <c r="K48" s="672"/>
    </row>
    <row r="49" spans="1:11" ht="15.75" thickBot="1" x14ac:dyDescent="0.3">
      <c r="B49" s="3" t="s">
        <v>109</v>
      </c>
      <c r="C49" s="728" t="s">
        <v>118</v>
      </c>
      <c r="D49" s="728" t="s">
        <v>119</v>
      </c>
      <c r="E49" s="728" t="s">
        <v>121</v>
      </c>
      <c r="F49" s="728"/>
      <c r="G49" s="31" t="s">
        <v>87</v>
      </c>
      <c r="I49" s="899"/>
      <c r="K49" s="672"/>
    </row>
    <row r="50" spans="1:11" ht="16.5" thickTop="1" thickBot="1" x14ac:dyDescent="0.3">
      <c r="B50" s="184">
        <v>10000</v>
      </c>
      <c r="C50" s="8">
        <f>+Profit!$M$62+Profit!C20-B50+(Profit!M7*Profit!B9/12*Profit!B4)</f>
        <v>150129.66617587986</v>
      </c>
      <c r="D50" s="175">
        <v>0.7</v>
      </c>
      <c r="E50" s="10">
        <f>+D50*C50</f>
        <v>105090.76632311589</v>
      </c>
      <c r="F50" s="10">
        <f>+B50+E50</f>
        <v>115090.76632311589</v>
      </c>
      <c r="G50" s="182">
        <f>(1-D50)*C50</f>
        <v>45038.899852763963</v>
      </c>
      <c r="I50" s="899"/>
      <c r="K50" s="672"/>
    </row>
    <row r="51" spans="1:11" ht="15.75" thickTop="1" x14ac:dyDescent="0.25">
      <c r="D51" s="15" t="s">
        <v>122</v>
      </c>
      <c r="I51" s="203"/>
      <c r="K51" s="672"/>
    </row>
    <row r="52" spans="1:11" x14ac:dyDescent="0.25">
      <c r="C52" s="177"/>
      <c r="D52" s="178" t="s">
        <v>88</v>
      </c>
      <c r="E52" s="179">
        <f>+Profit!$M$50-B24+B50</f>
        <v>-52150.065089000011</v>
      </c>
      <c r="H52" t="s">
        <v>90</v>
      </c>
      <c r="I52" s="89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2"/>
    </row>
    <row r="53" spans="1:11" ht="15" customHeight="1" x14ac:dyDescent="0.25">
      <c r="C53" s="177"/>
      <c r="D53" s="180" t="s">
        <v>89</v>
      </c>
      <c r="E53" s="181">
        <f>+G50/E52</f>
        <v>-0.86364033824118847</v>
      </c>
      <c r="I53" s="672"/>
      <c r="K53" s="672"/>
    </row>
    <row r="54" spans="1:11" x14ac:dyDescent="0.25">
      <c r="C54" s="177"/>
      <c r="D54" s="180" t="s">
        <v>91</v>
      </c>
      <c r="E54" s="181">
        <f>+G50/(F50+G50)</f>
        <v>0.28126518295051639</v>
      </c>
      <c r="I54" s="672"/>
      <c r="K54" s="672"/>
    </row>
    <row r="55" spans="1:11" ht="15" customHeight="1" x14ac:dyDescent="0.25">
      <c r="I55" s="672"/>
      <c r="K55" s="672"/>
    </row>
    <row r="56" spans="1:11" ht="15.75" thickBot="1" x14ac:dyDescent="0.3">
      <c r="B56" s="15" t="s">
        <v>123</v>
      </c>
      <c r="D56" t="s">
        <v>124</v>
      </c>
      <c r="I56" s="672"/>
      <c r="K56" s="672"/>
    </row>
    <row r="57" spans="1:11" x14ac:dyDescent="0.25">
      <c r="A57" s="88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90"/>
      <c r="C57" s="890"/>
      <c r="D57" s="890"/>
      <c r="E57" s="890"/>
      <c r="F57" s="890"/>
      <c r="G57" s="891"/>
      <c r="I57" s="672"/>
      <c r="K57" s="672"/>
    </row>
    <row r="58" spans="1:11" x14ac:dyDescent="0.25">
      <c r="A58" s="892"/>
      <c r="B58" s="893"/>
      <c r="C58" s="893"/>
      <c r="D58" s="893"/>
      <c r="E58" s="893"/>
      <c r="F58" s="893"/>
      <c r="G58" s="894"/>
      <c r="I58" s="672"/>
      <c r="K58" s="672"/>
    </row>
    <row r="59" spans="1:11" x14ac:dyDescent="0.25">
      <c r="A59" s="892"/>
      <c r="B59" s="893"/>
      <c r="C59" s="893"/>
      <c r="D59" s="893"/>
      <c r="E59" s="893"/>
      <c r="F59" s="893"/>
      <c r="G59" s="894"/>
      <c r="K59" s="672"/>
    </row>
    <row r="60" spans="1:11" x14ac:dyDescent="0.25">
      <c r="A60" s="892"/>
      <c r="B60" s="893"/>
      <c r="C60" s="893"/>
      <c r="D60" s="893"/>
      <c r="E60" s="893"/>
      <c r="F60" s="893"/>
      <c r="G60" s="894"/>
      <c r="K60" s="672"/>
    </row>
    <row r="61" spans="1:11" x14ac:dyDescent="0.25">
      <c r="A61" s="892"/>
      <c r="B61" s="893"/>
      <c r="C61" s="893"/>
      <c r="D61" s="893"/>
      <c r="E61" s="893"/>
      <c r="F61" s="893"/>
      <c r="G61" s="894"/>
      <c r="H61" t="s">
        <v>90</v>
      </c>
      <c r="I61" s="89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2"/>
    </row>
    <row r="62" spans="1:11" x14ac:dyDescent="0.25">
      <c r="A62" s="892"/>
      <c r="B62" s="893"/>
      <c r="C62" s="893"/>
      <c r="D62" s="893"/>
      <c r="E62" s="893"/>
      <c r="F62" s="893"/>
      <c r="G62" s="894"/>
      <c r="I62" s="672"/>
      <c r="K62" s="672"/>
    </row>
    <row r="63" spans="1:11" x14ac:dyDescent="0.25">
      <c r="A63" s="892"/>
      <c r="B63" s="893"/>
      <c r="C63" s="893"/>
      <c r="D63" s="893"/>
      <c r="E63" s="893"/>
      <c r="F63" s="893"/>
      <c r="G63" s="894"/>
      <c r="I63" s="672"/>
      <c r="K63" s="672"/>
    </row>
    <row r="64" spans="1:11" x14ac:dyDescent="0.25">
      <c r="A64" s="892"/>
      <c r="B64" s="893"/>
      <c r="C64" s="893"/>
      <c r="D64" s="893"/>
      <c r="E64" s="893"/>
      <c r="F64" s="893"/>
      <c r="G64" s="894"/>
      <c r="I64" s="672"/>
      <c r="K64" s="672"/>
    </row>
    <row r="65" spans="1:11" x14ac:dyDescent="0.25">
      <c r="A65" s="892"/>
      <c r="B65" s="893"/>
      <c r="C65" s="893"/>
      <c r="D65" s="893"/>
      <c r="E65" s="893"/>
      <c r="F65" s="893"/>
      <c r="G65" s="894"/>
      <c r="I65" s="672"/>
      <c r="K65" s="672"/>
    </row>
    <row r="66" spans="1:11" x14ac:dyDescent="0.25">
      <c r="A66" s="892"/>
      <c r="B66" s="893"/>
      <c r="C66" s="893"/>
      <c r="D66" s="893"/>
      <c r="E66" s="893"/>
      <c r="F66" s="893"/>
      <c r="G66" s="894"/>
      <c r="I66" s="672"/>
      <c r="K66" s="672"/>
    </row>
    <row r="67" spans="1:11" x14ac:dyDescent="0.25">
      <c r="A67" s="892"/>
      <c r="B67" s="893"/>
      <c r="C67" s="893"/>
      <c r="D67" s="893"/>
      <c r="E67" s="893"/>
      <c r="F67" s="893"/>
      <c r="G67" s="894"/>
      <c r="I67" s="672"/>
      <c r="K67" s="672"/>
    </row>
    <row r="68" spans="1:11" x14ac:dyDescent="0.25">
      <c r="A68" s="892"/>
      <c r="B68" s="893"/>
      <c r="C68" s="893"/>
      <c r="D68" s="893"/>
      <c r="E68" s="893"/>
      <c r="F68" s="893"/>
      <c r="G68" s="894"/>
      <c r="I68" s="672"/>
    </row>
    <row r="69" spans="1:11" x14ac:dyDescent="0.25">
      <c r="A69" s="892"/>
      <c r="B69" s="893"/>
      <c r="C69" s="893"/>
      <c r="D69" s="893"/>
      <c r="E69" s="893"/>
      <c r="F69" s="893"/>
      <c r="G69" s="894"/>
      <c r="I69" s="672"/>
    </row>
    <row r="70" spans="1:11" x14ac:dyDescent="0.25">
      <c r="A70" s="892"/>
      <c r="B70" s="893"/>
      <c r="C70" s="893"/>
      <c r="D70" s="893"/>
      <c r="E70" s="893"/>
      <c r="F70" s="893"/>
      <c r="G70" s="894"/>
      <c r="I70" s="672"/>
    </row>
    <row r="71" spans="1:11" x14ac:dyDescent="0.25">
      <c r="A71" s="892"/>
      <c r="B71" s="893"/>
      <c r="C71" s="893"/>
      <c r="D71" s="893"/>
      <c r="E71" s="893"/>
      <c r="F71" s="893"/>
      <c r="G71" s="894"/>
      <c r="I71" s="672"/>
    </row>
    <row r="72" spans="1:11" x14ac:dyDescent="0.25">
      <c r="A72" s="892"/>
      <c r="B72" s="893"/>
      <c r="C72" s="893"/>
      <c r="D72" s="893"/>
      <c r="E72" s="893"/>
      <c r="F72" s="893"/>
      <c r="G72" s="894"/>
      <c r="I72" s="672"/>
    </row>
    <row r="73" spans="1:11" x14ac:dyDescent="0.25">
      <c r="A73" s="892"/>
      <c r="B73" s="893"/>
      <c r="C73" s="893"/>
      <c r="D73" s="893"/>
      <c r="E73" s="893"/>
      <c r="F73" s="893"/>
      <c r="G73" s="894"/>
    </row>
    <row r="74" spans="1:11" x14ac:dyDescent="0.25">
      <c r="A74" s="892"/>
      <c r="B74" s="893"/>
      <c r="C74" s="893"/>
      <c r="D74" s="893"/>
      <c r="E74" s="893"/>
      <c r="F74" s="893"/>
      <c r="G74" s="894"/>
      <c r="H74" t="s">
        <v>90</v>
      </c>
      <c r="I74" s="187" t="str">
        <f>"Sincerely,
Wes Browning"</f>
        <v>Sincerely,
Wes Browning</v>
      </c>
    </row>
    <row r="75" spans="1:11" ht="15" customHeight="1" x14ac:dyDescent="0.25">
      <c r="A75" s="892"/>
      <c r="B75" s="893"/>
      <c r="C75" s="893"/>
      <c r="D75" s="893"/>
      <c r="E75" s="893"/>
      <c r="F75" s="893"/>
      <c r="G75" s="894"/>
      <c r="I75" s="187"/>
    </row>
    <row r="76" spans="1:11" x14ac:dyDescent="0.25">
      <c r="A76" s="892"/>
      <c r="B76" s="893"/>
      <c r="C76" s="893"/>
      <c r="D76" s="893"/>
      <c r="E76" s="893"/>
      <c r="F76" s="893"/>
      <c r="G76" s="894"/>
      <c r="I76" s="187"/>
    </row>
    <row r="77" spans="1:11" x14ac:dyDescent="0.25">
      <c r="A77" s="892"/>
      <c r="B77" s="893"/>
      <c r="C77" s="893"/>
      <c r="D77" s="893"/>
      <c r="E77" s="893"/>
      <c r="F77" s="893"/>
      <c r="G77" s="894"/>
    </row>
    <row r="78" spans="1:11" x14ac:dyDescent="0.25">
      <c r="A78" s="892"/>
      <c r="B78" s="893"/>
      <c r="C78" s="893"/>
      <c r="D78" s="893"/>
      <c r="E78" s="893"/>
      <c r="F78" s="893"/>
      <c r="G78" s="894"/>
    </row>
    <row r="79" spans="1:11" ht="15.75" thickBot="1" x14ac:dyDescent="0.3">
      <c r="A79" s="895"/>
      <c r="B79" s="896"/>
      <c r="C79" s="896"/>
      <c r="D79" s="896"/>
      <c r="E79" s="896"/>
      <c r="F79" s="896"/>
      <c r="G79" s="897"/>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5" t="s">
        <v>814</v>
      </c>
      <c r="B1" s="916"/>
      <c r="C1" s="917"/>
      <c r="D1" s="915" t="s">
        <v>469</v>
      </c>
      <c r="E1" s="916"/>
      <c r="F1" s="917"/>
      <c r="G1" s="915" t="s">
        <v>581</v>
      </c>
      <c r="H1" s="916"/>
      <c r="I1" s="917"/>
      <c r="J1" s="915" t="s">
        <v>860</v>
      </c>
      <c r="K1" s="916"/>
      <c r="L1" s="917"/>
      <c r="M1" s="915" t="s">
        <v>470</v>
      </c>
      <c r="N1" s="916"/>
      <c r="O1" s="917"/>
      <c r="P1" s="915" t="s">
        <v>861</v>
      </c>
      <c r="Q1" s="916"/>
      <c r="R1" s="917"/>
      <c r="S1" s="915" t="s">
        <v>862</v>
      </c>
      <c r="T1" s="916"/>
      <c r="U1" s="917"/>
      <c r="V1" s="915" t="s">
        <v>580</v>
      </c>
      <c r="W1" s="916"/>
      <c r="X1" s="917"/>
      <c r="Y1" s="915" t="s">
        <v>628</v>
      </c>
      <c r="Z1" s="916"/>
      <c r="AA1" s="917"/>
      <c r="AB1" s="915" t="s">
        <v>863</v>
      </c>
      <c r="AC1" s="916"/>
      <c r="AD1" s="917"/>
      <c r="AE1" s="915" t="s">
        <v>864</v>
      </c>
      <c r="AF1" s="916"/>
      <c r="AG1" s="917"/>
      <c r="AH1" s="61"/>
      <c r="AI1" s="918"/>
      <c r="AJ1" s="906"/>
      <c r="AK1" s="906"/>
      <c r="AL1" s="906"/>
      <c r="AM1" s="906"/>
      <c r="AN1" s="906"/>
      <c r="AO1" s="906"/>
      <c r="AP1" s="906"/>
      <c r="AQ1" s="906"/>
      <c r="AR1" s="906"/>
      <c r="AS1" s="906"/>
    </row>
    <row r="2" spans="1:45" ht="15" customHeight="1" x14ac:dyDescent="0.25">
      <c r="C2" s="300"/>
      <c r="F2" s="300"/>
      <c r="I2" s="300"/>
      <c r="L2" s="300"/>
      <c r="O2" s="300"/>
      <c r="R2" s="300"/>
      <c r="U2" s="300"/>
      <c r="X2" s="300"/>
      <c r="AA2" s="912"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3"/>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10">
        <f>SUMIFS(tblCarryingExpenses[Amount],tblCarryingExpenses[Category],IF(A1="Mortgage Payment paid after Reinstatement","Mortgage Payment",A1),tblCarryingExpenses[Include],"Yes")</f>
        <v>89.949999999999989</v>
      </c>
      <c r="C25" s="911"/>
      <c r="D25" s="23"/>
      <c r="E25" s="910">
        <f>SUMIFS(tblCarryingExpenses[Amount],tblCarryingExpenses[Category],IF(D1="Mortgage Payment paid after Reinstatement","Mortgage Payment",D1),tblCarryingExpenses[Include],"Yes")</f>
        <v>3302.9500000000003</v>
      </c>
      <c r="F25" s="914"/>
      <c r="G25" s="479"/>
      <c r="H25" s="910">
        <f>SUMIFS(tblCarryingExpenses[Amount],tblCarryingExpenses[Category],IF(G1="Mortgage Payment paid after Reinstatement","Mortgage Payment",G1),tblCarryingExpenses[Include],"Yes")</f>
        <v>13745.550000000005</v>
      </c>
      <c r="I25" s="911"/>
      <c r="J25" s="479"/>
      <c r="K25" s="910">
        <f>SUMIFS(tblCarryingExpenses[Amount],tblCarryingExpenses[Category],IF(J1="Mortgage Payment paid after Reinstatement","Mortgage Payment",J1),tblCarryingExpenses[Include],"Yes")</f>
        <v>0</v>
      </c>
      <c r="L25" s="911"/>
      <c r="M25" s="479"/>
      <c r="N25" s="910">
        <f>SUMIFS(tblCarryingExpenses[Amount],tblCarryingExpenses[Category],IF(M1="Mortgage Payment paid after Reinstatement","Mortgage Payment",M1),tblCarryingExpenses[Include],"Yes")</f>
        <v>0</v>
      </c>
      <c r="O25" s="911"/>
      <c r="P25" s="479"/>
      <c r="Q25" s="910">
        <f>SUMIFS(tblCarryingExpenses[Amount],tblCarryingExpenses[Category],IF(P1="Mortgage Payment paid after Reinstatement","Mortgage Payment",P1),tblCarryingExpenses[Include],"Yes")</f>
        <v>277.64</v>
      </c>
      <c r="R25" s="911"/>
      <c r="S25" s="479"/>
      <c r="T25" s="910">
        <f>SUMIFS(tblCarryingExpenses[Amount],tblCarryingExpenses[Category],IF(S1="Mortgage Payment paid after Reinstatement","Mortgage Payment",S1),tblCarryingExpenses[Include],"Yes")</f>
        <v>0</v>
      </c>
      <c r="U25" s="911"/>
      <c r="V25" s="479"/>
      <c r="W25" s="910">
        <f>SUMIFS(tblCarryingExpenses[Amount],tblCarryingExpenses[Category],IF(V1="Mortgage Payment paid after Reinstatement","Mortgage Payment",V1),tblCarryingExpenses[Include],"Yes")</f>
        <v>0</v>
      </c>
      <c r="X25" s="911"/>
      <c r="Y25" s="479"/>
      <c r="Z25" s="910">
        <f>SUM(Z4:AA23)</f>
        <v>0</v>
      </c>
      <c r="AA25" s="911"/>
      <c r="AB25" s="479"/>
      <c r="AC25" s="910">
        <f>SUMIFS(tblCarryingExpenses[Amount],tblCarryingExpenses[Category],IF(AB1="Mortgage Payment paid after Reinstatement","Mortgage Payment",AB1),tblCarryingExpenses[Include],"Yes")</f>
        <v>0</v>
      </c>
      <c r="AD25" s="911"/>
      <c r="AE25" s="479"/>
      <c r="AF25" s="910">
        <f>SUMIFS(tblCarryingExpenses[Amount],tblCarryingExpenses[Category],IF(AE1="Mortgage Payment paid after Reinstatement","Mortgage Payment",AE1),tblCarryingExpenses[Include],"Yes")</f>
        <v>0</v>
      </c>
      <c r="AG25" s="911"/>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9" t="e">
        <f>"Preassigned Rows Indicating Payment or Scheduling by " &amp;Profit!#REF!&amp;" Your Home"</f>
        <v>#REF!</v>
      </c>
      <c r="C2" s="920"/>
      <c r="E2" s="54"/>
    </row>
    <row r="3" spans="1:13" ht="15.75" hidden="1" thickBot="1" x14ac:dyDescent="0.3">
      <c r="B3" s="921"/>
      <c r="C3" s="922"/>
      <c r="E3" s="54"/>
    </row>
    <row r="4" spans="1:13" hidden="1" x14ac:dyDescent="0.25">
      <c r="B4" s="927" t="s">
        <v>168</v>
      </c>
      <c r="C4" s="928"/>
      <c r="E4" s="54"/>
    </row>
    <row r="5" spans="1:13" ht="15.75" hidden="1" thickBot="1" x14ac:dyDescent="0.3">
      <c r="B5" s="929"/>
      <c r="C5" s="930"/>
      <c r="E5" s="54"/>
    </row>
    <row r="6" spans="1:13" hidden="1" x14ac:dyDescent="0.25">
      <c r="B6" s="923" t="s">
        <v>169</v>
      </c>
      <c r="C6" s="924"/>
      <c r="E6" s="54"/>
    </row>
    <row r="7" spans="1:13" ht="15.75" hidden="1" thickBot="1" x14ac:dyDescent="0.3">
      <c r="B7" s="925"/>
      <c r="C7" s="926"/>
    </row>
    <row r="8" spans="1:13" hidden="1" x14ac:dyDescent="0.25">
      <c r="B8" s="931" t="s">
        <v>170</v>
      </c>
      <c r="C8" s="932"/>
    </row>
    <row r="9" spans="1:13" ht="15.75" hidden="1" thickBot="1" x14ac:dyDescent="0.3">
      <c r="B9" s="933"/>
      <c r="C9" s="934"/>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tabSelected="1"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668" t="s">
        <v>192</v>
      </c>
      <c r="B1" s="669"/>
      <c r="C1" s="669"/>
      <c r="D1" s="669"/>
      <c r="E1" s="669"/>
      <c r="F1" s="669"/>
      <c r="G1" s="669"/>
      <c r="H1" s="670"/>
      <c r="I1" s="659" t="s">
        <v>193</v>
      </c>
      <c r="J1" s="660"/>
      <c r="K1" s="660"/>
      <c r="L1" s="660"/>
      <c r="M1" s="660"/>
      <c r="N1" s="661"/>
      <c r="P1" s="30" t="s">
        <v>194</v>
      </c>
      <c r="Q1" s="15">
        <v>1</v>
      </c>
      <c r="R1" s="59" t="s">
        <v>195</v>
      </c>
      <c r="S1" s="15">
        <v>4</v>
      </c>
    </row>
    <row r="2" spans="1:19" x14ac:dyDescent="0.25">
      <c r="A2" s="671"/>
      <c r="B2" s="672"/>
      <c r="C2" s="672"/>
      <c r="D2" s="672"/>
      <c r="E2" s="672"/>
      <c r="F2" s="672"/>
      <c r="G2" s="672"/>
      <c r="H2" s="673"/>
      <c r="I2" s="662"/>
      <c r="J2" s="663"/>
      <c r="K2" s="663"/>
      <c r="L2" s="663"/>
      <c r="M2" s="663"/>
      <c r="N2" s="664"/>
      <c r="P2" s="30" t="s">
        <v>196</v>
      </c>
      <c r="Q2" s="15">
        <v>2</v>
      </c>
      <c r="R2" s="30" t="s">
        <v>197</v>
      </c>
      <c r="S2" s="15">
        <v>0</v>
      </c>
    </row>
    <row r="3" spans="1:19" ht="15.75" thickBot="1" x14ac:dyDescent="0.3">
      <c r="A3" s="674"/>
      <c r="B3" s="675"/>
      <c r="C3" s="675"/>
      <c r="D3" s="675"/>
      <c r="E3" s="675"/>
      <c r="F3" s="675"/>
      <c r="G3" s="675"/>
      <c r="H3" s="676"/>
      <c r="I3" s="665"/>
      <c r="J3" s="666"/>
      <c r="K3" s="666"/>
      <c r="L3" s="666"/>
      <c r="M3" s="666"/>
      <c r="N3" s="667"/>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9" t="s">
        <v>210</v>
      </c>
      <c r="K1" s="939"/>
      <c r="L1" s="148"/>
      <c r="M1" s="935" t="s">
        <v>211</v>
      </c>
      <c r="N1" s="936"/>
      <c r="O1" s="252" t="s">
        <v>212</v>
      </c>
    </row>
    <row r="2" spans="1:125" ht="30" customHeight="1" thickBot="1" x14ac:dyDescent="0.35">
      <c r="A2" s="964" t="s">
        <v>483</v>
      </c>
      <c r="B2" s="965"/>
      <c r="C2" s="963" t="e">
        <f>Profit!#REF!&amp; " Your Home"</f>
        <v>#REF!</v>
      </c>
      <c r="D2" s="682"/>
      <c r="E2" s="157" t="s">
        <v>213</v>
      </c>
      <c r="F2" s="961">
        <f>+MIN(ProposalToGnatt[Start Date])</f>
        <v>45363</v>
      </c>
      <c r="G2" s="962"/>
      <c r="H2" s="942" t="s">
        <v>214</v>
      </c>
      <c r="I2" s="943"/>
      <c r="J2" s="951">
        <f>+SUM(H8:H20)</f>
        <v>20549.104910999999</v>
      </c>
      <c r="K2" s="732"/>
      <c r="L2" s="149"/>
      <c r="M2" s="951">
        <f>+SUM(N8:N20)-SUM(M8:M20)</f>
        <v>0</v>
      </c>
      <c r="N2" s="707"/>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2"/>
      <c r="B3" s="953"/>
      <c r="C3" s="953"/>
      <c r="D3" s="953"/>
      <c r="E3" s="158"/>
      <c r="G3" s="34"/>
      <c r="H3" s="944" t="s">
        <v>215</v>
      </c>
      <c r="I3" s="945"/>
      <c r="J3" s="950">
        <f>SUM(H22:H25)</f>
        <v>0</v>
      </c>
      <c r="K3" s="957"/>
      <c r="L3" s="150"/>
      <c r="M3" s="950">
        <f>+J3-SUM(M22:M25)</f>
        <v>0</v>
      </c>
      <c r="N3" s="707"/>
      <c r="O3" s="254">
        <f>+SUM(H22:H25)-SUM(M22:M25)</f>
        <v>0</v>
      </c>
      <c r="AP3" s="15"/>
      <c r="AQ3" s="15"/>
      <c r="AR3" s="15"/>
    </row>
    <row r="4" spans="1:125" ht="30" customHeight="1" x14ac:dyDescent="0.3">
      <c r="A4" s="952" t="str">
        <f>+Profit!B2</f>
        <v>4121 Tensity Dr</v>
      </c>
      <c r="B4" s="953" t="str">
        <f>+Profit!B2</f>
        <v>4121 Tensity Dr</v>
      </c>
      <c r="C4" s="953"/>
      <c r="D4" s="953"/>
      <c r="E4" s="940" t="s">
        <v>216</v>
      </c>
      <c r="F4" s="941"/>
      <c r="G4" s="76">
        <v>1</v>
      </c>
      <c r="H4" s="946" t="str">
        <f>+A2 &amp; "Total:"</f>
        <v>Tim Flemming Total:</v>
      </c>
      <c r="I4" s="947"/>
      <c r="J4" s="948">
        <f>SUM(ProposalToGnatt[Price])</f>
        <v>4897.5700000000006</v>
      </c>
      <c r="K4" s="958"/>
      <c r="L4" s="151"/>
      <c r="M4" s="948" cm="1">
        <f t="array" ref="M4">+SUM(ProposalToGnatt[Due]-ProposalToGnatt[Paid])</f>
        <v>1.9895196601282805E-13</v>
      </c>
      <c r="N4" s="707"/>
      <c r="O4" s="255">
        <f>+SUM(ProposalToGnatt[Price])-SUM(ProposalToGnatt[Paid])</f>
        <v>0</v>
      </c>
      <c r="AP4" s="15"/>
      <c r="AQ4" s="15"/>
      <c r="AR4" s="15"/>
    </row>
    <row r="5" spans="1:125" ht="18" customHeight="1" thickBot="1" x14ac:dyDescent="0.3">
      <c r="A5" s="152"/>
      <c r="B5" s="153" t="s">
        <v>217</v>
      </c>
      <c r="C5" s="154"/>
      <c r="D5" s="155"/>
      <c r="E5" s="955" t="s">
        <v>218</v>
      </c>
      <c r="F5" s="956"/>
      <c r="G5" s="156">
        <v>2</v>
      </c>
      <c r="H5" s="954" t="s">
        <v>219</v>
      </c>
      <c r="I5" s="954"/>
      <c r="J5" s="959">
        <f>+SUM(J2:K4)</f>
        <v>25446.674910999998</v>
      </c>
      <c r="K5" s="960"/>
      <c r="L5" s="24"/>
      <c r="M5" s="949">
        <f>+SUM(M2:M4)</f>
        <v>1.9895196601282805E-13</v>
      </c>
      <c r="N5" s="844"/>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7" t="s">
        <v>236</v>
      </c>
      <c r="AB22" s="938"/>
      <c r="AC22" s="938"/>
      <c r="AD22" s="938"/>
      <c r="AE22" s="938"/>
      <c r="AF22" s="938"/>
      <c r="AG22" s="938"/>
      <c r="AH22" s="93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8"/>
      <c r="AB23" s="938"/>
      <c r="AC23" s="938"/>
      <c r="AD23" s="938"/>
      <c r="AE23" s="938"/>
      <c r="AF23" s="938"/>
      <c r="AG23" s="938"/>
      <c r="AH23" s="93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7" t="s">
        <v>241</v>
      </c>
      <c r="B1" s="978"/>
      <c r="C1" s="732"/>
      <c r="D1" s="732"/>
      <c r="E1" s="732"/>
      <c r="F1" s="732"/>
      <c r="G1" s="672"/>
      <c r="I1" s="973" t="s">
        <v>242</v>
      </c>
      <c r="J1" s="974"/>
      <c r="K1" s="975"/>
      <c r="L1" s="976"/>
      <c r="M1"/>
      <c r="N1" s="966" t="s">
        <v>243</v>
      </c>
      <c r="O1" s="967"/>
      <c r="P1" s="967"/>
      <c r="Q1" s="967"/>
      <c r="R1" s="967"/>
      <c r="S1" s="968"/>
      <c r="W1"/>
    </row>
    <row r="2" spans="1:23" ht="15.75" thickBot="1" x14ac:dyDescent="0.3">
      <c r="A2" s="977" t="s">
        <v>244</v>
      </c>
      <c r="B2" s="978"/>
      <c r="C2" s="732"/>
      <c r="D2" s="732"/>
      <c r="E2" s="732"/>
      <c r="F2" s="732"/>
      <c r="G2" s="672"/>
      <c r="I2" s="972" t="s">
        <v>245</v>
      </c>
      <c r="J2" s="875"/>
      <c r="K2" s="876"/>
      <c r="L2" s="813"/>
      <c r="M2"/>
      <c r="N2" s="969" t="str">
        <f>"Recap Summary Table - " &amp; +Profit!B2</f>
        <v>Recap Summary Table - 4121 Tensity Dr</v>
      </c>
      <c r="O2" s="970"/>
      <c r="P2" s="970"/>
      <c r="Q2" s="970"/>
      <c r="R2" s="970"/>
      <c r="S2" s="971"/>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81" t="s">
        <v>2</v>
      </c>
      <c r="J2" s="981" t="str">
        <f>IF(Profit!$W$6,IF(K2="No","No","Yes"),"No")</f>
        <v>No</v>
      </c>
      <c r="K2" s="983"/>
    </row>
    <row r="3" spans="1:11" s="3" customFormat="1" ht="15.75" thickBot="1" x14ac:dyDescent="0.3">
      <c r="A3" s="3" t="s">
        <v>300</v>
      </c>
      <c r="B3" s="3" t="s">
        <v>248</v>
      </c>
      <c r="C3" s="13" t="s">
        <v>301</v>
      </c>
      <c r="D3" s="3" t="s">
        <v>302</v>
      </c>
      <c r="E3" s="13" t="s">
        <v>303</v>
      </c>
      <c r="F3" s="3" t="s">
        <v>304</v>
      </c>
      <c r="I3" s="982"/>
      <c r="J3" s="982"/>
      <c r="K3" s="984"/>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9"/>
      <c r="D28" s="980"/>
      <c r="E28" s="98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81" t="s">
        <v>2</v>
      </c>
      <c r="I3" s="981" t="str">
        <f>IF(Profit!$W$6,IF(J3,"Yes","N0"),"no")</f>
        <v>no</v>
      </c>
      <c r="J3" s="985" t="b">
        <v>1</v>
      </c>
    </row>
    <row r="4" spans="1:10" ht="15.75" thickBot="1" x14ac:dyDescent="0.3">
      <c r="A4" s="380" t="s">
        <v>305</v>
      </c>
      <c r="B4" s="384"/>
      <c r="C4" s="382" t="s">
        <v>306</v>
      </c>
      <c r="D4" s="381">
        <v>0</v>
      </c>
      <c r="E4" s="382">
        <v>325</v>
      </c>
      <c r="F4" s="382">
        <f t="shared" ref="F4:F5" si="0">IF($I$3="Yes",+D4*E4,0)</f>
        <v>0</v>
      </c>
      <c r="H4" s="982"/>
      <c r="I4" s="982"/>
      <c r="J4" s="986"/>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81" t="s">
        <v>2</v>
      </c>
      <c r="J4" s="981" t="str">
        <f>IF(Profit!$W$6,IF(K4,"Yes","N0"),"no")</f>
        <v>no</v>
      </c>
      <c r="K4" s="985" t="b">
        <v>0</v>
      </c>
    </row>
    <row r="5" spans="1:11" ht="15.75" thickBot="1" x14ac:dyDescent="0.3">
      <c r="A5" s="380" t="s">
        <v>612</v>
      </c>
      <c r="B5" s="380">
        <v>977057</v>
      </c>
      <c r="C5" s="381">
        <v>0</v>
      </c>
      <c r="D5" s="388">
        <v>149</v>
      </c>
      <c r="E5" s="382">
        <f>+C5*D5</f>
        <v>0</v>
      </c>
      <c r="F5" s="389">
        <f>+E5*0.0725</f>
        <v>0</v>
      </c>
      <c r="G5" s="387"/>
      <c r="I5" s="982"/>
      <c r="J5" s="982"/>
      <c r="K5" s="986"/>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80" t="s">
        <v>327</v>
      </c>
      <c r="D30" s="980"/>
      <c r="E30" s="980"/>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81" t="s">
        <v>2</v>
      </c>
      <c r="K5" s="981" t="str">
        <f>IF(Profit!W6,IF(L5,"Yes","No"),"No")</f>
        <v>No</v>
      </c>
      <c r="L5" s="985" t="b">
        <v>0</v>
      </c>
    </row>
    <row r="6" spans="1:12" ht="15.75" thickBot="1" x14ac:dyDescent="0.3">
      <c r="B6" s="391" t="s">
        <v>613</v>
      </c>
      <c r="C6" s="391"/>
      <c r="D6" s="381">
        <v>1</v>
      </c>
      <c r="E6" s="388">
        <v>53.98</v>
      </c>
      <c r="F6" s="382">
        <f>+D6*E6</f>
        <v>53.98</v>
      </c>
      <c r="G6" s="389">
        <f t="shared" si="0"/>
        <v>3.9135499999999994</v>
      </c>
      <c r="H6" s="387"/>
      <c r="J6" s="982"/>
      <c r="K6" s="982"/>
      <c r="L6" s="986"/>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81" t="s">
        <v>2</v>
      </c>
      <c r="L2" s="981" t="str">
        <f>IF(Profit!W6,IF(M2,"Yes","No"),"No")</f>
        <v>No</v>
      </c>
      <c r="M2" s="985" t="b">
        <v>1</v>
      </c>
    </row>
    <row r="3" spans="1:13" s="22" customFormat="1" ht="14.25" customHeight="1" thickBot="1" x14ac:dyDescent="0.3">
      <c r="A3" s="3" t="s">
        <v>203</v>
      </c>
      <c r="B3" s="3" t="s">
        <v>248</v>
      </c>
      <c r="C3" s="3" t="s">
        <v>316</v>
      </c>
      <c r="D3" s="3" t="s">
        <v>260</v>
      </c>
      <c r="E3" s="8" t="s">
        <v>261</v>
      </c>
      <c r="F3" s="13" t="s">
        <v>262</v>
      </c>
      <c r="G3" s="13"/>
      <c r="H3" s="13" t="s">
        <v>263</v>
      </c>
      <c r="K3" s="982"/>
      <c r="L3" s="982"/>
      <c r="M3" s="986"/>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81" t="s">
        <v>2</v>
      </c>
      <c r="K2" s="981" t="str">
        <f>IF(Profit!W6,IF(L2,"Yes","No"),"No")</f>
        <v>No</v>
      </c>
      <c r="L2" s="985" t="b">
        <v>1</v>
      </c>
    </row>
    <row r="3" spans="1:12" ht="15.75" thickBot="1" x14ac:dyDescent="0.3">
      <c r="A3" s="31" t="s">
        <v>203</v>
      </c>
      <c r="B3" s="31" t="s">
        <v>316</v>
      </c>
      <c r="C3" s="31" t="s">
        <v>260</v>
      </c>
      <c r="D3" s="248" t="s">
        <v>261</v>
      </c>
      <c r="E3" s="249" t="s">
        <v>262</v>
      </c>
      <c r="F3" s="249" t="s">
        <v>249</v>
      </c>
      <c r="G3" s="249" t="s">
        <v>263</v>
      </c>
      <c r="J3" s="982"/>
      <c r="K3" s="982"/>
      <c r="L3" s="986"/>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81" t="s">
        <v>2</v>
      </c>
      <c r="O1" s="981" t="str">
        <f>IF(Profit!W6,IF(P1,"Yes","No"),"No")</f>
        <v>No</v>
      </c>
      <c r="P1" s="985"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2"/>
      <c r="O2" s="982"/>
      <c r="P2" s="986"/>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9" t="s">
        <v>615</v>
      </c>
      <c r="I9" s="980"/>
      <c r="J9" s="980"/>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9" t="s">
        <v>409</v>
      </c>
      <c r="I43" s="980"/>
      <c r="J43" s="980"/>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81" t="s">
        <v>2</v>
      </c>
      <c r="K1" s="981" t="str">
        <f>IF(Profit!W6,IF(L1,"Yes","No"),"No")</f>
        <v>No</v>
      </c>
      <c r="L1" s="985" t="b">
        <v>1</v>
      </c>
    </row>
    <row r="2" spans="1:12" s="3" customFormat="1" ht="15.75" thickBot="1" x14ac:dyDescent="0.3">
      <c r="A2" s="249" t="s">
        <v>203</v>
      </c>
      <c r="B2" s="249" t="s">
        <v>388</v>
      </c>
      <c r="C2" s="249" t="s">
        <v>221</v>
      </c>
      <c r="D2" s="249" t="s">
        <v>174</v>
      </c>
      <c r="E2" s="249" t="s">
        <v>261</v>
      </c>
      <c r="F2" s="249" t="s">
        <v>262</v>
      </c>
      <c r="G2" s="249" t="s">
        <v>249</v>
      </c>
      <c r="H2" s="249" t="s">
        <v>263</v>
      </c>
      <c r="J2" s="982"/>
      <c r="K2" s="982"/>
      <c r="L2" s="986"/>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81" t="s">
        <v>2</v>
      </c>
      <c r="K1" s="981" t="str">
        <f>IF(Profit!W6,IF(L1,"Yes","No"),"No")</f>
        <v>No</v>
      </c>
      <c r="L1" s="985" t="b">
        <v>0</v>
      </c>
    </row>
    <row r="2" spans="1:16" ht="15.75" thickBot="1" x14ac:dyDescent="0.3">
      <c r="A2" s="32" t="s">
        <v>184</v>
      </c>
      <c r="B2" s="32"/>
      <c r="C2" s="32"/>
      <c r="J2" s="982"/>
      <c r="K2" s="982"/>
      <c r="L2" s="986"/>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9"/>
      <c r="F17" s="980"/>
      <c r="G17" s="98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9"/>
      <c r="N24" s="980"/>
      <c r="O24" s="98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81" t="s">
        <v>2</v>
      </c>
      <c r="J1" s="981" t="str">
        <f>IF(Profit!W6,IF(K1,"Yes","No"),"No")</f>
        <v>No</v>
      </c>
      <c r="K1" s="985" t="b">
        <v>0</v>
      </c>
    </row>
    <row r="2" spans="1:11" ht="15.75" thickBot="1" x14ac:dyDescent="0.3">
      <c r="C2" s="3"/>
      <c r="D2" s="8"/>
      <c r="E2" s="13"/>
      <c r="F2" s="13"/>
      <c r="G2" s="13"/>
      <c r="I2" s="982"/>
      <c r="J2" s="982"/>
      <c r="K2" s="986"/>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81" t="s">
        <v>2</v>
      </c>
      <c r="I1" s="981" t="str">
        <f>IF(Profit!$W$6,IF(J1="No","No","Yes"),"no")</f>
        <v>no</v>
      </c>
      <c r="J1" s="983"/>
    </row>
    <row r="2" spans="1:10" s="15" customFormat="1" ht="15.75" thickBot="1" x14ac:dyDescent="0.3">
      <c r="A2" s="3" t="s">
        <v>200</v>
      </c>
      <c r="B2" s="17" t="s">
        <v>446</v>
      </c>
      <c r="C2" s="30" t="s">
        <v>447</v>
      </c>
      <c r="D2" s="3" t="s">
        <v>260</v>
      </c>
      <c r="E2" s="8" t="s">
        <v>448</v>
      </c>
      <c r="F2" s="6" t="s">
        <v>449</v>
      </c>
      <c r="G2" s="15" t="s">
        <v>263</v>
      </c>
      <c r="H2" s="982"/>
      <c r="I2" s="982"/>
      <c r="J2" s="984"/>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81" t="s">
        <v>2</v>
      </c>
      <c r="J1" s="981" t="str">
        <f>IF(Profit!$W$6,IF(K1="No","No","Yes"),"no")</f>
        <v>no</v>
      </c>
      <c r="K1" s="983"/>
    </row>
    <row r="2" spans="1:14" s="61" customFormat="1" ht="30.75" thickBot="1" x14ac:dyDescent="0.3">
      <c r="A2" s="61" t="s">
        <v>200</v>
      </c>
      <c r="B2" s="61" t="s">
        <v>200</v>
      </c>
      <c r="C2" s="61" t="s">
        <v>174</v>
      </c>
      <c r="D2" s="304" t="s">
        <v>456</v>
      </c>
      <c r="E2" s="61" t="s">
        <v>263</v>
      </c>
      <c r="F2" s="61" t="s">
        <v>457</v>
      </c>
      <c r="G2" s="237"/>
      <c r="H2" s="304">
        <v>20</v>
      </c>
      <c r="I2" s="982"/>
      <c r="J2" s="982"/>
      <c r="K2" s="984"/>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905" t="s">
        <v>561</v>
      </c>
      <c r="C1" s="906"/>
      <c r="E1" s="905" t="s">
        <v>565</v>
      </c>
      <c r="F1" s="906"/>
      <c r="H1" s="905" t="s">
        <v>564</v>
      </c>
      <c r="I1" s="906"/>
      <c r="L1" s="905" t="s">
        <v>579</v>
      </c>
      <c r="M1" s="906"/>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905" t="s">
        <v>561</v>
      </c>
      <c r="C12" s="906"/>
      <c r="D12" s="3"/>
      <c r="E12" s="905" t="s">
        <v>565</v>
      </c>
      <c r="F12" s="906"/>
      <c r="G12" s="3"/>
      <c r="H12" s="905" t="s">
        <v>564</v>
      </c>
      <c r="I12" s="906"/>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91" t="s">
        <v>583</v>
      </c>
      <c r="C2" s="992"/>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7">
        <f>+AVERAGE(E3:F3)</f>
        <v>167500</v>
      </c>
      <c r="D8" s="777"/>
      <c r="E8" s="993"/>
      <c r="F8" s="672"/>
      <c r="G8" s="817"/>
      <c r="I8" s="61"/>
      <c r="J8" s="61"/>
      <c r="K8" s="61"/>
    </row>
    <row r="9" spans="1:11" ht="15.75" thickBot="1" x14ac:dyDescent="0.3">
      <c r="B9" s="139" t="s">
        <v>150</v>
      </c>
      <c r="C9" s="987">
        <f>+AVERAGE(E4:F4)</f>
        <v>44549.638750000006</v>
      </c>
      <c r="D9" s="777"/>
      <c r="E9" s="818"/>
      <c r="F9" s="699"/>
      <c r="G9" s="694"/>
      <c r="I9" s="61"/>
      <c r="J9" s="61"/>
      <c r="K9" s="61"/>
    </row>
    <row r="10" spans="1:11" ht="15.75" thickBot="1" x14ac:dyDescent="0.3">
      <c r="B10" s="139" t="s">
        <v>151</v>
      </c>
      <c r="C10" s="987">
        <f>+AVERAGE(E5:F5)</f>
        <v>42487.25</v>
      </c>
      <c r="D10" s="777"/>
      <c r="E10" s="994" t="s">
        <v>152</v>
      </c>
      <c r="F10" s="863"/>
      <c r="G10" s="864"/>
      <c r="I10" s="61"/>
      <c r="J10" s="61"/>
      <c r="K10" s="61"/>
    </row>
    <row r="11" spans="1:11" ht="15.75" thickBot="1" x14ac:dyDescent="0.3">
      <c r="B11" s="139" t="s">
        <v>153</v>
      </c>
      <c r="C11" s="987">
        <f>+AVERAGE(E6:F6)</f>
        <v>45703.346999999994</v>
      </c>
      <c r="D11" s="777"/>
      <c r="E11" s="988" t="s">
        <v>154</v>
      </c>
      <c r="F11" s="989"/>
      <c r="G11" s="99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91" t="s">
        <v>582</v>
      </c>
      <c r="C2" s="992"/>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7">
        <f>+AVERAGE(E3:F3)</f>
        <v>375000</v>
      </c>
      <c r="D8" s="777"/>
      <c r="E8" s="993"/>
      <c r="F8" s="672"/>
      <c r="G8" s="817"/>
    </row>
    <row r="9" spans="1:8" ht="15.75" thickBot="1" x14ac:dyDescent="0.3">
      <c r="B9" s="139" t="s">
        <v>150</v>
      </c>
      <c r="C9" s="987">
        <f>+AVERAGE(E4:F4)</f>
        <v>176184.5</v>
      </c>
      <c r="D9" s="777"/>
      <c r="E9" s="818"/>
      <c r="F9" s="699"/>
      <c r="G9" s="694"/>
    </row>
    <row r="10" spans="1:8" ht="15.75" thickBot="1" x14ac:dyDescent="0.3">
      <c r="B10" s="139" t="s">
        <v>151</v>
      </c>
      <c r="C10" s="987">
        <f>+AVERAGE(E5:F5)</f>
        <v>121133.5</v>
      </c>
      <c r="D10" s="777"/>
      <c r="E10" s="994" t="s">
        <v>152</v>
      </c>
      <c r="F10" s="863"/>
      <c r="G10" s="864"/>
    </row>
    <row r="11" spans="1:8" ht="15.75" thickBot="1" x14ac:dyDescent="0.3">
      <c r="B11" s="139" t="s">
        <v>153</v>
      </c>
      <c r="C11" s="987">
        <f>+AVERAGE(E6:F6)</f>
        <v>77681.948333333334</v>
      </c>
      <c r="D11" s="777"/>
      <c r="E11" s="988" t="s">
        <v>154</v>
      </c>
      <c r="F11" s="989"/>
      <c r="G11" s="99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91" t="s">
        <v>468</v>
      </c>
      <c r="C2" s="998"/>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7">
        <f>+AVERAGE(E3:H3)</f>
        <v>315632.25</v>
      </c>
      <c r="D8" s="995"/>
      <c r="E8" s="993"/>
      <c r="F8" s="672"/>
      <c r="G8" s="672"/>
      <c r="H8" s="672"/>
      <c r="I8" s="817"/>
    </row>
    <row r="9" spans="1:10" ht="15.75" thickBot="1" x14ac:dyDescent="0.3">
      <c r="A9" s="142"/>
      <c r="B9" s="139" t="s">
        <v>150</v>
      </c>
      <c r="C9" s="987">
        <f>+AVERAGE(E4:H4)</f>
        <v>138648.73000000001</v>
      </c>
      <c r="D9" s="995"/>
      <c r="E9" s="818"/>
      <c r="F9" s="699"/>
      <c r="G9" s="699"/>
      <c r="H9" s="699"/>
      <c r="I9" s="694"/>
    </row>
    <row r="10" spans="1:10" ht="15.75" thickBot="1" x14ac:dyDescent="0.3">
      <c r="A10" s="142"/>
      <c r="B10" s="139" t="s">
        <v>151</v>
      </c>
      <c r="C10" s="987">
        <f>+AVERAGE(E5:H5)</f>
        <v>37177.026874999996</v>
      </c>
      <c r="D10" s="995"/>
      <c r="E10" s="994" t="s">
        <v>152</v>
      </c>
      <c r="F10" s="999"/>
      <c r="G10" s="999"/>
      <c r="H10" s="999"/>
      <c r="I10" s="1000"/>
    </row>
    <row r="11" spans="1:10" ht="15.75" thickBot="1" x14ac:dyDescent="0.3">
      <c r="B11" s="139" t="s">
        <v>153</v>
      </c>
      <c r="C11" s="987">
        <f>+AVERAGE(E6:H6)</f>
        <v>117803.01925000001</v>
      </c>
      <c r="D11" s="995"/>
      <c r="E11" s="988" t="s">
        <v>154</v>
      </c>
      <c r="F11" s="996"/>
      <c r="G11" s="996"/>
      <c r="H11" s="996"/>
      <c r="I11" s="99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7">
        <f>+AVERAGE(E3:G3)</f>
        <v>270600</v>
      </c>
      <c r="D8" s="777"/>
      <c r="E8" s="993"/>
      <c r="F8" s="1001"/>
      <c r="G8" s="672"/>
      <c r="H8" s="817"/>
    </row>
    <row r="9" spans="1:9" ht="15.75" thickBot="1" x14ac:dyDescent="0.3">
      <c r="B9" s="139" t="s">
        <v>150</v>
      </c>
      <c r="C9" s="987">
        <f>+AVERAGE(E4:G4)</f>
        <v>133923.63333333333</v>
      </c>
      <c r="D9" s="777"/>
      <c r="E9" s="818"/>
      <c r="F9" s="699"/>
      <c r="G9" s="699"/>
      <c r="H9" s="694"/>
    </row>
    <row r="10" spans="1:9" ht="15.75" thickBot="1" x14ac:dyDescent="0.3">
      <c r="B10" s="139" t="s">
        <v>151</v>
      </c>
      <c r="C10" s="987">
        <f>+AVERAGE(E5:G5)</f>
        <v>48783.358384708328</v>
      </c>
      <c r="D10" s="777"/>
      <c r="E10" s="994" t="s">
        <v>152</v>
      </c>
      <c r="F10" s="999"/>
      <c r="G10" s="863"/>
      <c r="H10" s="864"/>
    </row>
    <row r="11" spans="1:9" ht="15.75" thickBot="1" x14ac:dyDescent="0.3">
      <c r="B11" s="139" t="s">
        <v>153</v>
      </c>
      <c r="C11" s="987">
        <f>+AVERAGE(E6:G6)</f>
        <v>85689.034948625005</v>
      </c>
      <c r="D11" s="777"/>
      <c r="E11" s="988" t="s">
        <v>154</v>
      </c>
      <c r="F11" s="996"/>
      <c r="G11" s="989"/>
      <c r="H11" s="99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7">
        <f>+AVERAGE(E3:G3)</f>
        <v>180000</v>
      </c>
      <c r="D8" s="777"/>
      <c r="E8" s="993"/>
      <c r="F8" s="1001"/>
      <c r="G8" s="672"/>
      <c r="H8" s="817"/>
    </row>
    <row r="9" spans="1:9" ht="15.75" thickBot="1" x14ac:dyDescent="0.3">
      <c r="B9" s="139" t="s">
        <v>150</v>
      </c>
      <c r="C9" s="987">
        <f>+AVERAGE(E4:G4)</f>
        <v>103547.57</v>
      </c>
      <c r="D9" s="777"/>
      <c r="E9" s="818"/>
      <c r="F9" s="699"/>
      <c r="G9" s="699"/>
      <c r="H9" s="694"/>
    </row>
    <row r="10" spans="1:9" ht="15.75" thickBot="1" x14ac:dyDescent="0.3">
      <c r="B10" s="139" t="s">
        <v>151</v>
      </c>
      <c r="C10" s="987">
        <f>+AVERAGE(E5:G5)</f>
        <v>16660.233833333332</v>
      </c>
      <c r="D10" s="777"/>
      <c r="E10" s="994" t="s">
        <v>152</v>
      </c>
      <c r="F10" s="999"/>
      <c r="G10" s="863"/>
      <c r="H10" s="864"/>
    </row>
    <row r="11" spans="1:9" ht="15.75" thickBot="1" x14ac:dyDescent="0.3">
      <c r="B11" s="139" t="s">
        <v>153</v>
      </c>
      <c r="C11" s="987">
        <f>+AVERAGE(E6:G6)</f>
        <v>38679.975259259263</v>
      </c>
      <c r="D11" s="777"/>
      <c r="E11" s="988" t="s">
        <v>154</v>
      </c>
      <c r="F11" s="996"/>
      <c r="G11" s="989"/>
      <c r="H11" s="99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2026-06-26T22:17:20Z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