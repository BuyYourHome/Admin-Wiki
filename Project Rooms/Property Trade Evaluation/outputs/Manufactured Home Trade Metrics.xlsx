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5b3209f4d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 Metrics" sheetId="1" r:id="R710ee464ff67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%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334E68"/>
      <x:name val="Carlito"/>
    </x:font>
    <x:font>
      <x:b/>
      <x:sz val="10"/>
      <x:color rgb="FFFFFFFF"/>
      <x:name val="Carlito"/>
    </x:font>
    <x:font>
      <x:sz val="10"/>
      <x:color rgb="FF1F2933"/>
      <x:name val="Carlito"/>
    </x:font>
    <x:font>
      <x:b/>
      <x:sz val="10"/>
      <x:color rgb="FF17324D"/>
      <x:name val="Carlito"/>
    </x:font>
    <x:font>
      <x:sz val="9"/>
      <x:color rgb="FF1F2933"/>
      <x:name val="Carlito"/>
    </x:font>
    <x:font>
      <x:b/>
      <x:sz val="9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254F7A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1">
    <x:border/>
    <x:border>
      <x:left style="thin">
        <x:color rgb="FFB8C5D3"/>
      </x:left>
      <x:right style="thin">
        <x:color rgb="FFB8C5D3"/>
      </x:right>
      <x:top style="thin">
        <x:color rgb="FFB8C5D3"/>
      </x:top>
      <x:bottom style="thin">
        <x:color rgb="FFB8C5D3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</x:border>
    <x:border>
      <x:top style="thin">
        <x:color rgb="FFD8DEE6"/>
      </x:top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</x:border>
    <x:border>
      <x:right style="thin">
        <x:color rgb="FFD8DEE6"/>
      </x:right>
    </x:border>
    <x:border>
      <x:left style="thin">
        <x:color rgb="FFD8DEE6"/>
      </x:left>
      <x:bottom style="thin">
        <x:color rgb="FFD8DEE6"/>
      </x:bottom>
    </x:border>
    <x:border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left"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200" fontId="4" fillId="5" borderId="2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horizontal="left" vertical="center"/>
    </x:xf>
    <x:xf numFmtId="200" fontId="4" fillId="3" borderId="2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5" fillId="3" borderId="2" xfId="0" applyNumberFormat="1" applyFont="1" applyFill="1" applyBorder="1" applyAlignment="1">
      <x:alignment horizontal="left" vertical="center"/>
    </x:xf>
    <x:xf numFmtId="200" fontId="5" fillId="3" borderId="2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/>
    </x:xf>
    <x:xf numFmtId="200" fontId="5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200" fontId="4" fillId="6" borderId="2" xfId="0" applyNumberFormat="1" applyFont="1" applyFill="1" applyBorder="1"/>
    <x:xf numFmtId="201" fontId="4" fillId="6" borderId="2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/>
    <x:xf numFmtId="200" fontId="4" fillId="5" borderId="2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3" borderId="2" xfId="0" applyNumberFormat="1" applyFont="1" applyFill="1" applyBorder="1"/>
    <x:xf numFmtId="0" fontId="7" fillId="3" borderId="2" xfId="0" applyNumberFormat="1" applyFont="1" applyFill="1" applyBorder="1"/>
    <x:xf numFmtId="200" fontId="6" fillId="5" borderId="2" xfId="0" applyNumberFormat="1" applyFont="1" applyFill="1" applyBorder="1"/>
    <x:xf numFmtId="0" fontId="2" fillId="6" borderId="0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7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3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fa1838b0c4ad3" /><Relationship Type="http://schemas.openxmlformats.org/officeDocument/2006/relationships/theme" Target="/xl/theme/theme1.xml" Id="Rbf067012f0b5456a" /><Relationship Type="http://schemas.openxmlformats.org/officeDocument/2006/relationships/sharedStrings" Target="/xl/sharedStrings.xml" Id="Rbd40f63111d84ae7" /><Relationship Type="http://schemas.openxmlformats.org/officeDocument/2006/relationships/worksheet" Target="/xl/worksheets/sheet1.xml" Id="R710ee464ff6740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bd6a7ad28041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Gross Spread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Monthly Spread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'Trade Metrics'!$P$17:$P$19</c:f>
              <c:strCache>
                <c:ptCount val="0"/>
              </c:strCache>
            </c:strRef>
          </c:cat>
          <c:val>
            <c:numRef>
              <c:f>'Trade Metrics'!$Q$17:$Q$19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20</xdr:row>
      <xdr:rowOff>0</xdr:rowOff>
    </xdr:from>
    <xdr:to>
      <xdr:col>23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bd6a7ad280415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a302efdbdf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4" hidden="0" customWidth="1"/>
    <x:col min="5" max="5" width="16" hidden="0" customWidth="1"/>
    <x:col min="6" max="6" width="17" hidden="0" customWidth="1"/>
    <x:col min="7" max="7" width="17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6" hidden="0" customWidth="1"/>
    <x:col min="16" max="16" width="24" hidden="0" customWidth="1"/>
    <x:col min="17" max="17" width="18" hidden="0" customWidth="1"/>
  </x:cols>
  <x:sheetData>
    <x:row r="1" ht="30" customHeight="1">
      <x:c r="A1" s="4" t="str">
        <x:v>Manufactured Home Trade Metrics</x:v>
      </x:c>
    </x:row>
    <x:row r="2" ht="34" customHeight="1">
      <x:c r="A2" s="7" t="str">
        <x:v>Enter estimated property values later. Metrics update from lot rent, tenant payment, and property value inputs.</x:v>
      </x:c>
    </x:row>
    <x:row r="3">
      <x:c r="P3" s="35" t="str">
        <x:v>Summary</x:v>
      </x:c>
      <x:c r="Q3" s="35" t="str">
        <x:v>Value</x:v>
      </x:c>
    </x:row>
    <x:row r="4">
      <x:c r="P4" s="38" t="str">
        <x:v>Known Monthly Spread</x:v>
      </x:c>
      <x:c r="Q4" s="39" t="n">
        <x:f>F9</x:f>
        <x:v>3286</x:v>
      </x:c>
    </x:row>
    <x:row r="5" ht="38" customHeight="1">
      <x:c r="A5" s="13" t="str">
        <x:v>Property</x:v>
      </x:c>
      <x:c r="B5" s="13" t="str">
        <x:v>Home Type</x:v>
      </x:c>
      <x:c r="C5" s="13" t="str">
        <x:v>Est. Property Value</x:v>
      </x:c>
      <x:c r="D5" s="13" t="str">
        <x:v>Lot Rent / Mo</x:v>
      </x:c>
      <x:c r="E5" s="13" t="str">
        <x:v>Tenant Payment / Mo</x:v>
      </x:c>
      <x:c r="F5" s="13" t="str">
        <x:v>Monthly Gross Spread</x:v>
      </x:c>
      <x:c r="G5" s="13" t="str">
        <x:v>Annual Gross Spread</x:v>
      </x:c>
      <x:c r="H5" s="13" t="str">
        <x:v>Lot Rent % of Payment</x:v>
      </x:c>
      <x:c r="I5" s="13" t="str">
        <x:v>Spread Margin</x:v>
      </x:c>
      <x:c r="J5" s="13" t="str">
        <x:v>Gross Yield on Value</x:v>
      </x:c>
      <x:c r="K5" s="13" t="str">
        <x:v>Max Value @ 10%</x:v>
      </x:c>
      <x:c r="L5" s="13" t="str">
        <x:v>Max Value @ 12%</x:v>
      </x:c>
      <x:c r="M5" s="13" t="str">
        <x:v>Max Value @ 15%</x:v>
      </x:c>
      <x:c r="N5" s="13" t="str">
        <x:v>Notes</x:v>
      </x:c>
      <x:c r="P5" s="38" t="str">
        <x:v>Known Annual Spread</x:v>
      </x:c>
      <x:c r="Q5" s="39" t="n">
        <x:f>G9</x:f>
        <x:v>39432</x:v>
      </x:c>
    </x:row>
    <x:row r="6">
      <x:c r="A6" s="18" t="str">
        <x:v>5009 Sunnyfield Dr</x:v>
      </x:c>
      <x:c r="B6" s="18" t="str">
        <x:v>Single wide</x:v>
      </x:c>
      <x:c r="C6" s="21"/>
      <x:c r="D6" s="21" t="n">
        <x:v>782</x:v>
      </x:c>
      <x:c r="E6" s="21" t="n">
        <x:v>1800</x:v>
      </x:c>
      <x:c r="F6" s="21" t="n">
        <x:f>IF(OR(D6="",E6=""),"",E6-D6)</x:f>
        <x:v>1018</x:v>
      </x:c>
      <x:c r="G6" s="21" t="n">
        <x:f>IF(F6="","",F6*12)</x:f>
        <x:v>12216</x:v>
      </x:c>
      <x:c r="H6" s="22" t="n">
        <x:f>IFERROR(D6/E6,"")</x:f>
        <x:v>0.43444444444444447</x:v>
      </x:c>
      <x:c r="I6" s="22" t="n">
        <x:f>IFERROR(F6/E6,"")</x:f>
        <x:v>0.5655555555555556</x:v>
      </x:c>
      <x:c r="J6" s="22" t="str">
        <x:f>IFERROR(G6/C6,"")</x:f>
      </x:c>
      <x:c r="K6" s="21" t="n">
        <x:f>IF(G6="","",G6/10%)</x:f>
        <x:v>122160</x:v>
      </x:c>
      <x:c r="L6" s="21" t="n">
        <x:f>IF(G6="","",G6/12%)</x:f>
        <x:v>101800</x:v>
      </x:c>
      <x:c r="M6" s="21" t="n">
        <x:f>IF(G6="","",G6/15%)</x:f>
        <x:v>81440</x:v>
      </x:c>
      <x:c r="N6" s="20" t="str">
        <x:v>Tenant pays $1,800; lot rent is $782.</x:v>
      </x:c>
      <x:c r="P6" s="38" t="str">
        <x:v>Monthly Tenant Payments</x:v>
      </x:c>
      <x:c r="Q6" s="39" t="n">
        <x:f>E9</x:f>
        <x:v>5350</x:v>
      </x:c>
    </x:row>
    <x:row r="7">
      <x:c r="A7" s="18" t="str">
        <x:v>5021 Sunnyfield Dr</x:v>
      </x:c>
      <x:c r="B7" s="18" t="str">
        <x:v>Double wide</x:v>
      </x:c>
      <x:c r="C7" s="21"/>
      <x:c r="D7" s="21" t="n">
        <x:v>782</x:v>
      </x:c>
      <x:c r="E7" s="21" t="n">
        <x:v>1950</x:v>
      </x:c>
      <x:c r="F7" s="21" t="n">
        <x:f>IF(OR(D7="",E7=""),"",E7-D7)</x:f>
        <x:v>1168</x:v>
      </x:c>
      <x:c r="G7" s="21" t="n">
        <x:f>IF(F7="","",F7*12)</x:f>
        <x:v>14016</x:v>
      </x:c>
      <x:c r="H7" s="22" t="n">
        <x:f>IFERROR(D7/E7,"")</x:f>
        <x:v>0.40102564102564103</x:v>
      </x:c>
      <x:c r="I7" s="22" t="n">
        <x:f>IFERROR(F7/E7,"")</x:f>
        <x:v>0.598974358974359</x:v>
      </x:c>
      <x:c r="J7" s="22" t="str">
        <x:f>IFERROR(G7/C7,"")</x:f>
      </x:c>
      <x:c r="K7" s="21" t="n">
        <x:f>IF(G7="","",G7/10%)</x:f>
        <x:v>140160</x:v>
      </x:c>
      <x:c r="L7" s="21" t="n">
        <x:f>IF(G7="","",G7/12%)</x:f>
        <x:v>116800</x:v>
      </x:c>
      <x:c r="M7" s="21" t="n">
        <x:f>IF(G7="","",G7/15%)</x:f>
        <x:v>93440</x:v>
      </x:c>
      <x:c r="N7" s="20" t="str">
        <x:v>Assumed tenant rent is $1,950; lot rent is $782.</x:v>
      </x:c>
      <x:c r="P7" s="38" t="str">
        <x:v>Monthly Lot Rent</x:v>
      </x:c>
      <x:c r="Q7" s="39" t="n">
        <x:f>D9</x:f>
        <x:v>2064</x:v>
      </x:c>
    </x:row>
    <x:row r="8">
      <x:c r="A8" s="18" t="str">
        <x:v>5512 Desert Willow Ln</x:v>
      </x:c>
      <x:c r="B8" s="18" t="str">
        <x:v>Single wide</x:v>
      </x:c>
      <x:c r="C8" s="21"/>
      <x:c r="D8" s="21" t="n">
        <x:v>500</x:v>
      </x:c>
      <x:c r="E8" s="21" t="n">
        <x:v>1600</x:v>
      </x:c>
      <x:c r="F8" s="21" t="n">
        <x:f>IF(OR(D8="",E8=""),"",E8-D8)</x:f>
        <x:v>1100</x:v>
      </x:c>
      <x:c r="G8" s="21" t="n">
        <x:f>IF(F8="","",F8*12)</x:f>
        <x:v>13200</x:v>
      </x:c>
      <x:c r="H8" s="22" t="n">
        <x:f>IFERROR(D8/E8,"")</x:f>
        <x:v>0.3125</x:v>
      </x:c>
      <x:c r="I8" s="22" t="n">
        <x:f>IFERROR(F8/E8,"")</x:f>
        <x:v>0.6875</x:v>
      </x:c>
      <x:c r="J8" s="22" t="str">
        <x:f>IFERROR(G8/C8,"")</x:f>
      </x:c>
      <x:c r="K8" s="21" t="n">
        <x:f>IF(G8="","",G8/10%)</x:f>
        <x:v>132000</x:v>
      </x:c>
      <x:c r="L8" s="21" t="n">
        <x:f>IF(G8="","",G8/12%)</x:f>
        <x:v>110000</x:v>
      </x:c>
      <x:c r="M8" s="21" t="n">
        <x:f>IF(G8="","",G8/15%)</x:f>
        <x:v>88000</x:v>
      </x:c>
      <x:c r="N8" s="20" t="str">
        <x:v>Tenant pays $1,600; lot rent is $500.</x:v>
      </x:c>
      <x:c r="P8" s="38" t="str">
        <x:v>Gross Yield on Entered Values</x:v>
      </x:c>
      <x:c r="Q8" s="40" t="str">
        <x:f>IFERROR(G9/C9,"")</x:f>
      </x:c>
    </x:row>
    <x:row r="9">
      <x:c r="A9" s="31" t="str">
        <x:v>Total</x:v>
      </x:c>
      <x:c r="B9" s="31" t="str"/>
      <x:c r="C9" s="32" t="n">
        <x:f>SUM(C6:C8)</x:f>
        <x:v>0</x:v>
      </x:c>
      <x:c r="D9" s="32" t="n">
        <x:f>SUM(D6:D8)</x:f>
        <x:v>2064</x:v>
      </x:c>
      <x:c r="E9" s="32" t="n">
        <x:f>SUM(E6:E8)</x:f>
        <x:v>5350</x:v>
      </x:c>
      <x:c r="F9" s="32" t="n">
        <x:f>SUM(F6:F8)</x:f>
        <x:v>3286</x:v>
      </x:c>
      <x:c r="G9" s="32" t="n">
        <x:f>SUM(G6:G8)</x:f>
        <x:v>39432</x:v>
      </x:c>
      <x:c r="H9" s="33" t="n">
        <x:f>IFERROR(D9/E9,"")</x:f>
        <x:v>0.3857943925233645</x:v>
      </x:c>
      <x:c r="I9" s="33" t="n">
        <x:f>IFERROR(F9/E9,"")</x:f>
        <x:v>0.6142056074766356</x:v>
      </x:c>
      <x:c r="J9" s="33" t="str">
        <x:f>IFERROR(G9/C9,"")</x:f>
      </x:c>
      <x:c r="K9" s="32" t="n">
        <x:f>IF(G9="","",G9/10%)</x:f>
        <x:v>394320</x:v>
      </x:c>
      <x:c r="L9" s="32" t="n">
        <x:f>IF(G9="","",G9/12%)</x:f>
        <x:v>328600</x:v>
      </x:c>
      <x:c r="M9" s="32" t="n">
        <x:f>IF(G9="","",G9/15%)</x:f>
        <x:v>262880</x:v>
      </x:c>
      <x:c r="N9" s="34" t="str"/>
    </x:row>
    <x:row r="10">
      <x:c r="P10" s="43" t="str">
        <x:v>Target Yield</x:v>
      </x:c>
      <x:c r="Q10" s="43" t="str">
        <x:v>Implied Total Value</x:v>
      </x:c>
    </x:row>
    <x:row r="11">
      <x:c r="P11" s="44" t="str">
        <x:v>10%</x:v>
      </x:c>
      <x:c r="Q11" s="45" t="n">
        <x:f>IF($Q$5=0,"",$Q$5/10%)</x:f>
        <x:v>394320</x:v>
      </x:c>
    </x:row>
    <x:row r="12">
      <x:c r="A12" s="70" t="str">
        <x:v>Notes</x:v>
      </x:c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2"/>
      <x:c r="P12" s="44" t="str">
        <x:v>12%</x:v>
      </x:c>
      <x:c r="Q12" s="45" t="n">
        <x:f>IF($Q$5=0,"",$Q$5/12%)</x:f>
        <x:v>328600</x:v>
      </x:c>
    </x:row>
    <x:row r="13">
      <x:c r="A13" s="63" t="str">
        <x:v>Gross spread is tenant payment less lot rent only. It does not include repairs, taxes, insurance, management, vacancy, collections, financing, or other costs.</x:v>
      </x:c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5"/>
      <x:c r="P13" s="44" t="str">
        <x:v>15%</x:v>
      </x:c>
      <x:c r="Q13" s="45" t="n">
        <x:f>IF($Q$5=0,"",$Q$5/15%)</x:f>
        <x:v>262880</x:v>
      </x:c>
    </x:row>
    <x:row r="14">
      <x:c r="A14" s="66" t="str">
        <x:v>Max value columns show what each property could support at simple gross-spread yields of 10%, 12%, and 15% before other expenses.</x:v>
      </x:c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8"/>
    </x:row>
    <x:row r="16">
      <x:c r="P16" s="49" t="str">
        <x:v>Property</x:v>
      </x:c>
      <x:c r="Q16" s="49" t="str">
        <x:v>Monthly Spread</x:v>
      </x:c>
    </x:row>
    <x:row r="17">
      <x:c r="P17" s="47" t="str">
        <x:v>5009 Sunnyfield Dr</x:v>
      </x:c>
      <x:c r="Q17" s="50" t="n">
        <x:f>IF(F6="",0,F6)</x:f>
        <x:v>1018</x:v>
      </x:c>
    </x:row>
    <x:row r="18">
      <x:c r="P18" s="47" t="str">
        <x:v>5021 Sunnyfield Dr</x:v>
      </x:c>
      <x:c r="Q18" s="50" t="n">
        <x:f>IF(F7="",0,F7)</x:f>
        <x:v>1168</x:v>
      </x:c>
    </x:row>
    <x:row r="19">
      <x:c r="P19" s="47" t="str">
        <x:v>5512 Desert Willow Ln</x:v>
      </x:c>
      <x:c r="Q19" s="50" t="n">
        <x:f>IF(F8="",0,F8)</x:f>
        <x:v>1100</x:v>
      </x:c>
    </x:row>
  </x:sheetData>
  <x:mergeCells>
    <x:mergeCell ref="A1:N1"/>
    <x:mergeCell ref="A2:N2"/>
    <x:mergeCell ref="A12:N12"/>
    <x:mergeCell ref="A13:N13"/>
    <x:mergeCell ref="A14:N14"/>
  </x:mergeCells>
  <x:pageMargins left="0.7" right="0.7" top="0.75" bottom="0.75" header="0.3" footer="0.3"/>
  <x:drawing xmlns:r="http://schemas.openxmlformats.org/officeDocument/2006/relationships" r:id="Re7a302efdbdf49be"/>
</x:worksheet>
</file>