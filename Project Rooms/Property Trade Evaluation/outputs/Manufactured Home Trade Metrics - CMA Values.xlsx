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e Metrics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8">
    <font>
      <name val="Carlito"/>
      <sz val="11"/>
    </font>
    <font>
      <name val="Carlito"/>
      <b val="1"/>
      <color rgb="FFFFFFFF"/>
      <sz val="16"/>
    </font>
    <font>
      <name val="Carlito"/>
      <color rgb="FF334E68"/>
      <sz val="10"/>
    </font>
    <font>
      <name val="Carlito"/>
      <b val="1"/>
      <color rgb="FFFFFFFF"/>
      <sz val="10"/>
    </font>
    <font>
      <name val="Carlito"/>
      <color rgb="FF1F2933"/>
      <sz val="10"/>
    </font>
    <font>
      <name val="Carlito"/>
      <b val="1"/>
      <color rgb="FF17324D"/>
      <sz val="10"/>
    </font>
    <font>
      <name val="Carlito"/>
      <color rgb="FF1F2933"/>
      <sz val="9"/>
    </font>
    <font>
      <name val="Carlito"/>
      <b val="1"/>
      <color rgb="FF17324D"/>
      <sz val="9"/>
    </font>
  </fonts>
  <fills count="7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1F8"/>
      </patternFill>
    </fill>
    <fill>
      <patternFill patternType="solid">
        <fgColor rgb="FF254F7A"/>
      </patternFill>
    </fill>
    <fill>
      <patternFill patternType="solid">
        <fgColor rgb="FFFFFFFF"/>
      </patternFill>
    </fill>
    <fill>
      <patternFill patternType="solid">
        <fgColor rgb="FFF7FAFC"/>
      </patternFill>
    </fill>
  </fills>
  <borders count="14">
    <border/>
    <border>
      <left style="thin">
        <color rgb="FFB8C5D3"/>
      </left>
      <right style="thin">
        <color rgb="FFB8C5D3"/>
      </right>
      <top style="thin">
        <color rgb="FFB8C5D3"/>
      </top>
      <bottom style="thin">
        <color rgb="FFB8C5D3"/>
      </bottom>
    </border>
    <border>
      <left style="thin">
        <color rgb="FFD8DEE6"/>
      </left>
      <right style="thin">
        <color rgb="FFD8DEE6"/>
      </right>
      <top style="thin">
        <color rgb="FFD8DEE6"/>
      </top>
      <bottom style="thin">
        <color rgb="FFD8DEE6"/>
      </bottom>
    </border>
    <border>
      <left style="thin">
        <color rgb="FFD8DEE6"/>
      </left>
      <top style="thin">
        <color rgb="FFD8DEE6"/>
      </top>
    </border>
    <border>
      <top style="thin">
        <color rgb="FFD8DEE6"/>
      </top>
    </border>
    <border>
      <right style="thin">
        <color rgb="FFD8DEE6"/>
      </right>
      <top style="thin">
        <color rgb="FFD8DEE6"/>
      </top>
    </border>
    <border>
      <left style="thin">
        <color rgb="FFD8DEE6"/>
      </left>
    </border>
    <border>
      <right style="thin">
        <color rgb="FFD8DEE6"/>
      </right>
    </border>
    <border>
      <left style="thin">
        <color rgb="FFD8DEE6"/>
      </left>
      <bottom style="thin">
        <color rgb="FFD8DEE6"/>
      </bottom>
    </border>
    <border>
      <bottom style="thin">
        <color rgb="FFD8DEE6"/>
      </bottom>
    </border>
    <border>
      <right style="thin">
        <color rgb="FFD8DEE6"/>
      </right>
      <bottom style="thin">
        <color rgb="FFD8DEE6"/>
      </bottom>
    </border>
    <border>
      <left style="thin">
        <color rgb="FFD8DEE6"/>
      </left>
      <right style="thin">
        <color rgb="FFD8DEE6"/>
      </right>
      <top style="thin">
        <color rgb="FFD8DEE6"/>
      </top>
    </border>
    <border>
      <left style="thin">
        <color rgb="FFD8DEE6"/>
      </left>
      <right style="thin">
        <color rgb="FFD8DEE6"/>
      </right>
    </border>
    <border>
      <left style="thin">
        <color rgb="FFD8DEE6"/>
      </left>
      <right style="thin">
        <color rgb="FFD8DEE6"/>
      </right>
      <bottom style="thin">
        <color rgb="FFD8DEE6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pivotButton="0" quotePrefix="0" xfId="0"/>
    <xf numFmtId="0" fontId="4" fillId="5" borderId="2" pivotButton="0" quotePrefix="0" xfId="0"/>
    <xf numFmtId="0" fontId="4" fillId="5" borderId="2" applyAlignment="1" pivotButton="0" quotePrefix="0" xfId="0">
      <alignment vertical="center"/>
    </xf>
    <xf numFmtId="0" fontId="4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vertical="center" wrapText="1"/>
    </xf>
    <xf numFmtId="0" fontId="4" fillId="5" borderId="2" applyAlignment="1" pivotButton="0" quotePrefix="0" xfId="0">
      <alignment horizontal="left" vertical="center" wrapText="1"/>
    </xf>
    <xf numFmtId="164" fontId="4" fillId="5" borderId="2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0" fontId="4" fillId="3" borderId="2" applyAlignment="1" pivotButton="0" quotePrefix="0" xfId="0">
      <alignment horizontal="left" vertical="center"/>
    </xf>
    <xf numFmtId="164" fontId="4" fillId="3" borderId="2" applyAlignment="1" pivotButton="0" quotePrefix="0" xfId="0">
      <alignment vertical="center"/>
    </xf>
    <xf numFmtId="165" fontId="4" fillId="3" borderId="2" applyAlignment="1" pivotButton="0" quotePrefix="0" xfId="0">
      <alignment vertical="center"/>
    </xf>
    <xf numFmtId="0" fontId="4" fillId="3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/>
    </xf>
    <xf numFmtId="164" fontId="5" fillId="3" borderId="2" applyAlignment="1" pivotButton="0" quotePrefix="0" xfId="0">
      <alignment vertical="center"/>
    </xf>
    <xf numFmtId="165" fontId="5" fillId="3" borderId="2" applyAlignment="1" pivotButton="0" quotePrefix="0" xfId="0">
      <alignment vertical="center"/>
    </xf>
    <xf numFmtId="0" fontId="5" fillId="3" borderId="2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5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/>
    </xf>
    <xf numFmtId="0" fontId="0" fillId="6" borderId="0" pivotButton="0" quotePrefix="0" xfId="0"/>
    <xf numFmtId="0" fontId="4" fillId="6" borderId="0" pivotButton="0" quotePrefix="0" xfId="0"/>
    <xf numFmtId="0" fontId="4" fillId="6" borderId="2" pivotButton="0" quotePrefix="0" xfId="0"/>
    <xf numFmtId="164" fontId="4" fillId="6" borderId="2" pivotButton="0" quotePrefix="0" xfId="0"/>
    <xf numFmtId="165" fontId="4" fillId="6" borderId="2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9" fontId="4" fillId="5" borderId="2" pivotButton="0" quotePrefix="0" xfId="0"/>
    <xf numFmtId="164" fontId="4" fillId="5" borderId="2" pivotButton="0" quotePrefix="0" xfId="0"/>
    <xf numFmtId="0" fontId="6" fillId="5" borderId="0" pivotButton="0" quotePrefix="0" xfId="0"/>
    <xf numFmtId="0" fontId="6" fillId="5" borderId="2" pivotButton="0" quotePrefix="0" xfId="0"/>
    <xf numFmtId="0" fontId="6" fillId="3" borderId="2" pivotButton="0" quotePrefix="0" xfId="0"/>
    <xf numFmtId="0" fontId="7" fillId="3" borderId="2" pivotButton="0" quotePrefix="0" xfId="0"/>
    <xf numFmtId="164" fontId="6" fillId="5" borderId="2" pivotButton="0" quotePrefix="0" xfId="0"/>
    <xf numFmtId="0" fontId="2" fillId="6" borderId="0" pivotButton="0" quotePrefix="0" xfId="0"/>
    <xf numFmtId="0" fontId="2" fillId="6" borderId="3" pivotButton="0" quotePrefix="0" xfId="0"/>
    <xf numFmtId="0" fontId="2" fillId="6" borderId="4" pivotButton="0" quotePrefix="0" xfId="0"/>
    <xf numFmtId="0" fontId="2" fillId="6" borderId="5" pivotButton="0" quotePrefix="0" xfId="0"/>
    <xf numFmtId="0" fontId="2" fillId="6" borderId="6" pivotButton="0" quotePrefix="0" xfId="0"/>
    <xf numFmtId="0" fontId="2" fillId="6" borderId="7" pivotButton="0" quotePrefix="0" xfId="0"/>
    <xf numFmtId="0" fontId="2" fillId="6" borderId="8" pivotButton="0" quotePrefix="0" xfId="0"/>
    <xf numFmtId="0" fontId="2" fillId="6" borderId="9" pivotButton="0" quotePrefix="0" xfId="0"/>
    <xf numFmtId="0" fontId="2" fillId="6" borderId="10" pivotButton="0" quotePrefix="0" xfId="0"/>
    <xf numFmtId="0" fontId="2" fillId="6" borderId="3" applyAlignment="1" pivotButton="0" quotePrefix="0" xfId="0">
      <alignment wrapText="1"/>
    </xf>
    <xf numFmtId="0" fontId="2" fillId="6" borderId="4" applyAlignment="1" pivotButton="0" quotePrefix="0" xfId="0">
      <alignment wrapText="1"/>
    </xf>
    <xf numFmtId="0" fontId="2" fillId="6" borderId="5" applyAlignment="1" pivotButton="0" quotePrefix="0" xfId="0">
      <alignment wrapText="1"/>
    </xf>
    <xf numFmtId="0" fontId="2" fillId="6" borderId="6" applyAlignment="1" pivotButton="0" quotePrefix="0" xfId="0">
      <alignment wrapText="1"/>
    </xf>
    <xf numFmtId="0" fontId="2" fillId="6" borderId="0" applyAlignment="1" pivotButton="0" quotePrefix="0" xfId="0">
      <alignment wrapText="1"/>
    </xf>
    <xf numFmtId="0" fontId="2" fillId="6" borderId="7" applyAlignment="1" pivotButton="0" quotePrefix="0" xfId="0">
      <alignment wrapText="1"/>
    </xf>
    <xf numFmtId="0" fontId="2" fillId="6" borderId="8" applyAlignment="1" pivotButton="0" quotePrefix="0" xfId="0">
      <alignment wrapText="1"/>
    </xf>
    <xf numFmtId="0" fontId="2" fillId="6" borderId="9" applyAlignment="1" pivotButton="0" quotePrefix="0" xfId="0">
      <alignment wrapText="1"/>
    </xf>
    <xf numFmtId="0" fontId="2" fillId="6" borderId="10" applyAlignment="1" pivotButton="0" quotePrefix="0" xfId="0">
      <alignment wrapText="1"/>
    </xf>
    <xf numFmtId="0" fontId="2" fillId="3" borderId="3" applyAlignment="1" pivotButton="0" quotePrefix="0" xfId="0">
      <alignment wrapText="1"/>
    </xf>
    <xf numFmtId="0" fontId="5" fillId="3" borderId="3" applyAlignment="1" pivotButton="0" quotePrefix="0" xfId="0">
      <alignment wrapText="1"/>
    </xf>
    <xf numFmtId="164" fontId="4" fillId="6" borderId="2" pivotButton="0" quotePrefix="0" xfId="0"/>
    <xf numFmtId="164" fontId="4" fillId="5" borderId="2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6" borderId="2" pivotButton="0" quotePrefix="0" xfId="0"/>
    <xf numFmtId="164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9" fontId="4" fillId="5" borderId="2" pivotButton="0" quotePrefix="0" xfId="0"/>
    <xf numFmtId="164" fontId="4" fillId="5" borderId="2" pivotButton="0" quotePrefix="0" xfId="0"/>
    <xf numFmtId="0" fontId="5" fillId="3" borderId="11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2" fillId="6" borderId="12" applyAlignment="1" pivotButton="0" quotePrefix="0" xfId="0">
      <alignment wrapText="1"/>
    </xf>
    <xf numFmtId="0" fontId="0" fillId="0" borderId="7" pivotButton="0" quotePrefix="0" xfId="0"/>
    <xf numFmtId="0" fontId="2" fillId="6" borderId="13" applyAlignment="1" pivotButton="0" quotePrefix="0" xfId="0">
      <alignment wrapText="1"/>
    </xf>
    <xf numFmtId="0" fontId="0" fillId="0" borderId="9" pivotButton="0" quotePrefix="0" xfId="0"/>
    <xf numFmtId="0" fontId="0" fillId="0" borderId="10" pivotButton="0" quotePrefix="0" xfId="0"/>
    <xf numFmtId="164" fontId="6" fillId="5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Monthly Gross Spread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Monthly Spread</v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cat>
            <strRef>
              <f>'Trade Metrics'!$P$17:$P$19</f>
              <strCache>
                <ptCount val="0"/>
              </strCache>
            </strRef>
          </cat>
          <val>
            <numRef>
              <f>'Trade Metrics'!$Q$17:$Q$19</f>
              <numCache>
                <formatCode>$#,##0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$#,##0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15</col>
      <colOff>0</colOff>
      <row>20</row>
      <rowOff>0</rowOff>
    </from>
    <to>
      <col>23</col>
      <colOff>0</colOff>
      <row>36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4" customWidth="1" min="4" max="4"/>
    <col width="16" customWidth="1" min="5" max="5"/>
    <col width="17" customWidth="1" min="6" max="6"/>
    <col width="17" customWidth="1" min="7" max="7"/>
    <col width="16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36" customWidth="1" min="14" max="14"/>
    <col width="24" customWidth="1" min="16" max="16"/>
    <col width="18" customWidth="1" min="17" max="17"/>
  </cols>
  <sheetData>
    <row r="1" ht="30" customHeight="1">
      <c r="A1" s="4" t="inlineStr">
        <is>
          <t>Manufactured Home Trade Metrics</t>
        </is>
      </c>
    </row>
    <row r="2" ht="34" customHeight="1">
      <c r="A2" s="7" t="inlineStr">
        <is>
          <t>Enter estimated property values later. Metrics update from lot rent, tenant payment, and property value inputs.</t>
        </is>
      </c>
    </row>
    <row r="3">
      <c r="P3" s="35" t="inlineStr">
        <is>
          <t>Summary</t>
        </is>
      </c>
      <c r="Q3" s="35" t="inlineStr">
        <is>
          <t>Value</t>
        </is>
      </c>
    </row>
    <row r="4">
      <c r="P4" s="38" t="inlineStr">
        <is>
          <t>Known Monthly Spread</t>
        </is>
      </c>
      <c r="Q4" s="71">
        <f>F9</f>
        <v/>
      </c>
    </row>
    <row r="5" ht="38" customHeight="1">
      <c r="A5" s="13" t="inlineStr">
        <is>
          <t>Property</t>
        </is>
      </c>
      <c r="B5" s="13" t="inlineStr">
        <is>
          <t>Home Type</t>
        </is>
      </c>
      <c r="C5" s="13" t="inlineStr">
        <is>
          <t>Est. Property Value</t>
        </is>
      </c>
      <c r="D5" s="13" t="inlineStr">
        <is>
          <t>Lot Rent / Mo</t>
        </is>
      </c>
      <c r="E5" s="13" t="inlineStr">
        <is>
          <t>Tenant Payment / Mo</t>
        </is>
      </c>
      <c r="F5" s="13" t="inlineStr">
        <is>
          <t>Monthly Gross Spread</t>
        </is>
      </c>
      <c r="G5" s="13" t="inlineStr">
        <is>
          <t>Annual Gross Spread</t>
        </is>
      </c>
      <c r="H5" s="13" t="inlineStr">
        <is>
          <t>Lot Rent % of Payment</t>
        </is>
      </c>
      <c r="I5" s="13" t="inlineStr">
        <is>
          <t>Spread Margin</t>
        </is>
      </c>
      <c r="J5" s="13" t="inlineStr">
        <is>
          <t>Gross Yield on Value</t>
        </is>
      </c>
      <c r="K5" s="13" t="inlineStr">
        <is>
          <t>Max Value @ 10%</t>
        </is>
      </c>
      <c r="L5" s="13" t="inlineStr">
        <is>
          <t>Max Value @ 12%</t>
        </is>
      </c>
      <c r="M5" s="13" t="inlineStr">
        <is>
          <t>Max Value @ 15%</t>
        </is>
      </c>
      <c r="N5" s="13" t="inlineStr">
        <is>
          <t>Notes</t>
        </is>
      </c>
      <c r="P5" s="38" t="inlineStr">
        <is>
          <t>Known Annual Spread</t>
        </is>
      </c>
      <c r="Q5" s="71">
        <f>G9</f>
        <v/>
      </c>
    </row>
    <row r="6">
      <c r="A6" s="18" t="inlineStr">
        <is>
          <t>5009 Sunnyfield Dr</t>
        </is>
      </c>
      <c r="B6" s="18" t="inlineStr">
        <is>
          <t>Single wide</t>
        </is>
      </c>
      <c r="C6" s="72" t="n">
        <v>70000</v>
      </c>
      <c r="D6" s="72" t="n">
        <v>782</v>
      </c>
      <c r="E6" s="72" t="n">
        <v>1800</v>
      </c>
      <c r="F6" s="72">
        <f>IF(OR(D6="",E6=""),"",E6-D6)</f>
        <v/>
      </c>
      <c r="G6" s="72">
        <f>IF(F6="","",F6*12)</f>
        <v/>
      </c>
      <c r="H6" s="73">
        <f>IFERROR(D6/E6,"")</f>
        <v/>
      </c>
      <c r="I6" s="73">
        <f>IFERROR(F6/E6,"")</f>
        <v/>
      </c>
      <c r="J6" s="73">
        <f>IFERROR(G6/C6,"")</f>
        <v/>
      </c>
      <c r="K6" s="72">
        <f>IF(G6="","",G6/10%)</f>
        <v/>
      </c>
      <c r="L6" s="72">
        <f>IF(G6="","",G6/12%)</f>
        <v/>
      </c>
      <c r="M6" s="72">
        <f>IF(G6="","",G6/15%)</f>
        <v/>
      </c>
      <c r="N6" s="20" t="inlineStr">
        <is>
          <t>Tenant pays $1,800; lot rent is $782.</t>
        </is>
      </c>
      <c r="P6" s="38" t="inlineStr">
        <is>
          <t>Monthly Tenant Payments</t>
        </is>
      </c>
      <c r="Q6" s="71">
        <f>E9</f>
        <v/>
      </c>
    </row>
    <row r="7">
      <c r="A7" s="18" t="inlineStr">
        <is>
          <t>5021 Sunnyfield Dr</t>
        </is>
      </c>
      <c r="B7" s="18" t="inlineStr">
        <is>
          <t>Double wide</t>
        </is>
      </c>
      <c r="C7" s="72" t="n">
        <v>104000</v>
      </c>
      <c r="D7" s="72" t="n">
        <v>782</v>
      </c>
      <c r="E7" s="72" t="n">
        <v>1950</v>
      </c>
      <c r="F7" s="72">
        <f>IF(OR(D7="",E7=""),"",E7-D7)</f>
        <v/>
      </c>
      <c r="G7" s="72">
        <f>IF(F7="","",F7*12)</f>
        <v/>
      </c>
      <c r="H7" s="73">
        <f>IFERROR(D7/E7,"")</f>
        <v/>
      </c>
      <c r="I7" s="73">
        <f>IFERROR(F7/E7,"")</f>
        <v/>
      </c>
      <c r="J7" s="73">
        <f>IFERROR(G7/C7,"")</f>
        <v/>
      </c>
      <c r="K7" s="72">
        <f>IF(G7="","",G7/10%)</f>
        <v/>
      </c>
      <c r="L7" s="72">
        <f>IF(G7="","",G7/12%)</f>
        <v/>
      </c>
      <c r="M7" s="72">
        <f>IF(G7="","",G7/15%)</f>
        <v/>
      </c>
      <c r="N7" s="20" t="inlineStr">
        <is>
          <t>Assumed tenant rent is $1,950; lot rent is $782.</t>
        </is>
      </c>
      <c r="P7" s="38" t="inlineStr">
        <is>
          <t>Monthly Lot Rent</t>
        </is>
      </c>
      <c r="Q7" s="71">
        <f>D9</f>
        <v/>
      </c>
    </row>
    <row r="8">
      <c r="A8" s="18" t="inlineStr">
        <is>
          <t>5512 Desert Willow Ln</t>
        </is>
      </c>
      <c r="B8" s="18" t="inlineStr">
        <is>
          <t>Single wide</t>
        </is>
      </c>
      <c r="C8" s="72" t="n">
        <v>76500</v>
      </c>
      <c r="D8" s="72" t="n">
        <v>500</v>
      </c>
      <c r="E8" s="72" t="n">
        <v>1600</v>
      </c>
      <c r="F8" s="72">
        <f>IF(OR(D8="",E8=""),"",E8-D8)</f>
        <v/>
      </c>
      <c r="G8" s="72">
        <f>IF(F8="","",F8*12)</f>
        <v/>
      </c>
      <c r="H8" s="73">
        <f>IFERROR(D8/E8,"")</f>
        <v/>
      </c>
      <c r="I8" s="73">
        <f>IFERROR(F8/E8,"")</f>
        <v/>
      </c>
      <c r="J8" s="73">
        <f>IFERROR(G8/C8,"")</f>
        <v/>
      </c>
      <c r="K8" s="72">
        <f>IF(G8="","",G8/10%)</f>
        <v/>
      </c>
      <c r="L8" s="72">
        <f>IF(G8="","",G8/12%)</f>
        <v/>
      </c>
      <c r="M8" s="72">
        <f>IF(G8="","",G8/15%)</f>
        <v/>
      </c>
      <c r="N8" s="20" t="inlineStr">
        <is>
          <t>Tenant pays $1,600; lot rent is $500.</t>
        </is>
      </c>
      <c r="P8" s="38" t="inlineStr">
        <is>
          <t>Gross Yield on Entered Values</t>
        </is>
      </c>
      <c r="Q8" s="74">
        <f>IFERROR(G9/C9,"")</f>
        <v/>
      </c>
    </row>
    <row r="9">
      <c r="A9" s="31" t="inlineStr">
        <is>
          <t>Total</t>
        </is>
      </c>
      <c r="B9" s="31" t="str"/>
      <c r="C9" s="75">
        <f>SUM(C6:C8)</f>
        <v/>
      </c>
      <c r="D9" s="75">
        <f>SUM(D6:D8)</f>
        <v/>
      </c>
      <c r="E9" s="75">
        <f>SUM(E6:E8)</f>
        <v/>
      </c>
      <c r="F9" s="75">
        <f>SUM(F6:F8)</f>
        <v/>
      </c>
      <c r="G9" s="75">
        <f>SUM(G6:G8)</f>
        <v/>
      </c>
      <c r="H9" s="76">
        <f>IFERROR(D9/E9,"")</f>
        <v/>
      </c>
      <c r="I9" s="76">
        <f>IFERROR(F9/E9,"")</f>
        <v/>
      </c>
      <c r="J9" s="76">
        <f>IFERROR(G9/C9,"")</f>
        <v/>
      </c>
      <c r="K9" s="75">
        <f>IF(G9="","",G9/10%)</f>
        <v/>
      </c>
      <c r="L9" s="75">
        <f>IF(G9="","",G9/12%)</f>
        <v/>
      </c>
      <c r="M9" s="75">
        <f>IF(G9="","",G9/15%)</f>
        <v/>
      </c>
      <c r="N9" s="34" t="str"/>
    </row>
    <row r="10">
      <c r="P10" s="43" t="inlineStr">
        <is>
          <t>Target Yield</t>
        </is>
      </c>
      <c r="Q10" s="43" t="inlineStr">
        <is>
          <t>Implied Total Value</t>
        </is>
      </c>
    </row>
    <row r="11">
      <c r="P11" s="77" t="inlineStr">
        <is>
          <t>10%</t>
        </is>
      </c>
      <c r="Q11" s="78">
        <f>IF($Q$5=0,"",$Q$5/10%)</f>
        <v/>
      </c>
    </row>
    <row r="12">
      <c r="A12" s="79" t="inlineStr">
        <is>
          <t>Notes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  <c r="M12" s="80" t="n"/>
      <c r="N12" s="81" t="n"/>
      <c r="P12" s="77" t="inlineStr">
        <is>
          <t>12%</t>
        </is>
      </c>
      <c r="Q12" s="78">
        <f>IF($Q$5=0,"",$Q$5/12%)</f>
        <v/>
      </c>
    </row>
    <row r="13">
      <c r="A13" s="82" t="inlineStr">
        <is>
          <t>Gross spread is tenant payment less lot rent only. It does not include repairs, taxes, insurance, management, vacancy, collections, financing, or other costs.</t>
        </is>
      </c>
      <c r="N13" s="83" t="n"/>
      <c r="P13" s="77" t="inlineStr">
        <is>
          <t>15%</t>
        </is>
      </c>
      <c r="Q13" s="78">
        <f>IF($Q$5=0,"",$Q$5/15%)</f>
        <v/>
      </c>
    </row>
    <row r="14">
      <c r="A14" s="84" t="inlineStr">
        <is>
          <t>Max value columns show what each property could support at simple gross-spread yields of 10%, 12%, and 15% before other expenses.</t>
        </is>
      </c>
      <c r="B14" s="85" t="n"/>
      <c r="C14" s="85" t="n"/>
      <c r="D14" s="85" t="n"/>
      <c r="E14" s="85" t="n"/>
      <c r="F14" s="85" t="n"/>
      <c r="G14" s="85" t="n"/>
      <c r="H14" s="85" t="n"/>
      <c r="I14" s="85" t="n"/>
      <c r="J14" s="85" t="n"/>
      <c r="K14" s="85" t="n"/>
      <c r="L14" s="85" t="n"/>
      <c r="M14" s="85" t="n"/>
      <c r="N14" s="86" t="n"/>
    </row>
    <row r="16">
      <c r="P16" s="49" t="inlineStr">
        <is>
          <t>Property</t>
        </is>
      </c>
      <c r="Q16" s="49" t="inlineStr">
        <is>
          <t>Monthly Spread</t>
        </is>
      </c>
    </row>
    <row r="17">
      <c r="P17" s="47" t="inlineStr">
        <is>
          <t>5009 Sunnyfield Dr</t>
        </is>
      </c>
      <c r="Q17" s="87">
        <f>IF(F6="",0,F6)</f>
        <v/>
      </c>
    </row>
    <row r="18">
      <c r="P18" s="47" t="inlineStr">
        <is>
          <t>5021 Sunnyfield Dr</t>
        </is>
      </c>
      <c r="Q18" s="87">
        <f>IF(F7="",0,F7)</f>
        <v/>
      </c>
    </row>
    <row r="19">
      <c r="P19" s="47" t="inlineStr">
        <is>
          <t>5512 Desert Willow Ln</t>
        </is>
      </c>
      <c r="Q19" s="87">
        <f>IF(F8="",0,F8)</f>
        <v/>
      </c>
    </row>
  </sheetData>
  <mergeCells count="5">
    <mergeCell ref="A12:N12"/>
    <mergeCell ref="A2:N2"/>
    <mergeCell ref="A13:N13"/>
    <mergeCell ref="A14:N14"/>
    <mergeCell ref="A1:N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2026-06-19T16:58:40Z</dcterms:created>
  <dcterms:modified xmlns:dcterms="http://purl.org/dc/terms/" xmlns:xsi="http://www.w3.org/2001/XMLSchema-instance" xsi:type="dcterms:W3CDTF">2026-06-19T16:58:40Z</dcterms:modified>
</cp:coreProperties>
</file>