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x\Wiki Files\Project Rooms\Property Trade Evaluation\outputs\"/>
    </mc:Choice>
  </mc:AlternateContent>
  <xr:revisionPtr revIDLastSave="0" documentId="13_ncr:1_{1DDB420C-949E-492F-8455-B0D0A64CF549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Trade Metrics" sheetId="1" r:id="rId1"/>
  </sheets>
  <calcPr calcId="191029" iterate="1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Q6" i="1" s="1"/>
  <c r="D9" i="1"/>
  <c r="Q7" i="1" s="1"/>
  <c r="C9" i="1"/>
  <c r="H8" i="1"/>
  <c r="F8" i="1"/>
  <c r="Q19" i="1" s="1"/>
  <c r="H7" i="1"/>
  <c r="F7" i="1"/>
  <c r="I7" i="1" s="1"/>
  <c r="H6" i="1"/>
  <c r="F6" i="1"/>
  <c r="Q17" i="1" s="1"/>
  <c r="G7" i="1" l="1"/>
  <c r="M7" i="1" s="1"/>
  <c r="Q18" i="1"/>
  <c r="F9" i="1"/>
  <c r="I9" i="1" s="1"/>
  <c r="I6" i="1"/>
  <c r="G8" i="1"/>
  <c r="I8" i="1"/>
  <c r="H9" i="1"/>
  <c r="G6" i="1"/>
  <c r="L7" i="1" l="1"/>
  <c r="K7" i="1"/>
  <c r="J7" i="1"/>
  <c r="Q4" i="1"/>
  <c r="M8" i="1"/>
  <c r="L8" i="1"/>
  <c r="K8" i="1"/>
  <c r="J8" i="1"/>
  <c r="G9" i="1"/>
  <c r="M6" i="1"/>
  <c r="L6" i="1"/>
  <c r="K6" i="1"/>
  <c r="J6" i="1"/>
  <c r="J9" i="1" l="1"/>
  <c r="Q8" i="1"/>
  <c r="Q5" i="1"/>
  <c r="M9" i="1"/>
  <c r="L9" i="1"/>
  <c r="K9" i="1"/>
  <c r="Q12" i="1" l="1"/>
  <c r="Q11" i="1"/>
  <c r="Q13" i="1"/>
</calcChain>
</file>

<file path=xl/sharedStrings.xml><?xml version="1.0" encoding="utf-8"?>
<sst xmlns="http://schemas.openxmlformats.org/spreadsheetml/2006/main" count="46" uniqueCount="40">
  <si>
    <t>Manufactured Home Trade Metrics</t>
  </si>
  <si>
    <t>Enter estimated property values later. Metrics update from lot rent, tenant payment, and property value inputs.</t>
  </si>
  <si>
    <t>Summary</t>
  </si>
  <si>
    <t>Value</t>
  </si>
  <si>
    <t>Known Monthly Spread</t>
  </si>
  <si>
    <t>Property</t>
  </si>
  <si>
    <t>Home Type</t>
  </si>
  <si>
    <t>Est. Property Value</t>
  </si>
  <si>
    <t>Lot Rent / Mo</t>
  </si>
  <si>
    <t>Tenant Payment / Mo</t>
  </si>
  <si>
    <t>Monthly Gross Spread</t>
  </si>
  <si>
    <t>Annual Gross Spread</t>
  </si>
  <si>
    <t>Lot Rent % of Payment</t>
  </si>
  <si>
    <t>Spread Margin</t>
  </si>
  <si>
    <t>Gross Yield on Value</t>
  </si>
  <si>
    <t>Max Value @ 10%</t>
  </si>
  <si>
    <t>Max Value @ 12%</t>
  </si>
  <si>
    <t>Max Value @ 15%</t>
  </si>
  <si>
    <t>Notes</t>
  </si>
  <si>
    <t>Known Annual Spread</t>
  </si>
  <si>
    <t>5009 Sunnyfield Dr</t>
  </si>
  <si>
    <t>Single wide</t>
  </si>
  <si>
    <t>Tenant pays $1,800; lot rent is $782.</t>
  </si>
  <si>
    <t>Monthly Tenant Payments</t>
  </si>
  <si>
    <t>5021 Sunnyfield Dr</t>
  </si>
  <si>
    <t>Double wide</t>
  </si>
  <si>
    <t>Assumed tenant rent is $1,950; lot rent is $782.</t>
  </si>
  <si>
    <t>Monthly Lot Rent</t>
  </si>
  <si>
    <t>5512 Desert Willow Ln</t>
  </si>
  <si>
    <t>Tenant pays $1,600; lot rent is $500.</t>
  </si>
  <si>
    <t>Gross Yield on Entered Values</t>
  </si>
  <si>
    <t>Total</t>
  </si>
  <si>
    <t>Target Yield</t>
  </si>
  <si>
    <t>Implied Total Value</t>
  </si>
  <si>
    <t>10%</t>
  </si>
  <si>
    <t>12%</t>
  </si>
  <si>
    <t>Gross spread is tenant payment less lot rent only. It does not include repairs, taxes, insurance, management, vacancy, collections, financing, or other costs.</t>
  </si>
  <si>
    <t>15%</t>
  </si>
  <si>
    <t>Max value columns show what each property could support at simple gross-spread yields of 10%, 12%, and 15% before other expenses.</t>
  </si>
  <si>
    <t>Monthly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</si>
</sst>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name val="Carlito"/>
    </font>
    <font>
      <b/>
      <sz val="16"/>
      <color rgb="FFFFFFFF"/>
      <name val="Carlito"/>
    </font>
    <font>
      <sz val="10"/>
      <color rgb="FF334E68"/>
      <name val="Carlito"/>
    </font>
    <font>
      <b/>
      <sz val="10"/>
      <color rgb="FFFFFFFF"/>
      <name val="Carlito"/>
    </font>
    <font>
      <sz val="10"/>
      <color rgb="FF1F2933"/>
      <name val="Carlito"/>
    </font>
    <font>
      <b/>
      <sz val="10"/>
      <color rgb="FF17324D"/>
      <name val="Carlito"/>
    </font>
    <font>
      <sz val="9"/>
      <color rgb="FF1F2933"/>
      <name val="Carlito"/>
    </font>
    <font>
      <b/>
      <sz val="9"/>
      <color rgb="FF17324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54F7A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11">
    <border>
      <left/>
      <right/>
      <top/>
      <bottom/>
      <diagonal/>
    </border>
    <border>
      <left style="thin">
        <color rgb="FFB8C5D3"/>
      </left>
      <right style="thin">
        <color rgb="FFB8C5D3"/>
      </right>
      <top style="thin">
        <color rgb="FFB8C5D3"/>
      </top>
      <bottom style="thin">
        <color rgb="FFB8C5D3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/>
      <right style="thin">
        <color rgb="FFD8DEE6"/>
      </right>
      <top/>
      <bottom/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 style="thin">
        <color rgb="FFD8DEE6"/>
      </right>
      <top/>
      <bottom/>
      <diagonal/>
    </border>
    <border>
      <left style="thin">
        <color rgb="FFD8DEE6"/>
      </left>
      <right style="thin">
        <color rgb="FFD8DEE6"/>
      </right>
      <top/>
      <bottom style="thin">
        <color rgb="FFD8DEE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6" borderId="2" xfId="0" applyFont="1" applyFill="1" applyBorder="1"/>
    <xf numFmtId="164" fontId="4" fillId="6" borderId="2" xfId="0" applyNumberFormat="1" applyFont="1" applyFill="1" applyBorder="1"/>
    <xf numFmtId="165" fontId="4" fillId="6" borderId="2" xfId="0" applyNumberFormat="1" applyFont="1" applyFill="1" applyBorder="1"/>
    <xf numFmtId="0" fontId="5" fillId="3" borderId="1" xfId="0" applyFont="1" applyFill="1" applyBorder="1" applyAlignment="1">
      <alignment horizontal="center"/>
    </xf>
    <xf numFmtId="9" fontId="4" fillId="5" borderId="2" xfId="0" applyNumberFormat="1" applyFont="1" applyFill="1" applyBorder="1"/>
    <xf numFmtId="164" fontId="4" fillId="5" borderId="2" xfId="0" applyNumberFormat="1" applyFont="1" applyFill="1" applyBorder="1"/>
    <xf numFmtId="0" fontId="6" fillId="5" borderId="2" xfId="0" applyFont="1" applyFill="1" applyBorder="1"/>
    <xf numFmtId="0" fontId="7" fillId="3" borderId="2" xfId="0" applyFont="1" applyFill="1" applyBorder="1"/>
    <xf numFmtId="164" fontId="6" fillId="5" borderId="2" xfId="0" applyNumberFormat="1" applyFont="1" applyFill="1" applyBorder="1"/>
    <xf numFmtId="0" fontId="5" fillId="3" borderId="8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wrapText="1"/>
    </xf>
    <xf numFmtId="0" fontId="0" fillId="0" borderId="0" xfId="0"/>
    <xf numFmtId="0" fontId="2" fillId="6" borderId="9" xfId="0" applyFont="1" applyFill="1" applyBorder="1" applyAlignment="1">
      <alignment wrapText="1"/>
    </xf>
    <xf numFmtId="0" fontId="0" fillId="0" borderId="5" xfId="0" applyBorder="1"/>
    <xf numFmtId="0" fontId="2" fillId="6" borderId="10" xfId="0" applyFont="1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Monthly Gross Spread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Spread</c:v>
          </c:tx>
          <c:spPr>
            <a:ln>
              <a:prstDash val="solid"/>
            </a:ln>
          </c:spPr>
          <c:invertIfNegative val="1"/>
          <c:cat>
            <c:strRef>
              <c:f>'Trade Metrics'!$P$17:$P$19</c:f>
              <c:strCache>
                <c:ptCount val="3"/>
                <c:pt idx="0">
                  <c:v>5009 Sunnyfield Dr</c:v>
                </c:pt>
                <c:pt idx="1">
                  <c:v>5021 Sunnyfield Dr</c:v>
                </c:pt>
                <c:pt idx="2">
                  <c:v>5512 Desert Willow Ln</c:v>
                </c:pt>
              </c:strCache>
            </c:strRef>
          </c:cat>
          <c:val>
            <c:numRef>
              <c:f>'Trade Metrics'!$Q$17:$Q$19</c:f>
              <c:numCache>
                <c:formatCode>\$#,##0</c:formatCode>
                <c:ptCount val="3"/>
                <c:pt idx="0">
                  <c:v>1018</c:v>
                </c:pt>
                <c:pt idx="1">
                  <c:v>1168</c:v>
                </c:pt>
                <c:pt idx="2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DE3-9CB3-7DB9208E2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20</xdr:row>
      <xdr:rowOff>0</xdr:rowOff>
    </xdr:from>
    <xdr:to>
      <xdr:col>23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showGridLines="0" tabSelected="1" topLeftCell="C1" workbookViewId="0">
      <selection activeCell="L21" sqref="L21"/>
    </sheetView>
  </sheetViews>
  <sheetFormatPr defaultRowHeight="15" x14ac:dyDescent="0.25"/>
  <cols>
    <col min="1" max="1" width="16" bestFit="1" customWidth="1"/>
    <col min="2" max="2" width="9.125" bestFit="1" customWidth="1"/>
    <col min="3" max="3" width="9.25" customWidth="1"/>
    <col min="4" max="4" width="8.75" customWidth="1"/>
    <col min="5" max="5" width="8.5" customWidth="1"/>
    <col min="6" max="6" width="9.375" customWidth="1"/>
    <col min="7" max="7" width="8.25" customWidth="1"/>
    <col min="8" max="8" width="8.375" customWidth="1"/>
    <col min="9" max="9" width="7.125" customWidth="1"/>
    <col min="10" max="10" width="8.375" customWidth="1"/>
    <col min="11" max="11" width="8.75" customWidth="1"/>
    <col min="12" max="12" width="9.625" customWidth="1"/>
    <col min="13" max="13" width="8.5" customWidth="1"/>
    <col min="14" max="14" width="36" customWidth="1"/>
    <col min="16" max="16" width="24" customWidth="1"/>
    <col min="17" max="17" width="18" customWidth="1"/>
  </cols>
  <sheetData>
    <row r="1" spans="1:17" ht="30" customHeight="1" x14ac:dyDescent="0.25">
      <c r="A1" s="30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7" ht="33.950000000000003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7" x14ac:dyDescent="0.25">
      <c r="P3" s="10" t="s">
        <v>2</v>
      </c>
      <c r="Q3" s="10" t="s">
        <v>3</v>
      </c>
    </row>
    <row r="4" spans="1:17" x14ac:dyDescent="0.25">
      <c r="P4" s="11" t="s">
        <v>4</v>
      </c>
      <c r="Q4" s="12">
        <f>F9</f>
        <v>3286</v>
      </c>
    </row>
    <row r="5" spans="1:17" ht="38.1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P5" s="11" t="s">
        <v>19</v>
      </c>
      <c r="Q5" s="12">
        <f>G9</f>
        <v>39432</v>
      </c>
    </row>
    <row r="6" spans="1:17" x14ac:dyDescent="0.25">
      <c r="A6" s="2" t="s">
        <v>20</v>
      </c>
      <c r="B6" s="2" t="s">
        <v>21</v>
      </c>
      <c r="C6" s="4">
        <v>70000</v>
      </c>
      <c r="D6" s="4">
        <v>782</v>
      </c>
      <c r="E6" s="4">
        <v>1800</v>
      </c>
      <c r="F6" s="4">
        <f>IF(OR(D6="",E6=""),"",E6-D6)</f>
        <v>1018</v>
      </c>
      <c r="G6" s="4">
        <f>IF(F6="","",F6*12)</f>
        <v>12216</v>
      </c>
      <c r="H6" s="5">
        <f>IFERROR(D6/E6,"")</f>
        <v>0.43444444444444447</v>
      </c>
      <c r="I6" s="5">
        <f>IFERROR(F6/E6,"")</f>
        <v>0.56555555555555559</v>
      </c>
      <c r="J6" s="5">
        <f>IFERROR(G6/C6,"")</f>
        <v>0.17451428571428571</v>
      </c>
      <c r="K6" s="4">
        <f>IF(G6="","",G6/10%)</f>
        <v>122160</v>
      </c>
      <c r="L6" s="4">
        <f>IF(G6="","",G6/12%)</f>
        <v>101800</v>
      </c>
      <c r="M6" s="4">
        <f>IF(G6="","",G6/15%)</f>
        <v>81440</v>
      </c>
      <c r="N6" s="3" t="s">
        <v>22</v>
      </c>
      <c r="P6" s="11" t="s">
        <v>23</v>
      </c>
      <c r="Q6" s="12">
        <f>E9</f>
        <v>5350</v>
      </c>
    </row>
    <row r="7" spans="1:17" x14ac:dyDescent="0.25">
      <c r="A7" s="2" t="s">
        <v>24</v>
      </c>
      <c r="B7" s="2" t="s">
        <v>25</v>
      </c>
      <c r="C7" s="4">
        <v>104000</v>
      </c>
      <c r="D7" s="4">
        <v>782</v>
      </c>
      <c r="E7" s="4">
        <v>1950</v>
      </c>
      <c r="F7" s="4">
        <f>IF(OR(D7="",E7=""),"",E7-D7)</f>
        <v>1168</v>
      </c>
      <c r="G7" s="4">
        <f>IF(F7="","",F7*12)</f>
        <v>14016</v>
      </c>
      <c r="H7" s="5">
        <f>IFERROR(D7/E7,"")</f>
        <v>0.40102564102564103</v>
      </c>
      <c r="I7" s="5">
        <f>IFERROR(F7/E7,"")</f>
        <v>0.59897435897435902</v>
      </c>
      <c r="J7" s="5">
        <f>IFERROR(G7/C7,"")</f>
        <v>0.13476923076923078</v>
      </c>
      <c r="K7" s="4">
        <f>IF(G7="","",G7/10%)</f>
        <v>140160</v>
      </c>
      <c r="L7" s="4">
        <f>IF(G7="","",G7/12%)</f>
        <v>116800</v>
      </c>
      <c r="M7" s="4">
        <f>IF(G7="","",G7/15%)</f>
        <v>93440</v>
      </c>
      <c r="N7" s="3" t="s">
        <v>26</v>
      </c>
      <c r="P7" s="11" t="s">
        <v>27</v>
      </c>
      <c r="Q7" s="12">
        <f>D9</f>
        <v>2064</v>
      </c>
    </row>
    <row r="8" spans="1:17" x14ac:dyDescent="0.25">
      <c r="A8" s="2" t="s">
        <v>28</v>
      </c>
      <c r="B8" s="2" t="s">
        <v>21</v>
      </c>
      <c r="C8" s="4">
        <v>76500</v>
      </c>
      <c r="D8" s="4">
        <v>500</v>
      </c>
      <c r="E8" s="4">
        <v>1600</v>
      </c>
      <c r="F8" s="4">
        <f>IF(OR(D8="",E8=""),"",E8-D8)</f>
        <v>1100</v>
      </c>
      <c r="G8" s="4">
        <f>IF(F8="","",F8*12)</f>
        <v>13200</v>
      </c>
      <c r="H8" s="5">
        <f>IFERROR(D8/E8,"")</f>
        <v>0.3125</v>
      </c>
      <c r="I8" s="5">
        <f>IFERROR(F8/E8,"")</f>
        <v>0.6875</v>
      </c>
      <c r="J8" s="5">
        <f>IFERROR(G8/C8,"")</f>
        <v>0.17254901960784313</v>
      </c>
      <c r="K8" s="4">
        <f>IF(G8="","",G8/10%)</f>
        <v>132000</v>
      </c>
      <c r="L8" s="4">
        <f>IF(G8="","",G8/12%)</f>
        <v>110000</v>
      </c>
      <c r="M8" s="4">
        <f>IF(G8="","",G8/15%)</f>
        <v>88000</v>
      </c>
      <c r="N8" s="3" t="s">
        <v>29</v>
      </c>
      <c r="P8" s="11" t="s">
        <v>30</v>
      </c>
      <c r="Q8" s="13">
        <f>IFERROR(G9/C9,"")</f>
        <v>0.15741317365269461</v>
      </c>
    </row>
    <row r="9" spans="1:17" x14ac:dyDescent="0.25">
      <c r="A9" s="6" t="s">
        <v>31</v>
      </c>
      <c r="B9" s="6"/>
      <c r="C9" s="7">
        <f>SUM(C6:C8)</f>
        <v>250500</v>
      </c>
      <c r="D9" s="7">
        <f>SUM(D6:D8)</f>
        <v>2064</v>
      </c>
      <c r="E9" s="7">
        <f>SUM(E6:E8)</f>
        <v>5350</v>
      </c>
      <c r="F9" s="7">
        <f>SUM(F6:F8)</f>
        <v>3286</v>
      </c>
      <c r="G9" s="7">
        <f>SUM(G6:G8)</f>
        <v>39432</v>
      </c>
      <c r="H9" s="8">
        <f>IFERROR(D9/E9,"")</f>
        <v>0.3857943925233645</v>
      </c>
      <c r="I9" s="8">
        <f>IFERROR(F9/E9,"")</f>
        <v>0.61420560747663555</v>
      </c>
      <c r="J9" s="8">
        <f>IFERROR(G9/C9,"")</f>
        <v>0.15741317365269461</v>
      </c>
      <c r="K9" s="7">
        <f>IF(G9="","",G9/10%)</f>
        <v>394320</v>
      </c>
      <c r="L9" s="7">
        <f>IF(G9="","",G9/12%)</f>
        <v>328600</v>
      </c>
      <c r="M9" s="7">
        <f>IF(G9="","",G9/15%)</f>
        <v>262880</v>
      </c>
      <c r="N9" s="9"/>
    </row>
    <row r="10" spans="1:17" x14ac:dyDescent="0.25">
      <c r="P10" s="14" t="s">
        <v>32</v>
      </c>
      <c r="Q10" s="14" t="s">
        <v>33</v>
      </c>
    </row>
    <row r="11" spans="1:17" x14ac:dyDescent="0.25">
      <c r="P11" s="15" t="s">
        <v>34</v>
      </c>
      <c r="Q11" s="16">
        <f>IF($Q$5=0,"",$Q$5/10%)</f>
        <v>394320</v>
      </c>
    </row>
    <row r="12" spans="1:17" x14ac:dyDescent="0.25">
      <c r="A12" s="20" t="s">
        <v>18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P12" s="15" t="s">
        <v>35</v>
      </c>
      <c r="Q12" s="16">
        <f>IF($Q$5=0,"",$Q$5/12%)</f>
        <v>328600</v>
      </c>
    </row>
    <row r="13" spans="1:17" x14ac:dyDescent="0.25">
      <c r="A13" s="25" t="s">
        <v>36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6"/>
      <c r="P13" s="15" t="s">
        <v>37</v>
      </c>
      <c r="Q13" s="16">
        <f>IF($Q$5=0,"",$Q$5/15%)</f>
        <v>262880</v>
      </c>
    </row>
    <row r="14" spans="1:17" x14ac:dyDescent="0.25">
      <c r="A14" s="27" t="s">
        <v>38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</row>
    <row r="16" spans="1:17" x14ac:dyDescent="0.25">
      <c r="P16" s="18" t="s">
        <v>5</v>
      </c>
      <c r="Q16" s="18" t="s">
        <v>39</v>
      </c>
    </row>
    <row r="17" spans="16:17" x14ac:dyDescent="0.25">
      <c r="P17" s="17" t="s">
        <v>20</v>
      </c>
      <c r="Q17" s="19">
        <f>IF(F6="",0,F6)</f>
        <v>1018</v>
      </c>
    </row>
    <row r="18" spans="16:17" x14ac:dyDescent="0.25">
      <c r="P18" s="17" t="s">
        <v>24</v>
      </c>
      <c r="Q18" s="19">
        <f>IF(F7="",0,F7)</f>
        <v>1168</v>
      </c>
    </row>
    <row r="19" spans="16:17" x14ac:dyDescent="0.25">
      <c r="P19" s="17" t="s">
        <v>28</v>
      </c>
      <c r="Q19" s="19">
        <f>IF(F8="",0,F8)</f>
        <v>1100</v>
      </c>
    </row>
  </sheetData>
  <mergeCells count="5">
    <mergeCell ref="A12:N12"/>
    <mergeCell ref="A2:N2"/>
    <mergeCell ref="A13:N13"/>
    <mergeCell ref="A14:N14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 Will Buy Your Home</cp:lastModifiedBy>
  <dcterms:created xsi:type="dcterms:W3CDTF">2026-06-19T16:58:40Z</dcterms:created>
  <dcterms:modified xsi:type="dcterms:W3CDTF">2026-06-19T19:24:36Z</dcterms:modified>
</cp:coreProperties>
</file>