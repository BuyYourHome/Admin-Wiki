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Contract for Deed\working\spreadsheet-refactor\"/>
    </mc:Choice>
  </mc:AlternateContent>
  <xr:revisionPtr revIDLastSave="0" documentId="13_ncr:1_{4B2F52FD-A70B-4DB2-BC26-42C7F5F32D6F}" xr6:coauthVersionLast="47" xr6:coauthVersionMax="47" xr10:uidLastSave="{00000000-0000-0000-0000-000000000000}"/>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2" i="64"/>
  <c r="B24" i="64"/>
  <c r="B22" i="64"/>
  <c r="B19"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102" i="64" l="1"/>
  <c r="B101" i="64"/>
  <c r="B30" i="64"/>
  <c r="B64" i="64" l="1"/>
  <c r="B62" i="64"/>
  <c r="B58" i="64"/>
  <c r="B49" i="64"/>
  <c r="B97" i="64"/>
  <c r="B29" i="64"/>
  <c r="G8" i="6"/>
  <c r="G7" i="6"/>
  <c r="G6" i="6"/>
  <c r="H6" i="6" s="1"/>
  <c r="I6" i="6" s="1"/>
  <c r="G5" i="6"/>
  <c r="H5" i="6" s="1"/>
  <c r="G4" i="6"/>
  <c r="H4" i="6" s="1"/>
  <c r="F17" i="1"/>
  <c r="E17" i="1"/>
  <c r="D17" i="1"/>
  <c r="B92" i="64"/>
  <c r="I5" i="6" l="1"/>
  <c r="B99" i="64"/>
  <c r="B98" i="64"/>
  <c r="I4" i="6"/>
  <c r="H7" i="6"/>
  <c r="I7" i="6" s="1"/>
  <c r="H8" i="6"/>
  <c r="I8" i="6" s="1"/>
  <c r="B106" i="64"/>
  <c r="G3" i="64"/>
  <c r="B45" i="64"/>
  <c r="B46" i="64"/>
  <c r="C4" i="63"/>
  <c r="P7" i="63" s="1"/>
  <c r="C2" i="63"/>
  <c r="B25" i="64"/>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B20" i="64"/>
  <c r="B91" i="64"/>
  <c r="B67" i="64"/>
  <c r="AB7" i="63" l="1"/>
  <c r="R7" i="63"/>
  <c r="AC7" i="63"/>
  <c r="AD7" i="63"/>
  <c r="Q7" i="63"/>
  <c r="B50" i="64"/>
  <c r="B100" i="64"/>
  <c r="AM516" i="63"/>
  <c r="B21" i="64"/>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66" i="64"/>
  <c r="B87" i="64" s="1"/>
  <c r="AA10" i="63" l="1"/>
  <c r="AA9" i="63" s="1"/>
  <c r="Y9" i="63" s="1"/>
  <c r="AE16" i="63"/>
  <c r="AF16" i="63" s="1"/>
  <c r="Z511" i="63" l="1"/>
  <c r="Z515" i="63"/>
  <c r="B51" i="64"/>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7"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2" i="64"/>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4" i="64" l="1"/>
  <c r="B13" i="64"/>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23"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7"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U45" i="63"/>
  <c r="AV45" i="63" s="1"/>
  <c r="AO45" i="63"/>
  <c r="AN46" i="63"/>
  <c r="AS46" i="63" s="1"/>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AM48" i="63" s="1"/>
  <c r="P48" i="63"/>
  <c r="W48" i="63" s="1"/>
  <c r="N49" i="63" s="1"/>
  <c r="Z48" i="63" l="1"/>
  <c r="S48" i="63"/>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AT105" i="63"/>
  <c r="Q106" i="63"/>
  <c r="V106" i="63" s="1"/>
  <c r="M106" i="63"/>
  <c r="L106" i="63" s="1"/>
  <c r="AN106" i="63"/>
  <c r="AS106" i="63" s="1"/>
  <c r="P106" i="63"/>
  <c r="W106" i="63" l="1"/>
  <c r="U106" i="63"/>
  <c r="Z106" i="63"/>
  <c r="AM106" i="63"/>
  <c r="AT106" i="63" l="1"/>
  <c r="AU106" i="63"/>
  <c r="AV106" i="63" s="1"/>
  <c r="O107" i="63"/>
  <c r="N107" i="63"/>
  <c r="M107" i="63" l="1"/>
  <c r="L107" i="63" s="1"/>
  <c r="Q107" i="63"/>
  <c r="V107" i="63" s="1"/>
  <c r="AN107" i="63"/>
  <c r="AS107" i="63" s="1"/>
  <c r="P107" i="63" l="1"/>
  <c r="U107" i="63" s="1"/>
  <c r="Z107" i="63"/>
  <c r="AM107" i="63"/>
  <c r="W107" i="63" l="1"/>
  <c r="N108" i="63" s="1"/>
  <c r="AU107" i="63" l="1"/>
  <c r="AV107" i="63" s="1"/>
  <c r="O108" i="63"/>
  <c r="AT107" i="63"/>
  <c r="AN108" i="63"/>
  <c r="AS108" i="63" s="1"/>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c r="AU115" i="63"/>
  <c r="AV115" i="63" s="1"/>
  <c r="N116" i="63"/>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Q125" i="63"/>
  <c r="V125" i="63" s="1"/>
  <c r="AN125" i="63"/>
  <c r="AS125" i="63" s="1"/>
  <c r="P125" i="63" l="1"/>
  <c r="W125" i="63" s="1"/>
  <c r="AM125" i="63"/>
  <c r="Z125" i="63"/>
  <c r="U125" i="63" l="1"/>
  <c r="N126" i="63"/>
  <c r="AT125" i="63"/>
  <c r="O126" i="63"/>
  <c r="AU125" i="63"/>
  <c r="AV125" i="63" s="1"/>
  <c r="AN126" i="63" l="1"/>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W131" i="63"/>
  <c r="AM131" i="63"/>
  <c r="Z131" i="63"/>
  <c r="N132" i="63" l="1"/>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W134" i="63"/>
  <c r="Z134" i="63"/>
  <c r="AM134" i="63"/>
  <c r="AU134" i="63" l="1"/>
  <c r="AV134" i="63" s="1"/>
  <c r="AT134" i="63"/>
  <c r="N135" i="63"/>
  <c r="O135" i="63"/>
  <c r="AN135" i="63" s="1"/>
  <c r="AS135" i="63" s="1"/>
  <c r="Q135" i="63" l="1"/>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AN160" i="63"/>
  <c r="AS160" i="63" s="1"/>
  <c r="Q160" i="63"/>
  <c r="V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c r="U163" i="63" l="1"/>
  <c r="W163" i="63"/>
  <c r="AT163" i="63" l="1"/>
  <c r="AU163" i="63"/>
  <c r="AV163" i="63" s="1"/>
  <c r="N164" i="63"/>
  <c r="O164" i="63"/>
  <c r="AN164" i="63" l="1"/>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P174" i="63"/>
  <c r="U174" i="63" s="1"/>
  <c r="AM174" i="63"/>
  <c r="Z174" i="63"/>
  <c r="W174" i="63" l="1"/>
  <c r="AU174" i="63" s="1"/>
  <c r="AV174" i="63" s="1"/>
  <c r="N175" i="63" l="1"/>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c r="L180" i="63" s="1"/>
  <c r="Q180" i="63"/>
  <c r="V180" i="63" s="1"/>
  <c r="AM180" i="63" l="1"/>
  <c r="Z180" i="63"/>
  <c r="P180" i="63"/>
  <c r="U180" i="63" l="1"/>
  <c r="W180" i="63"/>
  <c r="N181" i="63" l="1"/>
  <c r="O181" i="63"/>
  <c r="AT180" i="63"/>
  <c r="AU180" i="63"/>
  <c r="AV180" i="63" s="1"/>
  <c r="AN181" i="63" l="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c r="O183" i="63"/>
  <c r="AU182" i="63"/>
  <c r="AV182" i="63" s="1"/>
  <c r="N183" i="63"/>
  <c r="Q183" i="63" l="1"/>
  <c r="V183" i="63" s="1"/>
  <c r="M183" i="63"/>
  <c r="L183" i="63" s="1"/>
  <c r="AN183" i="63"/>
  <c r="AS183" i="63" s="1"/>
  <c r="P183" i="63" l="1"/>
  <c r="U183" i="63" s="1"/>
  <c r="AM183" i="63"/>
  <c r="Z183" i="63"/>
  <c r="W183" i="63" l="1"/>
  <c r="AT183" i="63" s="1"/>
  <c r="O184" i="63" l="1"/>
  <c r="AN184" i="63" s="1"/>
  <c r="AS184" i="63" s="1"/>
  <c r="N184" i="63"/>
  <c r="Q184" i="63" s="1"/>
  <c r="V184" i="63" s="1"/>
  <c r="AU183" i="63"/>
  <c r="AV183" i="63" s="1"/>
  <c r="M184" i="63" l="1"/>
  <c r="L184" i="63" s="1"/>
  <c r="AM184" i="63" s="1"/>
  <c r="P184" i="63"/>
  <c r="Z184" i="63" l="1"/>
  <c r="W184" i="63"/>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c r="L187" i="63" s="1"/>
  <c r="Q187" i="63"/>
  <c r="V187" i="63" s="1"/>
  <c r="AN187" i="63"/>
  <c r="AS187" i="63" s="1"/>
  <c r="P187" i="63" l="1"/>
  <c r="U187" i="63" s="1"/>
  <c r="W187" i="63"/>
  <c r="Z187" i="63"/>
  <c r="AM187" i="63"/>
  <c r="AU187" i="63" l="1"/>
  <c r="AV187" i="63" s="1"/>
  <c r="N188" i="63"/>
  <c r="AT187" i="63"/>
  <c r="O188" i="63"/>
  <c r="AN188" i="63" s="1"/>
  <c r="AS188" i="63" s="1"/>
  <c r="M188" i="63" l="1"/>
  <c r="L188" i="63" s="1"/>
  <c r="Q188" i="63"/>
  <c r="V188" i="63" l="1"/>
  <c r="P188" i="63"/>
  <c r="AM188" i="63"/>
  <c r="Z188" i="63"/>
  <c r="U188" i="63" l="1"/>
  <c r="W188" i="63"/>
  <c r="AU188" i="63" l="1"/>
  <c r="AV188" i="63" s="1"/>
  <c r="N189" i="63"/>
  <c r="O189" i="63"/>
  <c r="AN189" i="63" s="1"/>
  <c r="AS189" i="63" s="1"/>
  <c r="AT188" i="63"/>
  <c r="M189" i="63" l="1"/>
  <c r="L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c r="AT205" i="63" l="1"/>
  <c r="N206" i="63"/>
  <c r="O206" i="63"/>
  <c r="AN206" i="63" s="1"/>
  <c r="AS206" i="63" s="1"/>
  <c r="AU205" i="63"/>
  <c r="AV205" i="63" s="1"/>
  <c r="Q206" i="63" l="1"/>
  <c r="M206" i="63"/>
  <c r="L206" i="63" s="1"/>
  <c r="V206" i="63" l="1"/>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O212" i="63"/>
  <c r="M212" i="63"/>
  <c r="L212" i="63" s="1"/>
  <c r="Q212" i="63"/>
  <c r="V212" i="63" s="1"/>
  <c r="AN212" i="63"/>
  <c r="AS212" i="63" s="1"/>
  <c r="P212" i="63" l="1"/>
  <c r="U212" i="63" s="1"/>
  <c r="Z212" i="63"/>
  <c r="AM212" i="63"/>
  <c r="W212" i="63" l="1"/>
  <c r="AU212" i="63" s="1"/>
  <c r="AV212" i="63" s="1"/>
  <c r="O213" i="63" l="1"/>
  <c r="AN213" i="63" s="1"/>
  <c r="AS213" i="63" s="1"/>
  <c r="AT212" i="63"/>
  <c r="N213" i="63"/>
  <c r="Q213" i="63" s="1"/>
  <c r="M213" i="63" l="1"/>
  <c r="L213" i="63" s="1"/>
  <c r="V213" i="63"/>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O216" i="63"/>
  <c r="AN216" i="63" s="1"/>
  <c r="AS216" i="63" s="1"/>
  <c r="M216" i="63"/>
  <c r="L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M240" i="63"/>
  <c r="L240" i="63" s="1"/>
  <c r="AN240" i="63"/>
  <c r="AS240" i="63" s="1"/>
  <c r="V240" i="63" l="1"/>
  <c r="P240" i="63"/>
  <c r="W240" i="63"/>
  <c r="U240" i="63"/>
  <c r="Z240" i="63"/>
  <c r="AM240" i="63"/>
  <c r="AT240" i="63" l="1"/>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c r="U242" i="63"/>
  <c r="AM242" i="63"/>
  <c r="Z242" i="63"/>
  <c r="N243" i="63" l="1"/>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Z251" i="63"/>
  <c r="N252" i="63"/>
  <c r="AT251" i="63"/>
  <c r="AU251" i="63"/>
  <c r="AV251" i="63" s="1"/>
  <c r="O252" i="63"/>
  <c r="AN252" i="63" s="1"/>
  <c r="AS252" i="63" s="1"/>
  <c r="Q252" i="63" l="1"/>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c r="Z294" i="63" l="1"/>
  <c r="AT294" i="63"/>
  <c r="AU294" i="63"/>
  <c r="AV294" i="63" s="1"/>
  <c r="N295" i="63"/>
  <c r="O295" i="63"/>
  <c r="AN295" i="63" l="1"/>
  <c r="AS295"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c r="V302" i="63" l="1"/>
  <c r="P302" i="63"/>
  <c r="Z302" i="63"/>
  <c r="AM302" i="63"/>
  <c r="W302" i="63" l="1"/>
  <c r="U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AU308" i="63"/>
  <c r="AV308" i="63" s="1"/>
  <c r="Q309" i="63"/>
  <c r="V309" i="63" s="1"/>
  <c r="M309" i="63"/>
  <c r="L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O311" i="63"/>
  <c r="AU310" i="63"/>
  <c r="AV310" i="63" s="1"/>
  <c r="AN311" i="63"/>
  <c r="AS311" i="63" s="1"/>
  <c r="Q311" i="63"/>
  <c r="V311" i="63" s="1"/>
  <c r="M311" i="63"/>
  <c r="L311" i="63" s="1"/>
  <c r="AM311" i="63" l="1"/>
  <c r="Z311" i="63"/>
  <c r="P311" i="63"/>
  <c r="U311" i="63" l="1"/>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c r="AN324" i="63" s="1"/>
  <c r="AS324" i="63" s="1"/>
  <c r="AU323" i="63" l="1"/>
  <c r="AV323" i="63" s="1"/>
  <c r="N324" i="63"/>
  <c r="M324" i="63"/>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U331" i="63"/>
  <c r="AV331" i="63" s="1"/>
  <c r="N332" i="63"/>
  <c r="M332" i="63" s="1"/>
  <c r="L332" i="63" s="1"/>
  <c r="AN332" i="63"/>
  <c r="AS332" i="63" s="1"/>
  <c r="Q332" i="63" l="1"/>
  <c r="V332" i="63" s="1"/>
  <c r="AM332" i="63"/>
  <c r="Z332" i="63"/>
  <c r="P332" i="63"/>
  <c r="U332" i="63" l="1"/>
  <c r="W332" i="63"/>
  <c r="AU332" i="63" l="1"/>
  <c r="AV332" i="63" s="1"/>
  <c r="AT332" i="63"/>
  <c r="O333" i="63"/>
  <c r="N333" i="63"/>
  <c r="M333" i="63" l="1"/>
  <c r="L333" i="63" s="1"/>
  <c r="Q333" i="63"/>
  <c r="V333" i="63" s="1"/>
  <c r="AN333" i="63"/>
  <c r="AS333" i="63" s="1"/>
  <c r="P333" i="63" l="1"/>
  <c r="AM333" i="63"/>
  <c r="Z333" i="63"/>
  <c r="U333" i="63" l="1"/>
  <c r="W333" i="63"/>
  <c r="AT333" i="63" l="1"/>
  <c r="AU333" i="63"/>
  <c r="AV333" i="63" s="1"/>
  <c r="O334" i="63"/>
  <c r="N334" i="63"/>
  <c r="M334" i="63" l="1"/>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O340" i="63"/>
  <c r="N340" i="63"/>
  <c r="AU339" i="63" l="1"/>
  <c r="AV339" i="63" s="1"/>
  <c r="M340" i="63"/>
  <c r="L340" i="63" s="1"/>
  <c r="Q340" i="63"/>
  <c r="V340" i="63" s="1"/>
  <c r="AN340" i="63"/>
  <c r="AS340" i="63" s="1"/>
  <c r="P340" i="63" l="1"/>
  <c r="AM340" i="63"/>
  <c r="Z340" i="63"/>
  <c r="W340" i="63" l="1"/>
  <c r="U340" i="63"/>
  <c r="AT340" i="63" l="1"/>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M346" i="63" s="1"/>
  <c r="L346" i="63" s="1"/>
  <c r="AU345" i="63"/>
  <c r="AV345" i="63" s="1"/>
  <c r="Q346" i="63"/>
  <c r="V346" i="63" s="1"/>
  <c r="AN346" i="63"/>
  <c r="AS346" i="63" s="1"/>
  <c r="P346" i="63" l="1"/>
  <c r="U346" i="63" s="1"/>
  <c r="AM346" i="63"/>
  <c r="Z346" i="63"/>
  <c r="W346" i="63" l="1"/>
  <c r="AT346" i="63" s="1"/>
  <c r="N347" i="63" l="1"/>
  <c r="M347" i="63" s="1"/>
  <c r="L347" i="63" s="1"/>
  <c r="AU346" i="63"/>
  <c r="AV346" i="63" s="1"/>
  <c r="O347" i="63"/>
  <c r="AN347" i="63" s="1"/>
  <c r="AS347" i="63" s="1"/>
  <c r="Q347" i="63" l="1"/>
  <c r="V347" i="63" s="1"/>
  <c r="Z347" i="63"/>
  <c r="AM347" i="63"/>
  <c r="P347" i="63" l="1"/>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c r="AT348" i="63" l="1"/>
  <c r="N349" i="63"/>
  <c r="M349" i="63"/>
  <c r="L349" i="63" s="1"/>
  <c r="Q349" i="63"/>
  <c r="V349" i="63" s="1"/>
  <c r="AN349" i="63"/>
  <c r="AS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c r="V353" i="63" s="1"/>
  <c r="Z353" i="63" l="1"/>
  <c r="AM353" i="63"/>
  <c r="P353" i="63"/>
  <c r="U353" i="63" l="1"/>
  <c r="W353" i="63"/>
  <c r="O354" i="63" l="1"/>
  <c r="AT353" i="63"/>
  <c r="N354" i="63"/>
  <c r="AU353" i="63"/>
  <c r="AV353" i="63" s="1"/>
  <c r="Q354" i="63" l="1"/>
  <c r="V354" i="63" s="1"/>
  <c r="M354" i="63"/>
  <c r="L354" i="63" s="1"/>
  <c r="AN354" i="63"/>
  <c r="AS354" i="63" s="1"/>
  <c r="P354" i="63"/>
  <c r="U354" i="63" s="1"/>
  <c r="AM354" i="63" l="1"/>
  <c r="Z354" i="63"/>
  <c r="W354" i="63"/>
  <c r="N355" i="63" l="1"/>
  <c r="AT354" i="63"/>
  <c r="AU354" i="63"/>
  <c r="AV354" i="63" s="1"/>
  <c r="O355" i="63"/>
  <c r="AN355" i="63" l="1"/>
  <c r="AS355" i="63" s="1"/>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c r="U356" i="63" s="1"/>
  <c r="W356" i="63" l="1"/>
  <c r="Z356" i="63"/>
  <c r="AM356" i="63"/>
  <c r="AT356" i="63" l="1"/>
  <c r="N357" i="63"/>
  <c r="O357" i="63"/>
  <c r="AU356" i="63"/>
  <c r="AV356" i="63" s="1"/>
  <c r="AN357" i="63" l="1"/>
  <c r="AS357" i="63" s="1"/>
  <c r="M357" i="63"/>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c r="U365" i="63"/>
  <c r="AT365" i="63" l="1"/>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s="1"/>
  <c r="W370" i="63"/>
  <c r="AM370" i="63"/>
  <c r="Z370" i="63"/>
  <c r="AT370" i="63" l="1"/>
  <c r="AU370" i="63"/>
  <c r="AV370" i="63" s="1"/>
  <c r="O371" i="63"/>
  <c r="AN371" i="63" s="1"/>
  <c r="AS371" i="63" s="1"/>
  <c r="N371" i="63"/>
  <c r="Q371" i="63" l="1"/>
  <c r="M371" i="63"/>
  <c r="L371" i="63" s="1"/>
  <c r="V371" i="63" l="1"/>
  <c r="P371" i="63"/>
  <c r="AM371" i="63"/>
  <c r="Z371" i="63"/>
  <c r="U371" i="63" l="1"/>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l="1"/>
  <c r="AV372" i="63" s="1"/>
  <c r="N373" i="63"/>
  <c r="AT372" i="63"/>
  <c r="M373" i="63"/>
  <c r="L373" i="63" s="1"/>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W381" i="63"/>
  <c r="Z381" i="63"/>
  <c r="AM381" i="63"/>
  <c r="AU381" i="63" l="1"/>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c r="U383" i="63" l="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c r="U386" i="63"/>
  <c r="Z386" i="63"/>
  <c r="AM386" i="63"/>
  <c r="AU386" i="63" l="1"/>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W388" i="63"/>
  <c r="N389" i="63" s="1"/>
  <c r="AM388" i="63"/>
  <c r="Z388" i="63"/>
  <c r="O389" i="63"/>
  <c r="AN389" i="63" s="1"/>
  <c r="AS389" i="63" s="1"/>
  <c r="AT388" i="63" l="1"/>
  <c r="AU388" i="63"/>
  <c r="AV388" i="63" s="1"/>
  <c r="Q389" i="63"/>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l="1"/>
  <c r="AN395" i="63" s="1"/>
  <c r="AS395" i="63" s="1"/>
  <c r="AU394" i="63"/>
  <c r="AV394" i="63" s="1"/>
  <c r="AT394" i="63"/>
  <c r="M395" i="63"/>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O397" i="63" l="1"/>
  <c r="AN397" i="63" s="1"/>
  <c r="AS397" i="63" s="1"/>
  <c r="AU396" i="63"/>
  <c r="AV396" i="63" s="1"/>
  <c r="AT396" i="63"/>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N407" i="63" l="1"/>
  <c r="M407" i="63" s="1"/>
  <c r="L407" i="63" s="1"/>
  <c r="O407" i="63"/>
  <c r="AN407" i="63" s="1"/>
  <c r="AS407" i="63" s="1"/>
  <c r="AU406" i="63"/>
  <c r="AV406" i="63" s="1"/>
  <c r="Q407" i="63" l="1"/>
  <c r="V407" i="63" s="1"/>
  <c r="Z407" i="63"/>
  <c r="AM407" i="63"/>
  <c r="P407" i="63" l="1"/>
  <c r="U407" i="63" s="1"/>
  <c r="W407" i="63" l="1"/>
  <c r="AU407" i="63" s="1"/>
  <c r="AV407" i="63" s="1"/>
  <c r="O408" i="63"/>
  <c r="AT407" i="63" l="1"/>
  <c r="N408" i="63"/>
  <c r="AN408" i="63"/>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N410" i="63" l="1"/>
  <c r="Q410" i="63" s="1"/>
  <c r="V410" i="63" s="1"/>
  <c r="O410" i="63"/>
  <c r="AN410" i="63" s="1"/>
  <c r="AS410" i="63" s="1"/>
  <c r="AT409" i="63"/>
  <c r="M410" i="63" l="1"/>
  <c r="L410" i="63" s="1"/>
  <c r="AM410" i="63" s="1"/>
  <c r="P410" i="63"/>
  <c r="Z410" i="63" l="1"/>
  <c r="U410" i="63"/>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O413" i="63"/>
  <c r="AN413" i="63" s="1"/>
  <c r="AS413" i="63" s="1"/>
  <c r="AU412" i="63"/>
  <c r="AV412" i="63" s="1"/>
  <c r="M413" i="63" l="1"/>
  <c r="L413" i="63" s="1"/>
  <c r="Z413" i="63" s="1"/>
  <c r="P413" i="63"/>
  <c r="U413" i="63" s="1"/>
  <c r="AM413" i="63" l="1"/>
  <c r="W413" i="63"/>
  <c r="O414" i="63" s="1"/>
  <c r="N414" i="63" l="1"/>
  <c r="M414" i="63" s="1"/>
  <c r="L414" i="63" s="1"/>
  <c r="AU413" i="63"/>
  <c r="AV413" i="63" s="1"/>
  <c r="AT413" i="63"/>
  <c r="AN414" i="63"/>
  <c r="AS414" i="63" s="1"/>
  <c r="Q414" i="63" l="1"/>
  <c r="V414" i="63" s="1"/>
  <c r="AM414" i="63"/>
  <c r="Z414" i="63"/>
  <c r="P414" i="63" l="1"/>
  <c r="U414" i="63" s="1"/>
  <c r="W414" i="63" l="1"/>
  <c r="AT414" i="63" s="1"/>
  <c r="O415" i="63" l="1"/>
  <c r="AN415" i="63" s="1"/>
  <c r="AS415" i="63" s="1"/>
  <c r="AU414" i="63"/>
  <c r="AV414" i="63" s="1"/>
  <c r="N415" i="63"/>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AN426" i="63" s="1"/>
  <c r="AS426" i="63" s="1"/>
  <c r="N426" i="63"/>
  <c r="AT425" i="63"/>
  <c r="AV425" i="63"/>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AU427" i="63" l="1"/>
  <c r="AV427" i="63" s="1"/>
  <c r="O428" i="63"/>
  <c r="N428" i="63"/>
  <c r="M428" i="63" s="1"/>
  <c r="L428" i="63" s="1"/>
  <c r="AN428" i="63"/>
  <c r="AS428" i="63" s="1"/>
  <c r="Q428" i="63" l="1"/>
  <c r="V428" i="63" s="1"/>
  <c r="P428" i="63"/>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O430" i="63" l="1"/>
  <c r="AN430" i="63" s="1"/>
  <c r="AS430" i="63" s="1"/>
  <c r="AU429" i="63"/>
  <c r="AV429" i="63" s="1"/>
  <c r="N430" i="63"/>
  <c r="M430" i="63" l="1"/>
  <c r="L430" i="63" s="1"/>
  <c r="Q430" i="63"/>
  <c r="V430" i="63" s="1"/>
  <c r="P430" i="63" l="1"/>
  <c r="U430" i="63" s="1"/>
  <c r="AM430" i="63"/>
  <c r="Z430" i="63"/>
  <c r="W430" i="63" l="1"/>
  <c r="AU430" i="63" l="1"/>
  <c r="O431" i="63"/>
  <c r="N431" i="63"/>
  <c r="AT430" i="63"/>
  <c r="AV430" i="63"/>
  <c r="M431" i="63" l="1"/>
  <c r="L431" i="63" s="1"/>
  <c r="Q431" i="63"/>
  <c r="V431" i="63" s="1"/>
  <c r="AN431" i="63"/>
  <c r="AS431" i="63" s="1"/>
  <c r="P431" i="63" l="1"/>
  <c r="W431" i="63" s="1"/>
  <c r="AM431" i="63"/>
  <c r="Z431" i="63"/>
  <c r="U431" i="63" l="1"/>
  <c r="AT431" i="63"/>
  <c r="N432" i="63"/>
  <c r="AU431" i="63"/>
  <c r="AV431" i="63"/>
  <c r="O432" i="63"/>
  <c r="AN432" i="63" s="1"/>
  <c r="AS432" i="63" s="1"/>
  <c r="Q432" i="63" l="1"/>
  <c r="M432" i="63"/>
  <c r="L432" i="63" s="1"/>
  <c r="V432" i="63" l="1"/>
  <c r="P432" i="63"/>
  <c r="AM432" i="63"/>
  <c r="Z432" i="63"/>
  <c r="U432" i="63" l="1"/>
  <c r="W432" i="63"/>
  <c r="AT432" i="63" l="1"/>
  <c r="AU432" i="63"/>
  <c r="AV432" i="63" s="1"/>
  <c r="N433" i="63"/>
  <c r="O433" i="63"/>
  <c r="AN433" i="63" s="1"/>
  <c r="AS433" i="63" s="1"/>
  <c r="M433" i="63" l="1"/>
  <c r="L433" i="63" s="1"/>
  <c r="Q433" i="63"/>
  <c r="V433" i="63" s="1"/>
  <c r="B70" i="64"/>
  <c r="B69" i="64" s="1"/>
  <c r="AM433" i="63" l="1"/>
  <c r="Z433" i="63"/>
  <c r="P433" i="63"/>
  <c r="U433" i="63" l="1"/>
  <c r="W433" i="63"/>
  <c r="AU433" i="63" l="1"/>
  <c r="N434" i="63"/>
  <c r="O434" i="63"/>
  <c r="AN434" i="63" s="1"/>
  <c r="AS434" i="63" s="1"/>
  <c r="AT433" i="63"/>
  <c r="AV433" i="63"/>
  <c r="M434" i="63" l="1"/>
  <c r="L434" i="63" s="1"/>
  <c r="Q434" i="63"/>
  <c r="V434" i="63" l="1"/>
  <c r="P434" i="63"/>
  <c r="Z434" i="63"/>
  <c r="AM434" i="63"/>
  <c r="U434" i="63" l="1"/>
  <c r="W434" i="63"/>
  <c r="N435" i="63" l="1"/>
  <c r="AO434" i="63"/>
  <c r="AT434" i="63"/>
  <c r="AU434" i="63"/>
  <c r="AV434" i="63"/>
  <c r="O435" i="63"/>
  <c r="AP435" i="63" l="1"/>
  <c r="AN435" i="63"/>
  <c r="AS435" i="63" s="1"/>
  <c r="M435" i="63"/>
  <c r="L435" i="63" s="1"/>
  <c r="Q435" i="63"/>
  <c r="V435" i="63" s="1"/>
  <c r="AM435" i="63" l="1"/>
  <c r="Z435" i="63"/>
  <c r="P435" i="63"/>
  <c r="U435" i="63" l="1"/>
  <c r="W435" i="63"/>
  <c r="AT435" i="63" l="1"/>
  <c r="O436" i="63"/>
  <c r="AV435" i="63"/>
  <c r="AU435" i="63"/>
  <c r="AO435" i="63"/>
  <c r="N436" i="63"/>
  <c r="M436" i="63" l="1"/>
  <c r="L436" i="63" s="1"/>
  <c r="Q436" i="63"/>
  <c r="V436" i="63" s="1"/>
  <c r="AN436" i="63"/>
  <c r="AS436" i="63" s="1"/>
  <c r="AP436" i="63"/>
  <c r="P436" i="63" l="1"/>
  <c r="U436" i="63" s="1"/>
  <c r="AM436" i="63"/>
  <c r="Z436" i="63"/>
  <c r="W436" i="63" l="1"/>
  <c r="AV436" i="63" s="1"/>
  <c r="AO436" i="63" l="1"/>
  <c r="N437" i="63"/>
  <c r="O437" i="63"/>
  <c r="AN437" i="63" s="1"/>
  <c r="AS437" i="63" s="1"/>
  <c r="AU436" i="63"/>
  <c r="AT436" i="63"/>
  <c r="M437" i="63"/>
  <c r="L437" i="63" s="1"/>
  <c r="Q437" i="63"/>
  <c r="V437" i="63" s="1"/>
  <c r="AP437" i="63"/>
  <c r="P437" i="63" l="1"/>
  <c r="U437" i="63" s="1"/>
  <c r="Z437" i="63"/>
  <c r="AM437" i="63"/>
  <c r="W437" i="63" l="1"/>
  <c r="AU437" i="63" s="1"/>
  <c r="O438" i="63" l="1"/>
  <c r="AN438" i="63" s="1"/>
  <c r="AS438" i="63" s="1"/>
  <c r="AT437" i="63"/>
  <c r="AO437" i="63"/>
  <c r="AV437" i="63"/>
  <c r="N438" i="63"/>
  <c r="Q438" i="63"/>
  <c r="M438" i="63"/>
  <c r="L438" i="63" s="1"/>
  <c r="AP438" i="63" l="1"/>
  <c r="AM438" i="63"/>
  <c r="Z438" i="63"/>
  <c r="V438" i="63"/>
  <c r="P438" i="63"/>
  <c r="U438" i="63" l="1"/>
  <c r="W438" i="63"/>
  <c r="AU438" i="63" l="1"/>
  <c r="AO438" i="63"/>
  <c r="AV438" i="63"/>
  <c r="N439" i="63"/>
  <c r="O439" i="63"/>
  <c r="AT438" i="63"/>
  <c r="AN439" i="63" l="1"/>
  <c r="AS439" i="63" s="1"/>
  <c r="AP439" i="63"/>
  <c r="M439" i="63"/>
  <c r="L439" i="63" s="1"/>
  <c r="Q439" i="63"/>
  <c r="V439" i="63" s="1"/>
  <c r="Z439" i="63" l="1"/>
  <c r="AM439" i="63"/>
  <c r="P439" i="63"/>
  <c r="U439" i="63" l="1"/>
  <c r="W439" i="63"/>
  <c r="AO439" i="63" l="1"/>
  <c r="N440" i="63"/>
  <c r="AV439" i="63"/>
  <c r="AU439" i="63"/>
  <c r="O440" i="63"/>
  <c r="AT439" i="63"/>
  <c r="AP440" i="63" l="1"/>
  <c r="AN440" i="63"/>
  <c r="AS440" i="63" s="1"/>
  <c r="M440" i="63"/>
  <c r="L440" i="63" s="1"/>
  <c r="Q440" i="63"/>
  <c r="V440" i="63" s="1"/>
  <c r="Z440" i="63" l="1"/>
  <c r="AM440" i="63"/>
  <c r="P440" i="63"/>
  <c r="U440" i="63" l="1"/>
  <c r="W440" i="63"/>
  <c r="O441" i="63" l="1"/>
  <c r="AO440" i="63"/>
  <c r="N441" i="63"/>
  <c r="AU440" i="63"/>
  <c r="AT440" i="63"/>
  <c r="AV440" i="63"/>
  <c r="M441" i="63" l="1"/>
  <c r="L441" i="63" s="1"/>
  <c r="Q441" i="63"/>
  <c r="V441" i="63" s="1"/>
  <c r="AN441" i="63"/>
  <c r="AS441" i="63" s="1"/>
  <c r="AP441" i="63"/>
  <c r="P441" i="63" l="1"/>
  <c r="U441" i="63" s="1"/>
  <c r="Z441" i="63"/>
  <c r="AM441" i="63"/>
  <c r="W441" i="63" l="1"/>
  <c r="O442" i="63" s="1"/>
  <c r="AU441" i="63" l="1"/>
  <c r="AO441" i="63"/>
  <c r="AV441" i="63"/>
  <c r="AT441" i="63"/>
  <c r="N442" i="63"/>
  <c r="M442" i="63" s="1"/>
  <c r="L442" i="63" s="1"/>
  <c r="Q442" i="63"/>
  <c r="V442" i="63" s="1"/>
  <c r="AP442" i="63"/>
  <c r="AN442" i="63"/>
  <c r="AS442" i="63" s="1"/>
  <c r="P442" i="63" l="1"/>
  <c r="W442" i="63" s="1"/>
  <c r="Z442" i="63"/>
  <c r="AM442" i="63"/>
  <c r="U442" i="63" l="1"/>
  <c r="O443" i="63"/>
  <c r="AO442" i="63"/>
  <c r="AT442" i="63"/>
  <c r="N443" i="63"/>
  <c r="AV442" i="63"/>
  <c r="AU442" i="63"/>
  <c r="M443" i="63" l="1"/>
  <c r="L443" i="63" s="1"/>
  <c r="Q443" i="63"/>
  <c r="AP443" i="63"/>
  <c r="AN443" i="63"/>
  <c r="AS443" i="63" s="1"/>
  <c r="V443" i="63" l="1"/>
  <c r="P443" i="63"/>
  <c r="AM443" i="63"/>
  <c r="Z443" i="63"/>
  <c r="U443" i="63" l="1"/>
  <c r="W443" i="63"/>
  <c r="AT443" i="63" l="1"/>
  <c r="AV443" i="63"/>
  <c r="AU443" i="63"/>
  <c r="O444" i="63"/>
  <c r="AO443" i="63"/>
  <c r="N444" i="63"/>
  <c r="M444" i="63" l="1"/>
  <c r="L444" i="63" s="1"/>
  <c r="Q444" i="63"/>
  <c r="AP444" i="63"/>
  <c r="AN444" i="63"/>
  <c r="AS444" i="63" s="1"/>
  <c r="V444" i="63" l="1"/>
  <c r="P444" i="63"/>
  <c r="Z444" i="63"/>
  <c r="AM444" i="63"/>
  <c r="U444" i="63" l="1"/>
  <c r="W444" i="63"/>
  <c r="N445" i="63" l="1"/>
  <c r="AT444" i="63"/>
  <c r="O445" i="63"/>
  <c r="AO444" i="63"/>
  <c r="AU444" i="63"/>
  <c r="AV444" i="63"/>
  <c r="M445" i="63" l="1"/>
  <c r="L445" i="63" s="1"/>
  <c r="Q445" i="63"/>
  <c r="V445" i="63" s="1"/>
  <c r="AN445" i="63"/>
  <c r="AS445" i="63" s="1"/>
  <c r="AP445" i="63"/>
  <c r="P445" i="63" l="1"/>
  <c r="U445" i="63" s="1"/>
  <c r="AM445" i="63"/>
  <c r="Z445" i="63"/>
  <c r="W445" i="63" l="1"/>
  <c r="AV445" i="63" s="1"/>
  <c r="AT445" i="63" l="1"/>
  <c r="AU445" i="63"/>
  <c r="AO445" i="63"/>
  <c r="O446" i="63"/>
  <c r="N446" i="63"/>
  <c r="M446" i="63" s="1"/>
  <c r="L446" i="63" s="1"/>
  <c r="AP446" i="63"/>
  <c r="AN446" i="63"/>
  <c r="AS446" i="63" s="1"/>
  <c r="Q446" i="63"/>
  <c r="Z446" i="63" l="1"/>
  <c r="AM446" i="63"/>
  <c r="V446" i="63"/>
  <c r="P446" i="63"/>
  <c r="U446" i="63" l="1"/>
  <c r="W446" i="63"/>
  <c r="AV446" i="63" l="1"/>
  <c r="O447" i="63"/>
  <c r="AO446" i="63"/>
  <c r="N447" i="63"/>
  <c r="AT446" i="63"/>
  <c r="AU446" i="63"/>
  <c r="M447" i="63" l="1"/>
  <c r="L447" i="63" s="1"/>
  <c r="Q447" i="63"/>
  <c r="V447" i="63" s="1"/>
  <c r="AP447" i="63"/>
  <c r="AN447" i="63"/>
  <c r="AS447" i="63" s="1"/>
  <c r="P447" i="63" l="1"/>
  <c r="U447" i="63"/>
  <c r="W447" i="63"/>
  <c r="AM447" i="63"/>
  <c r="Z447" i="63"/>
  <c r="AO447" i="63" l="1"/>
  <c r="AU447" i="63"/>
  <c r="O448" i="63"/>
  <c r="AT447" i="63"/>
  <c r="N448" i="63"/>
  <c r="AV447" i="63"/>
  <c r="Q448" i="63" l="1"/>
  <c r="V448" i="63" s="1"/>
  <c r="M448" i="63"/>
  <c r="L448" i="63" s="1"/>
  <c r="AN448" i="63"/>
  <c r="AS448" i="63" s="1"/>
  <c r="AP448" i="63"/>
  <c r="P448" i="63"/>
  <c r="U448" i="63" s="1"/>
  <c r="W448" i="63" l="1"/>
  <c r="AO448" i="63" s="1"/>
  <c r="Z448" i="63"/>
  <c r="AM448" i="63"/>
  <c r="O449" i="63"/>
  <c r="AU448" i="63" l="1"/>
  <c r="N449" i="63"/>
  <c r="AV448" i="63"/>
  <c r="AT448" i="63"/>
  <c r="AN449" i="63"/>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O451" i="63" l="1"/>
  <c r="AP451" i="63" s="1"/>
  <c r="AV450" i="63"/>
  <c r="N451" i="63"/>
  <c r="AU450" i="63"/>
  <c r="AO450" i="63"/>
  <c r="Q451" i="63"/>
  <c r="V451" i="63" s="1"/>
  <c r="M451" i="63"/>
  <c r="L451" i="63" s="1"/>
  <c r="AN451" i="63" l="1"/>
  <c r="AS451" i="63" s="1"/>
  <c r="P451" i="63"/>
  <c r="U451" i="63" s="1"/>
  <c r="Z451" i="63"/>
  <c r="AM451" i="63"/>
  <c r="W451" i="63" l="1"/>
  <c r="O452" i="63" s="1"/>
  <c r="AT451" i="63" l="1"/>
  <c r="N452" i="63"/>
  <c r="AU451" i="63"/>
  <c r="AO451" i="63"/>
  <c r="AV451" i="63"/>
  <c r="Q452" i="63"/>
  <c r="V452" i="63" s="1"/>
  <c r="M452" i="63"/>
  <c r="L452" i="63" s="1"/>
  <c r="AP452" i="63"/>
  <c r="AN452" i="63"/>
  <c r="AS452" i="63" s="1"/>
  <c r="P452" i="63" l="1"/>
  <c r="U452" i="63" s="1"/>
  <c r="Z452" i="63"/>
  <c r="AM452" i="63"/>
  <c r="W452" i="63" l="1"/>
  <c r="AV452" i="63" s="1"/>
  <c r="O453" i="63" l="1"/>
  <c r="AP453" i="63" s="1"/>
  <c r="AT452" i="63"/>
  <c r="AO452" i="63"/>
  <c r="AU452" i="63"/>
  <c r="N453" i="63"/>
  <c r="M453" i="63" s="1"/>
  <c r="L453" i="63" s="1"/>
  <c r="Q453" i="63"/>
  <c r="V453" i="63" s="1"/>
  <c r="AN453" i="63" l="1"/>
  <c r="AS453" i="63" s="1"/>
  <c r="P453" i="63"/>
  <c r="U453" i="63" s="1"/>
  <c r="AM453" i="63"/>
  <c r="Z453" i="63"/>
  <c r="W453" i="63" l="1"/>
  <c r="AV453" i="63" s="1"/>
  <c r="AU453" i="63" l="1"/>
  <c r="AO453" i="63"/>
  <c r="AT453" i="63"/>
  <c r="N454" i="63"/>
  <c r="O454" i="63"/>
  <c r="AN454" i="63" s="1"/>
  <c r="AS454" i="63" s="1"/>
  <c r="Q454" i="63"/>
  <c r="V454" i="63" s="1"/>
  <c r="M454" i="63"/>
  <c r="L454" i="63" s="1"/>
  <c r="AP454" i="63"/>
  <c r="P454" i="63" l="1"/>
  <c r="U454" i="63" s="1"/>
  <c r="AM454" i="63"/>
  <c r="Z454" i="63"/>
  <c r="W454" i="63" l="1"/>
  <c r="AV454" i="63" s="1"/>
  <c r="AU454" i="63" l="1"/>
  <c r="AO454" i="63"/>
  <c r="AT454" i="63"/>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N459" i="63" l="1"/>
  <c r="M459" i="63" s="1"/>
  <c r="L459" i="63" s="1"/>
  <c r="AV458" i="63"/>
  <c r="AU458" i="63"/>
  <c r="O459" i="63"/>
  <c r="AN459" i="63" s="1"/>
  <c r="AS459" i="63" s="1"/>
  <c r="AO458" i="63"/>
  <c r="AP459" i="63" l="1"/>
  <c r="Q459" i="63"/>
  <c r="V459" i="63" s="1"/>
  <c r="Z459" i="63"/>
  <c r="AM459" i="63"/>
  <c r="F54" i="1"/>
  <c r="T62" i="63"/>
  <c r="T61" i="63"/>
  <c r="T60" i="63"/>
  <c r="R63" i="63"/>
  <c r="T63" i="63" s="1"/>
  <c r="B71" i="64"/>
  <c r="P459" i="63" l="1"/>
  <c r="U459" i="63"/>
  <c r="W459" i="63"/>
  <c r="AA17" i="63"/>
  <c r="B18" i="64"/>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1"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6" i="64" s="1"/>
  <c r="B15"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R108" i="63"/>
  <c r="T107" i="63"/>
  <c r="Q471" i="63" l="1"/>
  <c r="V471" i="63" s="1"/>
  <c r="M471" i="63"/>
  <c r="L471" i="63" s="1"/>
  <c r="AP471" i="63"/>
  <c r="AN471" i="63"/>
  <c r="AS471" i="63" s="1"/>
  <c r="Y18" i="63"/>
  <c r="AL18" i="63" s="1"/>
  <c r="AJ17" i="63"/>
  <c r="R109" i="63"/>
  <c r="T108" i="63"/>
  <c r="P471" i="63" l="1"/>
  <c r="U471" i="63" s="1"/>
  <c r="Z471" i="63"/>
  <c r="AM471" i="63"/>
  <c r="AJ18" i="63"/>
  <c r="Y19" i="63"/>
  <c r="AL19" i="63" s="1"/>
  <c r="T109" i="63"/>
  <c r="R110" i="63"/>
  <c r="W471" i="63" l="1"/>
  <c r="AU471" i="63" s="1"/>
  <c r="Y20" i="63"/>
  <c r="AL20" i="63" s="1"/>
  <c r="AJ19" i="63"/>
  <c r="R111" i="63"/>
  <c r="T110" i="63"/>
  <c r="AT471" i="63" l="1"/>
  <c r="AO471" i="63"/>
  <c r="O472" i="63"/>
  <c r="N472" i="63"/>
  <c r="Q472" i="63" s="1"/>
  <c r="V472" i="63" s="1"/>
  <c r="AV471" i="63"/>
  <c r="AP472" i="63"/>
  <c r="AN472" i="63"/>
  <c r="AS472" i="63" s="1"/>
  <c r="M472" i="63"/>
  <c r="L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AE27" i="63"/>
  <c r="AF27" i="63" s="1"/>
  <c r="AG27" i="63"/>
  <c r="AL27" i="63"/>
  <c r="R121" i="63"/>
  <c r="T120" i="63"/>
  <c r="W474" i="63" l="1"/>
  <c r="O475" i="63" s="1"/>
  <c r="AJ27" i="63"/>
  <c r="Y28" i="63"/>
  <c r="AA28" i="63"/>
  <c r="T121" i="63"/>
  <c r="R122" i="63"/>
  <c r="AT474" i="63" l="1"/>
  <c r="AV474" i="63"/>
  <c r="AU474" i="63"/>
  <c r="N475" i="63"/>
  <c r="AO474" i="63"/>
  <c r="M475" i="63"/>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AG28" i="63"/>
  <c r="AE28" i="63"/>
  <c r="AF28" i="63" s="1"/>
  <c r="AL28" i="63"/>
  <c r="R125" i="63"/>
  <c r="T124" i="63"/>
  <c r="AT475" i="63" l="1"/>
  <c r="AV475" i="63"/>
  <c r="O476" i="63"/>
  <c r="AU475" i="63"/>
  <c r="N476" i="63"/>
  <c r="Q476" i="63" s="1"/>
  <c r="V476" i="63" s="1"/>
  <c r="AN476" i="63"/>
  <c r="AS476" i="63" s="1"/>
  <c r="AP476" i="63"/>
  <c r="M476" i="63"/>
  <c r="L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AG33" i="63"/>
  <c r="AE33" i="63"/>
  <c r="AF33" i="63" s="1"/>
  <c r="AL33" i="63"/>
  <c r="R143" i="63"/>
  <c r="T142" i="63"/>
  <c r="AU480" i="63" l="1"/>
  <c r="AO480" i="63"/>
  <c r="N481" i="63"/>
  <c r="AV480" i="63"/>
  <c r="O481" i="63"/>
  <c r="AP481" i="63" s="1"/>
  <c r="M481" i="63"/>
  <c r="L481" i="63" s="1"/>
  <c r="Q481" i="63"/>
  <c r="V481" i="63" s="1"/>
  <c r="AN481" i="63"/>
  <c r="AS481" i="63" s="1"/>
  <c r="AA34" i="63"/>
  <c r="Y34" i="63"/>
  <c r="AJ33" i="63"/>
  <c r="R144" i="63"/>
  <c r="T143" i="63"/>
  <c r="P481" i="63" l="1"/>
  <c r="U481" i="63" s="1"/>
  <c r="Z481" i="63"/>
  <c r="AM481" i="63"/>
  <c r="AC34" i="63"/>
  <c r="AH34" i="63" s="1"/>
  <c r="AI34" i="63"/>
  <c r="AP34" i="63"/>
  <c r="AD34" i="63"/>
  <c r="R145" i="63"/>
  <c r="T144" i="63"/>
  <c r="W481" i="63" l="1"/>
  <c r="AV481" i="63" s="1"/>
  <c r="AB34" i="63"/>
  <c r="T145" i="63"/>
  <c r="R146" i="63"/>
  <c r="AO481" i="63" l="1"/>
  <c r="N482" i="63"/>
  <c r="AT481" i="63"/>
  <c r="AU481" i="63"/>
  <c r="O482" i="63"/>
  <c r="Q482" i="63"/>
  <c r="V482" i="63" s="1"/>
  <c r="M482" i="63"/>
  <c r="L482" i="63" s="1"/>
  <c r="AN482" i="63"/>
  <c r="AS482" i="63" s="1"/>
  <c r="AE34" i="63"/>
  <c r="AF34" i="63" s="1"/>
  <c r="AG34" i="63"/>
  <c r="AL34" i="63"/>
  <c r="R147" i="63"/>
  <c r="T146" i="63"/>
  <c r="P482" i="63" l="1"/>
  <c r="U482" i="63" s="1"/>
  <c r="AP482" i="63"/>
  <c r="Z482" i="63"/>
  <c r="AM482" i="63"/>
  <c r="AA35" i="63"/>
  <c r="Y35" i="63"/>
  <c r="AJ34" i="63"/>
  <c r="R148" i="63"/>
  <c r="T147" i="63"/>
  <c r="W482" i="63" l="1"/>
  <c r="AV482" i="63" s="1"/>
  <c r="AC35" i="63"/>
  <c r="AH35" i="63" s="1"/>
  <c r="AI35" i="63"/>
  <c r="AP35" i="63"/>
  <c r="AD35" i="63"/>
  <c r="R149" i="63"/>
  <c r="T148" i="63"/>
  <c r="AU482" i="63" l="1"/>
  <c r="AO482" i="63"/>
  <c r="N483" i="63"/>
  <c r="O483" i="63"/>
  <c r="AN483" i="63" s="1"/>
  <c r="AS483" i="63" s="1"/>
  <c r="AT482" i="63"/>
  <c r="Q483" i="63"/>
  <c r="V483" i="63" s="1"/>
  <c r="M483" i="63"/>
  <c r="L483" i="63" s="1"/>
  <c r="AP483" i="63"/>
  <c r="AB35" i="63"/>
  <c r="AE35" i="63" s="1"/>
  <c r="AF35" i="63" s="1"/>
  <c r="T149" i="63"/>
  <c r="R150" i="63"/>
  <c r="P483" i="63" l="1"/>
  <c r="U483" i="63" s="1"/>
  <c r="Z483" i="63"/>
  <c r="AM483" i="63"/>
  <c r="AG35" i="63"/>
  <c r="AL35" i="63"/>
  <c r="AA36" i="63" s="1"/>
  <c r="R151" i="63"/>
  <c r="T150" i="63"/>
  <c r="W483" i="63" l="1"/>
  <c r="N484" i="63" s="1"/>
  <c r="Y36" i="63"/>
  <c r="AC36" i="63" s="1"/>
  <c r="AH36" i="63" s="1"/>
  <c r="AJ35" i="63"/>
  <c r="AI36" i="63"/>
  <c r="AP36" i="63"/>
  <c r="AD36" i="63"/>
  <c r="R152" i="63"/>
  <c r="T151" i="63"/>
  <c r="O484" i="63" l="1"/>
  <c r="AN484" i="63" s="1"/>
  <c r="AS484" i="63" s="1"/>
  <c r="AT483" i="63"/>
  <c r="AV483" i="63"/>
  <c r="AO483" i="63"/>
  <c r="AU483" i="63"/>
  <c r="M484" i="63"/>
  <c r="L484" i="63" s="1"/>
  <c r="Q484" i="63"/>
  <c r="V484" i="63" s="1"/>
  <c r="AB36" i="63"/>
  <c r="AE36" i="63" s="1"/>
  <c r="AF36" i="63" s="1"/>
  <c r="R153" i="63"/>
  <c r="T152" i="63"/>
  <c r="AP484" i="63" l="1"/>
  <c r="AM484" i="63"/>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P37" i="63" l="1"/>
  <c r="AU484" i="63"/>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O485" i="63" s="1"/>
  <c r="AI38" i="63"/>
  <c r="AD38" i="63"/>
  <c r="AB38" i="63"/>
  <c r="R159" i="63"/>
  <c r="T158" i="63"/>
  <c r="N486" i="63" l="1"/>
  <c r="M486" i="63" s="1"/>
  <c r="L486" i="63" s="1"/>
  <c r="AT485" i="63"/>
  <c r="AV485" i="63"/>
  <c r="O486" i="63"/>
  <c r="AN486" i="63" s="1"/>
  <c r="AS486" i="63" s="1"/>
  <c r="AU485" i="63"/>
  <c r="AP486" i="63"/>
  <c r="AE38" i="63"/>
  <c r="AF38" i="63" s="1"/>
  <c r="AG38" i="63"/>
  <c r="AL38" i="63"/>
  <c r="R160" i="63"/>
  <c r="T159" i="63"/>
  <c r="Q486" i="63" l="1"/>
  <c r="V486" i="63" s="1"/>
  <c r="Z486" i="63"/>
  <c r="AM486" i="63"/>
  <c r="AA39" i="63"/>
  <c r="Y39" i="63"/>
  <c r="AJ38" i="63"/>
  <c r="R161" i="63"/>
  <c r="T160" i="63"/>
  <c r="P486" i="63" l="1"/>
  <c r="U486" i="63" s="1"/>
  <c r="AC39" i="63"/>
  <c r="AH39" i="63" s="1"/>
  <c r="AI39" i="63"/>
  <c r="AP39" i="63"/>
  <c r="AD39" i="63"/>
  <c r="T161" i="63"/>
  <c r="R162" i="63"/>
  <c r="W486" i="63" l="1"/>
  <c r="AU486" i="63" s="1"/>
  <c r="AB39" i="63"/>
  <c r="AG39" i="63" s="1"/>
  <c r="R163" i="63"/>
  <c r="T162" i="63"/>
  <c r="O487" i="63" l="1"/>
  <c r="AP487" i="63" s="1"/>
  <c r="AV486" i="63"/>
  <c r="N487" i="63"/>
  <c r="AT486" i="63"/>
  <c r="AO486" i="63"/>
  <c r="Q487" i="63"/>
  <c r="V487" i="63" s="1"/>
  <c r="M487" i="63"/>
  <c r="L487" i="63" s="1"/>
  <c r="AL39" i="63"/>
  <c r="AA40" i="63" s="1"/>
  <c r="AE39" i="63"/>
  <c r="AF39" i="63" s="1"/>
  <c r="R164" i="63"/>
  <c r="T163" i="63"/>
  <c r="AN487" i="63" l="1"/>
  <c r="AS487" i="63" s="1"/>
  <c r="AM487" i="63"/>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AE43" i="63"/>
  <c r="AF43" i="63" s="1"/>
  <c r="AG43" i="63"/>
  <c r="AL43" i="63"/>
  <c r="R177" i="63"/>
  <c r="T176" i="63"/>
  <c r="W490" i="63" l="1"/>
  <c r="O491" i="63" s="1"/>
  <c r="Y44" i="63"/>
  <c r="AJ43" i="63"/>
  <c r="AA44" i="63"/>
  <c r="T177" i="63"/>
  <c r="R178" i="63"/>
  <c r="N491" i="63" l="1"/>
  <c r="Q491" i="63" s="1"/>
  <c r="V491" i="63" s="1"/>
  <c r="AU490" i="63"/>
  <c r="AV490" i="63"/>
  <c r="AT490" i="63"/>
  <c r="AO490" i="63"/>
  <c r="AN491" i="63"/>
  <c r="AS491" i="63" s="1"/>
  <c r="AP491" i="63"/>
  <c r="AI44" i="63"/>
  <c r="AD44" i="63"/>
  <c r="AP44" i="63"/>
  <c r="AC44" i="63"/>
  <c r="AH44" i="63" s="1"/>
  <c r="R179" i="63"/>
  <c r="T178" i="63"/>
  <c r="M491" i="63" l="1"/>
  <c r="L491" i="63" s="1"/>
  <c r="P491" i="63"/>
  <c r="U491" i="63" s="1"/>
  <c r="AM491" i="63"/>
  <c r="Z491" i="63"/>
  <c r="AB44" i="63"/>
  <c r="R180" i="63"/>
  <c r="T179" i="63"/>
  <c r="W491" i="63" l="1"/>
  <c r="AO491" i="63"/>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J66" i="63" s="1"/>
  <c r="AK66" i="63" s="1"/>
  <c r="AD514" i="63"/>
  <c r="AE512" i="63"/>
  <c r="AF511" i="63"/>
  <c r="T253" i="63"/>
  <c r="R254" i="63"/>
  <c r="AA67" i="63" l="1"/>
  <c r="Y67" i="63"/>
  <c r="AC67" i="63"/>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D526" i="63"/>
  <c r="AE524" i="63"/>
  <c r="AF523" i="63"/>
  <c r="T265" i="63"/>
  <c r="R266" i="63"/>
  <c r="AF70" i="63" l="1"/>
  <c r="AG70" i="63"/>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I74" i="63"/>
  <c r="AD537" i="63"/>
  <c r="R277" i="63"/>
  <c r="T276" i="63"/>
  <c r="AB74" i="63" l="1"/>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C480" i="63" s="1"/>
  <c r="AH480" i="63" s="1"/>
  <c r="AJ479" i="63"/>
  <c r="AK479"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<sst xmlns="http://schemas.openxmlformats.org/spreadsheetml/2006/main" count="4359" uniqueCount="1401">
  <si>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</si>
  <si>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</si>
  <si>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</si>
  <si>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</si>
  <si>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</si>
  <si>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</si>
  <si>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</si>
  <si>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</si>
  <si>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</si>
  <si>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</si>
  <si>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</si>
  <si>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</si>
  <si>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</si>
  <si>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</si>
  <si>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</si>
  <si>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</si>
  <si>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</si>
  <si>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</si>
  <si>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</si>
  <si>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</si>
  <si>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</si>
  <si>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</si>
  <si>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</si>
  <si>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</si>
  <si>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</si>
  <si>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</si>
  <si>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</si>
  <si>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</si>
  <si>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</si>
  <si>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</si>
  <si>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</si>
  <si>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</si>
  <si>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</si>
  <si>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</si>
  <si>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</si>
  <si>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</si>
  <si>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</si>
  <si>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</si>
  <si>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</si>
  <si>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</si>
  <si>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</si>
  <si>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</si>
  <si>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</si>
  <si>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</si>
  <si>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</si>
  <si>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</si>
  <si>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</si>
  <si>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</si>
  <si>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</si>
  <si>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</si>
  <si>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</si>
  <si>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</si>
  <si>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</si>
  <si>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</si>
  <si>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</si>
  <si>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</si>
  <si>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</si>
  <si>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</si>
  <si>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</si>
  <si>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</si>
  <si>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</si>
  <si>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</si>
  <si>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</si>
  <si>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</si>
  <si>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</si>
  <si>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</si>
  <si>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</si>
  <si>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</si>
  <si>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</si>
  <si>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</si>
  <si>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</si>
  <si>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</si>
  <si>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</si>
  <si>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</si>
  <si>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</si>
  <si>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</si>
  <si>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</si>
  <si>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</si>
  <si>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</si>
  <si>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</si>
  <si>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</si>
  <si>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</si>
  <si>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</si>
  <si>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</si>
  <si>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</si>
  <si>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</si>
  <si>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</si>
  <si>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</si>
  <si>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</si>
  <si>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</si>
  <si>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</si>
  <si>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</si>
  <si>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</si>
  <si>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</si>
  <si>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</si>
  <si>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</si>
  <si>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</si>
  <si>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</si>
  <si>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</si>
  <si>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</si>
  <si>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</si>
  <si>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</si>
  <si>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</si>
  <si>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</si>
  <si>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</si>
  <si>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</si>
  <si>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</si>
  <si>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</si>
  <si>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</si>
  <si>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</si>
  <si>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</si>
  <si>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</si>
  <si>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</si>
  <si>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</si>
  <si>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</si>
  <si>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</si>
  <si>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</si>
  <si>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</si>
  <si>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</si>
  <si>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</si>
  <si>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</si>
  <si>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</si>
  <si>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</si>
  <si>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</si>
  <si>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</si>
  <si>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</si>
  <si>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</si>
  <si>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</si>
  <si>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</si>
  <si>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</si>
  <si>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</si>
  <si>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</si>
  <si>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</si>
  <si>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</si>
  <si>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</si>
  <si>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</si>
  <si>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</si>
  <si>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</si>
  <si>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</si>
  <si>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</si>
  <si>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</si>
  <si>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</si>
  <si>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</si>
  <si>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</si>
  <si>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</si>
  <si>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</si>
  <si>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</si>
  <si>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</si>
  <si>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</si>
  <si>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</si>
  <si>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</si>
  <si>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</si>
  <si>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</si>
  <si>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</si>
  <si>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</si>
  <si>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</si>
  <si>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</si>
  <si>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</si>
  <si>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</si>
  <si>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</si>
  <si>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</si>
  <si>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</si>
  <si>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</si>
  <si>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</si>
  <si>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</si>
  <si>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</si>
  <si>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</si>
  <si>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</si>
  <si>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</si>
  <si>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</si>
  <si>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</si>
  <si>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</si>
  <si>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</si>
  <si>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</si>
  <si>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</si>
  <si>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</si>
  <si>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</si>
  <si>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</si>
  <si>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</si>
  <si>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</si>
  <si>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</si>
  <si>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</si>
  <si>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</si>
  <si>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</si>
  <si>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</si>
  <si>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</si>
  <si>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County</t>
  </si>
  <si>
    <t>Heir</t>
  </si>
  <si>
    <t>HOA</t>
  </si>
  <si>
    <t>LoanNo</t>
  </si>
  <si>
    <t>Monthly Payment1</t>
  </si>
  <si>
    <t>Monthly Payment2</t>
  </si>
  <si>
    <t>Manger</t>
  </si>
  <si>
    <t>NoteRentCompensationFormat:</t>
  </si>
  <si>
    <t>NotePurchaseFormat:</t>
  </si>
  <si>
    <t>Trust</t>
  </si>
  <si>
    <t>Trustee</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</si>
  <si>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</si>
  <si>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</si>
  <si>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</si>
  <si>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</si>
  <si>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</si>
  <si>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</si>
  <si>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</si>
  <si>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</si>
  <si>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</si>
  <si>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</si>
  <si>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</si>
  <si>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</si>
  <si>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</si>
  <si>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</si>
  <si>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</si>
  <si>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</si>
  <si>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</si>
  <si>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</si>
  <si>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</si>
  <si>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</si>
  <si>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</si>
  <si>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</si>
  <si>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</si>
  <si>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</si>
  <si>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</si>
  <si>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</si>
  <si>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</si>
  <si>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</si>
  <si>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</si>
  <si>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</si>
  <si>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</si>
  <si>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</si>
  <si>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</si>
  <si>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</si>
  <si>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</si>
  <si>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</si>
  <si>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</si>
  <si>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</si>
  <si>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</si>
  <si>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</si>
  <si>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</si>
  <si>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</si>
  <si>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</si>
  <si>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</si>
  <si>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</si>
  <si>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</si>
  <si>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</si>
  <si>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</si>
  <si>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</si>
  <si>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</si>
  <si>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</si>
  <si>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</si>
  <si>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</si>
  <si>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</si>
  <si>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</si>
  <si>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</si>
  <si>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</si>
  <si>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</si>
  <si>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</si>
  <si>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</si>
  <si>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</si>
  <si>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</si>
  <si>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</si>
  <si>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</si>
  <si>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</si>
  <si>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</si>
  <si>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</si>
  <si>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</si>
  <si>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</si>
  <si>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</si>
  <si>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</si>
  <si>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</si>
  <si>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</si>
  <si>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</si>
  <si>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</si>
  <si>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</si>
  <si>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</si>
  <si>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</si>
  <si>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</si>
  <si>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</si>
  <si>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</si>
  <si>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</si>
  <si>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</si>
  <si>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</si>
  <si>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</si>
  <si>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</si>
  <si>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</si>
  <si>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</si>
  <si>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</si>
  <si>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</si>
  <si>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</si>
  <si>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</si>
  <si>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</si>
  <si>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</si>
  <si>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</si>
  <si>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</si>
  <si>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</si>
  <si>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</si>
  <si>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</si>
  <si>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</si>
  <si>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</si>
  <si>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</si>
  <si>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</si>
  <si>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</si>
  <si>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</si>
  <si>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</si>
  <si>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</si>
  <si>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</si>
  <si>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</si>
  <si>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</si>
  <si>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</si>
  <si>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</si>
  <si>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</si>
  <si>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</si>
  <si>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</si>
  <si>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</si>
  <si>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</si>
  <si>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</si>
  <si>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</si>
  <si>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</si>
  <si>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</si>
  <si>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</si>
  <si>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</si>
  <si>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</si>
  <si>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</si>
  <si>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</si>
  <si>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</si>
  <si>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</si>
  <si>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</si>
  <si>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</si>
  <si>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</si>
  <si>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</si>
  <si>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</si>
  <si>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</si>
  <si>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</si>
  <si>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</si>
  <si>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</si>
  <si>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</si>
  <si>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</si>
  <si>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</si>
  <si>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</si>
  <si>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</si>
  <si>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</si>
  <si>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</si>
  <si>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</si>
  <si>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</si>
  <si>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</si>
  <si>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</si>
  <si>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</si>
  <si>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</si>
  <si>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</si>
  <si>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</si>
  <si>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</si>
  <si>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</si>
  <si>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</si>
  <si>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</si>
  <si>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</si>
  <si>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</si>
  <si>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</si>
  <si>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</si>
  <si>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</si>
  <si>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</si>
  <si>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</si>
  <si>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</si>
  <si>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</si>
  <si>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</si>
  <si>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</si>
  <si>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</si>
  <si>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</si>
  <si>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</si>
  <si>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</si>
  <si>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</si>
  <si>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</si>
  <si>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</si>
  <si>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</si>
  <si>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</si>
  <si>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</si>
  <si>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</si>
  <si>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</si>
  <si>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</si>
  <si>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</si>
  <si>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</si>
  <si>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</si>
  <si>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</si>
  <si>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</si>
  <si>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</si>
  <si>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</si>
  <si>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</si>
  <si>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</si>
  <si>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</si>
  <si>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</si>
  <si>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</si>
  <si>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</si>
  <si>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</si>
  <si>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</si>
  <si>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</si>
  <si>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</si>
  <si>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</si>
  <si>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</si>
  <si>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</si>
  <si>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</si>
  <si>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</si>
  <si>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</si>
  <si>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</si>
  <si>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</si>
  <si>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</si>
  <si>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</si>
  <si>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</si>
  <si>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</si>
  <si>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</si>
  <si>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</si>
  <si>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</si>
  <si>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</si>
  <si>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</si>
  <si>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</si>
  <si>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</si>
  <si>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</si>
  <si>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</si>
  <si>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</si>
  <si>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</si>
  <si>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</si>
  <si>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</si>
  <si>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</si>
  <si>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</si>
  <si>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</si>
  <si>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</si>
  <si>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</si>
  <si>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</si>
  <si>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</si>
  <si>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</si>
  <si>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</si>
  <si>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</si>
  <si>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</si>
  <si>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</si>
  <si>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</si>
  <si>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</si>
  <si>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</si>
  <si>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</si>
  <si>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</si>
  <si>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</si>
  <si>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</si>
  <si>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</si>
  <si>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</si>
  <si>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</si>
  <si>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</si>
  <si>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</si>
  <si>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</si>
  <si>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</si>
  <si>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</si>
  <si>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</si>
  <si>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</si>
  <si>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</si>
  <si>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</si>
  <si>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</si>
  <si>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</si>
  <si>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</si>
  <si>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</si>
  <si>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</si>
  <si>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</si>
  <si>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</si>
  <si>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</si>
  <si>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</si>
  <si>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</si>
  <si>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</si>
  <si>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</si>
  <si>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</si>
  <si>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</si>
  <si>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</si>
  <si>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</si>
  <si>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</si>
  <si>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</si>
  <si>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</si>
  <si>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</si>
  <si>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</si>
  <si>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</si>
  <si>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</si>
  <si>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</si>
  <si>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</si>
  <si>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</si>
  <si>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</si>
  <si>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</si>
  <si>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</si>
  <si>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</si>
  <si>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</si>
  <si>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</si>
  <si>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</si>
  <si>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</si>
  <si>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</si>
  <si>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</si>
  <si>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</si>
  <si>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</si>
  <si>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</si>
  <si>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</si>
  <si>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</si>
  <si>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</si>
  <si>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</si>
  <si>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</si>
  <si>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</si>
  <si>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</si>
  <si>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</si>
  <si>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</si>
  <si>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</si>
  <si>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</si>
  <si>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</si>
  <si>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</si>
  <si>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</si>
  <si>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</si>
  <si>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</si>
  <si>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</si>
  <si>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</si>
  <si>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</si>
  <si>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</si>
  <si>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</si>
  <si>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</si>
  <si>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</si>
  <si>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</si>
  <si>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</si>
  <si>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</si>
  <si>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</si>
  <si>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</si>
  <si>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</si>
  <si>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</si>
  <si>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</si>
  <si>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</si>
  <si>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</si>
  <si>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</si>
  <si>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</si>
  <si>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</si>
  <si>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</si>
  <si>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</si>
  <si>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</si>
  <si>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</si>
  <si>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</si>
  <si>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</si>
  <si>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</si>
  <si>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</si>
  <si>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</si>
  <si>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</si>
  <si>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</si>
  <si>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</si>
  <si>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</si>
  <si>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</si>
  <si>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</si>
  <si>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</si>
  <si>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</si>
  <si>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</si>
  <si>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</si>
  <si>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</si>
  <si>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</si>
  <si>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</si>
  <si>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</si>
  <si>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</si>
  <si>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</si>
  <si>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</si>
  <si>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</si>
  <si>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</si>
  <si>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</si>
  <si>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</si>
  <si>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</si>
  <si>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</si>
  <si>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</si>
  <si>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</si>
  <si>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</si>
  <si>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</si>
  <si>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</si>
  <si>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</si>
  <si>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</si>
  <si>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</si>
  <si>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</si>
  <si>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</si>
  <si>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</si>
  <si>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</si>
  <si>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</si>
  <si>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</si>
  <si>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</si>
  <si>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</si>
  <si>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</si>
  <si>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</si>
  <si>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</si>
  <si>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</si>
  <si>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</si>
  <si>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</si>
  <si>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</si>
  <si>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</si>
  <si>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</si>
  <si>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</si>
  <si>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</si>
  <si>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</si>
  <si>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</si>
  <si>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</si>
  <si>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</si>
  <si>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</si>
  <si>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</si>
  <si>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</si>
  <si>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</si>
  <si>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</si>
  <si>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</si>
  <si>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</si>
  <si>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</si>
  <si>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</si>
  <si>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</si>
  <si>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</si>
  <si>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</si>
  <si>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</si>
  <si>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</si>
  <si>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</si>
  <si>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</si>
  <si>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</si>
  <si>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</si>
  <si>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</si>
  <si>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</si>
  <si>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</si>
  <si>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</si>
  <si>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</si>
  <si>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</si>
  <si>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</si>
  <si>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</si>
  <si>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</si>
  <si>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</si>
  <si>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</si>
  <si>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</si>
  <si>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</si>
  <si>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</si>
  <si>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</si>
  <si>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</si>
  <si>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</si>
  <si>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</si>
  <si>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</si>
  <si>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</si>
  <si>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</si>
  <si>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</si>
  <si>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</si>
  <si>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</si>
  <si>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</si>
  <si>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</si>
  <si>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</si>
  <si>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</si>
  <si>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</si>
  <si>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</si>
  <si>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</si>
  <si>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</si>
  <si>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</si>
  <si>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</si>
  <si>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</si>
  <si>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</si>
  <si>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</si>
  <si>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</si>
  <si>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</si>
  <si>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</si>
  <si>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</si>
  <si>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</si>
  <si>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</si>
  <si>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</si>
  <si>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</si>
  <si>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</si>
  <si>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</si>
  <si>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</si>
  <si>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</si>
  <si>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</si>
  <si>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</si>
  <si>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</si>
  <si>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</si>
  <si>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</si>
  <si>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</si>
  <si>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</si>
  <si>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</si>
  <si>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</si>
  <si>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</si>
  <si>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</si>
  <si>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</si>
  <si>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</si>
  <si>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</si>
  <si>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</si>
  <si>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</si>
  <si>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</si>
  <si>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</si>
  <si>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</si>
  <si>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</si>
  <si>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</si>
  <si>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</si>
  <si>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</si>
  <si>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</si>
  <si>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</si>
  <si>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</si>
  <si>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</si>
  <si>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</si>
  <si>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</si>
  <si>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</si>
  <si>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</si>
  <si>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</si>
  <si>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</si>
  <si>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</si>
  <si>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</si>
  <si>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</si>
  <si>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</si>
  <si>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</si>
  <si>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</si>
  <si>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</si>
  <si>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</si>
  <si>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</si>
  <si>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</si>
  <si>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</si>
  <si>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</si>
  <si>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</si>
  <si>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</si>
  <si>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</si>
  <si>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</si>
  <si>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</si>
  <si>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</si>
  <si>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</si>
  <si>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</si>
  <si>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</si>
  <si>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</si>
  <si>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</si>
  <si>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</si>
  <si>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</si>
  <si>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</si>
  <si>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</si>
  <si>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</si>
  <si>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</si>
  <si>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</si>
  <si>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</si>
  <si>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</si>
  <si>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</si>
  <si>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</si>
  <si>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</si>
  <si>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</si>
  <si>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</si>
  <si>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</si>
  <si>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</si>
  <si>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</si>
  <si>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</si>
  <si>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</si>
  <si>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</si>
  <si>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</si>
  <si>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</si>
  <si>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</si>
  <si>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</si>
  <si>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</si>
  <si>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</si>
  <si>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</si>
  <si>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</si>
  <si>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</si>
  <si>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</si>
  <si>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</si>
  <si>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</si>
  <si>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</si>
  <si>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</si>
  <si>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</si>
  <si>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</si>
  <si>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</si>
  <si>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</si>
  <si>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</si>
  <si>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</si>
  <si>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</si>
  <si>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</si>
  <si>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</si>
  <si>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</si>
  <si>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</si>
  <si>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</si>
  <si>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</si>
  <si>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</si>
  <si>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</si>
  <si>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</si>
  <si>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</si>
  <si>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</si>
  <si>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</si>
  <si>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</si>
  <si>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</si>
  <si>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</si>
  <si>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</si>
  <si>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</si>
  <si>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</si>
  <si>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</si>
  <si>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</si>
  <si>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</si>
  <si>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</si>
  <si>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</si>
  <si>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</si>
  <si>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</si>
  <si>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</si>
  <si>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</si>
  <si>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</si>
  <si>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</si>
  <si>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</si>
  <si>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</si>
  <si>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</si>
  <si>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</si>
  <si>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</si>
  <si>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</si>
  <si>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</si>
  <si>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</si>
  <si>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</si>
  <si>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</si>
  <si>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</si>
  <si>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</si>
  <si>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</si>
  <si>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</si>
  <si>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</si>
  <si>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</si>
  <si>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</si>
  <si>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</si>
  <si>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</si>
  <si>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</si>
  <si>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</si>
  <si>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</si>
  <si>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</si>
  <si>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</si>
  <si>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</si>
  <si>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</si>
  <si>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</si>
  <si>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</si>
  <si>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</si>
  <si>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</si>
  <si>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</si>
  <si>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</si>
  <si>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</si>
  <si>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</si>
  <si>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</si>
  <si>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</si>
  <si>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</si>
  <si>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</si>
  <si>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</si>
  <si>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</si>
  <si>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</si>
  <si>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</si>
  <si>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</si>
  <si>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</si>
  <si>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</si>
  <si>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</si>
  <si>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</si>
  <si>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</si>
  <si>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</si>
  <si>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</si>
  <si>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</si>
  <si>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</si>
  <si>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</si>
  <si>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</si>
  <si>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</si>
  <si>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</si>
  <si>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</si>
  <si>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</si>
  <si>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</si>
  <si>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</si>
  <si>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</si>
  <si>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</si>
  <si>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</si>
  <si>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</si>
  <si>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</si>
  <si>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</si>
  <si>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</si>
  <si>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</si>
  <si>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</si>
  <si>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</si>
  <si>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</si>
  <si>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</si>
  <si>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</si>
  <si>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</si>
  <si>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</si>
  <si>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</si>
  <si>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</si>
  <si>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</si>
  <si>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</si>
  <si>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</si>
  <si>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</si>
  <si>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</si>
  <si>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</si>
  <si>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</si>
  <si>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</si>
  <si>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</si>
  <si>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</si>
  <si>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</si>
  <si>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</si>
  <si>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</si>
  <si>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</si>
  <si>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</si>
  <si>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</si>
  <si>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</si>
  <si>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</si>
  <si>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</si>
  <si>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</si>
  <si>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</si>
  <si>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</si>
  <si>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</si>
  <si>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</si>
  <si>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</si>
  <si>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</si>
  <si>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</si>
  <si>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</si>
  <si>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</si>
  <si>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</si>
  <si>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</si>
  <si>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</si>
  <si>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</si>
  <si>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</si>
  <si>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</si>
  <si>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</si>
  <si>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</si>
  <si>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</si>
  <si>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</si>
  <si>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</si>
  <si>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</si>
  <si>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</si>
  <si>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</si>
  <si>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</si>
  <si>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</si>
  <si>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</si>
  <si>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</si>
  <si>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</si>
  <si>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</si>
  <si>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</si>
  <si>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</si>
  <si>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</si>
  <si>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</si>
  <si>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</si>
  <si>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</si>
  <si>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</si>
  <si>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</si>
  <si>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</si>
  <si>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</si>
  <si>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</si>
  <si>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</si>
  <si>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</si>
  <si>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</si>
  <si>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</si>
  <si>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</si>
  <si>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</si>
  <si>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</si>
  <si>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</si>
  <si>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</si>
  <si>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</si>
  <si>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</si>
  <si>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</si>
  <si>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</si>
  <si>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</si>
  <si>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</si>
  <si>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</si>
  <si>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</si>
  <si>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</si>
  <si>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</si>
  <si>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</si>
  <si>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</si>
  <si>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</si>
  <si>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</si>
  <si>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</si>
  <si>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</si>
  <si>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</si>
  <si>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</si>
  <si>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</si>
  <si>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</si>
  <si>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</si>
  <si>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</si>
  <si>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</si>
  <si>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</si>
  <si>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</si>
  <si>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</si>
  <si>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</si>
  <si>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</si>
  <si>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</si>
  <si>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</si>
  <si>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</si>
  <si>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</si>
  <si>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</si>
  <si>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</si>
  <si>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</si>
  <si>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</si>
  <si>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</si>
  <si>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</si>
  <si>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</si>
  <si>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</si>
  <si>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</si>
  <si>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</si>
  <si>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</si>
  <si>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</si>
  <si>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</si>
  <si>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</si>
  <si>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</si>
  <si>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</si>
  <si>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</si>
  <si>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</si>
  <si>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</si>
  <si>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</si>
  <si>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</si>
  <si>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</si>
  <si>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</si>
  <si>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</si>
  <si>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</si>
  <si>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</si>
  <si>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</si>
  <si>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</si>
  <si>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</si>
  <si>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</si>
  <si>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</si>
  <si>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</si>
  <si>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</si>
  <si>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</si>
  <si>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</si>
  <si>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</si>
  <si>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</si>
  <si>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</si>
  <si>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</si>
  <si>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</si>
  <si>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</si>
  <si>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</si>
  <si>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</si>
  <si>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</si>
  <si>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</si>
  <si>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</si>
  <si>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</si>
  <si>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</si>
  <si>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</si>
  <si>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</si>
  <si>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</si>
  <si>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</si>
  <si>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</si>
  <si>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</si>
  <si>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</si>
  <si>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</si>
  <si>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</si>
  <si>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</si>
  <si>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</si>
  <si>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</si>
  <si>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</si>
  <si>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</si>
  <si>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</si>
  <si>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</si>
  <si>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</si>
  <si>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</si>
  <si>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</si>
  <si>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</si>
  <si>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</si>
  <si>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</si>
  <si>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</si>
  <si>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</si>
  <si>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</si>
  <si>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</si>
  <si>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</si>
  <si>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</si>
  <si>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</si>
  <si>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</si>
  <si>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</si>
  <si>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</si>
  <si>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</si>
  <si>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</si>
  <si>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</si>
  <si>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</si>
  <si>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</si>
  <si>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</si>
  <si>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</si>
  <si>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</si>
  <si>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</si>
  <si>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</si>
  <si>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</si>
  <si>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</si>
  <si>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</si>
  <si>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</si>
  <si>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</si>
  <si>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</si>
  <si>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</si>
  <si>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</si>
  <si>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</si>
  <si>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</si>
  <si>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</si>
  <si>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</si>
  <si>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</si>
  <si>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</si>
  <si>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</si>
  <si>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</si>
  <si>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</si>
  <si>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</si>
  <si>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</si>
  <si>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</si>
  <si>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</si>
  <si>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</si>
  <si>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</si>
  <si>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</si>
  <si>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</si>
  <si>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</si>
  <si>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</si>
  <si>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</si>
  <si>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</si>
  <si>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</si>
  <si>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</si>
  <si>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</si>
  <si>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</si>
  <si>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</si>
  <si>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</si>
  <si>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</si>
  <si>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</si>
  <si>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</si>
  <si>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</si>
  <si>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</si>
  <si>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</si>
  <si>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</si>
  <si>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</si>
  <si>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</si>
  <si>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</si>
  <si>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</si>
  <si>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</si>
  <si>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</si>
  <si>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</si>
  <si>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</si>
  <si>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</si>
  <si>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</si>
  <si>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</si>
  <si>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</si>
  <si>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</si>
  <si>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</si>
  <si>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</si>
  <si>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</si>
  <si>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</si>
  <si>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</si>
  <si>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</si>
  <si>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</si>
  <si>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</si>
  <si>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</si>
  <si>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</si>
  <si>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</si>
  <si>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</si>
  <si>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</si>
  <si>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</si>
  <si>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</si>
  <si>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</si>
  <si>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</si>
  <si>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</si>
  <si>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</si>
  <si>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</si>
  <si>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</si>
  <si>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</si>
  <si>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</si>
  <si>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</si>
  <si>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</si>
  <si>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</si>
  <si>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</si>
  <si>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</si>
  <si>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</si>
  <si>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</si>
  <si>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</si>
  <si>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</si>
  <si>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</si>
  <si>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</si>
  <si>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</si>
  <si>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</si>
  <si>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</si>
  <si>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</si>
  <si>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</si>
  <si>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</si>
  <si>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</si>
  <si>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</si>
  <si>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</si>
  <si>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</si>
  <si>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</si>
  <si>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</si>
  <si>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</si>
  <si>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</si>
  <si>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</si>
  <si>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</si>
  <si>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</si>
  <si>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</si>
  <si>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</si>
  <si>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</si>
  <si>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</si>
  <si>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</si>
  <si>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</si>
  <si>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</si>
  <si>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</si>
  <si>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</si>
  <si>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</si>
  <si>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</si>
  <si>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</si>
  <si>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</si>
  <si>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</si>
  <si>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</si>
  <si>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</si>
  <si>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</si>
  <si>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</si>
  <si>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</si>
  <si>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</si>
  <si>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</si>
  <si>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</si>
  <si>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</si>
  <si>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</si>
  <si>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</si>
  <si>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</si>
  <si>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</si>
  <si>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</si>
  <si>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</si>
  <si>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</si>
  <si>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</si>
  <si>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</si>
  <si>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</si>
  <si>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</si>
  <si>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</si>
  <si>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</si>
  <si>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</si>
  <si>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</si>
  <si>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</si>
  <si>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</si>
  <si>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</si>
  <si>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</si>
  <si>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</si>
  <si>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</si>
  <si>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</si>
  <si>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</si>
  <si>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</si>
  <si>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</si>
  <si>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</si>
  <si>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</si>
  <si>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</si>
  <si>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</si>
  <si>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</si>
  <si>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</si>
  <si>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</si>
  <si>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</si>
  <si>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</si>
  <si>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</si>
  <si>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</si>
  <si>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</si>
  <si>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</si>
  <si>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</si>
  <si>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</si>
  <si>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</si>
  <si>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</si>
  <si>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</si>
  <si>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</si>
  <si>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</si>
  <si>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</si>
  <si>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</si>
  <si>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</si>
  <si>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</si>
  <si>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</si>
  <si>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</si>
  <si>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</si>
  <si>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</si>
  <si>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</si>
  <si>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</si>
  <si>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</si>
  <si>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</si>
  <si>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</si>
  <si>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</si>
  <si>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</si>
  <si>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</si>
  <si>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</si>
  <si>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</si>
  <si>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</si>
  <si>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</si>
  <si>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</si>
  <si>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</si>
  <si>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</si>
  <si>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</si>
  <si>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</si>
  <si>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</si>
  <si>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</si>
  <si>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</si>
  <si>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</si>
  <si>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</si>
  <si>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</si>
  <si>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</si>
  <si>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</si>
  <si>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</si>
  <si>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</si>
  <si>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</si>
  <si>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</si>
  <si>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</si>
  <si>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</si>
  <si>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</si>
  <si>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</si>
  <si>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</si>
  <si>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</si>
  <si>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</si>
  <si>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</si>
  <si>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</si>
  <si>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</si>
  <si>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</si>
  <si>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</si>
  <si>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</si>
  <si>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</si>
  <si>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</si>
  <si>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</si>
  <si>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</si>
  <si>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</si>
  <si>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</si>
  <si>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</si>
  <si>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</si>
  <si>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</si>
  <si>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</si>
  <si>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</si>
  <si>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</si>
  <si>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</si>
  <si>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</si>
  <si>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</si>
  <si>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</si>
  <si>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</si>
  <si>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</si>
  <si>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</si>
  <si>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</si>
  <si>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</si>
  <si>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</si>
  <si>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</si>
  <si>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</si>
  <si>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</si>
  <si>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</si>
  <si>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</si>
  <si>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</si>
  <si>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</si>
  <si>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</si>
  <si>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</si>
  <si>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</si>
  <si>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</si>
  <si>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</si>
  <si>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</si>
  <si>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</si>
  <si>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</si>
  <si>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</si>
  <si>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</si>
  <si>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</si>
  <si>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</si>
  <si>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</si>
  <si>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</si>
  <si>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</si>
  <si>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</si>
  <si>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</si>
  <si>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</si>
  <si>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</si>
  <si>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</si>
  <si>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</si>
  <si>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</si>
  <si>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</si>
  <si>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</si>
  <si>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</si>
  <si>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</si>
  <si>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</si>
  <si>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</si>
  <si>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</si>
  <si>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</si>
  <si>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</si>
  <si>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</si>
  <si>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</si>
  <si>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</si>
  <si>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</si>
  <si>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</si>
  <si>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</si>
  <si>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</si>
  <si>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</si>
  <si>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</si>
  <si>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</si>
  <si>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</si>
  <si>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</si>
  <si>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</si>
  <si>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</si>
  <si>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</si>
  <si>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</si>
  <si>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</si>
  <si>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</si>
  <si>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</si>
  <si>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</si>
  <si>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</si>
  <si>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</si>
  <si>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</si>
  <si>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</si>
  <si>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</si>
  <si>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</si>
  <si>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</si>
  <si>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</si>
  <si>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</si>
  <si>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</si>
  <si>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</si>
  <si>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</si>
  <si>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</si>
  <si>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</si>
  <si>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</si>
  <si>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</si>
  <si>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</si>
  <si>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</si>
  <si>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</si>
  <si>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</si>
  <si>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</si>
  <si>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</si>
  <si>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</si>
  <si>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</si>
  <si>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</si>
  <si>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</si>
  <si>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</si>
  <si>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</si>
  <si>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</si>
  <si>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</si>
  <si>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</si>
  <si>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</si>
  <si>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</si>
  <si>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</si>
  <si>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</si>
  <si>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</si>
  <si>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</si>
  <si>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</si>
  <si>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</si>
  <si>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</si>
  <si>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</si>
  <si>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</si>
  <si>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</si>
  <si>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</si>
  <si>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</si>
  <si>
    <t>Ever Amarildo Cardoza Bolanos</t>
  </si>
  <si>
    <t>Maria Geraldina Sarmiento</t>
  </si>
  <si>
    <t>José Fabre Jr.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</si>
</sst>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173"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49" fontId="39" fillId="2" borderId="0" xfId="0" applyNumberFormat="1" applyFont="1" applyFill="1" applyAlignment="1">
      <alignment horizontal="left"/>
    </xf>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3" fontId="13" fillId="15" borderId="26" xfId="0" applyNumberFormat="1" applyFont="1" applyFill="1" applyBorder="1"/>
    <xf numFmtId="3" fontId="0" fillId="0" borderId="27" xfId="0" applyNumberFormat="1" applyBorder="1"/>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0" fontId="25" fillId="2" borderId="1" xfId="0" applyFont="1" applyFill="1" applyBorder="1" applyAlignment="1">
      <alignment horizontal="left"/>
    </xf>
    <xf numFmtId="0" fontId="0" fillId="2" borderId="1" xfId="0" applyFill="1" applyBorder="1" applyAlignment="1">
      <alignment horizontal="left"/>
    </xf>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26" xfId="0" applyNumberFormat="1" applyBorder="1"/>
    <xf numFmtId="166" fontId="0" fillId="0" borderId="27" xfId="0" applyNumberFormat="1" applyBorder="1"/>
    <xf numFmtId="178" fontId="0" fillId="0" borderId="27"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0" fillId="0" borderId="0" xfId="0" applyAlignment="1">
      <alignment horizontal="right" vertical="center"/>
    </xf>
    <xf numFmtId="164" fontId="0" fillId="20" borderId="0" xfId="0" applyNumberFormat="1" applyFill="1"/>
    <xf numFmtId="164" fontId="0" fillId="0" borderId="0" xfId="0" applyNumberFormat="1"/>
    <xf numFmtId="0" fontId="1" fillId="26" borderId="4" xfId="0" applyFont="1" applyFill="1" applyBorder="1" applyAlignment="1">
      <alignment horizontal="right" vertical="center" wrapText="1"/>
    </xf>
    <xf numFmtId="0" fontId="26" fillId="0" borderId="0" xfId="0" applyFont="1" applyAlignment="1">
      <alignment horizont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8"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7" t="str">
        <f>IF(R3=1,"Flip","")</f>
        <v/>
      </c>
      <c r="C1" s="308" t="str">
        <f>IF(R3=2,"Hold","")</f>
        <v/>
      </c>
      <c r="D1" s="308" t="str">
        <f>IF(R3=3,"Slow Flip","")</f>
        <v>Slow Flip</v>
      </c>
      <c r="E1" s="375" t="s">
        <v>1</v>
      </c>
      <c r="F1" s="687" t="s">
        <v>2</v>
      </c>
      <c r="G1" s="688"/>
      <c r="H1" s="688"/>
      <c r="P1" s="38" t="s">
        <v>3</v>
      </c>
      <c r="Q1" s="37" t="b">
        <v>0</v>
      </c>
    </row>
    <row r="2" spans="1:18" ht="16.5" customHeight="1" thickBot="1">
      <c r="A2" s="61"/>
      <c r="B2" s="634" t="s">
        <v>4</v>
      </c>
      <c r="C2" s="635"/>
      <c r="D2" s="635"/>
      <c r="E2" s="632" t="s">
        <v>5</v>
      </c>
      <c r="F2" s="633"/>
      <c r="G2" s="372" t="s">
        <v>6</v>
      </c>
      <c r="H2" s="693" t="s">
        <v>7</v>
      </c>
      <c r="I2" s="694"/>
      <c r="J2" s="662" t="s">
        <v>8</v>
      </c>
      <c r="K2" s="619">
        <v>45715</v>
      </c>
      <c r="M2" s="356" t="s">
        <v>9</v>
      </c>
      <c r="N2" s="356"/>
      <c r="P2" s="38" t="s">
        <v>10</v>
      </c>
      <c r="Q2" s="37" t="b">
        <v>0</v>
      </c>
    </row>
    <row r="3" spans="1:18" ht="12" customHeight="1" thickBot="1">
      <c r="A3" s="63" t="s">
        <v>11</v>
      </c>
      <c r="B3" s="64"/>
      <c r="D3" s="618" t="s">
        <v>12</v>
      </c>
      <c r="E3" s="618"/>
      <c r="F3" s="618" t="s">
        <v>13</v>
      </c>
      <c r="G3" s="616"/>
      <c r="H3" s="616"/>
      <c r="I3" s="695"/>
      <c r="J3" s="663"/>
      <c r="K3" s="620"/>
      <c r="Q3" s="37" t="b">
        <v>0</v>
      </c>
      <c r="R3" s="37">
        <v>3</v>
      </c>
    </row>
    <row r="4" spans="1:18" ht="12" customHeight="1" thickBot="1">
      <c r="A4" s="38" t="s">
        <v>15</v>
      </c>
      <c r="B4" s="696">
        <v>330000</v>
      </c>
      <c r="C4" s="697"/>
      <c r="D4" s="266"/>
      <c r="E4" s="293"/>
      <c r="F4" s="290"/>
      <c r="G4" s="290"/>
      <c r="H4" s="71"/>
      <c r="I4" s="72"/>
      <c r="P4" s="85" t="s">
        <v>14</v>
      </c>
      <c r="Q4" s="37" t="b">
        <v>0</v>
      </c>
    </row>
    <row r="5" spans="1:18" ht="12" customHeight="1" thickBot="1">
      <c r="A5" s="38" t="s">
        <v>17</v>
      </c>
      <c r="B5" s="360">
        <f>+Amortization!O2</f>
        <v>0.05</v>
      </c>
      <c r="C5" s="227">
        <v>0</v>
      </c>
      <c r="D5" s="294"/>
      <c r="E5" s="295"/>
      <c r="F5" s="290"/>
      <c r="G5" s="290"/>
      <c r="H5" s="74"/>
      <c r="I5" s="75"/>
      <c r="N5" s="87" t="s">
        <v>18</v>
      </c>
      <c r="O5" s="187"/>
      <c r="P5" s="85" t="s">
        <v>16</v>
      </c>
      <c r="Q5" s="37" t="b">
        <v>0</v>
      </c>
    </row>
    <row r="6" spans="1:18" ht="12" customHeight="1" thickBot="1">
      <c r="A6" s="38" t="s">
        <v>20</v>
      </c>
      <c r="B6" s="698">
        <f>+B4</f>
        <v>330000</v>
      </c>
      <c r="C6" s="699"/>
      <c r="D6" s="294"/>
      <c r="E6" s="295"/>
      <c r="F6" s="290"/>
      <c r="G6" s="298">
        <f>IF(OR(R3=1,R3=2),$B$6,0)</f>
        <v>0</v>
      </c>
      <c r="H6" s="74"/>
      <c r="I6" s="75"/>
      <c r="O6" s="187"/>
      <c r="P6" s="85" t="s">
        <v>19</v>
      </c>
      <c r="Q6" s="37" t="b">
        <v>1</v>
      </c>
    </row>
    <row r="7" spans="1:18" ht="12" customHeight="1" thickBot="1">
      <c r="A7" s="38" t="s">
        <v>21</v>
      </c>
      <c r="B7" s="360">
        <f>+Amortization!$K$3</f>
        <v>0.06</v>
      </c>
      <c r="C7" s="240">
        <f>+B6*B7</f>
        <v>19800</v>
      </c>
      <c r="D7" s="241"/>
      <c r="E7" s="242">
        <f>IF(R3=3,+C7,0)</f>
        <v>19800</v>
      </c>
      <c r="F7" s="291"/>
      <c r="G7" s="290"/>
      <c r="H7" s="74"/>
      <c r="I7" s="75"/>
      <c r="J7" s="662" t="s">
        <v>22</v>
      </c>
      <c r="K7" s="652">
        <v>0.03</v>
      </c>
      <c r="O7" s="187"/>
      <c r="P7" s="355"/>
    </row>
    <row r="8" spans="1:18" ht="12" customHeight="1" thickBot="1">
      <c r="A8" s="38" t="s">
        <v>23</v>
      </c>
      <c r="B8" s="230"/>
      <c r="C8" s="312"/>
      <c r="D8" s="241"/>
      <c r="E8" s="295"/>
      <c r="F8" s="291"/>
      <c r="G8" s="299">
        <f>+IF($C$1="hold",$K$7,0)*$C$50/12*B4</f>
        <v>0</v>
      </c>
      <c r="H8" s="313"/>
      <c r="I8" s="75"/>
      <c r="J8" s="663"/>
      <c r="K8" s="653"/>
      <c r="M8" s="348" t="s">
        <v>24</v>
      </c>
    </row>
    <row r="9" spans="1:18" ht="12" customHeight="1" thickBot="1">
      <c r="A9" s="84" t="str">
        <f>IF(R3=3,"Delta Mortgages","Monthly Rent:")</f>
        <v>Delta Mortgages</v>
      </c>
      <c r="B9" s="678">
        <v>1736</v>
      </c>
      <c r="C9" s="690"/>
      <c r="D9" s="296"/>
      <c r="E9" s="297"/>
      <c r="F9" s="292"/>
      <c r="G9" s="300"/>
      <c r="H9" s="301"/>
      <c r="I9" s="309">
        <f>IF(OR(C1="Hold",D1="Slow Flip"),IF(C1="hold",+B9,+Amortization!AJ8),"")</f>
        <v>1944.5499999999997</v>
      </c>
      <c r="J9" s="662" t="s">
        <v>25</v>
      </c>
      <c r="K9" s="625">
        <v>1277</v>
      </c>
    </row>
    <row r="10" spans="1:18" ht="12" customHeight="1" thickBot="1">
      <c r="C10" s="664" t="s">
        <v>26</v>
      </c>
      <c r="D10" s="640" t="s">
        <v>26</v>
      </c>
      <c r="E10" s="65">
        <f>SUM(D4:E9)</f>
        <v>19800</v>
      </c>
      <c r="F10" s="621">
        <f>+SUM(F4:G9)</f>
        <v>0</v>
      </c>
      <c r="G10" s="622"/>
      <c r="H10" s="621">
        <f>SUM(H4:I9)</f>
        <v>1944.5499999999997</v>
      </c>
      <c r="I10" s="622"/>
      <c r="J10" s="663"/>
      <c r="K10" s="626"/>
      <c r="M10" s="348" t="s">
        <v>27</v>
      </c>
      <c r="O10" s="404"/>
    </row>
    <row r="11" spans="1:18" ht="12" customHeight="1" thickBot="1">
      <c r="C11" s="66"/>
      <c r="D11" s="67"/>
      <c r="E11" s="60"/>
      <c r="F11" s="629" t="str">
        <f>IF(R3=3,"Profit calcuations based on selling in 5 years","")</f>
        <v>Profit calcuations based on selling in 5 years</v>
      </c>
      <c r="G11" s="630"/>
      <c r="H11" s="630"/>
      <c r="I11" s="631"/>
      <c r="M11" s="348" t="s">
        <v>28</v>
      </c>
      <c r="N11" s="87">
        <v>250000</v>
      </c>
      <c r="O11" s="224" t="b">
        <f>+$B$4&gt;N11</f>
        <v>1</v>
      </c>
    </row>
    <row r="12" spans="1:18" ht="12" customHeight="1" thickTop="1" thickBot="1">
      <c r="A12" s="68" t="s">
        <v>29</v>
      </c>
      <c r="B12" s="68"/>
      <c r="C12" s="69"/>
      <c r="D12" s="266"/>
      <c r="E12" s="267"/>
      <c r="F12" s="274"/>
      <c r="G12" s="321"/>
      <c r="H12" s="276"/>
      <c r="I12" s="311"/>
      <c r="M12" s="348" t="s">
        <v>30</v>
      </c>
      <c r="N12" s="87">
        <v>700000</v>
      </c>
      <c r="O12" s="224" t="b">
        <f>+$B$4&lt;N12</f>
        <v>1</v>
      </c>
    </row>
    <row r="13" spans="1:18" ht="12" customHeight="1" thickBot="1">
      <c r="A13" s="38" t="s">
        <v>31</v>
      </c>
      <c r="B13" s="64"/>
      <c r="D13" s="294"/>
      <c r="E13" s="310"/>
      <c r="F13" s="246"/>
      <c r="G13" s="318">
        <f>IF(R3=3,+Amortization!AJ11,0)</f>
        <v>310719.84000000014</v>
      </c>
      <c r="H13" s="319"/>
      <c r="I13" s="320"/>
      <c r="J13" s="366" t="s">
        <v>32</v>
      </c>
      <c r="K13" s="368" t="b">
        <v>1</v>
      </c>
      <c r="M13" s="348" t="s">
        <v>33</v>
      </c>
      <c r="N13" s="87">
        <v>100000</v>
      </c>
      <c r="O13" s="224" t="b">
        <f ca="1">N13&lt;K61</f>
        <v>1</v>
      </c>
    </row>
    <row r="14" spans="1:18" ht="11.25" customHeight="1" thickBot="1">
      <c r="A14" s="38" t="s">
        <v>34</v>
      </c>
      <c r="B14" s="222"/>
      <c r="C14" s="347">
        <v>15000</v>
      </c>
      <c r="D14" s="268">
        <f>-C14</f>
        <v>-15000</v>
      </c>
      <c r="E14" s="242"/>
      <c r="F14" s="275"/>
      <c r="G14" s="94">
        <f>IF(K13,0,0.3*C14)</f>
        <v>0</v>
      </c>
      <c r="H14" s="671" t="s">
        <v>35</v>
      </c>
      <c r="I14" s="672"/>
      <c r="J14" s="590" t="s">
        <v>36</v>
      </c>
      <c r="K14" s="657"/>
      <c r="M14" s="348" t="s">
        <v>37</v>
      </c>
      <c r="N14" s="349">
        <v>0.35</v>
      </c>
      <c r="O14" s="224" t="b">
        <f ca="1">N14&lt;K61/B4</f>
        <v>1</v>
      </c>
      <c r="P14" s="429">
        <f ca="1">K61/B4</f>
        <v>0.4846282274821595</v>
      </c>
    </row>
    <row r="15" spans="1:18" ht="12" customHeight="1">
      <c r="A15" s="38" t="s">
        <v>38</v>
      </c>
      <c r="B15" s="171">
        <v>4.4999999999999998E-2</v>
      </c>
      <c r="C15" s="141">
        <v>122713</v>
      </c>
      <c r="D15" s="241">
        <f>-C15</f>
        <v>-122713</v>
      </c>
      <c r="E15" s="242">
        <f>-D15</f>
        <v>122713</v>
      </c>
      <c r="F15" s="246">
        <f>-C15</f>
        <v>-122713</v>
      </c>
      <c r="G15" s="367"/>
      <c r="H15" s="283"/>
      <c r="I15" s="284"/>
      <c r="J15" s="658"/>
      <c r="K15" s="659"/>
      <c r="M15" s="348" t="s">
        <v>39</v>
      </c>
      <c r="N15" s="87">
        <v>30000</v>
      </c>
      <c r="O15" s="224" t="b">
        <f>+N15&gt;($C$14+$C$20)</f>
        <v>1</v>
      </c>
    </row>
    <row r="16" spans="1:18" ht="12" customHeight="1">
      <c r="A16" s="38" t="s">
        <v>40</v>
      </c>
      <c r="B16" s="140"/>
      <c r="C16" s="141"/>
      <c r="D16" s="268"/>
      <c r="E16" s="242"/>
      <c r="F16" s="246">
        <f>-(120-C49)*(C16/120)</f>
        <v>0</v>
      </c>
      <c r="G16" s="247"/>
      <c r="H16" s="283">
        <f>-(C16*B16/12)</f>
        <v>0</v>
      </c>
      <c r="I16" s="284"/>
      <c r="J16" s="658"/>
      <c r="K16" s="659"/>
      <c r="M16" s="348" t="s">
        <v>41</v>
      </c>
      <c r="N16" s="87">
        <v>140000</v>
      </c>
      <c r="O16" s="224" t="b">
        <f>+N16&gt;($C$14+$C$20+E19)</f>
        <v>1</v>
      </c>
    </row>
    <row r="17" spans="1:17" ht="12" customHeight="1" thickBot="1">
      <c r="A17" s="38" t="s">
        <v>42</v>
      </c>
      <c r="B17" s="140">
        <v>0</v>
      </c>
      <c r="C17" s="141"/>
      <c r="D17" s="268">
        <f>-C17</f>
        <v>0</v>
      </c>
      <c r="E17" s="242">
        <f>+C17</f>
        <v>0</v>
      </c>
      <c r="F17" s="246">
        <f>IF(OR($R$3=1,$R$3=2,$R$3=3),IF(OR($R$3=1,$R$3=2),-C17,),0)</f>
        <v>0</v>
      </c>
      <c r="G17" s="247"/>
      <c r="H17" s="283"/>
      <c r="I17" s="284"/>
      <c r="J17" s="660"/>
      <c r="K17" s="661"/>
      <c r="O17" s="224"/>
    </row>
    <row r="18" spans="1:17" ht="12" customHeight="1" thickBot="1">
      <c r="A18" s="38" t="s">
        <v>43</v>
      </c>
      <c r="B18" s="119"/>
      <c r="C18" s="120">
        <v>54532</v>
      </c>
      <c r="D18" s="241">
        <f>-C18</f>
        <v>-54532</v>
      </c>
      <c r="E18" s="242">
        <f>-D18</f>
        <v>54532</v>
      </c>
      <c r="F18" s="246">
        <f>-C18</f>
        <v>-54532</v>
      </c>
      <c r="G18" s="247"/>
      <c r="H18" s="283"/>
      <c r="I18" s="284"/>
      <c r="J18" s="40"/>
      <c r="K18" s="40"/>
      <c r="O18" s="224"/>
    </row>
    <row r="19" spans="1:17" ht="12" customHeight="1" thickBot="1">
      <c r="A19" s="38" t="s">
        <v>44</v>
      </c>
      <c r="B19" s="239">
        <f>+B17</f>
        <v>0</v>
      </c>
      <c r="C19" s="411">
        <v>20000</v>
      </c>
      <c r="D19" s="241">
        <f>-C19</f>
        <v>-20000</v>
      </c>
      <c r="E19" s="242">
        <f>-D19</f>
        <v>20000</v>
      </c>
      <c r="F19" s="243">
        <f>IF(B1="flip",-C19,0)</f>
        <v>0</v>
      </c>
      <c r="G19" s="244"/>
      <c r="H19" s="283"/>
      <c r="I19" s="284"/>
      <c r="J19" s="40"/>
      <c r="K19" s="40"/>
      <c r="O19" s="224"/>
      <c r="P19" s="355"/>
    </row>
    <row r="20" spans="1:17" ht="12" customHeight="1" thickBot="1">
      <c r="A20" s="84" t="s">
        <v>45</v>
      </c>
      <c r="B20" s="346"/>
      <c r="C20" s="230">
        <v>10000</v>
      </c>
      <c r="D20" s="241">
        <f>-C20</f>
        <v>-10000</v>
      </c>
      <c r="E20" s="242"/>
      <c r="F20" s="243"/>
      <c r="G20" s="247"/>
      <c r="H20" s="286"/>
      <c r="I20" s="284"/>
      <c r="J20" s="40"/>
      <c r="K20" s="40"/>
      <c r="O20" s="405"/>
      <c r="P20" s="355"/>
    </row>
    <row r="21" spans="1:17" ht="12" customHeight="1" thickBot="1">
      <c r="A21" s="38" t="s">
        <v>46</v>
      </c>
      <c r="B21" s="680">
        <f>-SUM(D14:D20)</f>
        <v>222245</v>
      </c>
      <c r="C21" s="689"/>
      <c r="D21" s="268"/>
      <c r="E21" s="242"/>
      <c r="F21" s="246"/>
      <c r="G21" s="247"/>
      <c r="H21" s="286"/>
      <c r="I21" s="284"/>
      <c r="P21" s="355"/>
    </row>
    <row r="22" spans="1:17" ht="12" customHeight="1" thickBot="1">
      <c r="A22" s="38" t="s">
        <v>47</v>
      </c>
      <c r="B22" s="245">
        <v>0.9</v>
      </c>
      <c r="C22" s="240">
        <f>IF(C1="Hold",+B4*B22,0)</f>
        <v>0</v>
      </c>
      <c r="D22" s="241"/>
      <c r="E22" s="242">
        <f>IF(AND(Q1,R3=2),C22+B21,0)</f>
        <v>0</v>
      </c>
      <c r="F22" s="246" t="str">
        <f>IF(AND(Q1,R3=2),-C22,"")</f>
        <v/>
      </c>
      <c r="G22" s="247"/>
      <c r="H22" s="285">
        <f>IF(AND(Q1,R3=2),IF(Q2,IPMT(B23/12,1,C23*12,C22),PMT(B23/12,12*C23,C22)),0)</f>
        <v>0</v>
      </c>
      <c r="I22" s="284"/>
      <c r="J22" s="627" t="s">
        <v>48</v>
      </c>
      <c r="K22" s="628"/>
      <c r="P22" s="355"/>
    </row>
    <row r="23" spans="1:17" ht="12" customHeight="1" thickBot="1">
      <c r="A23" s="38" t="s">
        <v>49</v>
      </c>
      <c r="B23" s="248">
        <v>6.5000000000000002E-2</v>
      </c>
      <c r="C23" s="249">
        <v>30</v>
      </c>
      <c r="D23" s="241"/>
      <c r="E23" s="242"/>
      <c r="F23" s="246"/>
      <c r="G23" s="247"/>
      <c r="H23" s="286"/>
      <c r="I23" s="284"/>
      <c r="J23" s="627" t="s">
        <v>50</v>
      </c>
      <c r="K23" s="628"/>
      <c r="P23" s="355"/>
    </row>
    <row r="24" spans="1:17" ht="12" customHeight="1" thickBot="1">
      <c r="A24" s="38" t="s">
        <v>51</v>
      </c>
      <c r="B24" s="673"/>
      <c r="C24" s="576"/>
      <c r="D24" s="241"/>
      <c r="E24" s="242"/>
      <c r="F24" s="246"/>
      <c r="G24" s="247"/>
      <c r="H24" s="286"/>
      <c r="I24" s="284"/>
      <c r="K24" s="40"/>
      <c r="M24" s="348">
        <v>45819</v>
      </c>
      <c r="N24" s="87">
        <v>294300</v>
      </c>
      <c r="P24" s="355"/>
    </row>
    <row r="25" spans="1:17" ht="12" customHeight="1" thickBot="1">
      <c r="A25" s="84" t="s">
        <v>52</v>
      </c>
      <c r="B25" s="105">
        <v>0</v>
      </c>
      <c r="C25" s="106"/>
      <c r="D25" s="268"/>
      <c r="E25" s="242"/>
      <c r="F25" s="246"/>
      <c r="G25" s="247"/>
      <c r="H25" s="285"/>
      <c r="I25" s="284"/>
      <c r="M25" s="348">
        <v>45826</v>
      </c>
      <c r="N25" s="87">
        <v>293100</v>
      </c>
      <c r="Q25" s="87"/>
    </row>
    <row r="26" spans="1:17" ht="12" customHeight="1" thickBot="1">
      <c r="A26" s="84" t="s">
        <v>53</v>
      </c>
      <c r="B26" s="98"/>
      <c r="C26" s="106">
        <v>0</v>
      </c>
      <c r="D26" s="268">
        <f>-B26</f>
        <v>0</v>
      </c>
      <c r="E26" s="242"/>
      <c r="F26" s="246"/>
      <c r="G26" s="247"/>
      <c r="H26" s="286"/>
      <c r="I26" s="284"/>
      <c r="M26" s="348">
        <v>45923</v>
      </c>
      <c r="N26" s="87">
        <v>290700</v>
      </c>
      <c r="Q26" s="87"/>
    </row>
    <row r="27" spans="1:17" ht="12" customHeight="1" thickBot="1">
      <c r="A27" s="84" t="s">
        <v>54</v>
      </c>
      <c r="B27" s="691">
        <v>5000</v>
      </c>
      <c r="C27" s="692">
        <v>5000</v>
      </c>
      <c r="D27" s="268">
        <f>-B27</f>
        <v>-5000</v>
      </c>
      <c r="E27" s="242"/>
      <c r="F27" s="246"/>
      <c r="G27" s="247"/>
      <c r="H27" s="286"/>
      <c r="I27" s="284"/>
    </row>
    <row r="28" spans="1:17" ht="12" customHeight="1" thickBot="1">
      <c r="A28" s="84" t="s">
        <v>55</v>
      </c>
      <c r="B28" s="225">
        <f ca="1">+F72/30.42</f>
        <v>11.900065746219592</v>
      </c>
      <c r="C28" s="73"/>
      <c r="D28" s="268"/>
      <c r="E28" s="242"/>
      <c r="F28" s="246"/>
      <c r="G28" s="247"/>
      <c r="H28" s="285"/>
      <c r="I28" s="284"/>
      <c r="Q28" s="87"/>
    </row>
    <row r="29" spans="1:17" ht="12" customHeight="1">
      <c r="A29" s="84" t="s">
        <v>56</v>
      </c>
      <c r="B29" s="223">
        <f>+STR!K17/12</f>
        <v>0</v>
      </c>
      <c r="C29" s="73"/>
      <c r="D29" s="268"/>
      <c r="E29" s="242"/>
      <c r="F29" s="246"/>
      <c r="G29" s="247"/>
      <c r="H29" s="285">
        <f>-B29</f>
        <v>0</v>
      </c>
      <c r="I29" s="284"/>
      <c r="J29" s="654" t="s">
        <v>57</v>
      </c>
      <c r="K29" s="592"/>
      <c r="Q29" s="87"/>
    </row>
    <row r="30" spans="1:17" ht="12" customHeight="1" thickBot="1">
      <c r="A30" s="84" t="s">
        <v>58</v>
      </c>
      <c r="C30" s="225"/>
      <c r="D30" s="268"/>
      <c r="E30" s="242"/>
      <c r="F30" s="246"/>
      <c r="G30" s="247"/>
      <c r="H30" s="285"/>
      <c r="I30" s="284"/>
      <c r="J30" s="655"/>
      <c r="K30" s="656"/>
      <c r="O30" s="187"/>
      <c r="P30" s="355"/>
    </row>
    <row r="31" spans="1:17" ht="12" customHeight="1">
      <c r="A31" s="84" t="s">
        <v>1204</v>
      </c>
      <c r="B31" s="541">
        <f ca="1">+Carrying!B25/Profit!$B$28</f>
        <v>80.933166298342542</v>
      </c>
      <c r="C31" s="73"/>
      <c r="D31" s="268"/>
      <c r="E31" s="242"/>
      <c r="F31" s="246"/>
      <c r="G31" s="247"/>
      <c r="H31" s="285">
        <f t="shared" ref="H31:H34" ca="1" si="0">IF($R$3=3,-B31,0)</f>
        <v>-80.933166298342542</v>
      </c>
      <c r="I31" s="284">
        <f t="shared" ref="I31:I34" ca="1" si="1">IF($R$3=3,+B31,0)</f>
        <v>80.933166298342542</v>
      </c>
      <c r="J31" s="665" t="s">
        <v>59</v>
      </c>
      <c r="K31" s="666"/>
      <c r="P31" s="355"/>
    </row>
    <row r="32" spans="1:17" ht="12" customHeight="1">
      <c r="A32" s="84" t="s">
        <v>1218</v>
      </c>
      <c r="B32" s="541">
        <f ca="1">+Carrying!E25/Profit!$B$28</f>
        <v>1021.0128464088397</v>
      </c>
      <c r="C32" s="73"/>
      <c r="D32" s="268"/>
      <c r="E32" s="242"/>
      <c r="F32" s="246"/>
      <c r="G32" s="247"/>
      <c r="H32" s="285"/>
      <c r="I32" s="284"/>
      <c r="J32" s="667"/>
      <c r="K32" s="668"/>
      <c r="P32" s="355"/>
    </row>
    <row r="33" spans="1:11" ht="12" customHeight="1">
      <c r="A33" s="84" t="s">
        <v>60</v>
      </c>
      <c r="B33" s="541">
        <f ca="1">+Carrying!H25/Profit!$B$28</f>
        <v>0</v>
      </c>
      <c r="C33" s="73"/>
      <c r="D33" s="268"/>
      <c r="E33" s="242"/>
      <c r="F33" s="246"/>
      <c r="G33" s="247"/>
      <c r="H33" s="285">
        <f t="shared" ca="1" si="0"/>
        <v>0</v>
      </c>
      <c r="I33" s="284">
        <f t="shared" ca="1" si="1"/>
        <v>0</v>
      </c>
      <c r="J33" s="667"/>
      <c r="K33" s="668"/>
    </row>
    <row r="34" spans="1:11" ht="12" customHeight="1" thickBot="1">
      <c r="A34" s="84" t="s">
        <v>1205</v>
      </c>
      <c r="B34" s="541">
        <f ca="1">+Carrying!K25/Profit!$B$28</f>
        <v>0</v>
      </c>
      <c r="C34" s="73"/>
      <c r="D34" s="268"/>
      <c r="E34" s="242"/>
      <c r="F34" s="246"/>
      <c r="G34" s="247"/>
      <c r="H34" s="285">
        <f t="shared" ca="1" si="0"/>
        <v>0</v>
      </c>
      <c r="I34" s="284">
        <f t="shared" ca="1" si="1"/>
        <v>0</v>
      </c>
      <c r="J34" s="669"/>
      <c r="K34" s="670"/>
    </row>
    <row r="35" spans="1:11" ht="12" customHeight="1">
      <c r="A35" s="84" t="s">
        <v>424</v>
      </c>
      <c r="B35" s="541">
        <f ca="1">+Carrying!N25/Profit!$B$28</f>
        <v>0</v>
      </c>
      <c r="C35" s="73"/>
      <c r="D35" s="268"/>
      <c r="E35" s="242"/>
      <c r="F35" s="246"/>
      <c r="G35" s="247"/>
      <c r="H35" s="285"/>
      <c r="I35" s="284"/>
    </row>
    <row r="36" spans="1:11" ht="12" customHeight="1">
      <c r="A36" s="84" t="s">
        <v>1206</v>
      </c>
      <c r="B36" s="541">
        <f ca="1">+Carrying!Q25/Profit!$B$28</f>
        <v>19.138549723756906</v>
      </c>
      <c r="C36" s="73"/>
      <c r="D36" s="268"/>
      <c r="E36" s="242"/>
      <c r="F36" s="246"/>
      <c r="G36" s="247"/>
      <c r="H36" s="285"/>
      <c r="I36" s="284"/>
    </row>
    <row r="37" spans="1:11" ht="12" customHeight="1">
      <c r="A37" s="84" t="s">
        <v>1207</v>
      </c>
      <c r="B37" s="541">
        <f ca="1">+Carrying!T25/Profit!$B$28</f>
        <v>0</v>
      </c>
      <c r="C37" s="73"/>
      <c r="D37" s="268"/>
      <c r="E37" s="242"/>
      <c r="F37" s="246"/>
      <c r="G37" s="247"/>
      <c r="H37" s="285"/>
      <c r="I37" s="284"/>
    </row>
    <row r="38" spans="1:11" ht="12" customHeight="1">
      <c r="A38" s="84" t="s">
        <v>188</v>
      </c>
      <c r="B38" s="541">
        <f ca="1">+Carrying!W25/Profit!$B$28</f>
        <v>0</v>
      </c>
      <c r="C38" s="73"/>
      <c r="D38" s="268"/>
      <c r="E38" s="242"/>
      <c r="F38" s="246"/>
      <c r="G38" s="247"/>
      <c r="H38" s="285"/>
      <c r="I38" s="284"/>
    </row>
    <row r="39" spans="1:11" ht="12" customHeight="1">
      <c r="A39" s="84" t="s">
        <v>425</v>
      </c>
      <c r="B39" s="541">
        <f ca="1">+Carrying!Z25/Profit!$B$28</f>
        <v>0</v>
      </c>
      <c r="C39" s="73"/>
      <c r="D39" s="268"/>
      <c r="E39" s="242"/>
      <c r="F39" s="246"/>
      <c r="G39" s="247"/>
      <c r="H39" s="285"/>
      <c r="I39" s="284"/>
    </row>
    <row r="40" spans="1:11" ht="12" customHeight="1" thickBot="1">
      <c r="A40" s="84" t="s">
        <v>1208</v>
      </c>
      <c r="B40" s="541">
        <f ca="1">+Carrying!AC25/Profit!$B$28</f>
        <v>0</v>
      </c>
      <c r="C40" s="73"/>
      <c r="D40" s="268"/>
      <c r="E40" s="242"/>
      <c r="F40" s="246"/>
      <c r="G40" s="247"/>
      <c r="H40" s="285"/>
      <c r="I40" s="284"/>
    </row>
    <row r="41" spans="1:11" ht="12" customHeight="1" thickBot="1">
      <c r="A41" s="84" t="s">
        <v>1209</v>
      </c>
      <c r="B41" s="541">
        <f ca="1">+Carrying!AF25/Profit!$B$28</f>
        <v>0</v>
      </c>
      <c r="C41" s="73"/>
      <c r="D41" s="268"/>
      <c r="E41" s="242"/>
      <c r="F41" s="246"/>
      <c r="G41" s="247"/>
      <c r="H41" s="285"/>
      <c r="I41" s="284"/>
      <c r="J41" s="683" t="s">
        <v>62</v>
      </c>
      <c r="K41" s="685">
        <f ca="1">IF(+R3=3,-H54,+B42/B28)</f>
        <v>80.933166298342542</v>
      </c>
    </row>
    <row r="42" spans="1:11" ht="12" customHeight="1" thickBot="1">
      <c r="A42" s="38" t="s">
        <v>62</v>
      </c>
      <c r="B42" s="680">
        <f ca="1">+B28*SUM(B31:B41)</f>
        <v>13340.979999999998</v>
      </c>
      <c r="C42" s="681"/>
      <c r="D42" s="241">
        <f ca="1">-B42</f>
        <v>-13340.979999999998</v>
      </c>
      <c r="E42" s="242"/>
      <c r="F42" s="246"/>
      <c r="G42" s="247"/>
      <c r="H42" s="285"/>
      <c r="I42" s="284"/>
      <c r="J42" s="684"/>
      <c r="K42" s="686"/>
    </row>
    <row r="43" spans="1:11" ht="12" customHeight="1" thickBot="1">
      <c r="A43" s="84" t="s">
        <v>63</v>
      </c>
      <c r="B43" s="225">
        <v>0.1031</v>
      </c>
      <c r="C43" s="73" t="b">
        <v>1</v>
      </c>
      <c r="D43" s="268"/>
      <c r="E43" s="242"/>
      <c r="F43" s="246"/>
      <c r="G43" s="247"/>
      <c r="H43" s="285"/>
      <c r="I43" s="284"/>
    </row>
    <row r="44" spans="1:11" ht="12" customHeight="1" thickBot="1">
      <c r="A44" s="84">
        <v>0.65</v>
      </c>
      <c r="B44" s="544"/>
      <c r="C44" s="73">
        <f>IF(C43,+(B6*A44)-SUM(C15:C19)-B44,0)</f>
        <v>17255</v>
      </c>
      <c r="D44" s="268"/>
      <c r="E44" s="242">
        <f>IF(C43,B44,0)</f>
        <v>0</v>
      </c>
      <c r="F44" s="246">
        <f>IF(C43,-E44,0)</f>
        <v>0</v>
      </c>
      <c r="G44" s="247"/>
      <c r="H44" s="285">
        <f>IF($R$3=3,-E44*B43/12,0)</f>
        <v>0</v>
      </c>
      <c r="I44" s="284"/>
      <c r="J44" s="543" t="s">
        <v>1375</v>
      </c>
      <c r="K44" s="543">
        <f>+SUM(C15:C19)+B44</f>
        <v>197245</v>
      </c>
    </row>
    <row r="45" spans="1:11" ht="12" customHeight="1">
      <c r="A45" s="84" t="s">
        <v>65</v>
      </c>
      <c r="B45" s="225">
        <f>-D67</f>
        <v>36627.077565749991</v>
      </c>
      <c r="C45" s="73"/>
      <c r="D45" s="268">
        <f>-B45</f>
        <v>-36627.077565749991</v>
      </c>
      <c r="E45" s="242"/>
      <c r="F45" s="246"/>
      <c r="G45" s="247"/>
      <c r="H45" s="286"/>
      <c r="I45" s="284"/>
    </row>
    <row r="46" spans="1:11" ht="12" customHeight="1" thickBot="1">
      <c r="A46" s="84" t="s">
        <v>67</v>
      </c>
      <c r="B46" s="225">
        <v>600</v>
      </c>
      <c r="C46" s="73"/>
      <c r="D46" s="268">
        <f>-B46</f>
        <v>-600</v>
      </c>
      <c r="E46" s="242"/>
      <c r="F46" s="246"/>
      <c r="G46" s="247"/>
      <c r="H46" s="286"/>
      <c r="I46" s="284"/>
    </row>
    <row r="47" spans="1:11" ht="12" customHeight="1" thickBot="1">
      <c r="A47" s="38" t="s">
        <v>14</v>
      </c>
      <c r="B47" s="534"/>
      <c r="C47" s="535">
        <v>500</v>
      </c>
      <c r="D47" s="268"/>
      <c r="E47" s="242"/>
      <c r="F47" s="246" t="str">
        <f>IF(Q3,-C47,"")</f>
        <v/>
      </c>
      <c r="G47" s="247"/>
      <c r="H47" s="286"/>
      <c r="I47" s="284"/>
      <c r="J47" s="646" t="s">
        <v>61</v>
      </c>
      <c r="K47" s="674">
        <f>+B21</f>
        <v>222245</v>
      </c>
    </row>
    <row r="48" spans="1:11" ht="12" customHeight="1" thickBot="1">
      <c r="A48" s="85" t="s">
        <v>68</v>
      </c>
      <c r="B48" s="322"/>
      <c r="C48" s="86">
        <v>2.4E-2</v>
      </c>
      <c r="D48" s="268"/>
      <c r="E48" s="242"/>
      <c r="F48" s="246" t="str">
        <f>IF(Q4,IF(OR(R3=1,R3=2),-C48*$F$10,0),"")</f>
        <v/>
      </c>
      <c r="G48" s="247"/>
      <c r="H48" s="286"/>
      <c r="I48" s="284"/>
      <c r="J48" s="682"/>
      <c r="K48" s="675"/>
    </row>
    <row r="49" spans="1:15" ht="12" customHeight="1" thickBot="1">
      <c r="A49" s="85" t="s">
        <v>69</v>
      </c>
      <c r="B49" s="323"/>
      <c r="C49" s="123">
        <v>2.5999999999999999E-2</v>
      </c>
      <c r="D49" s="268"/>
      <c r="E49" s="242"/>
      <c r="F49" s="246" t="str">
        <f>IF(Q5,IF(OR(R3=1,R3=2),-C49*$F$10,0),"")</f>
        <v/>
      </c>
      <c r="G49" s="247"/>
      <c r="H49" s="286"/>
      <c r="I49" s="284"/>
      <c r="J49" s="646" t="s">
        <v>64</v>
      </c>
      <c r="K49" s="674">
        <f ca="1">-E55</f>
        <v>61708.057565749987</v>
      </c>
    </row>
    <row r="50" spans="1:15" ht="12" customHeight="1" thickBot="1">
      <c r="A50" s="124" t="s">
        <v>70</v>
      </c>
      <c r="B50" s="122"/>
      <c r="C50" s="151">
        <v>36</v>
      </c>
      <c r="D50" s="268"/>
      <c r="E50" s="242"/>
      <c r="F50" s="246"/>
      <c r="G50" s="247"/>
      <c r="H50" s="286"/>
      <c r="I50" s="284"/>
      <c r="J50" s="647"/>
      <c r="K50" s="675"/>
    </row>
    <row r="51" spans="1:15" ht="12" customHeight="1" thickBot="1">
      <c r="A51" s="38" t="s">
        <v>71</v>
      </c>
      <c r="B51" s="678"/>
      <c r="C51" s="679"/>
      <c r="D51" s="269"/>
      <c r="E51" s="242"/>
      <c r="F51" s="246">
        <f>-C51</f>
        <v>0</v>
      </c>
      <c r="G51" s="247"/>
      <c r="H51" s="287"/>
      <c r="I51" s="284"/>
      <c r="J51" s="582" t="s">
        <v>66</v>
      </c>
      <c r="K51" s="643"/>
    </row>
    <row r="52" spans="1:15" ht="12" customHeight="1" thickBot="1">
      <c r="A52" s="38" t="s">
        <v>72</v>
      </c>
      <c r="B52" s="676">
        <f>+D87</f>
        <v>940</v>
      </c>
      <c r="C52" s="677"/>
      <c r="D52" s="268">
        <f>-B52</f>
        <v>-940</v>
      </c>
      <c r="E52" s="242"/>
      <c r="F52" s="246"/>
      <c r="G52" s="247"/>
      <c r="H52" s="287"/>
      <c r="I52" s="284"/>
      <c r="J52" s="644"/>
      <c r="K52" s="645"/>
    </row>
    <row r="53" spans="1:15" ht="12" customHeight="1" thickBot="1">
      <c r="A53" s="38" t="s">
        <v>73</v>
      </c>
      <c r="B53" s="641">
        <f>+D98</f>
        <v>290</v>
      </c>
      <c r="C53" s="642"/>
      <c r="D53" s="270"/>
      <c r="E53" s="271"/>
      <c r="F53" s="272">
        <f>-B53</f>
        <v>-290</v>
      </c>
      <c r="G53" s="273"/>
      <c r="H53" s="288"/>
      <c r="I53" s="289"/>
    </row>
    <row r="54" spans="1:15" ht="12" customHeight="1" thickBot="1">
      <c r="B54" s="639" t="s">
        <v>74</v>
      </c>
      <c r="C54" s="640"/>
      <c r="D54" s="133">
        <f ca="1">+SUM(D14:D53)</f>
        <v>-278753.05756574997</v>
      </c>
      <c r="E54" s="350"/>
      <c r="F54" s="351">
        <f>+SUM(F14:F53)</f>
        <v>-177535</v>
      </c>
      <c r="G54" s="350"/>
      <c r="H54" s="352">
        <f ca="1">SUM(H15:H53)</f>
        <v>-80.933166298342542</v>
      </c>
      <c r="I54" s="353">
        <f ca="1">SUM(I15:I53)+H10</f>
        <v>2025.4831662983422</v>
      </c>
    </row>
    <row r="55" spans="1:15" ht="12" customHeight="1" thickBot="1">
      <c r="A55" s="39"/>
      <c r="B55" s="650" t="s">
        <v>75</v>
      </c>
      <c r="C55" s="651"/>
      <c r="D55" s="651"/>
      <c r="E55" s="91">
        <f ca="1">+SUM(D10:E53)</f>
        <v>-61708.057565749987</v>
      </c>
      <c r="F55" s="623">
        <f>+SUM(F10:G53)</f>
        <v>133184.84000000014</v>
      </c>
      <c r="G55" s="624"/>
      <c r="H55" s="89"/>
      <c r="I55" s="93">
        <f ca="1">+SUM(H54:I54)</f>
        <v>1944.5499999999997</v>
      </c>
      <c r="O55" s="60"/>
    </row>
    <row r="56" spans="1:15" ht="12" customHeight="1">
      <c r="A56" s="39"/>
      <c r="B56" s="39"/>
      <c r="D56" s="39"/>
      <c r="E56" s="563" t="s">
        <v>76</v>
      </c>
      <c r="F56" s="564"/>
      <c r="G56" s="88">
        <f ca="1">SUM(E55:G55)</f>
        <v>71476.782434250155</v>
      </c>
      <c r="H56" s="89"/>
      <c r="I56" s="90"/>
      <c r="J56" s="609" t="s">
        <v>77</v>
      </c>
      <c r="K56" s="561" t="s">
        <v>78</v>
      </c>
      <c r="O56" s="60"/>
    </row>
    <row r="57" spans="1:15" ht="12" customHeight="1" thickBot="1">
      <c r="A57" s="39"/>
      <c r="B57" s="39"/>
      <c r="E57" s="563" t="s">
        <v>79</v>
      </c>
      <c r="F57" s="564"/>
      <c r="G57" s="564"/>
      <c r="H57" s="354">
        <f>IF(OR(R3=2,R3=3),IF(R3=2,C50,60),0)</f>
        <v>60</v>
      </c>
      <c r="I57" s="134">
        <f ca="1">IF(OR(R3=2,R3=3),+H57*I55,0)</f>
        <v>116672.99999999999</v>
      </c>
      <c r="J57" s="610"/>
      <c r="K57" s="562"/>
      <c r="M57" s="60"/>
    </row>
    <row r="58" spans="1:15" ht="12" customHeight="1" thickBot="1">
      <c r="A58" s="39"/>
      <c r="B58" s="39"/>
      <c r="E58" s="92"/>
      <c r="F58" s="588" t="s">
        <v>80</v>
      </c>
      <c r="G58" s="589"/>
      <c r="H58" s="76"/>
      <c r="I58" s="76">
        <f ca="1">+I57+G56</f>
        <v>188149.78243425014</v>
      </c>
      <c r="J58" s="77">
        <f ca="1">$B$25*$I$58</f>
        <v>0</v>
      </c>
      <c r="K58" s="78">
        <f ca="1">+$I$58-J58</f>
        <v>188149.78243425014</v>
      </c>
    </row>
    <row r="59" spans="1:15" ht="12" customHeight="1" thickTop="1" thickBot="1">
      <c r="A59" s="79" t="s">
        <v>81</v>
      </c>
      <c r="B59" s="604">
        <f>IF(OR(C1="Hold",D1="slow flip"),0.15,0)</f>
        <v>0.15</v>
      </c>
      <c r="C59" s="605"/>
      <c r="D59" s="79"/>
      <c r="E59" s="79"/>
      <c r="H59" s="228"/>
      <c r="I59" s="229" t="s">
        <v>82</v>
      </c>
      <c r="J59" s="88">
        <f ca="1">-I81</f>
        <v>0</v>
      </c>
      <c r="K59" s="108">
        <f ca="1">+I81</f>
        <v>0</v>
      </c>
    </row>
    <row r="60" spans="1:15" ht="12" customHeight="1" thickTop="1" thickBot="1">
      <c r="A60" s="38" t="s">
        <v>83</v>
      </c>
      <c r="B60" s="600">
        <v>0.1</v>
      </c>
      <c r="C60" s="601">
        <v>0.15</v>
      </c>
      <c r="D60" s="602">
        <f ca="1">+K62*B60</f>
        <v>15992.731506911265</v>
      </c>
      <c r="E60" s="603"/>
      <c r="H60" s="565" t="s">
        <v>84</v>
      </c>
      <c r="I60" s="566"/>
      <c r="J60" s="324" t="s">
        <v>85</v>
      </c>
      <c r="K60" s="108">
        <f ca="1">IF(B59="",0,-$B$59*SUM(K58:K59))</f>
        <v>-28222.46736513752</v>
      </c>
    </row>
    <row r="61" spans="1:15" ht="12" customHeight="1">
      <c r="G61" s="39"/>
      <c r="H61" s="565" t="s">
        <v>86</v>
      </c>
      <c r="I61" s="566"/>
      <c r="J61" s="77">
        <f ca="1">SUM(J58:J60)</f>
        <v>0</v>
      </c>
      <c r="K61" s="78">
        <f ca="1">SUM(K58:K60)</f>
        <v>159927.31506911264</v>
      </c>
    </row>
    <row r="62" spans="1:15" ht="12" customHeight="1" thickBot="1">
      <c r="A62" s="64"/>
      <c r="C62" s="38"/>
      <c r="D62" s="38"/>
      <c r="E62" s="38"/>
      <c r="H62" s="588" t="s">
        <v>87</v>
      </c>
      <c r="I62" s="589"/>
      <c r="J62" s="82"/>
      <c r="K62" s="221">
        <f ca="1">SUM(J61:K61)</f>
        <v>159927.31506911264</v>
      </c>
    </row>
    <row r="63" spans="1:15" ht="12" customHeight="1" thickTop="1">
      <c r="A63" s="68" t="s">
        <v>88</v>
      </c>
    </row>
    <row r="64" spans="1:15" ht="12" customHeight="1" thickBot="1">
      <c r="A64" s="38" t="s">
        <v>89</v>
      </c>
      <c r="B64" s="569">
        <f>'Gnatt Chart'!I6</f>
        <v>34882.931014999995</v>
      </c>
      <c r="C64" s="569"/>
      <c r="D64" s="569">
        <f>-B64</f>
        <v>-34882.931014999995</v>
      </c>
      <c r="E64" s="569"/>
    </row>
    <row r="65" spans="1:11" ht="12" customHeight="1" thickBot="1">
      <c r="A65" s="38" t="s">
        <v>90</v>
      </c>
      <c r="B65" s="80">
        <v>0.05</v>
      </c>
      <c r="D65" s="569"/>
      <c r="E65" s="569"/>
      <c r="G65" s="590" t="s">
        <v>91</v>
      </c>
      <c r="H65" s="591"/>
      <c r="I65" s="591"/>
      <c r="J65" s="592"/>
    </row>
    <row r="66" spans="1:11" ht="12" customHeight="1" thickBot="1">
      <c r="A66" s="38" t="s">
        <v>92</v>
      </c>
      <c r="B66" s="617">
        <f>IF(Q12&lt;&gt;"Yes",+B65*SUM(B64:C64),0)</f>
        <v>1744.1465507499997</v>
      </c>
      <c r="C66" s="617"/>
      <c r="D66" s="617">
        <f>-B66</f>
        <v>-1744.1465507499997</v>
      </c>
      <c r="E66" s="617"/>
      <c r="G66" s="593"/>
      <c r="H66" s="594"/>
      <c r="I66" s="594"/>
      <c r="J66" s="595"/>
    </row>
    <row r="67" spans="1:11" ht="12" customHeight="1" thickBot="1">
      <c r="A67" s="38" t="s">
        <v>93</v>
      </c>
      <c r="D67" s="567">
        <f>+SUM(D64:E66)</f>
        <v>-36627.077565749991</v>
      </c>
      <c r="E67" s="568"/>
      <c r="G67" s="606" t="s">
        <v>94</v>
      </c>
      <c r="H67" s="607"/>
      <c r="I67" s="607"/>
      <c r="J67" s="608"/>
    </row>
    <row r="68" spans="1:11" ht="12" customHeight="1" thickTop="1" thickBot="1">
      <c r="A68" s="81" t="s">
        <v>95</v>
      </c>
      <c r="B68" s="79"/>
      <c r="C68" s="79"/>
      <c r="D68" s="38"/>
      <c r="E68" s="38"/>
      <c r="G68" s="585"/>
      <c r="H68" s="586"/>
      <c r="I68" s="586"/>
      <c r="J68" s="587"/>
    </row>
    <row r="69" spans="1:11" ht="12" customHeight="1">
      <c r="A69" s="38" t="s">
        <v>96</v>
      </c>
      <c r="B69" s="637">
        <v>350</v>
      </c>
      <c r="C69" s="638"/>
      <c r="D69" s="569"/>
      <c r="E69" s="569"/>
      <c r="H69" s="37"/>
      <c r="I69" s="37"/>
    </row>
    <row r="70" spans="1:11" ht="12" customHeight="1" thickBot="1">
      <c r="A70" s="38" t="s">
        <v>97</v>
      </c>
      <c r="B70" s="611">
        <v>0</v>
      </c>
      <c r="C70" s="612"/>
      <c r="D70" s="569"/>
      <c r="E70" s="569"/>
      <c r="H70" s="37"/>
      <c r="I70" s="37"/>
    </row>
    <row r="71" spans="1:11" ht="12" customHeight="1" thickBot="1">
      <c r="A71" s="38" t="s">
        <v>98</v>
      </c>
      <c r="B71" s="611">
        <v>250</v>
      </c>
      <c r="C71" s="612"/>
      <c r="F71" s="636" t="s">
        <v>99</v>
      </c>
      <c r="G71" s="572"/>
      <c r="H71" s="572" t="s">
        <v>100</v>
      </c>
      <c r="I71" s="572"/>
      <c r="J71" s="208" t="s">
        <v>101</v>
      </c>
    </row>
    <row r="72" spans="1:11" ht="12" customHeight="1" thickBot="1">
      <c r="A72" s="38" t="s">
        <v>98</v>
      </c>
      <c r="B72" s="611"/>
      <c r="C72" s="612"/>
      <c r="F72" s="573">
        <f ca="1">_xlfn.DAYS(J72,H72)</f>
        <v>362</v>
      </c>
      <c r="G72" s="574"/>
      <c r="H72" s="575">
        <v>45823</v>
      </c>
      <c r="I72" s="576"/>
      <c r="J72" s="403">
        <f ca="1">NOW()</f>
        <v>46185.468968865738</v>
      </c>
    </row>
    <row r="73" spans="1:11" ht="12" customHeight="1">
      <c r="A73" s="38" t="s">
        <v>102</v>
      </c>
      <c r="B73" s="611"/>
      <c r="C73" s="612"/>
      <c r="D73" s="70"/>
      <c r="E73" s="62"/>
      <c r="F73" s="62"/>
      <c r="G73" s="62"/>
      <c r="H73" s="209"/>
      <c r="I73" s="210"/>
      <c r="J73" s="62"/>
      <c r="K73" s="577" t="s">
        <v>103</v>
      </c>
    </row>
    <row r="74" spans="1:11" ht="12" customHeight="1">
      <c r="A74" s="38" t="s">
        <v>102</v>
      </c>
      <c r="B74" s="611"/>
      <c r="C74" s="612"/>
      <c r="D74" s="211"/>
      <c r="G74" s="580" t="s">
        <v>104</v>
      </c>
      <c r="H74" s="580" t="s">
        <v>105</v>
      </c>
      <c r="I74" s="580" t="s">
        <v>106</v>
      </c>
      <c r="J74" s="580" t="s">
        <v>107</v>
      </c>
      <c r="K74" s="578"/>
    </row>
    <row r="75" spans="1:11" ht="12" customHeight="1" thickBot="1">
      <c r="A75" s="38" t="s">
        <v>108</v>
      </c>
      <c r="B75" s="611"/>
      <c r="C75" s="612"/>
      <c r="D75" s="63" t="s">
        <v>109</v>
      </c>
      <c r="E75" s="618" t="s">
        <v>110</v>
      </c>
      <c r="F75" s="618"/>
      <c r="G75" s="581"/>
      <c r="H75" s="581"/>
      <c r="I75" s="581"/>
      <c r="J75" s="581"/>
      <c r="K75" s="579"/>
    </row>
    <row r="76" spans="1:11" ht="12" customHeight="1">
      <c r="A76" s="38" t="s">
        <v>111</v>
      </c>
      <c r="B76" s="611"/>
      <c r="C76" s="612"/>
      <c r="D76" s="277">
        <v>45397</v>
      </c>
      <c r="E76" s="596" t="s">
        <v>112</v>
      </c>
      <c r="F76" s="597"/>
      <c r="G76" s="278"/>
      <c r="H76" s="279">
        <f ca="1">+G76/$G$82</f>
        <v>0</v>
      </c>
      <c r="I76" s="280">
        <f ca="1">+$J$58*H76</f>
        <v>0</v>
      </c>
      <c r="J76" s="281">
        <f ca="1">+G76+I76</f>
        <v>0</v>
      </c>
      <c r="K76" s="282">
        <f>IF(G76="",0,+I76/G76*365/_xlfn.DAYS($J$72,D76))</f>
        <v>0</v>
      </c>
    </row>
    <row r="77" spans="1:11" ht="12" customHeight="1">
      <c r="A77" s="38" t="s">
        <v>113</v>
      </c>
      <c r="B77" s="611"/>
      <c r="C77" s="612"/>
      <c r="D77" s="277">
        <f>+D76+90</f>
        <v>45487</v>
      </c>
      <c r="E77" s="596" t="str">
        <f>+E76</f>
        <v>unknown</v>
      </c>
      <c r="F77" s="597"/>
      <c r="G77" s="278"/>
      <c r="H77" s="279">
        <f ca="1">+G77/$G$82</f>
        <v>0</v>
      </c>
      <c r="I77" s="280">
        <f ca="1">+$J$58*H77</f>
        <v>0</v>
      </c>
      <c r="J77" s="281">
        <f ca="1">+G77+I77</f>
        <v>0</v>
      </c>
      <c r="K77" s="282">
        <f>IF(G77="",0,+I77/G77*365/_xlfn.DAYS($J$72,D77))</f>
        <v>0</v>
      </c>
    </row>
    <row r="78" spans="1:11" ht="12" customHeight="1">
      <c r="A78" s="38" t="s">
        <v>114</v>
      </c>
      <c r="B78" s="611"/>
      <c r="C78" s="612"/>
      <c r="D78" s="277">
        <f>+D77+270</f>
        <v>45757</v>
      </c>
      <c r="E78" s="596" t="str">
        <f>+E77</f>
        <v>unknown</v>
      </c>
      <c r="F78" s="597"/>
      <c r="G78" s="278"/>
      <c r="H78" s="279">
        <f ca="1">+G78/$G$82</f>
        <v>0</v>
      </c>
      <c r="I78" s="280">
        <f ca="1">+$J$58*H78</f>
        <v>0</v>
      </c>
      <c r="J78" s="281">
        <f ca="1">+G78+I78</f>
        <v>0</v>
      </c>
      <c r="K78" s="282">
        <f>IF(G78="",0,+I78/G78*365/_xlfn.DAYS($J$72,D78))</f>
        <v>0</v>
      </c>
    </row>
    <row r="79" spans="1:11" ht="12" customHeight="1" thickBot="1">
      <c r="A79" s="38" t="s">
        <v>115</v>
      </c>
      <c r="B79" s="611"/>
      <c r="C79" s="612"/>
      <c r="D79" s="277">
        <f ca="1">+J72-120</f>
        <v>46065.468968865738</v>
      </c>
      <c r="E79" s="596" t="str">
        <f>+E78</f>
        <v>unknown</v>
      </c>
      <c r="F79" s="597"/>
      <c r="G79" s="278"/>
      <c r="H79" s="279">
        <f ca="1">+G79/$G$82</f>
        <v>0</v>
      </c>
      <c r="I79" s="280">
        <f ca="1">+$J$58*H79</f>
        <v>0</v>
      </c>
      <c r="J79" s="281">
        <f ca="1">+G79+I79</f>
        <v>0</v>
      </c>
      <c r="K79" s="282">
        <f>IF(G79="",0,+I79/G79*365/_xlfn.DAYS($J$72,D79))</f>
        <v>0</v>
      </c>
    </row>
    <row r="80" spans="1:11" ht="12" customHeight="1" thickBot="1">
      <c r="A80" s="38" t="s">
        <v>116</v>
      </c>
      <c r="B80" s="611">
        <v>200</v>
      </c>
      <c r="C80" s="612"/>
      <c r="D80" s="250">
        <v>45422</v>
      </c>
      <c r="E80" s="598" t="str">
        <f>+F1</f>
        <v>Your Home, LLC</v>
      </c>
      <c r="F80" s="599"/>
      <c r="G80" s="251">
        <f ca="1">-D54-SUM(G75:G78)</f>
        <v>278753.05756574997</v>
      </c>
      <c r="H80" s="252">
        <f ca="1">+G80/$G$82</f>
        <v>1</v>
      </c>
      <c r="I80" s="251">
        <f ca="1">+$J$58*H80</f>
        <v>0</v>
      </c>
      <c r="J80" s="253">
        <f ca="1">+G80+I80</f>
        <v>278753.05756574997</v>
      </c>
      <c r="K80" s="254" t="e">
        <f ca="1">IF(G80=0,0,+I80/G80*$F$72/_xlfn.DAYS(J71,H71))</f>
        <v>#VALUE!</v>
      </c>
    </row>
    <row r="81" spans="1:11" ht="12" customHeight="1" thickBot="1">
      <c r="A81" s="38" t="s">
        <v>117</v>
      </c>
      <c r="B81" s="611"/>
      <c r="C81" s="612"/>
      <c r="D81" s="255" t="str">
        <f>+J71</f>
        <v>End Date</v>
      </c>
      <c r="E81" s="570" t="s">
        <v>118</v>
      </c>
      <c r="F81" s="571"/>
      <c r="G81" s="256">
        <f>+SUM(G75:G78)</f>
        <v>0</v>
      </c>
      <c r="H81" s="257">
        <f ca="1">+SUM(H75:H78)</f>
        <v>0</v>
      </c>
      <c r="I81" s="256">
        <f ca="1">+SUM(I75:I78)</f>
        <v>0</v>
      </c>
      <c r="J81" s="256">
        <f ca="1">+SUM(J75:J78)</f>
        <v>0</v>
      </c>
      <c r="K81" s="258">
        <f>AVERAGE(K75:K78)</f>
        <v>0</v>
      </c>
    </row>
    <row r="82" spans="1:11" ht="12" customHeight="1" thickBot="1">
      <c r="A82" s="38" t="s">
        <v>119</v>
      </c>
      <c r="B82" s="611"/>
      <c r="C82" s="612"/>
      <c r="D82" s="259"/>
      <c r="E82" s="260" t="s">
        <v>120</v>
      </c>
      <c r="F82" s="261"/>
      <c r="G82" s="262">
        <f ca="1">SUM(G75:G78)+G80</f>
        <v>278753.05756574997</v>
      </c>
      <c r="H82" s="263">
        <f ca="1">SUM(H75:H78)+H80</f>
        <v>1</v>
      </c>
      <c r="I82" s="262">
        <f ca="1">SUM(I78:I81)</f>
        <v>0</v>
      </c>
      <c r="J82" s="264">
        <f ca="1">SUM(J75:J78)</f>
        <v>0</v>
      </c>
      <c r="K82" s="265" t="e">
        <f ca="1">AVERAGE(K75:K81)</f>
        <v>#VALUE!</v>
      </c>
    </row>
    <row r="83" spans="1:11" ht="12" customHeight="1">
      <c r="A83" s="38" t="s">
        <v>121</v>
      </c>
      <c r="B83" s="611">
        <v>90</v>
      </c>
      <c r="C83" s="612"/>
      <c r="D83" s="569"/>
      <c r="E83" s="569"/>
    </row>
    <row r="84" spans="1:11" ht="12" customHeight="1">
      <c r="A84" s="38" t="s">
        <v>122</v>
      </c>
      <c r="B84" s="611">
        <v>20</v>
      </c>
      <c r="C84" s="612"/>
      <c r="D84" s="569"/>
      <c r="E84" s="569"/>
    </row>
    <row r="85" spans="1:11" ht="12" customHeight="1">
      <c r="A85" s="38" t="s">
        <v>123</v>
      </c>
      <c r="B85" s="611">
        <v>30</v>
      </c>
      <c r="C85" s="612"/>
      <c r="D85" s="569"/>
      <c r="E85" s="569"/>
    </row>
    <row r="86" spans="1:11" ht="12" customHeight="1" thickBot="1">
      <c r="A86" s="38" t="s">
        <v>124</v>
      </c>
      <c r="B86" s="648"/>
      <c r="C86" s="649"/>
      <c r="D86" s="615"/>
      <c r="E86" s="616"/>
    </row>
    <row r="87" spans="1:11" ht="12" customHeight="1" thickBot="1">
      <c r="D87" s="567">
        <f>+SUM(B69:C86)</f>
        <v>940</v>
      </c>
      <c r="E87" s="568"/>
      <c r="G87" s="582" t="s">
        <v>125</v>
      </c>
      <c r="H87" s="583"/>
      <c r="I87" s="583"/>
      <c r="J87" s="584"/>
    </row>
    <row r="88" spans="1:11" ht="12" customHeight="1" thickBot="1">
      <c r="G88" s="585"/>
      <c r="H88" s="586"/>
      <c r="I88" s="586"/>
      <c r="J88" s="587"/>
    </row>
    <row r="89" spans="1:11" ht="12" customHeight="1" thickTop="1" thickBot="1">
      <c r="A89" s="81" t="s">
        <v>126</v>
      </c>
      <c r="B89" s="79"/>
      <c r="C89" s="79"/>
      <c r="D89" s="79"/>
      <c r="E89" s="79"/>
    </row>
    <row r="90" spans="1:11" ht="12" customHeight="1">
      <c r="A90" s="38" t="s">
        <v>96</v>
      </c>
      <c r="B90" s="637"/>
      <c r="C90" s="638"/>
      <c r="D90" s="569"/>
      <c r="E90" s="569"/>
    </row>
    <row r="91" spans="1:11" ht="12" customHeight="1">
      <c r="A91" s="38" t="s">
        <v>98</v>
      </c>
      <c r="B91" s="611">
        <v>250</v>
      </c>
      <c r="C91" s="612"/>
      <c r="D91" s="569"/>
      <c r="E91" s="569"/>
    </row>
    <row r="92" spans="1:11" ht="12" customHeight="1">
      <c r="A92" s="38" t="s">
        <v>127</v>
      </c>
      <c r="B92" s="611">
        <v>0</v>
      </c>
      <c r="C92" s="612"/>
      <c r="D92" s="569"/>
      <c r="E92" s="569"/>
    </row>
    <row r="93" spans="1:11" ht="12" customHeight="1">
      <c r="A93" s="38" t="s">
        <v>128</v>
      </c>
      <c r="B93" s="611"/>
      <c r="C93" s="612"/>
      <c r="D93" s="569"/>
      <c r="E93" s="569"/>
    </row>
    <row r="94" spans="1:11" ht="12" customHeight="1">
      <c r="A94" s="38" t="s">
        <v>121</v>
      </c>
      <c r="B94" s="611"/>
      <c r="C94" s="612"/>
      <c r="D94" s="569"/>
      <c r="E94" s="569"/>
    </row>
    <row r="95" spans="1:11" ht="12" customHeight="1">
      <c r="A95" s="38" t="s">
        <v>129</v>
      </c>
      <c r="B95" s="611">
        <v>40</v>
      </c>
      <c r="C95" s="612"/>
      <c r="D95" s="569"/>
      <c r="E95" s="569"/>
    </row>
    <row r="96" spans="1:11" ht="12" customHeight="1">
      <c r="A96" s="38" t="s">
        <v>130</v>
      </c>
      <c r="B96" s="611"/>
      <c r="C96" s="612"/>
      <c r="D96" s="569"/>
      <c r="E96" s="569"/>
    </row>
    <row r="97" spans="1:10" ht="12" customHeight="1" thickBot="1">
      <c r="A97" s="38" t="s">
        <v>124</v>
      </c>
      <c r="B97" s="613"/>
      <c r="C97" s="614"/>
      <c r="D97" s="615"/>
      <c r="E97" s="616"/>
    </row>
    <row r="98" spans="1:10" ht="12" customHeight="1" thickTop="1" thickBot="1">
      <c r="D98" s="567">
        <f>+SUM(B90:C97)</f>
        <v>290</v>
      </c>
      <c r="E98" s="568"/>
      <c r="G98" s="582" t="s">
        <v>131</v>
      </c>
      <c r="H98" s="583"/>
      <c r="I98" s="583"/>
      <c r="J98" s="584"/>
    </row>
    <row r="99" spans="1:10" ht="12" customHeight="1" thickBot="1">
      <c r="G99" s="585"/>
      <c r="H99" s="586"/>
      <c r="I99" s="586"/>
      <c r="J99" s="587"/>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3"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3" bestFit="1" customWidth="1"/>
    <col min="25" max="25" width="9.140625" style="188" customWidth="1"/>
    <col min="26" max="26" width="15.140625" style="385"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3" t="s">
        <v>132</v>
      </c>
      <c r="N1" s="233"/>
      <c r="O1" s="388"/>
      <c r="P1" s="13"/>
      <c r="Q1" s="13"/>
      <c r="R1" s="13"/>
      <c r="S1" s="13"/>
      <c r="T1" s="13"/>
      <c r="Y1" s="233"/>
      <c r="Z1" s="384"/>
      <c r="AA1" s="388"/>
      <c r="AB1" s="13"/>
      <c r="AC1" s="13"/>
      <c r="AD1" s="13"/>
      <c r="AE1" s="13"/>
      <c r="AF1" s="13"/>
      <c r="AJ1" s="396"/>
      <c r="AK1" s="13"/>
      <c r="AP1"/>
      <c r="AQ1"/>
      <c r="AR1" s="238" t="s">
        <v>133</v>
      </c>
      <c r="AS1" s="238" t="s">
        <v>134</v>
      </c>
      <c r="AT1" s="238" t="s">
        <v>135</v>
      </c>
      <c r="AU1" s="396" t="s">
        <v>136</v>
      </c>
      <c r="AV1" s="14"/>
      <c r="AW1"/>
      <c r="AX1" s="188"/>
      <c r="AY1" s="14"/>
    </row>
    <row r="2" spans="1:51" ht="15.75" thickBot="1">
      <c r="B2" s="234" t="s">
        <v>137</v>
      </c>
      <c r="C2" s="399">
        <f>+Profit!C15</f>
        <v>122713</v>
      </c>
      <c r="J2" s="2" t="s">
        <v>1387</v>
      </c>
      <c r="K2" s="700">
        <v>6000</v>
      </c>
      <c r="L2" s="681"/>
      <c r="N2" s="30" t="s">
        <v>1391</v>
      </c>
      <c r="O2" s="559">
        <f>IF($AW$2=1,P2,IF($AW$2=2,Q2,IF($AW$2=3,R2)))</f>
        <v>0.05</v>
      </c>
      <c r="P2" s="536">
        <v>0.05</v>
      </c>
      <c r="Q2" s="536">
        <v>0</v>
      </c>
      <c r="R2" s="536">
        <v>-0.1</v>
      </c>
      <c r="Y2" s="708" t="s">
        <v>138</v>
      </c>
      <c r="Z2" s="668"/>
      <c r="AA2" s="389">
        <f>IF($AW$2=1,AB2,IF($AW$2=2,AC2,IF($AW$2=3,AD2)))</f>
        <v>0.06</v>
      </c>
      <c r="AB2" s="231">
        <f>+$K$3</f>
        <v>0.06</v>
      </c>
      <c r="AC2" s="231">
        <f t="shared" ref="AC2:AD2" si="0">+$K$3</f>
        <v>0.06</v>
      </c>
      <c r="AD2" s="231">
        <f t="shared" si="0"/>
        <v>0.06</v>
      </c>
      <c r="AJ2" s="14"/>
      <c r="AK2" s="14"/>
      <c r="AP2" s="30" t="s">
        <v>139</v>
      </c>
      <c r="AQ2" s="231">
        <v>0.03</v>
      </c>
      <c r="AS2" s="188"/>
      <c r="AT2" s="188"/>
      <c r="AU2" s="14"/>
      <c r="AV2" s="14"/>
      <c r="AW2">
        <v>1</v>
      </c>
      <c r="AX2" s="188"/>
    </row>
    <row r="3" spans="1:51" ht="15.75" thickBot="1">
      <c r="B3" s="234"/>
      <c r="C3" s="399"/>
      <c r="J3" s="30" t="s">
        <v>1394</v>
      </c>
      <c r="K3" s="701">
        <v>0.06</v>
      </c>
      <c r="L3" s="702"/>
      <c r="N3" s="30" t="s">
        <v>1390</v>
      </c>
      <c r="O3" s="302">
        <f>IF($AW$2=1,P3,IF($AW$2=2,Q3,IF($AW$2=3,R3)))</f>
        <v>346500</v>
      </c>
      <c r="P3" s="527">
        <f>+Profit!$B$4*(1++P2)</f>
        <v>346500</v>
      </c>
      <c r="Q3" s="304">
        <f>+Profit!$B$4*(1++Q2)</f>
        <v>330000</v>
      </c>
      <c r="R3" s="305">
        <f>+Profit!$B$4*(1++R2)</f>
        <v>297000</v>
      </c>
      <c r="Y3" s="30"/>
      <c r="Z3" s="213"/>
      <c r="AA3" s="389"/>
      <c r="AB3" s="231"/>
      <c r="AC3" s="231"/>
      <c r="AD3" s="231"/>
      <c r="AJ3" s="14"/>
      <c r="AK3" s="14"/>
      <c r="AP3" s="30"/>
      <c r="AQ3" s="433"/>
      <c r="AS3" s="188"/>
      <c r="AT3" s="188"/>
      <c r="AU3" s="14"/>
      <c r="AV3" s="14"/>
      <c r="AW3"/>
      <c r="AX3" s="188"/>
    </row>
    <row r="4" spans="1:51" ht="15.75" thickBot="1">
      <c r="B4" s="234" t="s">
        <v>140</v>
      </c>
      <c r="C4" s="369">
        <f>+Profit!B15</f>
        <v>4.4999999999999998E-2</v>
      </c>
      <c r="J4" s="30" t="s">
        <v>1393</v>
      </c>
      <c r="K4" s="703">
        <f ca="1">+Profit!K62</f>
        <v>159927.31506911264</v>
      </c>
      <c r="L4" s="704"/>
      <c r="N4" s="30" t="s">
        <v>1388</v>
      </c>
      <c r="O4" s="302">
        <f>IF($AW$2=1,P4,IF($AW$2=2,Q4,IF($AW$2=3,R4)))</f>
        <v>20790</v>
      </c>
      <c r="P4" s="527">
        <f>+$O$3*$K$3</f>
        <v>20790</v>
      </c>
      <c r="Q4" s="304">
        <f>+$O$3*$K$3</f>
        <v>20790</v>
      </c>
      <c r="R4" s="305">
        <f>+$O$3*$K$3</f>
        <v>20790</v>
      </c>
      <c r="Y4" s="708" t="s">
        <v>141</v>
      </c>
      <c r="Z4" s="668"/>
      <c r="AA4" s="302">
        <f>IF($AW$2=1,AB4,IF($AW$2=2,AC4,IF($AW$2=3,AD4)))</f>
        <v>346500</v>
      </c>
      <c r="AB4" s="527">
        <f>+O3+X5</f>
        <v>346500</v>
      </c>
      <c r="AC4" s="304">
        <f>+AB4</f>
        <v>346500</v>
      </c>
      <c r="AD4" s="305">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4" t="s">
        <v>143</v>
      </c>
      <c r="C5" s="399">
        <f>+D5/12</f>
        <v>38.416666666666664</v>
      </c>
      <c r="D5" s="399">
        <f>DATEDIF(C7,C8,"m")</f>
        <v>461</v>
      </c>
      <c r="N5" s="30" t="s">
        <v>1392</v>
      </c>
      <c r="O5" s="302">
        <f>IF($AW$2=1,P5,IF($AW$2=2,Q5,IF($AW$2=3,R5)))</f>
        <v>325710</v>
      </c>
      <c r="P5" s="527">
        <f>+P3-P4</f>
        <v>325710</v>
      </c>
      <c r="Q5" s="304">
        <f>+Q3-Q4</f>
        <v>309210</v>
      </c>
      <c r="R5" s="305">
        <f>+R3-R4</f>
        <v>276210</v>
      </c>
      <c r="U5" s="705" t="s">
        <v>1196</v>
      </c>
      <c r="V5" s="706"/>
      <c r="W5" s="706"/>
      <c r="X5" s="707">
        <v>0</v>
      </c>
      <c r="Y5" s="708" t="s">
        <v>138</v>
      </c>
      <c r="Z5" s="668"/>
      <c r="AA5" s="302">
        <f>IF($AW$2=1,AB5,IF($AW$2=2,AC5,IF($AW$2=3,AD5)))</f>
        <v>20790</v>
      </c>
      <c r="AB5" s="527">
        <f>+$O$3*AB2</f>
        <v>20790</v>
      </c>
      <c r="AC5" s="304">
        <f>+$O$3*AC2</f>
        <v>20790</v>
      </c>
      <c r="AD5" s="305">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4" t="s">
        <v>145</v>
      </c>
      <c r="C6" s="14">
        <f>ROUND(PMT($C$4/12,$D$5,-$C$2,0), 2)</f>
        <v>559.88</v>
      </c>
      <c r="N6" s="30" t="s">
        <v>1194</v>
      </c>
      <c r="P6" s="556">
        <v>0.04</v>
      </c>
      <c r="Q6" s="556">
        <v>3.2500000000000001E-2</v>
      </c>
      <c r="R6" s="556">
        <v>0.04</v>
      </c>
      <c r="U6" s="706"/>
      <c r="V6" s="706"/>
      <c r="W6" s="706"/>
      <c r="X6" s="620"/>
      <c r="Y6" s="708" t="s">
        <v>137</v>
      </c>
      <c r="Z6" s="668"/>
      <c r="AA6" s="302">
        <f>IF($AW$2=1,AB6,IF($AW$2=2,AC6,IF($AW$2=3,AD6)))</f>
        <v>325710</v>
      </c>
      <c r="AB6" s="527">
        <f t="shared" ref="AB6:AD6" si="1">+AB4-AB5</f>
        <v>325710</v>
      </c>
      <c r="AC6" s="304">
        <f t="shared" si="1"/>
        <v>325710</v>
      </c>
      <c r="AD6" s="305">
        <f t="shared" si="1"/>
        <v>325710</v>
      </c>
      <c r="AJ6" s="21"/>
      <c r="AK6" s="14"/>
      <c r="AP6" s="30" t="s">
        <v>146</v>
      </c>
      <c r="AQ6"/>
      <c r="AR6" s="236">
        <f>_xlfn.XLOOKUP(5,$L:$L,$AV:$AV)</f>
        <v>65122.730573595538</v>
      </c>
      <c r="AS6" s="236">
        <f>_xlfn.XLOOKUP(10,$L:$L,$AV:$AV)</f>
        <v>128287.85861535955</v>
      </c>
      <c r="AT6" s="236">
        <f>_xlfn.XLOOKUP(20,$L:$L,$AV:$AV)</f>
        <v>286893.62093967781</v>
      </c>
      <c r="AU6" s="21">
        <f>_xlfn.XLOOKUP(29,$L:$L,$AV:$AV)</f>
        <v>476508.62189803913</v>
      </c>
      <c r="AV6" s="14"/>
      <c r="AW6"/>
      <c r="AX6" s="188"/>
      <c r="AY6" s="14"/>
    </row>
    <row r="7" spans="1:51" ht="15.75" thickBot="1">
      <c r="B7" s="234" t="s">
        <v>1199</v>
      </c>
      <c r="C7" s="529">
        <v>45870</v>
      </c>
      <c r="N7" s="30" t="s">
        <v>140</v>
      </c>
      <c r="O7" s="369">
        <f>IF($AW$2=1,P7,IF($AW$2=2,Q7,IF($AW$2=3,R7)))</f>
        <v>8.4999999999999992E-2</v>
      </c>
      <c r="P7" s="528">
        <f>+$C$4+P6</f>
        <v>8.4999999999999992E-2</v>
      </c>
      <c r="Q7" s="557">
        <f>+$C$4+Q6</f>
        <v>7.7499999999999999E-2</v>
      </c>
      <c r="R7" s="558">
        <f>+$C$4+R6</f>
        <v>8.4999999999999992E-2</v>
      </c>
      <c r="Y7" s="708" t="s">
        <v>1201</v>
      </c>
      <c r="Z7" s="668"/>
      <c r="AB7" s="528">
        <f>+$C$4+P6</f>
        <v>8.4999999999999992E-2</v>
      </c>
      <c r="AC7" s="357">
        <f>+$C$4+Q6</f>
        <v>7.7499999999999999E-2</v>
      </c>
      <c r="AD7" s="358">
        <f>+$C$4+R6</f>
        <v>8.4999999999999992E-2</v>
      </c>
      <c r="AH7" s="22"/>
      <c r="AI7" s="14" t="s">
        <v>147</v>
      </c>
      <c r="AJ7" s="14" t="s">
        <v>148</v>
      </c>
      <c r="AK7" s="397"/>
      <c r="AP7" s="30" t="s">
        <v>149</v>
      </c>
      <c r="AQ7"/>
      <c r="AR7" s="237">
        <f>SUM(AR4:AR6)</f>
        <v>183259.72057359564</v>
      </c>
      <c r="AS7" s="237">
        <f>SUM(AS4:AS6)</f>
        <v>363097.84861535905</v>
      </c>
      <c r="AT7" s="237">
        <f>SUM(AT4:AT6)</f>
        <v>755049.61093967594</v>
      </c>
      <c r="AU7" s="397">
        <f>SUM(AU4:AU6)</f>
        <v>1154676.0118980408</v>
      </c>
      <c r="AV7" s="14"/>
      <c r="AW7"/>
      <c r="AX7" s="188"/>
      <c r="AY7" s="14"/>
    </row>
    <row r="8" spans="1:51" ht="15.75" thickBot="1">
      <c r="B8" s="234" t="s">
        <v>1200</v>
      </c>
      <c r="C8" s="529">
        <v>59902</v>
      </c>
      <c r="N8" s="30" t="s">
        <v>1192</v>
      </c>
      <c r="O8" s="302">
        <f>ROUND(PMT($O$7/12,$P$9,-$O$5,0), 2)</f>
        <v>2504.4299999999998</v>
      </c>
      <c r="P8" s="527">
        <f t="shared" ref="P8:Q8" si="2">ROUND(PMT(P7/12,$P$9,-P5,0), 2)</f>
        <v>2504.4299999999998</v>
      </c>
      <c r="Q8" s="304">
        <f t="shared" si="2"/>
        <v>2215.2199999999998</v>
      </c>
      <c r="R8" s="305">
        <f>ROUND(PMT(R7/12,$P$9,-R5,0), 2)</f>
        <v>2123.8200000000002</v>
      </c>
      <c r="T8" s="13" t="s">
        <v>158</v>
      </c>
      <c r="Y8" s="708" t="s">
        <v>1202</v>
      </c>
      <c r="Z8" s="668"/>
      <c r="AB8" s="390">
        <f>+O9</f>
        <v>30</v>
      </c>
      <c r="AG8" s="30" t="s">
        <v>150</v>
      </c>
      <c r="AH8"/>
      <c r="AI8" s="188">
        <f>_xlfn.XLOOKUP(12,$M:$M,AS:AS)</f>
        <v>1944.5499999999997</v>
      </c>
      <c r="AJ8" s="188">
        <f>_xlfn.XLOOKUP(12,$M:$M,$AP:$AP)</f>
        <v>1944.5499999999997</v>
      </c>
      <c r="AK8" s="14"/>
      <c r="AP8" s="188"/>
      <c r="AQ8" s="188"/>
      <c r="AR8" s="188"/>
      <c r="AU8"/>
    </row>
    <row r="9" spans="1:51" ht="15.75" thickBot="1">
      <c r="N9" s="30" t="s">
        <v>1193</v>
      </c>
      <c r="O9" s="390">
        <v>30</v>
      </c>
      <c r="P9" s="389">
        <f>+O9*12</f>
        <v>360</v>
      </c>
      <c r="S9" s="388" t="s">
        <v>1190</v>
      </c>
      <c r="T9" s="390">
        <v>51.5</v>
      </c>
      <c r="Y9" s="374" t="str">
        <f>+"Payment at "&amp;AA9</f>
        <v>Payment at 0.085</v>
      </c>
      <c r="Z9" s="302">
        <f>ROUND(PMT($AA$9/12,$AC$9,-$AB$9,0), 2)</f>
        <v>2504.4299999999998</v>
      </c>
      <c r="AA9" s="231">
        <f>+AA10</f>
        <v>8.4999999999999992E-2</v>
      </c>
      <c r="AB9" s="302">
        <f>+AA6</f>
        <v>325710</v>
      </c>
      <c r="AC9" s="399">
        <f>+AB8*12</f>
        <v>360</v>
      </c>
      <c r="AG9" s="30" t="s">
        <v>151</v>
      </c>
      <c r="AH9"/>
      <c r="AI9" s="188">
        <f>+AI8*60</f>
        <v>116672.99999999999</v>
      </c>
      <c r="AJ9" s="188">
        <f>+AJ8*60</f>
        <v>116672.99999999999</v>
      </c>
      <c r="AK9" s="397"/>
      <c r="AQ9" s="388" t="s">
        <v>152</v>
      </c>
      <c r="AR9" s="188">
        <f>-_xlfn.XLOOKUP(5,$L:$L,$K:$K)</f>
        <v>-114358.53999999998</v>
      </c>
      <c r="AS9" s="397"/>
      <c r="AU9"/>
    </row>
    <row r="10" spans="1:51" ht="15.75" thickBot="1">
      <c r="S10" s="388" t="s">
        <v>1191</v>
      </c>
      <c r="T10" s="390">
        <f>1741.16/12</f>
        <v>145.09666666666666</v>
      </c>
      <c r="Y10" s="374" t="str">
        <f>+"Payment at "&amp;AA10</f>
        <v>Payment at 0.085</v>
      </c>
      <c r="Z10" s="302">
        <f>ROUND(PMT($AA$10/12,$AC$10,-$AB$10,0), 2)</f>
        <v>2545.85</v>
      </c>
      <c r="AA10" s="530">
        <f>IF($AW$2=1,AB7,IF($AW$2=2,AC7,IF($AW$2=3,AD7)))</f>
        <v>8.4999999999999992E-2</v>
      </c>
      <c r="AB10" s="303">
        <v>316165</v>
      </c>
      <c r="AC10" s="399">
        <f>+AC9-60</f>
        <v>300</v>
      </c>
      <c r="AG10" s="30" t="s">
        <v>153</v>
      </c>
      <c r="AH10"/>
      <c r="AI10" s="188">
        <f>-_xlfn.XLOOKUP(5,$L:$L,$K:$K)</f>
        <v>-114358.53999999998</v>
      </c>
      <c r="AJ10" s="188">
        <f>-_xlfn.XLOOKUP(5,$L:$L,$K:$K)</f>
        <v>-114358.53999999998</v>
      </c>
      <c r="AK10" s="14"/>
      <c r="AQ10" s="388" t="s">
        <v>154</v>
      </c>
      <c r="AR10" s="236">
        <f>_xlfn.XLOOKUP(5,$L:$L,$W:$W)</f>
        <v>310719.84000000014</v>
      </c>
    </row>
    <row r="11" spans="1:51" ht="15" customHeight="1" thickBot="1">
      <c r="N11" s="30" t="s">
        <v>1195</v>
      </c>
      <c r="O11" s="529">
        <v>46204</v>
      </c>
      <c r="P11" s="30" t="s">
        <v>1376</v>
      </c>
      <c r="Q11" s="551">
        <f>EDATE(O11, P9-1)</f>
        <v>57132</v>
      </c>
      <c r="S11" s="388" t="s">
        <v>1386</v>
      </c>
      <c r="T11" s="389">
        <f>+O8+T9+T10</f>
        <v>2701.0266666666666</v>
      </c>
      <c r="AB11" s="302">
        <f>_xlfn.XLOOKUP(60,$M:$M,AL:AL)</f>
        <v>310719.84000000014</v>
      </c>
      <c r="AG11" s="30" t="s">
        <v>155</v>
      </c>
      <c r="AH11"/>
      <c r="AI11" s="236">
        <f>_xlfn.XLOOKUP(5,$L:$L,$W:$W)</f>
        <v>310719.84000000014</v>
      </c>
      <c r="AJ11" s="236">
        <f>_xlfn.XLOOKUP(5,$L:$L,$AL:$AL)</f>
        <v>310719.84000000014</v>
      </c>
      <c r="AK11" s="14"/>
      <c r="AQ11" s="388" t="s">
        <v>156</v>
      </c>
      <c r="AR11" s="359">
        <f>SUM(AR9:AR10)</f>
        <v>196361.30000000016</v>
      </c>
    </row>
    <row r="12" spans="1:51" ht="15.75" thickBot="1">
      <c r="Y12" s="710"/>
      <c r="Z12" s="711"/>
      <c r="AC12" s="388"/>
      <c r="AG12" s="30" t="s">
        <v>157</v>
      </c>
      <c r="AH12"/>
      <c r="AI12" s="359">
        <f>SUM(AI9:AI11)</f>
        <v>313034.30000000016</v>
      </c>
      <c r="AJ12" s="359">
        <f>SUM(AJ9:AJ11)</f>
        <v>313034.30000000016</v>
      </c>
      <c r="AK12" s="14"/>
      <c r="AP12" s="359"/>
      <c r="AQ12" s="359"/>
      <c r="AR12" s="188"/>
    </row>
    <row r="13" spans="1:51" ht="15.75" thickBot="1">
      <c r="N13" s="720" t="str">
        <f>"Mortgage Fixed at "&amp; O7</f>
        <v>Mortgage Fixed at 0.085</v>
      </c>
      <c r="O13" s="721"/>
      <c r="P13" s="721"/>
      <c r="Q13" s="721"/>
      <c r="R13" s="721"/>
      <c r="S13" s="721"/>
      <c r="T13" s="721"/>
      <c r="U13" s="721"/>
      <c r="V13" s="721"/>
      <c r="W13" s="722"/>
      <c r="Y13" s="720" t="str">
        <f>"Mortgage Reduced to "&amp;AA9&amp;"% for 1st 5 years then "&amp;AA10 &amp; "%"</f>
        <v>Mortgage Reduced to 0.085% for 1st 5 years then 0.085%</v>
      </c>
      <c r="Z13" s="721"/>
      <c r="AA13" s="721"/>
      <c r="AB13" s="721"/>
      <c r="AC13" s="721"/>
      <c r="AD13" s="721"/>
      <c r="AE13" s="721"/>
      <c r="AF13" s="721"/>
      <c r="AG13" s="721"/>
      <c r="AH13" s="721"/>
      <c r="AI13" s="723"/>
      <c r="AJ13" s="723"/>
      <c r="AK13" s="723"/>
      <c r="AL13" s="689"/>
    </row>
    <row r="14" spans="1:51" ht="15" customHeight="1" thickBot="1">
      <c r="C14" s="716" t="s">
        <v>158</v>
      </c>
      <c r="D14" s="717"/>
      <c r="E14" s="718"/>
      <c r="F14" s="718"/>
      <c r="G14" s="718"/>
      <c r="H14" s="719"/>
      <c r="I14" s="709" t="s">
        <v>159</v>
      </c>
      <c r="J14" s="574"/>
      <c r="N14" s="400"/>
      <c r="U14" s="712" t="s">
        <v>159</v>
      </c>
      <c r="V14" s="714"/>
      <c r="W14" s="400"/>
      <c r="Y14" s="400"/>
      <c r="AA14" s="712" t="s">
        <v>158</v>
      </c>
      <c r="AB14" s="713"/>
      <c r="AC14" s="715"/>
      <c r="AD14" s="715"/>
      <c r="AE14" s="715"/>
      <c r="AF14" s="670"/>
      <c r="AG14" s="712" t="s">
        <v>159</v>
      </c>
      <c r="AH14" s="714"/>
      <c r="AI14" s="712" t="s">
        <v>160</v>
      </c>
      <c r="AJ14" s="713"/>
      <c r="AK14" s="714"/>
      <c r="AL14" s="400"/>
      <c r="AN14" s="709" t="s">
        <v>161</v>
      </c>
      <c r="AO14" s="574"/>
      <c r="AP14" s="709" t="s">
        <v>162</v>
      </c>
      <c r="AQ14" s="574"/>
      <c r="AT14" s="396" t="s">
        <v>159</v>
      </c>
      <c r="AU14" s="709" t="s">
        <v>163</v>
      </c>
      <c r="AV14" s="574"/>
    </row>
    <row r="15" spans="1:51" ht="15" customHeight="1" thickBot="1">
      <c r="A15" s="394" t="s">
        <v>109</v>
      </c>
      <c r="B15" s="235" t="s">
        <v>164</v>
      </c>
      <c r="C15" s="391" t="s">
        <v>165</v>
      </c>
      <c r="D15" s="398" t="s">
        <v>166</v>
      </c>
      <c r="E15" s="391" t="s">
        <v>167</v>
      </c>
      <c r="F15" s="391" t="s">
        <v>168</v>
      </c>
      <c r="G15" s="391" t="s">
        <v>169</v>
      </c>
      <c r="H15" s="391" t="s">
        <v>170</v>
      </c>
      <c r="I15" s="387" t="s">
        <v>166</v>
      </c>
      <c r="J15" s="387" t="s">
        <v>167</v>
      </c>
      <c r="K15" s="315" t="s">
        <v>171</v>
      </c>
      <c r="L15" s="306" t="s">
        <v>172</v>
      </c>
      <c r="M15" s="306" t="s">
        <v>173</v>
      </c>
      <c r="N15" s="235" t="s">
        <v>164</v>
      </c>
      <c r="O15" s="391" t="s">
        <v>165</v>
      </c>
      <c r="P15" s="391" t="s">
        <v>166</v>
      </c>
      <c r="Q15" s="391" t="s">
        <v>167</v>
      </c>
      <c r="R15" s="391" t="s">
        <v>168</v>
      </c>
      <c r="S15" s="391" t="s">
        <v>169</v>
      </c>
      <c r="T15" s="391" t="s">
        <v>174</v>
      </c>
      <c r="U15" s="387" t="s">
        <v>175</v>
      </c>
      <c r="V15" s="387" t="s">
        <v>167</v>
      </c>
      <c r="W15" s="391" t="s">
        <v>171</v>
      </c>
      <c r="X15" s="394" t="s">
        <v>109</v>
      </c>
      <c r="Y15" s="235" t="s">
        <v>164</v>
      </c>
      <c r="Z15" s="391" t="s">
        <v>176</v>
      </c>
      <c r="AA15" s="391" t="s">
        <v>165</v>
      </c>
      <c r="AB15" s="391" t="s">
        <v>166</v>
      </c>
      <c r="AC15" s="391" t="s">
        <v>167</v>
      </c>
      <c r="AD15" s="391" t="s">
        <v>168</v>
      </c>
      <c r="AE15" s="391" t="s">
        <v>169</v>
      </c>
      <c r="AF15" s="391" t="s">
        <v>170</v>
      </c>
      <c r="AG15" s="387" t="s">
        <v>166</v>
      </c>
      <c r="AH15" s="387" t="s">
        <v>167</v>
      </c>
      <c r="AI15" s="387" t="s">
        <v>177</v>
      </c>
      <c r="AJ15" s="387" t="s">
        <v>178</v>
      </c>
      <c r="AK15" s="387" t="s">
        <v>179</v>
      </c>
      <c r="AL15" s="387" t="s">
        <v>180</v>
      </c>
      <c r="AM15" s="306" t="s">
        <v>172</v>
      </c>
      <c r="AN15" s="391" t="s">
        <v>181</v>
      </c>
      <c r="AO15" s="391" t="s">
        <v>182</v>
      </c>
      <c r="AP15" s="391" t="s">
        <v>181</v>
      </c>
      <c r="AQ15" s="391" t="s">
        <v>182</v>
      </c>
      <c r="AR15" s="232" t="s">
        <v>183</v>
      </c>
      <c r="AS15" s="391" t="s">
        <v>184</v>
      </c>
      <c r="AT15" s="391" t="s">
        <v>184</v>
      </c>
      <c r="AU15" s="235" t="s">
        <v>158</v>
      </c>
      <c r="AV15" s="235" t="s">
        <v>185</v>
      </c>
    </row>
    <row r="16" spans="1:51">
      <c r="A16" s="392">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6">
        <f t="shared" ref="L16:L79" si="5">IF(MOD(M16,12)=0,M16/12,L15)</f>
        <v>0</v>
      </c>
      <c r="M16" s="316">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2">
        <f>+A16</f>
        <v>45870</v>
      </c>
      <c r="Y16" s="188">
        <f>+AA6</f>
        <v>325710</v>
      </c>
      <c r="Z16" s="385">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1">
        <f>SUM(AB16:AC16)-SUM(P16:Q16)</f>
        <v>0</v>
      </c>
      <c r="AJ16" s="401">
        <f t="shared" ref="AJ16:AJ79" si="16">+W16-AL16</f>
        <v>0</v>
      </c>
      <c r="AK16" s="401"/>
      <c r="AL16" s="188">
        <f t="shared" ref="AL16" si="17">+Y16-AB16</f>
        <v>325710</v>
      </c>
      <c r="AM16" s="316">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2">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6">
        <f t="shared" si="5"/>
        <v>0</v>
      </c>
      <c r="M17" s="316">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2">
        <f t="shared" ref="X17:X80" si="26">+A17</f>
        <v>45900</v>
      </c>
      <c r="Y17" s="188">
        <f>IF(+AL16&lt;0,0,+AL16)</f>
        <v>325710</v>
      </c>
      <c r="Z17" s="385">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1">
        <f t="shared" ref="AI17:AI59" si="27">O17-AA17+AI16</f>
        <v>0</v>
      </c>
      <c r="AJ17" s="401">
        <f t="shared" si="16"/>
        <v>0</v>
      </c>
      <c r="AK17" s="401"/>
      <c r="AL17" s="188">
        <f>+Y17-AB17</f>
        <v>325710</v>
      </c>
      <c r="AM17" s="316">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2">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6">
        <f t="shared" si="5"/>
        <v>0</v>
      </c>
      <c r="M18" s="316">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2">
        <f t="shared" si="26"/>
        <v>45930</v>
      </c>
      <c r="Y18" s="188">
        <f t="shared" ref="Y18:Y59" si="42">IF(+AL17&lt;0,0,+AL17)</f>
        <v>325710</v>
      </c>
      <c r="Z18" s="385">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1">
        <f t="shared" si="27"/>
        <v>0</v>
      </c>
      <c r="AJ18" s="401">
        <f t="shared" si="16"/>
        <v>0</v>
      </c>
      <c r="AK18" s="401"/>
      <c r="AL18" s="188">
        <f t="shared" ref="AL18:AL59" si="45">+Y18-AB18</f>
        <v>325710</v>
      </c>
      <c r="AM18" s="316">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2">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6">
        <f t="shared" si="5"/>
        <v>0</v>
      </c>
      <c r="M19" s="316">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2">
        <f t="shared" si="26"/>
        <v>45960</v>
      </c>
      <c r="Y19" s="188">
        <f t="shared" si="42"/>
        <v>325710</v>
      </c>
      <c r="Z19" s="385">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1">
        <f t="shared" si="27"/>
        <v>0</v>
      </c>
      <c r="AJ19" s="401">
        <f t="shared" si="16"/>
        <v>0</v>
      </c>
      <c r="AK19" s="401"/>
      <c r="AL19" s="188">
        <f t="shared" si="45"/>
        <v>325710</v>
      </c>
      <c r="AM19" s="316">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2">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6">
        <f t="shared" si="5"/>
        <v>0</v>
      </c>
      <c r="M20" s="316">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2">
        <f t="shared" si="26"/>
        <v>45990</v>
      </c>
      <c r="Y20" s="188">
        <f t="shared" si="42"/>
        <v>325710</v>
      </c>
      <c r="Z20" s="385">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1">
        <f t="shared" si="27"/>
        <v>0</v>
      </c>
      <c r="AJ20" s="401">
        <f t="shared" si="16"/>
        <v>0</v>
      </c>
      <c r="AK20" s="401"/>
      <c r="AL20" s="188">
        <f t="shared" si="45"/>
        <v>325710</v>
      </c>
      <c r="AM20" s="316">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2">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6">
        <f t="shared" si="5"/>
        <v>0</v>
      </c>
      <c r="M21" s="316">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2">
        <f t="shared" si="26"/>
        <v>46020</v>
      </c>
      <c r="Y21" s="188">
        <f t="shared" si="42"/>
        <v>325710</v>
      </c>
      <c r="Z21" s="385">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1">
        <f t="shared" si="27"/>
        <v>0</v>
      </c>
      <c r="AJ21" s="401">
        <f t="shared" si="16"/>
        <v>0</v>
      </c>
      <c r="AK21" s="401"/>
      <c r="AL21" s="188">
        <f t="shared" si="45"/>
        <v>325710</v>
      </c>
      <c r="AM21" s="316">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2">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6">
        <f t="shared" si="5"/>
        <v>0</v>
      </c>
      <c r="M22" s="316">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2">
        <f t="shared" si="26"/>
        <v>46050</v>
      </c>
      <c r="Y22" s="188">
        <f t="shared" si="42"/>
        <v>325710</v>
      </c>
      <c r="Z22" s="385">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1">
        <f t="shared" si="27"/>
        <v>0</v>
      </c>
      <c r="AJ22" s="401">
        <f t="shared" si="16"/>
        <v>0</v>
      </c>
      <c r="AK22" s="401"/>
      <c r="AL22" s="188">
        <f t="shared" si="45"/>
        <v>325710</v>
      </c>
      <c r="AM22" s="316">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2">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6">
        <f t="shared" si="5"/>
        <v>0</v>
      </c>
      <c r="M23" s="316">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2">
        <f t="shared" si="26"/>
        <v>46080</v>
      </c>
      <c r="Y23" s="188">
        <f t="shared" si="42"/>
        <v>325710</v>
      </c>
      <c r="Z23" s="385">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1">
        <f t="shared" si="27"/>
        <v>0</v>
      </c>
      <c r="AJ23" s="401">
        <f t="shared" si="16"/>
        <v>0</v>
      </c>
      <c r="AK23" s="401"/>
      <c r="AL23" s="188">
        <f t="shared" si="45"/>
        <v>325710</v>
      </c>
      <c r="AM23" s="316">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2">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6">
        <f t="shared" si="5"/>
        <v>0</v>
      </c>
      <c r="M24" s="316">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2">
        <f t="shared" si="26"/>
        <v>46110</v>
      </c>
      <c r="Y24" s="188">
        <f t="shared" si="42"/>
        <v>325710</v>
      </c>
      <c r="Z24" s="385">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1">
        <f t="shared" si="27"/>
        <v>0</v>
      </c>
      <c r="AJ24" s="401">
        <f t="shared" si="16"/>
        <v>0</v>
      </c>
      <c r="AK24" s="401"/>
      <c r="AL24" s="188">
        <f t="shared" si="45"/>
        <v>325710</v>
      </c>
      <c r="AM24" s="316">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2">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6">
        <f t="shared" si="5"/>
        <v>0</v>
      </c>
      <c r="M25" s="316">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2">
        <f t="shared" si="26"/>
        <v>46140</v>
      </c>
      <c r="Y25" s="188">
        <f t="shared" si="42"/>
        <v>325710</v>
      </c>
      <c r="Z25" s="385">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1">
        <f t="shared" si="27"/>
        <v>0</v>
      </c>
      <c r="AJ25" s="401">
        <f t="shared" si="16"/>
        <v>0</v>
      </c>
      <c r="AK25" s="401"/>
      <c r="AL25" s="188">
        <f t="shared" si="45"/>
        <v>325710</v>
      </c>
      <c r="AM25" s="316">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2">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6">
        <f t="shared" si="5"/>
        <v>0</v>
      </c>
      <c r="M26" s="316">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2">
        <f t="shared" si="26"/>
        <v>46170</v>
      </c>
      <c r="Y26" s="188">
        <f t="shared" si="42"/>
        <v>325710</v>
      </c>
      <c r="Z26" s="385">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1">
        <f t="shared" si="27"/>
        <v>0</v>
      </c>
      <c r="AJ26" s="401">
        <f t="shared" si="16"/>
        <v>0</v>
      </c>
      <c r="AK26" s="401"/>
      <c r="AL26" s="188">
        <f t="shared" si="45"/>
        <v>325710</v>
      </c>
      <c r="AM26" s="316">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5">
        <f t="shared" si="33"/>
        <v>46200</v>
      </c>
      <c r="B27" s="236">
        <f t="shared" si="21"/>
        <v>121595.42999999998</v>
      </c>
      <c r="C27" s="21">
        <f t="shared" si="3"/>
        <v>559.88</v>
      </c>
      <c r="D27" s="21">
        <f t="shared" si="34"/>
        <v>103.89999999999998</v>
      </c>
      <c r="E27" s="21">
        <f t="shared" si="4"/>
        <v>455.98</v>
      </c>
      <c r="F27" s="21"/>
      <c r="G27" s="21"/>
      <c r="H27" s="21"/>
      <c r="I27" s="236">
        <f t="shared" si="35"/>
        <v>1681.6399999999999</v>
      </c>
      <c r="J27" s="236">
        <f t="shared" si="36"/>
        <v>5497.09</v>
      </c>
      <c r="K27" s="236">
        <f t="shared" si="37"/>
        <v>121491.52999999998</v>
      </c>
      <c r="L27" s="317">
        <f t="shared" si="5"/>
        <v>0</v>
      </c>
      <c r="M27" s="317">
        <f t="shared" si="22"/>
        <v>0</v>
      </c>
      <c r="N27" s="236">
        <f t="shared" si="23"/>
        <v>325710</v>
      </c>
      <c r="O27" s="236">
        <f t="shared" si="24"/>
        <v>0</v>
      </c>
      <c r="P27" s="236">
        <f t="shared" si="38"/>
        <v>0</v>
      </c>
      <c r="Q27" s="236">
        <f t="shared" si="25"/>
        <v>0</v>
      </c>
      <c r="R27" s="236">
        <f t="shared" si="6"/>
        <v>0</v>
      </c>
      <c r="S27" s="236">
        <f t="shared" si="7"/>
        <v>0</v>
      </c>
      <c r="T27" s="236">
        <f t="shared" si="8"/>
        <v>0</v>
      </c>
      <c r="U27" s="236">
        <f t="shared" si="39"/>
        <v>0</v>
      </c>
      <c r="V27" s="236">
        <f t="shared" si="40"/>
        <v>0</v>
      </c>
      <c r="W27" s="236">
        <f t="shared" si="41"/>
        <v>325710</v>
      </c>
      <c r="X27" s="395">
        <f t="shared" si="26"/>
        <v>46200</v>
      </c>
      <c r="Y27" s="236">
        <f t="shared" si="42"/>
        <v>325710</v>
      </c>
      <c r="Z27" s="386">
        <f t="shared" si="9"/>
        <v>8.4999999999999992E-2</v>
      </c>
      <c r="AA27" s="236">
        <f t="shared" si="10"/>
        <v>0</v>
      </c>
      <c r="AB27" s="236">
        <f t="shared" si="11"/>
        <v>0</v>
      </c>
      <c r="AC27" s="236">
        <f t="shared" si="12"/>
        <v>0</v>
      </c>
      <c r="AD27" s="236">
        <f t="shared" si="13"/>
        <v>0</v>
      </c>
      <c r="AE27" s="236">
        <f t="shared" si="14"/>
        <v>0</v>
      </c>
      <c r="AF27" s="236">
        <f t="shared" si="15"/>
        <v>0</v>
      </c>
      <c r="AG27" s="236">
        <f t="shared" si="43"/>
        <v>0</v>
      </c>
      <c r="AH27" s="236">
        <f t="shared" si="44"/>
        <v>0</v>
      </c>
      <c r="AI27" s="402">
        <f t="shared" si="27"/>
        <v>0</v>
      </c>
      <c r="AJ27" s="402">
        <f t="shared" si="16"/>
        <v>0</v>
      </c>
      <c r="AK27" s="402"/>
      <c r="AL27" s="236">
        <f t="shared" si="45"/>
        <v>325710</v>
      </c>
      <c r="AM27" s="317">
        <f t="shared" si="28"/>
        <v>0</v>
      </c>
      <c r="AN27" s="21">
        <f t="shared" si="18"/>
        <v>0</v>
      </c>
      <c r="AO27" s="21">
        <f t="shared" si="29"/>
        <v>204678.64</v>
      </c>
      <c r="AP27" s="21">
        <f t="shared" si="19"/>
        <v>0</v>
      </c>
      <c r="AQ27" s="21"/>
      <c r="AR27" s="23"/>
      <c r="AS27" s="21">
        <f t="shared" si="20"/>
        <v>0</v>
      </c>
      <c r="AT27" s="21">
        <f t="shared" si="30"/>
        <v>0</v>
      </c>
      <c r="AU27" s="236">
        <f t="shared" si="31"/>
        <v>836.94957936732783</v>
      </c>
      <c r="AV27" s="188">
        <f t="shared" si="32"/>
        <v>9906.781326298471</v>
      </c>
    </row>
    <row r="28" spans="1:48">
      <c r="A28" s="392">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6">
        <f t="shared" si="5"/>
        <v>0</v>
      </c>
      <c r="M28" s="316">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2">
        <f t="shared" si="26"/>
        <v>46230</v>
      </c>
      <c r="Y28" s="188">
        <f t="shared" si="42"/>
        <v>325710</v>
      </c>
      <c r="Z28" s="385">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1">
        <f t="shared" si="27"/>
        <v>0</v>
      </c>
      <c r="AJ28" s="401">
        <f t="shared" si="16"/>
        <v>0</v>
      </c>
      <c r="AK28" s="401"/>
      <c r="AL28" s="188">
        <f t="shared" si="45"/>
        <v>325512.68</v>
      </c>
      <c r="AM28" s="316">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2">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6">
        <f t="shared" si="5"/>
        <v>0</v>
      </c>
      <c r="M29" s="316">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2">
        <f t="shared" si="26"/>
        <v>46260</v>
      </c>
      <c r="Y29" s="188">
        <f t="shared" si="42"/>
        <v>325512.68</v>
      </c>
      <c r="Z29" s="385">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1">
        <f t="shared" si="27"/>
        <v>0</v>
      </c>
      <c r="AJ29" s="401">
        <f t="shared" si="16"/>
        <v>0</v>
      </c>
      <c r="AK29" s="401"/>
      <c r="AL29" s="188">
        <f t="shared" si="45"/>
        <v>325313.96000000002</v>
      </c>
      <c r="AM29" s="316">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2">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6">
        <f t="shared" si="5"/>
        <v>0</v>
      </c>
      <c r="M30" s="316">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2">
        <f t="shared" si="26"/>
        <v>46290</v>
      </c>
      <c r="Y30" s="188">
        <f t="shared" si="42"/>
        <v>325313.96000000002</v>
      </c>
      <c r="Z30" s="385">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1">
        <f t="shared" si="27"/>
        <v>0</v>
      </c>
      <c r="AJ30" s="401">
        <f t="shared" si="16"/>
        <v>0</v>
      </c>
      <c r="AK30" s="401"/>
      <c r="AL30" s="188">
        <f t="shared" si="45"/>
        <v>325113.84000000003</v>
      </c>
      <c r="AM30" s="316">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2">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6">
        <f t="shared" si="5"/>
        <v>0</v>
      </c>
      <c r="M31" s="316">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2">
        <f t="shared" si="26"/>
        <v>46320</v>
      </c>
      <c r="Y31" s="188">
        <f t="shared" si="42"/>
        <v>325113.84000000003</v>
      </c>
      <c r="Z31" s="385">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1">
        <f t="shared" si="27"/>
        <v>0</v>
      </c>
      <c r="AJ31" s="401">
        <f t="shared" si="16"/>
        <v>0</v>
      </c>
      <c r="AK31" s="401"/>
      <c r="AL31" s="188">
        <f t="shared" si="45"/>
        <v>324912.30000000005</v>
      </c>
      <c r="AM31" s="316">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2">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6">
        <f t="shared" si="5"/>
        <v>0</v>
      </c>
      <c r="M32" s="316">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2">
        <f t="shared" si="26"/>
        <v>46350</v>
      </c>
      <c r="Y32" s="188">
        <f t="shared" si="42"/>
        <v>324912.30000000005</v>
      </c>
      <c r="Z32" s="385">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1">
        <f t="shared" si="27"/>
        <v>0</v>
      </c>
      <c r="AJ32" s="401">
        <f t="shared" si="16"/>
        <v>0</v>
      </c>
      <c r="AK32" s="401"/>
      <c r="AL32" s="188">
        <f t="shared" si="45"/>
        <v>324709.33000000007</v>
      </c>
      <c r="AM32" s="316">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2">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6">
        <f t="shared" si="5"/>
        <v>0</v>
      </c>
      <c r="M33" s="316">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2">
        <f t="shared" si="26"/>
        <v>46380</v>
      </c>
      <c r="Y33" s="188">
        <f t="shared" si="42"/>
        <v>324709.33000000007</v>
      </c>
      <c r="Z33" s="385">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1">
        <f t="shared" si="27"/>
        <v>0</v>
      </c>
      <c r="AJ33" s="401">
        <f t="shared" si="16"/>
        <v>0</v>
      </c>
      <c r="AK33" s="401"/>
      <c r="AL33" s="188">
        <f t="shared" si="45"/>
        <v>324504.9200000001</v>
      </c>
      <c r="AM33" s="316">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2">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6">
        <f t="shared" si="5"/>
        <v>0</v>
      </c>
      <c r="M34" s="316">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2">
        <f t="shared" si="26"/>
        <v>46410</v>
      </c>
      <c r="Y34" s="188">
        <f t="shared" si="42"/>
        <v>324504.9200000001</v>
      </c>
      <c r="Z34" s="385">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1">
        <f t="shared" si="27"/>
        <v>0</v>
      </c>
      <c r="AJ34" s="401">
        <f t="shared" si="16"/>
        <v>0</v>
      </c>
      <c r="AK34" s="401"/>
      <c r="AL34" s="188">
        <f t="shared" si="45"/>
        <v>324299.07000000012</v>
      </c>
      <c r="AM34" s="316">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2">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6">
        <f t="shared" si="5"/>
        <v>0</v>
      </c>
      <c r="M35" s="316">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2">
        <f t="shared" si="26"/>
        <v>46440</v>
      </c>
      <c r="Y35" s="188">
        <f t="shared" si="42"/>
        <v>324299.07000000012</v>
      </c>
      <c r="Z35" s="385">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1">
        <f t="shared" si="27"/>
        <v>0</v>
      </c>
      <c r="AJ35" s="401">
        <f t="shared" si="16"/>
        <v>0</v>
      </c>
      <c r="AK35" s="401"/>
      <c r="AL35" s="188">
        <f t="shared" si="45"/>
        <v>324091.76000000013</v>
      </c>
      <c r="AM35" s="316">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2">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6">
        <f t="shared" si="5"/>
        <v>0</v>
      </c>
      <c r="M36" s="316">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2">
        <f t="shared" si="26"/>
        <v>46470</v>
      </c>
      <c r="Y36" s="188">
        <f t="shared" si="42"/>
        <v>324091.76000000013</v>
      </c>
      <c r="Z36" s="385">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1">
        <f t="shared" si="27"/>
        <v>0</v>
      </c>
      <c r="AJ36" s="401">
        <f t="shared" si="16"/>
        <v>0</v>
      </c>
      <c r="AK36" s="401"/>
      <c r="AL36" s="188">
        <f t="shared" si="45"/>
        <v>323882.9800000001</v>
      </c>
      <c r="AM36" s="316">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2">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6">
        <f t="shared" si="5"/>
        <v>0</v>
      </c>
      <c r="M37" s="316">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2">
        <f t="shared" si="26"/>
        <v>46500</v>
      </c>
      <c r="Y37" s="188">
        <f t="shared" si="42"/>
        <v>323882.9800000001</v>
      </c>
      <c r="Z37" s="385">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1">
        <f t="shared" si="27"/>
        <v>0</v>
      </c>
      <c r="AJ37" s="401">
        <f t="shared" si="16"/>
        <v>0</v>
      </c>
      <c r="AK37" s="401"/>
      <c r="AL37" s="188">
        <f t="shared" si="45"/>
        <v>323672.72000000009</v>
      </c>
      <c r="AM37" s="316">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2">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6">
        <f t="shared" si="5"/>
        <v>0</v>
      </c>
      <c r="M38" s="316">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2">
        <f t="shared" si="26"/>
        <v>46530</v>
      </c>
      <c r="Y38" s="188">
        <f t="shared" si="42"/>
        <v>323672.72000000009</v>
      </c>
      <c r="Z38" s="385">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1">
        <f t="shared" si="27"/>
        <v>0</v>
      </c>
      <c r="AJ38" s="401">
        <f t="shared" si="16"/>
        <v>0</v>
      </c>
      <c r="AK38" s="401"/>
      <c r="AL38" s="188">
        <f t="shared" si="45"/>
        <v>323460.97000000009</v>
      </c>
      <c r="AM38" s="316">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5">
        <f t="shared" si="33"/>
        <v>46560</v>
      </c>
      <c r="B39" s="236">
        <f t="shared" si="21"/>
        <v>120322.60999999999</v>
      </c>
      <c r="C39" s="21">
        <f t="shared" si="3"/>
        <v>559.88</v>
      </c>
      <c r="D39" s="21">
        <f t="shared" si="34"/>
        <v>108.67000000000002</v>
      </c>
      <c r="E39" s="21">
        <f t="shared" si="4"/>
        <v>451.21</v>
      </c>
      <c r="F39" s="21"/>
      <c r="G39" s="21"/>
      <c r="H39" s="21"/>
      <c r="I39" s="236">
        <f t="shared" si="46"/>
        <v>2959.2300000000005</v>
      </c>
      <c r="J39" s="236">
        <f t="shared" si="47"/>
        <v>10938.060000000001</v>
      </c>
      <c r="K39" s="236">
        <f t="shared" si="48"/>
        <v>120213.93999999999</v>
      </c>
      <c r="L39" s="317">
        <f t="shared" si="5"/>
        <v>0</v>
      </c>
      <c r="M39" s="317">
        <f t="shared" si="22"/>
        <v>11</v>
      </c>
      <c r="N39" s="236">
        <f t="shared" si="23"/>
        <v>323460.97000000009</v>
      </c>
      <c r="O39" s="236">
        <f t="shared" si="24"/>
        <v>2504.4299999999998</v>
      </c>
      <c r="P39" s="236">
        <f t="shared" si="38"/>
        <v>213.25</v>
      </c>
      <c r="Q39" s="236">
        <f t="shared" si="25"/>
        <v>2291.1799999999998</v>
      </c>
      <c r="R39" s="236">
        <f t="shared" si="6"/>
        <v>51.5</v>
      </c>
      <c r="S39" s="236">
        <f t="shared" si="7"/>
        <v>145.09666666666666</v>
      </c>
      <c r="T39" s="236">
        <f t="shared" si="8"/>
        <v>2701.0266666666666</v>
      </c>
      <c r="U39" s="236">
        <f t="shared" si="39"/>
        <v>2462.2799999999984</v>
      </c>
      <c r="V39" s="236">
        <f t="shared" si="40"/>
        <v>27590.880000000005</v>
      </c>
      <c r="W39" s="236">
        <f t="shared" si="41"/>
        <v>323247.72000000009</v>
      </c>
      <c r="X39" s="395">
        <f t="shared" si="26"/>
        <v>46560</v>
      </c>
      <c r="Y39" s="236">
        <f t="shared" si="42"/>
        <v>323460.97000000009</v>
      </c>
      <c r="Z39" s="386">
        <f t="shared" si="9"/>
        <v>8.4999999999999992E-2</v>
      </c>
      <c r="AA39" s="236">
        <f t="shared" si="10"/>
        <v>2504.4299999999998</v>
      </c>
      <c r="AB39" s="236">
        <f t="shared" si="11"/>
        <v>213.25</v>
      </c>
      <c r="AC39" s="236">
        <f t="shared" si="12"/>
        <v>2291.1799999999998</v>
      </c>
      <c r="AD39" s="236">
        <f t="shared" si="13"/>
        <v>51.5</v>
      </c>
      <c r="AE39" s="236">
        <f t="shared" si="14"/>
        <v>145.09666666666666</v>
      </c>
      <c r="AF39" s="236">
        <f t="shared" si="15"/>
        <v>2701.0266666666666</v>
      </c>
      <c r="AG39" s="236">
        <f t="shared" si="43"/>
        <v>2462.2799999999984</v>
      </c>
      <c r="AH39" s="236">
        <f t="shared" si="44"/>
        <v>27590.880000000005</v>
      </c>
      <c r="AI39" s="402">
        <f t="shared" si="27"/>
        <v>0</v>
      </c>
      <c r="AJ39" s="402">
        <f t="shared" si="16"/>
        <v>0</v>
      </c>
      <c r="AK39" s="402"/>
      <c r="AL39" s="236">
        <f t="shared" si="45"/>
        <v>323247.72000000009</v>
      </c>
      <c r="AM39" s="317">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6">
        <f t="shared" si="31"/>
        <v>862.40620171214243</v>
      </c>
      <c r="AV39" s="236">
        <f t="shared" si="32"/>
        <v>20114.886886569173</v>
      </c>
    </row>
    <row r="40" spans="1:48">
      <c r="A40" s="392">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6">
        <f t="shared" si="5"/>
        <v>1</v>
      </c>
      <c r="M40" s="316">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2">
        <f t="shared" si="26"/>
        <v>46590</v>
      </c>
      <c r="Y40" s="188">
        <f t="shared" si="42"/>
        <v>323247.72000000009</v>
      </c>
      <c r="Z40" s="385">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1">
        <f t="shared" si="27"/>
        <v>0</v>
      </c>
      <c r="AJ40" s="401">
        <f t="shared" si="16"/>
        <v>0</v>
      </c>
      <c r="AK40" s="401"/>
      <c r="AL40" s="188">
        <f t="shared" si="45"/>
        <v>323032.96000000008</v>
      </c>
      <c r="AM40" s="316">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2">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6">
        <f t="shared" si="5"/>
        <v>1</v>
      </c>
      <c r="M41" s="316">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2">
        <f t="shared" si="26"/>
        <v>46620</v>
      </c>
      <c r="Y41" s="188">
        <f t="shared" si="42"/>
        <v>323032.96000000008</v>
      </c>
      <c r="Z41" s="385">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1">
        <f t="shared" si="27"/>
        <v>0</v>
      </c>
      <c r="AJ41" s="401">
        <f t="shared" si="16"/>
        <v>0</v>
      </c>
      <c r="AK41" s="401"/>
      <c r="AL41" s="188">
        <f t="shared" si="45"/>
        <v>322816.68000000005</v>
      </c>
      <c r="AM41" s="316">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2">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6">
        <f t="shared" si="5"/>
        <v>1</v>
      </c>
      <c r="M42" s="316">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2">
        <f t="shared" si="26"/>
        <v>46650</v>
      </c>
      <c r="Y42" s="188">
        <f t="shared" si="42"/>
        <v>322816.68000000005</v>
      </c>
      <c r="Z42" s="385">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1">
        <f t="shared" si="27"/>
        <v>0</v>
      </c>
      <c r="AJ42" s="401">
        <f t="shared" si="16"/>
        <v>0</v>
      </c>
      <c r="AK42" s="401"/>
      <c r="AL42" s="188">
        <f t="shared" si="45"/>
        <v>322598.87000000005</v>
      </c>
      <c r="AM42" s="316">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2">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6">
        <f t="shared" si="5"/>
        <v>1</v>
      </c>
      <c r="M43" s="316">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2">
        <f t="shared" si="26"/>
        <v>46680</v>
      </c>
      <c r="Y43" s="188">
        <f t="shared" si="42"/>
        <v>322598.87000000005</v>
      </c>
      <c r="Z43" s="385">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1">
        <f t="shared" si="27"/>
        <v>0</v>
      </c>
      <c r="AJ43" s="401">
        <f t="shared" si="16"/>
        <v>0</v>
      </c>
      <c r="AK43" s="401"/>
      <c r="AL43" s="188">
        <f t="shared" si="45"/>
        <v>322379.52000000008</v>
      </c>
      <c r="AM43" s="316">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2">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6">
        <f t="shared" si="5"/>
        <v>1</v>
      </c>
      <c r="M44" s="316">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2">
        <f t="shared" si="26"/>
        <v>46710</v>
      </c>
      <c r="Y44" s="188">
        <f t="shared" si="42"/>
        <v>322379.52000000008</v>
      </c>
      <c r="Z44" s="385">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1">
        <f t="shared" si="27"/>
        <v>0</v>
      </c>
      <c r="AJ44" s="401">
        <f t="shared" si="16"/>
        <v>0</v>
      </c>
      <c r="AK44" s="401"/>
      <c r="AL44" s="188">
        <f t="shared" si="45"/>
        <v>322158.6100000001</v>
      </c>
      <c r="AM44" s="316">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2">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6">
        <f t="shared" si="5"/>
        <v>1</v>
      </c>
      <c r="M45" s="316">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2">
        <f t="shared" si="26"/>
        <v>46740</v>
      </c>
      <c r="Y45" s="188">
        <f t="shared" si="42"/>
        <v>322158.6100000001</v>
      </c>
      <c r="Z45" s="385">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1">
        <f t="shared" si="27"/>
        <v>0</v>
      </c>
      <c r="AJ45" s="401">
        <f t="shared" si="16"/>
        <v>0</v>
      </c>
      <c r="AK45" s="401"/>
      <c r="AL45" s="188">
        <f t="shared" si="45"/>
        <v>321936.14000000013</v>
      </c>
      <c r="AM45" s="316">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2">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6">
        <f t="shared" si="5"/>
        <v>1</v>
      </c>
      <c r="M46" s="316">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2">
        <f t="shared" si="26"/>
        <v>46770</v>
      </c>
      <c r="Y46" s="188">
        <f t="shared" si="42"/>
        <v>321936.14000000013</v>
      </c>
      <c r="Z46" s="385">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1">
        <f t="shared" si="27"/>
        <v>0</v>
      </c>
      <c r="AJ46" s="401">
        <f t="shared" si="16"/>
        <v>0</v>
      </c>
      <c r="AK46" s="401"/>
      <c r="AL46" s="188">
        <f t="shared" si="45"/>
        <v>321712.09000000014</v>
      </c>
      <c r="AM46" s="316">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2">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6">
        <f t="shared" si="5"/>
        <v>1</v>
      </c>
      <c r="M47" s="316">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2">
        <f t="shared" si="26"/>
        <v>46800</v>
      </c>
      <c r="Y47" s="188">
        <f t="shared" si="42"/>
        <v>321712.09000000014</v>
      </c>
      <c r="Z47" s="385">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1">
        <f t="shared" si="27"/>
        <v>0</v>
      </c>
      <c r="AJ47" s="401">
        <f t="shared" si="16"/>
        <v>0</v>
      </c>
      <c r="AK47" s="401"/>
      <c r="AL47" s="188">
        <f t="shared" si="45"/>
        <v>321486.45000000013</v>
      </c>
      <c r="AM47" s="316">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2">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6">
        <f t="shared" si="5"/>
        <v>1</v>
      </c>
      <c r="M48" s="316">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2">
        <f t="shared" si="26"/>
        <v>46830</v>
      </c>
      <c r="Y48" s="188">
        <f t="shared" si="42"/>
        <v>321486.45000000013</v>
      </c>
      <c r="Z48" s="385">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1">
        <f t="shared" si="27"/>
        <v>0</v>
      </c>
      <c r="AJ48" s="401">
        <f t="shared" si="16"/>
        <v>0</v>
      </c>
      <c r="AK48" s="401"/>
      <c r="AL48" s="188">
        <f t="shared" si="45"/>
        <v>321259.22000000015</v>
      </c>
      <c r="AM48" s="316">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2">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6">
        <f t="shared" si="5"/>
        <v>1</v>
      </c>
      <c r="M49" s="316">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2">
        <f t="shared" si="26"/>
        <v>46860</v>
      </c>
      <c r="Y49" s="188">
        <f t="shared" si="42"/>
        <v>321259.22000000015</v>
      </c>
      <c r="Z49" s="385">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1">
        <f t="shared" si="27"/>
        <v>0</v>
      </c>
      <c r="AJ49" s="401">
        <f t="shared" si="16"/>
        <v>0</v>
      </c>
      <c r="AK49" s="401"/>
      <c r="AL49" s="188">
        <f t="shared" si="45"/>
        <v>321030.38000000012</v>
      </c>
      <c r="AM49" s="316">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2">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6">
        <f t="shared" si="5"/>
        <v>1</v>
      </c>
      <c r="M50" s="316">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2">
        <f t="shared" si="26"/>
        <v>46890</v>
      </c>
      <c r="Y50" s="188">
        <f t="shared" si="42"/>
        <v>321030.38000000012</v>
      </c>
      <c r="Z50" s="385">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1">
        <f t="shared" si="27"/>
        <v>0</v>
      </c>
      <c r="AJ50" s="401">
        <f t="shared" si="16"/>
        <v>0</v>
      </c>
      <c r="AK50" s="401"/>
      <c r="AL50" s="188">
        <f t="shared" si="45"/>
        <v>320799.9200000001</v>
      </c>
      <c r="AM50" s="316">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5">
        <f t="shared" si="33"/>
        <v>46920</v>
      </c>
      <c r="B51" s="236">
        <f t="shared" si="21"/>
        <v>118991.32999999999</v>
      </c>
      <c r="C51" s="21">
        <f t="shared" si="3"/>
        <v>559.88</v>
      </c>
      <c r="D51" s="21">
        <f t="shared" si="34"/>
        <v>113.65999999999997</v>
      </c>
      <c r="E51" s="21">
        <f t="shared" si="4"/>
        <v>446.22</v>
      </c>
      <c r="F51" s="21"/>
      <c r="G51" s="21"/>
      <c r="H51" s="21"/>
      <c r="I51" s="236">
        <f t="shared" si="46"/>
        <v>4295.4999999999991</v>
      </c>
      <c r="J51" s="236">
        <f t="shared" si="47"/>
        <v>16320.349999999997</v>
      </c>
      <c r="K51" s="236">
        <f t="shared" si="48"/>
        <v>118877.66999999998</v>
      </c>
      <c r="L51" s="317">
        <f t="shared" si="5"/>
        <v>1</v>
      </c>
      <c r="M51" s="317">
        <f t="shared" si="22"/>
        <v>23</v>
      </c>
      <c r="N51" s="236">
        <f t="shared" si="23"/>
        <v>320799.9200000001</v>
      </c>
      <c r="O51" s="236">
        <f t="shared" si="24"/>
        <v>2504.4299999999998</v>
      </c>
      <c r="P51" s="236">
        <f t="shared" si="38"/>
        <v>232.09999999999991</v>
      </c>
      <c r="Q51" s="236">
        <f t="shared" si="25"/>
        <v>2272.33</v>
      </c>
      <c r="R51" s="236">
        <f t="shared" si="6"/>
        <v>51.5</v>
      </c>
      <c r="S51" s="236">
        <f t="shared" si="7"/>
        <v>145.09666666666666</v>
      </c>
      <c r="T51" s="236">
        <f t="shared" si="8"/>
        <v>2701.0266666666666</v>
      </c>
      <c r="U51" s="236">
        <f t="shared" si="39"/>
        <v>5142.1799999999967</v>
      </c>
      <c r="V51" s="236">
        <f t="shared" si="40"/>
        <v>54964.14</v>
      </c>
      <c r="W51" s="236">
        <f t="shared" si="41"/>
        <v>320567.82000000012</v>
      </c>
      <c r="X51" s="395">
        <f t="shared" si="26"/>
        <v>46920</v>
      </c>
      <c r="Y51" s="236">
        <f t="shared" si="42"/>
        <v>320799.9200000001</v>
      </c>
      <c r="Z51" s="386">
        <f t="shared" si="9"/>
        <v>8.4999999999999992E-2</v>
      </c>
      <c r="AA51" s="236">
        <f t="shared" si="10"/>
        <v>2504.4299999999998</v>
      </c>
      <c r="AB51" s="236">
        <f t="shared" si="11"/>
        <v>232.09999999999991</v>
      </c>
      <c r="AC51" s="236">
        <f t="shared" si="12"/>
        <v>2272.33</v>
      </c>
      <c r="AD51" s="236">
        <f t="shared" si="13"/>
        <v>51.5</v>
      </c>
      <c r="AE51" s="236">
        <f t="shared" si="14"/>
        <v>145.09666666666666</v>
      </c>
      <c r="AF51" s="236">
        <f t="shared" si="15"/>
        <v>2701.0266666666666</v>
      </c>
      <c r="AG51" s="236">
        <f t="shared" si="43"/>
        <v>5142.1799999999967</v>
      </c>
      <c r="AH51" s="236">
        <f t="shared" si="44"/>
        <v>54964.14</v>
      </c>
      <c r="AI51" s="402">
        <f t="shared" si="27"/>
        <v>0</v>
      </c>
      <c r="AJ51" s="402">
        <f t="shared" si="16"/>
        <v>0</v>
      </c>
      <c r="AK51" s="402"/>
      <c r="AL51" s="236">
        <f t="shared" si="45"/>
        <v>320567.82000000012</v>
      </c>
      <c r="AM51" s="317">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6">
        <f t="shared" si="31"/>
        <v>888.63711158536046</v>
      </c>
      <c r="AV51" s="236">
        <f t="shared" si="32"/>
        <v>30633.481745729598</v>
      </c>
    </row>
    <row r="52" spans="1:50">
      <c r="A52" s="392">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6">
        <f t="shared" si="5"/>
        <v>2</v>
      </c>
      <c r="M52" s="316">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2">
        <f t="shared" si="26"/>
        <v>46950</v>
      </c>
      <c r="Y52" s="188">
        <f t="shared" si="42"/>
        <v>320567.82000000012</v>
      </c>
      <c r="Z52" s="385">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1">
        <f t="shared" si="27"/>
        <v>0</v>
      </c>
      <c r="AJ52" s="401">
        <f t="shared" si="16"/>
        <v>0</v>
      </c>
      <c r="AK52" s="401"/>
      <c r="AL52" s="188">
        <f t="shared" si="45"/>
        <v>320334.08000000013</v>
      </c>
      <c r="AM52" s="316">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2">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6">
        <f t="shared" si="5"/>
        <v>2</v>
      </c>
      <c r="M53" s="316">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2">
        <f t="shared" si="26"/>
        <v>46980</v>
      </c>
      <c r="Y53" s="188">
        <f t="shared" si="42"/>
        <v>320334.08000000013</v>
      </c>
      <c r="Z53" s="385">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1">
        <f t="shared" si="27"/>
        <v>0</v>
      </c>
      <c r="AJ53" s="401">
        <f t="shared" si="16"/>
        <v>0</v>
      </c>
      <c r="AK53" s="401"/>
      <c r="AL53" s="188">
        <f t="shared" si="45"/>
        <v>320098.68000000011</v>
      </c>
      <c r="AM53" s="316">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2">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6">
        <f t="shared" si="5"/>
        <v>2</v>
      </c>
      <c r="M54" s="316">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2">
        <f t="shared" si="26"/>
        <v>47010</v>
      </c>
      <c r="Y54" s="188">
        <f t="shared" si="42"/>
        <v>320098.68000000011</v>
      </c>
      <c r="Z54" s="385">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1">
        <f t="shared" si="27"/>
        <v>0</v>
      </c>
      <c r="AJ54" s="401">
        <f t="shared" si="16"/>
        <v>0</v>
      </c>
      <c r="AK54" s="401"/>
      <c r="AL54" s="188">
        <f t="shared" si="45"/>
        <v>319861.62000000011</v>
      </c>
      <c r="AM54" s="316">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2">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6">
        <f t="shared" si="5"/>
        <v>2</v>
      </c>
      <c r="M55" s="316">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2">
        <f t="shared" si="26"/>
        <v>47040</v>
      </c>
      <c r="Y55" s="188">
        <f t="shared" si="42"/>
        <v>319861.62000000011</v>
      </c>
      <c r="Z55" s="385">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1">
        <f t="shared" si="27"/>
        <v>0</v>
      </c>
      <c r="AJ55" s="401">
        <f t="shared" si="16"/>
        <v>0</v>
      </c>
      <c r="AK55" s="401"/>
      <c r="AL55" s="188">
        <f t="shared" si="45"/>
        <v>319622.88000000012</v>
      </c>
      <c r="AM55" s="316">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2">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6">
        <f t="shared" si="5"/>
        <v>2</v>
      </c>
      <c r="M56" s="316">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2">
        <f t="shared" si="26"/>
        <v>47070</v>
      </c>
      <c r="Y56" s="188">
        <f t="shared" si="42"/>
        <v>319622.88000000012</v>
      </c>
      <c r="Z56" s="385">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1">
        <f t="shared" si="27"/>
        <v>0</v>
      </c>
      <c r="AJ56" s="401">
        <f t="shared" si="16"/>
        <v>0</v>
      </c>
      <c r="AK56" s="401"/>
      <c r="AL56" s="188">
        <f t="shared" si="45"/>
        <v>319382.45000000013</v>
      </c>
      <c r="AM56" s="316">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2">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6">
        <f t="shared" si="5"/>
        <v>2</v>
      </c>
      <c r="M57" s="316">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2">
        <f t="shared" si="26"/>
        <v>47100</v>
      </c>
      <c r="Y57" s="188">
        <f t="shared" si="42"/>
        <v>319382.45000000013</v>
      </c>
      <c r="Z57" s="385">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1">
        <f t="shared" si="27"/>
        <v>0</v>
      </c>
      <c r="AJ57" s="401">
        <f t="shared" si="16"/>
        <v>0</v>
      </c>
      <c r="AK57" s="401"/>
      <c r="AL57" s="188">
        <f t="shared" si="45"/>
        <v>319140.31000000011</v>
      </c>
      <c r="AM57" s="316">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2">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6">
        <f t="shared" si="5"/>
        <v>2</v>
      </c>
      <c r="M58" s="316">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2">
        <f t="shared" si="26"/>
        <v>47130</v>
      </c>
      <c r="Y58" s="188">
        <f t="shared" si="42"/>
        <v>319140.31000000011</v>
      </c>
      <c r="Z58" s="385">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1">
        <f t="shared" si="27"/>
        <v>0</v>
      </c>
      <c r="AJ58" s="401">
        <f t="shared" si="16"/>
        <v>0</v>
      </c>
      <c r="AK58" s="401"/>
      <c r="AL58" s="188">
        <f t="shared" si="45"/>
        <v>318896.46000000014</v>
      </c>
      <c r="AM58" s="316">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2">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6">
        <f t="shared" si="5"/>
        <v>2</v>
      </c>
      <c r="M59" s="316">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2">
        <f t="shared" si="26"/>
        <v>47160</v>
      </c>
      <c r="Y59" s="188">
        <f t="shared" si="42"/>
        <v>318896.46000000014</v>
      </c>
      <c r="Z59" s="385">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1">
        <f t="shared" si="27"/>
        <v>0</v>
      </c>
      <c r="AJ59" s="401">
        <f t="shared" si="16"/>
        <v>0</v>
      </c>
      <c r="AK59" s="401"/>
      <c r="AL59" s="188">
        <f t="shared" si="45"/>
        <v>318650.88000000012</v>
      </c>
      <c r="AM59" s="316">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2">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6">
        <f t="shared" si="5"/>
        <v>2</v>
      </c>
      <c r="M60" s="316">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2">
        <f t="shared" si="26"/>
        <v>47190</v>
      </c>
      <c r="Y60" s="188">
        <f>IF(+AL59&lt;0,0,+AL59)</f>
        <v>318650.88000000012</v>
      </c>
      <c r="Z60" s="385">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1">
        <f>O60-AA60+AI59</f>
        <v>0</v>
      </c>
      <c r="AJ60" s="401">
        <f t="shared" si="16"/>
        <v>0</v>
      </c>
      <c r="AK60" s="401">
        <f>SUM(AI60:AJ60)</f>
        <v>0</v>
      </c>
      <c r="AL60" s="188">
        <f>+Y60-AB60</f>
        <v>318403.56000000011</v>
      </c>
      <c r="AM60" s="316">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0"/>
    </row>
    <row r="61" spans="1:50">
      <c r="A61" s="392">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6">
        <f t="shared" si="5"/>
        <v>2</v>
      </c>
      <c r="M61" s="316">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2">
        <f t="shared" si="26"/>
        <v>47220</v>
      </c>
      <c r="Y61" s="188">
        <f>IF(+AL60&lt;0,0,+AL60)</f>
        <v>318403.56000000011</v>
      </c>
      <c r="Z61" s="385">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1">
        <f t="shared" ref="AI61:AI124" si="63">O61-AA61+AI60</f>
        <v>0</v>
      </c>
      <c r="AJ61" s="401">
        <f t="shared" si="16"/>
        <v>0</v>
      </c>
      <c r="AK61" s="401">
        <f t="shared" ref="AK61:AK124" si="64">SUM(AI61:AJ61)</f>
        <v>0</v>
      </c>
      <c r="AL61" s="188">
        <f>+Y61-AB61</f>
        <v>318154.49000000011</v>
      </c>
      <c r="AM61" s="316">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2">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6">
        <f t="shared" si="5"/>
        <v>2</v>
      </c>
      <c r="M62" s="316">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2">
        <f t="shared" si="26"/>
        <v>47250</v>
      </c>
      <c r="Y62" s="188">
        <f>IF(+AL61&lt;0,0,+AL61)</f>
        <v>318154.49000000011</v>
      </c>
      <c r="Z62" s="385">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1">
        <f t="shared" si="63"/>
        <v>0</v>
      </c>
      <c r="AJ62" s="401">
        <f t="shared" si="16"/>
        <v>0</v>
      </c>
      <c r="AK62" s="401">
        <f t="shared" si="64"/>
        <v>0</v>
      </c>
      <c r="AL62" s="188">
        <f>+Y62-AB62</f>
        <v>317903.65000000008</v>
      </c>
      <c r="AM62" s="316">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5">
        <f t="shared" ref="A63:A126" si="68">IF(K63&lt;=0," ",+A62+30)</f>
        <v>47280</v>
      </c>
      <c r="B63" s="236">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6">
        <f t="shared" ref="I63:I126" si="69">$D63+$I62</f>
        <v>5693.1699999999992</v>
      </c>
      <c r="J63" s="236">
        <f t="shared" ref="J63:J126" si="70">$E63+$J62</f>
        <v>21641.239999999994</v>
      </c>
      <c r="K63" s="236">
        <f t="shared" ref="K63:K126" si="71">+B63-D63</f>
        <v>117479.99999999999</v>
      </c>
      <c r="L63" s="317">
        <f t="shared" si="5"/>
        <v>2</v>
      </c>
      <c r="M63" s="317">
        <f t="shared" si="22"/>
        <v>35</v>
      </c>
      <c r="N63" s="236">
        <f t="shared" si="23"/>
        <v>317903.65000000008</v>
      </c>
      <c r="O63" s="236">
        <f t="shared" ref="O63:O126" si="72">IF($O$11&lt;=A63,IF(+$W62&lt;=0,0,$O$8),0)</f>
        <v>2504.4299999999998</v>
      </c>
      <c r="P63" s="236">
        <f t="shared" si="38"/>
        <v>252.60999999999967</v>
      </c>
      <c r="Q63" s="236">
        <f t="shared" ref="Q63:Q126" si="73">IF($O$11&lt;=A63,ROUND(N63*($O$7/12),2),0)</f>
        <v>2251.8200000000002</v>
      </c>
      <c r="R63" s="236">
        <f t="shared" si="6"/>
        <v>51.5</v>
      </c>
      <c r="S63" s="236">
        <f t="shared" ref="S63:S124" si="74">+S62</f>
        <v>145.09666666666666</v>
      </c>
      <c r="T63" s="236">
        <f t="shared" si="58"/>
        <v>2701.0266666666666</v>
      </c>
      <c r="U63" s="236">
        <f t="shared" si="39"/>
        <v>8058.9599999999946</v>
      </c>
      <c r="V63" s="236">
        <f t="shared" si="40"/>
        <v>82100.520000000019</v>
      </c>
      <c r="W63" s="236">
        <f t="shared" ref="W63:W126" si="75">+N63-P63</f>
        <v>317651.0400000001</v>
      </c>
      <c r="X63" s="395">
        <f t="shared" si="26"/>
        <v>47280</v>
      </c>
      <c r="Y63" s="236">
        <f t="shared" ref="Y63:Y126" si="76">IF(+AL62&lt;0,0,+AL62)</f>
        <v>317903.65000000008</v>
      </c>
      <c r="Z63" s="386">
        <f t="shared" si="9"/>
        <v>8.4999999999999992E-2</v>
      </c>
      <c r="AA63" s="236">
        <f t="shared" si="10"/>
        <v>2504.4299999999998</v>
      </c>
      <c r="AB63" s="236">
        <f t="shared" ref="AB63:AB126" si="77">+AA63-AC63</f>
        <v>252.60999999999967</v>
      </c>
      <c r="AC63" s="236">
        <f t="shared" si="12"/>
        <v>2251.8200000000002</v>
      </c>
      <c r="AD63" s="236">
        <f t="shared" ref="AD63:AE63" si="78">+AD62</f>
        <v>51.5</v>
      </c>
      <c r="AE63" s="236">
        <f t="shared" si="78"/>
        <v>145.09666666666666</v>
      </c>
      <c r="AF63" s="236">
        <f t="shared" ref="AF63:AF126" si="79">SUM(AB63:AE63)</f>
        <v>2701.0266666666666</v>
      </c>
      <c r="AG63" s="236">
        <f t="shared" ref="AG63:AG126" si="80">+AB63+AG62</f>
        <v>8058.9599999999946</v>
      </c>
      <c r="AH63" s="236">
        <f t="shared" ref="AH63:AH126" si="81">+AH62+AC63</f>
        <v>82100.520000000019</v>
      </c>
      <c r="AI63" s="402">
        <f t="shared" si="63"/>
        <v>0</v>
      </c>
      <c r="AJ63" s="402">
        <f t="shared" si="16"/>
        <v>0</v>
      </c>
      <c r="AK63" s="402">
        <f t="shared" si="64"/>
        <v>0</v>
      </c>
      <c r="AL63" s="236">
        <f t="shared" ref="AL63:AL126" si="82">+Y63-AB63</f>
        <v>317651.0400000001</v>
      </c>
      <c r="AM63" s="317">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6">
        <f t="shared" si="31"/>
        <v>915.66585968308448</v>
      </c>
      <c r="AV63" s="236">
        <f t="shared" si="32"/>
        <v>41472.009732916886</v>
      </c>
    </row>
    <row r="64" spans="1:50">
      <c r="A64" s="392">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6">
        <f t="shared" si="5"/>
        <v>3</v>
      </c>
      <c r="M64" s="316">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2">
        <f t="shared" si="26"/>
        <v>47310</v>
      </c>
      <c r="Y64" s="188">
        <f t="shared" si="76"/>
        <v>317651.0400000001</v>
      </c>
      <c r="Z64" s="385">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1">
        <f t="shared" si="63"/>
        <v>0</v>
      </c>
      <c r="AJ64" s="401">
        <f t="shared" si="16"/>
        <v>0</v>
      </c>
      <c r="AK64" s="401">
        <f t="shared" si="64"/>
        <v>0</v>
      </c>
      <c r="AL64" s="188">
        <f t="shared" si="82"/>
        <v>317396.64000000007</v>
      </c>
      <c r="AM64" s="316">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2">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6">
        <f t="shared" si="5"/>
        <v>3</v>
      </c>
      <c r="M65" s="316">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2">
        <f t="shared" si="26"/>
        <v>47340</v>
      </c>
      <c r="Y65" s="188">
        <f t="shared" si="76"/>
        <v>317396.64000000007</v>
      </c>
      <c r="Z65" s="385">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1">
        <f t="shared" si="63"/>
        <v>0</v>
      </c>
      <c r="AJ65" s="401">
        <f t="shared" si="16"/>
        <v>0</v>
      </c>
      <c r="AK65" s="401">
        <f t="shared" si="64"/>
        <v>0</v>
      </c>
      <c r="AL65" s="188">
        <f t="shared" si="82"/>
        <v>317140.44000000006</v>
      </c>
      <c r="AM65" s="316">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2">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6">
        <f t="shared" si="5"/>
        <v>3</v>
      </c>
      <c r="M66" s="316">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2">
        <f t="shared" si="26"/>
        <v>47370</v>
      </c>
      <c r="Y66" s="188">
        <f t="shared" si="76"/>
        <v>317140.44000000006</v>
      </c>
      <c r="Z66" s="385">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1">
        <f t="shared" si="63"/>
        <v>0</v>
      </c>
      <c r="AJ66" s="401">
        <f t="shared" si="16"/>
        <v>0</v>
      </c>
      <c r="AK66" s="401">
        <f t="shared" si="64"/>
        <v>0</v>
      </c>
      <c r="AL66" s="188">
        <f t="shared" si="82"/>
        <v>316882.42000000004</v>
      </c>
      <c r="AM66" s="316">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2">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6">
        <f t="shared" si="5"/>
        <v>3</v>
      </c>
      <c r="M67" s="316">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2">
        <f t="shared" si="26"/>
        <v>47400</v>
      </c>
      <c r="Y67" s="188">
        <f t="shared" si="76"/>
        <v>316882.42000000004</v>
      </c>
      <c r="Z67" s="385">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1">
        <f t="shared" si="63"/>
        <v>0</v>
      </c>
      <c r="AJ67" s="401">
        <f t="shared" si="16"/>
        <v>0</v>
      </c>
      <c r="AK67" s="401">
        <f t="shared" si="64"/>
        <v>0</v>
      </c>
      <c r="AL67" s="188">
        <f t="shared" si="82"/>
        <v>316622.57000000007</v>
      </c>
      <c r="AM67" s="316">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2">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6">
        <f t="shared" si="5"/>
        <v>3</v>
      </c>
      <c r="M68" s="316">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2">
        <f t="shared" si="26"/>
        <v>47430</v>
      </c>
      <c r="Y68" s="188">
        <f t="shared" si="76"/>
        <v>316622.57000000007</v>
      </c>
      <c r="Z68" s="385">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1">
        <f t="shared" si="63"/>
        <v>0</v>
      </c>
      <c r="AJ68" s="401">
        <f t="shared" si="16"/>
        <v>0</v>
      </c>
      <c r="AK68" s="401">
        <f t="shared" si="64"/>
        <v>0</v>
      </c>
      <c r="AL68" s="188">
        <f t="shared" si="82"/>
        <v>316360.88000000006</v>
      </c>
      <c r="AM68" s="316">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2">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6">
        <f t="shared" si="5"/>
        <v>3</v>
      </c>
      <c r="M69" s="316">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2">
        <f t="shared" si="26"/>
        <v>47460</v>
      </c>
      <c r="Y69" s="188">
        <f t="shared" si="76"/>
        <v>316360.88000000006</v>
      </c>
      <c r="Z69" s="385">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1">
        <f t="shared" si="63"/>
        <v>0</v>
      </c>
      <c r="AJ69" s="401">
        <f t="shared" si="16"/>
        <v>0</v>
      </c>
      <c r="AK69" s="401">
        <f t="shared" si="64"/>
        <v>0</v>
      </c>
      <c r="AL69" s="188">
        <f t="shared" si="82"/>
        <v>316097.34000000008</v>
      </c>
      <c r="AM69" s="316">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2">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6">
        <f t="shared" si="5"/>
        <v>3</v>
      </c>
      <c r="M70" s="316">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2">
        <f t="shared" si="26"/>
        <v>47490</v>
      </c>
      <c r="Y70" s="188">
        <f t="shared" si="76"/>
        <v>316097.34000000008</v>
      </c>
      <c r="Z70" s="385">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1">
        <f t="shared" si="63"/>
        <v>0</v>
      </c>
      <c r="AJ70" s="401">
        <f t="shared" si="16"/>
        <v>0</v>
      </c>
      <c r="AK70" s="401">
        <f t="shared" si="64"/>
        <v>0</v>
      </c>
      <c r="AL70" s="188">
        <f t="shared" si="82"/>
        <v>315831.93000000011</v>
      </c>
      <c r="AM70" s="316">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2">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6">
        <f t="shared" si="5"/>
        <v>3</v>
      </c>
      <c r="M71" s="316">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2">
        <f t="shared" si="26"/>
        <v>47520</v>
      </c>
      <c r="Y71" s="188">
        <f t="shared" si="76"/>
        <v>315831.93000000011</v>
      </c>
      <c r="Z71" s="385">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1">
        <f t="shared" si="63"/>
        <v>0</v>
      </c>
      <c r="AJ71" s="401">
        <f t="shared" si="16"/>
        <v>0</v>
      </c>
      <c r="AK71" s="401">
        <f t="shared" si="64"/>
        <v>0</v>
      </c>
      <c r="AL71" s="188">
        <f t="shared" si="82"/>
        <v>315564.64000000013</v>
      </c>
      <c r="AM71" s="316">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2">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6">
        <f t="shared" si="5"/>
        <v>3</v>
      </c>
      <c r="M72" s="316">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2">
        <f t="shared" si="26"/>
        <v>47550</v>
      </c>
      <c r="Y72" s="188">
        <f t="shared" si="76"/>
        <v>315564.64000000013</v>
      </c>
      <c r="Z72" s="385">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1">
        <f t="shared" si="63"/>
        <v>0</v>
      </c>
      <c r="AJ72" s="401">
        <f t="shared" si="16"/>
        <v>0</v>
      </c>
      <c r="AK72" s="401">
        <f t="shared" si="64"/>
        <v>0</v>
      </c>
      <c r="AL72" s="188">
        <f t="shared" si="82"/>
        <v>315295.46000000014</v>
      </c>
      <c r="AM72" s="316">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0"/>
    </row>
    <row r="73" spans="1:50">
      <c r="A73" s="392">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6">
        <f t="shared" si="5"/>
        <v>3</v>
      </c>
      <c r="M73" s="316">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2">
        <f t="shared" si="26"/>
        <v>47580</v>
      </c>
      <c r="Y73" s="188">
        <f t="shared" si="76"/>
        <v>315295.46000000014</v>
      </c>
      <c r="Z73" s="385">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1">
        <f t="shared" si="63"/>
        <v>0</v>
      </c>
      <c r="AJ73" s="401">
        <f t="shared" si="16"/>
        <v>0</v>
      </c>
      <c r="AK73" s="401">
        <f t="shared" si="64"/>
        <v>0</v>
      </c>
      <c r="AL73" s="188">
        <f t="shared" si="82"/>
        <v>315024.37000000011</v>
      </c>
      <c r="AM73" s="316">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0"/>
    </row>
    <row r="74" spans="1:50">
      <c r="A74" s="392">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6">
        <f t="shared" si="5"/>
        <v>3</v>
      </c>
      <c r="M74" s="316">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2">
        <f t="shared" si="26"/>
        <v>47610</v>
      </c>
      <c r="Y74" s="188">
        <f t="shared" si="76"/>
        <v>315024.37000000011</v>
      </c>
      <c r="Z74" s="385">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1">
        <f t="shared" si="63"/>
        <v>0</v>
      </c>
      <c r="AJ74" s="401">
        <f t="shared" si="16"/>
        <v>0</v>
      </c>
      <c r="AK74" s="401">
        <f t="shared" si="64"/>
        <v>0</v>
      </c>
      <c r="AL74" s="188">
        <f t="shared" si="82"/>
        <v>314751.3600000001</v>
      </c>
      <c r="AM74" s="316">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5">
        <f t="shared" si="68"/>
        <v>47640</v>
      </c>
      <c r="B75" s="236">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6">
        <f t="shared" si="69"/>
        <v>7155.0499999999993</v>
      </c>
      <c r="J75" s="236">
        <f t="shared" si="70"/>
        <v>26897.919999999991</v>
      </c>
      <c r="K75" s="236">
        <f t="shared" si="71"/>
        <v>116018.11999999998</v>
      </c>
      <c r="L75" s="317">
        <f t="shared" si="5"/>
        <v>3</v>
      </c>
      <c r="M75" s="317">
        <f t="shared" si="22"/>
        <v>47</v>
      </c>
      <c r="N75" s="236">
        <f t="shared" si="23"/>
        <v>314751.3600000001</v>
      </c>
      <c r="O75" s="236">
        <f t="shared" si="72"/>
        <v>2504.4299999999998</v>
      </c>
      <c r="P75" s="236">
        <f t="shared" si="38"/>
        <v>274.94000000000005</v>
      </c>
      <c r="Q75" s="236">
        <f t="shared" si="73"/>
        <v>2229.4899999999998</v>
      </c>
      <c r="R75" s="236">
        <f t="shared" si="83"/>
        <v>51.5</v>
      </c>
      <c r="S75" s="236">
        <f t="shared" si="74"/>
        <v>145.09666666666666</v>
      </c>
      <c r="T75" s="236">
        <f t="shared" si="58"/>
        <v>2701.0266666666666</v>
      </c>
      <c r="U75" s="236">
        <f t="shared" si="39"/>
        <v>11233.579999999998</v>
      </c>
      <c r="V75" s="236">
        <f t="shared" si="40"/>
        <v>108979.06000000003</v>
      </c>
      <c r="W75" s="236">
        <f t="shared" si="75"/>
        <v>314476.4200000001</v>
      </c>
      <c r="X75" s="395">
        <f t="shared" si="26"/>
        <v>47640</v>
      </c>
      <c r="Y75" s="236">
        <f t="shared" si="76"/>
        <v>314751.3600000001</v>
      </c>
      <c r="Z75" s="386">
        <f t="shared" si="9"/>
        <v>8.4999999999999992E-2</v>
      </c>
      <c r="AA75" s="236">
        <f t="shared" si="10"/>
        <v>2504.4299999999998</v>
      </c>
      <c r="AB75" s="236">
        <f t="shared" si="77"/>
        <v>274.94000000000005</v>
      </c>
      <c r="AC75" s="236">
        <f t="shared" si="12"/>
        <v>2229.4899999999998</v>
      </c>
      <c r="AD75" s="236">
        <f t="shared" ref="AD75:AE75" si="95">+AD74</f>
        <v>51.5</v>
      </c>
      <c r="AE75" s="236">
        <f t="shared" si="95"/>
        <v>145.09666666666666</v>
      </c>
      <c r="AF75" s="236">
        <f t="shared" si="79"/>
        <v>2701.0266666666666</v>
      </c>
      <c r="AG75" s="236">
        <f t="shared" si="80"/>
        <v>11233.579999999998</v>
      </c>
      <c r="AH75" s="236">
        <f t="shared" si="81"/>
        <v>108979.06000000003</v>
      </c>
      <c r="AI75" s="402">
        <f t="shared" si="63"/>
        <v>0</v>
      </c>
      <c r="AJ75" s="402">
        <f t="shared" si="16"/>
        <v>0</v>
      </c>
      <c r="AK75" s="402">
        <f t="shared" si="64"/>
        <v>0</v>
      </c>
      <c r="AL75" s="236">
        <f t="shared" si="82"/>
        <v>314476.4200000001</v>
      </c>
      <c r="AM75" s="317">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6">
        <f t="shared" si="31"/>
        <v>943.51671301837484</v>
      </c>
      <c r="AV75" s="236">
        <f t="shared" si="32"/>
        <v>52640.201920368323</v>
      </c>
    </row>
    <row r="76" spans="1:50">
      <c r="A76" s="392">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6">
        <f t="shared" si="5"/>
        <v>4</v>
      </c>
      <c r="M76" s="316">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2">
        <f t="shared" si="26"/>
        <v>47670</v>
      </c>
      <c r="Y76" s="188">
        <f t="shared" si="76"/>
        <v>314476.4200000001</v>
      </c>
      <c r="Z76" s="385">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1">
        <f t="shared" si="63"/>
        <v>0</v>
      </c>
      <c r="AJ76" s="401">
        <f t="shared" si="16"/>
        <v>0</v>
      </c>
      <c r="AK76" s="401">
        <f t="shared" si="64"/>
        <v>0</v>
      </c>
      <c r="AL76" s="188">
        <f t="shared" si="82"/>
        <v>314199.53000000009</v>
      </c>
      <c r="AM76" s="316">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2">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6">
        <f t="shared" si="5"/>
        <v>4</v>
      </c>
      <c r="M77" s="316">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2">
        <f t="shared" si="26"/>
        <v>47700</v>
      </c>
      <c r="Y77" s="188">
        <f t="shared" si="76"/>
        <v>314199.53000000009</v>
      </c>
      <c r="Z77" s="385">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1">
        <f t="shared" si="63"/>
        <v>0</v>
      </c>
      <c r="AJ77" s="401">
        <f t="shared" si="16"/>
        <v>0</v>
      </c>
      <c r="AK77" s="401">
        <f t="shared" si="64"/>
        <v>0</v>
      </c>
      <c r="AL77" s="188">
        <f t="shared" si="82"/>
        <v>313920.68000000011</v>
      </c>
      <c r="AM77" s="316">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2">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6">
        <f t="shared" si="5"/>
        <v>4</v>
      </c>
      <c r="M78" s="316">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2">
        <f t="shared" si="26"/>
        <v>47730</v>
      </c>
      <c r="Y78" s="188">
        <f t="shared" si="76"/>
        <v>313920.68000000011</v>
      </c>
      <c r="Z78" s="385">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1">
        <f t="shared" si="63"/>
        <v>0</v>
      </c>
      <c r="AJ78" s="401">
        <f t="shared" si="16"/>
        <v>0</v>
      </c>
      <c r="AK78" s="401">
        <f t="shared" si="64"/>
        <v>0</v>
      </c>
      <c r="AL78" s="188">
        <f t="shared" si="82"/>
        <v>313639.85000000009</v>
      </c>
      <c r="AM78" s="316">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2">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6">
        <f t="shared" si="5"/>
        <v>4</v>
      </c>
      <c r="M79" s="316">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2">
        <f t="shared" si="26"/>
        <v>47760</v>
      </c>
      <c r="Y79" s="188">
        <f t="shared" si="76"/>
        <v>313639.85000000009</v>
      </c>
      <c r="Z79" s="385">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1">
        <f t="shared" si="63"/>
        <v>0</v>
      </c>
      <c r="AJ79" s="401">
        <f t="shared" si="16"/>
        <v>0</v>
      </c>
      <c r="AK79" s="401">
        <f t="shared" si="64"/>
        <v>0</v>
      </c>
      <c r="AL79" s="188">
        <f t="shared" si="82"/>
        <v>313357.0400000001</v>
      </c>
      <c r="AM79" s="316">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2">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6">
        <f t="shared" ref="L80:L108" si="102">IF(MOD(M80,12)=0,M80/12,L79)</f>
        <v>4</v>
      </c>
      <c r="M80" s="316">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2">
        <f t="shared" si="26"/>
        <v>47790</v>
      </c>
      <c r="Y80" s="188">
        <f t="shared" si="76"/>
        <v>313357.0400000001</v>
      </c>
      <c r="Z80" s="385">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1">
        <f t="shared" si="63"/>
        <v>0</v>
      </c>
      <c r="AJ80" s="401">
        <f t="shared" ref="AJ80:AJ90" si="107">+W80-AL80</f>
        <v>0</v>
      </c>
      <c r="AK80" s="401">
        <f t="shared" si="64"/>
        <v>0</v>
      </c>
      <c r="AL80" s="188">
        <f t="shared" si="82"/>
        <v>313072.22000000009</v>
      </c>
      <c r="AM80" s="316">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2">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6">
        <f t="shared" si="102"/>
        <v>4</v>
      </c>
      <c r="M81" s="316">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2">
        <f t="shared" ref="X81:X144" si="112">+A81</f>
        <v>47820</v>
      </c>
      <c r="Y81" s="188">
        <f t="shared" si="76"/>
        <v>313072.22000000009</v>
      </c>
      <c r="Z81" s="385">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1">
        <f t="shared" si="63"/>
        <v>0</v>
      </c>
      <c r="AJ81" s="401">
        <f t="shared" si="107"/>
        <v>0</v>
      </c>
      <c r="AK81" s="401">
        <f t="shared" si="64"/>
        <v>0</v>
      </c>
      <c r="AL81" s="188">
        <f t="shared" si="82"/>
        <v>312785.38000000006</v>
      </c>
      <c r="AM81" s="316">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2">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6">
        <f t="shared" si="102"/>
        <v>4</v>
      </c>
      <c r="M82" s="316">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2">
        <f t="shared" si="112"/>
        <v>47850</v>
      </c>
      <c r="Y82" s="188">
        <f t="shared" si="76"/>
        <v>312785.38000000006</v>
      </c>
      <c r="Z82" s="385">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1">
        <f t="shared" si="63"/>
        <v>0</v>
      </c>
      <c r="AJ82" s="401">
        <f t="shared" si="107"/>
        <v>0</v>
      </c>
      <c r="AK82" s="401">
        <f t="shared" si="64"/>
        <v>0</v>
      </c>
      <c r="AL82" s="188">
        <f t="shared" si="82"/>
        <v>312496.51000000007</v>
      </c>
      <c r="AM82" s="316">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2">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6">
        <f t="shared" si="102"/>
        <v>4</v>
      </c>
      <c r="M83" s="316">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2">
        <f t="shared" si="112"/>
        <v>47880</v>
      </c>
      <c r="Y83" s="188">
        <f t="shared" si="76"/>
        <v>312496.51000000007</v>
      </c>
      <c r="Z83" s="385">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1">
        <f t="shared" si="63"/>
        <v>0</v>
      </c>
      <c r="AJ83" s="401">
        <f t="shared" si="107"/>
        <v>0</v>
      </c>
      <c r="AK83" s="401">
        <f t="shared" si="64"/>
        <v>0</v>
      </c>
      <c r="AL83" s="188">
        <f t="shared" si="82"/>
        <v>312205.60000000009</v>
      </c>
      <c r="AM83" s="316">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2">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6">
        <f t="shared" si="102"/>
        <v>4</v>
      </c>
      <c r="M84" s="316">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2">
        <f t="shared" si="112"/>
        <v>47910</v>
      </c>
      <c r="Y84" s="188">
        <f t="shared" si="76"/>
        <v>312205.60000000009</v>
      </c>
      <c r="Z84" s="385">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1">
        <f t="shared" si="63"/>
        <v>0</v>
      </c>
      <c r="AJ84" s="401">
        <f t="shared" si="107"/>
        <v>0</v>
      </c>
      <c r="AK84" s="401">
        <f t="shared" si="64"/>
        <v>0</v>
      </c>
      <c r="AL84" s="188">
        <f t="shared" si="82"/>
        <v>311912.63000000012</v>
      </c>
      <c r="AM84" s="316">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0"/>
    </row>
    <row r="85" spans="1:50">
      <c r="A85" s="392">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6">
        <f t="shared" si="102"/>
        <v>4</v>
      </c>
      <c r="M85" s="316">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2">
        <f t="shared" si="112"/>
        <v>47940</v>
      </c>
      <c r="Y85" s="188">
        <f t="shared" si="76"/>
        <v>311912.63000000012</v>
      </c>
      <c r="Z85" s="385">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1">
        <f t="shared" si="63"/>
        <v>0</v>
      </c>
      <c r="AJ85" s="401">
        <f t="shared" si="107"/>
        <v>0</v>
      </c>
      <c r="AK85" s="401">
        <f t="shared" si="64"/>
        <v>0</v>
      </c>
      <c r="AL85" s="188">
        <f t="shared" si="82"/>
        <v>311617.58000000013</v>
      </c>
      <c r="AM85" s="316">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0"/>
    </row>
    <row r="86" spans="1:50">
      <c r="A86" s="392">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6">
        <f t="shared" si="102"/>
        <v>4</v>
      </c>
      <c r="M86" s="316">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2">
        <f t="shared" si="112"/>
        <v>47970</v>
      </c>
      <c r="Y86" s="188">
        <f t="shared" si="76"/>
        <v>311617.58000000013</v>
      </c>
      <c r="Z86" s="385">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1">
        <f t="shared" si="63"/>
        <v>0</v>
      </c>
      <c r="AJ86" s="401">
        <f t="shared" si="107"/>
        <v>0</v>
      </c>
      <c r="AK86" s="401">
        <f t="shared" si="64"/>
        <v>0</v>
      </c>
      <c r="AL86" s="188">
        <f t="shared" si="82"/>
        <v>311320.44000000012</v>
      </c>
      <c r="AM86" s="316">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5">
        <f t="shared" si="68"/>
        <v>48000</v>
      </c>
      <c r="B87" s="236">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6">
        <f t="shared" si="69"/>
        <v>8684.0799999999981</v>
      </c>
      <c r="J87" s="236">
        <f t="shared" si="70"/>
        <v>32087.44999999999</v>
      </c>
      <c r="K87" s="236">
        <f t="shared" si="71"/>
        <v>114489.08999999998</v>
      </c>
      <c r="L87" s="317">
        <f t="shared" si="102"/>
        <v>4</v>
      </c>
      <c r="M87" s="317">
        <f t="shared" si="110"/>
        <v>59</v>
      </c>
      <c r="N87" s="236">
        <f t="shared" si="111"/>
        <v>311320.44000000012</v>
      </c>
      <c r="O87" s="236">
        <f t="shared" si="72"/>
        <v>2504.4299999999998</v>
      </c>
      <c r="P87" s="236">
        <f t="shared" si="119"/>
        <v>299.23999999999978</v>
      </c>
      <c r="Q87" s="236">
        <f t="shared" si="73"/>
        <v>2205.19</v>
      </c>
      <c r="R87" s="236">
        <f t="shared" si="83"/>
        <v>51.5</v>
      </c>
      <c r="S87" s="236">
        <f t="shared" si="74"/>
        <v>145.09666666666666</v>
      </c>
      <c r="T87" s="236">
        <f t="shared" si="58"/>
        <v>2701.0266666666666</v>
      </c>
      <c r="U87" s="236">
        <f t="shared" si="120"/>
        <v>14688.799999999996</v>
      </c>
      <c r="V87" s="236">
        <f t="shared" si="121"/>
        <v>135577.00000000003</v>
      </c>
      <c r="W87" s="236">
        <f t="shared" si="75"/>
        <v>311021.20000000013</v>
      </c>
      <c r="X87" s="395">
        <f t="shared" si="112"/>
        <v>48000</v>
      </c>
      <c r="Y87" s="236">
        <f t="shared" si="76"/>
        <v>311320.44000000012</v>
      </c>
      <c r="Z87" s="386">
        <f t="shared" si="103"/>
        <v>8.4999999999999992E-2</v>
      </c>
      <c r="AA87" s="236">
        <f t="shared" si="104"/>
        <v>2504.4299999999998</v>
      </c>
      <c r="AB87" s="236">
        <f t="shared" si="77"/>
        <v>299.23999999999978</v>
      </c>
      <c r="AC87" s="236">
        <f t="shared" si="105"/>
        <v>2205.19</v>
      </c>
      <c r="AD87" s="236">
        <f t="shared" ref="AD87:AE87" si="127">+AD86</f>
        <v>51.5</v>
      </c>
      <c r="AE87" s="236">
        <f t="shared" si="127"/>
        <v>145.09666666666666</v>
      </c>
      <c r="AF87" s="236">
        <f t="shared" si="79"/>
        <v>2701.0266666666666</v>
      </c>
      <c r="AG87" s="236">
        <f t="shared" si="80"/>
        <v>14688.799999999996</v>
      </c>
      <c r="AH87" s="236">
        <f t="shared" si="81"/>
        <v>135577.00000000003</v>
      </c>
      <c r="AI87" s="402">
        <f t="shared" si="63"/>
        <v>0</v>
      </c>
      <c r="AJ87" s="402">
        <f t="shared" si="107"/>
        <v>0</v>
      </c>
      <c r="AK87" s="402">
        <f t="shared" si="64"/>
        <v>0</v>
      </c>
      <c r="AL87" s="236">
        <f t="shared" si="82"/>
        <v>311021.20000000013</v>
      </c>
      <c r="AM87" s="317">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6">
        <f t="shared" si="116"/>
        <v>972.21467670871573</v>
      </c>
      <c r="AV87" s="236">
        <f t="shared" si="117"/>
        <v>64148.085360195051</v>
      </c>
    </row>
    <row r="88" spans="1:50">
      <c r="A88" s="392">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6">
        <f t="shared" si="102"/>
        <v>5</v>
      </c>
      <c r="M88" s="316">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2">
        <f t="shared" si="112"/>
        <v>48030</v>
      </c>
      <c r="Y88" s="188">
        <f t="shared" si="76"/>
        <v>311021.20000000013</v>
      </c>
      <c r="Z88" s="385">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1">
        <f t="shared" si="63"/>
        <v>0</v>
      </c>
      <c r="AJ88" s="401">
        <f t="shared" si="107"/>
        <v>0</v>
      </c>
      <c r="AK88" s="401">
        <f t="shared" si="64"/>
        <v>0</v>
      </c>
      <c r="AL88" s="188">
        <f t="shared" si="82"/>
        <v>310719.84000000014</v>
      </c>
      <c r="AM88" s="316">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2">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6">
        <f t="shared" si="102"/>
        <v>5</v>
      </c>
      <c r="M89" s="316">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2">
        <f t="shared" si="112"/>
        <v>48060</v>
      </c>
      <c r="Y89" s="188">
        <f t="shared" si="76"/>
        <v>310719.84000000014</v>
      </c>
      <c r="Z89" s="385">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1">
        <f t="shared" si="63"/>
        <v>0</v>
      </c>
      <c r="AJ89" s="401">
        <f t="shared" si="107"/>
        <v>0</v>
      </c>
      <c r="AK89" s="401">
        <f t="shared" si="64"/>
        <v>0</v>
      </c>
      <c r="AL89" s="188">
        <f t="shared" si="82"/>
        <v>310416.34000000014</v>
      </c>
      <c r="AM89" s="316">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2">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6">
        <f t="shared" si="102"/>
        <v>5</v>
      </c>
      <c r="M90" s="316">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2">
        <f t="shared" si="112"/>
        <v>48090</v>
      </c>
      <c r="Y90" s="188">
        <f t="shared" si="76"/>
        <v>310416.34000000014</v>
      </c>
      <c r="Z90" s="385">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1">
        <f t="shared" si="63"/>
        <v>0</v>
      </c>
      <c r="AJ90" s="401">
        <f t="shared" si="107"/>
        <v>0</v>
      </c>
      <c r="AK90" s="401">
        <f t="shared" si="64"/>
        <v>0</v>
      </c>
      <c r="AL90" s="188">
        <f t="shared" si="82"/>
        <v>310110.69000000012</v>
      </c>
      <c r="AM90" s="316">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2">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6">
        <f t="shared" si="102"/>
        <v>5</v>
      </c>
      <c r="M91" s="316">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2">
        <f t="shared" si="112"/>
        <v>48120</v>
      </c>
      <c r="Y91" s="188">
        <f t="shared" si="76"/>
        <v>310110.69000000012</v>
      </c>
      <c r="Z91" s="385">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1">
        <f t="shared" si="63"/>
        <v>0</v>
      </c>
      <c r="AJ91" s="401">
        <f>+W91-AL91</f>
        <v>0</v>
      </c>
      <c r="AK91" s="401">
        <f t="shared" si="64"/>
        <v>0</v>
      </c>
      <c r="AL91" s="188">
        <f t="shared" si="82"/>
        <v>309802.88000000012</v>
      </c>
      <c r="AM91" s="316">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2">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6">
        <f t="shared" si="102"/>
        <v>5</v>
      </c>
      <c r="M92" s="316">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2">
        <f t="shared" si="112"/>
        <v>48150</v>
      </c>
      <c r="Y92" s="188">
        <f t="shared" si="76"/>
        <v>309802.88000000012</v>
      </c>
      <c r="Z92" s="385">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1">
        <f t="shared" si="63"/>
        <v>0</v>
      </c>
      <c r="AJ92" s="401">
        <f t="shared" ref="AJ92:AJ155" si="133">+W92-AL92</f>
        <v>0</v>
      </c>
      <c r="AK92" s="401">
        <f t="shared" si="64"/>
        <v>0</v>
      </c>
      <c r="AL92" s="188">
        <f t="shared" si="82"/>
        <v>309492.89000000013</v>
      </c>
      <c r="AM92" s="316">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2">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6">
        <f t="shared" si="102"/>
        <v>5</v>
      </c>
      <c r="M93" s="316">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2">
        <f t="shared" si="112"/>
        <v>48180</v>
      </c>
      <c r="Y93" s="188">
        <f t="shared" si="76"/>
        <v>309492.89000000013</v>
      </c>
      <c r="Z93" s="385">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1">
        <f t="shared" si="63"/>
        <v>0</v>
      </c>
      <c r="AJ93" s="401">
        <f t="shared" si="133"/>
        <v>0</v>
      </c>
      <c r="AK93" s="401">
        <f t="shared" si="64"/>
        <v>0</v>
      </c>
      <c r="AL93" s="188">
        <f t="shared" si="82"/>
        <v>309180.70000000013</v>
      </c>
      <c r="AM93" s="316">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2">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6">
        <f t="shared" si="102"/>
        <v>5</v>
      </c>
      <c r="M94" s="316">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2">
        <f t="shared" si="112"/>
        <v>48210</v>
      </c>
      <c r="Y94" s="188">
        <f t="shared" si="76"/>
        <v>309180.70000000013</v>
      </c>
      <c r="Z94" s="385">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1">
        <f t="shared" si="63"/>
        <v>0</v>
      </c>
      <c r="AJ94" s="401">
        <f t="shared" si="133"/>
        <v>0</v>
      </c>
      <c r="AK94" s="401">
        <f t="shared" si="64"/>
        <v>0</v>
      </c>
      <c r="AL94" s="188">
        <f t="shared" si="82"/>
        <v>308866.3000000001</v>
      </c>
      <c r="AM94" s="316">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2">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6">
        <f t="shared" si="102"/>
        <v>5</v>
      </c>
      <c r="M95" s="316">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2">
        <f t="shared" si="112"/>
        <v>48240</v>
      </c>
      <c r="Y95" s="188">
        <f t="shared" si="76"/>
        <v>308866.3000000001</v>
      </c>
      <c r="Z95" s="385">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1">
        <f t="shared" si="63"/>
        <v>0</v>
      </c>
      <c r="AJ95" s="401">
        <f t="shared" si="133"/>
        <v>0</v>
      </c>
      <c r="AK95" s="401">
        <f t="shared" si="64"/>
        <v>0</v>
      </c>
      <c r="AL95" s="188">
        <f t="shared" si="82"/>
        <v>308549.6700000001</v>
      </c>
      <c r="AM95" s="316">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2">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6">
        <f t="shared" si="102"/>
        <v>5</v>
      </c>
      <c r="M96" s="316">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2">
        <f t="shared" si="112"/>
        <v>48270</v>
      </c>
      <c r="Y96" s="188">
        <f t="shared" si="76"/>
        <v>308549.6700000001</v>
      </c>
      <c r="Z96" s="385">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1">
        <f t="shared" si="63"/>
        <v>0</v>
      </c>
      <c r="AJ96" s="401">
        <f t="shared" si="133"/>
        <v>0</v>
      </c>
      <c r="AK96" s="401">
        <f t="shared" si="64"/>
        <v>0</v>
      </c>
      <c r="AL96" s="188">
        <f t="shared" si="82"/>
        <v>308230.8000000001</v>
      </c>
      <c r="AM96" s="316">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0"/>
    </row>
    <row r="97" spans="1:50">
      <c r="A97" s="392">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6">
        <f t="shared" si="102"/>
        <v>5</v>
      </c>
      <c r="M97" s="316">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2">
        <f t="shared" si="112"/>
        <v>48300</v>
      </c>
      <c r="Y97" s="188">
        <f t="shared" si="76"/>
        <v>308230.8000000001</v>
      </c>
      <c r="Z97" s="385">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1">
        <f t="shared" si="63"/>
        <v>0</v>
      </c>
      <c r="AJ97" s="401">
        <f t="shared" si="133"/>
        <v>0</v>
      </c>
      <c r="AK97" s="401">
        <f t="shared" si="64"/>
        <v>0</v>
      </c>
      <c r="AL97" s="188">
        <f t="shared" si="82"/>
        <v>307909.6700000001</v>
      </c>
      <c r="AM97" s="316">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0"/>
    </row>
    <row r="98" spans="1:50">
      <c r="A98" s="392">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6">
        <f t="shared" si="102"/>
        <v>5</v>
      </c>
      <c r="M98" s="316">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2">
        <f t="shared" si="112"/>
        <v>48330</v>
      </c>
      <c r="Y98" s="188">
        <f t="shared" si="76"/>
        <v>307909.6700000001</v>
      </c>
      <c r="Z98" s="385">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1">
        <f t="shared" si="63"/>
        <v>0</v>
      </c>
      <c r="AJ98" s="401">
        <f t="shared" si="133"/>
        <v>0</v>
      </c>
      <c r="AK98" s="401">
        <f t="shared" si="64"/>
        <v>0</v>
      </c>
      <c r="AL98" s="188">
        <f t="shared" si="82"/>
        <v>307586.27000000008</v>
      </c>
      <c r="AM98" s="316">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5">
        <f t="shared" si="68"/>
        <v>48360</v>
      </c>
      <c r="B99" s="236">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6">
        <f t="shared" si="69"/>
        <v>10283.350000000002</v>
      </c>
      <c r="J99" s="236">
        <f t="shared" si="70"/>
        <v>37206.74</v>
      </c>
      <c r="K99" s="236">
        <f t="shared" si="71"/>
        <v>112889.81999999999</v>
      </c>
      <c r="L99" s="317">
        <f t="shared" si="102"/>
        <v>5</v>
      </c>
      <c r="M99" s="317">
        <f t="shared" si="110"/>
        <v>71</v>
      </c>
      <c r="N99" s="236">
        <f t="shared" si="111"/>
        <v>307586.27000000008</v>
      </c>
      <c r="O99" s="236">
        <f t="shared" si="72"/>
        <v>2504.4299999999998</v>
      </c>
      <c r="P99" s="236">
        <f t="shared" si="119"/>
        <v>325.69000000000005</v>
      </c>
      <c r="Q99" s="236">
        <f t="shared" si="73"/>
        <v>2178.7399999999998</v>
      </c>
      <c r="R99" s="236">
        <f t="shared" si="83"/>
        <v>51.5</v>
      </c>
      <c r="S99" s="236">
        <f t="shared" si="74"/>
        <v>145.09666666666666</v>
      </c>
      <c r="T99" s="236">
        <f t="shared" si="58"/>
        <v>2701.0266666666666</v>
      </c>
      <c r="U99" s="236">
        <f t="shared" si="120"/>
        <v>18449.419999999995</v>
      </c>
      <c r="V99" s="236">
        <f t="shared" si="121"/>
        <v>161869.53999999998</v>
      </c>
      <c r="W99" s="236">
        <f t="shared" si="75"/>
        <v>307260.58000000007</v>
      </c>
      <c r="X99" s="395">
        <f t="shared" si="112"/>
        <v>48360</v>
      </c>
      <c r="Y99" s="236">
        <f t="shared" si="76"/>
        <v>307586.27000000008</v>
      </c>
      <c r="Z99" s="386">
        <f t="shared" si="103"/>
        <v>8.4999999999999992E-2</v>
      </c>
      <c r="AA99" s="236">
        <f t="shared" si="104"/>
        <v>2504.4299999999998</v>
      </c>
      <c r="AB99" s="236">
        <f t="shared" si="77"/>
        <v>325.69000000000005</v>
      </c>
      <c r="AC99" s="236">
        <f t="shared" si="105"/>
        <v>2178.7399999999998</v>
      </c>
      <c r="AD99" s="236">
        <f t="shared" ref="AD99:AE99" si="140">+AD98</f>
        <v>51.5</v>
      </c>
      <c r="AE99" s="236">
        <f t="shared" si="140"/>
        <v>145.09666666666666</v>
      </c>
      <c r="AF99" s="236">
        <f t="shared" si="79"/>
        <v>2701.0266666666666</v>
      </c>
      <c r="AG99" s="236">
        <f t="shared" si="80"/>
        <v>18449.419999999995</v>
      </c>
      <c r="AH99" s="236">
        <f t="shared" si="81"/>
        <v>161869.53999999998</v>
      </c>
      <c r="AI99" s="402">
        <f t="shared" si="63"/>
        <v>0</v>
      </c>
      <c r="AJ99" s="402">
        <f t="shared" si="133"/>
        <v>0</v>
      </c>
      <c r="AK99" s="402">
        <f t="shared" si="64"/>
        <v>0</v>
      </c>
      <c r="AL99" s="236">
        <f t="shared" si="82"/>
        <v>307260.58000000007</v>
      </c>
      <c r="AM99" s="317">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6">
        <f t="shared" si="116"/>
        <v>1001.7855164261676</v>
      </c>
      <c r="AV99" s="236">
        <f t="shared" si="117"/>
        <v>76005.992086893209</v>
      </c>
    </row>
    <row r="100" spans="1:50">
      <c r="A100" s="392">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6">
        <f t="shared" si="102"/>
        <v>6</v>
      </c>
      <c r="M100" s="316">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2">
        <f t="shared" si="112"/>
        <v>48390</v>
      </c>
      <c r="Y100" s="188">
        <f t="shared" si="76"/>
        <v>307260.58000000007</v>
      </c>
      <c r="Z100" s="385">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1">
        <f t="shared" si="63"/>
        <v>0</v>
      </c>
      <c r="AJ100" s="401">
        <f t="shared" si="133"/>
        <v>0</v>
      </c>
      <c r="AK100" s="401">
        <f t="shared" si="64"/>
        <v>0</v>
      </c>
      <c r="AL100" s="188">
        <f t="shared" si="82"/>
        <v>306932.58000000007</v>
      </c>
      <c r="AM100" s="316">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2">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6">
        <f t="shared" si="102"/>
        <v>6</v>
      </c>
      <c r="M101" s="316">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2">
        <f t="shared" si="112"/>
        <v>48420</v>
      </c>
      <c r="Y101" s="188">
        <f t="shared" si="76"/>
        <v>306932.58000000007</v>
      </c>
      <c r="Z101" s="385">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1">
        <f t="shared" si="63"/>
        <v>0</v>
      </c>
      <c r="AJ101" s="401">
        <f t="shared" si="133"/>
        <v>0</v>
      </c>
      <c r="AK101" s="401">
        <f t="shared" si="64"/>
        <v>0</v>
      </c>
      <c r="AL101" s="188">
        <f t="shared" si="82"/>
        <v>306602.26000000007</v>
      </c>
      <c r="AM101" s="316">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2">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6">
        <f t="shared" si="102"/>
        <v>6</v>
      </c>
      <c r="M102" s="316">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2">
        <f t="shared" si="112"/>
        <v>48450</v>
      </c>
      <c r="Y102" s="188">
        <f t="shared" si="76"/>
        <v>306602.26000000007</v>
      </c>
      <c r="Z102" s="385">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1">
        <f t="shared" si="63"/>
        <v>0</v>
      </c>
      <c r="AJ102" s="401">
        <f t="shared" si="133"/>
        <v>0</v>
      </c>
      <c r="AK102" s="401">
        <f t="shared" si="64"/>
        <v>0</v>
      </c>
      <c r="AL102" s="188">
        <f t="shared" si="82"/>
        <v>306269.60000000009</v>
      </c>
      <c r="AM102" s="316">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2">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6">
        <f t="shared" si="102"/>
        <v>6</v>
      </c>
      <c r="M103" s="316">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2">
        <f t="shared" si="112"/>
        <v>48480</v>
      </c>
      <c r="Y103" s="188">
        <f t="shared" si="76"/>
        <v>306269.60000000009</v>
      </c>
      <c r="Z103" s="385">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1">
        <f t="shared" si="63"/>
        <v>0</v>
      </c>
      <c r="AJ103" s="401">
        <f t="shared" si="133"/>
        <v>0</v>
      </c>
      <c r="AK103" s="401">
        <f t="shared" si="64"/>
        <v>0</v>
      </c>
      <c r="AL103" s="188">
        <f t="shared" si="82"/>
        <v>305934.58000000007</v>
      </c>
      <c r="AM103" s="316">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2">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6">
        <f t="shared" si="102"/>
        <v>6</v>
      </c>
      <c r="M104" s="316">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2">
        <f t="shared" si="112"/>
        <v>48510</v>
      </c>
      <c r="Y104" s="188">
        <f t="shared" si="76"/>
        <v>305934.58000000007</v>
      </c>
      <c r="Z104" s="385">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1">
        <f t="shared" si="63"/>
        <v>0</v>
      </c>
      <c r="AJ104" s="401">
        <f t="shared" si="133"/>
        <v>0</v>
      </c>
      <c r="AK104" s="401">
        <f t="shared" si="64"/>
        <v>0</v>
      </c>
      <c r="AL104" s="188">
        <f t="shared" si="82"/>
        <v>305597.19000000006</v>
      </c>
      <c r="AM104" s="316">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2">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6">
        <f t="shared" si="102"/>
        <v>6</v>
      </c>
      <c r="M105" s="316">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2">
        <f t="shared" si="112"/>
        <v>48540</v>
      </c>
      <c r="Y105" s="188">
        <f t="shared" si="76"/>
        <v>305597.19000000006</v>
      </c>
      <c r="Z105" s="385">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1">
        <f t="shared" si="63"/>
        <v>0</v>
      </c>
      <c r="AJ105" s="401">
        <f t="shared" si="133"/>
        <v>0</v>
      </c>
      <c r="AK105" s="401">
        <f t="shared" si="64"/>
        <v>0</v>
      </c>
      <c r="AL105" s="188">
        <f t="shared" si="82"/>
        <v>305257.41000000003</v>
      </c>
      <c r="AM105" s="316">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2">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6">
        <f t="shared" si="102"/>
        <v>6</v>
      </c>
      <c r="M106" s="316">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2">
        <f t="shared" si="112"/>
        <v>48570</v>
      </c>
      <c r="Y106" s="188">
        <f t="shared" si="76"/>
        <v>305257.41000000003</v>
      </c>
      <c r="Z106" s="385">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1">
        <f t="shared" si="63"/>
        <v>0</v>
      </c>
      <c r="AJ106" s="401">
        <f t="shared" si="133"/>
        <v>0</v>
      </c>
      <c r="AK106" s="401">
        <f t="shared" si="64"/>
        <v>0</v>
      </c>
      <c r="AL106" s="188">
        <f t="shared" si="82"/>
        <v>304915.22000000003</v>
      </c>
      <c r="AM106" s="316">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2">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6">
        <f t="shared" si="102"/>
        <v>6</v>
      </c>
      <c r="M107" s="316">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2">
        <f t="shared" si="112"/>
        <v>48600</v>
      </c>
      <c r="Y107" s="188">
        <f t="shared" si="76"/>
        <v>304915.22000000003</v>
      </c>
      <c r="Z107" s="385">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1">
        <f t="shared" si="63"/>
        <v>0</v>
      </c>
      <c r="AJ107" s="401">
        <f t="shared" si="133"/>
        <v>0</v>
      </c>
      <c r="AK107" s="401">
        <f t="shared" si="64"/>
        <v>0</v>
      </c>
      <c r="AL107" s="188">
        <f t="shared" si="82"/>
        <v>304570.61000000004</v>
      </c>
      <c r="AM107" s="316">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2">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6">
        <f t="shared" si="102"/>
        <v>6</v>
      </c>
      <c r="M108" s="316">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2">
        <f t="shared" si="112"/>
        <v>48630</v>
      </c>
      <c r="Y108" s="188">
        <f t="shared" si="76"/>
        <v>304570.61000000004</v>
      </c>
      <c r="Z108" s="385">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1">
        <f t="shared" si="63"/>
        <v>0</v>
      </c>
      <c r="AJ108" s="401">
        <f t="shared" si="133"/>
        <v>0</v>
      </c>
      <c r="AK108" s="401">
        <f t="shared" si="64"/>
        <v>0</v>
      </c>
      <c r="AL108" s="188">
        <f t="shared" si="82"/>
        <v>304223.56000000006</v>
      </c>
      <c r="AM108" s="316">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0"/>
    </row>
    <row r="109" spans="1:50">
      <c r="A109" s="392">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6">
        <f>IF(MOD(M109,12)=0,M109/12,L108)</f>
        <v>6</v>
      </c>
      <c r="M109" s="316">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2">
        <f t="shared" si="112"/>
        <v>48660</v>
      </c>
      <c r="Y109" s="188">
        <f t="shared" si="76"/>
        <v>304223.56000000006</v>
      </c>
      <c r="Z109" s="385">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1">
        <f t="shared" si="63"/>
        <v>0</v>
      </c>
      <c r="AJ109" s="401">
        <f t="shared" si="133"/>
        <v>0</v>
      </c>
      <c r="AK109" s="401">
        <f t="shared" si="64"/>
        <v>0</v>
      </c>
      <c r="AL109" s="188">
        <f t="shared" si="82"/>
        <v>303874.05000000005</v>
      </c>
      <c r="AM109" s="316">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0"/>
    </row>
    <row r="110" spans="1:50">
      <c r="A110" s="392">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6">
        <f>IF(MOD(M110,12)=0,M110/12,L109)</f>
        <v>6</v>
      </c>
      <c r="M110" s="316">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2">
        <f t="shared" si="112"/>
        <v>48690</v>
      </c>
      <c r="Y110" s="188">
        <f t="shared" si="76"/>
        <v>303874.05000000005</v>
      </c>
      <c r="Z110" s="385">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1">
        <f t="shared" si="63"/>
        <v>0</v>
      </c>
      <c r="AJ110" s="401">
        <f t="shared" si="133"/>
        <v>0</v>
      </c>
      <c r="AK110" s="401">
        <f t="shared" si="64"/>
        <v>0</v>
      </c>
      <c r="AL110" s="188">
        <f t="shared" si="82"/>
        <v>303522.06000000006</v>
      </c>
      <c r="AM110" s="316">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5">
        <f t="shared" si="68"/>
        <v>48720</v>
      </c>
      <c r="B111" s="236">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6">
        <f t="shared" si="69"/>
        <v>11956.080000000004</v>
      </c>
      <c r="J111" s="236">
        <f t="shared" si="70"/>
        <v>42252.569999999992</v>
      </c>
      <c r="K111" s="236">
        <f t="shared" si="71"/>
        <v>111217.09</v>
      </c>
      <c r="L111" s="317">
        <f>IF(MOD(M111,12)=0,M111/12,L110)</f>
        <v>6</v>
      </c>
      <c r="M111" s="317">
        <f t="shared" si="110"/>
        <v>83</v>
      </c>
      <c r="N111" s="236">
        <f t="shared" si="111"/>
        <v>303522.06000000006</v>
      </c>
      <c r="O111" s="236">
        <f t="shared" si="72"/>
        <v>2504.4299999999998</v>
      </c>
      <c r="P111" s="236">
        <f t="shared" si="119"/>
        <v>354.48</v>
      </c>
      <c r="Q111" s="236">
        <f t="shared" si="73"/>
        <v>2149.9499999999998</v>
      </c>
      <c r="R111" s="236">
        <f t="shared" si="83"/>
        <v>51.5</v>
      </c>
      <c r="S111" s="236">
        <f t="shared" si="74"/>
        <v>145.09666666666666</v>
      </c>
      <c r="T111" s="236">
        <f t="shared" si="58"/>
        <v>2701.0266666666666</v>
      </c>
      <c r="U111" s="236">
        <f t="shared" si="120"/>
        <v>22542.419999999987</v>
      </c>
      <c r="V111" s="236">
        <f t="shared" si="121"/>
        <v>187829.69999999998</v>
      </c>
      <c r="W111" s="236">
        <f t="shared" si="75"/>
        <v>303167.58000000007</v>
      </c>
      <c r="X111" s="395">
        <f t="shared" si="112"/>
        <v>48720</v>
      </c>
      <c r="Y111" s="236">
        <f t="shared" si="76"/>
        <v>303522.06000000006</v>
      </c>
      <c r="Z111" s="386">
        <f t="shared" si="103"/>
        <v>8.4999999999999992E-2</v>
      </c>
      <c r="AA111" s="236">
        <f t="shared" si="104"/>
        <v>2504.4299999999998</v>
      </c>
      <c r="AB111" s="236">
        <f t="shared" si="77"/>
        <v>354.48</v>
      </c>
      <c r="AC111" s="236">
        <f t="shared" si="105"/>
        <v>2149.9499999999998</v>
      </c>
      <c r="AD111" s="236">
        <f t="shared" ref="AD111:AE111" si="153">+AD110</f>
        <v>51.5</v>
      </c>
      <c r="AE111" s="236">
        <f t="shared" si="153"/>
        <v>145.09666666666666</v>
      </c>
      <c r="AF111" s="236">
        <f t="shared" si="79"/>
        <v>2701.0266666666666</v>
      </c>
      <c r="AG111" s="236">
        <f t="shared" si="80"/>
        <v>22542.419999999987</v>
      </c>
      <c r="AH111" s="236">
        <f t="shared" si="81"/>
        <v>187829.69999999998</v>
      </c>
      <c r="AI111" s="402">
        <f t="shared" si="63"/>
        <v>0</v>
      </c>
      <c r="AJ111" s="402">
        <f t="shared" si="133"/>
        <v>0</v>
      </c>
      <c r="AK111" s="402">
        <f t="shared" si="64"/>
        <v>0</v>
      </c>
      <c r="AL111" s="236">
        <f t="shared" si="82"/>
        <v>303167.58000000007</v>
      </c>
      <c r="AM111" s="317">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6">
        <f t="shared" si="116"/>
        <v>1032.2557815303614</v>
      </c>
      <c r="AV111" s="236">
        <f t="shared" si="117"/>
        <v>88224.568393674985</v>
      </c>
      <c r="AX111" s="370"/>
    </row>
    <row r="112" spans="1:50">
      <c r="A112" s="392">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6">
        <f t="shared" ref="L112:L175" si="154">IF(MOD(M112,12)=0,M112/12,L111)</f>
        <v>7</v>
      </c>
      <c r="M112" s="316">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2">
        <f t="shared" si="112"/>
        <v>48750</v>
      </c>
      <c r="Y112" s="188">
        <f t="shared" si="76"/>
        <v>303167.58000000007</v>
      </c>
      <c r="Z112" s="385">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1">
        <f t="shared" si="63"/>
        <v>0</v>
      </c>
      <c r="AJ112" s="401">
        <f t="shared" si="133"/>
        <v>0</v>
      </c>
      <c r="AK112" s="401">
        <f t="shared" si="64"/>
        <v>0</v>
      </c>
      <c r="AL112" s="188">
        <f t="shared" si="82"/>
        <v>302810.59000000008</v>
      </c>
      <c r="AM112" s="316">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2">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6">
        <f t="shared" si="154"/>
        <v>7</v>
      </c>
      <c r="M113" s="316">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2">
        <f t="shared" si="112"/>
        <v>48780</v>
      </c>
      <c r="Y113" s="188">
        <f t="shared" si="76"/>
        <v>302810.59000000008</v>
      </c>
      <c r="Z113" s="385">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1">
        <f t="shared" si="63"/>
        <v>0</v>
      </c>
      <c r="AJ113" s="401">
        <f t="shared" si="133"/>
        <v>0</v>
      </c>
      <c r="AK113" s="401">
        <f t="shared" si="64"/>
        <v>0</v>
      </c>
      <c r="AL113" s="188">
        <f t="shared" si="82"/>
        <v>302451.07000000007</v>
      </c>
      <c r="AM113" s="316">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2">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6">
        <f t="shared" si="154"/>
        <v>7</v>
      </c>
      <c r="M114" s="316">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2">
        <f t="shared" si="112"/>
        <v>48810</v>
      </c>
      <c r="Y114" s="188">
        <f t="shared" si="76"/>
        <v>302451.07000000007</v>
      </c>
      <c r="Z114" s="385">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1">
        <f t="shared" si="63"/>
        <v>0</v>
      </c>
      <c r="AJ114" s="401">
        <f t="shared" si="133"/>
        <v>0</v>
      </c>
      <c r="AK114" s="401">
        <f t="shared" si="64"/>
        <v>0</v>
      </c>
      <c r="AL114" s="188">
        <f t="shared" si="82"/>
        <v>302089.00000000006</v>
      </c>
      <c r="AM114" s="316">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2">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6">
        <f t="shared" si="154"/>
        <v>7</v>
      </c>
      <c r="M115" s="316">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2">
        <f t="shared" si="112"/>
        <v>48840</v>
      </c>
      <c r="Y115" s="188">
        <f t="shared" si="76"/>
        <v>302089.00000000006</v>
      </c>
      <c r="Z115" s="385">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1">
        <f t="shared" si="63"/>
        <v>0</v>
      </c>
      <c r="AJ115" s="401">
        <f t="shared" si="133"/>
        <v>0</v>
      </c>
      <c r="AK115" s="401">
        <f t="shared" si="64"/>
        <v>0</v>
      </c>
      <c r="AL115" s="188">
        <f t="shared" si="82"/>
        <v>301724.37000000005</v>
      </c>
      <c r="AM115" s="316">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2">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6">
        <f t="shared" si="154"/>
        <v>7</v>
      </c>
      <c r="M116" s="316">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2">
        <f t="shared" si="112"/>
        <v>48870</v>
      </c>
      <c r="Y116" s="188">
        <f t="shared" si="76"/>
        <v>301724.37000000005</v>
      </c>
      <c r="Z116" s="385">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1">
        <f t="shared" si="63"/>
        <v>0</v>
      </c>
      <c r="AJ116" s="401">
        <f t="shared" si="133"/>
        <v>0</v>
      </c>
      <c r="AK116" s="401">
        <f t="shared" si="64"/>
        <v>0</v>
      </c>
      <c r="AL116" s="188">
        <f t="shared" si="82"/>
        <v>301357.15000000008</v>
      </c>
      <c r="AM116" s="316">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2">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6">
        <f t="shared" si="154"/>
        <v>7</v>
      </c>
      <c r="M117" s="316">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2">
        <f t="shared" si="112"/>
        <v>48900</v>
      </c>
      <c r="Y117" s="188">
        <f t="shared" si="76"/>
        <v>301357.15000000008</v>
      </c>
      <c r="Z117" s="385">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1">
        <f t="shared" si="63"/>
        <v>0</v>
      </c>
      <c r="AJ117" s="401">
        <f t="shared" si="133"/>
        <v>0</v>
      </c>
      <c r="AK117" s="401">
        <f t="shared" si="64"/>
        <v>0</v>
      </c>
      <c r="AL117" s="188">
        <f t="shared" si="82"/>
        <v>300987.33000000007</v>
      </c>
      <c r="AM117" s="316">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2">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6">
        <f t="shared" si="154"/>
        <v>7</v>
      </c>
      <c r="M118" s="316">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2">
        <f t="shared" si="112"/>
        <v>48930</v>
      </c>
      <c r="Y118" s="188">
        <f t="shared" si="76"/>
        <v>300987.33000000007</v>
      </c>
      <c r="Z118" s="385">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1">
        <f t="shared" si="63"/>
        <v>0</v>
      </c>
      <c r="AJ118" s="401">
        <f t="shared" si="133"/>
        <v>0</v>
      </c>
      <c r="AK118" s="401">
        <f t="shared" si="64"/>
        <v>0</v>
      </c>
      <c r="AL118" s="188">
        <f t="shared" si="82"/>
        <v>300614.89000000007</v>
      </c>
      <c r="AM118" s="316">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0"/>
    </row>
    <row r="119" spans="1:50">
      <c r="A119" s="392">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6">
        <f t="shared" si="154"/>
        <v>7</v>
      </c>
      <c r="M119" s="316">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2">
        <f t="shared" si="112"/>
        <v>48960</v>
      </c>
      <c r="Y119" s="188">
        <f t="shared" si="76"/>
        <v>300614.89000000007</v>
      </c>
      <c r="Z119" s="385">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1">
        <f t="shared" si="63"/>
        <v>0</v>
      </c>
      <c r="AJ119" s="401">
        <f t="shared" si="133"/>
        <v>0</v>
      </c>
      <c r="AK119" s="401">
        <f t="shared" si="64"/>
        <v>0</v>
      </c>
      <c r="AL119" s="188">
        <f t="shared" si="82"/>
        <v>300239.82000000007</v>
      </c>
      <c r="AM119" s="316">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0"/>
    </row>
    <row r="120" spans="1:50">
      <c r="A120" s="392">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6">
        <f t="shared" si="154"/>
        <v>7</v>
      </c>
      <c r="M120" s="316">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2">
        <f t="shared" si="112"/>
        <v>48990</v>
      </c>
      <c r="Y120" s="188">
        <f t="shared" si="76"/>
        <v>300239.82000000007</v>
      </c>
      <c r="Z120" s="385">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1">
        <f t="shared" si="63"/>
        <v>0</v>
      </c>
      <c r="AJ120" s="401">
        <f t="shared" si="133"/>
        <v>0</v>
      </c>
      <c r="AK120" s="401">
        <f t="shared" si="64"/>
        <v>0</v>
      </c>
      <c r="AL120" s="188">
        <f t="shared" si="82"/>
        <v>299862.09000000008</v>
      </c>
      <c r="AM120" s="316">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0"/>
    </row>
    <row r="121" spans="1:50">
      <c r="A121" s="392">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6">
        <f t="shared" si="154"/>
        <v>7</v>
      </c>
      <c r="M121" s="316">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2">
        <f t="shared" si="112"/>
        <v>49020</v>
      </c>
      <c r="Y121" s="188">
        <f t="shared" si="76"/>
        <v>299862.09000000008</v>
      </c>
      <c r="Z121" s="385">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1">
        <f t="shared" si="63"/>
        <v>0</v>
      </c>
      <c r="AJ121" s="401">
        <f t="shared" si="133"/>
        <v>0</v>
      </c>
      <c r="AK121" s="401">
        <f t="shared" si="64"/>
        <v>0</v>
      </c>
      <c r="AL121" s="188">
        <f t="shared" si="82"/>
        <v>299481.68000000011</v>
      </c>
      <c r="AM121" s="316">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2">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6">
        <f t="shared" si="154"/>
        <v>7</v>
      </c>
      <c r="M122" s="316">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2">
        <f t="shared" si="112"/>
        <v>49050</v>
      </c>
      <c r="Y122" s="188">
        <f t="shared" si="76"/>
        <v>299481.68000000011</v>
      </c>
      <c r="Z122" s="385">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1">
        <f t="shared" si="63"/>
        <v>0</v>
      </c>
      <c r="AJ122" s="401">
        <f t="shared" si="133"/>
        <v>0</v>
      </c>
      <c r="AK122" s="401">
        <f t="shared" si="64"/>
        <v>0</v>
      </c>
      <c r="AL122" s="188">
        <f t="shared" si="82"/>
        <v>299098.58000000013</v>
      </c>
      <c r="AM122" s="316">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5">
        <f t="shared" si="68"/>
        <v>49080</v>
      </c>
      <c r="B123" s="236">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6">
        <f t="shared" si="69"/>
        <v>13705.670000000002</v>
      </c>
      <c r="J123" s="236">
        <f t="shared" si="70"/>
        <v>47221.539999999986</v>
      </c>
      <c r="K123" s="236">
        <f t="shared" si="71"/>
        <v>109467.49999999999</v>
      </c>
      <c r="L123" s="317">
        <f t="shared" si="154"/>
        <v>7</v>
      </c>
      <c r="M123" s="317">
        <f t="shared" si="110"/>
        <v>95</v>
      </c>
      <c r="N123" s="236">
        <f t="shared" si="111"/>
        <v>299098.58000000013</v>
      </c>
      <c r="O123" s="236">
        <f t="shared" si="72"/>
        <v>2504.4299999999998</v>
      </c>
      <c r="P123" s="236">
        <f t="shared" si="119"/>
        <v>385.81999999999971</v>
      </c>
      <c r="Q123" s="236">
        <f t="shared" si="73"/>
        <v>2118.61</v>
      </c>
      <c r="R123" s="236">
        <f t="shared" si="83"/>
        <v>51.5</v>
      </c>
      <c r="S123" s="236">
        <f t="shared" si="74"/>
        <v>145.09666666666666</v>
      </c>
      <c r="T123" s="236">
        <f t="shared" si="58"/>
        <v>2701.0266666666666</v>
      </c>
      <c r="U123" s="236">
        <f t="shared" si="120"/>
        <v>26997.239999999987</v>
      </c>
      <c r="V123" s="236">
        <f t="shared" si="121"/>
        <v>213428.03999999989</v>
      </c>
      <c r="W123" s="236">
        <f t="shared" si="75"/>
        <v>298712.76000000013</v>
      </c>
      <c r="X123" s="395">
        <f t="shared" si="112"/>
        <v>49080</v>
      </c>
      <c r="Y123" s="236">
        <f t="shared" si="76"/>
        <v>299098.58000000013</v>
      </c>
      <c r="Z123" s="386">
        <f t="shared" si="103"/>
        <v>8.4999999999999992E-2</v>
      </c>
      <c r="AA123" s="236">
        <f t="shared" si="104"/>
        <v>2504.4299999999998</v>
      </c>
      <c r="AB123" s="236">
        <f t="shared" si="77"/>
        <v>385.81999999999971</v>
      </c>
      <c r="AC123" s="236">
        <f t="shared" si="105"/>
        <v>2118.61</v>
      </c>
      <c r="AD123" s="236">
        <f t="shared" ref="AD123:AE123" si="168">+AD122</f>
        <v>51.5</v>
      </c>
      <c r="AE123" s="236">
        <f t="shared" si="168"/>
        <v>145.09666666666666</v>
      </c>
      <c r="AF123" s="236">
        <f t="shared" si="79"/>
        <v>2701.0266666666666</v>
      </c>
      <c r="AG123" s="236">
        <f t="shared" si="80"/>
        <v>26997.239999999987</v>
      </c>
      <c r="AH123" s="236">
        <f t="shared" si="81"/>
        <v>213428.03999999989</v>
      </c>
      <c r="AI123" s="402">
        <f t="shared" si="63"/>
        <v>0</v>
      </c>
      <c r="AJ123" s="402">
        <f t="shared" si="133"/>
        <v>0</v>
      </c>
      <c r="AK123" s="402">
        <f t="shared" si="64"/>
        <v>0</v>
      </c>
      <c r="AL123" s="236">
        <f t="shared" si="82"/>
        <v>298712.76000000013</v>
      </c>
      <c r="AM123" s="317">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6">
        <f t="shared" si="116"/>
        <v>1063.6528289051078</v>
      </c>
      <c r="AV123" s="236">
        <f t="shared" si="117"/>
        <v>100814.78439094823</v>
      </c>
    </row>
    <row r="124" spans="1:50">
      <c r="A124" s="392">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6">
        <f t="shared" si="154"/>
        <v>8</v>
      </c>
      <c r="M124" s="316">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2">
        <f t="shared" si="112"/>
        <v>49110</v>
      </c>
      <c r="Y124" s="188">
        <f t="shared" si="76"/>
        <v>298712.76000000013</v>
      </c>
      <c r="Z124" s="385">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1">
        <f t="shared" si="63"/>
        <v>0</v>
      </c>
      <c r="AJ124" s="401">
        <f t="shared" si="133"/>
        <v>0</v>
      </c>
      <c r="AK124" s="401">
        <f t="shared" si="64"/>
        <v>0</v>
      </c>
      <c r="AL124" s="188">
        <f t="shared" si="82"/>
        <v>298324.21000000014</v>
      </c>
      <c r="AM124" s="316">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2">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6">
        <f t="shared" si="154"/>
        <v>8</v>
      </c>
      <c r="M125" s="316">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2">
        <f t="shared" si="112"/>
        <v>49140</v>
      </c>
      <c r="Y125" s="188">
        <f t="shared" si="76"/>
        <v>298324.21000000014</v>
      </c>
      <c r="Z125" s="385">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1">
        <f t="shared" ref="AI125:AI188" si="175">O125-AA125+AI124</f>
        <v>0</v>
      </c>
      <c r="AJ125" s="401">
        <f t="shared" si="133"/>
        <v>0</v>
      </c>
      <c r="AK125" s="401">
        <f t="shared" ref="AK125:AK188" si="176">SUM(AI125:AJ125)</f>
        <v>0</v>
      </c>
      <c r="AL125" s="188">
        <f t="shared" si="82"/>
        <v>297932.91000000015</v>
      </c>
      <c r="AM125" s="316">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2">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6">
        <f t="shared" si="154"/>
        <v>8</v>
      </c>
      <c r="M126" s="316">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2">
        <f t="shared" si="112"/>
        <v>49170</v>
      </c>
      <c r="Y126" s="188">
        <f t="shared" si="76"/>
        <v>297932.91000000015</v>
      </c>
      <c r="Z126" s="385">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1">
        <f t="shared" si="175"/>
        <v>0</v>
      </c>
      <c r="AJ126" s="401">
        <f t="shared" si="133"/>
        <v>0</v>
      </c>
      <c r="AK126" s="401">
        <f t="shared" si="176"/>
        <v>0</v>
      </c>
      <c r="AL126" s="188">
        <f t="shared" si="82"/>
        <v>297538.84000000014</v>
      </c>
      <c r="AM126" s="316">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2">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6">
        <f t="shared" si="154"/>
        <v>8</v>
      </c>
      <c r="M127" s="316">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2">
        <f t="shared" si="112"/>
        <v>49200</v>
      </c>
      <c r="Y127" s="188">
        <f t="shared" ref="Y127:Y190" si="187">IF(+AL126&lt;0,0,+AL126)</f>
        <v>297538.84000000014</v>
      </c>
      <c r="Z127" s="385">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1">
        <f t="shared" si="175"/>
        <v>0</v>
      </c>
      <c r="AJ127" s="401">
        <f t="shared" si="133"/>
        <v>0</v>
      </c>
      <c r="AK127" s="401">
        <f t="shared" si="176"/>
        <v>0</v>
      </c>
      <c r="AL127" s="188">
        <f t="shared" ref="AL127:AL190" si="193">+Y127-AB127</f>
        <v>297141.98000000016</v>
      </c>
      <c r="AM127" s="316">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2">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6">
        <f t="shared" si="154"/>
        <v>8</v>
      </c>
      <c r="M128" s="316">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2">
        <f t="shared" si="112"/>
        <v>49230</v>
      </c>
      <c r="Y128" s="188">
        <f t="shared" si="187"/>
        <v>297141.98000000016</v>
      </c>
      <c r="Z128" s="385">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1">
        <f t="shared" si="175"/>
        <v>0</v>
      </c>
      <c r="AJ128" s="401">
        <f t="shared" si="133"/>
        <v>0</v>
      </c>
      <c r="AK128" s="401">
        <f t="shared" si="176"/>
        <v>0</v>
      </c>
      <c r="AL128" s="188">
        <f t="shared" si="193"/>
        <v>296742.31000000017</v>
      </c>
      <c r="AM128" s="316">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2">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6">
        <f t="shared" si="154"/>
        <v>8</v>
      </c>
      <c r="M129" s="316">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2">
        <f t="shared" si="112"/>
        <v>49260</v>
      </c>
      <c r="Y129" s="188">
        <f t="shared" si="187"/>
        <v>296742.31000000017</v>
      </c>
      <c r="Z129" s="385">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1">
        <f t="shared" si="175"/>
        <v>0</v>
      </c>
      <c r="AJ129" s="401">
        <f t="shared" si="133"/>
        <v>0</v>
      </c>
      <c r="AK129" s="401">
        <f t="shared" si="176"/>
        <v>0</v>
      </c>
      <c r="AL129" s="188">
        <f t="shared" si="193"/>
        <v>296339.80000000016</v>
      </c>
      <c r="AM129" s="316">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2">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6">
        <f t="shared" si="154"/>
        <v>8</v>
      </c>
      <c r="M130" s="316">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2">
        <f t="shared" si="112"/>
        <v>49290</v>
      </c>
      <c r="Y130" s="188">
        <f t="shared" si="187"/>
        <v>296339.80000000016</v>
      </c>
      <c r="Z130" s="385">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1">
        <f t="shared" si="175"/>
        <v>0</v>
      </c>
      <c r="AJ130" s="401">
        <f t="shared" si="133"/>
        <v>0</v>
      </c>
      <c r="AK130" s="401">
        <f t="shared" si="176"/>
        <v>0</v>
      </c>
      <c r="AL130" s="188">
        <f t="shared" si="193"/>
        <v>295934.44000000018</v>
      </c>
      <c r="AM130" s="316">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2">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6">
        <f t="shared" si="154"/>
        <v>8</v>
      </c>
      <c r="M131" s="316">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2">
        <f t="shared" si="112"/>
        <v>49320</v>
      </c>
      <c r="Y131" s="188">
        <f t="shared" si="187"/>
        <v>295934.44000000018</v>
      </c>
      <c r="Z131" s="385">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1">
        <f t="shared" si="175"/>
        <v>0</v>
      </c>
      <c r="AJ131" s="401">
        <f t="shared" si="133"/>
        <v>0</v>
      </c>
      <c r="AK131" s="401">
        <f t="shared" si="176"/>
        <v>0</v>
      </c>
      <c r="AL131" s="188">
        <f t="shared" si="193"/>
        <v>295526.2100000002</v>
      </c>
      <c r="AM131" s="316">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2">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6">
        <f t="shared" si="154"/>
        <v>8</v>
      </c>
      <c r="M132" s="316">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2">
        <f t="shared" si="112"/>
        <v>49350</v>
      </c>
      <c r="Y132" s="188">
        <f t="shared" si="187"/>
        <v>295526.2100000002</v>
      </c>
      <c r="Z132" s="385">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1">
        <f t="shared" si="175"/>
        <v>0</v>
      </c>
      <c r="AJ132" s="401">
        <f t="shared" si="133"/>
        <v>0</v>
      </c>
      <c r="AK132" s="401">
        <f t="shared" si="176"/>
        <v>0</v>
      </c>
      <c r="AL132" s="188">
        <f t="shared" si="193"/>
        <v>295115.0900000002</v>
      </c>
      <c r="AM132" s="316">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2">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6">
        <f t="shared" si="154"/>
        <v>8</v>
      </c>
      <c r="M133" s="316">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2">
        <f t="shared" si="112"/>
        <v>49380</v>
      </c>
      <c r="Y133" s="188">
        <f t="shared" si="187"/>
        <v>295115.0900000002</v>
      </c>
      <c r="Z133" s="385">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1">
        <f t="shared" si="175"/>
        <v>0</v>
      </c>
      <c r="AJ133" s="401">
        <f t="shared" si="133"/>
        <v>0</v>
      </c>
      <c r="AK133" s="401">
        <f t="shared" si="176"/>
        <v>0</v>
      </c>
      <c r="AL133" s="188">
        <f t="shared" si="193"/>
        <v>294701.06000000017</v>
      </c>
      <c r="AM133" s="316">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2">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6">
        <f t="shared" si="154"/>
        <v>8</v>
      </c>
      <c r="M134" s="316">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2">
        <f t="shared" si="112"/>
        <v>49410</v>
      </c>
      <c r="Y134" s="188">
        <f t="shared" si="187"/>
        <v>294701.06000000017</v>
      </c>
      <c r="Z134" s="385">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1">
        <f t="shared" si="175"/>
        <v>0</v>
      </c>
      <c r="AJ134" s="401">
        <f t="shared" si="133"/>
        <v>0</v>
      </c>
      <c r="AK134" s="401">
        <f t="shared" si="176"/>
        <v>0</v>
      </c>
      <c r="AL134" s="188">
        <f t="shared" si="193"/>
        <v>294284.10000000015</v>
      </c>
      <c r="AM134" s="316">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5">
        <f t="shared" si="180"/>
        <v>49440</v>
      </c>
      <c r="B135" s="236">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6">
        <f t="shared" si="181"/>
        <v>15535.630000000001</v>
      </c>
      <c r="J135" s="236">
        <f t="shared" si="182"/>
        <v>52110.139999999985</v>
      </c>
      <c r="K135" s="236">
        <f t="shared" si="183"/>
        <v>107637.53999999996</v>
      </c>
      <c r="L135" s="317">
        <f t="shared" si="154"/>
        <v>8</v>
      </c>
      <c r="M135" s="317">
        <f t="shared" si="110"/>
        <v>107</v>
      </c>
      <c r="N135" s="236">
        <f t="shared" si="111"/>
        <v>294284.10000000015</v>
      </c>
      <c r="O135" s="236">
        <f t="shared" si="184"/>
        <v>2504.4299999999998</v>
      </c>
      <c r="P135" s="236">
        <f t="shared" si="119"/>
        <v>419.91999999999962</v>
      </c>
      <c r="Q135" s="236">
        <f t="shared" si="185"/>
        <v>2084.5100000000002</v>
      </c>
      <c r="R135" s="236">
        <f t="shared" si="172"/>
        <v>51.5</v>
      </c>
      <c r="S135" s="236">
        <f t="shared" si="173"/>
        <v>145.09666666666666</v>
      </c>
      <c r="T135" s="236">
        <f t="shared" si="170"/>
        <v>2701.0266666666666</v>
      </c>
      <c r="U135" s="236">
        <f t="shared" si="120"/>
        <v>31845.819999999978</v>
      </c>
      <c r="V135" s="236">
        <f t="shared" si="121"/>
        <v>238632.61999999994</v>
      </c>
      <c r="W135" s="236">
        <f t="shared" si="186"/>
        <v>293864.18000000017</v>
      </c>
      <c r="X135" s="395">
        <f t="shared" si="112"/>
        <v>49440</v>
      </c>
      <c r="Y135" s="236">
        <f t="shared" si="187"/>
        <v>294284.10000000015</v>
      </c>
      <c r="Z135" s="386">
        <f t="shared" si="103"/>
        <v>8.4999999999999992E-2</v>
      </c>
      <c r="AA135" s="236">
        <f t="shared" si="104"/>
        <v>2504.4299999999998</v>
      </c>
      <c r="AB135" s="236">
        <f t="shared" si="188"/>
        <v>419.91999999999962</v>
      </c>
      <c r="AC135" s="236">
        <f t="shared" si="105"/>
        <v>2084.5100000000002</v>
      </c>
      <c r="AD135" s="236">
        <f t="shared" ref="AD135:AE135" si="201">+AD134</f>
        <v>51.5</v>
      </c>
      <c r="AE135" s="236">
        <f t="shared" si="201"/>
        <v>145.09666666666666</v>
      </c>
      <c r="AF135" s="236">
        <f t="shared" si="190"/>
        <v>2701.0266666666666</v>
      </c>
      <c r="AG135" s="236">
        <f t="shared" si="191"/>
        <v>31845.819999999978</v>
      </c>
      <c r="AH135" s="236">
        <f t="shared" si="192"/>
        <v>238632.61999999994</v>
      </c>
      <c r="AI135" s="402">
        <f t="shared" si="175"/>
        <v>0</v>
      </c>
      <c r="AJ135" s="402">
        <f t="shared" si="133"/>
        <v>0</v>
      </c>
      <c r="AK135" s="402">
        <f t="shared" si="176"/>
        <v>0</v>
      </c>
      <c r="AL135" s="236">
        <f t="shared" si="193"/>
        <v>293864.18000000017</v>
      </c>
      <c r="AM135" s="317">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6">
        <f t="shared" si="116"/>
        <v>1096.0048475200156</v>
      </c>
      <c r="AV135" s="236">
        <f t="shared" si="117"/>
        <v>113787.94385552629</v>
      </c>
    </row>
    <row r="136" spans="1:48">
      <c r="A136" s="392">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6">
        <f t="shared" si="154"/>
        <v>9</v>
      </c>
      <c r="M136" s="316">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2">
        <f t="shared" si="112"/>
        <v>49470</v>
      </c>
      <c r="Y136" s="188">
        <f t="shared" si="187"/>
        <v>293864.18000000017</v>
      </c>
      <c r="Z136" s="385">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1">
        <f t="shared" si="175"/>
        <v>0</v>
      </c>
      <c r="AJ136" s="401">
        <f t="shared" si="133"/>
        <v>0</v>
      </c>
      <c r="AK136" s="401">
        <f t="shared" si="176"/>
        <v>0</v>
      </c>
      <c r="AL136" s="188">
        <f t="shared" si="193"/>
        <v>293441.29000000015</v>
      </c>
      <c r="AM136" s="316">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2">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6">
        <f t="shared" si="154"/>
        <v>9</v>
      </c>
      <c r="M137" s="316">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2">
        <f t="shared" si="112"/>
        <v>49500</v>
      </c>
      <c r="Y137" s="188">
        <f t="shared" si="187"/>
        <v>293441.29000000015</v>
      </c>
      <c r="Z137" s="385">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1">
        <f t="shared" si="175"/>
        <v>0</v>
      </c>
      <c r="AJ137" s="401">
        <f t="shared" si="133"/>
        <v>0</v>
      </c>
      <c r="AK137" s="401">
        <f t="shared" si="176"/>
        <v>0</v>
      </c>
      <c r="AL137" s="188">
        <f t="shared" si="193"/>
        <v>293015.40000000014</v>
      </c>
      <c r="AM137" s="316">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2">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6">
        <f t="shared" si="154"/>
        <v>9</v>
      </c>
      <c r="M138" s="316">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2">
        <f t="shared" si="112"/>
        <v>49530</v>
      </c>
      <c r="Y138" s="188">
        <f t="shared" si="187"/>
        <v>293015.40000000014</v>
      </c>
      <c r="Z138" s="385">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1">
        <f t="shared" si="175"/>
        <v>0</v>
      </c>
      <c r="AJ138" s="401">
        <f t="shared" si="133"/>
        <v>0</v>
      </c>
      <c r="AK138" s="401">
        <f t="shared" si="176"/>
        <v>0</v>
      </c>
      <c r="AL138" s="188">
        <f t="shared" si="193"/>
        <v>292586.50000000012</v>
      </c>
      <c r="AM138" s="316">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2">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6">
        <f t="shared" si="154"/>
        <v>9</v>
      </c>
      <c r="M139" s="316">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2">
        <f t="shared" si="112"/>
        <v>49560</v>
      </c>
      <c r="Y139" s="188">
        <f t="shared" si="187"/>
        <v>292586.50000000012</v>
      </c>
      <c r="Z139" s="385">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1">
        <f t="shared" si="175"/>
        <v>0</v>
      </c>
      <c r="AJ139" s="401">
        <f t="shared" si="133"/>
        <v>0</v>
      </c>
      <c r="AK139" s="401">
        <f t="shared" si="176"/>
        <v>0</v>
      </c>
      <c r="AL139" s="188">
        <f t="shared" si="193"/>
        <v>292154.56000000011</v>
      </c>
      <c r="AM139" s="316">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2">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6">
        <f t="shared" si="154"/>
        <v>9</v>
      </c>
      <c r="M140" s="316">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2">
        <f t="shared" si="112"/>
        <v>49590</v>
      </c>
      <c r="Y140" s="188">
        <f t="shared" si="187"/>
        <v>292154.56000000011</v>
      </c>
      <c r="Z140" s="385">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1">
        <f t="shared" si="175"/>
        <v>0</v>
      </c>
      <c r="AJ140" s="401">
        <f t="shared" si="133"/>
        <v>0</v>
      </c>
      <c r="AK140" s="401">
        <f t="shared" si="176"/>
        <v>0</v>
      </c>
      <c r="AL140" s="188">
        <f t="shared" si="193"/>
        <v>291719.56000000011</v>
      </c>
      <c r="AM140" s="316">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2">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6">
        <f t="shared" si="154"/>
        <v>9</v>
      </c>
      <c r="M141" s="316">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2">
        <f t="shared" si="112"/>
        <v>49620</v>
      </c>
      <c r="Y141" s="188">
        <f t="shared" si="187"/>
        <v>291719.56000000011</v>
      </c>
      <c r="Z141" s="385">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1">
        <f t="shared" si="175"/>
        <v>0</v>
      </c>
      <c r="AJ141" s="401">
        <f t="shared" si="133"/>
        <v>0</v>
      </c>
      <c r="AK141" s="401">
        <f t="shared" si="176"/>
        <v>0</v>
      </c>
      <c r="AL141" s="188">
        <f t="shared" si="193"/>
        <v>291281.4800000001</v>
      </c>
      <c r="AM141" s="316">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2">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6">
        <f t="shared" si="154"/>
        <v>9</v>
      </c>
      <c r="M142" s="316">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2">
        <f t="shared" si="112"/>
        <v>49650</v>
      </c>
      <c r="Y142" s="188">
        <f t="shared" si="187"/>
        <v>291281.4800000001</v>
      </c>
      <c r="Z142" s="385">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1">
        <f t="shared" si="175"/>
        <v>0</v>
      </c>
      <c r="AJ142" s="401">
        <f t="shared" si="133"/>
        <v>0</v>
      </c>
      <c r="AK142" s="401">
        <f t="shared" si="176"/>
        <v>0</v>
      </c>
      <c r="AL142" s="188">
        <f t="shared" si="193"/>
        <v>290840.2900000001</v>
      </c>
      <c r="AM142" s="316">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2">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6">
        <f t="shared" si="154"/>
        <v>9</v>
      </c>
      <c r="M143" s="316">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2">
        <f t="shared" si="112"/>
        <v>49680</v>
      </c>
      <c r="Y143" s="188">
        <f t="shared" si="187"/>
        <v>290840.2900000001</v>
      </c>
      <c r="Z143" s="385">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1">
        <f t="shared" si="175"/>
        <v>0</v>
      </c>
      <c r="AJ143" s="401">
        <f t="shared" si="133"/>
        <v>0</v>
      </c>
      <c r="AK143" s="401">
        <f t="shared" si="176"/>
        <v>0</v>
      </c>
      <c r="AL143" s="188">
        <f t="shared" si="193"/>
        <v>290395.9800000001</v>
      </c>
      <c r="AM143" s="316">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2">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6">
        <f t="shared" si="154"/>
        <v>9</v>
      </c>
      <c r="M144" s="316">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2">
        <f t="shared" si="112"/>
        <v>49710</v>
      </c>
      <c r="Y144" s="188">
        <f t="shared" si="187"/>
        <v>290395.9800000001</v>
      </c>
      <c r="Z144" s="385">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1">
        <f t="shared" si="175"/>
        <v>0</v>
      </c>
      <c r="AJ144" s="401">
        <f t="shared" si="133"/>
        <v>0</v>
      </c>
      <c r="AK144" s="401">
        <f t="shared" si="176"/>
        <v>0</v>
      </c>
      <c r="AL144" s="188">
        <f t="shared" si="193"/>
        <v>289948.52000000008</v>
      </c>
      <c r="AM144" s="316">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2">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6">
        <f t="shared" si="154"/>
        <v>9</v>
      </c>
      <c r="M145" s="316">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2">
        <f t="shared" ref="X145:X208" si="220">+A145</f>
        <v>49740</v>
      </c>
      <c r="Y145" s="188">
        <f t="shared" si="187"/>
        <v>289948.52000000008</v>
      </c>
      <c r="Z145" s="385">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1">
        <f t="shared" si="175"/>
        <v>0</v>
      </c>
      <c r="AJ145" s="401">
        <f t="shared" si="133"/>
        <v>0</v>
      </c>
      <c r="AK145" s="401">
        <f t="shared" si="176"/>
        <v>0</v>
      </c>
      <c r="AL145" s="188">
        <f t="shared" si="193"/>
        <v>289497.89000000007</v>
      </c>
      <c r="AM145" s="316">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2">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6">
        <f t="shared" si="154"/>
        <v>9</v>
      </c>
      <c r="M146" s="316">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2">
        <f t="shared" si="220"/>
        <v>49770</v>
      </c>
      <c r="Y146" s="188">
        <f t="shared" si="187"/>
        <v>289497.89000000007</v>
      </c>
      <c r="Z146" s="385">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1">
        <f t="shared" si="175"/>
        <v>0</v>
      </c>
      <c r="AJ146" s="401">
        <f t="shared" si="133"/>
        <v>0</v>
      </c>
      <c r="AK146" s="401">
        <f t="shared" si="176"/>
        <v>0</v>
      </c>
      <c r="AL146" s="188">
        <f t="shared" si="193"/>
        <v>289044.07000000007</v>
      </c>
      <c r="AM146" s="316">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5">
        <f t="shared" si="180"/>
        <v>49800</v>
      </c>
      <c r="B147" s="236">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6">
        <f t="shared" si="181"/>
        <v>17449.670000000006</v>
      </c>
      <c r="J147" s="236">
        <f t="shared" si="182"/>
        <v>56914.659999999982</v>
      </c>
      <c r="K147" s="236">
        <f t="shared" si="183"/>
        <v>105723.49999999996</v>
      </c>
      <c r="L147" s="317">
        <f t="shared" si="154"/>
        <v>9</v>
      </c>
      <c r="M147" s="317">
        <f t="shared" si="218"/>
        <v>119</v>
      </c>
      <c r="N147" s="236">
        <f t="shared" si="219"/>
        <v>289044.07000000007</v>
      </c>
      <c r="O147" s="236">
        <f t="shared" si="184"/>
        <v>2504.4299999999998</v>
      </c>
      <c r="P147" s="236">
        <f t="shared" si="227"/>
        <v>457.02999999999975</v>
      </c>
      <c r="Q147" s="236">
        <f t="shared" si="185"/>
        <v>2047.4</v>
      </c>
      <c r="R147" s="236">
        <f t="shared" si="172"/>
        <v>51.5</v>
      </c>
      <c r="S147" s="236">
        <f t="shared" si="173"/>
        <v>145.09666666666666</v>
      </c>
      <c r="T147" s="236">
        <f t="shared" si="170"/>
        <v>2701.0266666666666</v>
      </c>
      <c r="U147" s="236">
        <f t="shared" si="228"/>
        <v>37122.959999999977</v>
      </c>
      <c r="V147" s="236">
        <f t="shared" si="229"/>
        <v>263408.6399999999</v>
      </c>
      <c r="W147" s="236">
        <f t="shared" si="186"/>
        <v>288587.04000000004</v>
      </c>
      <c r="X147" s="395">
        <f t="shared" si="220"/>
        <v>49800</v>
      </c>
      <c r="Y147" s="236">
        <f t="shared" si="187"/>
        <v>289044.07000000007</v>
      </c>
      <c r="Z147" s="386">
        <f t="shared" si="212"/>
        <v>8.4999999999999992E-2</v>
      </c>
      <c r="AA147" s="236">
        <f t="shared" si="213"/>
        <v>2504.4299999999998</v>
      </c>
      <c r="AB147" s="236">
        <f t="shared" si="188"/>
        <v>457.02999999999975</v>
      </c>
      <c r="AC147" s="236">
        <f t="shared" si="214"/>
        <v>2047.4</v>
      </c>
      <c r="AD147" s="236">
        <f t="shared" ref="AD147:AE147" si="231">+AD146</f>
        <v>51.5</v>
      </c>
      <c r="AE147" s="236">
        <f t="shared" si="231"/>
        <v>145.09666666666666</v>
      </c>
      <c r="AF147" s="236">
        <f t="shared" si="190"/>
        <v>2701.0266666666666</v>
      </c>
      <c r="AG147" s="236">
        <f t="shared" si="191"/>
        <v>37122.959999999977</v>
      </c>
      <c r="AH147" s="236">
        <f t="shared" si="192"/>
        <v>263408.6399999999</v>
      </c>
      <c r="AI147" s="402">
        <f t="shared" si="175"/>
        <v>0</v>
      </c>
      <c r="AJ147" s="402">
        <f t="shared" si="133"/>
        <v>0</v>
      </c>
      <c r="AK147" s="402">
        <f t="shared" si="176"/>
        <v>0</v>
      </c>
      <c r="AL147" s="236">
        <f t="shared" si="193"/>
        <v>288587.04000000004</v>
      </c>
      <c r="AM147" s="317">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6">
        <f t="shared" si="224"/>
        <v>1129.3408837391796</v>
      </c>
      <c r="AV147" s="236">
        <f t="shared" si="225"/>
        <v>127155.69437941103</v>
      </c>
    </row>
    <row r="148" spans="1:48">
      <c r="A148" s="392">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6">
        <f t="shared" si="154"/>
        <v>10</v>
      </c>
      <c r="M148" s="316">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2">
        <f t="shared" si="220"/>
        <v>49830</v>
      </c>
      <c r="Y148" s="188">
        <f t="shared" si="187"/>
        <v>288587.04000000004</v>
      </c>
      <c r="Z148" s="385">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1">
        <f t="shared" si="175"/>
        <v>0</v>
      </c>
      <c r="AJ148" s="401">
        <f t="shared" si="133"/>
        <v>0</v>
      </c>
      <c r="AK148" s="401">
        <f t="shared" si="176"/>
        <v>0</v>
      </c>
      <c r="AL148" s="188">
        <f t="shared" si="193"/>
        <v>288126.77</v>
      </c>
      <c r="AM148" s="316">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2">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6">
        <f t="shared" si="154"/>
        <v>10</v>
      </c>
      <c r="M149" s="316">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2">
        <f t="shared" si="220"/>
        <v>49860</v>
      </c>
      <c r="Y149" s="188">
        <f t="shared" si="187"/>
        <v>288126.77</v>
      </c>
      <c r="Z149" s="385">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1">
        <f t="shared" si="175"/>
        <v>0</v>
      </c>
      <c r="AJ149" s="401">
        <f t="shared" si="133"/>
        <v>0</v>
      </c>
      <c r="AK149" s="401">
        <f t="shared" si="176"/>
        <v>0</v>
      </c>
      <c r="AL149" s="188">
        <f t="shared" si="193"/>
        <v>287663.24</v>
      </c>
      <c r="AM149" s="316">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2">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6">
        <f t="shared" si="154"/>
        <v>10</v>
      </c>
      <c r="M150" s="316">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2">
        <f t="shared" si="220"/>
        <v>49890</v>
      </c>
      <c r="Y150" s="188">
        <f t="shared" si="187"/>
        <v>287663.24</v>
      </c>
      <c r="Z150" s="385">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1">
        <f t="shared" si="175"/>
        <v>0</v>
      </c>
      <c r="AJ150" s="401">
        <f t="shared" si="133"/>
        <v>0</v>
      </c>
      <c r="AK150" s="401">
        <f t="shared" si="176"/>
        <v>0</v>
      </c>
      <c r="AL150" s="188">
        <f t="shared" si="193"/>
        <v>287196.42</v>
      </c>
      <c r="AM150" s="316">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2">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6">
        <f t="shared" si="154"/>
        <v>10</v>
      </c>
      <c r="M151" s="316">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2">
        <f t="shared" si="220"/>
        <v>49920</v>
      </c>
      <c r="Y151" s="188">
        <f t="shared" si="187"/>
        <v>287196.42</v>
      </c>
      <c r="Z151" s="385">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1">
        <f t="shared" si="175"/>
        <v>0</v>
      </c>
      <c r="AJ151" s="401">
        <f t="shared" si="133"/>
        <v>0</v>
      </c>
      <c r="AK151" s="401">
        <f t="shared" si="176"/>
        <v>0</v>
      </c>
      <c r="AL151" s="188">
        <f t="shared" si="193"/>
        <v>286726.3</v>
      </c>
      <c r="AM151" s="316">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2">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6">
        <f t="shared" si="154"/>
        <v>10</v>
      </c>
      <c r="M152" s="316">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2">
        <f t="shared" si="220"/>
        <v>49950</v>
      </c>
      <c r="Y152" s="188">
        <f t="shared" si="187"/>
        <v>286726.3</v>
      </c>
      <c r="Z152" s="385">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1">
        <f t="shared" si="175"/>
        <v>0</v>
      </c>
      <c r="AJ152" s="401">
        <f t="shared" si="133"/>
        <v>0</v>
      </c>
      <c r="AK152" s="401">
        <f t="shared" si="176"/>
        <v>0</v>
      </c>
      <c r="AL152" s="188">
        <f t="shared" si="193"/>
        <v>286252.84999999998</v>
      </c>
      <c r="AM152" s="316">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2">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6">
        <f t="shared" si="154"/>
        <v>10</v>
      </c>
      <c r="M153" s="316">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2">
        <f t="shared" si="220"/>
        <v>49980</v>
      </c>
      <c r="Y153" s="188">
        <f t="shared" si="187"/>
        <v>286252.84999999998</v>
      </c>
      <c r="Z153" s="385">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1">
        <f t="shared" si="175"/>
        <v>0</v>
      </c>
      <c r="AJ153" s="401">
        <f t="shared" si="133"/>
        <v>0</v>
      </c>
      <c r="AK153" s="401">
        <f t="shared" si="176"/>
        <v>0</v>
      </c>
      <c r="AL153" s="188">
        <f t="shared" si="193"/>
        <v>285776.03999999998</v>
      </c>
      <c r="AM153" s="316">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2">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6">
        <f t="shared" si="154"/>
        <v>10</v>
      </c>
      <c r="M154" s="316">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2">
        <f t="shared" si="220"/>
        <v>50010</v>
      </c>
      <c r="Y154" s="188">
        <f t="shared" si="187"/>
        <v>285776.03999999998</v>
      </c>
      <c r="Z154" s="385">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1">
        <f t="shared" si="175"/>
        <v>0</v>
      </c>
      <c r="AJ154" s="401">
        <f t="shared" si="133"/>
        <v>0</v>
      </c>
      <c r="AK154" s="401">
        <f t="shared" si="176"/>
        <v>0</v>
      </c>
      <c r="AL154" s="188">
        <f t="shared" si="193"/>
        <v>285295.86</v>
      </c>
      <c r="AM154" s="316">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2">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6">
        <f t="shared" si="154"/>
        <v>10</v>
      </c>
      <c r="M155" s="316">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2">
        <f t="shared" si="220"/>
        <v>50040</v>
      </c>
      <c r="Y155" s="188">
        <f t="shared" si="187"/>
        <v>285295.86</v>
      </c>
      <c r="Z155" s="385">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1">
        <f t="shared" si="175"/>
        <v>0</v>
      </c>
      <c r="AJ155" s="401">
        <f t="shared" si="133"/>
        <v>0</v>
      </c>
      <c r="AK155" s="401">
        <f t="shared" si="176"/>
        <v>0</v>
      </c>
      <c r="AL155" s="188">
        <f t="shared" si="193"/>
        <v>284812.27999999997</v>
      </c>
      <c r="AM155" s="316">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2">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6">
        <f t="shared" si="154"/>
        <v>10</v>
      </c>
      <c r="M156" s="316">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2">
        <f t="shared" si="220"/>
        <v>50070</v>
      </c>
      <c r="Y156" s="188">
        <f t="shared" si="187"/>
        <v>284812.27999999997</v>
      </c>
      <c r="Z156" s="385">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1">
        <f t="shared" si="175"/>
        <v>0</v>
      </c>
      <c r="AJ156" s="401">
        <f t="shared" ref="AJ156:AJ219" si="241">+W156-AL156</f>
        <v>0</v>
      </c>
      <c r="AK156" s="401">
        <f t="shared" si="176"/>
        <v>0</v>
      </c>
      <c r="AL156" s="188">
        <f t="shared" si="193"/>
        <v>284325.26999999996</v>
      </c>
      <c r="AM156" s="316">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2">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6">
        <f t="shared" si="154"/>
        <v>10</v>
      </c>
      <c r="M157" s="316">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2">
        <f t="shared" si="220"/>
        <v>50100</v>
      </c>
      <c r="Y157" s="188">
        <f t="shared" si="187"/>
        <v>284325.26999999996</v>
      </c>
      <c r="Z157" s="385">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1">
        <f t="shared" si="175"/>
        <v>0</v>
      </c>
      <c r="AJ157" s="401">
        <f t="shared" si="241"/>
        <v>0</v>
      </c>
      <c r="AK157" s="401">
        <f t="shared" si="176"/>
        <v>0</v>
      </c>
      <c r="AL157" s="188">
        <f t="shared" si="193"/>
        <v>283834.80999999994</v>
      </c>
      <c r="AM157" s="316">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2">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6">
        <f t="shared" si="154"/>
        <v>10</v>
      </c>
      <c r="M158" s="316">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2">
        <f t="shared" si="220"/>
        <v>50130</v>
      </c>
      <c r="Y158" s="188">
        <f t="shared" si="187"/>
        <v>283834.80999999994</v>
      </c>
      <c r="Z158" s="385">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1">
        <f t="shared" si="175"/>
        <v>0</v>
      </c>
      <c r="AJ158" s="401">
        <f t="shared" si="241"/>
        <v>0</v>
      </c>
      <c r="AK158" s="401">
        <f t="shared" si="176"/>
        <v>0</v>
      </c>
      <c r="AL158" s="188">
        <f t="shared" si="193"/>
        <v>283340.87999999995</v>
      </c>
      <c r="AM158" s="316">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5">
        <f t="shared" si="180"/>
        <v>50160</v>
      </c>
      <c r="B159" s="236">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6">
        <f t="shared" si="181"/>
        <v>19451.630000000005</v>
      </c>
      <c r="J159" s="236">
        <f t="shared" si="182"/>
        <v>61631.25999999998</v>
      </c>
      <c r="K159" s="236">
        <f t="shared" si="183"/>
        <v>103721.53999999996</v>
      </c>
      <c r="L159" s="317">
        <f t="shared" si="154"/>
        <v>10</v>
      </c>
      <c r="M159" s="317">
        <f t="shared" si="218"/>
        <v>131</v>
      </c>
      <c r="N159" s="236">
        <f t="shared" si="219"/>
        <v>283340.87999999995</v>
      </c>
      <c r="O159" s="236">
        <f t="shared" si="184"/>
        <v>2504.4299999999998</v>
      </c>
      <c r="P159" s="236">
        <f t="shared" si="227"/>
        <v>497.42999999999984</v>
      </c>
      <c r="Q159" s="236">
        <f t="shared" si="185"/>
        <v>2007</v>
      </c>
      <c r="R159" s="236">
        <f t="shared" si="172"/>
        <v>51.5</v>
      </c>
      <c r="S159" s="236">
        <f t="shared" si="173"/>
        <v>145.09666666666666</v>
      </c>
      <c r="T159" s="236">
        <f t="shared" si="170"/>
        <v>2701.0266666666666</v>
      </c>
      <c r="U159" s="236">
        <f t="shared" si="228"/>
        <v>42866.549999999974</v>
      </c>
      <c r="V159" s="236">
        <f t="shared" si="229"/>
        <v>287718.20999999979</v>
      </c>
      <c r="W159" s="236">
        <f t="shared" si="186"/>
        <v>282843.44999999995</v>
      </c>
      <c r="X159" s="395">
        <f t="shared" si="220"/>
        <v>50160</v>
      </c>
      <c r="Y159" s="236">
        <f t="shared" si="187"/>
        <v>283340.87999999995</v>
      </c>
      <c r="Z159" s="386">
        <f t="shared" si="212"/>
        <v>8.4999999999999992E-2</v>
      </c>
      <c r="AA159" s="236">
        <f t="shared" si="213"/>
        <v>2504.4299999999998</v>
      </c>
      <c r="AB159" s="236">
        <f t="shared" si="188"/>
        <v>497.42999999999984</v>
      </c>
      <c r="AC159" s="236">
        <f t="shared" si="214"/>
        <v>2007</v>
      </c>
      <c r="AD159" s="236">
        <f t="shared" ref="AD159:AE159" si="244">+AD158</f>
        <v>51.5</v>
      </c>
      <c r="AE159" s="236">
        <f t="shared" si="244"/>
        <v>145.09666666666666</v>
      </c>
      <c r="AF159" s="236">
        <f t="shared" si="190"/>
        <v>2701.0266666666666</v>
      </c>
      <c r="AG159" s="236">
        <f t="shared" si="191"/>
        <v>42866.549999999974</v>
      </c>
      <c r="AH159" s="236">
        <f t="shared" si="192"/>
        <v>287718.20999999979</v>
      </c>
      <c r="AI159" s="402">
        <f t="shared" si="175"/>
        <v>0</v>
      </c>
      <c r="AJ159" s="402">
        <f t="shared" si="241"/>
        <v>0</v>
      </c>
      <c r="AK159" s="402">
        <f t="shared" si="176"/>
        <v>0</v>
      </c>
      <c r="AL159" s="236">
        <f t="shared" si="193"/>
        <v>282843.44999999995</v>
      </c>
      <c r="AM159" s="317">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6">
        <f t="shared" si="224"/>
        <v>1163.6908673996527</v>
      </c>
      <c r="AV159" s="236">
        <f t="shared" si="225"/>
        <v>140930.03782726079</v>
      </c>
    </row>
    <row r="160" spans="1:48">
      <c r="A160" s="392">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6">
        <f t="shared" si="154"/>
        <v>11</v>
      </c>
      <c r="M160" s="316">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2">
        <f t="shared" si="220"/>
        <v>50190</v>
      </c>
      <c r="Y160" s="188">
        <f t="shared" si="187"/>
        <v>282843.44999999995</v>
      </c>
      <c r="Z160" s="385">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1">
        <f t="shared" si="175"/>
        <v>0</v>
      </c>
      <c r="AJ160" s="401">
        <f t="shared" si="241"/>
        <v>0</v>
      </c>
      <c r="AK160" s="401">
        <f t="shared" si="176"/>
        <v>0</v>
      </c>
      <c r="AL160" s="188">
        <f t="shared" si="193"/>
        <v>282342.48999999993</v>
      </c>
      <c r="AM160" s="316">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2">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6">
        <f t="shared" si="154"/>
        <v>11</v>
      </c>
      <c r="M161" s="316">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2">
        <f t="shared" si="220"/>
        <v>50220</v>
      </c>
      <c r="Y161" s="188">
        <f t="shared" si="187"/>
        <v>282342.48999999993</v>
      </c>
      <c r="Z161" s="385">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1">
        <f t="shared" si="175"/>
        <v>0</v>
      </c>
      <c r="AJ161" s="401">
        <f t="shared" si="241"/>
        <v>0</v>
      </c>
      <c r="AK161" s="401">
        <f t="shared" si="176"/>
        <v>0</v>
      </c>
      <c r="AL161" s="188">
        <f t="shared" si="193"/>
        <v>281837.98999999993</v>
      </c>
      <c r="AM161" s="316">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2">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6">
        <f t="shared" si="154"/>
        <v>11</v>
      </c>
      <c r="M162" s="316">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2">
        <f t="shared" si="220"/>
        <v>50250</v>
      </c>
      <c r="Y162" s="188">
        <f t="shared" si="187"/>
        <v>281837.98999999993</v>
      </c>
      <c r="Z162" s="385">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1">
        <f t="shared" si="175"/>
        <v>0</v>
      </c>
      <c r="AJ162" s="401">
        <f t="shared" si="241"/>
        <v>0</v>
      </c>
      <c r="AK162" s="401">
        <f t="shared" si="176"/>
        <v>0</v>
      </c>
      <c r="AL162" s="188">
        <f t="shared" si="193"/>
        <v>281329.90999999992</v>
      </c>
      <c r="AM162" s="316">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2">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6">
        <f t="shared" si="154"/>
        <v>11</v>
      </c>
      <c r="M163" s="316">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2">
        <f t="shared" si="220"/>
        <v>50280</v>
      </c>
      <c r="Y163" s="188">
        <f t="shared" si="187"/>
        <v>281329.90999999992</v>
      </c>
      <c r="Z163" s="385">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1">
        <f t="shared" si="175"/>
        <v>0</v>
      </c>
      <c r="AJ163" s="401">
        <f t="shared" si="241"/>
        <v>0</v>
      </c>
      <c r="AK163" s="401">
        <f t="shared" si="176"/>
        <v>0</v>
      </c>
      <c r="AL163" s="188">
        <f t="shared" si="193"/>
        <v>280818.22999999992</v>
      </c>
      <c r="AM163" s="316">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2">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6">
        <f t="shared" si="154"/>
        <v>11</v>
      </c>
      <c r="M164" s="316">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2">
        <f t="shared" si="220"/>
        <v>50310</v>
      </c>
      <c r="Y164" s="188">
        <f t="shared" si="187"/>
        <v>280818.22999999992</v>
      </c>
      <c r="Z164" s="385">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1">
        <f t="shared" si="175"/>
        <v>0</v>
      </c>
      <c r="AJ164" s="401">
        <f t="shared" si="241"/>
        <v>0</v>
      </c>
      <c r="AK164" s="401">
        <f t="shared" si="176"/>
        <v>0</v>
      </c>
      <c r="AL164" s="188">
        <f t="shared" si="193"/>
        <v>280302.92999999993</v>
      </c>
      <c r="AM164" s="316">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2">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6">
        <f t="shared" si="154"/>
        <v>11</v>
      </c>
      <c r="M165" s="316">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2">
        <f t="shared" si="220"/>
        <v>50340</v>
      </c>
      <c r="Y165" s="188">
        <f t="shared" si="187"/>
        <v>280302.92999999993</v>
      </c>
      <c r="Z165" s="385">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1">
        <f t="shared" si="175"/>
        <v>0</v>
      </c>
      <c r="AJ165" s="401">
        <f t="shared" si="241"/>
        <v>0</v>
      </c>
      <c r="AK165" s="401">
        <f t="shared" si="176"/>
        <v>0</v>
      </c>
      <c r="AL165" s="188">
        <f t="shared" si="193"/>
        <v>279783.97999999992</v>
      </c>
      <c r="AM165" s="316">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2">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6">
        <f t="shared" si="154"/>
        <v>11</v>
      </c>
      <c r="M166" s="316">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2">
        <f t="shared" si="220"/>
        <v>50370</v>
      </c>
      <c r="Y166" s="188">
        <f t="shared" si="187"/>
        <v>279783.97999999992</v>
      </c>
      <c r="Z166" s="385">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1">
        <f t="shared" si="175"/>
        <v>0</v>
      </c>
      <c r="AJ166" s="401">
        <f t="shared" si="241"/>
        <v>0</v>
      </c>
      <c r="AK166" s="401">
        <f t="shared" si="176"/>
        <v>0</v>
      </c>
      <c r="AL166" s="188">
        <f t="shared" si="193"/>
        <v>279261.34999999992</v>
      </c>
      <c r="AM166" s="316">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2">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6">
        <f t="shared" si="154"/>
        <v>11</v>
      </c>
      <c r="M167" s="316">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2">
        <f t="shared" si="220"/>
        <v>50400</v>
      </c>
      <c r="Y167" s="188">
        <f t="shared" si="187"/>
        <v>279261.34999999992</v>
      </c>
      <c r="Z167" s="385">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1">
        <f t="shared" si="175"/>
        <v>0</v>
      </c>
      <c r="AJ167" s="401">
        <f t="shared" si="241"/>
        <v>0</v>
      </c>
      <c r="AK167" s="401">
        <f t="shared" si="176"/>
        <v>0</v>
      </c>
      <c r="AL167" s="188">
        <f t="shared" si="193"/>
        <v>278735.0199999999</v>
      </c>
      <c r="AM167" s="316">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2">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6">
        <f t="shared" si="154"/>
        <v>11</v>
      </c>
      <c r="M168" s="316">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2">
        <f t="shared" si="220"/>
        <v>50430</v>
      </c>
      <c r="Y168" s="188">
        <f t="shared" si="187"/>
        <v>278735.0199999999</v>
      </c>
      <c r="Z168" s="385">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1">
        <f t="shared" si="175"/>
        <v>0</v>
      </c>
      <c r="AJ168" s="401">
        <f t="shared" si="241"/>
        <v>0</v>
      </c>
      <c r="AK168" s="401">
        <f t="shared" si="176"/>
        <v>0</v>
      </c>
      <c r="AL168" s="188">
        <f t="shared" si="193"/>
        <v>278204.9599999999</v>
      </c>
      <c r="AM168" s="316">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2">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6">
        <f t="shared" si="154"/>
        <v>11</v>
      </c>
      <c r="M169" s="316">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2">
        <f t="shared" si="220"/>
        <v>50460</v>
      </c>
      <c r="Y169" s="188">
        <f t="shared" si="187"/>
        <v>278204.9599999999</v>
      </c>
      <c r="Z169" s="385">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1">
        <f t="shared" si="175"/>
        <v>0</v>
      </c>
      <c r="AJ169" s="401">
        <f t="shared" si="241"/>
        <v>0</v>
      </c>
      <c r="AK169" s="401">
        <f t="shared" si="176"/>
        <v>0</v>
      </c>
      <c r="AL169" s="188">
        <f t="shared" si="193"/>
        <v>277671.14999999991</v>
      </c>
      <c r="AM169" s="316">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2">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6">
        <f t="shared" si="154"/>
        <v>11</v>
      </c>
      <c r="M170" s="316">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2">
        <f t="shared" si="220"/>
        <v>50490</v>
      </c>
      <c r="Y170" s="188">
        <f t="shared" si="187"/>
        <v>277671.14999999991</v>
      </c>
      <c r="Z170" s="385">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1">
        <f t="shared" si="175"/>
        <v>0</v>
      </c>
      <c r="AJ170" s="401">
        <f t="shared" si="241"/>
        <v>0</v>
      </c>
      <c r="AK170" s="401">
        <f t="shared" si="176"/>
        <v>0</v>
      </c>
      <c r="AL170" s="188">
        <f t="shared" si="193"/>
        <v>277133.55999999988</v>
      </c>
      <c r="AM170" s="316">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5">
        <f t="shared" si="180"/>
        <v>50520</v>
      </c>
      <c r="B171" s="236">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6">
        <f t="shared" si="181"/>
        <v>21545.55</v>
      </c>
      <c r="J171" s="236">
        <f t="shared" si="182"/>
        <v>66255.89999999998</v>
      </c>
      <c r="K171" s="236">
        <f t="shared" si="183"/>
        <v>101627.61999999995</v>
      </c>
      <c r="L171" s="317">
        <f t="shared" si="154"/>
        <v>11</v>
      </c>
      <c r="M171" s="317">
        <f t="shared" si="218"/>
        <v>143</v>
      </c>
      <c r="N171" s="236">
        <f t="shared" si="219"/>
        <v>277133.55999999988</v>
      </c>
      <c r="O171" s="236">
        <f t="shared" si="184"/>
        <v>2504.4299999999998</v>
      </c>
      <c r="P171" s="236">
        <f t="shared" si="227"/>
        <v>541.39999999999986</v>
      </c>
      <c r="Q171" s="236">
        <f t="shared" si="185"/>
        <v>1963.03</v>
      </c>
      <c r="R171" s="236">
        <f t="shared" si="172"/>
        <v>51.5</v>
      </c>
      <c r="S171" s="236">
        <f t="shared" si="173"/>
        <v>145.09666666666666</v>
      </c>
      <c r="T171" s="236">
        <f t="shared" si="170"/>
        <v>2701.0266666666666</v>
      </c>
      <c r="U171" s="236">
        <f t="shared" si="228"/>
        <v>49117.839999999967</v>
      </c>
      <c r="V171" s="236">
        <f t="shared" si="229"/>
        <v>311520.07999999973</v>
      </c>
      <c r="W171" s="236">
        <f t="shared" si="186"/>
        <v>276592.15999999986</v>
      </c>
      <c r="X171" s="395">
        <f t="shared" si="220"/>
        <v>50520</v>
      </c>
      <c r="Y171" s="236">
        <f t="shared" si="187"/>
        <v>277133.55999999988</v>
      </c>
      <c r="Z171" s="386">
        <f t="shared" si="212"/>
        <v>8.4999999999999992E-2</v>
      </c>
      <c r="AA171" s="236">
        <f t="shared" si="213"/>
        <v>2504.4299999999998</v>
      </c>
      <c r="AB171" s="236">
        <f t="shared" si="188"/>
        <v>541.39999999999986</v>
      </c>
      <c r="AC171" s="236">
        <f t="shared" si="214"/>
        <v>1963.03</v>
      </c>
      <c r="AD171" s="236">
        <f t="shared" ref="AD171:AE171" si="256">+AD170</f>
        <v>51.5</v>
      </c>
      <c r="AE171" s="236">
        <f t="shared" si="256"/>
        <v>145.09666666666666</v>
      </c>
      <c r="AF171" s="236">
        <f t="shared" si="190"/>
        <v>2701.0266666666666</v>
      </c>
      <c r="AG171" s="236">
        <f t="shared" si="191"/>
        <v>49117.839999999967</v>
      </c>
      <c r="AH171" s="236">
        <f t="shared" si="192"/>
        <v>311520.07999999973</v>
      </c>
      <c r="AI171" s="402">
        <f t="shared" si="175"/>
        <v>0</v>
      </c>
      <c r="AJ171" s="402">
        <f t="shared" si="241"/>
        <v>0</v>
      </c>
      <c r="AK171" s="401">
        <f t="shared" si="176"/>
        <v>0</v>
      </c>
      <c r="AL171" s="236">
        <f t="shared" si="193"/>
        <v>276592.15999999986</v>
      </c>
      <c r="AM171" s="317">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6">
        <f t="shared" si="224"/>
        <v>1199.0856386831226</v>
      </c>
      <c r="AV171" s="236">
        <f t="shared" si="225"/>
        <v>155123.34111193218</v>
      </c>
    </row>
    <row r="172" spans="1:48">
      <c r="A172" s="392">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6">
        <f t="shared" si="154"/>
        <v>12</v>
      </c>
      <c r="M172" s="316">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2">
        <f t="shared" si="220"/>
        <v>50550</v>
      </c>
      <c r="Y172" s="188">
        <f t="shared" si="187"/>
        <v>276592.15999999986</v>
      </c>
      <c r="Z172" s="385">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1">
        <f t="shared" si="175"/>
        <v>0</v>
      </c>
      <c r="AJ172" s="401">
        <f t="shared" si="241"/>
        <v>0</v>
      </c>
      <c r="AK172" s="401">
        <f t="shared" si="176"/>
        <v>0</v>
      </c>
      <c r="AL172" s="188">
        <f t="shared" si="193"/>
        <v>276046.91999999987</v>
      </c>
      <c r="AM172" s="316">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2">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6">
        <f t="shared" si="154"/>
        <v>12</v>
      </c>
      <c r="M173" s="316">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2">
        <f t="shared" si="220"/>
        <v>50580</v>
      </c>
      <c r="Y173" s="188">
        <f t="shared" si="187"/>
        <v>276046.91999999987</v>
      </c>
      <c r="Z173" s="385">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1">
        <f t="shared" si="175"/>
        <v>0</v>
      </c>
      <c r="AJ173" s="401">
        <f t="shared" si="241"/>
        <v>0</v>
      </c>
      <c r="AK173" s="401">
        <f t="shared" si="176"/>
        <v>0</v>
      </c>
      <c r="AL173" s="188">
        <f t="shared" si="193"/>
        <v>275497.81999999989</v>
      </c>
      <c r="AM173" s="316">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2">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6">
        <f t="shared" si="154"/>
        <v>12</v>
      </c>
      <c r="M174" s="316">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2">
        <f t="shared" si="220"/>
        <v>50610</v>
      </c>
      <c r="Y174" s="188">
        <f t="shared" si="187"/>
        <v>275497.81999999989</v>
      </c>
      <c r="Z174" s="385">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1">
        <f t="shared" si="175"/>
        <v>0</v>
      </c>
      <c r="AJ174" s="401">
        <f t="shared" si="241"/>
        <v>0</v>
      </c>
      <c r="AK174" s="401">
        <f t="shared" si="176"/>
        <v>0</v>
      </c>
      <c r="AL174" s="188">
        <f t="shared" si="193"/>
        <v>274944.8299999999</v>
      </c>
      <c r="AM174" s="316">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2">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6">
        <f t="shared" si="154"/>
        <v>12</v>
      </c>
      <c r="M175" s="316">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2">
        <f t="shared" si="220"/>
        <v>50640</v>
      </c>
      <c r="Y175" s="188">
        <f t="shared" si="187"/>
        <v>274944.8299999999</v>
      </c>
      <c r="Z175" s="385">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1">
        <f t="shared" si="175"/>
        <v>0</v>
      </c>
      <c r="AJ175" s="401">
        <f t="shared" si="241"/>
        <v>0</v>
      </c>
      <c r="AK175" s="401">
        <f t="shared" si="176"/>
        <v>0</v>
      </c>
      <c r="AL175" s="188">
        <f t="shared" si="193"/>
        <v>274387.92999999988</v>
      </c>
      <c r="AM175" s="316">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2">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6">
        <f t="shared" ref="L176:L239" si="262">IF(MOD(M176,12)=0,M176/12,L175)</f>
        <v>12</v>
      </c>
      <c r="M176" s="316">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2">
        <f t="shared" si="220"/>
        <v>50670</v>
      </c>
      <c r="Y176" s="188">
        <f t="shared" si="187"/>
        <v>274387.92999999988</v>
      </c>
      <c r="Z176" s="385">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1">
        <f t="shared" si="175"/>
        <v>0</v>
      </c>
      <c r="AJ176" s="401">
        <f t="shared" si="241"/>
        <v>0</v>
      </c>
      <c r="AK176" s="401">
        <f t="shared" si="176"/>
        <v>0</v>
      </c>
      <c r="AL176" s="188">
        <f t="shared" si="193"/>
        <v>273827.0799999999</v>
      </c>
      <c r="AM176" s="316">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2">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6">
        <f t="shared" si="262"/>
        <v>12</v>
      </c>
      <c r="M177" s="316">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2">
        <f t="shared" si="220"/>
        <v>50700</v>
      </c>
      <c r="Y177" s="188">
        <f t="shared" si="187"/>
        <v>273827.0799999999</v>
      </c>
      <c r="Z177" s="385">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1">
        <f t="shared" si="175"/>
        <v>0</v>
      </c>
      <c r="AJ177" s="401">
        <f t="shared" si="241"/>
        <v>0</v>
      </c>
      <c r="AK177" s="401">
        <f t="shared" si="176"/>
        <v>0</v>
      </c>
      <c r="AL177" s="188">
        <f t="shared" si="193"/>
        <v>273262.25999999989</v>
      </c>
      <c r="AM177" s="316">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2">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6">
        <f t="shared" si="262"/>
        <v>12</v>
      </c>
      <c r="M178" s="316">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2">
        <f t="shared" si="220"/>
        <v>50730</v>
      </c>
      <c r="Y178" s="188">
        <f t="shared" si="187"/>
        <v>273262.25999999989</v>
      </c>
      <c r="Z178" s="385">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1">
        <f t="shared" si="175"/>
        <v>0</v>
      </c>
      <c r="AJ178" s="401">
        <f t="shared" si="241"/>
        <v>0</v>
      </c>
      <c r="AK178" s="401">
        <f t="shared" si="176"/>
        <v>0</v>
      </c>
      <c r="AL178" s="188">
        <f t="shared" si="193"/>
        <v>272693.43999999989</v>
      </c>
      <c r="AM178" s="316">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2">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6">
        <f t="shared" si="262"/>
        <v>12</v>
      </c>
      <c r="M179" s="316">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2">
        <f t="shared" si="220"/>
        <v>50760</v>
      </c>
      <c r="Y179" s="188">
        <f t="shared" si="187"/>
        <v>272693.43999999989</v>
      </c>
      <c r="Z179" s="385">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1">
        <f t="shared" si="175"/>
        <v>0</v>
      </c>
      <c r="AJ179" s="401">
        <f t="shared" si="241"/>
        <v>0</v>
      </c>
      <c r="AK179" s="401">
        <f t="shared" si="176"/>
        <v>0</v>
      </c>
      <c r="AL179" s="188">
        <f t="shared" si="193"/>
        <v>272120.58999999991</v>
      </c>
      <c r="AM179" s="316">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2">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6">
        <f t="shared" si="262"/>
        <v>12</v>
      </c>
      <c r="M180" s="316">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2">
        <f t="shared" si="220"/>
        <v>50790</v>
      </c>
      <c r="Y180" s="188">
        <f t="shared" si="187"/>
        <v>272120.58999999991</v>
      </c>
      <c r="Z180" s="385">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1">
        <f t="shared" si="175"/>
        <v>0</v>
      </c>
      <c r="AJ180" s="401">
        <f t="shared" si="241"/>
        <v>0</v>
      </c>
      <c r="AK180" s="401">
        <f t="shared" si="176"/>
        <v>0</v>
      </c>
      <c r="AL180" s="188">
        <f t="shared" si="193"/>
        <v>271543.67999999993</v>
      </c>
      <c r="AM180" s="316">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2">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6">
        <f t="shared" si="262"/>
        <v>12</v>
      </c>
      <c r="M181" s="316">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2">
        <f t="shared" si="220"/>
        <v>50820</v>
      </c>
      <c r="Y181" s="188">
        <f t="shared" si="187"/>
        <v>271543.67999999993</v>
      </c>
      <c r="Z181" s="385">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1">
        <f t="shared" si="175"/>
        <v>0</v>
      </c>
      <c r="AJ181" s="401">
        <f t="shared" si="241"/>
        <v>0</v>
      </c>
      <c r="AK181" s="401">
        <f t="shared" si="176"/>
        <v>0</v>
      </c>
      <c r="AL181" s="188">
        <f t="shared" si="193"/>
        <v>270962.67999999993</v>
      </c>
      <c r="AM181" s="316">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2">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6">
        <f t="shared" si="262"/>
        <v>12</v>
      </c>
      <c r="M182" s="316">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2">
        <f t="shared" si="220"/>
        <v>50850</v>
      </c>
      <c r="Y182" s="188">
        <f t="shared" si="187"/>
        <v>270962.67999999993</v>
      </c>
      <c r="Z182" s="385">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1">
        <f t="shared" si="175"/>
        <v>0</v>
      </c>
      <c r="AJ182" s="401">
        <f t="shared" si="241"/>
        <v>0</v>
      </c>
      <c r="AK182" s="401">
        <f t="shared" si="176"/>
        <v>0</v>
      </c>
      <c r="AL182" s="188">
        <f t="shared" si="193"/>
        <v>270377.56999999995</v>
      </c>
      <c r="AM182" s="316">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5">
        <f t="shared" si="180"/>
        <v>50880</v>
      </c>
      <c r="B183" s="236">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6">
        <f t="shared" si="181"/>
        <v>23735.670000000002</v>
      </c>
      <c r="J183" s="236">
        <f t="shared" si="182"/>
        <v>70784.339999999953</v>
      </c>
      <c r="K183" s="236">
        <f t="shared" si="183"/>
        <v>99437.499999999971</v>
      </c>
      <c r="L183" s="317">
        <f t="shared" si="262"/>
        <v>12</v>
      </c>
      <c r="M183" s="317">
        <f t="shared" si="218"/>
        <v>155</v>
      </c>
      <c r="N183" s="236">
        <f t="shared" si="219"/>
        <v>270377.56999999995</v>
      </c>
      <c r="O183" s="236">
        <f t="shared" si="184"/>
        <v>2504.4299999999998</v>
      </c>
      <c r="P183" s="236">
        <f t="shared" si="227"/>
        <v>589.25999999999976</v>
      </c>
      <c r="Q183" s="236">
        <f t="shared" si="185"/>
        <v>1915.17</v>
      </c>
      <c r="R183" s="236">
        <f t="shared" si="172"/>
        <v>51.5</v>
      </c>
      <c r="S183" s="236">
        <f t="shared" si="173"/>
        <v>145.09666666666666</v>
      </c>
      <c r="T183" s="236">
        <f t="shared" si="170"/>
        <v>2701.0266666666666</v>
      </c>
      <c r="U183" s="236">
        <f t="shared" si="228"/>
        <v>55921.689999999966</v>
      </c>
      <c r="V183" s="236">
        <f t="shared" si="229"/>
        <v>334769.38999999978</v>
      </c>
      <c r="W183" s="236">
        <f t="shared" si="186"/>
        <v>269788.30999999994</v>
      </c>
      <c r="X183" s="395">
        <f t="shared" si="220"/>
        <v>50880</v>
      </c>
      <c r="Y183" s="236">
        <f t="shared" si="187"/>
        <v>270377.56999999995</v>
      </c>
      <c r="Z183" s="386">
        <f t="shared" si="212"/>
        <v>8.4999999999999992E-2</v>
      </c>
      <c r="AA183" s="236">
        <f t="shared" si="213"/>
        <v>2504.4299999999998</v>
      </c>
      <c r="AB183" s="236">
        <f t="shared" si="188"/>
        <v>589.25999999999976</v>
      </c>
      <c r="AC183" s="236">
        <f t="shared" si="214"/>
        <v>1915.17</v>
      </c>
      <c r="AD183" s="236">
        <f t="shared" ref="AD183:AE183" si="270">+AD182</f>
        <v>51.5</v>
      </c>
      <c r="AE183" s="236">
        <f t="shared" si="270"/>
        <v>145.09666666666666</v>
      </c>
      <c r="AF183" s="236">
        <f t="shared" si="190"/>
        <v>2701.0266666666666</v>
      </c>
      <c r="AG183" s="236">
        <f t="shared" si="191"/>
        <v>55921.689999999966</v>
      </c>
      <c r="AH183" s="236">
        <f t="shared" si="192"/>
        <v>334769.38999999978</v>
      </c>
      <c r="AI183" s="402">
        <f t="shared" si="175"/>
        <v>0</v>
      </c>
      <c r="AJ183" s="402">
        <f t="shared" si="241"/>
        <v>0</v>
      </c>
      <c r="AK183" s="401">
        <f t="shared" si="176"/>
        <v>0</v>
      </c>
      <c r="AL183" s="236">
        <f t="shared" si="193"/>
        <v>269788.30999999994</v>
      </c>
      <c r="AM183" s="317">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6">
        <f t="shared" si="224"/>
        <v>1235.5569758049139</v>
      </c>
      <c r="AV183" s="236">
        <f t="shared" si="225"/>
        <v>169748.34729777044</v>
      </c>
    </row>
    <row r="184" spans="1:48">
      <c r="A184" s="392">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6">
        <f t="shared" si="262"/>
        <v>13</v>
      </c>
      <c r="M184" s="316">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2">
        <f t="shared" si="220"/>
        <v>50910</v>
      </c>
      <c r="Y184" s="188">
        <f t="shared" si="187"/>
        <v>269788.30999999994</v>
      </c>
      <c r="Z184" s="385">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1">
        <f t="shared" si="175"/>
        <v>0</v>
      </c>
      <c r="AJ184" s="401">
        <f t="shared" si="241"/>
        <v>0</v>
      </c>
      <c r="AK184" s="401">
        <f t="shared" si="176"/>
        <v>0</v>
      </c>
      <c r="AL184" s="188">
        <f t="shared" si="193"/>
        <v>269194.87999999995</v>
      </c>
      <c r="AM184" s="316">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2">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6">
        <f t="shared" si="262"/>
        <v>13</v>
      </c>
      <c r="M185" s="316">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2">
        <f t="shared" si="220"/>
        <v>50940</v>
      </c>
      <c r="Y185" s="188">
        <f t="shared" si="187"/>
        <v>269194.87999999995</v>
      </c>
      <c r="Z185" s="385">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1">
        <f t="shared" si="175"/>
        <v>0</v>
      </c>
      <c r="AJ185" s="401">
        <f t="shared" si="241"/>
        <v>0</v>
      </c>
      <c r="AK185" s="401">
        <f t="shared" si="176"/>
        <v>0</v>
      </c>
      <c r="AL185" s="188">
        <f t="shared" si="193"/>
        <v>268597.24999999994</v>
      </c>
      <c r="AM185" s="316">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2">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6">
        <f t="shared" si="262"/>
        <v>13</v>
      </c>
      <c r="M186" s="316">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2">
        <f t="shared" si="220"/>
        <v>50970</v>
      </c>
      <c r="Y186" s="188">
        <f t="shared" si="187"/>
        <v>268597.24999999994</v>
      </c>
      <c r="Z186" s="385">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1">
        <f t="shared" si="175"/>
        <v>0</v>
      </c>
      <c r="AJ186" s="401">
        <f t="shared" si="241"/>
        <v>0</v>
      </c>
      <c r="AK186" s="401">
        <f t="shared" si="176"/>
        <v>0</v>
      </c>
      <c r="AL186" s="188">
        <f t="shared" si="193"/>
        <v>267995.37999999995</v>
      </c>
      <c r="AM186" s="316">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2">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6">
        <f t="shared" si="262"/>
        <v>13</v>
      </c>
      <c r="M187" s="316">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2">
        <f t="shared" si="220"/>
        <v>51000</v>
      </c>
      <c r="Y187" s="188">
        <f t="shared" si="187"/>
        <v>267995.37999999995</v>
      </c>
      <c r="Z187" s="385">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1">
        <f t="shared" si="175"/>
        <v>0</v>
      </c>
      <c r="AJ187" s="401">
        <f t="shared" si="241"/>
        <v>0</v>
      </c>
      <c r="AK187" s="401">
        <f t="shared" si="176"/>
        <v>0</v>
      </c>
      <c r="AL187" s="188">
        <f t="shared" si="193"/>
        <v>267389.24999999994</v>
      </c>
      <c r="AM187" s="316">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2">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6">
        <f t="shared" si="262"/>
        <v>13</v>
      </c>
      <c r="M188" s="316">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2">
        <f t="shared" si="220"/>
        <v>51030</v>
      </c>
      <c r="Y188" s="188">
        <f t="shared" si="187"/>
        <v>267389.24999999994</v>
      </c>
      <c r="Z188" s="385">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1">
        <f t="shared" si="175"/>
        <v>0</v>
      </c>
      <c r="AJ188" s="401">
        <f t="shared" si="241"/>
        <v>0</v>
      </c>
      <c r="AK188" s="401">
        <f t="shared" si="176"/>
        <v>0</v>
      </c>
      <c r="AL188" s="188">
        <f t="shared" si="193"/>
        <v>266778.82999999996</v>
      </c>
      <c r="AM188" s="316">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2">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6">
        <f t="shared" si="262"/>
        <v>13</v>
      </c>
      <c r="M189" s="316">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2">
        <f t="shared" si="220"/>
        <v>51060</v>
      </c>
      <c r="Y189" s="188">
        <f t="shared" si="187"/>
        <v>266778.82999999996</v>
      </c>
      <c r="Z189" s="385">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1">
        <f t="shared" ref="AI189:AI252" si="283">O189-AA189+AI188</f>
        <v>0</v>
      </c>
      <c r="AJ189" s="401">
        <f t="shared" si="241"/>
        <v>0</v>
      </c>
      <c r="AK189" s="401">
        <f t="shared" ref="AK189:AK252" si="284">SUM(AI189:AJ189)</f>
        <v>0</v>
      </c>
      <c r="AL189" s="188">
        <f t="shared" si="193"/>
        <v>266164.07999999996</v>
      </c>
      <c r="AM189" s="316">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2">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6">
        <f t="shared" si="262"/>
        <v>13</v>
      </c>
      <c r="M190" s="316">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2">
        <f t="shared" si="220"/>
        <v>51090</v>
      </c>
      <c r="Y190" s="188">
        <f t="shared" si="187"/>
        <v>266164.07999999996</v>
      </c>
      <c r="Z190" s="385">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1">
        <f t="shared" si="283"/>
        <v>0</v>
      </c>
      <c r="AJ190" s="401">
        <f t="shared" si="241"/>
        <v>0</v>
      </c>
      <c r="AK190" s="401">
        <f t="shared" si="284"/>
        <v>0</v>
      </c>
      <c r="AL190" s="188">
        <f t="shared" si="193"/>
        <v>265544.98</v>
      </c>
      <c r="AM190" s="316">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2">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6">
        <f t="shared" si="262"/>
        <v>13</v>
      </c>
      <c r="M191" s="316">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2">
        <f t="shared" si="220"/>
        <v>51120</v>
      </c>
      <c r="Y191" s="188">
        <f t="shared" ref="Y191:Y254" si="295">IF(+AL190&lt;0,0,+AL190)</f>
        <v>265544.98</v>
      </c>
      <c r="Z191" s="385">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1">
        <f t="shared" si="283"/>
        <v>0</v>
      </c>
      <c r="AJ191" s="401">
        <f t="shared" si="241"/>
        <v>0</v>
      </c>
      <c r="AK191" s="401">
        <f t="shared" si="284"/>
        <v>0</v>
      </c>
      <c r="AL191" s="188">
        <f t="shared" ref="AL191:AL254" si="301">+Y191-AB191</f>
        <v>264921.49</v>
      </c>
      <c r="AM191" s="316">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2">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6">
        <f t="shared" si="262"/>
        <v>13</v>
      </c>
      <c r="M192" s="316">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2">
        <f t="shared" si="220"/>
        <v>51150</v>
      </c>
      <c r="Y192" s="188">
        <f t="shared" si="295"/>
        <v>264921.49</v>
      </c>
      <c r="Z192" s="385">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1">
        <f t="shared" si="283"/>
        <v>0</v>
      </c>
      <c r="AJ192" s="401">
        <f t="shared" si="241"/>
        <v>0</v>
      </c>
      <c r="AK192" s="401">
        <f t="shared" si="284"/>
        <v>0</v>
      </c>
      <c r="AL192" s="188">
        <f t="shared" si="301"/>
        <v>264293.58999999997</v>
      </c>
      <c r="AM192" s="316">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2">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6">
        <f t="shared" si="262"/>
        <v>13</v>
      </c>
      <c r="M193" s="316">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2">
        <f t="shared" si="220"/>
        <v>51180</v>
      </c>
      <c r="Y193" s="188">
        <f t="shared" si="295"/>
        <v>264293.58999999997</v>
      </c>
      <c r="Z193" s="385">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1">
        <f t="shared" si="283"/>
        <v>0</v>
      </c>
      <c r="AJ193" s="401">
        <f t="shared" si="241"/>
        <v>0</v>
      </c>
      <c r="AK193" s="401">
        <f t="shared" si="284"/>
        <v>0</v>
      </c>
      <c r="AL193" s="188">
        <f t="shared" si="301"/>
        <v>263661.24</v>
      </c>
      <c r="AM193" s="316">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2">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6">
        <f t="shared" si="262"/>
        <v>13</v>
      </c>
      <c r="M194" s="316">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2">
        <f t="shared" si="220"/>
        <v>51210</v>
      </c>
      <c r="Y194" s="188">
        <f t="shared" si="295"/>
        <v>263661.24</v>
      </c>
      <c r="Z194" s="385">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1">
        <f t="shared" si="283"/>
        <v>0</v>
      </c>
      <c r="AJ194" s="401">
        <f t="shared" si="241"/>
        <v>0</v>
      </c>
      <c r="AK194" s="401">
        <f t="shared" si="284"/>
        <v>0</v>
      </c>
      <c r="AL194" s="188">
        <f t="shared" si="301"/>
        <v>263024.40999999997</v>
      </c>
      <c r="AM194" s="316">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5">
        <f t="shared" si="288"/>
        <v>51240</v>
      </c>
      <c r="B195" s="236">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6">
        <f t="shared" si="289"/>
        <v>26026.400000000001</v>
      </c>
      <c r="J195" s="236">
        <f t="shared" si="290"/>
        <v>75212.169999999955</v>
      </c>
      <c r="K195" s="236">
        <f t="shared" si="291"/>
        <v>97146.76999999996</v>
      </c>
      <c r="L195" s="317">
        <f t="shared" si="262"/>
        <v>13</v>
      </c>
      <c r="M195" s="317">
        <f t="shared" si="218"/>
        <v>167</v>
      </c>
      <c r="N195" s="236">
        <f t="shared" si="219"/>
        <v>263024.40999999997</v>
      </c>
      <c r="O195" s="236">
        <f t="shared" si="292"/>
        <v>2504.4299999999998</v>
      </c>
      <c r="P195" s="236">
        <f t="shared" si="227"/>
        <v>641.33999999999992</v>
      </c>
      <c r="Q195" s="236">
        <f t="shared" si="293"/>
        <v>1863.09</v>
      </c>
      <c r="R195" s="236">
        <f t="shared" si="280"/>
        <v>51.5</v>
      </c>
      <c r="S195" s="236">
        <f t="shared" si="281"/>
        <v>145.09666666666666</v>
      </c>
      <c r="T195" s="236">
        <f t="shared" si="278"/>
        <v>2701.0266666666666</v>
      </c>
      <c r="U195" s="236">
        <f t="shared" si="228"/>
        <v>63326.929999999957</v>
      </c>
      <c r="V195" s="236">
        <f t="shared" si="229"/>
        <v>357417.30999999982</v>
      </c>
      <c r="W195" s="236">
        <f t="shared" si="294"/>
        <v>262383.06999999995</v>
      </c>
      <c r="X195" s="395">
        <f t="shared" si="220"/>
        <v>51240</v>
      </c>
      <c r="Y195" s="236">
        <f t="shared" si="295"/>
        <v>263024.40999999997</v>
      </c>
      <c r="Z195" s="386">
        <f t="shared" si="212"/>
        <v>8.4999999999999992E-2</v>
      </c>
      <c r="AA195" s="236">
        <f t="shared" si="213"/>
        <v>2504.4299999999998</v>
      </c>
      <c r="AB195" s="236">
        <f t="shared" si="296"/>
        <v>641.33999999999992</v>
      </c>
      <c r="AC195" s="236">
        <f t="shared" si="214"/>
        <v>1863.09</v>
      </c>
      <c r="AD195" s="236">
        <f t="shared" ref="AD195:AE195" si="305">+AD194</f>
        <v>51.5</v>
      </c>
      <c r="AE195" s="236">
        <f t="shared" si="305"/>
        <v>145.09666666666666</v>
      </c>
      <c r="AF195" s="236">
        <f t="shared" si="298"/>
        <v>2701.0266666666666</v>
      </c>
      <c r="AG195" s="236">
        <f t="shared" si="299"/>
        <v>63326.929999999957</v>
      </c>
      <c r="AH195" s="236">
        <f t="shared" si="300"/>
        <v>357417.30999999982</v>
      </c>
      <c r="AI195" s="402">
        <f t="shared" si="283"/>
        <v>0</v>
      </c>
      <c r="AJ195" s="402">
        <f t="shared" si="241"/>
        <v>0</v>
      </c>
      <c r="AK195" s="401">
        <f t="shared" si="284"/>
        <v>0</v>
      </c>
      <c r="AL195" s="236">
        <f t="shared" si="301"/>
        <v>262383.06999999995</v>
      </c>
      <c r="AM195" s="317">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6">
        <f t="shared" si="224"/>
        <v>1273.1376235451794</v>
      </c>
      <c r="AV195" s="236">
        <f t="shared" si="225"/>
        <v>184818.18704161697</v>
      </c>
    </row>
    <row r="196" spans="1:48">
      <c r="A196" s="392">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6">
        <f t="shared" si="262"/>
        <v>14</v>
      </c>
      <c r="M196" s="316">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2">
        <f t="shared" si="220"/>
        <v>51270</v>
      </c>
      <c r="Y196" s="188">
        <f t="shared" si="295"/>
        <v>262383.06999999995</v>
      </c>
      <c r="Z196" s="385">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1">
        <f t="shared" si="283"/>
        <v>0</v>
      </c>
      <c r="AJ196" s="401">
        <f t="shared" si="241"/>
        <v>0</v>
      </c>
      <c r="AK196" s="401">
        <f t="shared" si="284"/>
        <v>0</v>
      </c>
      <c r="AL196" s="188">
        <f t="shared" si="301"/>
        <v>261737.18999999994</v>
      </c>
      <c r="AM196" s="316">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2">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6">
        <f t="shared" si="262"/>
        <v>14</v>
      </c>
      <c r="M197" s="316">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2">
        <f t="shared" si="220"/>
        <v>51300</v>
      </c>
      <c r="Y197" s="188">
        <f t="shared" si="295"/>
        <v>261737.18999999994</v>
      </c>
      <c r="Z197" s="385">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1">
        <f t="shared" si="283"/>
        <v>0</v>
      </c>
      <c r="AJ197" s="401">
        <f t="shared" si="241"/>
        <v>0</v>
      </c>
      <c r="AK197" s="401">
        <f t="shared" si="284"/>
        <v>0</v>
      </c>
      <c r="AL197" s="188">
        <f t="shared" si="301"/>
        <v>261086.72999999995</v>
      </c>
      <c r="AM197" s="316">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2">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6">
        <f t="shared" si="262"/>
        <v>14</v>
      </c>
      <c r="M198" s="316">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2">
        <f t="shared" si="220"/>
        <v>51330</v>
      </c>
      <c r="Y198" s="188">
        <f t="shared" si="295"/>
        <v>261086.72999999995</v>
      </c>
      <c r="Z198" s="385">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1">
        <f t="shared" si="283"/>
        <v>0</v>
      </c>
      <c r="AJ198" s="401">
        <f t="shared" si="241"/>
        <v>0</v>
      </c>
      <c r="AK198" s="401">
        <f t="shared" si="284"/>
        <v>0</v>
      </c>
      <c r="AL198" s="188">
        <f t="shared" si="301"/>
        <v>260431.65999999995</v>
      </c>
      <c r="AM198" s="316">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2">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6">
        <f t="shared" si="262"/>
        <v>14</v>
      </c>
      <c r="M199" s="316">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2">
        <f t="shared" si="220"/>
        <v>51360</v>
      </c>
      <c r="Y199" s="188">
        <f t="shared" si="295"/>
        <v>260431.65999999995</v>
      </c>
      <c r="Z199" s="385">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1">
        <f t="shared" si="283"/>
        <v>0</v>
      </c>
      <c r="AJ199" s="401">
        <f t="shared" si="241"/>
        <v>0</v>
      </c>
      <c r="AK199" s="401">
        <f t="shared" si="284"/>
        <v>0</v>
      </c>
      <c r="AL199" s="188">
        <f t="shared" si="301"/>
        <v>259771.94999999995</v>
      </c>
      <c r="AM199" s="316">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2">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6">
        <f t="shared" si="262"/>
        <v>14</v>
      </c>
      <c r="M200" s="316">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2">
        <f t="shared" si="220"/>
        <v>51390</v>
      </c>
      <c r="Y200" s="188">
        <f t="shared" si="295"/>
        <v>259771.94999999995</v>
      </c>
      <c r="Z200" s="385">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1">
        <f t="shared" si="283"/>
        <v>0</v>
      </c>
      <c r="AJ200" s="401">
        <f t="shared" si="241"/>
        <v>0</v>
      </c>
      <c r="AK200" s="401">
        <f t="shared" si="284"/>
        <v>0</v>
      </c>
      <c r="AL200" s="188">
        <f t="shared" si="301"/>
        <v>259107.56999999995</v>
      </c>
      <c r="AM200" s="316">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2">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6">
        <f t="shared" si="262"/>
        <v>14</v>
      </c>
      <c r="M201" s="316">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2">
        <f t="shared" si="220"/>
        <v>51420</v>
      </c>
      <c r="Y201" s="188">
        <f t="shared" si="295"/>
        <v>259107.56999999995</v>
      </c>
      <c r="Z201" s="385">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1">
        <f t="shared" si="283"/>
        <v>0</v>
      </c>
      <c r="AJ201" s="401">
        <f t="shared" si="241"/>
        <v>0</v>
      </c>
      <c r="AK201" s="401">
        <f t="shared" si="284"/>
        <v>0</v>
      </c>
      <c r="AL201" s="188">
        <f t="shared" si="301"/>
        <v>258438.48999999996</v>
      </c>
      <c r="AM201" s="316">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2">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6">
        <f t="shared" si="262"/>
        <v>14</v>
      </c>
      <c r="M202" s="316">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2">
        <f t="shared" si="220"/>
        <v>51450</v>
      </c>
      <c r="Y202" s="188">
        <f t="shared" si="295"/>
        <v>258438.48999999996</v>
      </c>
      <c r="Z202" s="385">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1">
        <f t="shared" si="283"/>
        <v>0</v>
      </c>
      <c r="AJ202" s="401">
        <f t="shared" si="241"/>
        <v>0</v>
      </c>
      <c r="AK202" s="401">
        <f t="shared" si="284"/>
        <v>0</v>
      </c>
      <c r="AL202" s="188">
        <f t="shared" si="301"/>
        <v>257764.66999999995</v>
      </c>
      <c r="AM202" s="316">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2">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6">
        <f t="shared" si="262"/>
        <v>14</v>
      </c>
      <c r="M203" s="316">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2">
        <f t="shared" si="220"/>
        <v>51480</v>
      </c>
      <c r="Y203" s="188">
        <f t="shared" si="295"/>
        <v>257764.66999999995</v>
      </c>
      <c r="Z203" s="385">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1">
        <f t="shared" si="283"/>
        <v>0</v>
      </c>
      <c r="AJ203" s="401">
        <f t="shared" si="241"/>
        <v>0</v>
      </c>
      <c r="AK203" s="401">
        <f t="shared" si="284"/>
        <v>0</v>
      </c>
      <c r="AL203" s="188">
        <f t="shared" si="301"/>
        <v>257086.06999999995</v>
      </c>
      <c r="AM203" s="316">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2">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6">
        <f t="shared" si="262"/>
        <v>14</v>
      </c>
      <c r="M204" s="316">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2">
        <f t="shared" si="220"/>
        <v>51510</v>
      </c>
      <c r="Y204" s="188">
        <f t="shared" si="295"/>
        <v>257086.06999999995</v>
      </c>
      <c r="Z204" s="385">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1">
        <f t="shared" si="283"/>
        <v>0</v>
      </c>
      <c r="AJ204" s="401">
        <f t="shared" si="241"/>
        <v>0</v>
      </c>
      <c r="AK204" s="401">
        <f t="shared" si="284"/>
        <v>0</v>
      </c>
      <c r="AL204" s="188">
        <f t="shared" si="301"/>
        <v>256402.66999999995</v>
      </c>
      <c r="AM204" s="316">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2">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6">
        <f t="shared" si="262"/>
        <v>14</v>
      </c>
      <c r="M205" s="316">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2">
        <f t="shared" si="220"/>
        <v>51540</v>
      </c>
      <c r="Y205" s="188">
        <f t="shared" si="295"/>
        <v>256402.66999999995</v>
      </c>
      <c r="Z205" s="385">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1">
        <f t="shared" si="283"/>
        <v>0</v>
      </c>
      <c r="AJ205" s="401">
        <f t="shared" si="241"/>
        <v>0</v>
      </c>
      <c r="AK205" s="401">
        <f t="shared" si="284"/>
        <v>0</v>
      </c>
      <c r="AL205" s="188">
        <f t="shared" si="301"/>
        <v>255714.42999999996</v>
      </c>
      <c r="AM205" s="316">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2">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6">
        <f t="shared" si="262"/>
        <v>14</v>
      </c>
      <c r="M206" s="316">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2">
        <f t="shared" si="220"/>
        <v>51570</v>
      </c>
      <c r="Y206" s="188">
        <f t="shared" si="295"/>
        <v>255714.42999999996</v>
      </c>
      <c r="Z206" s="385">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1">
        <f t="shared" si="283"/>
        <v>0</v>
      </c>
      <c r="AJ206" s="401">
        <f t="shared" si="241"/>
        <v>0</v>
      </c>
      <c r="AK206" s="401">
        <f t="shared" si="284"/>
        <v>0</v>
      </c>
      <c r="AL206" s="188">
        <f t="shared" si="301"/>
        <v>255021.30999999997</v>
      </c>
      <c r="AM206" s="316">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5">
        <f t="shared" si="288"/>
        <v>51600</v>
      </c>
      <c r="B207" s="236">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6">
        <f t="shared" si="289"/>
        <v>28422.360000000004</v>
      </c>
      <c r="J207" s="236">
        <f t="shared" si="290"/>
        <v>79534.769999999975</v>
      </c>
      <c r="K207" s="236">
        <f t="shared" si="291"/>
        <v>94750.809999999954</v>
      </c>
      <c r="L207" s="317">
        <f t="shared" si="262"/>
        <v>14</v>
      </c>
      <c r="M207" s="317">
        <f t="shared" si="218"/>
        <v>179</v>
      </c>
      <c r="N207" s="236">
        <f t="shared" si="219"/>
        <v>255021.30999999997</v>
      </c>
      <c r="O207" s="236">
        <f t="shared" si="292"/>
        <v>2504.4299999999998</v>
      </c>
      <c r="P207" s="236">
        <f t="shared" si="227"/>
        <v>698.02999999999975</v>
      </c>
      <c r="Q207" s="236">
        <f t="shared" si="293"/>
        <v>1806.4</v>
      </c>
      <c r="R207" s="236">
        <f t="shared" si="280"/>
        <v>51.5</v>
      </c>
      <c r="S207" s="236">
        <f t="shared" si="281"/>
        <v>145.09666666666666</v>
      </c>
      <c r="T207" s="236">
        <f t="shared" si="278"/>
        <v>2701.0266666666666</v>
      </c>
      <c r="U207" s="236">
        <f t="shared" si="228"/>
        <v>71386.719999999972</v>
      </c>
      <c r="V207" s="236">
        <f t="shared" si="229"/>
        <v>379410.67999999976</v>
      </c>
      <c r="W207" s="236">
        <f t="shared" si="294"/>
        <v>254323.27999999997</v>
      </c>
      <c r="X207" s="395">
        <f t="shared" si="220"/>
        <v>51600</v>
      </c>
      <c r="Y207" s="236">
        <f t="shared" si="295"/>
        <v>255021.30999999997</v>
      </c>
      <c r="Z207" s="386">
        <f t="shared" si="212"/>
        <v>8.4999999999999992E-2</v>
      </c>
      <c r="AA207" s="236">
        <f t="shared" si="213"/>
        <v>2504.4299999999998</v>
      </c>
      <c r="AB207" s="236">
        <f t="shared" si="296"/>
        <v>698.02999999999975</v>
      </c>
      <c r="AC207" s="236">
        <f t="shared" si="214"/>
        <v>1806.4</v>
      </c>
      <c r="AD207" s="236">
        <f t="shared" ref="AD207:AE207" si="317">+AD206</f>
        <v>51.5</v>
      </c>
      <c r="AE207" s="236">
        <f t="shared" si="317"/>
        <v>145.09666666666666</v>
      </c>
      <c r="AF207" s="236">
        <f t="shared" si="298"/>
        <v>2701.0266666666666</v>
      </c>
      <c r="AG207" s="236">
        <f t="shared" si="299"/>
        <v>71386.719999999972</v>
      </c>
      <c r="AH207" s="236">
        <f t="shared" si="300"/>
        <v>379410.67999999976</v>
      </c>
      <c r="AI207" s="402">
        <f t="shared" si="283"/>
        <v>0</v>
      </c>
      <c r="AJ207" s="402">
        <f t="shared" si="241"/>
        <v>0</v>
      </c>
      <c r="AK207" s="401">
        <f t="shared" si="284"/>
        <v>0</v>
      </c>
      <c r="AL207" s="236">
        <f t="shared" si="301"/>
        <v>254323.27999999997</v>
      </c>
      <c r="AM207" s="317">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6">
        <f t="shared" si="224"/>
        <v>1311.8613226478949</v>
      </c>
      <c r="AV207" s="236">
        <f t="shared" si="225"/>
        <v>200346.39038180577</v>
      </c>
    </row>
    <row r="208" spans="1:48">
      <c r="A208" s="392">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6">
        <f t="shared" si="262"/>
        <v>15</v>
      </c>
      <c r="M208" s="316">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2">
        <f t="shared" si="220"/>
        <v>51630</v>
      </c>
      <c r="Y208" s="188">
        <f t="shared" si="295"/>
        <v>254323.27999999997</v>
      </c>
      <c r="Z208" s="385">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1">
        <f t="shared" si="283"/>
        <v>0</v>
      </c>
      <c r="AJ208" s="401">
        <f t="shared" si="241"/>
        <v>0</v>
      </c>
      <c r="AK208" s="401">
        <f t="shared" si="284"/>
        <v>0</v>
      </c>
      <c r="AL208" s="188">
        <f t="shared" si="301"/>
        <v>253620.30999999997</v>
      </c>
      <c r="AM208" s="316">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2">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6">
        <f t="shared" si="262"/>
        <v>15</v>
      </c>
      <c r="M209" s="316">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2">
        <f t="shared" ref="X209:X272" si="328">+A209</f>
        <v>51660</v>
      </c>
      <c r="Y209" s="188">
        <f t="shared" si="295"/>
        <v>253620.30999999997</v>
      </c>
      <c r="Z209" s="385">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1">
        <f t="shared" si="283"/>
        <v>0</v>
      </c>
      <c r="AJ209" s="401">
        <f t="shared" si="241"/>
        <v>0</v>
      </c>
      <c r="AK209" s="401">
        <f t="shared" si="284"/>
        <v>0</v>
      </c>
      <c r="AL209" s="188">
        <f t="shared" si="301"/>
        <v>252912.35999999996</v>
      </c>
      <c r="AM209" s="316">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2">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6">
        <f t="shared" si="262"/>
        <v>15</v>
      </c>
      <c r="M210" s="316">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2">
        <f t="shared" si="328"/>
        <v>51690</v>
      </c>
      <c r="Y210" s="188">
        <f t="shared" si="295"/>
        <v>252912.35999999996</v>
      </c>
      <c r="Z210" s="385">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1">
        <f t="shared" si="283"/>
        <v>0</v>
      </c>
      <c r="AJ210" s="401">
        <f t="shared" si="241"/>
        <v>0</v>
      </c>
      <c r="AK210" s="401">
        <f t="shared" si="284"/>
        <v>0</v>
      </c>
      <c r="AL210" s="188">
        <f t="shared" si="301"/>
        <v>252199.38999999996</v>
      </c>
      <c r="AM210" s="316">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2">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6">
        <f t="shared" si="262"/>
        <v>15</v>
      </c>
      <c r="M211" s="316">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2">
        <f t="shared" si="328"/>
        <v>51720</v>
      </c>
      <c r="Y211" s="188">
        <f t="shared" si="295"/>
        <v>252199.38999999996</v>
      </c>
      <c r="Z211" s="385">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1">
        <f t="shared" si="283"/>
        <v>0</v>
      </c>
      <c r="AJ211" s="401">
        <f t="shared" si="241"/>
        <v>0</v>
      </c>
      <c r="AK211" s="401">
        <f t="shared" si="284"/>
        <v>0</v>
      </c>
      <c r="AL211" s="188">
        <f t="shared" si="301"/>
        <v>251481.36999999997</v>
      </c>
      <c r="AM211" s="316">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2">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6">
        <f t="shared" si="262"/>
        <v>15</v>
      </c>
      <c r="M212" s="316">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2">
        <f t="shared" si="328"/>
        <v>51750</v>
      </c>
      <c r="Y212" s="188">
        <f t="shared" si="295"/>
        <v>251481.36999999997</v>
      </c>
      <c r="Z212" s="385">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1">
        <f t="shared" si="283"/>
        <v>0</v>
      </c>
      <c r="AJ212" s="401">
        <f t="shared" si="241"/>
        <v>0</v>
      </c>
      <c r="AK212" s="401">
        <f t="shared" si="284"/>
        <v>0</v>
      </c>
      <c r="AL212" s="188">
        <f t="shared" si="301"/>
        <v>250758.26999999996</v>
      </c>
      <c r="AM212" s="316">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2">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6">
        <f t="shared" si="262"/>
        <v>15</v>
      </c>
      <c r="M213" s="316">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2">
        <f t="shared" si="328"/>
        <v>51780</v>
      </c>
      <c r="Y213" s="188">
        <f t="shared" si="295"/>
        <v>250758.26999999996</v>
      </c>
      <c r="Z213" s="385">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1">
        <f t="shared" si="283"/>
        <v>0</v>
      </c>
      <c r="AJ213" s="401">
        <f t="shared" si="241"/>
        <v>0</v>
      </c>
      <c r="AK213" s="401">
        <f t="shared" si="284"/>
        <v>0</v>
      </c>
      <c r="AL213" s="188">
        <f t="shared" si="301"/>
        <v>250030.03999999995</v>
      </c>
      <c r="AM213" s="316">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2">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6">
        <f t="shared" si="262"/>
        <v>15</v>
      </c>
      <c r="M214" s="316">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2">
        <f t="shared" si="328"/>
        <v>51810</v>
      </c>
      <c r="Y214" s="188">
        <f t="shared" si="295"/>
        <v>250030.03999999995</v>
      </c>
      <c r="Z214" s="385">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1">
        <f t="shared" si="283"/>
        <v>0</v>
      </c>
      <c r="AJ214" s="401">
        <f t="shared" si="241"/>
        <v>0</v>
      </c>
      <c r="AK214" s="401">
        <f t="shared" si="284"/>
        <v>0</v>
      </c>
      <c r="AL214" s="188">
        <f t="shared" si="301"/>
        <v>249296.65999999995</v>
      </c>
      <c r="AM214" s="316">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2">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6">
        <f t="shared" si="262"/>
        <v>15</v>
      </c>
      <c r="M215" s="316">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2">
        <f t="shared" si="328"/>
        <v>51840</v>
      </c>
      <c r="Y215" s="188">
        <f t="shared" si="295"/>
        <v>249296.65999999995</v>
      </c>
      <c r="Z215" s="385">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1">
        <f t="shared" si="283"/>
        <v>0</v>
      </c>
      <c r="AJ215" s="401">
        <f t="shared" si="241"/>
        <v>0</v>
      </c>
      <c r="AK215" s="401">
        <f t="shared" si="284"/>
        <v>0</v>
      </c>
      <c r="AL215" s="188">
        <f t="shared" si="301"/>
        <v>248558.07999999996</v>
      </c>
      <c r="AM215" s="316">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2">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6">
        <f t="shared" si="262"/>
        <v>15</v>
      </c>
      <c r="M216" s="316">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2">
        <f t="shared" si="328"/>
        <v>51870</v>
      </c>
      <c r="Y216" s="188">
        <f t="shared" si="295"/>
        <v>248558.07999999996</v>
      </c>
      <c r="Z216" s="385">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1">
        <f t="shared" si="283"/>
        <v>0</v>
      </c>
      <c r="AJ216" s="401">
        <f t="shared" si="241"/>
        <v>0</v>
      </c>
      <c r="AK216" s="401">
        <f t="shared" si="284"/>
        <v>0</v>
      </c>
      <c r="AL216" s="188">
        <f t="shared" si="301"/>
        <v>247814.26999999996</v>
      </c>
      <c r="AM216" s="316">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2">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6">
        <f t="shared" si="262"/>
        <v>15</v>
      </c>
      <c r="M217" s="316">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2">
        <f t="shared" si="328"/>
        <v>51900</v>
      </c>
      <c r="Y217" s="188">
        <f t="shared" si="295"/>
        <v>247814.26999999996</v>
      </c>
      <c r="Z217" s="385">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1">
        <f t="shared" si="283"/>
        <v>0</v>
      </c>
      <c r="AJ217" s="401">
        <f t="shared" si="241"/>
        <v>0</v>
      </c>
      <c r="AK217" s="401">
        <f t="shared" si="284"/>
        <v>0</v>
      </c>
      <c r="AL217" s="188">
        <f t="shared" si="301"/>
        <v>247065.18999999997</v>
      </c>
      <c r="AM217" s="316">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2">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6">
        <f t="shared" si="262"/>
        <v>15</v>
      </c>
      <c r="M218" s="316">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2">
        <f t="shared" si="328"/>
        <v>51930</v>
      </c>
      <c r="Y218" s="188">
        <f t="shared" si="295"/>
        <v>247065.18999999997</v>
      </c>
      <c r="Z218" s="385">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1">
        <f t="shared" si="283"/>
        <v>0</v>
      </c>
      <c r="AJ218" s="401">
        <f t="shared" si="241"/>
        <v>0</v>
      </c>
      <c r="AK218" s="401">
        <f t="shared" si="284"/>
        <v>0</v>
      </c>
      <c r="AL218" s="188">
        <f t="shared" si="301"/>
        <v>246310.80999999997</v>
      </c>
      <c r="AM218" s="316">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5">
        <f t="shared" si="288"/>
        <v>51960</v>
      </c>
      <c r="B219" s="236">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6">
        <f t="shared" si="289"/>
        <v>30928.390000000003</v>
      </c>
      <c r="J219" s="236">
        <f t="shared" si="290"/>
        <v>83747.299999999974</v>
      </c>
      <c r="K219" s="236">
        <f t="shared" si="291"/>
        <v>92244.779999999955</v>
      </c>
      <c r="L219" s="317">
        <f t="shared" si="262"/>
        <v>15</v>
      </c>
      <c r="M219" s="317">
        <f t="shared" si="326"/>
        <v>191</v>
      </c>
      <c r="N219" s="236">
        <f t="shared" si="327"/>
        <v>246310.80999999997</v>
      </c>
      <c r="O219" s="236">
        <f t="shared" si="292"/>
        <v>2504.4299999999998</v>
      </c>
      <c r="P219" s="236">
        <f t="shared" si="335"/>
        <v>759.72999999999979</v>
      </c>
      <c r="Q219" s="236">
        <f t="shared" si="293"/>
        <v>1744.7</v>
      </c>
      <c r="R219" s="236">
        <f t="shared" si="280"/>
        <v>51.5</v>
      </c>
      <c r="S219" s="236">
        <f t="shared" si="281"/>
        <v>145.09666666666666</v>
      </c>
      <c r="T219" s="236">
        <f t="shared" si="278"/>
        <v>2701.0266666666666</v>
      </c>
      <c r="U219" s="236">
        <f t="shared" si="336"/>
        <v>80158.919999999984</v>
      </c>
      <c r="V219" s="236">
        <f t="shared" si="337"/>
        <v>400691.63999999972</v>
      </c>
      <c r="W219" s="236">
        <f t="shared" si="294"/>
        <v>245551.07999999996</v>
      </c>
      <c r="X219" s="395">
        <f t="shared" si="328"/>
        <v>51960</v>
      </c>
      <c r="Y219" s="236">
        <f t="shared" si="295"/>
        <v>246310.80999999997</v>
      </c>
      <c r="Z219" s="386">
        <f t="shared" si="320"/>
        <v>8.4999999999999992E-2</v>
      </c>
      <c r="AA219" s="236">
        <f t="shared" si="321"/>
        <v>2504.4299999999998</v>
      </c>
      <c r="AB219" s="236">
        <f t="shared" si="296"/>
        <v>759.72999999999979</v>
      </c>
      <c r="AC219" s="236">
        <f t="shared" si="322"/>
        <v>1744.7</v>
      </c>
      <c r="AD219" s="236">
        <f t="shared" ref="AD219:AE219" si="347">+AD218</f>
        <v>51.5</v>
      </c>
      <c r="AE219" s="236">
        <f t="shared" si="347"/>
        <v>145.09666666666666</v>
      </c>
      <c r="AF219" s="236">
        <f t="shared" si="298"/>
        <v>2701.0266666666666</v>
      </c>
      <c r="AG219" s="236">
        <f t="shared" si="299"/>
        <v>80158.919999999984</v>
      </c>
      <c r="AH219" s="236">
        <f t="shared" si="300"/>
        <v>400691.63999999972</v>
      </c>
      <c r="AI219" s="402">
        <f t="shared" si="283"/>
        <v>0</v>
      </c>
      <c r="AJ219" s="402">
        <f t="shared" si="241"/>
        <v>0</v>
      </c>
      <c r="AK219" s="401">
        <f t="shared" si="284"/>
        <v>0</v>
      </c>
      <c r="AL219" s="236">
        <f t="shared" si="301"/>
        <v>245551.07999999996</v>
      </c>
      <c r="AM219" s="317">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6">
        <f t="shared" si="332"/>
        <v>1351.7628401140496</v>
      </c>
      <c r="AV219" s="236">
        <f t="shared" si="333"/>
        <v>216346.89888573394</v>
      </c>
    </row>
    <row r="220" spans="1:48">
      <c r="A220" s="392">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6">
        <f t="shared" si="262"/>
        <v>16</v>
      </c>
      <c r="M220" s="316">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2">
        <f t="shared" si="328"/>
        <v>51990</v>
      </c>
      <c r="Y220" s="188">
        <f t="shared" si="295"/>
        <v>245551.07999999996</v>
      </c>
      <c r="Z220" s="385">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1">
        <f t="shared" si="283"/>
        <v>0</v>
      </c>
      <c r="AJ220" s="401">
        <f t="shared" ref="AJ220:AJ283" si="349">+W220-AL220</f>
        <v>0</v>
      </c>
      <c r="AK220" s="401">
        <f t="shared" si="284"/>
        <v>0</v>
      </c>
      <c r="AL220" s="188">
        <f t="shared" si="301"/>
        <v>244785.96999999997</v>
      </c>
      <c r="AM220" s="316">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2">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6">
        <f t="shared" si="262"/>
        <v>16</v>
      </c>
      <c r="M221" s="316">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2">
        <f t="shared" si="328"/>
        <v>52020</v>
      </c>
      <c r="Y221" s="188">
        <f t="shared" si="295"/>
        <v>244785.96999999997</v>
      </c>
      <c r="Z221" s="385">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1">
        <f t="shared" si="283"/>
        <v>0</v>
      </c>
      <c r="AJ221" s="401">
        <f t="shared" si="349"/>
        <v>0</v>
      </c>
      <c r="AK221" s="401">
        <f t="shared" si="284"/>
        <v>0</v>
      </c>
      <c r="AL221" s="188">
        <f t="shared" si="301"/>
        <v>244015.43999999997</v>
      </c>
      <c r="AM221" s="316">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2">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6">
        <f t="shared" si="262"/>
        <v>16</v>
      </c>
      <c r="M222" s="316">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2">
        <f t="shared" si="328"/>
        <v>52050</v>
      </c>
      <c r="Y222" s="188">
        <f t="shared" si="295"/>
        <v>244015.43999999997</v>
      </c>
      <c r="Z222" s="385">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1">
        <f t="shared" si="283"/>
        <v>0</v>
      </c>
      <c r="AJ222" s="401">
        <f t="shared" si="349"/>
        <v>0</v>
      </c>
      <c r="AK222" s="401">
        <f t="shared" si="284"/>
        <v>0</v>
      </c>
      <c r="AL222" s="188">
        <f t="shared" si="301"/>
        <v>243239.44999999998</v>
      </c>
      <c r="AM222" s="316">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2">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6">
        <f t="shared" si="262"/>
        <v>16</v>
      </c>
      <c r="M223" s="316">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2">
        <f t="shared" si="328"/>
        <v>52080</v>
      </c>
      <c r="Y223" s="188">
        <f t="shared" si="295"/>
        <v>243239.44999999998</v>
      </c>
      <c r="Z223" s="385">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1">
        <f t="shared" si="283"/>
        <v>0</v>
      </c>
      <c r="AJ223" s="401">
        <f t="shared" si="349"/>
        <v>0</v>
      </c>
      <c r="AK223" s="401">
        <f t="shared" si="284"/>
        <v>0</v>
      </c>
      <c r="AL223" s="188">
        <f t="shared" si="301"/>
        <v>242457.96999999997</v>
      </c>
      <c r="AM223" s="316">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2">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6">
        <f t="shared" si="262"/>
        <v>16</v>
      </c>
      <c r="M224" s="316">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2">
        <f t="shared" si="328"/>
        <v>52110</v>
      </c>
      <c r="Y224" s="188">
        <f t="shared" si="295"/>
        <v>242457.96999999997</v>
      </c>
      <c r="Z224" s="385">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1">
        <f t="shared" si="283"/>
        <v>0</v>
      </c>
      <c r="AJ224" s="401">
        <f t="shared" si="349"/>
        <v>0</v>
      </c>
      <c r="AK224" s="401">
        <f t="shared" si="284"/>
        <v>0</v>
      </c>
      <c r="AL224" s="188">
        <f t="shared" si="301"/>
        <v>241670.94999999998</v>
      </c>
      <c r="AM224" s="316">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2">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6">
        <f t="shared" si="262"/>
        <v>16</v>
      </c>
      <c r="M225" s="316">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2">
        <f t="shared" si="328"/>
        <v>52140</v>
      </c>
      <c r="Y225" s="188">
        <f t="shared" si="295"/>
        <v>241670.94999999998</v>
      </c>
      <c r="Z225" s="385">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1">
        <f t="shared" si="283"/>
        <v>0</v>
      </c>
      <c r="AJ225" s="401">
        <f t="shared" si="349"/>
        <v>0</v>
      </c>
      <c r="AK225" s="401">
        <f t="shared" si="284"/>
        <v>0</v>
      </c>
      <c r="AL225" s="188">
        <f t="shared" si="301"/>
        <v>240878.36</v>
      </c>
      <c r="AM225" s="316">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2">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6">
        <f t="shared" si="262"/>
        <v>16</v>
      </c>
      <c r="M226" s="316">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2">
        <f t="shared" si="328"/>
        <v>52170</v>
      </c>
      <c r="Y226" s="188">
        <f t="shared" si="295"/>
        <v>240878.36</v>
      </c>
      <c r="Z226" s="385">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1">
        <f t="shared" si="283"/>
        <v>0</v>
      </c>
      <c r="AJ226" s="401">
        <f t="shared" si="349"/>
        <v>0</v>
      </c>
      <c r="AK226" s="401">
        <f t="shared" si="284"/>
        <v>0</v>
      </c>
      <c r="AL226" s="188">
        <f t="shared" si="301"/>
        <v>240080.15</v>
      </c>
      <c r="AM226" s="316">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2">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6">
        <f t="shared" si="262"/>
        <v>16</v>
      </c>
      <c r="M227" s="316">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2">
        <f t="shared" si="328"/>
        <v>52200</v>
      </c>
      <c r="Y227" s="188">
        <f t="shared" si="295"/>
        <v>240080.15</v>
      </c>
      <c r="Z227" s="385">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1">
        <f t="shared" si="283"/>
        <v>0</v>
      </c>
      <c r="AJ227" s="401">
        <f t="shared" si="349"/>
        <v>0</v>
      </c>
      <c r="AK227" s="401">
        <f t="shared" si="284"/>
        <v>0</v>
      </c>
      <c r="AL227" s="188">
        <f t="shared" si="301"/>
        <v>239276.29</v>
      </c>
      <c r="AM227" s="316">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2">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6">
        <f t="shared" si="262"/>
        <v>16</v>
      </c>
      <c r="M228" s="316">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2">
        <f t="shared" si="328"/>
        <v>52230</v>
      </c>
      <c r="Y228" s="188">
        <f t="shared" si="295"/>
        <v>239276.29</v>
      </c>
      <c r="Z228" s="385">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1">
        <f t="shared" si="283"/>
        <v>0</v>
      </c>
      <c r="AJ228" s="401">
        <f t="shared" si="349"/>
        <v>0</v>
      </c>
      <c r="AK228" s="401">
        <f t="shared" si="284"/>
        <v>0</v>
      </c>
      <c r="AL228" s="188">
        <f t="shared" si="301"/>
        <v>238466.73</v>
      </c>
      <c r="AM228" s="316">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2">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6">
        <f t="shared" si="262"/>
        <v>16</v>
      </c>
      <c r="M229" s="316">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2">
        <f t="shared" si="328"/>
        <v>52260</v>
      </c>
      <c r="Y229" s="188">
        <f t="shared" si="295"/>
        <v>238466.73</v>
      </c>
      <c r="Z229" s="385">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1">
        <f t="shared" si="283"/>
        <v>0</v>
      </c>
      <c r="AJ229" s="401">
        <f t="shared" si="349"/>
        <v>0</v>
      </c>
      <c r="AK229" s="401">
        <f t="shared" si="284"/>
        <v>0</v>
      </c>
      <c r="AL229" s="188">
        <f t="shared" si="301"/>
        <v>237651.44</v>
      </c>
      <c r="AM229" s="316">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2">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6">
        <f t="shared" si="262"/>
        <v>16</v>
      </c>
      <c r="M230" s="316">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2">
        <f t="shared" si="328"/>
        <v>52290</v>
      </c>
      <c r="Y230" s="188">
        <f t="shared" si="295"/>
        <v>237651.44</v>
      </c>
      <c r="Z230" s="385">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1">
        <f t="shared" si="283"/>
        <v>0</v>
      </c>
      <c r="AJ230" s="401">
        <f t="shared" si="349"/>
        <v>0</v>
      </c>
      <c r="AK230" s="401">
        <f t="shared" si="284"/>
        <v>0</v>
      </c>
      <c r="AL230" s="188">
        <f t="shared" si="301"/>
        <v>236830.37</v>
      </c>
      <c r="AM230" s="316">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5">
        <f t="shared" si="288"/>
        <v>52320</v>
      </c>
      <c r="B231" s="236">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6">
        <f t="shared" si="289"/>
        <v>33549.550000000003</v>
      </c>
      <c r="J231" s="236">
        <f t="shared" si="290"/>
        <v>87844.699999999968</v>
      </c>
      <c r="K231" s="236">
        <f t="shared" si="291"/>
        <v>89623.619999999937</v>
      </c>
      <c r="L231" s="317">
        <f t="shared" si="262"/>
        <v>16</v>
      </c>
      <c r="M231" s="317">
        <f t="shared" si="326"/>
        <v>203</v>
      </c>
      <c r="N231" s="236">
        <f t="shared" si="327"/>
        <v>236830.37</v>
      </c>
      <c r="O231" s="236">
        <f t="shared" si="292"/>
        <v>2504.4299999999998</v>
      </c>
      <c r="P231" s="236">
        <f t="shared" si="335"/>
        <v>826.87999999999988</v>
      </c>
      <c r="Q231" s="236">
        <f t="shared" si="293"/>
        <v>1677.55</v>
      </c>
      <c r="R231" s="236">
        <f t="shared" si="280"/>
        <v>51.5</v>
      </c>
      <c r="S231" s="236">
        <f t="shared" si="281"/>
        <v>145.09666666666666</v>
      </c>
      <c r="T231" s="236">
        <f t="shared" si="278"/>
        <v>2701.0266666666666</v>
      </c>
      <c r="U231" s="236">
        <f t="shared" si="336"/>
        <v>89706.51</v>
      </c>
      <c r="V231" s="236">
        <f t="shared" si="337"/>
        <v>421197.20999999973</v>
      </c>
      <c r="W231" s="236">
        <f t="shared" si="294"/>
        <v>236003.49</v>
      </c>
      <c r="X231" s="395">
        <f t="shared" si="328"/>
        <v>52320</v>
      </c>
      <c r="Y231" s="236">
        <f t="shared" si="295"/>
        <v>236830.37</v>
      </c>
      <c r="Z231" s="386">
        <f t="shared" si="320"/>
        <v>8.4999999999999992E-2</v>
      </c>
      <c r="AA231" s="236">
        <f t="shared" si="321"/>
        <v>2504.4299999999998</v>
      </c>
      <c r="AB231" s="236">
        <f t="shared" si="296"/>
        <v>826.87999999999988</v>
      </c>
      <c r="AC231" s="236">
        <f t="shared" si="322"/>
        <v>1677.55</v>
      </c>
      <c r="AD231" s="236">
        <f t="shared" ref="AD231:AE231" si="360">+AD230</f>
        <v>51.5</v>
      </c>
      <c r="AE231" s="236">
        <f t="shared" si="360"/>
        <v>145.09666666666666</v>
      </c>
      <c r="AF231" s="236">
        <f t="shared" si="298"/>
        <v>2701.0266666666666</v>
      </c>
      <c r="AG231" s="236">
        <f t="shared" si="299"/>
        <v>89706.51</v>
      </c>
      <c r="AH231" s="236">
        <f t="shared" si="300"/>
        <v>421197.20999999973</v>
      </c>
      <c r="AI231" s="402">
        <f t="shared" si="283"/>
        <v>0</v>
      </c>
      <c r="AJ231" s="402">
        <f t="shared" si="349"/>
        <v>0</v>
      </c>
      <c r="AK231" s="401">
        <f t="shared" si="284"/>
        <v>0</v>
      </c>
      <c r="AL231" s="236">
        <f t="shared" si="301"/>
        <v>236003.49</v>
      </c>
      <c r="AM231" s="317">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6">
        <f t="shared" si="332"/>
        <v>1392.8780004162388</v>
      </c>
      <c r="AV231" s="236">
        <f t="shared" si="333"/>
        <v>232834.07816691179</v>
      </c>
    </row>
    <row r="232" spans="1:48">
      <c r="A232" s="392">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6">
        <f t="shared" si="262"/>
        <v>17</v>
      </c>
      <c r="M232" s="316">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2">
        <f t="shared" si="328"/>
        <v>52350</v>
      </c>
      <c r="Y232" s="188">
        <f t="shared" si="295"/>
        <v>236003.49</v>
      </c>
      <c r="Z232" s="385">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1">
        <f t="shared" si="283"/>
        <v>0</v>
      </c>
      <c r="AJ232" s="401">
        <f t="shared" si="349"/>
        <v>0</v>
      </c>
      <c r="AK232" s="401">
        <f t="shared" si="284"/>
        <v>0</v>
      </c>
      <c r="AL232" s="188">
        <f t="shared" si="301"/>
        <v>235170.75</v>
      </c>
      <c r="AM232" s="316">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2">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6">
        <f t="shared" si="262"/>
        <v>17</v>
      </c>
      <c r="M233" s="316">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2">
        <f t="shared" si="328"/>
        <v>52380</v>
      </c>
      <c r="Y233" s="188">
        <f t="shared" si="295"/>
        <v>235170.75</v>
      </c>
      <c r="Z233" s="385">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1">
        <f t="shared" si="283"/>
        <v>0</v>
      </c>
      <c r="AJ233" s="401">
        <f t="shared" si="349"/>
        <v>0</v>
      </c>
      <c r="AK233" s="401">
        <f t="shared" si="284"/>
        <v>0</v>
      </c>
      <c r="AL233" s="188">
        <f t="shared" si="301"/>
        <v>234332.11</v>
      </c>
      <c r="AM233" s="316">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2">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6">
        <f t="shared" si="262"/>
        <v>17</v>
      </c>
      <c r="M234" s="316">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2">
        <f t="shared" si="328"/>
        <v>52410</v>
      </c>
      <c r="Y234" s="188">
        <f t="shared" si="295"/>
        <v>234332.11</v>
      </c>
      <c r="Z234" s="385">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1">
        <f t="shared" si="283"/>
        <v>0</v>
      </c>
      <c r="AJ234" s="401">
        <f t="shared" si="349"/>
        <v>0</v>
      </c>
      <c r="AK234" s="401">
        <f t="shared" si="284"/>
        <v>0</v>
      </c>
      <c r="AL234" s="188">
        <f t="shared" si="301"/>
        <v>233487.53</v>
      </c>
      <c r="AM234" s="316">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2">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6">
        <f t="shared" si="262"/>
        <v>17</v>
      </c>
      <c r="M235" s="316">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2">
        <f t="shared" si="328"/>
        <v>52440</v>
      </c>
      <c r="Y235" s="188">
        <f t="shared" si="295"/>
        <v>233487.53</v>
      </c>
      <c r="Z235" s="385">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1">
        <f t="shared" si="283"/>
        <v>0</v>
      </c>
      <c r="AJ235" s="401">
        <f t="shared" si="349"/>
        <v>0</v>
      </c>
      <c r="AK235" s="401">
        <f t="shared" si="284"/>
        <v>0</v>
      </c>
      <c r="AL235" s="188">
        <f t="shared" si="301"/>
        <v>232636.97</v>
      </c>
      <c r="AM235" s="316">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2">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6">
        <f t="shared" si="262"/>
        <v>17</v>
      </c>
      <c r="M236" s="316">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2">
        <f t="shared" si="328"/>
        <v>52470</v>
      </c>
      <c r="Y236" s="188">
        <f t="shared" si="295"/>
        <v>232636.97</v>
      </c>
      <c r="Z236" s="385">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1">
        <f t="shared" si="283"/>
        <v>0</v>
      </c>
      <c r="AJ236" s="401">
        <f t="shared" si="349"/>
        <v>0</v>
      </c>
      <c r="AK236" s="401">
        <f t="shared" si="284"/>
        <v>0</v>
      </c>
      <c r="AL236" s="188">
        <f t="shared" si="301"/>
        <v>231780.39</v>
      </c>
      <c r="AM236" s="316">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2">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6">
        <f t="shared" si="262"/>
        <v>17</v>
      </c>
      <c r="M237" s="316">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2">
        <f t="shared" si="328"/>
        <v>52500</v>
      </c>
      <c r="Y237" s="188">
        <f t="shared" si="295"/>
        <v>231780.39</v>
      </c>
      <c r="Z237" s="385">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1">
        <f t="shared" si="283"/>
        <v>0</v>
      </c>
      <c r="AJ237" s="401">
        <f t="shared" si="349"/>
        <v>0</v>
      </c>
      <c r="AK237" s="401">
        <f t="shared" si="284"/>
        <v>0</v>
      </c>
      <c r="AL237" s="188">
        <f t="shared" si="301"/>
        <v>230917.74000000002</v>
      </c>
      <c r="AM237" s="316">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2">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6">
        <f t="shared" si="262"/>
        <v>17</v>
      </c>
      <c r="M238" s="316">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2">
        <f t="shared" si="328"/>
        <v>52530</v>
      </c>
      <c r="Y238" s="188">
        <f t="shared" si="295"/>
        <v>230917.74000000002</v>
      </c>
      <c r="Z238" s="385">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1">
        <f t="shared" si="283"/>
        <v>0</v>
      </c>
      <c r="AJ238" s="401">
        <f t="shared" si="349"/>
        <v>0</v>
      </c>
      <c r="AK238" s="401">
        <f t="shared" si="284"/>
        <v>0</v>
      </c>
      <c r="AL238" s="188">
        <f t="shared" si="301"/>
        <v>230048.98</v>
      </c>
      <c r="AM238" s="316">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2">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6">
        <f t="shared" si="262"/>
        <v>17</v>
      </c>
      <c r="M239" s="316">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2">
        <f t="shared" si="328"/>
        <v>52560</v>
      </c>
      <c r="Y239" s="188">
        <f t="shared" si="295"/>
        <v>230048.98</v>
      </c>
      <c r="Z239" s="385">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1">
        <f t="shared" si="283"/>
        <v>0</v>
      </c>
      <c r="AJ239" s="401">
        <f t="shared" si="349"/>
        <v>0</v>
      </c>
      <c r="AK239" s="401">
        <f t="shared" si="284"/>
        <v>0</v>
      </c>
      <c r="AL239" s="188">
        <f t="shared" si="301"/>
        <v>229174.06</v>
      </c>
      <c r="AM239" s="316">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2">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6">
        <f t="shared" ref="L240:L303" si="370">IF(MOD(M240,12)=0,M240/12,L239)</f>
        <v>17</v>
      </c>
      <c r="M240" s="316">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2">
        <f t="shared" si="328"/>
        <v>52590</v>
      </c>
      <c r="Y240" s="188">
        <f t="shared" si="295"/>
        <v>229174.06</v>
      </c>
      <c r="Z240" s="385">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1">
        <f t="shared" si="283"/>
        <v>0</v>
      </c>
      <c r="AJ240" s="401">
        <f t="shared" si="349"/>
        <v>0</v>
      </c>
      <c r="AK240" s="401">
        <f t="shared" si="284"/>
        <v>0</v>
      </c>
      <c r="AL240" s="188">
        <f t="shared" si="301"/>
        <v>228292.95</v>
      </c>
      <c r="AM240" s="316">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2">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6">
        <f t="shared" si="370"/>
        <v>17</v>
      </c>
      <c r="M241" s="316">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2">
        <f t="shared" si="328"/>
        <v>52620</v>
      </c>
      <c r="Y241" s="188">
        <f t="shared" si="295"/>
        <v>228292.95</v>
      </c>
      <c r="Z241" s="385">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1">
        <f t="shared" si="283"/>
        <v>0</v>
      </c>
      <c r="AJ241" s="401">
        <f t="shared" si="349"/>
        <v>0</v>
      </c>
      <c r="AK241" s="401">
        <f t="shared" si="284"/>
        <v>0</v>
      </c>
      <c r="AL241" s="188">
        <f t="shared" si="301"/>
        <v>227405.6</v>
      </c>
      <c r="AM241" s="316">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2">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6">
        <f t="shared" si="370"/>
        <v>17</v>
      </c>
      <c r="M242" s="316">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2">
        <f t="shared" si="328"/>
        <v>52650</v>
      </c>
      <c r="Y242" s="188">
        <f t="shared" si="295"/>
        <v>227405.6</v>
      </c>
      <c r="Z242" s="385">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1">
        <f t="shared" si="283"/>
        <v>0</v>
      </c>
      <c r="AJ242" s="401">
        <f t="shared" si="349"/>
        <v>0</v>
      </c>
      <c r="AK242" s="401">
        <f t="shared" si="284"/>
        <v>0</v>
      </c>
      <c r="AL242" s="188">
        <f t="shared" si="301"/>
        <v>226511.96</v>
      </c>
      <c r="AM242" s="316">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5">
        <f t="shared" si="288"/>
        <v>52680</v>
      </c>
      <c r="B243" s="236">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6">
        <f t="shared" si="289"/>
        <v>36291.129999999997</v>
      </c>
      <c r="J243" s="236">
        <f t="shared" si="290"/>
        <v>91821.679999999949</v>
      </c>
      <c r="K243" s="236">
        <f t="shared" si="291"/>
        <v>86882.039999999935</v>
      </c>
      <c r="L243" s="317">
        <f t="shared" si="370"/>
        <v>17</v>
      </c>
      <c r="M243" s="317">
        <f t="shared" si="326"/>
        <v>215</v>
      </c>
      <c r="N243" s="236">
        <f t="shared" si="327"/>
        <v>226511.96</v>
      </c>
      <c r="O243" s="236">
        <f t="shared" si="292"/>
        <v>2504.4299999999998</v>
      </c>
      <c r="P243" s="236">
        <f t="shared" si="335"/>
        <v>899.9699999999998</v>
      </c>
      <c r="Q243" s="236">
        <f t="shared" si="293"/>
        <v>1604.46</v>
      </c>
      <c r="R243" s="236">
        <f t="shared" si="280"/>
        <v>51.5</v>
      </c>
      <c r="S243" s="236">
        <f t="shared" si="281"/>
        <v>145.09666666666666</v>
      </c>
      <c r="T243" s="236">
        <f t="shared" si="278"/>
        <v>2701.0266666666666</v>
      </c>
      <c r="U243" s="236">
        <f t="shared" si="336"/>
        <v>100098.01</v>
      </c>
      <c r="V243" s="236">
        <f t="shared" si="337"/>
        <v>440858.8699999997</v>
      </c>
      <c r="W243" s="236">
        <f t="shared" si="294"/>
        <v>225611.99</v>
      </c>
      <c r="X243" s="395">
        <f t="shared" si="328"/>
        <v>52680</v>
      </c>
      <c r="Y243" s="236">
        <f t="shared" si="295"/>
        <v>226511.96</v>
      </c>
      <c r="Z243" s="386">
        <f t="shared" si="320"/>
        <v>8.4999999999999992E-2</v>
      </c>
      <c r="AA243" s="236">
        <f t="shared" si="321"/>
        <v>2504.4299999999998</v>
      </c>
      <c r="AB243" s="236">
        <f t="shared" si="296"/>
        <v>899.9699999999998</v>
      </c>
      <c r="AC243" s="236">
        <f t="shared" si="322"/>
        <v>1604.46</v>
      </c>
      <c r="AD243" s="236">
        <f t="shared" ref="AD243:AE243" si="374">+AD242</f>
        <v>51.5</v>
      </c>
      <c r="AE243" s="236">
        <f t="shared" si="374"/>
        <v>145.09666666666666</v>
      </c>
      <c r="AF243" s="236">
        <f t="shared" si="298"/>
        <v>2701.0266666666666</v>
      </c>
      <c r="AG243" s="236">
        <f t="shared" si="299"/>
        <v>100098.01</v>
      </c>
      <c r="AH243" s="236">
        <f t="shared" si="300"/>
        <v>440858.8699999997</v>
      </c>
      <c r="AI243" s="402">
        <f t="shared" si="283"/>
        <v>0</v>
      </c>
      <c r="AJ243" s="402">
        <f t="shared" si="349"/>
        <v>0</v>
      </c>
      <c r="AK243" s="401">
        <f t="shared" si="284"/>
        <v>0</v>
      </c>
      <c r="AL243" s="236">
        <f t="shared" si="301"/>
        <v>225611.99</v>
      </c>
      <c r="AM243" s="317">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6">
        <f t="shared" si="332"/>
        <v>1435.2437176626715</v>
      </c>
      <c r="AV243" s="236">
        <f t="shared" si="333"/>
        <v>249822.7307827312</v>
      </c>
    </row>
    <row r="244" spans="1:48">
      <c r="A244" s="392">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6">
        <f t="shared" si="370"/>
        <v>18</v>
      </c>
      <c r="M244" s="316">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2">
        <f t="shared" si="328"/>
        <v>52710</v>
      </c>
      <c r="Y244" s="188">
        <f t="shared" si="295"/>
        <v>225611.99</v>
      </c>
      <c r="Z244" s="385">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1">
        <f t="shared" si="283"/>
        <v>0</v>
      </c>
      <c r="AJ244" s="401">
        <f t="shared" si="349"/>
        <v>0</v>
      </c>
      <c r="AK244" s="401">
        <f t="shared" si="284"/>
        <v>0</v>
      </c>
      <c r="AL244" s="188">
        <f t="shared" si="301"/>
        <v>224705.63999999998</v>
      </c>
      <c r="AM244" s="316">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2">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6">
        <f t="shared" si="370"/>
        <v>18</v>
      </c>
      <c r="M245" s="316">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2">
        <f t="shared" si="328"/>
        <v>52740</v>
      </c>
      <c r="Y245" s="188">
        <f t="shared" si="295"/>
        <v>224705.63999999998</v>
      </c>
      <c r="Z245" s="385">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1">
        <f t="shared" si="283"/>
        <v>0</v>
      </c>
      <c r="AJ245" s="401">
        <f t="shared" si="349"/>
        <v>0</v>
      </c>
      <c r="AK245" s="401">
        <f t="shared" si="284"/>
        <v>0</v>
      </c>
      <c r="AL245" s="188">
        <f t="shared" si="301"/>
        <v>223792.87</v>
      </c>
      <c r="AM245" s="316">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2">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6">
        <f t="shared" si="370"/>
        <v>18</v>
      </c>
      <c r="M246" s="316">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2">
        <f t="shared" si="328"/>
        <v>52770</v>
      </c>
      <c r="Y246" s="188">
        <f t="shared" si="295"/>
        <v>223792.87</v>
      </c>
      <c r="Z246" s="385">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1">
        <f t="shared" si="283"/>
        <v>0</v>
      </c>
      <c r="AJ246" s="401">
        <f t="shared" si="349"/>
        <v>0</v>
      </c>
      <c r="AK246" s="401">
        <f t="shared" si="284"/>
        <v>0</v>
      </c>
      <c r="AL246" s="188">
        <f t="shared" si="301"/>
        <v>222873.63999999998</v>
      </c>
      <c r="AM246" s="316">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2">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6">
        <f t="shared" si="370"/>
        <v>18</v>
      </c>
      <c r="M247" s="316">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2">
        <f t="shared" si="328"/>
        <v>52800</v>
      </c>
      <c r="Y247" s="188">
        <f t="shared" si="295"/>
        <v>222873.63999999998</v>
      </c>
      <c r="Z247" s="385">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1">
        <f t="shared" si="283"/>
        <v>0</v>
      </c>
      <c r="AJ247" s="401">
        <f t="shared" si="349"/>
        <v>0</v>
      </c>
      <c r="AK247" s="401">
        <f t="shared" si="284"/>
        <v>0</v>
      </c>
      <c r="AL247" s="188">
        <f t="shared" si="301"/>
        <v>221947.9</v>
      </c>
      <c r="AM247" s="316">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2">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6">
        <f t="shared" si="370"/>
        <v>18</v>
      </c>
      <c r="M248" s="316">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2">
        <f t="shared" si="328"/>
        <v>52830</v>
      </c>
      <c r="Y248" s="188">
        <f t="shared" si="295"/>
        <v>221947.9</v>
      </c>
      <c r="Z248" s="385">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1">
        <f t="shared" si="283"/>
        <v>0</v>
      </c>
      <c r="AJ248" s="401">
        <f t="shared" si="349"/>
        <v>0</v>
      </c>
      <c r="AK248" s="401">
        <f t="shared" si="284"/>
        <v>0</v>
      </c>
      <c r="AL248" s="188">
        <f t="shared" si="301"/>
        <v>221015.6</v>
      </c>
      <c r="AM248" s="316">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2">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6">
        <f t="shared" si="370"/>
        <v>18</v>
      </c>
      <c r="M249" s="316">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2">
        <f t="shared" si="328"/>
        <v>52860</v>
      </c>
      <c r="Y249" s="188">
        <f t="shared" si="295"/>
        <v>221015.6</v>
      </c>
      <c r="Z249" s="385">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1">
        <f t="shared" si="283"/>
        <v>0</v>
      </c>
      <c r="AJ249" s="401">
        <f t="shared" si="349"/>
        <v>0</v>
      </c>
      <c r="AK249" s="401">
        <f t="shared" si="284"/>
        <v>0</v>
      </c>
      <c r="AL249" s="188">
        <f t="shared" si="301"/>
        <v>220076.7</v>
      </c>
      <c r="AM249" s="316">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2">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6">
        <f t="shared" si="370"/>
        <v>18</v>
      </c>
      <c r="M250" s="316">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2">
        <f t="shared" si="328"/>
        <v>52890</v>
      </c>
      <c r="Y250" s="188">
        <f t="shared" si="295"/>
        <v>220076.7</v>
      </c>
      <c r="Z250" s="385">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1">
        <f t="shared" si="283"/>
        <v>0</v>
      </c>
      <c r="AJ250" s="401">
        <f t="shared" si="349"/>
        <v>0</v>
      </c>
      <c r="AK250" s="401">
        <f t="shared" si="284"/>
        <v>0</v>
      </c>
      <c r="AL250" s="188">
        <f t="shared" si="301"/>
        <v>219131.15000000002</v>
      </c>
      <c r="AM250" s="316">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2">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6">
        <f t="shared" si="370"/>
        <v>18</v>
      </c>
      <c r="M251" s="316">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2">
        <f t="shared" si="328"/>
        <v>52920</v>
      </c>
      <c r="Y251" s="188">
        <f t="shared" si="295"/>
        <v>219131.15000000002</v>
      </c>
      <c r="Z251" s="385">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1">
        <f t="shared" si="283"/>
        <v>0</v>
      </c>
      <c r="AJ251" s="401">
        <f t="shared" si="349"/>
        <v>0</v>
      </c>
      <c r="AK251" s="401">
        <f t="shared" si="284"/>
        <v>0</v>
      </c>
      <c r="AL251" s="188">
        <f t="shared" si="301"/>
        <v>218178.90000000002</v>
      </c>
      <c r="AM251" s="316">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2">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6">
        <f t="shared" si="370"/>
        <v>18</v>
      </c>
      <c r="M252" s="316">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2">
        <f t="shared" si="328"/>
        <v>52950</v>
      </c>
      <c r="Y252" s="188">
        <f t="shared" si="295"/>
        <v>218178.90000000002</v>
      </c>
      <c r="Z252" s="385">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1">
        <f t="shared" si="283"/>
        <v>0</v>
      </c>
      <c r="AJ252" s="401">
        <f t="shared" si="349"/>
        <v>0</v>
      </c>
      <c r="AK252" s="401">
        <f t="shared" si="284"/>
        <v>0</v>
      </c>
      <c r="AL252" s="188">
        <f t="shared" si="301"/>
        <v>217219.90000000002</v>
      </c>
      <c r="AM252" s="316">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2">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6">
        <f t="shared" si="370"/>
        <v>18</v>
      </c>
      <c r="M253" s="316">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2">
        <f t="shared" si="328"/>
        <v>52980</v>
      </c>
      <c r="Y253" s="188">
        <f t="shared" si="295"/>
        <v>217219.90000000002</v>
      </c>
      <c r="Z253" s="385">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1">
        <f t="shared" ref="AI253:AI316" si="391">O253-AA253+AI252</f>
        <v>0</v>
      </c>
      <c r="AJ253" s="401">
        <f t="shared" si="349"/>
        <v>0</v>
      </c>
      <c r="AK253" s="401">
        <f t="shared" ref="AK253:AK316" si="392">SUM(AI253:AJ253)</f>
        <v>0</v>
      </c>
      <c r="AL253" s="188">
        <f t="shared" si="301"/>
        <v>216254.11000000002</v>
      </c>
      <c r="AM253" s="316">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2">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6">
        <f t="shared" si="370"/>
        <v>18</v>
      </c>
      <c r="M254" s="316">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2">
        <f t="shared" si="328"/>
        <v>53010</v>
      </c>
      <c r="Y254" s="188">
        <f t="shared" si="295"/>
        <v>216254.11000000002</v>
      </c>
      <c r="Z254" s="385">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1">
        <f t="shared" si="391"/>
        <v>0</v>
      </c>
      <c r="AJ254" s="401">
        <f t="shared" si="349"/>
        <v>0</v>
      </c>
      <c r="AK254" s="401">
        <f t="shared" si="392"/>
        <v>0</v>
      </c>
      <c r="AL254" s="188">
        <f t="shared" si="301"/>
        <v>215281.48</v>
      </c>
      <c r="AM254" s="316">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5">
        <f t="shared" ref="A255:A315" si="396">IF(K255&lt;=0," ",+A254+30)</f>
        <v>53040</v>
      </c>
      <c r="B255" s="236">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6">
        <f t="shared" ref="I255:I315" si="397">$D255+$I254</f>
        <v>39158.659999999996</v>
      </c>
      <c r="J255" s="236">
        <f t="shared" ref="J255:J315" si="398">$E255+$J254</f>
        <v>95672.709999999948</v>
      </c>
      <c r="K255" s="236">
        <f t="shared" ref="K255:K315" si="399">+B255-D255</f>
        <v>84014.509999999922</v>
      </c>
      <c r="L255" s="317">
        <f t="shared" si="370"/>
        <v>18</v>
      </c>
      <c r="M255" s="317">
        <f t="shared" si="326"/>
        <v>227</v>
      </c>
      <c r="N255" s="236">
        <f t="shared" si="327"/>
        <v>215281.48</v>
      </c>
      <c r="O255" s="236">
        <f t="shared" ref="O255:O318" si="400">IF($O$11&lt;=A255,IF(+$W254&lt;=0,0,$O$8),0)</f>
        <v>2504.4299999999998</v>
      </c>
      <c r="P255" s="236">
        <f t="shared" si="335"/>
        <v>979.51999999999975</v>
      </c>
      <c r="Q255" s="236">
        <f t="shared" ref="Q255:Q318" si="401">IF($O$11&lt;=A255,ROUND(N255*($O$7/12),2),0)</f>
        <v>1524.91</v>
      </c>
      <c r="R255" s="236">
        <f t="shared" si="388"/>
        <v>51.5</v>
      </c>
      <c r="S255" s="236">
        <f t="shared" si="389"/>
        <v>145.09666666666666</v>
      </c>
      <c r="T255" s="236">
        <f t="shared" si="386"/>
        <v>2701.0266666666666</v>
      </c>
      <c r="U255" s="236">
        <f t="shared" si="336"/>
        <v>111408.04000000001</v>
      </c>
      <c r="V255" s="236">
        <f t="shared" si="337"/>
        <v>459601.99999999971</v>
      </c>
      <c r="W255" s="236">
        <f t="shared" ref="W255:W315" si="402">+N255-P255</f>
        <v>214301.96000000002</v>
      </c>
      <c r="X255" s="395">
        <f t="shared" si="328"/>
        <v>53040</v>
      </c>
      <c r="Y255" s="236">
        <f t="shared" ref="Y255:Y318" si="403">IF(+AL254&lt;0,0,+AL254)</f>
        <v>215281.48</v>
      </c>
      <c r="Z255" s="386">
        <f t="shared" si="320"/>
        <v>8.4999999999999992E-2</v>
      </c>
      <c r="AA255" s="236">
        <f t="shared" si="321"/>
        <v>2504.4299999999998</v>
      </c>
      <c r="AB255" s="236">
        <f t="shared" ref="AB255:AB318" si="404">+AA255-AC255</f>
        <v>979.51999999999975</v>
      </c>
      <c r="AC255" s="236">
        <f t="shared" si="322"/>
        <v>1524.91</v>
      </c>
      <c r="AD255" s="236">
        <f t="shared" ref="AD255:AE255" si="405">+AD254</f>
        <v>51.5</v>
      </c>
      <c r="AE255" s="236">
        <f t="shared" si="405"/>
        <v>145.09666666666666</v>
      </c>
      <c r="AF255" s="236">
        <f t="shared" ref="AF255:AF318" si="406">SUM(AB255:AE255)</f>
        <v>2701.0266666666666</v>
      </c>
      <c r="AG255" s="236">
        <f t="shared" ref="AG255:AG318" si="407">+AB255+AG254</f>
        <v>111408.04000000001</v>
      </c>
      <c r="AH255" s="236">
        <f t="shared" ref="AH255:AH318" si="408">+AH254+AC255</f>
        <v>459601.99999999971</v>
      </c>
      <c r="AI255" s="402">
        <f t="shared" si="391"/>
        <v>0</v>
      </c>
      <c r="AJ255" s="402">
        <f t="shared" si="349"/>
        <v>0</v>
      </c>
      <c r="AK255" s="401">
        <f t="shared" si="392"/>
        <v>0</v>
      </c>
      <c r="AL255" s="236">
        <f t="shared" ref="AL255:AL318" si="409">+Y255-AB255</f>
        <v>214301.96000000002</v>
      </c>
      <c r="AM255" s="317">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6">
        <f t="shared" si="332"/>
        <v>1478.8980287394813</v>
      </c>
      <c r="AV255" s="236">
        <f t="shared" si="333"/>
        <v>267328.10952453199</v>
      </c>
    </row>
    <row r="256" spans="1:48">
      <c r="A256" s="392">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6">
        <f t="shared" si="370"/>
        <v>19</v>
      </c>
      <c r="M256" s="316">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2">
        <f t="shared" si="328"/>
        <v>53070</v>
      </c>
      <c r="Y256" s="188">
        <f t="shared" si="403"/>
        <v>214301.96000000002</v>
      </c>
      <c r="Z256" s="385">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1">
        <f t="shared" si="391"/>
        <v>0</v>
      </c>
      <c r="AJ256" s="401">
        <f t="shared" si="349"/>
        <v>0</v>
      </c>
      <c r="AK256" s="401">
        <f t="shared" si="392"/>
        <v>0</v>
      </c>
      <c r="AL256" s="188">
        <f t="shared" si="409"/>
        <v>213315.50000000003</v>
      </c>
      <c r="AM256" s="316">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2">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6">
        <f t="shared" si="370"/>
        <v>19</v>
      </c>
      <c r="M257" s="316">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2">
        <f t="shared" si="328"/>
        <v>53100</v>
      </c>
      <c r="Y257" s="188">
        <f t="shared" si="403"/>
        <v>213315.50000000003</v>
      </c>
      <c r="Z257" s="385">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1">
        <f t="shared" si="391"/>
        <v>0</v>
      </c>
      <c r="AJ257" s="401">
        <f t="shared" si="349"/>
        <v>0</v>
      </c>
      <c r="AK257" s="401">
        <f t="shared" si="392"/>
        <v>0</v>
      </c>
      <c r="AL257" s="188">
        <f t="shared" si="409"/>
        <v>212322.05000000002</v>
      </c>
      <c r="AM257" s="316">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2">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6">
        <f t="shared" si="370"/>
        <v>19</v>
      </c>
      <c r="M258" s="316">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2">
        <f t="shared" si="328"/>
        <v>53130</v>
      </c>
      <c r="Y258" s="188">
        <f t="shared" si="403"/>
        <v>212322.05000000002</v>
      </c>
      <c r="Z258" s="385">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1">
        <f t="shared" si="391"/>
        <v>0</v>
      </c>
      <c r="AJ258" s="401">
        <f t="shared" si="349"/>
        <v>0</v>
      </c>
      <c r="AK258" s="401">
        <f t="shared" si="392"/>
        <v>0</v>
      </c>
      <c r="AL258" s="188">
        <f t="shared" si="409"/>
        <v>211321.57</v>
      </c>
      <c r="AM258" s="316">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2">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6">
        <f t="shared" si="370"/>
        <v>19</v>
      </c>
      <c r="M259" s="316">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2">
        <f t="shared" si="328"/>
        <v>53160</v>
      </c>
      <c r="Y259" s="188">
        <f t="shared" si="403"/>
        <v>211321.57</v>
      </c>
      <c r="Z259" s="385">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1">
        <f t="shared" si="391"/>
        <v>0</v>
      </c>
      <c r="AJ259" s="401">
        <f t="shared" si="349"/>
        <v>0</v>
      </c>
      <c r="AK259" s="401">
        <f t="shared" si="392"/>
        <v>0</v>
      </c>
      <c r="AL259" s="188">
        <f t="shared" si="409"/>
        <v>210314</v>
      </c>
      <c r="AM259" s="316">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2">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6">
        <f t="shared" si="370"/>
        <v>19</v>
      </c>
      <c r="M260" s="316">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2">
        <f t="shared" si="328"/>
        <v>53190</v>
      </c>
      <c r="Y260" s="188">
        <f t="shared" si="403"/>
        <v>210314</v>
      </c>
      <c r="Z260" s="385">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1">
        <f t="shared" si="391"/>
        <v>0</v>
      </c>
      <c r="AJ260" s="401">
        <f t="shared" si="349"/>
        <v>0</v>
      </c>
      <c r="AK260" s="401">
        <f t="shared" si="392"/>
        <v>0</v>
      </c>
      <c r="AL260" s="188">
        <f t="shared" si="409"/>
        <v>209299.29</v>
      </c>
      <c r="AM260" s="316">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2">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6">
        <f t="shared" si="370"/>
        <v>19</v>
      </c>
      <c r="M261" s="316">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2">
        <f t="shared" si="328"/>
        <v>53220</v>
      </c>
      <c r="Y261" s="188">
        <f t="shared" si="403"/>
        <v>209299.29</v>
      </c>
      <c r="Z261" s="385">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1">
        <f t="shared" si="391"/>
        <v>0</v>
      </c>
      <c r="AJ261" s="401">
        <f t="shared" si="349"/>
        <v>0</v>
      </c>
      <c r="AK261" s="401">
        <f t="shared" si="392"/>
        <v>0</v>
      </c>
      <c r="AL261" s="188">
        <f t="shared" si="409"/>
        <v>208277.4</v>
      </c>
      <c r="AM261" s="316">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2">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6">
        <f t="shared" si="370"/>
        <v>19</v>
      </c>
      <c r="M262" s="316">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2">
        <f t="shared" si="328"/>
        <v>53250</v>
      </c>
      <c r="Y262" s="188">
        <f t="shared" si="403"/>
        <v>208277.4</v>
      </c>
      <c r="Z262" s="385">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1">
        <f t="shared" si="391"/>
        <v>0</v>
      </c>
      <c r="AJ262" s="401">
        <f t="shared" si="349"/>
        <v>0</v>
      </c>
      <c r="AK262" s="401">
        <f t="shared" si="392"/>
        <v>0</v>
      </c>
      <c r="AL262" s="188">
        <f t="shared" si="409"/>
        <v>207248.27</v>
      </c>
      <c r="AM262" s="316">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2">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6">
        <f t="shared" si="370"/>
        <v>19</v>
      </c>
      <c r="M263" s="316">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2">
        <f t="shared" si="328"/>
        <v>53280</v>
      </c>
      <c r="Y263" s="188">
        <f t="shared" si="403"/>
        <v>207248.27</v>
      </c>
      <c r="Z263" s="385">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1">
        <f t="shared" si="391"/>
        <v>0</v>
      </c>
      <c r="AJ263" s="401">
        <f t="shared" si="349"/>
        <v>0</v>
      </c>
      <c r="AK263" s="401">
        <f t="shared" si="392"/>
        <v>0</v>
      </c>
      <c r="AL263" s="188">
        <f t="shared" si="409"/>
        <v>206211.84999999998</v>
      </c>
      <c r="AM263" s="316">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2">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6">
        <f t="shared" si="370"/>
        <v>19</v>
      </c>
      <c r="M264" s="316">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2">
        <f t="shared" si="328"/>
        <v>53310</v>
      </c>
      <c r="Y264" s="188">
        <f t="shared" si="403"/>
        <v>206211.84999999998</v>
      </c>
      <c r="Z264" s="385">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1">
        <f t="shared" si="391"/>
        <v>0</v>
      </c>
      <c r="AJ264" s="401">
        <f t="shared" si="349"/>
        <v>0</v>
      </c>
      <c r="AK264" s="401">
        <f t="shared" si="392"/>
        <v>0</v>
      </c>
      <c r="AL264" s="188">
        <f t="shared" si="409"/>
        <v>205168.08999999997</v>
      </c>
      <c r="AM264" s="316">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2">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6">
        <f t="shared" si="370"/>
        <v>19</v>
      </c>
      <c r="M265" s="316">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2">
        <f t="shared" si="328"/>
        <v>53340</v>
      </c>
      <c r="Y265" s="188">
        <f t="shared" si="403"/>
        <v>205168.08999999997</v>
      </c>
      <c r="Z265" s="385">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1">
        <f t="shared" si="391"/>
        <v>0</v>
      </c>
      <c r="AJ265" s="401">
        <f t="shared" si="349"/>
        <v>0</v>
      </c>
      <c r="AK265" s="401">
        <f t="shared" si="392"/>
        <v>0</v>
      </c>
      <c r="AL265" s="188">
        <f t="shared" si="409"/>
        <v>204116.92999999996</v>
      </c>
      <c r="AM265" s="316">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2">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6">
        <f t="shared" si="370"/>
        <v>19</v>
      </c>
      <c r="M266" s="316">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2">
        <f t="shared" si="328"/>
        <v>53370</v>
      </c>
      <c r="Y266" s="188">
        <f t="shared" si="403"/>
        <v>204116.92999999996</v>
      </c>
      <c r="Z266" s="385">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1">
        <f t="shared" si="391"/>
        <v>0</v>
      </c>
      <c r="AJ266" s="401">
        <f t="shared" si="349"/>
        <v>0</v>
      </c>
      <c r="AK266" s="401">
        <f t="shared" si="392"/>
        <v>0</v>
      </c>
      <c r="AL266" s="188">
        <f t="shared" si="409"/>
        <v>203058.32999999996</v>
      </c>
      <c r="AM266" s="316">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5">
        <f t="shared" si="396"/>
        <v>53400</v>
      </c>
      <c r="B267" s="236">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6">
        <f t="shared" si="397"/>
        <v>42157.939999999988</v>
      </c>
      <c r="J267" s="236">
        <f t="shared" si="398"/>
        <v>99391.989999999947</v>
      </c>
      <c r="K267" s="236">
        <f t="shared" si="399"/>
        <v>81015.229999999909</v>
      </c>
      <c r="L267" s="317">
        <f t="shared" si="370"/>
        <v>19</v>
      </c>
      <c r="M267" s="317">
        <f t="shared" si="326"/>
        <v>239</v>
      </c>
      <c r="N267" s="236">
        <f t="shared" si="327"/>
        <v>203058.32999999996</v>
      </c>
      <c r="O267" s="236">
        <f t="shared" si="400"/>
        <v>2504.4299999999998</v>
      </c>
      <c r="P267" s="236">
        <f t="shared" si="335"/>
        <v>1066.0999999999999</v>
      </c>
      <c r="Q267" s="236">
        <f t="shared" si="401"/>
        <v>1438.33</v>
      </c>
      <c r="R267" s="236">
        <f t="shared" si="388"/>
        <v>51.5</v>
      </c>
      <c r="S267" s="236">
        <f t="shared" si="389"/>
        <v>145.09666666666666</v>
      </c>
      <c r="T267" s="236">
        <f t="shared" si="386"/>
        <v>2701.0266666666666</v>
      </c>
      <c r="U267" s="236">
        <f t="shared" si="336"/>
        <v>123717.77000000003</v>
      </c>
      <c r="V267" s="236">
        <f t="shared" si="337"/>
        <v>477345.42999999964</v>
      </c>
      <c r="W267" s="236">
        <f t="shared" si="402"/>
        <v>201992.22999999995</v>
      </c>
      <c r="X267" s="395">
        <f t="shared" si="328"/>
        <v>53400</v>
      </c>
      <c r="Y267" s="236">
        <f t="shared" si="403"/>
        <v>203058.32999999996</v>
      </c>
      <c r="Z267" s="386">
        <f t="shared" si="320"/>
        <v>8.4999999999999992E-2</v>
      </c>
      <c r="AA267" s="236">
        <f t="shared" si="321"/>
        <v>2504.4299999999998</v>
      </c>
      <c r="AB267" s="236">
        <f t="shared" si="404"/>
        <v>1066.0999999999999</v>
      </c>
      <c r="AC267" s="236">
        <f t="shared" si="322"/>
        <v>1438.33</v>
      </c>
      <c r="AD267" s="236">
        <f t="shared" ref="AD267:AE267" si="421">+AD266</f>
        <v>51.5</v>
      </c>
      <c r="AE267" s="236">
        <f t="shared" si="421"/>
        <v>145.09666666666666</v>
      </c>
      <c r="AF267" s="236">
        <f t="shared" si="406"/>
        <v>2701.0266666666666</v>
      </c>
      <c r="AG267" s="236">
        <f t="shared" si="407"/>
        <v>123717.77000000003</v>
      </c>
      <c r="AH267" s="236">
        <f t="shared" si="408"/>
        <v>477345.42999999964</v>
      </c>
      <c r="AI267" s="402">
        <f t="shared" si="391"/>
        <v>0</v>
      </c>
      <c r="AJ267" s="402">
        <f t="shared" si="349"/>
        <v>0</v>
      </c>
      <c r="AK267" s="401">
        <f t="shared" si="392"/>
        <v>0</v>
      </c>
      <c r="AL267" s="236">
        <f t="shared" si="409"/>
        <v>201992.22999999995</v>
      </c>
      <c r="AM267" s="317">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6">
        <f t="shared" si="332"/>
        <v>1523.8801274610921</v>
      </c>
      <c r="AV267" s="236">
        <f t="shared" si="333"/>
        <v>285365.93111189804</v>
      </c>
    </row>
    <row r="268" spans="1:48">
      <c r="A268" s="392">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6">
        <f t="shared" si="370"/>
        <v>20</v>
      </c>
      <c r="M268" s="316">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2">
        <f t="shared" si="328"/>
        <v>53430</v>
      </c>
      <c r="Y268" s="188">
        <f t="shared" si="403"/>
        <v>201992.22999999995</v>
      </c>
      <c r="Z268" s="385">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1">
        <f t="shared" si="391"/>
        <v>0</v>
      </c>
      <c r="AJ268" s="401">
        <f t="shared" si="349"/>
        <v>0</v>
      </c>
      <c r="AK268" s="401">
        <f t="shared" si="392"/>
        <v>0</v>
      </c>
      <c r="AL268" s="188">
        <f t="shared" si="409"/>
        <v>200918.57999999996</v>
      </c>
      <c r="AM268" s="316">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2">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6">
        <f t="shared" si="370"/>
        <v>20</v>
      </c>
      <c r="M269" s="316">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2">
        <f t="shared" si="328"/>
        <v>53460</v>
      </c>
      <c r="Y269" s="188">
        <f t="shared" si="403"/>
        <v>200918.57999999996</v>
      </c>
      <c r="Z269" s="385">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1">
        <f t="shared" si="391"/>
        <v>0</v>
      </c>
      <c r="AJ269" s="401">
        <f t="shared" si="349"/>
        <v>0</v>
      </c>
      <c r="AK269" s="401">
        <f t="shared" si="392"/>
        <v>0</v>
      </c>
      <c r="AL269" s="188">
        <f t="shared" si="409"/>
        <v>199837.31999999995</v>
      </c>
      <c r="AM269" s="316">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2">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6">
        <f t="shared" si="370"/>
        <v>20</v>
      </c>
      <c r="M270" s="316">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2">
        <f t="shared" si="328"/>
        <v>53490</v>
      </c>
      <c r="Y270" s="188">
        <f t="shared" si="403"/>
        <v>199837.31999999995</v>
      </c>
      <c r="Z270" s="385">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1">
        <f t="shared" si="391"/>
        <v>0</v>
      </c>
      <c r="AJ270" s="401">
        <f t="shared" si="349"/>
        <v>0</v>
      </c>
      <c r="AK270" s="401">
        <f t="shared" si="392"/>
        <v>0</v>
      </c>
      <c r="AL270" s="188">
        <f t="shared" si="409"/>
        <v>198748.39999999994</v>
      </c>
      <c r="AM270" s="316">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2">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6">
        <f t="shared" si="370"/>
        <v>20</v>
      </c>
      <c r="M271" s="316">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2">
        <f t="shared" si="328"/>
        <v>53520</v>
      </c>
      <c r="Y271" s="188">
        <f t="shared" si="403"/>
        <v>198748.39999999994</v>
      </c>
      <c r="Z271" s="385">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1">
        <f t="shared" si="391"/>
        <v>0</v>
      </c>
      <c r="AJ271" s="401">
        <f t="shared" si="349"/>
        <v>0</v>
      </c>
      <c r="AK271" s="401">
        <f t="shared" si="392"/>
        <v>0</v>
      </c>
      <c r="AL271" s="188">
        <f t="shared" si="409"/>
        <v>197651.76999999993</v>
      </c>
      <c r="AM271" s="316">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2">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6">
        <f t="shared" si="370"/>
        <v>20</v>
      </c>
      <c r="M272" s="316">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2">
        <f t="shared" si="328"/>
        <v>53550</v>
      </c>
      <c r="Y272" s="188">
        <f t="shared" si="403"/>
        <v>197651.76999999993</v>
      </c>
      <c r="Z272" s="385">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1">
        <f t="shared" si="391"/>
        <v>0</v>
      </c>
      <c r="AJ272" s="401">
        <f t="shared" si="349"/>
        <v>0</v>
      </c>
      <c r="AK272" s="401">
        <f t="shared" si="392"/>
        <v>0</v>
      </c>
      <c r="AL272" s="188">
        <f t="shared" si="409"/>
        <v>196547.36999999994</v>
      </c>
      <c r="AM272" s="316">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2">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6">
        <f t="shared" si="370"/>
        <v>20</v>
      </c>
      <c r="M273" s="316">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2">
        <f t="shared" ref="X273:X336" si="436">+A273</f>
        <v>53580</v>
      </c>
      <c r="Y273" s="188">
        <f t="shared" si="403"/>
        <v>196547.36999999994</v>
      </c>
      <c r="Z273" s="385">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1">
        <f t="shared" si="391"/>
        <v>0</v>
      </c>
      <c r="AJ273" s="401">
        <f t="shared" si="349"/>
        <v>0</v>
      </c>
      <c r="AK273" s="401">
        <f t="shared" si="392"/>
        <v>0</v>
      </c>
      <c r="AL273" s="188">
        <f t="shared" si="409"/>
        <v>195435.14999999994</v>
      </c>
      <c r="AM273" s="316">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2">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6">
        <f t="shared" si="370"/>
        <v>20</v>
      </c>
      <c r="M274" s="316">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2">
        <f t="shared" si="436"/>
        <v>53610</v>
      </c>
      <c r="Y274" s="188">
        <f t="shared" si="403"/>
        <v>195435.14999999994</v>
      </c>
      <c r="Z274" s="385">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1">
        <f t="shared" si="391"/>
        <v>0</v>
      </c>
      <c r="AJ274" s="401">
        <f t="shared" si="349"/>
        <v>0</v>
      </c>
      <c r="AK274" s="401">
        <f t="shared" si="392"/>
        <v>0</v>
      </c>
      <c r="AL274" s="188">
        <f t="shared" si="409"/>
        <v>194315.04999999993</v>
      </c>
      <c r="AM274" s="316">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2">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6">
        <f t="shared" si="370"/>
        <v>20</v>
      </c>
      <c r="M275" s="316">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2">
        <f t="shared" si="436"/>
        <v>53640</v>
      </c>
      <c r="Y275" s="188">
        <f t="shared" si="403"/>
        <v>194315.04999999993</v>
      </c>
      <c r="Z275" s="385">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1">
        <f t="shared" si="391"/>
        <v>0</v>
      </c>
      <c r="AJ275" s="401">
        <f t="shared" si="349"/>
        <v>0</v>
      </c>
      <c r="AK275" s="401">
        <f t="shared" si="392"/>
        <v>0</v>
      </c>
      <c r="AL275" s="188">
        <f t="shared" si="409"/>
        <v>193187.01999999993</v>
      </c>
      <c r="AM275" s="316">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2">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6">
        <f t="shared" si="370"/>
        <v>20</v>
      </c>
      <c r="M276" s="316">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2">
        <f t="shared" si="436"/>
        <v>53670</v>
      </c>
      <c r="Y276" s="188">
        <f t="shared" si="403"/>
        <v>193187.01999999993</v>
      </c>
      <c r="Z276" s="385">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1">
        <f t="shared" si="391"/>
        <v>0</v>
      </c>
      <c r="AJ276" s="401">
        <f t="shared" si="349"/>
        <v>0</v>
      </c>
      <c r="AK276" s="401">
        <f t="shared" si="392"/>
        <v>0</v>
      </c>
      <c r="AL276" s="188">
        <f t="shared" si="409"/>
        <v>192050.99999999994</v>
      </c>
      <c r="AM276" s="316">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2">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6">
        <f t="shared" si="370"/>
        <v>20</v>
      </c>
      <c r="M277" s="316">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2">
        <f t="shared" si="436"/>
        <v>53700</v>
      </c>
      <c r="Y277" s="188">
        <f t="shared" si="403"/>
        <v>192050.99999999994</v>
      </c>
      <c r="Z277" s="385">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1">
        <f t="shared" si="391"/>
        <v>0</v>
      </c>
      <c r="AJ277" s="401">
        <f t="shared" si="349"/>
        <v>0</v>
      </c>
      <c r="AK277" s="401">
        <f t="shared" si="392"/>
        <v>0</v>
      </c>
      <c r="AL277" s="188">
        <f t="shared" si="409"/>
        <v>190906.92999999993</v>
      </c>
      <c r="AM277" s="316">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2">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6">
        <f t="shared" si="370"/>
        <v>20</v>
      </c>
      <c r="M278" s="316">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2">
        <f t="shared" si="436"/>
        <v>53730</v>
      </c>
      <c r="Y278" s="188">
        <f t="shared" si="403"/>
        <v>190906.92999999993</v>
      </c>
      <c r="Z278" s="385">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1">
        <f t="shared" si="391"/>
        <v>0</v>
      </c>
      <c r="AJ278" s="401">
        <f t="shared" si="349"/>
        <v>0</v>
      </c>
      <c r="AK278" s="401">
        <f t="shared" si="392"/>
        <v>0</v>
      </c>
      <c r="AL278" s="188">
        <f t="shared" si="409"/>
        <v>189754.75999999992</v>
      </c>
      <c r="AM278" s="316">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5">
        <f t="shared" si="396"/>
        <v>53760</v>
      </c>
      <c r="B279" s="236">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6">
        <f t="shared" si="397"/>
        <v>45294.999999999985</v>
      </c>
      <c r="J279" s="236">
        <f t="shared" si="398"/>
        <v>102973.48999999995</v>
      </c>
      <c r="K279" s="236">
        <f t="shared" si="399"/>
        <v>77878.169999999896</v>
      </c>
      <c r="L279" s="317">
        <f t="shared" si="370"/>
        <v>20</v>
      </c>
      <c r="M279" s="317">
        <f t="shared" si="434"/>
        <v>251</v>
      </c>
      <c r="N279" s="236">
        <f t="shared" si="435"/>
        <v>189754.75999999992</v>
      </c>
      <c r="O279" s="236">
        <f t="shared" si="400"/>
        <v>2504.4299999999998</v>
      </c>
      <c r="P279" s="236">
        <f t="shared" si="443"/>
        <v>1160.33</v>
      </c>
      <c r="Q279" s="236">
        <f t="shared" si="401"/>
        <v>1344.1</v>
      </c>
      <c r="R279" s="236">
        <f t="shared" si="388"/>
        <v>51.5</v>
      </c>
      <c r="S279" s="236">
        <f t="shared" si="389"/>
        <v>145.09666666666666</v>
      </c>
      <c r="T279" s="236">
        <f t="shared" si="386"/>
        <v>2701.0266666666666</v>
      </c>
      <c r="U279" s="236">
        <f t="shared" si="444"/>
        <v>137115.57</v>
      </c>
      <c r="V279" s="236">
        <f t="shared" si="445"/>
        <v>494000.78999999969</v>
      </c>
      <c r="W279" s="236">
        <f t="shared" si="402"/>
        <v>188594.42999999993</v>
      </c>
      <c r="X279" s="395">
        <f t="shared" si="436"/>
        <v>53760</v>
      </c>
      <c r="Y279" s="236">
        <f t="shared" si="403"/>
        <v>189754.75999999992</v>
      </c>
      <c r="Z279" s="386">
        <f t="shared" si="428"/>
        <v>8.4999999999999992E-2</v>
      </c>
      <c r="AA279" s="236">
        <f t="shared" si="429"/>
        <v>2504.4299999999998</v>
      </c>
      <c r="AB279" s="236">
        <f t="shared" si="404"/>
        <v>1160.33</v>
      </c>
      <c r="AC279" s="236">
        <f t="shared" si="430"/>
        <v>1344.1</v>
      </c>
      <c r="AD279" s="236">
        <f t="shared" ref="AD279:AE279" si="451">+AD278</f>
        <v>51.5</v>
      </c>
      <c r="AE279" s="236">
        <f t="shared" si="451"/>
        <v>145.09666666666666</v>
      </c>
      <c r="AF279" s="236">
        <f t="shared" si="406"/>
        <v>2701.0266666666666</v>
      </c>
      <c r="AG279" s="236">
        <f t="shared" si="407"/>
        <v>137115.57</v>
      </c>
      <c r="AH279" s="236">
        <f t="shared" si="408"/>
        <v>494000.78999999969</v>
      </c>
      <c r="AI279" s="402">
        <f t="shared" si="391"/>
        <v>0</v>
      </c>
      <c r="AJ279" s="402">
        <f t="shared" si="349"/>
        <v>0</v>
      </c>
      <c r="AK279" s="401">
        <f t="shared" si="392"/>
        <v>0</v>
      </c>
      <c r="AL279" s="236">
        <f t="shared" si="409"/>
        <v>188594.42999999993</v>
      </c>
      <c r="AM279" s="317">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6">
        <f t="shared" si="440"/>
        <v>1570.2303997592992</v>
      </c>
      <c r="AV279" s="236">
        <f t="shared" si="441"/>
        <v>303952.39030347898</v>
      </c>
    </row>
    <row r="280" spans="1:48">
      <c r="A280" s="392">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6">
        <f t="shared" si="370"/>
        <v>21</v>
      </c>
      <c r="M280" s="316">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2">
        <f t="shared" si="436"/>
        <v>53790</v>
      </c>
      <c r="Y280" s="188">
        <f t="shared" si="403"/>
        <v>188594.42999999993</v>
      </c>
      <c r="Z280" s="385">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1">
        <f t="shared" si="391"/>
        <v>0</v>
      </c>
      <c r="AJ280" s="401">
        <f t="shared" si="349"/>
        <v>0</v>
      </c>
      <c r="AK280" s="401">
        <f t="shared" si="392"/>
        <v>0</v>
      </c>
      <c r="AL280" s="188">
        <f t="shared" si="409"/>
        <v>187425.87999999995</v>
      </c>
      <c r="AM280" s="316">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2">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6">
        <f t="shared" si="370"/>
        <v>21</v>
      </c>
      <c r="M281" s="316">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2">
        <f t="shared" si="436"/>
        <v>53820</v>
      </c>
      <c r="Y281" s="188">
        <f t="shared" si="403"/>
        <v>187425.87999999995</v>
      </c>
      <c r="Z281" s="385">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1">
        <f t="shared" si="391"/>
        <v>0</v>
      </c>
      <c r="AJ281" s="401">
        <f t="shared" si="349"/>
        <v>0</v>
      </c>
      <c r="AK281" s="401">
        <f t="shared" si="392"/>
        <v>0</v>
      </c>
      <c r="AL281" s="188">
        <f t="shared" si="409"/>
        <v>186249.04999999996</v>
      </c>
      <c r="AM281" s="316">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2">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6">
        <f t="shared" si="370"/>
        <v>21</v>
      </c>
      <c r="M282" s="316">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2">
        <f t="shared" si="436"/>
        <v>53850</v>
      </c>
      <c r="Y282" s="188">
        <f t="shared" si="403"/>
        <v>186249.04999999996</v>
      </c>
      <c r="Z282" s="385">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1">
        <f t="shared" si="391"/>
        <v>0</v>
      </c>
      <c r="AJ282" s="401">
        <f t="shared" si="349"/>
        <v>0</v>
      </c>
      <c r="AK282" s="401">
        <f t="shared" si="392"/>
        <v>0</v>
      </c>
      <c r="AL282" s="188">
        <f t="shared" si="409"/>
        <v>185063.87999999995</v>
      </c>
      <c r="AM282" s="316">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2">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6">
        <f t="shared" si="370"/>
        <v>21</v>
      </c>
      <c r="M283" s="316">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2">
        <f t="shared" si="436"/>
        <v>53880</v>
      </c>
      <c r="Y283" s="188">
        <f t="shared" si="403"/>
        <v>185063.87999999995</v>
      </c>
      <c r="Z283" s="385">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1">
        <f t="shared" si="391"/>
        <v>0</v>
      </c>
      <c r="AJ283" s="401">
        <f t="shared" si="349"/>
        <v>0</v>
      </c>
      <c r="AK283" s="401">
        <f t="shared" si="392"/>
        <v>0</v>
      </c>
      <c r="AL283" s="188">
        <f t="shared" si="409"/>
        <v>183870.31999999995</v>
      </c>
      <c r="AM283" s="316">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2">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6">
        <f t="shared" si="370"/>
        <v>21</v>
      </c>
      <c r="M284" s="316">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2">
        <f t="shared" si="436"/>
        <v>53910</v>
      </c>
      <c r="Y284" s="188">
        <f t="shared" si="403"/>
        <v>183870.31999999995</v>
      </c>
      <c r="Z284" s="385">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1">
        <f t="shared" si="391"/>
        <v>0</v>
      </c>
      <c r="AJ284" s="401">
        <f t="shared" ref="AJ284:AJ347" si="457">+W284-AL284</f>
        <v>0</v>
      </c>
      <c r="AK284" s="401">
        <f t="shared" si="392"/>
        <v>0</v>
      </c>
      <c r="AL284" s="188">
        <f t="shared" si="409"/>
        <v>182668.29999999996</v>
      </c>
      <c r="AM284" s="316">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2">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6">
        <f t="shared" si="370"/>
        <v>21</v>
      </c>
      <c r="M285" s="316">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2">
        <f t="shared" si="436"/>
        <v>53940</v>
      </c>
      <c r="Y285" s="188">
        <f t="shared" si="403"/>
        <v>182668.29999999996</v>
      </c>
      <c r="Z285" s="385">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1">
        <f t="shared" si="391"/>
        <v>0</v>
      </c>
      <c r="AJ285" s="401">
        <f t="shared" si="457"/>
        <v>0</v>
      </c>
      <c r="AK285" s="401">
        <f t="shared" si="392"/>
        <v>0</v>
      </c>
      <c r="AL285" s="188">
        <f t="shared" si="409"/>
        <v>181457.76999999996</v>
      </c>
      <c r="AM285" s="316">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2">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6">
        <f t="shared" si="370"/>
        <v>21</v>
      </c>
      <c r="M286" s="316">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2">
        <f t="shared" si="436"/>
        <v>53970</v>
      </c>
      <c r="Y286" s="188">
        <f t="shared" si="403"/>
        <v>181457.76999999996</v>
      </c>
      <c r="Z286" s="385">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1">
        <f t="shared" si="391"/>
        <v>0</v>
      </c>
      <c r="AJ286" s="401">
        <f t="shared" si="457"/>
        <v>0</v>
      </c>
      <c r="AK286" s="401">
        <f t="shared" si="392"/>
        <v>0</v>
      </c>
      <c r="AL286" s="188">
        <f t="shared" si="409"/>
        <v>180238.66999999995</v>
      </c>
      <c r="AM286" s="316">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2">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6">
        <f t="shared" si="370"/>
        <v>21</v>
      </c>
      <c r="M287" s="316">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2">
        <f t="shared" si="436"/>
        <v>54000</v>
      </c>
      <c r="Y287" s="188">
        <f t="shared" si="403"/>
        <v>180238.66999999995</v>
      </c>
      <c r="Z287" s="385">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1">
        <f t="shared" si="391"/>
        <v>0</v>
      </c>
      <c r="AJ287" s="401">
        <f t="shared" si="457"/>
        <v>0</v>
      </c>
      <c r="AK287" s="401">
        <f t="shared" si="392"/>
        <v>0</v>
      </c>
      <c r="AL287" s="188">
        <f t="shared" si="409"/>
        <v>179010.92999999996</v>
      </c>
      <c r="AM287" s="316">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2">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6">
        <f t="shared" si="370"/>
        <v>21</v>
      </c>
      <c r="M288" s="316">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2">
        <f t="shared" si="436"/>
        <v>54030</v>
      </c>
      <c r="Y288" s="188">
        <f t="shared" si="403"/>
        <v>179010.92999999996</v>
      </c>
      <c r="Z288" s="385">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1">
        <f t="shared" si="391"/>
        <v>0</v>
      </c>
      <c r="AJ288" s="401">
        <f t="shared" si="457"/>
        <v>0</v>
      </c>
      <c r="AK288" s="401">
        <f t="shared" si="392"/>
        <v>0</v>
      </c>
      <c r="AL288" s="188">
        <f t="shared" si="409"/>
        <v>177774.48999999996</v>
      </c>
      <c r="AM288" s="316">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2">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6">
        <f t="shared" si="370"/>
        <v>21</v>
      </c>
      <c r="M289" s="316">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2">
        <f t="shared" si="436"/>
        <v>54060</v>
      </c>
      <c r="Y289" s="188">
        <f t="shared" si="403"/>
        <v>177774.48999999996</v>
      </c>
      <c r="Z289" s="385">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1">
        <f t="shared" si="391"/>
        <v>0</v>
      </c>
      <c r="AJ289" s="401">
        <f t="shared" si="457"/>
        <v>0</v>
      </c>
      <c r="AK289" s="401">
        <f t="shared" si="392"/>
        <v>0</v>
      </c>
      <c r="AL289" s="188">
        <f t="shared" si="409"/>
        <v>176529.29999999996</v>
      </c>
      <c r="AM289" s="316">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2">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6">
        <f t="shared" si="370"/>
        <v>21</v>
      </c>
      <c r="M290" s="316">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2">
        <f t="shared" si="436"/>
        <v>54090</v>
      </c>
      <c r="Y290" s="188">
        <f t="shared" si="403"/>
        <v>176529.29999999996</v>
      </c>
      <c r="Z290" s="385">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1">
        <f t="shared" si="391"/>
        <v>0</v>
      </c>
      <c r="AJ290" s="401">
        <f t="shared" si="457"/>
        <v>0</v>
      </c>
      <c r="AK290" s="401">
        <f t="shared" si="392"/>
        <v>0</v>
      </c>
      <c r="AL290" s="188">
        <f t="shared" si="409"/>
        <v>175275.28999999995</v>
      </c>
      <c r="AM290" s="316">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5">
        <f t="shared" si="396"/>
        <v>54120</v>
      </c>
      <c r="B291" s="236">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6">
        <f t="shared" si="397"/>
        <v>48576.169999999976</v>
      </c>
      <c r="J291" s="236">
        <f t="shared" si="398"/>
        <v>106410.87999999992</v>
      </c>
      <c r="K291" s="236">
        <f t="shared" si="399"/>
        <v>74596.999999999913</v>
      </c>
      <c r="L291" s="317">
        <f t="shared" si="370"/>
        <v>21</v>
      </c>
      <c r="M291" s="317">
        <f t="shared" si="434"/>
        <v>263</v>
      </c>
      <c r="N291" s="236">
        <f t="shared" si="435"/>
        <v>175275.28999999995</v>
      </c>
      <c r="O291" s="236">
        <f t="shared" si="400"/>
        <v>2504.4299999999998</v>
      </c>
      <c r="P291" s="236">
        <f t="shared" si="443"/>
        <v>1262.8999999999999</v>
      </c>
      <c r="Q291" s="236">
        <f t="shared" si="401"/>
        <v>1241.53</v>
      </c>
      <c r="R291" s="236">
        <f t="shared" si="388"/>
        <v>51.5</v>
      </c>
      <c r="S291" s="236">
        <f t="shared" si="389"/>
        <v>145.09666666666666</v>
      </c>
      <c r="T291" s="236">
        <f t="shared" si="386"/>
        <v>2701.0266666666666</v>
      </c>
      <c r="U291" s="236">
        <f t="shared" si="444"/>
        <v>151697.60999999999</v>
      </c>
      <c r="V291" s="236">
        <f t="shared" si="445"/>
        <v>509471.90999999968</v>
      </c>
      <c r="W291" s="236">
        <f t="shared" si="402"/>
        <v>174012.38999999996</v>
      </c>
      <c r="X291" s="395">
        <f t="shared" si="436"/>
        <v>54120</v>
      </c>
      <c r="Y291" s="236">
        <f t="shared" si="403"/>
        <v>175275.28999999995</v>
      </c>
      <c r="Z291" s="386">
        <f t="shared" si="428"/>
        <v>8.4999999999999992E-2</v>
      </c>
      <c r="AA291" s="236">
        <f t="shared" si="429"/>
        <v>2504.4299999999998</v>
      </c>
      <c r="AB291" s="236">
        <f t="shared" si="404"/>
        <v>1262.8999999999999</v>
      </c>
      <c r="AC291" s="236">
        <f t="shared" si="430"/>
        <v>1241.53</v>
      </c>
      <c r="AD291" s="236">
        <f t="shared" ref="AD291:AE291" si="464">+AD290</f>
        <v>51.5</v>
      </c>
      <c r="AE291" s="236">
        <f t="shared" si="464"/>
        <v>145.09666666666666</v>
      </c>
      <c r="AF291" s="236">
        <f t="shared" si="406"/>
        <v>2701.0266666666666</v>
      </c>
      <c r="AG291" s="236">
        <f t="shared" si="407"/>
        <v>151697.60999999999</v>
      </c>
      <c r="AH291" s="236">
        <f t="shared" si="408"/>
        <v>509471.90999999968</v>
      </c>
      <c r="AI291" s="402">
        <f t="shared" si="391"/>
        <v>0</v>
      </c>
      <c r="AJ291" s="402">
        <f t="shared" si="457"/>
        <v>0</v>
      </c>
      <c r="AK291" s="401">
        <f t="shared" si="392"/>
        <v>0</v>
      </c>
      <c r="AL291" s="236">
        <f t="shared" si="409"/>
        <v>174012.38999999996</v>
      </c>
      <c r="AM291" s="317">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6">
        <f t="shared" si="440"/>
        <v>1617.9904599426575</v>
      </c>
      <c r="AV291" s="236">
        <f t="shared" si="441"/>
        <v>323104.17443700565</v>
      </c>
    </row>
    <row r="292" spans="1:48">
      <c r="A292" s="392">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6">
        <f t="shared" si="370"/>
        <v>22</v>
      </c>
      <c r="M292" s="316">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2">
        <f t="shared" si="436"/>
        <v>54150</v>
      </c>
      <c r="Y292" s="188">
        <f t="shared" si="403"/>
        <v>174012.38999999996</v>
      </c>
      <c r="Z292" s="385">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1">
        <f t="shared" si="391"/>
        <v>0</v>
      </c>
      <c r="AJ292" s="401">
        <f t="shared" si="457"/>
        <v>0</v>
      </c>
      <c r="AK292" s="401">
        <f t="shared" si="392"/>
        <v>0</v>
      </c>
      <c r="AL292" s="188">
        <f t="shared" si="409"/>
        <v>172740.54999999996</v>
      </c>
      <c r="AM292" s="316">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2">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6">
        <f t="shared" si="370"/>
        <v>22</v>
      </c>
      <c r="M293" s="316">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2">
        <f t="shared" si="436"/>
        <v>54180</v>
      </c>
      <c r="Y293" s="188">
        <f t="shared" si="403"/>
        <v>172740.54999999996</v>
      </c>
      <c r="Z293" s="385">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1">
        <f t="shared" si="391"/>
        <v>0</v>
      </c>
      <c r="AJ293" s="401">
        <f t="shared" si="457"/>
        <v>0</v>
      </c>
      <c r="AK293" s="401">
        <f t="shared" si="392"/>
        <v>0</v>
      </c>
      <c r="AL293" s="188">
        <f t="shared" si="409"/>
        <v>171459.69999999995</v>
      </c>
      <c r="AM293" s="316">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2">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6">
        <f t="shared" si="370"/>
        <v>22</v>
      </c>
      <c r="M294" s="316">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2">
        <f t="shared" si="436"/>
        <v>54210</v>
      </c>
      <c r="Y294" s="188">
        <f t="shared" si="403"/>
        <v>171459.69999999995</v>
      </c>
      <c r="Z294" s="385">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1">
        <f t="shared" si="391"/>
        <v>0</v>
      </c>
      <c r="AJ294" s="401">
        <f t="shared" si="457"/>
        <v>0</v>
      </c>
      <c r="AK294" s="401">
        <f t="shared" si="392"/>
        <v>0</v>
      </c>
      <c r="AL294" s="188">
        <f t="shared" si="409"/>
        <v>170169.77999999994</v>
      </c>
      <c r="AM294" s="316">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2">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6">
        <f t="shared" si="370"/>
        <v>22</v>
      </c>
      <c r="M295" s="316">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2">
        <f t="shared" si="436"/>
        <v>54240</v>
      </c>
      <c r="Y295" s="188">
        <f t="shared" si="403"/>
        <v>170169.77999999994</v>
      </c>
      <c r="Z295" s="385">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1">
        <f t="shared" si="391"/>
        <v>0</v>
      </c>
      <c r="AJ295" s="401">
        <f t="shared" si="457"/>
        <v>0</v>
      </c>
      <c r="AK295" s="401">
        <f t="shared" si="392"/>
        <v>0</v>
      </c>
      <c r="AL295" s="188">
        <f t="shared" si="409"/>
        <v>168870.71999999994</v>
      </c>
      <c r="AM295" s="316">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2">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6">
        <f t="shared" si="370"/>
        <v>22</v>
      </c>
      <c r="M296" s="316">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2">
        <f t="shared" si="436"/>
        <v>54270</v>
      </c>
      <c r="Y296" s="188">
        <f t="shared" si="403"/>
        <v>168870.71999999994</v>
      </c>
      <c r="Z296" s="385">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1">
        <f t="shared" si="391"/>
        <v>0</v>
      </c>
      <c r="AJ296" s="401">
        <f t="shared" si="457"/>
        <v>0</v>
      </c>
      <c r="AK296" s="401">
        <f t="shared" si="392"/>
        <v>0</v>
      </c>
      <c r="AL296" s="188">
        <f t="shared" si="409"/>
        <v>167562.45999999993</v>
      </c>
      <c r="AM296" s="316">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2">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6">
        <f t="shared" si="370"/>
        <v>22</v>
      </c>
      <c r="M297" s="316">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2">
        <f t="shared" si="436"/>
        <v>54300</v>
      </c>
      <c r="Y297" s="188">
        <f t="shared" si="403"/>
        <v>167562.45999999993</v>
      </c>
      <c r="Z297" s="385">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1">
        <f t="shared" si="391"/>
        <v>0</v>
      </c>
      <c r="AJ297" s="401">
        <f t="shared" si="457"/>
        <v>0</v>
      </c>
      <c r="AK297" s="401">
        <f t="shared" si="392"/>
        <v>0</v>
      </c>
      <c r="AL297" s="188">
        <f t="shared" si="409"/>
        <v>166244.92999999993</v>
      </c>
      <c r="AM297" s="316">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2">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6">
        <f t="shared" si="370"/>
        <v>22</v>
      </c>
      <c r="M298" s="316">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2">
        <f t="shared" si="436"/>
        <v>54330</v>
      </c>
      <c r="Y298" s="188">
        <f t="shared" si="403"/>
        <v>166244.92999999993</v>
      </c>
      <c r="Z298" s="385">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1">
        <f t="shared" si="391"/>
        <v>0</v>
      </c>
      <c r="AJ298" s="401">
        <f t="shared" si="457"/>
        <v>0</v>
      </c>
      <c r="AK298" s="401">
        <f t="shared" si="392"/>
        <v>0</v>
      </c>
      <c r="AL298" s="188">
        <f t="shared" si="409"/>
        <v>164918.06999999995</v>
      </c>
      <c r="AM298" s="316">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2">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6">
        <f t="shared" si="370"/>
        <v>22</v>
      </c>
      <c r="M299" s="316">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2">
        <f t="shared" si="436"/>
        <v>54360</v>
      </c>
      <c r="Y299" s="188">
        <f t="shared" si="403"/>
        <v>164918.06999999995</v>
      </c>
      <c r="Z299" s="385">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1">
        <f t="shared" si="391"/>
        <v>0</v>
      </c>
      <c r="AJ299" s="401">
        <f t="shared" si="457"/>
        <v>0</v>
      </c>
      <c r="AK299" s="401">
        <f t="shared" si="392"/>
        <v>0</v>
      </c>
      <c r="AL299" s="188">
        <f t="shared" si="409"/>
        <v>163581.80999999994</v>
      </c>
      <c r="AM299" s="316">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2">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6">
        <f t="shared" si="370"/>
        <v>22</v>
      </c>
      <c r="M300" s="316">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2">
        <f t="shared" si="436"/>
        <v>54390</v>
      </c>
      <c r="Y300" s="188">
        <f t="shared" si="403"/>
        <v>163581.80999999994</v>
      </c>
      <c r="Z300" s="385">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1">
        <f t="shared" si="391"/>
        <v>0</v>
      </c>
      <c r="AJ300" s="401">
        <f t="shared" si="457"/>
        <v>0</v>
      </c>
      <c r="AK300" s="401">
        <f t="shared" si="392"/>
        <v>0</v>
      </c>
      <c r="AL300" s="188">
        <f t="shared" si="409"/>
        <v>162236.07999999993</v>
      </c>
      <c r="AM300" s="316">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2">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6">
        <f t="shared" si="370"/>
        <v>22</v>
      </c>
      <c r="M301" s="316">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2">
        <f t="shared" si="436"/>
        <v>54420</v>
      </c>
      <c r="Y301" s="188">
        <f t="shared" si="403"/>
        <v>162236.07999999993</v>
      </c>
      <c r="Z301" s="385">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1">
        <f t="shared" si="391"/>
        <v>0</v>
      </c>
      <c r="AJ301" s="401">
        <f t="shared" si="457"/>
        <v>0</v>
      </c>
      <c r="AK301" s="401">
        <f t="shared" si="392"/>
        <v>0</v>
      </c>
      <c r="AL301" s="188">
        <f t="shared" si="409"/>
        <v>160880.81999999992</v>
      </c>
      <c r="AM301" s="316">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2">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6">
        <f t="shared" si="370"/>
        <v>22</v>
      </c>
      <c r="M302" s="316">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2">
        <f t="shared" si="436"/>
        <v>54450</v>
      </c>
      <c r="Y302" s="188">
        <f t="shared" si="403"/>
        <v>160880.81999999992</v>
      </c>
      <c r="Z302" s="385">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1">
        <f t="shared" si="391"/>
        <v>0</v>
      </c>
      <c r="AJ302" s="401">
        <f t="shared" si="457"/>
        <v>0</v>
      </c>
      <c r="AK302" s="401">
        <f t="shared" si="392"/>
        <v>0</v>
      </c>
      <c r="AL302" s="188">
        <f t="shared" si="409"/>
        <v>159515.95999999993</v>
      </c>
      <c r="AM302" s="316">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5">
        <f t="shared" si="396"/>
        <v>54480</v>
      </c>
      <c r="B303" s="236">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6">
        <f t="shared" si="397"/>
        <v>52008.079999999987</v>
      </c>
      <c r="J303" s="236">
        <f t="shared" si="398"/>
        <v>109697.52999999994</v>
      </c>
      <c r="K303" s="236">
        <f t="shared" si="399"/>
        <v>71165.089999999909</v>
      </c>
      <c r="L303" s="317">
        <f t="shared" si="370"/>
        <v>22</v>
      </c>
      <c r="M303" s="317">
        <f t="shared" si="434"/>
        <v>275</v>
      </c>
      <c r="N303" s="236">
        <f t="shared" si="435"/>
        <v>159515.95999999993</v>
      </c>
      <c r="O303" s="236">
        <f t="shared" si="400"/>
        <v>2504.4299999999998</v>
      </c>
      <c r="P303" s="236">
        <f t="shared" si="443"/>
        <v>1374.5299999999997</v>
      </c>
      <c r="Q303" s="236">
        <f t="shared" si="401"/>
        <v>1129.9000000000001</v>
      </c>
      <c r="R303" s="236">
        <f t="shared" si="388"/>
        <v>51.5</v>
      </c>
      <c r="S303" s="236">
        <f t="shared" si="389"/>
        <v>145.09666666666666</v>
      </c>
      <c r="T303" s="236">
        <f t="shared" si="386"/>
        <v>2701.0266666666666</v>
      </c>
      <c r="U303" s="236">
        <f t="shared" si="444"/>
        <v>167568.57</v>
      </c>
      <c r="V303" s="236">
        <f t="shared" si="445"/>
        <v>523654.10999999975</v>
      </c>
      <c r="W303" s="236">
        <f t="shared" si="402"/>
        <v>158141.42999999993</v>
      </c>
      <c r="X303" s="395">
        <f t="shared" si="436"/>
        <v>54480</v>
      </c>
      <c r="Y303" s="236">
        <f t="shared" si="403"/>
        <v>159515.95999999993</v>
      </c>
      <c r="Z303" s="386">
        <f t="shared" si="428"/>
        <v>8.4999999999999992E-2</v>
      </c>
      <c r="AA303" s="236">
        <f t="shared" si="429"/>
        <v>2504.4299999999998</v>
      </c>
      <c r="AB303" s="236">
        <f t="shared" si="404"/>
        <v>1374.5299999999997</v>
      </c>
      <c r="AC303" s="236">
        <f t="shared" si="430"/>
        <v>1129.9000000000001</v>
      </c>
      <c r="AD303" s="236">
        <f t="shared" ref="AD303:AE303" si="477">+AD302</f>
        <v>51.5</v>
      </c>
      <c r="AE303" s="236">
        <f t="shared" si="477"/>
        <v>145.09666666666666</v>
      </c>
      <c r="AF303" s="236">
        <f t="shared" si="406"/>
        <v>2701.0266666666666</v>
      </c>
      <c r="AG303" s="236">
        <f t="shared" si="407"/>
        <v>167568.57</v>
      </c>
      <c r="AH303" s="236">
        <f t="shared" si="408"/>
        <v>523654.10999999975</v>
      </c>
      <c r="AI303" s="402">
        <f t="shared" si="391"/>
        <v>0</v>
      </c>
      <c r="AJ303" s="402">
        <f t="shared" si="457"/>
        <v>0</v>
      </c>
      <c r="AK303" s="401">
        <f t="shared" si="392"/>
        <v>0</v>
      </c>
      <c r="AL303" s="236">
        <f t="shared" si="409"/>
        <v>158141.42999999993</v>
      </c>
      <c r="AM303" s="317">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6">
        <f t="shared" si="440"/>
        <v>1667.2031880587392</v>
      </c>
      <c r="AV303" s="236">
        <f t="shared" si="441"/>
        <v>342838.47841155442</v>
      </c>
    </row>
    <row r="304" spans="1:48">
      <c r="A304" s="392">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6">
        <f t="shared" ref="L304:L367" si="478">IF(MOD(M304,12)=0,M304/12,L303)</f>
        <v>23</v>
      </c>
      <c r="M304" s="316">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2">
        <f t="shared" si="436"/>
        <v>54510</v>
      </c>
      <c r="Y304" s="188">
        <f t="shared" si="403"/>
        <v>158141.42999999993</v>
      </c>
      <c r="Z304" s="385">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1">
        <f t="shared" si="391"/>
        <v>0</v>
      </c>
      <c r="AJ304" s="401">
        <f t="shared" si="457"/>
        <v>0</v>
      </c>
      <c r="AK304" s="401">
        <f t="shared" si="392"/>
        <v>0</v>
      </c>
      <c r="AL304" s="188">
        <f t="shared" si="409"/>
        <v>156757.16999999993</v>
      </c>
      <c r="AM304" s="316">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2">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6">
        <f t="shared" si="478"/>
        <v>23</v>
      </c>
      <c r="M305" s="316">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2">
        <f t="shared" si="436"/>
        <v>54540</v>
      </c>
      <c r="Y305" s="188">
        <f t="shared" si="403"/>
        <v>156757.16999999993</v>
      </c>
      <c r="Z305" s="385">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1">
        <f t="shared" si="391"/>
        <v>0</v>
      </c>
      <c r="AJ305" s="401">
        <f t="shared" si="457"/>
        <v>0</v>
      </c>
      <c r="AK305" s="401">
        <f t="shared" si="392"/>
        <v>0</v>
      </c>
      <c r="AL305" s="188">
        <f t="shared" si="409"/>
        <v>155363.09999999992</v>
      </c>
      <c r="AM305" s="316">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2">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6">
        <f t="shared" si="478"/>
        <v>23</v>
      </c>
      <c r="M306" s="316">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2">
        <f t="shared" si="436"/>
        <v>54570</v>
      </c>
      <c r="Y306" s="188">
        <f t="shared" si="403"/>
        <v>155363.09999999992</v>
      </c>
      <c r="Z306" s="385">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1">
        <f t="shared" si="391"/>
        <v>0</v>
      </c>
      <c r="AJ306" s="401">
        <f t="shared" si="457"/>
        <v>0</v>
      </c>
      <c r="AK306" s="401">
        <f t="shared" si="392"/>
        <v>0</v>
      </c>
      <c r="AL306" s="188">
        <f t="shared" si="409"/>
        <v>153959.15999999992</v>
      </c>
      <c r="AM306" s="316">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2">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6">
        <f t="shared" si="478"/>
        <v>23</v>
      </c>
      <c r="M307" s="316">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2">
        <f t="shared" si="436"/>
        <v>54600</v>
      </c>
      <c r="Y307" s="188">
        <f t="shared" si="403"/>
        <v>153959.15999999992</v>
      </c>
      <c r="Z307" s="385">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1">
        <f t="shared" si="391"/>
        <v>0</v>
      </c>
      <c r="AJ307" s="401">
        <f t="shared" si="457"/>
        <v>0</v>
      </c>
      <c r="AK307" s="401">
        <f t="shared" si="392"/>
        <v>0</v>
      </c>
      <c r="AL307" s="188">
        <f t="shared" si="409"/>
        <v>152545.2699999999</v>
      </c>
      <c r="AM307" s="316">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2">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6">
        <f t="shared" si="478"/>
        <v>23</v>
      </c>
      <c r="M308" s="316">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2">
        <f t="shared" si="436"/>
        <v>54630</v>
      </c>
      <c r="Y308" s="188">
        <f t="shared" si="403"/>
        <v>152545.2699999999</v>
      </c>
      <c r="Z308" s="385">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1">
        <f t="shared" si="391"/>
        <v>0</v>
      </c>
      <c r="AJ308" s="401">
        <f t="shared" si="457"/>
        <v>0</v>
      </c>
      <c r="AK308" s="401">
        <f t="shared" si="392"/>
        <v>0</v>
      </c>
      <c r="AL308" s="188">
        <f t="shared" si="409"/>
        <v>151121.36999999991</v>
      </c>
      <c r="AM308" s="316">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2">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6">
        <f t="shared" si="478"/>
        <v>23</v>
      </c>
      <c r="M309" s="316">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2">
        <f t="shared" si="436"/>
        <v>54660</v>
      </c>
      <c r="Y309" s="188">
        <f t="shared" si="403"/>
        <v>151121.36999999991</v>
      </c>
      <c r="Z309" s="385">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1">
        <f t="shared" si="391"/>
        <v>0</v>
      </c>
      <c r="AJ309" s="401">
        <f t="shared" si="457"/>
        <v>0</v>
      </c>
      <c r="AK309" s="401">
        <f t="shared" si="392"/>
        <v>0</v>
      </c>
      <c r="AL309" s="188">
        <f t="shared" si="409"/>
        <v>149687.37999999992</v>
      </c>
      <c r="AM309" s="316">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2">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6">
        <f t="shared" si="478"/>
        <v>23</v>
      </c>
      <c r="M310" s="316">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2">
        <f t="shared" si="436"/>
        <v>54690</v>
      </c>
      <c r="Y310" s="188">
        <f t="shared" si="403"/>
        <v>149687.37999999992</v>
      </c>
      <c r="Z310" s="385">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1">
        <f t="shared" si="391"/>
        <v>0</v>
      </c>
      <c r="AJ310" s="401">
        <f t="shared" si="457"/>
        <v>0</v>
      </c>
      <c r="AK310" s="401">
        <f t="shared" si="392"/>
        <v>0</v>
      </c>
      <c r="AL310" s="188">
        <f t="shared" si="409"/>
        <v>148243.2399999999</v>
      </c>
      <c r="AM310" s="316">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2">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6">
        <f t="shared" si="478"/>
        <v>23</v>
      </c>
      <c r="M311" s="316">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2">
        <f t="shared" si="436"/>
        <v>54720</v>
      </c>
      <c r="Y311" s="188">
        <f t="shared" si="403"/>
        <v>148243.2399999999</v>
      </c>
      <c r="Z311" s="385">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1">
        <f t="shared" si="391"/>
        <v>0</v>
      </c>
      <c r="AJ311" s="401">
        <f t="shared" si="457"/>
        <v>0</v>
      </c>
      <c r="AK311" s="401">
        <f t="shared" si="392"/>
        <v>0</v>
      </c>
      <c r="AL311" s="188">
        <f t="shared" si="409"/>
        <v>146788.86999999991</v>
      </c>
      <c r="AM311" s="316">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2">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6">
        <f t="shared" si="478"/>
        <v>23</v>
      </c>
      <c r="M312" s="316">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2">
        <f t="shared" si="436"/>
        <v>54750</v>
      </c>
      <c r="Y312" s="188">
        <f t="shared" si="403"/>
        <v>146788.86999999991</v>
      </c>
      <c r="Z312" s="385">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1">
        <f t="shared" si="391"/>
        <v>0</v>
      </c>
      <c r="AJ312" s="401">
        <f t="shared" si="457"/>
        <v>0</v>
      </c>
      <c r="AK312" s="401">
        <f t="shared" si="392"/>
        <v>0</v>
      </c>
      <c r="AL312" s="188">
        <f t="shared" si="409"/>
        <v>145324.18999999992</v>
      </c>
      <c r="AM312" s="316">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2">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6">
        <f t="shared" si="478"/>
        <v>23</v>
      </c>
      <c r="M313" s="316">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2">
        <f t="shared" si="436"/>
        <v>54780</v>
      </c>
      <c r="Y313" s="188">
        <f t="shared" si="403"/>
        <v>145324.18999999992</v>
      </c>
      <c r="Z313" s="385">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1">
        <f t="shared" si="391"/>
        <v>0</v>
      </c>
      <c r="AJ313" s="401">
        <f t="shared" si="457"/>
        <v>0</v>
      </c>
      <c r="AK313" s="401">
        <f t="shared" si="392"/>
        <v>0</v>
      </c>
      <c r="AL313" s="188">
        <f t="shared" si="409"/>
        <v>143849.13999999993</v>
      </c>
      <c r="AM313" s="316">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2">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6">
        <f t="shared" si="478"/>
        <v>23</v>
      </c>
      <c r="M314" s="316">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2">
        <f t="shared" si="436"/>
        <v>54810</v>
      </c>
      <c r="Y314" s="188">
        <f t="shared" si="403"/>
        <v>143849.13999999993</v>
      </c>
      <c r="Z314" s="385">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1">
        <f t="shared" si="391"/>
        <v>0</v>
      </c>
      <c r="AJ314" s="401">
        <f t="shared" si="457"/>
        <v>0</v>
      </c>
      <c r="AK314" s="401">
        <f t="shared" si="392"/>
        <v>0</v>
      </c>
      <c r="AL314" s="188">
        <f t="shared" si="409"/>
        <v>142363.63999999993</v>
      </c>
      <c r="AM314" s="316">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5">
        <f t="shared" si="396"/>
        <v>54840</v>
      </c>
      <c r="B315" s="236">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6">
        <f t="shared" si="397"/>
        <v>55597.659999999996</v>
      </c>
      <c r="J315" s="236">
        <f t="shared" si="398"/>
        <v>112826.50999999995</v>
      </c>
      <c r="K315" s="236">
        <f t="shared" si="399"/>
        <v>67575.509999999907</v>
      </c>
      <c r="L315" s="317">
        <f t="shared" si="478"/>
        <v>23</v>
      </c>
      <c r="M315" s="317">
        <f t="shared" si="434"/>
        <v>287</v>
      </c>
      <c r="N315" s="236">
        <f t="shared" si="435"/>
        <v>142363.63999999993</v>
      </c>
      <c r="O315" s="236">
        <f t="shared" si="400"/>
        <v>2504.4299999999998</v>
      </c>
      <c r="P315" s="236">
        <f t="shared" si="443"/>
        <v>1496.02</v>
      </c>
      <c r="Q315" s="236">
        <f t="shared" si="401"/>
        <v>1008.41</v>
      </c>
      <c r="R315" s="236">
        <f t="shared" si="388"/>
        <v>51.5</v>
      </c>
      <c r="S315" s="236">
        <f t="shared" si="389"/>
        <v>145.09666666666666</v>
      </c>
      <c r="T315" s="236">
        <f t="shared" si="386"/>
        <v>2701.0266666666666</v>
      </c>
      <c r="U315" s="236">
        <f t="shared" si="444"/>
        <v>184842.38</v>
      </c>
      <c r="V315" s="236">
        <f t="shared" si="445"/>
        <v>536433.46</v>
      </c>
      <c r="W315" s="236">
        <f t="shared" si="402"/>
        <v>140867.61999999994</v>
      </c>
      <c r="X315" s="395">
        <f t="shared" si="436"/>
        <v>54840</v>
      </c>
      <c r="Y315" s="236">
        <f t="shared" si="403"/>
        <v>142363.63999999993</v>
      </c>
      <c r="Z315" s="386">
        <f t="shared" si="428"/>
        <v>8.4999999999999992E-2</v>
      </c>
      <c r="AA315" s="236">
        <f t="shared" si="429"/>
        <v>2504.4299999999998</v>
      </c>
      <c r="AB315" s="236">
        <f t="shared" si="404"/>
        <v>1496.02</v>
      </c>
      <c r="AC315" s="236">
        <f t="shared" si="430"/>
        <v>1008.41</v>
      </c>
      <c r="AD315" s="236">
        <f t="shared" ref="AD315:AE315" si="492">+AD314</f>
        <v>51.5</v>
      </c>
      <c r="AE315" s="236">
        <f t="shared" si="492"/>
        <v>145.09666666666666</v>
      </c>
      <c r="AF315" s="236">
        <f t="shared" si="406"/>
        <v>2701.0266666666666</v>
      </c>
      <c r="AG315" s="236">
        <f t="shared" si="407"/>
        <v>184842.38</v>
      </c>
      <c r="AH315" s="236">
        <f t="shared" si="408"/>
        <v>536433.46</v>
      </c>
      <c r="AI315" s="402">
        <f t="shared" si="391"/>
        <v>0</v>
      </c>
      <c r="AJ315" s="402">
        <f t="shared" si="457"/>
        <v>0</v>
      </c>
      <c r="AK315" s="401">
        <f t="shared" si="392"/>
        <v>0</v>
      </c>
      <c r="AL315" s="236">
        <f t="shared" si="409"/>
        <v>140867.61999999994</v>
      </c>
      <c r="AM315" s="317">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6">
        <f t="shared" si="440"/>
        <v>1717.9127683927957</v>
      </c>
      <c r="AV315" s="236">
        <f t="shared" si="441"/>
        <v>363173.0201255111</v>
      </c>
    </row>
    <row r="316" spans="1:48">
      <c r="A316" s="392">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6">
        <f t="shared" si="478"/>
        <v>24</v>
      </c>
      <c r="M316" s="316">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2">
        <f t="shared" si="436"/>
        <v>54870</v>
      </c>
      <c r="Y316" s="188">
        <f t="shared" si="403"/>
        <v>140867.61999999994</v>
      </c>
      <c r="Z316" s="385">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1">
        <f t="shared" si="391"/>
        <v>0</v>
      </c>
      <c r="AJ316" s="401">
        <f t="shared" si="457"/>
        <v>0</v>
      </c>
      <c r="AK316" s="401">
        <f t="shared" si="392"/>
        <v>0</v>
      </c>
      <c r="AL316" s="188">
        <f t="shared" si="409"/>
        <v>139360.99999999994</v>
      </c>
      <c r="AM316" s="316">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2">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6">
        <f t="shared" si="478"/>
        <v>24</v>
      </c>
      <c r="M317" s="316">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2">
        <f t="shared" si="436"/>
        <v>54900</v>
      </c>
      <c r="Y317" s="188">
        <f t="shared" si="403"/>
        <v>139360.99999999994</v>
      </c>
      <c r="Z317" s="385">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1">
        <f t="shared" ref="AI317:AI380" si="504">O317-AA317+AI316</f>
        <v>0</v>
      </c>
      <c r="AJ317" s="401">
        <f t="shared" si="457"/>
        <v>0</v>
      </c>
      <c r="AK317" s="401">
        <f t="shared" ref="AK317:AK380" si="505">SUM(AI317:AJ317)</f>
        <v>0</v>
      </c>
      <c r="AL317" s="188">
        <f t="shared" si="409"/>
        <v>137843.70999999993</v>
      </c>
      <c r="AM317" s="316">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2">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6">
        <f t="shared" si="478"/>
        <v>24</v>
      </c>
      <c r="M318" s="316">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2">
        <f t="shared" si="436"/>
        <v>54930</v>
      </c>
      <c r="Y318" s="188">
        <f t="shared" si="403"/>
        <v>137843.70999999993</v>
      </c>
      <c r="Z318" s="385">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1">
        <f t="shared" si="504"/>
        <v>0</v>
      </c>
      <c r="AJ318" s="401">
        <f t="shared" si="457"/>
        <v>0</v>
      </c>
      <c r="AK318" s="401">
        <f t="shared" si="505"/>
        <v>0</v>
      </c>
      <c r="AL318" s="188">
        <f t="shared" si="409"/>
        <v>136315.66999999993</v>
      </c>
      <c r="AM318" s="316">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2">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6">
        <f t="shared" si="478"/>
        <v>24</v>
      </c>
      <c r="M319" s="316">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2">
        <f t="shared" si="436"/>
        <v>54960</v>
      </c>
      <c r="Y319" s="188">
        <f t="shared" ref="Y319:Y382" si="511">IF(+AL318&lt;0,0,+AL318)</f>
        <v>136315.66999999993</v>
      </c>
      <c r="Z319" s="385">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1">
        <f t="shared" si="504"/>
        <v>0</v>
      </c>
      <c r="AJ319" s="401">
        <f t="shared" si="457"/>
        <v>0</v>
      </c>
      <c r="AK319" s="401">
        <f t="shared" si="505"/>
        <v>0</v>
      </c>
      <c r="AL319" s="188">
        <f t="shared" ref="AL319:AL382" si="517">+Y319-AB319</f>
        <v>134776.80999999994</v>
      </c>
      <c r="AM319" s="316">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2">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6">
        <f t="shared" si="478"/>
        <v>24</v>
      </c>
      <c r="M320" s="316">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2">
        <f t="shared" si="436"/>
        <v>54990</v>
      </c>
      <c r="Y320" s="188">
        <f t="shared" si="511"/>
        <v>134776.80999999994</v>
      </c>
      <c r="Z320" s="385">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1">
        <f t="shared" si="504"/>
        <v>0</v>
      </c>
      <c r="AJ320" s="401">
        <f t="shared" si="457"/>
        <v>0</v>
      </c>
      <c r="AK320" s="401">
        <f t="shared" si="505"/>
        <v>0</v>
      </c>
      <c r="AL320" s="188">
        <f t="shared" si="517"/>
        <v>133227.04999999993</v>
      </c>
      <c r="AM320" s="316">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2">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6">
        <f t="shared" si="478"/>
        <v>24</v>
      </c>
      <c r="M321" s="316">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2">
        <f t="shared" si="436"/>
        <v>55020</v>
      </c>
      <c r="Y321" s="188">
        <f t="shared" si="511"/>
        <v>133227.04999999993</v>
      </c>
      <c r="Z321" s="385">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1">
        <f t="shared" si="504"/>
        <v>0</v>
      </c>
      <c r="AJ321" s="401">
        <f t="shared" si="457"/>
        <v>0</v>
      </c>
      <c r="AK321" s="401">
        <f t="shared" si="505"/>
        <v>0</v>
      </c>
      <c r="AL321" s="188">
        <f t="shared" si="517"/>
        <v>131666.30999999994</v>
      </c>
      <c r="AM321" s="316">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2">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6">
        <f t="shared" si="478"/>
        <v>24</v>
      </c>
      <c r="M322" s="316">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2">
        <f t="shared" si="436"/>
        <v>55050</v>
      </c>
      <c r="Y322" s="188">
        <f t="shared" si="511"/>
        <v>131666.30999999994</v>
      </c>
      <c r="Z322" s="385">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1">
        <f t="shared" si="504"/>
        <v>0</v>
      </c>
      <c r="AJ322" s="401">
        <f t="shared" si="457"/>
        <v>0</v>
      </c>
      <c r="AK322" s="401">
        <f t="shared" si="505"/>
        <v>0</v>
      </c>
      <c r="AL322" s="188">
        <f t="shared" si="517"/>
        <v>130094.51999999995</v>
      </c>
      <c r="AM322" s="316">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2">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6">
        <f t="shared" si="478"/>
        <v>24</v>
      </c>
      <c r="M323" s="316">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2">
        <f t="shared" si="436"/>
        <v>55080</v>
      </c>
      <c r="Y323" s="188">
        <f t="shared" si="511"/>
        <v>130094.51999999995</v>
      </c>
      <c r="Z323" s="385">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1">
        <f t="shared" si="504"/>
        <v>0</v>
      </c>
      <c r="AJ323" s="401">
        <f t="shared" si="457"/>
        <v>0</v>
      </c>
      <c r="AK323" s="401">
        <f t="shared" si="505"/>
        <v>0</v>
      </c>
      <c r="AL323" s="188">
        <f t="shared" si="517"/>
        <v>128511.58999999995</v>
      </c>
      <c r="AM323" s="316">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2">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6">
        <f t="shared" si="478"/>
        <v>24</v>
      </c>
      <c r="M324" s="316">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2">
        <f t="shared" si="436"/>
        <v>55110</v>
      </c>
      <c r="Y324" s="188">
        <f t="shared" si="511"/>
        <v>128511.58999999995</v>
      </c>
      <c r="Z324" s="385">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1">
        <f t="shared" si="504"/>
        <v>0</v>
      </c>
      <c r="AJ324" s="401">
        <f t="shared" si="457"/>
        <v>0</v>
      </c>
      <c r="AK324" s="401">
        <f t="shared" si="505"/>
        <v>0</v>
      </c>
      <c r="AL324" s="188">
        <f t="shared" si="517"/>
        <v>126917.44999999995</v>
      </c>
      <c r="AM324" s="316">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2">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6">
        <f t="shared" si="478"/>
        <v>24</v>
      </c>
      <c r="M325" s="316">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2">
        <f t="shared" si="436"/>
        <v>55140</v>
      </c>
      <c r="Y325" s="188">
        <f t="shared" si="511"/>
        <v>126917.44999999995</v>
      </c>
      <c r="Z325" s="385">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1">
        <f t="shared" si="504"/>
        <v>0</v>
      </c>
      <c r="AJ325" s="401">
        <f t="shared" si="457"/>
        <v>0</v>
      </c>
      <c r="AK325" s="401">
        <f t="shared" si="505"/>
        <v>0</v>
      </c>
      <c r="AL325" s="188">
        <f t="shared" si="517"/>
        <v>125312.01999999996</v>
      </c>
      <c r="AM325" s="316">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2">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6">
        <f t="shared" si="478"/>
        <v>24</v>
      </c>
      <c r="M326" s="316">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2">
        <f t="shared" si="436"/>
        <v>55170</v>
      </c>
      <c r="Y326" s="188">
        <f t="shared" si="511"/>
        <v>125312.01999999996</v>
      </c>
      <c r="Z326" s="385">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1">
        <f t="shared" si="504"/>
        <v>0</v>
      </c>
      <c r="AJ326" s="401">
        <f t="shared" si="457"/>
        <v>0</v>
      </c>
      <c r="AK326" s="401">
        <f t="shared" si="505"/>
        <v>0</v>
      </c>
      <c r="AL326" s="188">
        <f t="shared" si="517"/>
        <v>123695.21999999996</v>
      </c>
      <c r="AM326" s="316">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5">
        <f t="shared" si="493"/>
        <v>55200</v>
      </c>
      <c r="B327" s="236">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6">
        <f t="shared" si="495"/>
        <v>59352.11</v>
      </c>
      <c r="J327" s="236">
        <f t="shared" si="496"/>
        <v>115790.61999999994</v>
      </c>
      <c r="K327" s="236">
        <f t="shared" si="497"/>
        <v>63821.059999999918</v>
      </c>
      <c r="L327" s="317">
        <f t="shared" si="478"/>
        <v>24</v>
      </c>
      <c r="M327" s="317">
        <f t="shared" si="434"/>
        <v>299</v>
      </c>
      <c r="N327" s="236">
        <f t="shared" si="435"/>
        <v>123695.21999999996</v>
      </c>
      <c r="O327" s="236">
        <f t="shared" si="509"/>
        <v>2504.4299999999998</v>
      </c>
      <c r="P327" s="236">
        <f t="shared" si="443"/>
        <v>1628.2599999999998</v>
      </c>
      <c r="Q327" s="236">
        <f t="shared" si="510"/>
        <v>876.17</v>
      </c>
      <c r="R327" s="236">
        <f t="shared" si="501"/>
        <v>51.5</v>
      </c>
      <c r="S327" s="236">
        <f t="shared" si="502"/>
        <v>145.09666666666666</v>
      </c>
      <c r="T327" s="236">
        <f t="shared" si="498"/>
        <v>2701.0266666666666</v>
      </c>
      <c r="U327" s="236">
        <f t="shared" si="444"/>
        <v>203643.04</v>
      </c>
      <c r="V327" s="236">
        <f t="shared" si="445"/>
        <v>547685.96000000008</v>
      </c>
      <c r="W327" s="236">
        <f t="shared" si="499"/>
        <v>122066.95999999996</v>
      </c>
      <c r="X327" s="395">
        <f t="shared" si="436"/>
        <v>55200</v>
      </c>
      <c r="Y327" s="236">
        <f t="shared" si="511"/>
        <v>123695.21999999996</v>
      </c>
      <c r="Z327" s="386">
        <f t="shared" si="428"/>
        <v>8.4999999999999992E-2</v>
      </c>
      <c r="AA327" s="236">
        <f t="shared" si="429"/>
        <v>2504.4299999999998</v>
      </c>
      <c r="AB327" s="236">
        <f t="shared" si="512"/>
        <v>1628.2599999999998</v>
      </c>
      <c r="AC327" s="236">
        <f t="shared" si="430"/>
        <v>876.17</v>
      </c>
      <c r="AD327" s="236">
        <f t="shared" ref="AD327:AE327" si="525">+AD326</f>
        <v>51.5</v>
      </c>
      <c r="AE327" s="236">
        <f t="shared" si="525"/>
        <v>145.09666666666666</v>
      </c>
      <c r="AF327" s="236">
        <f t="shared" si="514"/>
        <v>2701.0266666666666</v>
      </c>
      <c r="AG327" s="236">
        <f t="shared" si="515"/>
        <v>203643.04</v>
      </c>
      <c r="AH327" s="236">
        <f t="shared" si="516"/>
        <v>547685.96000000008</v>
      </c>
      <c r="AI327" s="402">
        <f t="shared" si="504"/>
        <v>0</v>
      </c>
      <c r="AJ327" s="402">
        <f t="shared" si="457"/>
        <v>0</v>
      </c>
      <c r="AK327" s="401">
        <f t="shared" si="505"/>
        <v>0</v>
      </c>
      <c r="AL327" s="236">
        <f t="shared" si="517"/>
        <v>122066.95999999996</v>
      </c>
      <c r="AM327" s="317">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6">
        <f t="shared" si="440"/>
        <v>1770.1647291373954</v>
      </c>
      <c r="AV327" s="236">
        <f t="shared" si="441"/>
        <v>384126.05638409551</v>
      </c>
    </row>
    <row r="328" spans="1:48">
      <c r="A328" s="392">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6">
        <f t="shared" si="478"/>
        <v>25</v>
      </c>
      <c r="M328" s="316">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2">
        <f t="shared" si="436"/>
        <v>55230</v>
      </c>
      <c r="Y328" s="188">
        <f t="shared" si="511"/>
        <v>122066.95999999996</v>
      </c>
      <c r="Z328" s="385">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1">
        <f t="shared" si="504"/>
        <v>0</v>
      </c>
      <c r="AJ328" s="401">
        <f t="shared" si="457"/>
        <v>0</v>
      </c>
      <c r="AK328" s="401">
        <f t="shared" si="505"/>
        <v>0</v>
      </c>
      <c r="AL328" s="188">
        <f t="shared" si="517"/>
        <v>120427.16999999997</v>
      </c>
      <c r="AM328" s="316">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2">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6">
        <f t="shared" si="478"/>
        <v>25</v>
      </c>
      <c r="M329" s="316">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2">
        <f t="shared" si="436"/>
        <v>55260</v>
      </c>
      <c r="Y329" s="188">
        <f t="shared" si="511"/>
        <v>120427.16999999997</v>
      </c>
      <c r="Z329" s="385">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1">
        <f t="shared" si="504"/>
        <v>0</v>
      </c>
      <c r="AJ329" s="401">
        <f t="shared" si="457"/>
        <v>0</v>
      </c>
      <c r="AK329" s="401">
        <f t="shared" si="505"/>
        <v>0</v>
      </c>
      <c r="AL329" s="188">
        <f t="shared" si="517"/>
        <v>118775.76999999997</v>
      </c>
      <c r="AM329" s="316">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2">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6">
        <f t="shared" si="478"/>
        <v>25</v>
      </c>
      <c r="M330" s="316">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2">
        <f t="shared" si="436"/>
        <v>55290</v>
      </c>
      <c r="Y330" s="188">
        <f t="shared" si="511"/>
        <v>118775.76999999997</v>
      </c>
      <c r="Z330" s="385">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1">
        <f t="shared" si="504"/>
        <v>0</v>
      </c>
      <c r="AJ330" s="401">
        <f t="shared" si="457"/>
        <v>0</v>
      </c>
      <c r="AK330" s="401">
        <f t="shared" si="505"/>
        <v>0</v>
      </c>
      <c r="AL330" s="188">
        <f t="shared" si="517"/>
        <v>117112.66999999997</v>
      </c>
      <c r="AM330" s="316">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2">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6">
        <f t="shared" si="478"/>
        <v>25</v>
      </c>
      <c r="M331" s="316">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2">
        <f t="shared" si="436"/>
        <v>55320</v>
      </c>
      <c r="Y331" s="188">
        <f t="shared" si="511"/>
        <v>117112.66999999997</v>
      </c>
      <c r="Z331" s="385">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1">
        <f t="shared" si="504"/>
        <v>0</v>
      </c>
      <c r="AJ331" s="401">
        <f t="shared" si="457"/>
        <v>0</v>
      </c>
      <c r="AK331" s="401">
        <f t="shared" si="505"/>
        <v>0</v>
      </c>
      <c r="AL331" s="188">
        <f t="shared" si="517"/>
        <v>115437.78999999996</v>
      </c>
      <c r="AM331" s="316">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2">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6">
        <f t="shared" si="478"/>
        <v>25</v>
      </c>
      <c r="M332" s="316">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2">
        <f t="shared" si="436"/>
        <v>55350</v>
      </c>
      <c r="Y332" s="188">
        <f t="shared" si="511"/>
        <v>115437.78999999996</v>
      </c>
      <c r="Z332" s="385">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1">
        <f t="shared" si="504"/>
        <v>0</v>
      </c>
      <c r="AJ332" s="401">
        <f t="shared" si="457"/>
        <v>0</v>
      </c>
      <c r="AK332" s="401">
        <f t="shared" si="505"/>
        <v>0</v>
      </c>
      <c r="AL332" s="188">
        <f t="shared" si="517"/>
        <v>113751.03999999996</v>
      </c>
      <c r="AM332" s="316">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2">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6">
        <f t="shared" si="478"/>
        <v>25</v>
      </c>
      <c r="M333" s="316">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2">
        <f t="shared" si="436"/>
        <v>55380</v>
      </c>
      <c r="Y333" s="188">
        <f t="shared" si="511"/>
        <v>113751.03999999996</v>
      </c>
      <c r="Z333" s="385">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1">
        <f t="shared" si="504"/>
        <v>0</v>
      </c>
      <c r="AJ333" s="401">
        <f t="shared" si="457"/>
        <v>0</v>
      </c>
      <c r="AK333" s="401">
        <f t="shared" si="505"/>
        <v>0</v>
      </c>
      <c r="AL333" s="188">
        <f t="shared" si="517"/>
        <v>112052.34999999996</v>
      </c>
      <c r="AM333" s="316">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2">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6">
        <f t="shared" si="478"/>
        <v>25</v>
      </c>
      <c r="M334" s="316">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2">
        <f t="shared" si="436"/>
        <v>55410</v>
      </c>
      <c r="Y334" s="188">
        <f t="shared" si="511"/>
        <v>112052.34999999996</v>
      </c>
      <c r="Z334" s="385">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1">
        <f t="shared" si="504"/>
        <v>0</v>
      </c>
      <c r="AJ334" s="401">
        <f t="shared" si="457"/>
        <v>0</v>
      </c>
      <c r="AK334" s="401">
        <f t="shared" si="505"/>
        <v>0</v>
      </c>
      <c r="AL334" s="188">
        <f t="shared" si="517"/>
        <v>110341.61999999997</v>
      </c>
      <c r="AM334" s="316">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2">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6">
        <f t="shared" si="478"/>
        <v>25</v>
      </c>
      <c r="M335" s="316">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2">
        <f t="shared" si="436"/>
        <v>55440</v>
      </c>
      <c r="Y335" s="188">
        <f t="shared" si="511"/>
        <v>110341.61999999997</v>
      </c>
      <c r="Z335" s="385">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1">
        <f t="shared" si="504"/>
        <v>0</v>
      </c>
      <c r="AJ335" s="401">
        <f t="shared" si="457"/>
        <v>0</v>
      </c>
      <c r="AK335" s="401">
        <f t="shared" si="505"/>
        <v>0</v>
      </c>
      <c r="AL335" s="188">
        <f t="shared" si="517"/>
        <v>108618.77999999997</v>
      </c>
      <c r="AM335" s="316">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2">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6">
        <f t="shared" si="478"/>
        <v>25</v>
      </c>
      <c r="M336" s="316">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2">
        <f t="shared" si="436"/>
        <v>55470</v>
      </c>
      <c r="Y336" s="188">
        <f t="shared" si="511"/>
        <v>108618.77999999997</v>
      </c>
      <c r="Z336" s="385">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1">
        <f t="shared" si="504"/>
        <v>0</v>
      </c>
      <c r="AJ336" s="401">
        <f t="shared" si="457"/>
        <v>0</v>
      </c>
      <c r="AK336" s="401">
        <f t="shared" si="505"/>
        <v>0</v>
      </c>
      <c r="AL336" s="188">
        <f t="shared" si="517"/>
        <v>106883.72999999997</v>
      </c>
      <c r="AM336" s="316">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2">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6">
        <f t="shared" si="478"/>
        <v>25</v>
      </c>
      <c r="M337" s="316">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2">
        <f t="shared" ref="X337:X400" si="544">+A337</f>
        <v>55500</v>
      </c>
      <c r="Y337" s="188">
        <f t="shared" si="511"/>
        <v>106883.72999999997</v>
      </c>
      <c r="Z337" s="385">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1">
        <f t="shared" si="504"/>
        <v>0</v>
      </c>
      <c r="AJ337" s="401">
        <f t="shared" si="457"/>
        <v>0</v>
      </c>
      <c r="AK337" s="401">
        <f t="shared" si="505"/>
        <v>0</v>
      </c>
      <c r="AL337" s="188">
        <f t="shared" si="517"/>
        <v>105136.38999999997</v>
      </c>
      <c r="AM337" s="316">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2">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6">
        <f t="shared" si="478"/>
        <v>25</v>
      </c>
      <c r="M338" s="316">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2">
        <f t="shared" si="544"/>
        <v>55530</v>
      </c>
      <c r="Y338" s="188">
        <f t="shared" si="511"/>
        <v>105136.38999999997</v>
      </c>
      <c r="Z338" s="385">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1">
        <f t="shared" si="504"/>
        <v>0</v>
      </c>
      <c r="AJ338" s="401">
        <f t="shared" si="457"/>
        <v>0</v>
      </c>
      <c r="AK338" s="401">
        <f t="shared" si="505"/>
        <v>0</v>
      </c>
      <c r="AL338" s="188">
        <f t="shared" si="517"/>
        <v>103376.67999999996</v>
      </c>
      <c r="AM338" s="316">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5">
        <f t="shared" si="493"/>
        <v>55560</v>
      </c>
      <c r="B339" s="236">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6">
        <f t="shared" si="495"/>
        <v>63279.049999999996</v>
      </c>
      <c r="J339" s="236">
        <f t="shared" si="496"/>
        <v>118582.23999999998</v>
      </c>
      <c r="K339" s="236">
        <f t="shared" si="497"/>
        <v>59894.119999999923</v>
      </c>
      <c r="L339" s="317">
        <f t="shared" si="478"/>
        <v>25</v>
      </c>
      <c r="M339" s="317">
        <f t="shared" si="542"/>
        <v>311</v>
      </c>
      <c r="N339" s="236">
        <f t="shared" si="543"/>
        <v>103376.67999999996</v>
      </c>
      <c r="O339" s="236">
        <f t="shared" si="509"/>
        <v>2504.4299999999998</v>
      </c>
      <c r="P339" s="236">
        <f t="shared" si="551"/>
        <v>1772.1799999999998</v>
      </c>
      <c r="Q339" s="236">
        <f t="shared" si="510"/>
        <v>732.25</v>
      </c>
      <c r="R339" s="236">
        <f t="shared" si="501"/>
        <v>51.5</v>
      </c>
      <c r="S339" s="236">
        <f t="shared" si="502"/>
        <v>145.09666666666666</v>
      </c>
      <c r="T339" s="236">
        <f t="shared" si="498"/>
        <v>2701.0266666666666</v>
      </c>
      <c r="U339" s="236">
        <f t="shared" si="552"/>
        <v>224105.5</v>
      </c>
      <c r="V339" s="236">
        <f t="shared" si="553"/>
        <v>557276.66</v>
      </c>
      <c r="W339" s="236">
        <f t="shared" si="499"/>
        <v>101604.49999999997</v>
      </c>
      <c r="X339" s="395">
        <f t="shared" si="544"/>
        <v>55560</v>
      </c>
      <c r="Y339" s="236">
        <f t="shared" si="511"/>
        <v>103376.67999999996</v>
      </c>
      <c r="Z339" s="386">
        <f t="shared" si="536"/>
        <v>8.4999999999999992E-2</v>
      </c>
      <c r="AA339" s="236">
        <f t="shared" si="537"/>
        <v>2504.4299999999998</v>
      </c>
      <c r="AB339" s="236">
        <f t="shared" si="512"/>
        <v>1772.1799999999998</v>
      </c>
      <c r="AC339" s="236">
        <f t="shared" si="538"/>
        <v>732.25</v>
      </c>
      <c r="AD339" s="236">
        <f t="shared" ref="AD339:AE339" si="555">+AD338</f>
        <v>51.5</v>
      </c>
      <c r="AE339" s="236">
        <f t="shared" si="555"/>
        <v>145.09666666666666</v>
      </c>
      <c r="AF339" s="236">
        <f t="shared" si="514"/>
        <v>2701.0266666666666</v>
      </c>
      <c r="AG339" s="236">
        <f t="shared" si="515"/>
        <v>224105.5</v>
      </c>
      <c r="AH339" s="236">
        <f t="shared" si="516"/>
        <v>557276.66</v>
      </c>
      <c r="AI339" s="402">
        <f t="shared" si="504"/>
        <v>0</v>
      </c>
      <c r="AJ339" s="402">
        <f t="shared" si="457"/>
        <v>0</v>
      </c>
      <c r="AK339" s="401">
        <f t="shared" si="505"/>
        <v>0</v>
      </c>
      <c r="AL339" s="236">
        <f t="shared" si="517"/>
        <v>101604.49999999997</v>
      </c>
      <c r="AM339" s="317">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6">
        <f t="shared" si="548"/>
        <v>1824.0059832686484</v>
      </c>
      <c r="AV339" s="236">
        <f t="shared" si="549"/>
        <v>405716.39929072809</v>
      </c>
    </row>
    <row r="340" spans="1:48">
      <c r="A340" s="392">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6">
        <f t="shared" si="478"/>
        <v>26</v>
      </c>
      <c r="M340" s="316">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2">
        <f t="shared" si="544"/>
        <v>55590</v>
      </c>
      <c r="Y340" s="188">
        <f t="shared" si="511"/>
        <v>101604.49999999997</v>
      </c>
      <c r="Z340" s="385">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1">
        <f t="shared" si="504"/>
        <v>0</v>
      </c>
      <c r="AJ340" s="401">
        <f t="shared" si="457"/>
        <v>0</v>
      </c>
      <c r="AK340" s="401">
        <f t="shared" si="505"/>
        <v>0</v>
      </c>
      <c r="AL340" s="188">
        <f t="shared" si="517"/>
        <v>99819.769999999975</v>
      </c>
      <c r="AM340" s="316">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2">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6">
        <f t="shared" si="478"/>
        <v>26</v>
      </c>
      <c r="M341" s="316">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2">
        <f t="shared" si="544"/>
        <v>55620</v>
      </c>
      <c r="Y341" s="188">
        <f t="shared" si="511"/>
        <v>99819.769999999975</v>
      </c>
      <c r="Z341" s="385">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1">
        <f t="shared" si="504"/>
        <v>0</v>
      </c>
      <c r="AJ341" s="401">
        <f t="shared" si="457"/>
        <v>0</v>
      </c>
      <c r="AK341" s="401">
        <f t="shared" si="505"/>
        <v>0</v>
      </c>
      <c r="AL341" s="188">
        <f t="shared" si="517"/>
        <v>98022.39999999998</v>
      </c>
      <c r="AM341" s="316">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2">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6">
        <f t="shared" si="478"/>
        <v>26</v>
      </c>
      <c r="M342" s="316">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2">
        <f t="shared" si="544"/>
        <v>55650</v>
      </c>
      <c r="Y342" s="188">
        <f t="shared" si="511"/>
        <v>98022.39999999998</v>
      </c>
      <c r="Z342" s="385">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1">
        <f t="shared" si="504"/>
        <v>0</v>
      </c>
      <c r="AJ342" s="401">
        <f t="shared" si="457"/>
        <v>0</v>
      </c>
      <c r="AK342" s="401">
        <f t="shared" si="505"/>
        <v>0</v>
      </c>
      <c r="AL342" s="188">
        <f t="shared" si="517"/>
        <v>96212.299999999974</v>
      </c>
      <c r="AM342" s="316">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2">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6">
        <f t="shared" si="478"/>
        <v>26</v>
      </c>
      <c r="M343" s="316">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2">
        <f t="shared" si="544"/>
        <v>55680</v>
      </c>
      <c r="Y343" s="188">
        <f t="shared" si="511"/>
        <v>96212.299999999974</v>
      </c>
      <c r="Z343" s="385">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1">
        <f t="shared" si="504"/>
        <v>0</v>
      </c>
      <c r="AJ343" s="401">
        <f t="shared" si="457"/>
        <v>0</v>
      </c>
      <c r="AK343" s="401">
        <f t="shared" si="505"/>
        <v>0</v>
      </c>
      <c r="AL343" s="188">
        <f t="shared" si="517"/>
        <v>94389.369999999981</v>
      </c>
      <c r="AM343" s="316">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2">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6">
        <f t="shared" si="478"/>
        <v>26</v>
      </c>
      <c r="M344" s="316">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2">
        <f t="shared" si="544"/>
        <v>55710</v>
      </c>
      <c r="Y344" s="188">
        <f t="shared" si="511"/>
        <v>94389.369999999981</v>
      </c>
      <c r="Z344" s="385">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1">
        <f t="shared" si="504"/>
        <v>0</v>
      </c>
      <c r="AJ344" s="401">
        <f t="shared" si="457"/>
        <v>0</v>
      </c>
      <c r="AK344" s="401">
        <f t="shared" si="505"/>
        <v>0</v>
      </c>
      <c r="AL344" s="188">
        <f t="shared" si="517"/>
        <v>92553.529999999984</v>
      </c>
      <c r="AM344" s="316">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2">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6">
        <f t="shared" si="478"/>
        <v>26</v>
      </c>
      <c r="M345" s="316">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2">
        <f t="shared" si="544"/>
        <v>55740</v>
      </c>
      <c r="Y345" s="188">
        <f t="shared" si="511"/>
        <v>92553.529999999984</v>
      </c>
      <c r="Z345" s="385">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1">
        <f t="shared" si="504"/>
        <v>0</v>
      </c>
      <c r="AJ345" s="401">
        <f t="shared" si="457"/>
        <v>0</v>
      </c>
      <c r="AK345" s="401">
        <f t="shared" si="505"/>
        <v>0</v>
      </c>
      <c r="AL345" s="188">
        <f t="shared" si="517"/>
        <v>90704.689999999988</v>
      </c>
      <c r="AM345" s="316">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2">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6">
        <f t="shared" si="478"/>
        <v>26</v>
      </c>
      <c r="M346" s="316">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2">
        <f t="shared" si="544"/>
        <v>55770</v>
      </c>
      <c r="Y346" s="188">
        <f t="shared" si="511"/>
        <v>90704.689999999988</v>
      </c>
      <c r="Z346" s="385">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1">
        <f t="shared" si="504"/>
        <v>0</v>
      </c>
      <c r="AJ346" s="401">
        <f t="shared" si="457"/>
        <v>0</v>
      </c>
      <c r="AK346" s="401">
        <f t="shared" si="505"/>
        <v>0</v>
      </c>
      <c r="AL346" s="188">
        <f t="shared" si="517"/>
        <v>88842.749999999985</v>
      </c>
      <c r="AM346" s="316">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2">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6">
        <f t="shared" si="478"/>
        <v>26</v>
      </c>
      <c r="M347" s="316">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2">
        <f t="shared" si="544"/>
        <v>55800</v>
      </c>
      <c r="Y347" s="188">
        <f t="shared" si="511"/>
        <v>88842.749999999985</v>
      </c>
      <c r="Z347" s="385">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1">
        <f t="shared" si="504"/>
        <v>0</v>
      </c>
      <c r="AJ347" s="401">
        <f t="shared" si="457"/>
        <v>0</v>
      </c>
      <c r="AK347" s="401">
        <f t="shared" si="505"/>
        <v>0</v>
      </c>
      <c r="AL347" s="188">
        <f t="shared" si="517"/>
        <v>86967.619999999981</v>
      </c>
      <c r="AM347" s="316">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2">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6">
        <f t="shared" si="478"/>
        <v>26</v>
      </c>
      <c r="M348" s="316">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2">
        <f t="shared" si="544"/>
        <v>55830</v>
      </c>
      <c r="Y348" s="188">
        <f t="shared" si="511"/>
        <v>86967.619999999981</v>
      </c>
      <c r="Z348" s="385">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1">
        <f t="shared" si="504"/>
        <v>0</v>
      </c>
      <c r="AJ348" s="401">
        <f t="shared" ref="AJ348:AJ411" si="565">+W348-AL348</f>
        <v>0</v>
      </c>
      <c r="AK348" s="401">
        <f t="shared" si="505"/>
        <v>0</v>
      </c>
      <c r="AL348" s="188">
        <f t="shared" si="517"/>
        <v>85079.209999999977</v>
      </c>
      <c r="AM348" s="316">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2">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6">
        <f t="shared" si="478"/>
        <v>26</v>
      </c>
      <c r="M349" s="316">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2">
        <f t="shared" si="544"/>
        <v>55860</v>
      </c>
      <c r="Y349" s="188">
        <f t="shared" si="511"/>
        <v>85079.209999999977</v>
      </c>
      <c r="Z349" s="385">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1">
        <f t="shared" si="504"/>
        <v>0</v>
      </c>
      <c r="AJ349" s="401">
        <f t="shared" si="565"/>
        <v>0</v>
      </c>
      <c r="AK349" s="401">
        <f t="shared" si="505"/>
        <v>0</v>
      </c>
      <c r="AL349" s="188">
        <f t="shared" si="517"/>
        <v>83177.419999999984</v>
      </c>
      <c r="AM349" s="316">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2">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6">
        <f t="shared" si="478"/>
        <v>26</v>
      </c>
      <c r="M350" s="316">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2">
        <f t="shared" si="544"/>
        <v>55890</v>
      </c>
      <c r="Y350" s="188">
        <f t="shared" si="511"/>
        <v>83177.419999999984</v>
      </c>
      <c r="Z350" s="385">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1">
        <f t="shared" si="504"/>
        <v>0</v>
      </c>
      <c r="AJ350" s="401">
        <f t="shared" si="565"/>
        <v>0</v>
      </c>
      <c r="AK350" s="401">
        <f t="shared" si="505"/>
        <v>0</v>
      </c>
      <c r="AL350" s="188">
        <f t="shared" si="517"/>
        <v>81262.159999999989</v>
      </c>
      <c r="AM350" s="316">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5">
        <f t="shared" si="493"/>
        <v>55920</v>
      </c>
      <c r="B351" s="236">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6">
        <f t="shared" si="495"/>
        <v>67386.389999999985</v>
      </c>
      <c r="J351" s="236">
        <f t="shared" si="496"/>
        <v>121193.46</v>
      </c>
      <c r="K351" s="236">
        <f t="shared" si="497"/>
        <v>55786.779999999919</v>
      </c>
      <c r="L351" s="317">
        <f t="shared" si="478"/>
        <v>26</v>
      </c>
      <c r="M351" s="317">
        <f t="shared" si="542"/>
        <v>323</v>
      </c>
      <c r="N351" s="236">
        <f t="shared" si="543"/>
        <v>81262.159999999989</v>
      </c>
      <c r="O351" s="236">
        <f t="shared" si="509"/>
        <v>2504.4299999999998</v>
      </c>
      <c r="P351" s="236">
        <f t="shared" si="551"/>
        <v>1928.8199999999997</v>
      </c>
      <c r="Q351" s="236">
        <f t="shared" si="510"/>
        <v>575.61</v>
      </c>
      <c r="R351" s="236">
        <f t="shared" si="501"/>
        <v>51.5</v>
      </c>
      <c r="S351" s="236">
        <f t="shared" si="502"/>
        <v>145.09666666666666</v>
      </c>
      <c r="T351" s="236">
        <f t="shared" si="498"/>
        <v>2701.0266666666666</v>
      </c>
      <c r="U351" s="236">
        <f t="shared" si="552"/>
        <v>246376.66000000003</v>
      </c>
      <c r="V351" s="236">
        <f t="shared" si="553"/>
        <v>565058.66</v>
      </c>
      <c r="W351" s="236">
        <f t="shared" si="499"/>
        <v>79333.34</v>
      </c>
      <c r="X351" s="395">
        <f t="shared" si="544"/>
        <v>55920</v>
      </c>
      <c r="Y351" s="236">
        <f t="shared" si="511"/>
        <v>81262.159999999989</v>
      </c>
      <c r="Z351" s="386">
        <f t="shared" si="536"/>
        <v>8.4999999999999992E-2</v>
      </c>
      <c r="AA351" s="236">
        <f t="shared" si="537"/>
        <v>2504.4299999999998</v>
      </c>
      <c r="AB351" s="236">
        <f t="shared" si="512"/>
        <v>1928.8199999999997</v>
      </c>
      <c r="AC351" s="236">
        <f t="shared" si="538"/>
        <v>575.61</v>
      </c>
      <c r="AD351" s="236">
        <f t="shared" ref="AD351:AE351" si="568">+AD350</f>
        <v>51.5</v>
      </c>
      <c r="AE351" s="236">
        <f t="shared" si="568"/>
        <v>145.09666666666666</v>
      </c>
      <c r="AF351" s="236">
        <f t="shared" si="514"/>
        <v>2701.0266666666666</v>
      </c>
      <c r="AG351" s="236">
        <f t="shared" si="515"/>
        <v>246376.66000000003</v>
      </c>
      <c r="AH351" s="236">
        <f t="shared" si="516"/>
        <v>565058.66</v>
      </c>
      <c r="AI351" s="402">
        <f t="shared" si="504"/>
        <v>0</v>
      </c>
      <c r="AJ351" s="402">
        <f t="shared" si="565"/>
        <v>0</v>
      </c>
      <c r="AK351" s="401">
        <f t="shared" si="505"/>
        <v>0</v>
      </c>
      <c r="AL351" s="236">
        <f t="shared" si="517"/>
        <v>79333.34</v>
      </c>
      <c r="AM351" s="317">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6">
        <f t="shared" si="548"/>
        <v>1879.4848706657276</v>
      </c>
      <c r="AV351" s="236">
        <f t="shared" si="549"/>
        <v>427963.43313695671</v>
      </c>
    </row>
    <row r="352" spans="1:48">
      <c r="A352" s="392">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6">
        <f t="shared" si="478"/>
        <v>27</v>
      </c>
      <c r="M352" s="316">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2">
        <f t="shared" si="544"/>
        <v>55950</v>
      </c>
      <c r="Y352" s="188">
        <f t="shared" si="511"/>
        <v>79333.34</v>
      </c>
      <c r="Z352" s="385">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1">
        <f t="shared" si="504"/>
        <v>0</v>
      </c>
      <c r="AJ352" s="401">
        <f t="shared" si="565"/>
        <v>0</v>
      </c>
      <c r="AK352" s="401">
        <f t="shared" si="505"/>
        <v>0</v>
      </c>
      <c r="AL352" s="188">
        <f t="shared" si="517"/>
        <v>77390.849999999991</v>
      </c>
      <c r="AM352" s="316">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2">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6">
        <f t="shared" si="478"/>
        <v>27</v>
      </c>
      <c r="M353" s="316">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2">
        <f t="shared" si="544"/>
        <v>55980</v>
      </c>
      <c r="Y353" s="188">
        <f t="shared" si="511"/>
        <v>77390.849999999991</v>
      </c>
      <c r="Z353" s="385">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1">
        <f t="shared" si="504"/>
        <v>0</v>
      </c>
      <c r="AJ353" s="401">
        <f t="shared" si="565"/>
        <v>0</v>
      </c>
      <c r="AK353" s="401">
        <f t="shared" si="505"/>
        <v>0</v>
      </c>
      <c r="AL353" s="188">
        <f t="shared" si="517"/>
        <v>75434.609999999986</v>
      </c>
      <c r="AM353" s="316">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2">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6">
        <f t="shared" si="478"/>
        <v>27</v>
      </c>
      <c r="M354" s="316">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2">
        <f t="shared" si="544"/>
        <v>56010</v>
      </c>
      <c r="Y354" s="188">
        <f t="shared" si="511"/>
        <v>75434.609999999986</v>
      </c>
      <c r="Z354" s="385">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1">
        <f t="shared" si="504"/>
        <v>0</v>
      </c>
      <c r="AJ354" s="401">
        <f t="shared" si="565"/>
        <v>0</v>
      </c>
      <c r="AK354" s="401">
        <f t="shared" si="505"/>
        <v>0</v>
      </c>
      <c r="AL354" s="188">
        <f t="shared" si="517"/>
        <v>73464.50999999998</v>
      </c>
      <c r="AM354" s="316">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2">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6">
        <f t="shared" si="478"/>
        <v>27</v>
      </c>
      <c r="M355" s="316">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2">
        <f t="shared" si="544"/>
        <v>56040</v>
      </c>
      <c r="Y355" s="188">
        <f t="shared" si="511"/>
        <v>73464.50999999998</v>
      </c>
      <c r="Z355" s="385">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1">
        <f t="shared" si="504"/>
        <v>0</v>
      </c>
      <c r="AJ355" s="401">
        <f t="shared" si="565"/>
        <v>0</v>
      </c>
      <c r="AK355" s="401">
        <f t="shared" si="505"/>
        <v>0</v>
      </c>
      <c r="AL355" s="188">
        <f t="shared" si="517"/>
        <v>71480.449999999983</v>
      </c>
      <c r="AM355" s="316">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2">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6">
        <f t="shared" si="478"/>
        <v>27</v>
      </c>
      <c r="M356" s="316">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2">
        <f t="shared" si="544"/>
        <v>56070</v>
      </c>
      <c r="Y356" s="188">
        <f t="shared" si="511"/>
        <v>71480.449999999983</v>
      </c>
      <c r="Z356" s="385">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1">
        <f t="shared" si="504"/>
        <v>0</v>
      </c>
      <c r="AJ356" s="401">
        <f t="shared" si="565"/>
        <v>0</v>
      </c>
      <c r="AK356" s="401">
        <f t="shared" si="505"/>
        <v>0</v>
      </c>
      <c r="AL356" s="188">
        <f t="shared" si="517"/>
        <v>69482.339999999982</v>
      </c>
      <c r="AM356" s="316">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2">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6">
        <f t="shared" si="478"/>
        <v>27</v>
      </c>
      <c r="M357" s="316">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2">
        <f t="shared" si="544"/>
        <v>56100</v>
      </c>
      <c r="Y357" s="188">
        <f t="shared" si="511"/>
        <v>69482.339999999982</v>
      </c>
      <c r="Z357" s="385">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1">
        <f t="shared" si="504"/>
        <v>0</v>
      </c>
      <c r="AJ357" s="401">
        <f t="shared" si="565"/>
        <v>0</v>
      </c>
      <c r="AK357" s="401">
        <f t="shared" si="505"/>
        <v>0</v>
      </c>
      <c r="AL357" s="188">
        <f t="shared" si="517"/>
        <v>67470.079999999987</v>
      </c>
      <c r="AM357" s="316">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2">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6">
        <f t="shared" si="478"/>
        <v>27</v>
      </c>
      <c r="M358" s="316">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2">
        <f t="shared" si="544"/>
        <v>56130</v>
      </c>
      <c r="Y358" s="188">
        <f t="shared" si="511"/>
        <v>67470.079999999987</v>
      </c>
      <c r="Z358" s="385">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1">
        <f t="shared" si="504"/>
        <v>0</v>
      </c>
      <c r="AJ358" s="401">
        <f t="shared" si="565"/>
        <v>0</v>
      </c>
      <c r="AK358" s="401">
        <f t="shared" si="505"/>
        <v>0</v>
      </c>
      <c r="AL358" s="188">
        <f t="shared" si="517"/>
        <v>65443.55999999999</v>
      </c>
      <c r="AM358" s="316">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2">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6">
        <f t="shared" si="478"/>
        <v>27</v>
      </c>
      <c r="M359" s="316">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2">
        <f t="shared" si="544"/>
        <v>56160</v>
      </c>
      <c r="Y359" s="188">
        <f t="shared" si="511"/>
        <v>65443.55999999999</v>
      </c>
      <c r="Z359" s="385">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1">
        <f t="shared" si="504"/>
        <v>0</v>
      </c>
      <c r="AJ359" s="401">
        <f t="shared" si="565"/>
        <v>0</v>
      </c>
      <c r="AK359" s="401">
        <f t="shared" si="505"/>
        <v>0</v>
      </c>
      <c r="AL359" s="188">
        <f t="shared" si="517"/>
        <v>63402.689999999988</v>
      </c>
      <c r="AM359" s="316">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2">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6">
        <f t="shared" si="478"/>
        <v>27</v>
      </c>
      <c r="M360" s="316">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2">
        <f t="shared" si="544"/>
        <v>56190</v>
      </c>
      <c r="Y360" s="188">
        <f t="shared" si="511"/>
        <v>63402.689999999988</v>
      </c>
      <c r="Z360" s="385">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1">
        <f t="shared" si="504"/>
        <v>0</v>
      </c>
      <c r="AJ360" s="401">
        <f t="shared" si="565"/>
        <v>0</v>
      </c>
      <c r="AK360" s="401">
        <f t="shared" si="505"/>
        <v>0</v>
      </c>
      <c r="AL360" s="188">
        <f t="shared" si="517"/>
        <v>61347.359999999986</v>
      </c>
      <c r="AM360" s="316">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2">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6">
        <f t="shared" si="478"/>
        <v>27</v>
      </c>
      <c r="M361" s="316">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2">
        <f t="shared" si="544"/>
        <v>56220</v>
      </c>
      <c r="Y361" s="188">
        <f t="shared" si="511"/>
        <v>61347.359999999986</v>
      </c>
      <c r="Z361" s="385">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1">
        <f t="shared" si="504"/>
        <v>0</v>
      </c>
      <c r="AJ361" s="401">
        <f t="shared" si="565"/>
        <v>0</v>
      </c>
      <c r="AK361" s="401">
        <f t="shared" si="505"/>
        <v>0</v>
      </c>
      <c r="AL361" s="188">
        <f t="shared" si="517"/>
        <v>59277.469999999987</v>
      </c>
      <c r="AM361" s="316">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2">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6">
        <f t="shared" si="478"/>
        <v>27</v>
      </c>
      <c r="M362" s="316">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2">
        <f t="shared" si="544"/>
        <v>56250</v>
      </c>
      <c r="Y362" s="188">
        <f t="shared" si="511"/>
        <v>59277.469999999987</v>
      </c>
      <c r="Z362" s="385">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1">
        <f t="shared" si="504"/>
        <v>0</v>
      </c>
      <c r="AJ362" s="401">
        <f t="shared" si="565"/>
        <v>0</v>
      </c>
      <c r="AK362" s="401">
        <f t="shared" si="505"/>
        <v>0</v>
      </c>
      <c r="AL362" s="188">
        <f t="shared" si="517"/>
        <v>57192.919999999984</v>
      </c>
      <c r="AM362" s="316">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5">
        <f t="shared" si="493"/>
        <v>56280</v>
      </c>
      <c r="B363" s="236">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6">
        <f t="shared" si="495"/>
        <v>71682.409999999989</v>
      </c>
      <c r="J363" s="236">
        <f t="shared" si="496"/>
        <v>123616.00000000003</v>
      </c>
      <c r="K363" s="236">
        <f t="shared" si="497"/>
        <v>51490.759999999922</v>
      </c>
      <c r="L363" s="317">
        <f t="shared" si="478"/>
        <v>27</v>
      </c>
      <c r="M363" s="317">
        <f t="shared" si="542"/>
        <v>335</v>
      </c>
      <c r="N363" s="236">
        <f t="shared" si="543"/>
        <v>57192.919999999984</v>
      </c>
      <c r="O363" s="236">
        <f t="shared" si="509"/>
        <v>2504.4299999999998</v>
      </c>
      <c r="P363" s="236">
        <f t="shared" si="551"/>
        <v>2099.31</v>
      </c>
      <c r="Q363" s="236">
        <f t="shared" si="510"/>
        <v>405.12</v>
      </c>
      <c r="R363" s="236">
        <f t="shared" si="501"/>
        <v>51.5</v>
      </c>
      <c r="S363" s="236">
        <f t="shared" si="502"/>
        <v>145.09666666666666</v>
      </c>
      <c r="T363" s="236">
        <f t="shared" si="498"/>
        <v>2701.0266666666666</v>
      </c>
      <c r="U363" s="236">
        <f t="shared" si="552"/>
        <v>270616.39</v>
      </c>
      <c r="V363" s="236">
        <f t="shared" si="553"/>
        <v>570872.09</v>
      </c>
      <c r="W363" s="236">
        <f t="shared" si="499"/>
        <v>55093.609999999986</v>
      </c>
      <c r="X363" s="395">
        <f t="shared" si="544"/>
        <v>56280</v>
      </c>
      <c r="Y363" s="236">
        <f t="shared" si="511"/>
        <v>57192.919999999984</v>
      </c>
      <c r="Z363" s="386">
        <f t="shared" si="536"/>
        <v>8.4999999999999992E-2</v>
      </c>
      <c r="AA363" s="236">
        <f t="shared" si="537"/>
        <v>2504.4299999999998</v>
      </c>
      <c r="AB363" s="236">
        <f t="shared" si="512"/>
        <v>2099.31</v>
      </c>
      <c r="AC363" s="236">
        <f t="shared" si="538"/>
        <v>405.12</v>
      </c>
      <c r="AD363" s="236">
        <f t="shared" ref="AD363:AE363" si="580">+AD362</f>
        <v>51.5</v>
      </c>
      <c r="AE363" s="236">
        <f t="shared" si="580"/>
        <v>145.09666666666666</v>
      </c>
      <c r="AF363" s="236">
        <f t="shared" si="514"/>
        <v>2701.0266666666666</v>
      </c>
      <c r="AG363" s="236">
        <f t="shared" si="515"/>
        <v>270616.39</v>
      </c>
      <c r="AH363" s="236">
        <f t="shared" si="516"/>
        <v>570872.09</v>
      </c>
      <c r="AI363" s="402">
        <f t="shared" si="504"/>
        <v>0</v>
      </c>
      <c r="AJ363" s="402">
        <f t="shared" si="565"/>
        <v>0</v>
      </c>
      <c r="AK363" s="401">
        <f t="shared" si="505"/>
        <v>0</v>
      </c>
      <c r="AL363" s="236">
        <f t="shared" si="517"/>
        <v>55093.609999999986</v>
      </c>
      <c r="AM363" s="317">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6">
        <f t="shared" si="548"/>
        <v>1936.6512015114852</v>
      </c>
      <c r="AV363" s="236">
        <f t="shared" si="549"/>
        <v>450887.13180610555</v>
      </c>
    </row>
    <row r="364" spans="1:48">
      <c r="A364" s="392">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6">
        <f t="shared" si="478"/>
        <v>28</v>
      </c>
      <c r="M364" s="316">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2">
        <f t="shared" si="544"/>
        <v>56310</v>
      </c>
      <c r="Y364" s="188">
        <f t="shared" si="511"/>
        <v>55093.609999999986</v>
      </c>
      <c r="Z364" s="385">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1">
        <f t="shared" si="504"/>
        <v>0</v>
      </c>
      <c r="AJ364" s="401">
        <f t="shared" si="565"/>
        <v>0</v>
      </c>
      <c r="AK364" s="401">
        <f t="shared" si="505"/>
        <v>0</v>
      </c>
      <c r="AL364" s="188">
        <f t="shared" si="517"/>
        <v>52979.429999999986</v>
      </c>
      <c r="AM364" s="316">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2">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6">
        <f t="shared" si="478"/>
        <v>28</v>
      </c>
      <c r="M365" s="316">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2">
        <f t="shared" si="544"/>
        <v>56340</v>
      </c>
      <c r="Y365" s="188">
        <f t="shared" si="511"/>
        <v>52979.429999999986</v>
      </c>
      <c r="Z365" s="385">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1">
        <f t="shared" si="504"/>
        <v>0</v>
      </c>
      <c r="AJ365" s="401">
        <f t="shared" si="565"/>
        <v>0</v>
      </c>
      <c r="AK365" s="401">
        <f t="shared" si="505"/>
        <v>0</v>
      </c>
      <c r="AL365" s="188">
        <f t="shared" si="517"/>
        <v>50850.26999999999</v>
      </c>
      <c r="AM365" s="316">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2">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6">
        <f t="shared" si="478"/>
        <v>28</v>
      </c>
      <c r="M366" s="316">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2">
        <f t="shared" si="544"/>
        <v>56370</v>
      </c>
      <c r="Y366" s="188">
        <f t="shared" si="511"/>
        <v>50850.26999999999</v>
      </c>
      <c r="Z366" s="385">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1">
        <f t="shared" si="504"/>
        <v>0</v>
      </c>
      <c r="AJ366" s="401">
        <f t="shared" si="565"/>
        <v>0</v>
      </c>
      <c r="AK366" s="401">
        <f t="shared" si="505"/>
        <v>0</v>
      </c>
      <c r="AL366" s="188">
        <f t="shared" si="517"/>
        <v>48706.029999999992</v>
      </c>
      <c r="AM366" s="316">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2">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6">
        <f t="shared" si="478"/>
        <v>28</v>
      </c>
      <c r="M367" s="316">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2">
        <f t="shared" si="544"/>
        <v>56400</v>
      </c>
      <c r="Y367" s="188">
        <f t="shared" si="511"/>
        <v>48706.029999999992</v>
      </c>
      <c r="Z367" s="385">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1">
        <f t="shared" si="504"/>
        <v>0</v>
      </c>
      <c r="AJ367" s="401">
        <f t="shared" si="565"/>
        <v>0</v>
      </c>
      <c r="AK367" s="401">
        <f t="shared" si="505"/>
        <v>0</v>
      </c>
      <c r="AL367" s="188">
        <f t="shared" si="517"/>
        <v>46546.599999999991</v>
      </c>
      <c r="AM367" s="316">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2">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6">
        <f t="shared" ref="L368:L431" si="586">IF(MOD(M368,12)=0,M368/12,L367)</f>
        <v>28</v>
      </c>
      <c r="M368" s="316">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2">
        <f t="shared" si="544"/>
        <v>56430</v>
      </c>
      <c r="Y368" s="188">
        <f t="shared" si="511"/>
        <v>46546.599999999991</v>
      </c>
      <c r="Z368" s="385">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1">
        <f t="shared" si="504"/>
        <v>0</v>
      </c>
      <c r="AJ368" s="401">
        <f t="shared" si="565"/>
        <v>0</v>
      </c>
      <c r="AK368" s="401">
        <f t="shared" si="505"/>
        <v>0</v>
      </c>
      <c r="AL368" s="188">
        <f t="shared" si="517"/>
        <v>44371.87999999999</v>
      </c>
      <c r="AM368" s="316">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2">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6">
        <f t="shared" si="586"/>
        <v>28</v>
      </c>
      <c r="M369" s="316">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2">
        <f t="shared" si="544"/>
        <v>56460</v>
      </c>
      <c r="Y369" s="188">
        <f t="shared" si="511"/>
        <v>44371.87999999999</v>
      </c>
      <c r="Z369" s="385">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1">
        <f t="shared" si="504"/>
        <v>0</v>
      </c>
      <c r="AJ369" s="401">
        <f t="shared" si="565"/>
        <v>0</v>
      </c>
      <c r="AK369" s="401">
        <f t="shared" si="505"/>
        <v>0</v>
      </c>
      <c r="AL369" s="188">
        <f t="shared" si="517"/>
        <v>42181.749999999993</v>
      </c>
      <c r="AM369" s="316">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2">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6">
        <f t="shared" si="586"/>
        <v>28</v>
      </c>
      <c r="M370" s="316">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2">
        <f t="shared" si="544"/>
        <v>56490</v>
      </c>
      <c r="Y370" s="188">
        <f t="shared" si="511"/>
        <v>42181.749999999993</v>
      </c>
      <c r="Z370" s="385">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1">
        <f t="shared" si="504"/>
        <v>0</v>
      </c>
      <c r="AJ370" s="401">
        <f t="shared" si="565"/>
        <v>0</v>
      </c>
      <c r="AK370" s="401">
        <f t="shared" si="505"/>
        <v>0</v>
      </c>
      <c r="AL370" s="188">
        <f t="shared" si="517"/>
        <v>39976.109999999993</v>
      </c>
      <c r="AM370" s="316">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2">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6">
        <f t="shared" si="586"/>
        <v>28</v>
      </c>
      <c r="M371" s="316">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2">
        <f t="shared" si="544"/>
        <v>56520</v>
      </c>
      <c r="Y371" s="188">
        <f t="shared" si="511"/>
        <v>39976.109999999993</v>
      </c>
      <c r="Z371" s="385">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1">
        <f t="shared" si="504"/>
        <v>0</v>
      </c>
      <c r="AJ371" s="401">
        <f t="shared" si="565"/>
        <v>0</v>
      </c>
      <c r="AK371" s="401">
        <f t="shared" si="505"/>
        <v>0</v>
      </c>
      <c r="AL371" s="188">
        <f t="shared" si="517"/>
        <v>37754.839999999997</v>
      </c>
      <c r="AM371" s="316">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2">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6">
        <f t="shared" si="586"/>
        <v>28</v>
      </c>
      <c r="M372" s="316">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2">
        <f t="shared" si="544"/>
        <v>56550</v>
      </c>
      <c r="Y372" s="188">
        <f t="shared" si="511"/>
        <v>37754.839999999997</v>
      </c>
      <c r="Z372" s="385">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1">
        <f t="shared" si="504"/>
        <v>0</v>
      </c>
      <c r="AJ372" s="401">
        <f t="shared" si="565"/>
        <v>0</v>
      </c>
      <c r="AK372" s="401">
        <f t="shared" si="505"/>
        <v>0</v>
      </c>
      <c r="AL372" s="188">
        <f t="shared" si="517"/>
        <v>35517.839999999997</v>
      </c>
      <c r="AM372" s="316">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2">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6">
        <f t="shared" si="586"/>
        <v>28</v>
      </c>
      <c r="M373" s="316">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2">
        <f t="shared" si="544"/>
        <v>56580</v>
      </c>
      <c r="Y373" s="188">
        <f t="shared" si="511"/>
        <v>35517.839999999997</v>
      </c>
      <c r="Z373" s="385">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1">
        <f t="shared" si="504"/>
        <v>0</v>
      </c>
      <c r="AJ373" s="401">
        <f t="shared" si="565"/>
        <v>0</v>
      </c>
      <c r="AK373" s="401">
        <f t="shared" si="505"/>
        <v>0</v>
      </c>
      <c r="AL373" s="188">
        <f t="shared" si="517"/>
        <v>33264.99</v>
      </c>
      <c r="AM373" s="316">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2">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6">
        <f t="shared" si="586"/>
        <v>28</v>
      </c>
      <c r="M374" s="316">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2">
        <f t="shared" si="544"/>
        <v>56610</v>
      </c>
      <c r="Y374" s="188">
        <f t="shared" si="511"/>
        <v>33264.99</v>
      </c>
      <c r="Z374" s="385">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1">
        <f t="shared" si="504"/>
        <v>0</v>
      </c>
      <c r="AJ374" s="401">
        <f t="shared" si="565"/>
        <v>0</v>
      </c>
      <c r="AK374" s="401">
        <f t="shared" si="505"/>
        <v>0</v>
      </c>
      <c r="AL374" s="188">
        <f t="shared" si="517"/>
        <v>30996.19</v>
      </c>
      <c r="AM374" s="316">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5">
        <f t="shared" si="493"/>
        <v>56640</v>
      </c>
      <c r="B375" s="236">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6">
        <f t="shared" si="495"/>
        <v>76175.829999999987</v>
      </c>
      <c r="J375" s="236">
        <f t="shared" si="496"/>
        <v>125841.14000000004</v>
      </c>
      <c r="K375" s="236">
        <f t="shared" si="497"/>
        <v>46997.339999999916</v>
      </c>
      <c r="L375" s="317">
        <f t="shared" si="586"/>
        <v>28</v>
      </c>
      <c r="M375" s="317">
        <f t="shared" si="542"/>
        <v>347</v>
      </c>
      <c r="N375" s="236">
        <f t="shared" si="543"/>
        <v>30996.19</v>
      </c>
      <c r="O375" s="236">
        <f t="shared" si="509"/>
        <v>2504.4299999999998</v>
      </c>
      <c r="P375" s="236">
        <f t="shared" si="551"/>
        <v>2284.87</v>
      </c>
      <c r="Q375" s="236">
        <f t="shared" si="510"/>
        <v>219.56</v>
      </c>
      <c r="R375" s="236">
        <f t="shared" si="501"/>
        <v>51.5</v>
      </c>
      <c r="S375" s="236">
        <f t="shared" si="502"/>
        <v>145.09666666666666</v>
      </c>
      <c r="T375" s="236">
        <f t="shared" si="498"/>
        <v>2701.0266666666666</v>
      </c>
      <c r="U375" s="236">
        <f t="shared" si="552"/>
        <v>296998.67999999993</v>
      </c>
      <c r="V375" s="236">
        <f t="shared" si="553"/>
        <v>574542.96000000008</v>
      </c>
      <c r="W375" s="236">
        <f t="shared" si="499"/>
        <v>28711.32</v>
      </c>
      <c r="X375" s="395">
        <f t="shared" si="544"/>
        <v>56640</v>
      </c>
      <c r="Y375" s="236">
        <f t="shared" si="511"/>
        <v>30996.19</v>
      </c>
      <c r="Z375" s="386">
        <f t="shared" si="536"/>
        <v>8.4999999999999992E-2</v>
      </c>
      <c r="AA375" s="236">
        <f t="shared" si="537"/>
        <v>2504.4299999999998</v>
      </c>
      <c r="AB375" s="236">
        <f t="shared" si="512"/>
        <v>2284.87</v>
      </c>
      <c r="AC375" s="236">
        <f t="shared" si="538"/>
        <v>219.56</v>
      </c>
      <c r="AD375" s="236">
        <f t="shared" ref="AD375:AE375" si="594">+AD374</f>
        <v>51.5</v>
      </c>
      <c r="AE375" s="236">
        <f t="shared" si="594"/>
        <v>145.09666666666666</v>
      </c>
      <c r="AF375" s="236">
        <f t="shared" si="514"/>
        <v>2701.0266666666666</v>
      </c>
      <c r="AG375" s="236">
        <f t="shared" si="515"/>
        <v>296998.67999999993</v>
      </c>
      <c r="AH375" s="236">
        <f t="shared" si="516"/>
        <v>574542.96000000008</v>
      </c>
      <c r="AI375" s="402">
        <f t="shared" si="504"/>
        <v>0</v>
      </c>
      <c r="AJ375" s="402">
        <f t="shared" si="565"/>
        <v>0</v>
      </c>
      <c r="AK375" s="401">
        <f t="shared" si="505"/>
        <v>0</v>
      </c>
      <c r="AL375" s="236">
        <f t="shared" si="517"/>
        <v>28711.32</v>
      </c>
      <c r="AM375" s="317">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6">
        <f t="shared" si="548"/>
        <v>1995.5563010131507</v>
      </c>
      <c r="AV375" s="236">
        <f t="shared" si="549"/>
        <v>474508.07670627342</v>
      </c>
    </row>
    <row r="376" spans="1:48">
      <c r="A376" s="392">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6">
        <f t="shared" si="586"/>
        <v>29</v>
      </c>
      <c r="M376" s="316">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2">
        <f t="shared" si="544"/>
        <v>56670</v>
      </c>
      <c r="Y376" s="188">
        <f t="shared" si="511"/>
        <v>28711.32</v>
      </c>
      <c r="Z376" s="385">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1">
        <f t="shared" si="504"/>
        <v>0</v>
      </c>
      <c r="AJ376" s="401">
        <f t="shared" si="565"/>
        <v>0</v>
      </c>
      <c r="AK376" s="401">
        <f t="shared" si="505"/>
        <v>0</v>
      </c>
      <c r="AL376" s="188">
        <f t="shared" si="517"/>
        <v>26410.26</v>
      </c>
      <c r="AM376" s="316">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2">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6">
        <f t="shared" si="586"/>
        <v>29</v>
      </c>
      <c r="M377" s="316">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2">
        <f t="shared" si="544"/>
        <v>56700</v>
      </c>
      <c r="Y377" s="188">
        <f t="shared" si="511"/>
        <v>26410.26</v>
      </c>
      <c r="Z377" s="385">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1">
        <f t="shared" si="504"/>
        <v>0</v>
      </c>
      <c r="AJ377" s="401">
        <f t="shared" si="565"/>
        <v>0</v>
      </c>
      <c r="AK377" s="401">
        <f t="shared" si="505"/>
        <v>0</v>
      </c>
      <c r="AL377" s="188">
        <f t="shared" si="517"/>
        <v>24092.899999999998</v>
      </c>
      <c r="AM377" s="316">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2">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6">
        <f t="shared" si="586"/>
        <v>29</v>
      </c>
      <c r="M378" s="316">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2">
        <f t="shared" si="544"/>
        <v>56730</v>
      </c>
      <c r="Y378" s="188">
        <f t="shared" si="511"/>
        <v>24092.899999999998</v>
      </c>
      <c r="Z378" s="385">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1">
        <f t="shared" si="504"/>
        <v>0</v>
      </c>
      <c r="AJ378" s="401">
        <f t="shared" si="565"/>
        <v>0</v>
      </c>
      <c r="AK378" s="401">
        <f t="shared" si="505"/>
        <v>0</v>
      </c>
      <c r="AL378" s="188">
        <f t="shared" si="517"/>
        <v>21759.129999999997</v>
      </c>
      <c r="AM378" s="316">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2">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6">
        <f t="shared" si="586"/>
        <v>29</v>
      </c>
      <c r="M379" s="316">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2">
        <f t="shared" si="544"/>
        <v>56760</v>
      </c>
      <c r="Y379" s="188">
        <f t="shared" si="511"/>
        <v>21759.129999999997</v>
      </c>
      <c r="Z379" s="385">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1">
        <f t="shared" si="504"/>
        <v>0</v>
      </c>
      <c r="AJ379" s="401">
        <f t="shared" si="565"/>
        <v>0</v>
      </c>
      <c r="AK379" s="401">
        <f t="shared" si="505"/>
        <v>0</v>
      </c>
      <c r="AL379" s="188">
        <f t="shared" si="517"/>
        <v>19408.829999999998</v>
      </c>
      <c r="AM379" s="316">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2">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6">
        <f t="shared" si="586"/>
        <v>29</v>
      </c>
      <c r="M380" s="316">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2">
        <f t="shared" si="544"/>
        <v>56790</v>
      </c>
      <c r="Y380" s="188">
        <f t="shared" si="511"/>
        <v>19408.829999999998</v>
      </c>
      <c r="Z380" s="385">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1">
        <f t="shared" si="504"/>
        <v>0</v>
      </c>
      <c r="AJ380" s="401">
        <f t="shared" si="565"/>
        <v>0</v>
      </c>
      <c r="AK380" s="401">
        <f t="shared" si="505"/>
        <v>0</v>
      </c>
      <c r="AL380" s="188">
        <f t="shared" si="517"/>
        <v>17041.879999999997</v>
      </c>
      <c r="AM380" s="316">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2">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6">
        <f t="shared" si="586"/>
        <v>29</v>
      </c>
      <c r="M381" s="316">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2">
        <f t="shared" si="544"/>
        <v>56820</v>
      </c>
      <c r="Y381" s="188">
        <f t="shared" si="511"/>
        <v>17041.879999999997</v>
      </c>
      <c r="Z381" s="385">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1">
        <f t="shared" ref="AI381:AI444" si="613">O381-AA381+AI380</f>
        <v>0</v>
      </c>
      <c r="AJ381" s="401">
        <f t="shared" si="565"/>
        <v>0</v>
      </c>
      <c r="AK381" s="401">
        <f t="shared" ref="AK381:AK444" si="614">SUM(AI381:AJ381)</f>
        <v>0</v>
      </c>
      <c r="AL381" s="188">
        <f t="shared" si="517"/>
        <v>14658.159999999998</v>
      </c>
      <c r="AM381" s="316">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2">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6">
        <f t="shared" si="586"/>
        <v>29</v>
      </c>
      <c r="M382" s="316">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2">
        <f t="shared" si="544"/>
        <v>56850</v>
      </c>
      <c r="Y382" s="188">
        <f t="shared" si="511"/>
        <v>14658.159999999998</v>
      </c>
      <c r="Z382" s="385">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1">
        <f t="shared" si="613"/>
        <v>0</v>
      </c>
      <c r="AJ382" s="401">
        <f t="shared" si="565"/>
        <v>0</v>
      </c>
      <c r="AK382" s="401">
        <f t="shared" si="614"/>
        <v>0</v>
      </c>
      <c r="AL382" s="188">
        <f t="shared" si="517"/>
        <v>12257.559999999998</v>
      </c>
      <c r="AM382" s="316">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2">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6">
        <f t="shared" si="586"/>
        <v>29</v>
      </c>
      <c r="M383" s="316">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2">
        <f t="shared" si="544"/>
        <v>56880</v>
      </c>
      <c r="Y383" s="188">
        <f t="shared" ref="Y383:Y446" si="620">IF(+AL382&lt;0,0,+AL382)</f>
        <v>12257.559999999998</v>
      </c>
      <c r="Z383" s="385">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1">
        <f t="shared" si="613"/>
        <v>0</v>
      </c>
      <c r="AJ383" s="401">
        <f t="shared" si="565"/>
        <v>0</v>
      </c>
      <c r="AK383" s="401">
        <f t="shared" si="614"/>
        <v>0</v>
      </c>
      <c r="AL383" s="188">
        <f t="shared" ref="AL383:AL446" si="626">+Y383-AB383</f>
        <v>9839.9499999999971</v>
      </c>
      <c r="AM383" s="316">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2">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6">
        <f t="shared" si="586"/>
        <v>29</v>
      </c>
      <c r="M384" s="316">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2">
        <f t="shared" si="544"/>
        <v>56910</v>
      </c>
      <c r="Y384" s="188">
        <f t="shared" si="620"/>
        <v>9839.9499999999971</v>
      </c>
      <c r="Z384" s="385">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1">
        <f t="shared" si="613"/>
        <v>0</v>
      </c>
      <c r="AJ384" s="401">
        <f t="shared" si="565"/>
        <v>0</v>
      </c>
      <c r="AK384" s="401">
        <f t="shared" si="614"/>
        <v>0</v>
      </c>
      <c r="AL384" s="188">
        <f t="shared" si="626"/>
        <v>7405.2199999999975</v>
      </c>
      <c r="AM384" s="316">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2">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6">
        <f t="shared" si="586"/>
        <v>29</v>
      </c>
      <c r="M385" s="316">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2">
        <f t="shared" si="544"/>
        <v>56940</v>
      </c>
      <c r="Y385" s="188">
        <f t="shared" si="620"/>
        <v>7405.2199999999975</v>
      </c>
      <c r="Z385" s="385">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1">
        <f t="shared" si="613"/>
        <v>0</v>
      </c>
      <c r="AJ385" s="401">
        <f t="shared" si="565"/>
        <v>0</v>
      </c>
      <c r="AK385" s="401">
        <f t="shared" si="614"/>
        <v>0</v>
      </c>
      <c r="AL385" s="188">
        <f t="shared" si="626"/>
        <v>4953.239999999998</v>
      </c>
      <c r="AM385" s="316">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2">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6">
        <f t="shared" si="586"/>
        <v>29</v>
      </c>
      <c r="M386" s="316">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2">
        <f t="shared" si="544"/>
        <v>56970</v>
      </c>
      <c r="Y386" s="188">
        <f t="shared" si="620"/>
        <v>4953.239999999998</v>
      </c>
      <c r="Z386" s="385">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1">
        <f t="shared" si="613"/>
        <v>0</v>
      </c>
      <c r="AJ386" s="401">
        <f t="shared" si="565"/>
        <v>0</v>
      </c>
      <c r="AK386" s="401">
        <f t="shared" si="614"/>
        <v>0</v>
      </c>
      <c r="AL386" s="188">
        <f t="shared" si="626"/>
        <v>2483.8999999999983</v>
      </c>
      <c r="AM386" s="316">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5">
        <f t="shared" si="602"/>
        <v>57000</v>
      </c>
      <c r="B387" s="236">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6">
        <f t="shared" si="604"/>
        <v>80875.650000000009</v>
      </c>
      <c r="J387" s="236">
        <f t="shared" si="605"/>
        <v>127859.88000000006</v>
      </c>
      <c r="K387" s="236">
        <f t="shared" si="606"/>
        <v>42297.519999999924</v>
      </c>
      <c r="L387" s="317">
        <f t="shared" si="586"/>
        <v>29</v>
      </c>
      <c r="M387" s="317">
        <f t="shared" si="542"/>
        <v>359</v>
      </c>
      <c r="N387" s="236">
        <f t="shared" si="543"/>
        <v>2483.8999999999983</v>
      </c>
      <c r="O387" s="236">
        <f t="shared" si="618"/>
        <v>2504.4299999999998</v>
      </c>
      <c r="P387" s="236">
        <f t="shared" si="551"/>
        <v>2486.8399999999997</v>
      </c>
      <c r="Q387" s="236">
        <f t="shared" si="619"/>
        <v>17.59</v>
      </c>
      <c r="R387" s="236">
        <f t="shared" si="610"/>
        <v>51.5</v>
      </c>
      <c r="S387" s="236">
        <f t="shared" si="611"/>
        <v>145.09666666666666</v>
      </c>
      <c r="T387" s="236">
        <f t="shared" si="607"/>
        <v>2701.0266666666666</v>
      </c>
      <c r="U387" s="236">
        <f t="shared" si="552"/>
        <v>325712.93999999989</v>
      </c>
      <c r="V387" s="236">
        <f t="shared" si="553"/>
        <v>575881.85999999975</v>
      </c>
      <c r="W387" s="236">
        <f t="shared" si="608"/>
        <v>-2.9400000000014188</v>
      </c>
      <c r="X387" s="395">
        <f t="shared" si="544"/>
        <v>57000</v>
      </c>
      <c r="Y387" s="236">
        <f t="shared" si="620"/>
        <v>2483.8999999999983</v>
      </c>
      <c r="Z387" s="386">
        <f t="shared" si="536"/>
        <v>8.4999999999999992E-2</v>
      </c>
      <c r="AA387" s="236">
        <f t="shared" si="537"/>
        <v>2504.4299999999998</v>
      </c>
      <c r="AB387" s="236">
        <f t="shared" si="621"/>
        <v>2486.8399999999997</v>
      </c>
      <c r="AC387" s="236">
        <f t="shared" si="538"/>
        <v>17.59</v>
      </c>
      <c r="AD387" s="236">
        <f t="shared" ref="AD387:AE387" si="630">+AD386</f>
        <v>51.5</v>
      </c>
      <c r="AE387" s="236">
        <f t="shared" si="630"/>
        <v>145.09666666666666</v>
      </c>
      <c r="AF387" s="236">
        <f t="shared" si="623"/>
        <v>2701.0266666666666</v>
      </c>
      <c r="AG387" s="236">
        <f t="shared" si="624"/>
        <v>325712.93999999989</v>
      </c>
      <c r="AH387" s="236">
        <f t="shared" si="625"/>
        <v>575881.85999999975</v>
      </c>
      <c r="AI387" s="402">
        <f t="shared" si="613"/>
        <v>0</v>
      </c>
      <c r="AJ387" s="402">
        <f t="shared" si="565"/>
        <v>0</v>
      </c>
      <c r="AK387" s="401">
        <f t="shared" si="614"/>
        <v>0</v>
      </c>
      <c r="AL387" s="236">
        <f t="shared" si="626"/>
        <v>-2.9400000000014188</v>
      </c>
      <c r="AM387" s="317">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6">
        <f t="shared" si="548"/>
        <v>0</v>
      </c>
      <c r="AV387" s="236">
        <f t="shared" si="549"/>
        <v>0</v>
      </c>
    </row>
    <row r="388" spans="1:48">
      <c r="A388" s="392">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6">
        <f t="shared" si="586"/>
        <v>30</v>
      </c>
      <c r="M388" s="316">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2">
        <f t="shared" si="544"/>
        <v>57030</v>
      </c>
      <c r="Y388" s="188">
        <f t="shared" si="620"/>
        <v>0</v>
      </c>
      <c r="Z388" s="385">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1">
        <f t="shared" si="613"/>
        <v>0</v>
      </c>
      <c r="AJ388" s="401">
        <f t="shared" si="565"/>
        <v>0</v>
      </c>
      <c r="AK388" s="401">
        <f t="shared" si="614"/>
        <v>0</v>
      </c>
      <c r="AL388" s="188">
        <f t="shared" si="626"/>
        <v>0</v>
      </c>
      <c r="AM388" s="316">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2">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6">
        <f t="shared" si="586"/>
        <v>30</v>
      </c>
      <c r="M389" s="316">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2">
        <f t="shared" si="544"/>
        <v>57060</v>
      </c>
      <c r="Y389" s="188">
        <f t="shared" si="620"/>
        <v>0</v>
      </c>
      <c r="Z389" s="385">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1">
        <f t="shared" si="613"/>
        <v>0</v>
      </c>
      <c r="AJ389" s="401">
        <f t="shared" si="565"/>
        <v>0</v>
      </c>
      <c r="AK389" s="401">
        <f t="shared" si="614"/>
        <v>0</v>
      </c>
      <c r="AL389" s="188">
        <f t="shared" si="626"/>
        <v>0</v>
      </c>
      <c r="AM389" s="316">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2">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6">
        <f t="shared" si="586"/>
        <v>30</v>
      </c>
      <c r="M390" s="316">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2">
        <f t="shared" si="544"/>
        <v>57090</v>
      </c>
      <c r="Y390" s="188">
        <f t="shared" si="620"/>
        <v>0</v>
      </c>
      <c r="Z390" s="385">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1">
        <f t="shared" si="613"/>
        <v>0</v>
      </c>
      <c r="AJ390" s="401">
        <f t="shared" si="565"/>
        <v>0</v>
      </c>
      <c r="AK390" s="401">
        <f t="shared" si="614"/>
        <v>0</v>
      </c>
      <c r="AL390" s="188">
        <f t="shared" si="626"/>
        <v>0</v>
      </c>
      <c r="AM390" s="316">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2">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6">
        <f t="shared" si="586"/>
        <v>30</v>
      </c>
      <c r="M391" s="316">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2">
        <f t="shared" si="544"/>
        <v>57120</v>
      </c>
      <c r="Y391" s="188">
        <f t="shared" si="620"/>
        <v>0</v>
      </c>
      <c r="Z391" s="385">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1">
        <f t="shared" si="613"/>
        <v>0</v>
      </c>
      <c r="AJ391" s="401">
        <f t="shared" si="565"/>
        <v>0</v>
      </c>
      <c r="AK391" s="401">
        <f t="shared" si="614"/>
        <v>0</v>
      </c>
      <c r="AL391" s="188">
        <f t="shared" si="626"/>
        <v>0</v>
      </c>
      <c r="AM391" s="316">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2">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6">
        <f t="shared" si="586"/>
        <v>30</v>
      </c>
      <c r="M392" s="316">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2">
        <f t="shared" si="544"/>
        <v>57150</v>
      </c>
      <c r="Y392" s="188">
        <f t="shared" si="620"/>
        <v>0</v>
      </c>
      <c r="Z392" s="385">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1">
        <f t="shared" si="613"/>
        <v>0</v>
      </c>
      <c r="AJ392" s="401">
        <f t="shared" si="565"/>
        <v>0</v>
      </c>
      <c r="AK392" s="401">
        <f t="shared" si="614"/>
        <v>0</v>
      </c>
      <c r="AL392" s="188">
        <f t="shared" si="626"/>
        <v>0</v>
      </c>
      <c r="AM392" s="316">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2">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6">
        <f t="shared" si="586"/>
        <v>30</v>
      </c>
      <c r="M393" s="316">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2">
        <f t="shared" si="544"/>
        <v>57180</v>
      </c>
      <c r="Y393" s="188">
        <f t="shared" si="620"/>
        <v>0</v>
      </c>
      <c r="Z393" s="385">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1">
        <f t="shared" si="613"/>
        <v>0</v>
      </c>
      <c r="AJ393" s="401">
        <f t="shared" si="565"/>
        <v>0</v>
      </c>
      <c r="AK393" s="401">
        <f t="shared" si="614"/>
        <v>0</v>
      </c>
      <c r="AL393" s="188">
        <f t="shared" si="626"/>
        <v>0</v>
      </c>
      <c r="AM393" s="316">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2">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6">
        <f t="shared" si="586"/>
        <v>30</v>
      </c>
      <c r="M394" s="316">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2">
        <f t="shared" si="544"/>
        <v>57210</v>
      </c>
      <c r="Y394" s="188">
        <f t="shared" si="620"/>
        <v>0</v>
      </c>
      <c r="Z394" s="385">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1">
        <f t="shared" si="613"/>
        <v>0</v>
      </c>
      <c r="AJ394" s="401">
        <f t="shared" si="565"/>
        <v>0</v>
      </c>
      <c r="AK394" s="401">
        <f t="shared" si="614"/>
        <v>0</v>
      </c>
      <c r="AL394" s="188">
        <f t="shared" si="626"/>
        <v>0</v>
      </c>
      <c r="AM394" s="316">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2">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6">
        <f t="shared" si="586"/>
        <v>30</v>
      </c>
      <c r="M395" s="316">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2">
        <f t="shared" si="544"/>
        <v>57240</v>
      </c>
      <c r="Y395" s="188">
        <f t="shared" si="620"/>
        <v>0</v>
      </c>
      <c r="Z395" s="385">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1">
        <f t="shared" si="613"/>
        <v>0</v>
      </c>
      <c r="AJ395" s="401">
        <f t="shared" si="565"/>
        <v>0</v>
      </c>
      <c r="AK395" s="401">
        <f t="shared" si="614"/>
        <v>0</v>
      </c>
      <c r="AL395" s="188">
        <f t="shared" si="626"/>
        <v>0</v>
      </c>
      <c r="AM395" s="316">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2">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6">
        <f t="shared" si="586"/>
        <v>30</v>
      </c>
      <c r="M396" s="316">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2">
        <f t="shared" si="544"/>
        <v>57270</v>
      </c>
      <c r="Y396" s="188">
        <f t="shared" si="620"/>
        <v>0</v>
      </c>
      <c r="Z396" s="385">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1">
        <f t="shared" si="613"/>
        <v>0</v>
      </c>
      <c r="AJ396" s="401">
        <f t="shared" si="565"/>
        <v>0</v>
      </c>
      <c r="AK396" s="401">
        <f t="shared" si="614"/>
        <v>0</v>
      </c>
      <c r="AL396" s="188">
        <f t="shared" si="626"/>
        <v>0</v>
      </c>
      <c r="AM396" s="316">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2">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6">
        <f t="shared" si="586"/>
        <v>30</v>
      </c>
      <c r="M397" s="316">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2">
        <f t="shared" si="544"/>
        <v>57300</v>
      </c>
      <c r="Y397" s="188">
        <f t="shared" si="620"/>
        <v>0</v>
      </c>
      <c r="Z397" s="385">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1">
        <f t="shared" si="613"/>
        <v>0</v>
      </c>
      <c r="AJ397" s="401">
        <f t="shared" si="565"/>
        <v>0</v>
      </c>
      <c r="AK397" s="401">
        <f t="shared" si="614"/>
        <v>0</v>
      </c>
      <c r="AL397" s="188">
        <f t="shared" si="626"/>
        <v>0</v>
      </c>
      <c r="AM397" s="316">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2">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6">
        <f t="shared" si="586"/>
        <v>30</v>
      </c>
      <c r="M398" s="316">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2">
        <f t="shared" si="544"/>
        <v>57330</v>
      </c>
      <c r="Y398" s="188">
        <f t="shared" si="620"/>
        <v>0</v>
      </c>
      <c r="Z398" s="385">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1">
        <f t="shared" si="613"/>
        <v>0</v>
      </c>
      <c r="AJ398" s="401">
        <f t="shared" si="565"/>
        <v>0</v>
      </c>
      <c r="AK398" s="401">
        <f t="shared" si="614"/>
        <v>0</v>
      </c>
      <c r="AL398" s="188">
        <f t="shared" si="626"/>
        <v>0</v>
      </c>
      <c r="AM398" s="316">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5">
        <f t="shared" si="602"/>
        <v>57360</v>
      </c>
      <c r="B399" s="236">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6">
        <f t="shared" si="604"/>
        <v>85791.390000000029</v>
      </c>
      <c r="J399" s="236">
        <f t="shared" si="605"/>
        <v>129662.70000000006</v>
      </c>
      <c r="K399" s="236">
        <f t="shared" si="606"/>
        <v>37381.779999999933</v>
      </c>
      <c r="L399" s="317">
        <f t="shared" si="586"/>
        <v>30</v>
      </c>
      <c r="M399" s="317">
        <f t="shared" si="542"/>
        <v>371</v>
      </c>
      <c r="N399" s="236">
        <f t="shared" si="543"/>
        <v>0</v>
      </c>
      <c r="O399" s="236">
        <f t="shared" si="618"/>
        <v>0</v>
      </c>
      <c r="P399" s="236">
        <f t="shared" si="551"/>
        <v>0</v>
      </c>
      <c r="Q399" s="236">
        <f t="shared" si="619"/>
        <v>0</v>
      </c>
      <c r="R399" s="236">
        <f t="shared" si="610"/>
        <v>51.5</v>
      </c>
      <c r="S399" s="236">
        <f t="shared" si="611"/>
        <v>145.09666666666666</v>
      </c>
      <c r="T399" s="236">
        <f t="shared" si="607"/>
        <v>196.59666666666666</v>
      </c>
      <c r="U399" s="236">
        <f t="shared" si="552"/>
        <v>325712.93999999989</v>
      </c>
      <c r="V399" s="236">
        <f t="shared" si="553"/>
        <v>575881.85999999975</v>
      </c>
      <c r="W399" s="236">
        <f t="shared" si="608"/>
        <v>0</v>
      </c>
      <c r="X399" s="395">
        <f t="shared" si="544"/>
        <v>57360</v>
      </c>
      <c r="Y399" s="236">
        <f t="shared" si="620"/>
        <v>0</v>
      </c>
      <c r="Z399" s="386">
        <f t="shared" si="536"/>
        <v>8.4999999999999992E-2</v>
      </c>
      <c r="AA399" s="236">
        <f t="shared" si="537"/>
        <v>0</v>
      </c>
      <c r="AB399" s="236">
        <f t="shared" si="621"/>
        <v>0</v>
      </c>
      <c r="AC399" s="236">
        <f t="shared" si="538"/>
        <v>0</v>
      </c>
      <c r="AD399" s="236">
        <f t="shared" ref="AD399:AE399" si="642">+AD398</f>
        <v>51.5</v>
      </c>
      <c r="AE399" s="236">
        <f t="shared" si="642"/>
        <v>145.09666666666666</v>
      </c>
      <c r="AF399" s="236">
        <f t="shared" si="623"/>
        <v>196.59666666666666</v>
      </c>
      <c r="AG399" s="236">
        <f t="shared" si="624"/>
        <v>325712.93999999989</v>
      </c>
      <c r="AH399" s="236">
        <f t="shared" si="625"/>
        <v>575881.85999999975</v>
      </c>
      <c r="AI399" s="402">
        <f t="shared" si="613"/>
        <v>0</v>
      </c>
      <c r="AJ399" s="402">
        <f t="shared" si="565"/>
        <v>0</v>
      </c>
      <c r="AK399" s="401">
        <f t="shared" si="614"/>
        <v>0</v>
      </c>
      <c r="AL399" s="236">
        <f t="shared" si="626"/>
        <v>0</v>
      </c>
      <c r="AM399" s="317">
        <f t="shared" si="546"/>
        <v>30</v>
      </c>
      <c r="AN399" s="21">
        <f t="shared" si="615"/>
        <v>0</v>
      </c>
      <c r="AO399" s="21">
        <f t="shared" si="584"/>
        <v>0</v>
      </c>
      <c r="AP399" s="21">
        <f t="shared" si="616"/>
        <v>0</v>
      </c>
      <c r="AQ399" s="21"/>
      <c r="AR399" s="23"/>
      <c r="AS399" s="21">
        <f t="shared" si="540"/>
        <v>0</v>
      </c>
      <c r="AT399" s="21">
        <f t="shared" si="547"/>
        <v>0</v>
      </c>
      <c r="AU399" s="236">
        <f t="shared" si="548"/>
        <v>0</v>
      </c>
      <c r="AV399" s="236">
        <f t="shared" si="549"/>
        <v>0</v>
      </c>
    </row>
    <row r="400" spans="1:48">
      <c r="A400" s="392">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6">
        <f t="shared" si="586"/>
        <v>31</v>
      </c>
      <c r="M400" s="316">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2">
        <f t="shared" si="544"/>
        <v>57390</v>
      </c>
      <c r="Y400" s="188">
        <f t="shared" si="620"/>
        <v>0</v>
      </c>
      <c r="Z400" s="385">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1">
        <f t="shared" si="613"/>
        <v>0</v>
      </c>
      <c r="AJ400" s="401">
        <f t="shared" si="565"/>
        <v>0</v>
      </c>
      <c r="AK400" s="401">
        <f t="shared" si="614"/>
        <v>0</v>
      </c>
      <c r="AL400" s="188">
        <f t="shared" si="626"/>
        <v>0</v>
      </c>
      <c r="AM400" s="316">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2">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6">
        <f t="shared" si="586"/>
        <v>31</v>
      </c>
      <c r="M401" s="316">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2">
        <f t="shared" ref="X401:X464" si="652">+A401</f>
        <v>57420</v>
      </c>
      <c r="Y401" s="188">
        <f t="shared" si="620"/>
        <v>0</v>
      </c>
      <c r="Z401" s="385">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1">
        <f t="shared" si="613"/>
        <v>0</v>
      </c>
      <c r="AJ401" s="401">
        <f t="shared" si="565"/>
        <v>0</v>
      </c>
      <c r="AK401" s="401">
        <f t="shared" si="614"/>
        <v>0</v>
      </c>
      <c r="AL401" s="188">
        <f t="shared" si="626"/>
        <v>0</v>
      </c>
      <c r="AM401" s="316">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2">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6">
        <f t="shared" si="586"/>
        <v>31</v>
      </c>
      <c r="M402" s="316">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2">
        <f t="shared" si="652"/>
        <v>57450</v>
      </c>
      <c r="Y402" s="188">
        <f t="shared" si="620"/>
        <v>0</v>
      </c>
      <c r="Z402" s="385">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1">
        <f t="shared" si="613"/>
        <v>0</v>
      </c>
      <c r="AJ402" s="401">
        <f t="shared" si="565"/>
        <v>0</v>
      </c>
      <c r="AK402" s="401">
        <f t="shared" si="614"/>
        <v>0</v>
      </c>
      <c r="AL402" s="188">
        <f t="shared" si="626"/>
        <v>0</v>
      </c>
      <c r="AM402" s="316">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2">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6">
        <f t="shared" si="586"/>
        <v>31</v>
      </c>
      <c r="M403" s="316">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2">
        <f t="shared" si="652"/>
        <v>57480</v>
      </c>
      <c r="Y403" s="188">
        <f t="shared" si="620"/>
        <v>0</v>
      </c>
      <c r="Z403" s="385">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1">
        <f t="shared" si="613"/>
        <v>0</v>
      </c>
      <c r="AJ403" s="401">
        <f t="shared" si="565"/>
        <v>0</v>
      </c>
      <c r="AK403" s="401">
        <f t="shared" si="614"/>
        <v>0</v>
      </c>
      <c r="AL403" s="188">
        <f t="shared" si="626"/>
        <v>0</v>
      </c>
      <c r="AM403" s="316">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2">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6">
        <f t="shared" si="586"/>
        <v>31</v>
      </c>
      <c r="M404" s="316">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2">
        <f t="shared" si="652"/>
        <v>57510</v>
      </c>
      <c r="Y404" s="188">
        <f t="shared" si="620"/>
        <v>0</v>
      </c>
      <c r="Z404" s="385">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1">
        <f t="shared" si="613"/>
        <v>0</v>
      </c>
      <c r="AJ404" s="401">
        <f t="shared" si="565"/>
        <v>0</v>
      </c>
      <c r="AK404" s="401">
        <f t="shared" si="614"/>
        <v>0</v>
      </c>
      <c r="AL404" s="188">
        <f t="shared" si="626"/>
        <v>0</v>
      </c>
      <c r="AM404" s="316">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2">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6">
        <f t="shared" si="586"/>
        <v>31</v>
      </c>
      <c r="M405" s="316">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2">
        <f t="shared" si="652"/>
        <v>57540</v>
      </c>
      <c r="Y405" s="188">
        <f t="shared" si="620"/>
        <v>0</v>
      </c>
      <c r="Z405" s="385">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1">
        <f t="shared" si="613"/>
        <v>0</v>
      </c>
      <c r="AJ405" s="401">
        <f t="shared" si="565"/>
        <v>0</v>
      </c>
      <c r="AK405" s="401">
        <f t="shared" si="614"/>
        <v>0</v>
      </c>
      <c r="AL405" s="188">
        <f t="shared" si="626"/>
        <v>0</v>
      </c>
      <c r="AM405" s="316">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2">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6">
        <f t="shared" si="586"/>
        <v>31</v>
      </c>
      <c r="M406" s="316">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2">
        <f t="shared" si="652"/>
        <v>57570</v>
      </c>
      <c r="Y406" s="188">
        <f t="shared" si="620"/>
        <v>0</v>
      </c>
      <c r="Z406" s="385">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1">
        <f t="shared" si="613"/>
        <v>0</v>
      </c>
      <c r="AJ406" s="401">
        <f t="shared" si="565"/>
        <v>0</v>
      </c>
      <c r="AK406" s="401">
        <f t="shared" si="614"/>
        <v>0</v>
      </c>
      <c r="AL406" s="188">
        <f t="shared" si="626"/>
        <v>0</v>
      </c>
      <c r="AM406" s="316">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2">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6">
        <f t="shared" si="586"/>
        <v>31</v>
      </c>
      <c r="M407" s="316">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2">
        <f t="shared" si="652"/>
        <v>57600</v>
      </c>
      <c r="Y407" s="188">
        <f t="shared" si="620"/>
        <v>0</v>
      </c>
      <c r="Z407" s="385">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1">
        <f t="shared" si="613"/>
        <v>0</v>
      </c>
      <c r="AJ407" s="401">
        <f t="shared" si="565"/>
        <v>0</v>
      </c>
      <c r="AK407" s="401">
        <f t="shared" si="614"/>
        <v>0</v>
      </c>
      <c r="AL407" s="188">
        <f t="shared" si="626"/>
        <v>0</v>
      </c>
      <c r="AM407" s="316">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2">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6">
        <f t="shared" si="586"/>
        <v>31</v>
      </c>
      <c r="M408" s="316">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2">
        <f t="shared" si="652"/>
        <v>57630</v>
      </c>
      <c r="Y408" s="188">
        <f t="shared" si="620"/>
        <v>0</v>
      </c>
      <c r="Z408" s="385">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1">
        <f t="shared" si="613"/>
        <v>0</v>
      </c>
      <c r="AJ408" s="401">
        <f t="shared" si="565"/>
        <v>0</v>
      </c>
      <c r="AK408" s="401">
        <f t="shared" si="614"/>
        <v>0</v>
      </c>
      <c r="AL408" s="188">
        <f t="shared" si="626"/>
        <v>0</v>
      </c>
      <c r="AM408" s="316">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2">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6">
        <f t="shared" si="586"/>
        <v>31</v>
      </c>
      <c r="M409" s="316">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2">
        <f t="shared" si="652"/>
        <v>57660</v>
      </c>
      <c r="Y409" s="188">
        <f t="shared" si="620"/>
        <v>0</v>
      </c>
      <c r="Z409" s="385">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1">
        <f t="shared" si="613"/>
        <v>0</v>
      </c>
      <c r="AJ409" s="401">
        <f t="shared" si="565"/>
        <v>0</v>
      </c>
      <c r="AK409" s="401">
        <f t="shared" si="614"/>
        <v>0</v>
      </c>
      <c r="AL409" s="188">
        <f t="shared" si="626"/>
        <v>0</v>
      </c>
      <c r="AM409" s="316">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2">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6">
        <f t="shared" si="586"/>
        <v>31</v>
      </c>
      <c r="M410" s="316">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2">
        <f t="shared" si="652"/>
        <v>57690</v>
      </c>
      <c r="Y410" s="188">
        <f t="shared" si="620"/>
        <v>0</v>
      </c>
      <c r="Z410" s="385">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1">
        <f t="shared" si="613"/>
        <v>0</v>
      </c>
      <c r="AJ410" s="401">
        <f t="shared" si="565"/>
        <v>0</v>
      </c>
      <c r="AK410" s="401">
        <f t="shared" si="614"/>
        <v>0</v>
      </c>
      <c r="AL410" s="188">
        <f t="shared" si="626"/>
        <v>0</v>
      </c>
      <c r="AM410" s="316">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5">
        <f t="shared" si="602"/>
        <v>57720</v>
      </c>
      <c r="B411" s="236">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6">
        <f t="shared" si="604"/>
        <v>90932.970000000045</v>
      </c>
      <c r="J411" s="236">
        <f t="shared" si="605"/>
        <v>131239.68000000005</v>
      </c>
      <c r="K411" s="236">
        <f t="shared" si="606"/>
        <v>32240.199999999943</v>
      </c>
      <c r="L411" s="317">
        <f t="shared" si="586"/>
        <v>31</v>
      </c>
      <c r="M411" s="317">
        <f t="shared" si="650"/>
        <v>383</v>
      </c>
      <c r="N411" s="236">
        <f t="shared" si="651"/>
        <v>0</v>
      </c>
      <c r="O411" s="236">
        <f t="shared" si="618"/>
        <v>0</v>
      </c>
      <c r="P411" s="236">
        <f t="shared" si="659"/>
        <v>0</v>
      </c>
      <c r="Q411" s="236">
        <f t="shared" si="619"/>
        <v>0</v>
      </c>
      <c r="R411" s="236">
        <f t="shared" si="610"/>
        <v>51.5</v>
      </c>
      <c r="S411" s="236">
        <f t="shared" si="611"/>
        <v>145.09666666666666</v>
      </c>
      <c r="T411" s="236">
        <f t="shared" si="607"/>
        <v>196.59666666666666</v>
      </c>
      <c r="U411" s="236">
        <f t="shared" si="660"/>
        <v>325712.93999999989</v>
      </c>
      <c r="V411" s="236">
        <f t="shared" si="661"/>
        <v>575881.85999999975</v>
      </c>
      <c r="W411" s="236">
        <f t="shared" si="608"/>
        <v>0</v>
      </c>
      <c r="X411" s="395">
        <f t="shared" si="652"/>
        <v>57720</v>
      </c>
      <c r="Y411" s="236">
        <f t="shared" si="620"/>
        <v>0</v>
      </c>
      <c r="Z411" s="386">
        <f t="shared" si="645"/>
        <v>8.4999999999999992E-2</v>
      </c>
      <c r="AA411" s="236">
        <f t="shared" si="646"/>
        <v>0</v>
      </c>
      <c r="AB411" s="236">
        <f t="shared" si="621"/>
        <v>0</v>
      </c>
      <c r="AC411" s="236">
        <f t="shared" si="647"/>
        <v>0</v>
      </c>
      <c r="AD411" s="236">
        <f t="shared" ref="AD411:AE411" si="671">+AD410</f>
        <v>51.5</v>
      </c>
      <c r="AE411" s="236">
        <f t="shared" si="671"/>
        <v>145.09666666666666</v>
      </c>
      <c r="AF411" s="236">
        <f t="shared" si="623"/>
        <v>196.59666666666666</v>
      </c>
      <c r="AG411" s="236">
        <f t="shared" si="624"/>
        <v>325712.93999999989</v>
      </c>
      <c r="AH411" s="236">
        <f t="shared" si="625"/>
        <v>575881.85999999975</v>
      </c>
      <c r="AI411" s="402">
        <f t="shared" si="613"/>
        <v>0</v>
      </c>
      <c r="AJ411" s="402">
        <f t="shared" si="565"/>
        <v>0</v>
      </c>
      <c r="AK411" s="401">
        <f t="shared" si="614"/>
        <v>0</v>
      </c>
      <c r="AL411" s="236">
        <f t="shared" si="626"/>
        <v>0</v>
      </c>
      <c r="AM411" s="317">
        <f t="shared" si="654"/>
        <v>31</v>
      </c>
      <c r="AN411" s="21">
        <f t="shared" si="615"/>
        <v>0</v>
      </c>
      <c r="AO411" s="21">
        <f t="shared" si="584"/>
        <v>0</v>
      </c>
      <c r="AP411" s="21">
        <f t="shared" si="616"/>
        <v>0</v>
      </c>
      <c r="AQ411" s="21"/>
      <c r="AR411" s="23"/>
      <c r="AS411" s="21">
        <f t="shared" si="649"/>
        <v>0</v>
      </c>
      <c r="AT411" s="21">
        <f t="shared" si="655"/>
        <v>0</v>
      </c>
      <c r="AU411" s="236">
        <f t="shared" si="656"/>
        <v>0</v>
      </c>
      <c r="AV411" s="236">
        <f t="shared" si="657"/>
        <v>0</v>
      </c>
    </row>
    <row r="412" spans="1:48">
      <c r="A412" s="392">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6">
        <f t="shared" si="586"/>
        <v>32</v>
      </c>
      <c r="M412" s="316">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2">
        <f t="shared" si="652"/>
        <v>57750</v>
      </c>
      <c r="Y412" s="188">
        <f t="shared" si="620"/>
        <v>0</v>
      </c>
      <c r="Z412" s="385">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1">
        <f t="shared" si="613"/>
        <v>0</v>
      </c>
      <c r="AJ412" s="401">
        <f t="shared" ref="AJ412:AJ475" si="673">+W412-AL412</f>
        <v>0</v>
      </c>
      <c r="AK412" s="401">
        <f t="shared" si="614"/>
        <v>0</v>
      </c>
      <c r="AL412" s="188">
        <f t="shared" si="626"/>
        <v>0</v>
      </c>
      <c r="AM412" s="316">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2">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6">
        <f t="shared" si="586"/>
        <v>32</v>
      </c>
      <c r="M413" s="316">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2">
        <f t="shared" si="652"/>
        <v>57780</v>
      </c>
      <c r="Y413" s="188">
        <f t="shared" si="620"/>
        <v>0</v>
      </c>
      <c r="Z413" s="385">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1">
        <f t="shared" si="613"/>
        <v>0</v>
      </c>
      <c r="AJ413" s="401">
        <f t="shared" si="673"/>
        <v>0</v>
      </c>
      <c r="AK413" s="401">
        <f t="shared" si="614"/>
        <v>0</v>
      </c>
      <c r="AL413" s="188">
        <f t="shared" si="626"/>
        <v>0</v>
      </c>
      <c r="AM413" s="316">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2">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6">
        <f t="shared" si="586"/>
        <v>32</v>
      </c>
      <c r="M414" s="316">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2">
        <f t="shared" si="652"/>
        <v>57810</v>
      </c>
      <c r="Y414" s="188">
        <f t="shared" si="620"/>
        <v>0</v>
      </c>
      <c r="Z414" s="385">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1">
        <f t="shared" si="613"/>
        <v>0</v>
      </c>
      <c r="AJ414" s="401">
        <f t="shared" si="673"/>
        <v>0</v>
      </c>
      <c r="AK414" s="401">
        <f t="shared" si="614"/>
        <v>0</v>
      </c>
      <c r="AL414" s="188">
        <f t="shared" si="626"/>
        <v>0</v>
      </c>
      <c r="AM414" s="316">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2">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6">
        <f t="shared" si="586"/>
        <v>32</v>
      </c>
      <c r="M415" s="316">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2">
        <f t="shared" si="652"/>
        <v>57840</v>
      </c>
      <c r="Y415" s="188">
        <f t="shared" si="620"/>
        <v>0</v>
      </c>
      <c r="Z415" s="385">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1">
        <f t="shared" si="613"/>
        <v>0</v>
      </c>
      <c r="AJ415" s="401">
        <f t="shared" si="673"/>
        <v>0</v>
      </c>
      <c r="AK415" s="401">
        <f t="shared" si="614"/>
        <v>0</v>
      </c>
      <c r="AL415" s="188">
        <f t="shared" si="626"/>
        <v>0</v>
      </c>
      <c r="AM415" s="316">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2">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6">
        <f t="shared" si="586"/>
        <v>32</v>
      </c>
      <c r="M416" s="316">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2">
        <f t="shared" si="652"/>
        <v>57870</v>
      </c>
      <c r="Y416" s="188">
        <f t="shared" si="620"/>
        <v>0</v>
      </c>
      <c r="Z416" s="385">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1">
        <f t="shared" si="613"/>
        <v>0</v>
      </c>
      <c r="AJ416" s="401">
        <f t="shared" si="673"/>
        <v>0</v>
      </c>
      <c r="AK416" s="401">
        <f t="shared" si="614"/>
        <v>0</v>
      </c>
      <c r="AL416" s="188">
        <f t="shared" si="626"/>
        <v>0</v>
      </c>
      <c r="AM416" s="316">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2">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6">
        <f t="shared" si="586"/>
        <v>32</v>
      </c>
      <c r="M417" s="316">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2">
        <f t="shared" si="652"/>
        <v>57900</v>
      </c>
      <c r="Y417" s="188">
        <f t="shared" si="620"/>
        <v>0</v>
      </c>
      <c r="Z417" s="385">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1">
        <f t="shared" si="613"/>
        <v>0</v>
      </c>
      <c r="AJ417" s="401">
        <f t="shared" si="673"/>
        <v>0</v>
      </c>
      <c r="AK417" s="401">
        <f t="shared" si="614"/>
        <v>0</v>
      </c>
      <c r="AL417" s="188">
        <f t="shared" si="626"/>
        <v>0</v>
      </c>
      <c r="AM417" s="316">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2">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6">
        <f t="shared" si="586"/>
        <v>32</v>
      </c>
      <c r="M418" s="316">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2">
        <f t="shared" si="652"/>
        <v>57930</v>
      </c>
      <c r="Y418" s="188">
        <f t="shared" si="620"/>
        <v>0</v>
      </c>
      <c r="Z418" s="385">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1">
        <f t="shared" si="613"/>
        <v>0</v>
      </c>
      <c r="AJ418" s="401">
        <f t="shared" si="673"/>
        <v>0</v>
      </c>
      <c r="AK418" s="401">
        <f t="shared" si="614"/>
        <v>0</v>
      </c>
      <c r="AL418" s="188">
        <f t="shared" si="626"/>
        <v>0</v>
      </c>
      <c r="AM418" s="316">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2">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6">
        <f t="shared" si="586"/>
        <v>32</v>
      </c>
      <c r="M419" s="316">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2">
        <f t="shared" si="652"/>
        <v>57960</v>
      </c>
      <c r="Y419" s="188">
        <f t="shared" si="620"/>
        <v>0</v>
      </c>
      <c r="Z419" s="385">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1">
        <f t="shared" si="613"/>
        <v>0</v>
      </c>
      <c r="AJ419" s="401">
        <f t="shared" si="673"/>
        <v>0</v>
      </c>
      <c r="AK419" s="401">
        <f t="shared" si="614"/>
        <v>0</v>
      </c>
      <c r="AL419" s="188">
        <f t="shared" si="626"/>
        <v>0</v>
      </c>
      <c r="AM419" s="316">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2">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6">
        <f t="shared" si="586"/>
        <v>32</v>
      </c>
      <c r="M420" s="316">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2">
        <f t="shared" si="652"/>
        <v>57990</v>
      </c>
      <c r="Y420" s="188">
        <f t="shared" si="620"/>
        <v>0</v>
      </c>
      <c r="Z420" s="385">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1">
        <f t="shared" si="613"/>
        <v>0</v>
      </c>
      <c r="AJ420" s="401">
        <f t="shared" si="673"/>
        <v>0</v>
      </c>
      <c r="AK420" s="401">
        <f t="shared" si="614"/>
        <v>0</v>
      </c>
      <c r="AL420" s="188">
        <f t="shared" si="626"/>
        <v>0</v>
      </c>
      <c r="AM420" s="316">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2">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6">
        <f t="shared" si="586"/>
        <v>32</v>
      </c>
      <c r="M421" s="316">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2">
        <f t="shared" si="652"/>
        <v>58020</v>
      </c>
      <c r="Y421" s="188">
        <f t="shared" si="620"/>
        <v>0</v>
      </c>
      <c r="Z421" s="385">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1">
        <f t="shared" si="613"/>
        <v>0</v>
      </c>
      <c r="AJ421" s="401">
        <f t="shared" si="673"/>
        <v>0</v>
      </c>
      <c r="AK421" s="401">
        <f t="shared" si="614"/>
        <v>0</v>
      </c>
      <c r="AL421" s="188">
        <f>+Y421-AB421</f>
        <v>0</v>
      </c>
      <c r="AM421" s="316">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2">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6">
        <f t="shared" si="586"/>
        <v>32</v>
      </c>
      <c r="M422" s="316">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2">
        <f t="shared" si="652"/>
        <v>58050</v>
      </c>
      <c r="Y422" s="188">
        <f t="shared" si="620"/>
        <v>0</v>
      </c>
      <c r="Z422" s="385">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1">
        <f t="shared" si="613"/>
        <v>0</v>
      </c>
      <c r="AJ422" s="401">
        <f t="shared" si="673"/>
        <v>0</v>
      </c>
      <c r="AK422" s="401">
        <f t="shared" si="614"/>
        <v>0</v>
      </c>
      <c r="AL422" s="188">
        <f t="shared" si="626"/>
        <v>0</v>
      </c>
      <c r="AM422" s="316">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5">
        <f t="shared" si="602"/>
        <v>58080</v>
      </c>
      <c r="B423" s="236">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6">
        <f t="shared" si="604"/>
        <v>96310.740000000063</v>
      </c>
      <c r="J423" s="236">
        <f t="shared" si="605"/>
        <v>132580.47000000003</v>
      </c>
      <c r="K423" s="236">
        <f t="shared" si="606"/>
        <v>26862.429999999942</v>
      </c>
      <c r="L423" s="317">
        <f t="shared" si="586"/>
        <v>32</v>
      </c>
      <c r="M423" s="317">
        <f t="shared" si="650"/>
        <v>395</v>
      </c>
      <c r="N423" s="236">
        <f t="shared" si="680"/>
        <v>0</v>
      </c>
      <c r="O423" s="236">
        <f t="shared" si="618"/>
        <v>0</v>
      </c>
      <c r="P423" s="236">
        <f t="shared" si="659"/>
        <v>0</v>
      </c>
      <c r="Q423" s="236">
        <f t="shared" si="619"/>
        <v>0</v>
      </c>
      <c r="R423" s="236">
        <f t="shared" si="610"/>
        <v>51.5</v>
      </c>
      <c r="S423" s="236">
        <f t="shared" si="611"/>
        <v>145.09666666666666</v>
      </c>
      <c r="T423" s="236">
        <f t="shared" si="607"/>
        <v>196.59666666666666</v>
      </c>
      <c r="U423" s="236">
        <f t="shared" si="660"/>
        <v>325712.93999999989</v>
      </c>
      <c r="V423" s="236">
        <f t="shared" si="661"/>
        <v>575881.85999999975</v>
      </c>
      <c r="W423" s="236">
        <f t="shared" si="608"/>
        <v>0</v>
      </c>
      <c r="X423" s="395">
        <f t="shared" si="652"/>
        <v>58080</v>
      </c>
      <c r="Y423" s="236">
        <f t="shared" si="620"/>
        <v>0</v>
      </c>
      <c r="Z423" s="386">
        <f t="shared" si="645"/>
        <v>8.4999999999999992E-2</v>
      </c>
      <c r="AA423" s="236">
        <f t="shared" si="646"/>
        <v>0</v>
      </c>
      <c r="AB423" s="236">
        <f t="shared" si="621"/>
        <v>0</v>
      </c>
      <c r="AC423" s="236">
        <f t="shared" si="647"/>
        <v>0</v>
      </c>
      <c r="AD423" s="236">
        <f t="shared" ref="AD423:AE423" si="685">+AD422</f>
        <v>51.5</v>
      </c>
      <c r="AE423" s="236">
        <f t="shared" si="685"/>
        <v>145.09666666666666</v>
      </c>
      <c r="AF423" s="236">
        <f t="shared" si="623"/>
        <v>196.59666666666666</v>
      </c>
      <c r="AG423" s="236">
        <f t="shared" si="624"/>
        <v>325712.93999999989</v>
      </c>
      <c r="AH423" s="236">
        <f t="shared" si="625"/>
        <v>575881.85999999975</v>
      </c>
      <c r="AI423" s="402">
        <f t="shared" si="613"/>
        <v>0</v>
      </c>
      <c r="AJ423" s="402">
        <f t="shared" si="673"/>
        <v>0</v>
      </c>
      <c r="AK423" s="401">
        <f t="shared" si="614"/>
        <v>0</v>
      </c>
      <c r="AL423" s="236">
        <f t="shared" si="626"/>
        <v>0</v>
      </c>
      <c r="AM423" s="317">
        <f t="shared" si="654"/>
        <v>32</v>
      </c>
      <c r="AN423" s="21">
        <f t="shared" si="615"/>
        <v>0</v>
      </c>
      <c r="AO423" s="21">
        <f t="shared" si="584"/>
        <v>0</v>
      </c>
      <c r="AP423" s="21">
        <f t="shared" si="616"/>
        <v>0</v>
      </c>
      <c r="AQ423" s="21"/>
      <c r="AR423" s="23"/>
      <c r="AS423" s="21">
        <f t="shared" si="649"/>
        <v>0</v>
      </c>
      <c r="AT423" s="21">
        <f t="shared" si="655"/>
        <v>0</v>
      </c>
      <c r="AU423" s="236">
        <f t="shared" si="656"/>
        <v>0</v>
      </c>
      <c r="AV423" s="236">
        <f t="shared" si="657"/>
        <v>0</v>
      </c>
    </row>
    <row r="424" spans="1:48">
      <c r="A424" s="392">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6">
        <f t="shared" si="586"/>
        <v>33</v>
      </c>
      <c r="M424" s="316">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2">
        <f t="shared" si="652"/>
        <v>58110</v>
      </c>
      <c r="Y424" s="188">
        <f t="shared" si="620"/>
        <v>0</v>
      </c>
      <c r="Z424" s="385">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1">
        <f t="shared" si="613"/>
        <v>0</v>
      </c>
      <c r="AJ424" s="401">
        <f t="shared" si="673"/>
        <v>0</v>
      </c>
      <c r="AK424" s="401">
        <f t="shared" si="614"/>
        <v>0</v>
      </c>
      <c r="AL424" s="188">
        <f t="shared" si="626"/>
        <v>0</v>
      </c>
      <c r="AM424" s="316">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2">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6">
        <f t="shared" si="586"/>
        <v>33</v>
      </c>
      <c r="M425" s="316">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2">
        <f t="shared" si="652"/>
        <v>58140</v>
      </c>
      <c r="Y425" s="188">
        <f t="shared" si="620"/>
        <v>0</v>
      </c>
      <c r="Z425" s="385">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1">
        <f t="shared" si="613"/>
        <v>0</v>
      </c>
      <c r="AJ425" s="401">
        <f t="shared" si="673"/>
        <v>0</v>
      </c>
      <c r="AK425" s="401">
        <f t="shared" si="614"/>
        <v>0</v>
      </c>
      <c r="AL425" s="188">
        <f t="shared" si="626"/>
        <v>0</v>
      </c>
      <c r="AM425" s="316">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2">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6">
        <f t="shared" si="586"/>
        <v>33</v>
      </c>
      <c r="M426" s="316">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2">
        <f t="shared" si="652"/>
        <v>58170</v>
      </c>
      <c r="Y426" s="188">
        <f t="shared" si="620"/>
        <v>0</v>
      </c>
      <c r="Z426" s="385">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1">
        <f t="shared" si="613"/>
        <v>0</v>
      </c>
      <c r="AJ426" s="401">
        <f t="shared" si="673"/>
        <v>0</v>
      </c>
      <c r="AK426" s="401">
        <f t="shared" si="614"/>
        <v>0</v>
      </c>
      <c r="AL426" s="188">
        <f t="shared" si="626"/>
        <v>0</v>
      </c>
      <c r="AM426" s="316">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2">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6">
        <f t="shared" si="586"/>
        <v>33</v>
      </c>
      <c r="M427" s="316">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2">
        <f t="shared" si="652"/>
        <v>58200</v>
      </c>
      <c r="Y427" s="188">
        <f t="shared" si="620"/>
        <v>0</v>
      </c>
      <c r="Z427" s="385">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1">
        <f t="shared" si="613"/>
        <v>0</v>
      </c>
      <c r="AJ427" s="401">
        <f t="shared" si="673"/>
        <v>0</v>
      </c>
      <c r="AK427" s="401">
        <f t="shared" si="614"/>
        <v>0</v>
      </c>
      <c r="AL427" s="188">
        <f t="shared" si="626"/>
        <v>0</v>
      </c>
      <c r="AM427" s="316">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2">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6">
        <f t="shared" si="586"/>
        <v>33</v>
      </c>
      <c r="M428" s="316">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2">
        <f t="shared" si="652"/>
        <v>58230</v>
      </c>
      <c r="Y428" s="188">
        <f t="shared" si="620"/>
        <v>0</v>
      </c>
      <c r="Z428" s="385">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1">
        <f t="shared" si="613"/>
        <v>0</v>
      </c>
      <c r="AJ428" s="401">
        <f t="shared" si="673"/>
        <v>0</v>
      </c>
      <c r="AK428" s="401">
        <f t="shared" si="614"/>
        <v>0</v>
      </c>
      <c r="AL428" s="188">
        <f t="shared" si="626"/>
        <v>0</v>
      </c>
      <c r="AM428" s="316">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2">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6">
        <f t="shared" si="586"/>
        <v>33</v>
      </c>
      <c r="M429" s="316">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2">
        <f t="shared" si="652"/>
        <v>58260</v>
      </c>
      <c r="Y429" s="188">
        <f t="shared" si="620"/>
        <v>0</v>
      </c>
      <c r="Z429" s="385">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1">
        <f t="shared" si="613"/>
        <v>0</v>
      </c>
      <c r="AJ429" s="401">
        <f t="shared" si="673"/>
        <v>0</v>
      </c>
      <c r="AK429" s="401">
        <f t="shared" si="614"/>
        <v>0</v>
      </c>
      <c r="AL429" s="188">
        <f t="shared" si="626"/>
        <v>0</v>
      </c>
      <c r="AM429" s="316">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2">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6">
        <f t="shared" si="586"/>
        <v>33</v>
      </c>
      <c r="M430" s="316">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2">
        <f t="shared" si="652"/>
        <v>58290</v>
      </c>
      <c r="Y430" s="188">
        <f t="shared" si="620"/>
        <v>0</v>
      </c>
      <c r="Z430" s="385">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1">
        <f t="shared" si="613"/>
        <v>0</v>
      </c>
      <c r="AJ430" s="401">
        <f t="shared" si="673"/>
        <v>0</v>
      </c>
      <c r="AK430" s="401">
        <f t="shared" si="614"/>
        <v>0</v>
      </c>
      <c r="AL430" s="188">
        <f t="shared" si="626"/>
        <v>0</v>
      </c>
      <c r="AM430" s="316">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2">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6">
        <f t="shared" si="586"/>
        <v>33</v>
      </c>
      <c r="M431" s="316">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2">
        <f t="shared" si="652"/>
        <v>58320</v>
      </c>
      <c r="Y431" s="188">
        <f t="shared" si="620"/>
        <v>0</v>
      </c>
      <c r="Z431" s="385">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1">
        <f t="shared" si="613"/>
        <v>0</v>
      </c>
      <c r="AJ431" s="401">
        <f t="shared" si="673"/>
        <v>0</v>
      </c>
      <c r="AK431" s="401">
        <f t="shared" si="614"/>
        <v>0</v>
      </c>
      <c r="AL431" s="188">
        <f t="shared" si="626"/>
        <v>0</v>
      </c>
      <c r="AM431" s="316">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2">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6">
        <f t="shared" ref="L432:L495" si="695">IF(MOD(M432,12)=0,M432/12,L431)</f>
        <v>33</v>
      </c>
      <c r="M432" s="316">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2">
        <f t="shared" si="652"/>
        <v>58350</v>
      </c>
      <c r="Y432" s="188">
        <f t="shared" si="620"/>
        <v>0</v>
      </c>
      <c r="Z432" s="385">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1">
        <f t="shared" si="613"/>
        <v>0</v>
      </c>
      <c r="AJ432" s="401">
        <f t="shared" si="673"/>
        <v>0</v>
      </c>
      <c r="AK432" s="401">
        <f t="shared" si="614"/>
        <v>0</v>
      </c>
      <c r="AL432" s="188">
        <f t="shared" si="626"/>
        <v>0</v>
      </c>
      <c r="AM432" s="316">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2">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6">
        <f t="shared" si="695"/>
        <v>33</v>
      </c>
      <c r="M433" s="316">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2">
        <f t="shared" si="652"/>
        <v>58380</v>
      </c>
      <c r="Y433" s="188">
        <f t="shared" si="620"/>
        <v>0</v>
      </c>
      <c r="Z433" s="385">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1">
        <f t="shared" si="613"/>
        <v>0</v>
      </c>
      <c r="AJ433" s="401">
        <f t="shared" si="673"/>
        <v>0</v>
      </c>
      <c r="AK433" s="401">
        <f t="shared" si="614"/>
        <v>0</v>
      </c>
      <c r="AL433" s="188">
        <f t="shared" si="626"/>
        <v>0</v>
      </c>
      <c r="AM433" s="316">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2">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6">
        <f t="shared" si="695"/>
        <v>33</v>
      </c>
      <c r="M434" s="316">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2">
        <f t="shared" si="652"/>
        <v>58410</v>
      </c>
      <c r="Y434" s="188">
        <f t="shared" si="620"/>
        <v>0</v>
      </c>
      <c r="Z434" s="385">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1">
        <f t="shared" si="613"/>
        <v>0</v>
      </c>
      <c r="AJ434" s="401">
        <f t="shared" si="673"/>
        <v>0</v>
      </c>
      <c r="AK434" s="401">
        <f t="shared" si="614"/>
        <v>0</v>
      </c>
      <c r="AL434" s="188">
        <f t="shared" si="626"/>
        <v>0</v>
      </c>
      <c r="AM434" s="316">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5">
        <f t="shared" si="602"/>
        <v>58440</v>
      </c>
      <c r="B435" s="236">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6">
        <f t="shared" si="604"/>
        <v>101935.5600000001</v>
      </c>
      <c r="J435" s="236">
        <f t="shared" si="605"/>
        <v>133674.21000000002</v>
      </c>
      <c r="K435" s="236">
        <f t="shared" si="606"/>
        <v>21237.609999999942</v>
      </c>
      <c r="L435" s="317">
        <f t="shared" si="695"/>
        <v>33</v>
      </c>
      <c r="M435" s="317">
        <f t="shared" si="650"/>
        <v>407</v>
      </c>
      <c r="N435" s="236">
        <f t="shared" si="680"/>
        <v>0</v>
      </c>
      <c r="O435" s="236">
        <f t="shared" si="618"/>
        <v>0</v>
      </c>
      <c r="P435" s="236">
        <f t="shared" si="659"/>
        <v>0</v>
      </c>
      <c r="Q435" s="236">
        <f t="shared" si="619"/>
        <v>0</v>
      </c>
      <c r="R435" s="236">
        <f t="shared" si="610"/>
        <v>51.5</v>
      </c>
      <c r="S435" s="236">
        <f t="shared" si="611"/>
        <v>145.09666666666666</v>
      </c>
      <c r="T435" s="236">
        <f t="shared" si="607"/>
        <v>196.59666666666666</v>
      </c>
      <c r="U435" s="236">
        <f t="shared" si="660"/>
        <v>325712.93999999989</v>
      </c>
      <c r="V435" s="236">
        <f t="shared" si="661"/>
        <v>575881.85999999975</v>
      </c>
      <c r="W435" s="236">
        <f t="shared" si="608"/>
        <v>0</v>
      </c>
      <c r="X435" s="395">
        <f t="shared" si="652"/>
        <v>58440</v>
      </c>
      <c r="Y435" s="236">
        <f t="shared" si="620"/>
        <v>0</v>
      </c>
      <c r="Z435" s="386">
        <f t="shared" si="645"/>
        <v>8.4999999999999992E-2</v>
      </c>
      <c r="AA435" s="236">
        <f t="shared" si="646"/>
        <v>0</v>
      </c>
      <c r="AB435" s="236">
        <f t="shared" si="621"/>
        <v>0</v>
      </c>
      <c r="AC435" s="236">
        <f t="shared" si="647"/>
        <v>0</v>
      </c>
      <c r="AD435" s="236">
        <f t="shared" ref="AD435:AE435" si="699">+AD434</f>
        <v>51.5</v>
      </c>
      <c r="AE435" s="236">
        <f t="shared" si="699"/>
        <v>145.09666666666666</v>
      </c>
      <c r="AF435" s="236">
        <f t="shared" si="623"/>
        <v>196.59666666666666</v>
      </c>
      <c r="AG435" s="236">
        <f t="shared" si="624"/>
        <v>325712.93999999989</v>
      </c>
      <c r="AH435" s="236">
        <f t="shared" si="625"/>
        <v>575881.85999999975</v>
      </c>
      <c r="AI435" s="402">
        <f t="shared" si="613"/>
        <v>0</v>
      </c>
      <c r="AJ435" s="402">
        <f t="shared" si="673"/>
        <v>0</v>
      </c>
      <c r="AK435" s="401">
        <f t="shared" si="614"/>
        <v>0</v>
      </c>
      <c r="AL435" s="236">
        <f t="shared" si="626"/>
        <v>0</v>
      </c>
      <c r="AM435" s="317">
        <f t="shared" si="654"/>
        <v>33</v>
      </c>
      <c r="AN435" s="21">
        <f t="shared" si="615"/>
        <v>0</v>
      </c>
      <c r="AO435" s="21">
        <f t="shared" si="693"/>
        <v>0</v>
      </c>
      <c r="AP435" s="21">
        <f t="shared" si="616"/>
        <v>0</v>
      </c>
      <c r="AQ435" s="21"/>
      <c r="AR435" s="23"/>
      <c r="AS435" s="21">
        <f t="shared" si="649"/>
        <v>0</v>
      </c>
      <c r="AT435" s="21">
        <f t="shared" si="655"/>
        <v>0</v>
      </c>
      <c r="AU435" s="236">
        <f t="shared" si="656"/>
        <v>0</v>
      </c>
      <c r="AV435" s="236">
        <f t="shared" si="657"/>
        <v>0</v>
      </c>
    </row>
    <row r="436" spans="1:48">
      <c r="A436" s="392">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6">
        <f t="shared" si="695"/>
        <v>34</v>
      </c>
      <c r="M436" s="316">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2">
        <f t="shared" si="652"/>
        <v>58470</v>
      </c>
      <c r="Y436" s="188">
        <f t="shared" si="620"/>
        <v>0</v>
      </c>
      <c r="Z436" s="385">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1">
        <f t="shared" si="613"/>
        <v>0</v>
      </c>
      <c r="AJ436" s="401">
        <f t="shared" si="673"/>
        <v>0</v>
      </c>
      <c r="AK436" s="401">
        <f t="shared" si="614"/>
        <v>0</v>
      </c>
      <c r="AL436" s="188">
        <f t="shared" si="626"/>
        <v>0</v>
      </c>
      <c r="AM436" s="316">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2">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6">
        <f t="shared" si="695"/>
        <v>34</v>
      </c>
      <c r="M437" s="316">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2">
        <f t="shared" si="652"/>
        <v>58500</v>
      </c>
      <c r="Y437" s="188">
        <f t="shared" si="620"/>
        <v>0</v>
      </c>
      <c r="Z437" s="385">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1">
        <f t="shared" si="613"/>
        <v>0</v>
      </c>
      <c r="AJ437" s="401">
        <f t="shared" si="673"/>
        <v>0</v>
      </c>
      <c r="AK437" s="401">
        <f t="shared" si="614"/>
        <v>0</v>
      </c>
      <c r="AL437" s="188">
        <f t="shared" si="626"/>
        <v>0</v>
      </c>
      <c r="AM437" s="316">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2">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6">
        <f t="shared" si="695"/>
        <v>34</v>
      </c>
      <c r="M438" s="316">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2">
        <f t="shared" si="652"/>
        <v>58530</v>
      </c>
      <c r="Y438" s="188">
        <f t="shared" si="620"/>
        <v>0</v>
      </c>
      <c r="Z438" s="385">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1">
        <f t="shared" si="613"/>
        <v>0</v>
      </c>
      <c r="AJ438" s="401">
        <f t="shared" si="673"/>
        <v>0</v>
      </c>
      <c r="AK438" s="401">
        <f t="shared" si="614"/>
        <v>0</v>
      </c>
      <c r="AL438" s="188">
        <f t="shared" si="626"/>
        <v>0</v>
      </c>
      <c r="AM438" s="316">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2">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6">
        <f t="shared" si="695"/>
        <v>34</v>
      </c>
      <c r="M439" s="316">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2">
        <f t="shared" si="652"/>
        <v>58560</v>
      </c>
      <c r="Y439" s="188">
        <f t="shared" si="620"/>
        <v>0</v>
      </c>
      <c r="Z439" s="385">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1">
        <f t="shared" si="613"/>
        <v>0</v>
      </c>
      <c r="AJ439" s="401">
        <f t="shared" si="673"/>
        <v>0</v>
      </c>
      <c r="AK439" s="401">
        <f t="shared" si="614"/>
        <v>0</v>
      </c>
      <c r="AL439" s="188">
        <f t="shared" si="626"/>
        <v>0</v>
      </c>
      <c r="AM439" s="316">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2">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6">
        <f t="shared" si="695"/>
        <v>34</v>
      </c>
      <c r="M440" s="316">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2">
        <f t="shared" si="652"/>
        <v>58590</v>
      </c>
      <c r="Y440" s="188">
        <f t="shared" si="620"/>
        <v>0</v>
      </c>
      <c r="Z440" s="385">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1">
        <f t="shared" si="613"/>
        <v>0</v>
      </c>
      <c r="AJ440" s="401">
        <f t="shared" si="673"/>
        <v>0</v>
      </c>
      <c r="AK440" s="401">
        <f t="shared" si="614"/>
        <v>0</v>
      </c>
      <c r="AL440" s="188">
        <f t="shared" si="626"/>
        <v>0</v>
      </c>
      <c r="AM440" s="316">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2">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6">
        <f t="shared" si="695"/>
        <v>34</v>
      </c>
      <c r="M441" s="316">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2">
        <f t="shared" si="652"/>
        <v>58620</v>
      </c>
      <c r="Y441" s="188">
        <f t="shared" si="620"/>
        <v>0</v>
      </c>
      <c r="Z441" s="385">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1">
        <f t="shared" si="613"/>
        <v>0</v>
      </c>
      <c r="AJ441" s="401">
        <f t="shared" si="673"/>
        <v>0</v>
      </c>
      <c r="AK441" s="401">
        <f t="shared" si="614"/>
        <v>0</v>
      </c>
      <c r="AL441" s="188">
        <f t="shared" si="626"/>
        <v>0</v>
      </c>
      <c r="AM441" s="316">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2">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6">
        <f t="shared" si="695"/>
        <v>34</v>
      </c>
      <c r="M442" s="316">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2">
        <f t="shared" si="652"/>
        <v>58650</v>
      </c>
      <c r="Y442" s="188">
        <f t="shared" si="620"/>
        <v>0</v>
      </c>
      <c r="Z442" s="385">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1">
        <f t="shared" si="613"/>
        <v>0</v>
      </c>
      <c r="AJ442" s="401">
        <f t="shared" si="673"/>
        <v>0</v>
      </c>
      <c r="AK442" s="401">
        <f t="shared" si="614"/>
        <v>0</v>
      </c>
      <c r="AL442" s="188">
        <f t="shared" si="626"/>
        <v>0</v>
      </c>
      <c r="AM442" s="316">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2">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6">
        <f t="shared" si="695"/>
        <v>34</v>
      </c>
      <c r="M443" s="316">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2">
        <f t="shared" si="652"/>
        <v>58680</v>
      </c>
      <c r="Y443" s="188">
        <f t="shared" si="620"/>
        <v>0</v>
      </c>
      <c r="Z443" s="385">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1">
        <f t="shared" si="613"/>
        <v>0</v>
      </c>
      <c r="AJ443" s="401">
        <f t="shared" si="673"/>
        <v>0</v>
      </c>
      <c r="AK443" s="401">
        <f t="shared" si="614"/>
        <v>0</v>
      </c>
      <c r="AL443" s="188">
        <f t="shared" si="626"/>
        <v>0</v>
      </c>
      <c r="AM443" s="316">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2">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6">
        <f t="shared" si="695"/>
        <v>34</v>
      </c>
      <c r="M444" s="316">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2">
        <f t="shared" si="652"/>
        <v>58710</v>
      </c>
      <c r="Y444" s="188">
        <f t="shared" si="620"/>
        <v>0</v>
      </c>
      <c r="Z444" s="385">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1">
        <f t="shared" si="613"/>
        <v>0</v>
      </c>
      <c r="AJ444" s="401">
        <f t="shared" si="673"/>
        <v>0</v>
      </c>
      <c r="AK444" s="401">
        <f t="shared" si="614"/>
        <v>0</v>
      </c>
      <c r="AL444" s="188">
        <f t="shared" si="626"/>
        <v>0</v>
      </c>
      <c r="AM444" s="316">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2">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6">
        <f t="shared" si="695"/>
        <v>34</v>
      </c>
      <c r="M445" s="316">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2">
        <f t="shared" si="652"/>
        <v>58740</v>
      </c>
      <c r="Y445" s="188">
        <f t="shared" si="620"/>
        <v>0</v>
      </c>
      <c r="Z445" s="385">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1">
        <f t="shared" ref="AI445:AI508" si="722">O445-AA445+AI444</f>
        <v>0</v>
      </c>
      <c r="AJ445" s="401">
        <f t="shared" si="673"/>
        <v>0</v>
      </c>
      <c r="AK445" s="401">
        <f t="shared" ref="AK445:AK508" si="723">SUM(AI445:AJ445)</f>
        <v>0</v>
      </c>
      <c r="AL445" s="188">
        <f t="shared" si="626"/>
        <v>0</v>
      </c>
      <c r="AM445" s="316">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2">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6">
        <f t="shared" si="695"/>
        <v>34</v>
      </c>
      <c r="M446" s="316">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2">
        <f t="shared" si="652"/>
        <v>58770</v>
      </c>
      <c r="Y446" s="188">
        <f t="shared" si="620"/>
        <v>0</v>
      </c>
      <c r="Z446" s="385">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1">
        <f t="shared" si="722"/>
        <v>0</v>
      </c>
      <c r="AJ446" s="401">
        <f t="shared" si="673"/>
        <v>0</v>
      </c>
      <c r="AK446" s="401">
        <f t="shared" si="723"/>
        <v>0</v>
      </c>
      <c r="AL446" s="188">
        <f t="shared" si="626"/>
        <v>0</v>
      </c>
      <c r="AM446" s="316">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5">
        <f t="shared" si="711"/>
        <v>58800</v>
      </c>
      <c r="B447" s="236">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6">
        <f t="shared" si="713"/>
        <v>107818.7800000001</v>
      </c>
      <c r="J447" s="236">
        <f t="shared" si="714"/>
        <v>134509.55000000005</v>
      </c>
      <c r="K447" s="236">
        <f t="shared" si="715"/>
        <v>15354.389999999938</v>
      </c>
      <c r="L447" s="317">
        <f t="shared" si="695"/>
        <v>34</v>
      </c>
      <c r="M447" s="317">
        <f t="shared" si="650"/>
        <v>419</v>
      </c>
      <c r="N447" s="236">
        <f t="shared" si="680"/>
        <v>0</v>
      </c>
      <c r="O447" s="236">
        <f t="shared" ref="O447:O491" si="727">IF($O$11&lt;=A447,IF(+$W446&lt;=0,0,$O$8),0)</f>
        <v>0</v>
      </c>
      <c r="P447" s="236">
        <f t="shared" si="659"/>
        <v>0</v>
      </c>
      <c r="Q447" s="236">
        <f t="shared" ref="Q447:Q491" si="728">IF($O$11&lt;=A447,ROUND(N447*($O$7/12),2),0)</f>
        <v>0</v>
      </c>
      <c r="R447" s="236">
        <f t="shared" si="719"/>
        <v>51.5</v>
      </c>
      <c r="S447" s="236">
        <f t="shared" si="720"/>
        <v>145.09666666666666</v>
      </c>
      <c r="T447" s="236">
        <f t="shared" si="716"/>
        <v>196.59666666666666</v>
      </c>
      <c r="U447" s="236">
        <f t="shared" si="660"/>
        <v>325712.93999999989</v>
      </c>
      <c r="V447" s="236">
        <f t="shared" si="661"/>
        <v>575881.85999999975</v>
      </c>
      <c r="W447" s="236">
        <f t="shared" si="717"/>
        <v>0</v>
      </c>
      <c r="X447" s="395">
        <f t="shared" si="652"/>
        <v>58800</v>
      </c>
      <c r="Y447" s="236">
        <f t="shared" ref="Y447:Y510" si="729">IF(+AL446&lt;0,0,+AL446)</f>
        <v>0</v>
      </c>
      <c r="Z447" s="386">
        <f t="shared" si="645"/>
        <v>8.4999999999999992E-2</v>
      </c>
      <c r="AA447" s="236">
        <f t="shared" si="646"/>
        <v>0</v>
      </c>
      <c r="AB447" s="236">
        <f t="shared" ref="AB447:AB510" si="730">+AA447-AC447</f>
        <v>0</v>
      </c>
      <c r="AC447" s="236">
        <f t="shared" si="647"/>
        <v>0</v>
      </c>
      <c r="AD447" s="236">
        <f t="shared" ref="AD447:AE447" si="731">+AD446</f>
        <v>51.5</v>
      </c>
      <c r="AE447" s="236">
        <f t="shared" si="731"/>
        <v>145.09666666666666</v>
      </c>
      <c r="AF447" s="236">
        <f t="shared" ref="AF447:AF510" si="732">SUM(AB447:AE447)</f>
        <v>196.59666666666666</v>
      </c>
      <c r="AG447" s="236">
        <f t="shared" ref="AG447:AG510" si="733">+AB447+AG446</f>
        <v>325712.93999999989</v>
      </c>
      <c r="AH447" s="236">
        <f t="shared" ref="AH447:AH510" si="734">+AH446+AC447</f>
        <v>575881.85999999975</v>
      </c>
      <c r="AI447" s="402">
        <f t="shared" si="722"/>
        <v>0</v>
      </c>
      <c r="AJ447" s="402">
        <f t="shared" si="673"/>
        <v>0</v>
      </c>
      <c r="AK447" s="401">
        <f t="shared" si="723"/>
        <v>0</v>
      </c>
      <c r="AL447" s="236">
        <f t="shared" ref="AL447:AL510" si="735">+Y447-AB447</f>
        <v>0</v>
      </c>
      <c r="AM447" s="317">
        <f t="shared" si="654"/>
        <v>34</v>
      </c>
      <c r="AN447" s="21">
        <f t="shared" si="724"/>
        <v>0</v>
      </c>
      <c r="AO447" s="21">
        <f t="shared" si="693"/>
        <v>0</v>
      </c>
      <c r="AP447" s="21">
        <f t="shared" si="725"/>
        <v>0</v>
      </c>
      <c r="AQ447" s="21"/>
      <c r="AR447" s="23"/>
      <c r="AS447" s="21">
        <f t="shared" si="649"/>
        <v>0</v>
      </c>
      <c r="AT447" s="21">
        <f t="shared" si="655"/>
        <v>0</v>
      </c>
      <c r="AU447" s="236">
        <f t="shared" si="656"/>
        <v>0</v>
      </c>
      <c r="AV447" s="236">
        <f t="shared" si="657"/>
        <v>0</v>
      </c>
    </row>
    <row r="448" spans="1:48">
      <c r="A448" s="392">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6">
        <f t="shared" si="695"/>
        <v>35</v>
      </c>
      <c r="M448" s="316">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2">
        <f t="shared" si="652"/>
        <v>58830</v>
      </c>
      <c r="Y448" s="188">
        <f t="shared" si="729"/>
        <v>0</v>
      </c>
      <c r="Z448" s="385">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1">
        <f t="shared" si="722"/>
        <v>0</v>
      </c>
      <c r="AJ448" s="401">
        <f t="shared" si="673"/>
        <v>0</v>
      </c>
      <c r="AK448" s="401">
        <f t="shared" si="723"/>
        <v>0</v>
      </c>
      <c r="AL448" s="188">
        <f t="shared" si="735"/>
        <v>0</v>
      </c>
      <c r="AM448" s="316">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2">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6">
        <f t="shared" si="695"/>
        <v>35</v>
      </c>
      <c r="M449" s="316">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2">
        <f t="shared" si="652"/>
        <v>58860</v>
      </c>
      <c r="Y449" s="188">
        <f t="shared" si="729"/>
        <v>0</v>
      </c>
      <c r="Z449" s="385">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1">
        <f t="shared" si="722"/>
        <v>0</v>
      </c>
      <c r="AJ449" s="401">
        <f t="shared" si="673"/>
        <v>0</v>
      </c>
      <c r="AK449" s="401">
        <f t="shared" si="723"/>
        <v>0</v>
      </c>
      <c r="AL449" s="188">
        <f t="shared" si="735"/>
        <v>0</v>
      </c>
      <c r="AM449" s="316">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2">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6">
        <f t="shared" si="695"/>
        <v>35</v>
      </c>
      <c r="M450" s="316">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2">
        <f t="shared" si="652"/>
        <v>58890</v>
      </c>
      <c r="Y450" s="188">
        <f t="shared" si="729"/>
        <v>0</v>
      </c>
      <c r="Z450" s="385">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1">
        <f t="shared" si="722"/>
        <v>0</v>
      </c>
      <c r="AJ450" s="401">
        <f t="shared" si="673"/>
        <v>0</v>
      </c>
      <c r="AK450" s="401">
        <f t="shared" si="723"/>
        <v>0</v>
      </c>
      <c r="AL450" s="188">
        <f t="shared" si="735"/>
        <v>0</v>
      </c>
      <c r="AM450" s="316">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2">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6">
        <f t="shared" si="695"/>
        <v>35</v>
      </c>
      <c r="M451" s="316">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2">
        <f t="shared" si="652"/>
        <v>58920</v>
      </c>
      <c r="Y451" s="188">
        <f t="shared" si="729"/>
        <v>0</v>
      </c>
      <c r="Z451" s="385">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1">
        <f t="shared" si="722"/>
        <v>0</v>
      </c>
      <c r="AJ451" s="401">
        <f t="shared" si="673"/>
        <v>0</v>
      </c>
      <c r="AK451" s="401">
        <f t="shared" si="723"/>
        <v>0</v>
      </c>
      <c r="AL451" s="188">
        <f t="shared" si="735"/>
        <v>0</v>
      </c>
      <c r="AM451" s="316">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2">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6">
        <f t="shared" si="695"/>
        <v>35</v>
      </c>
      <c r="M452" s="316">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2">
        <f t="shared" si="652"/>
        <v>58950</v>
      </c>
      <c r="Y452" s="188">
        <f t="shared" si="729"/>
        <v>0</v>
      </c>
      <c r="Z452" s="385">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1">
        <f t="shared" si="722"/>
        <v>0</v>
      </c>
      <c r="AJ452" s="401">
        <f t="shared" si="673"/>
        <v>0</v>
      </c>
      <c r="AK452" s="401">
        <f t="shared" si="723"/>
        <v>0</v>
      </c>
      <c r="AL452" s="188">
        <f t="shared" si="735"/>
        <v>0</v>
      </c>
      <c r="AM452" s="316">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2">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6">
        <f t="shared" si="695"/>
        <v>35</v>
      </c>
      <c r="M453" s="316">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2">
        <f t="shared" si="652"/>
        <v>58980</v>
      </c>
      <c r="Y453" s="188">
        <f t="shared" si="729"/>
        <v>0</v>
      </c>
      <c r="Z453" s="385">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1">
        <f t="shared" si="722"/>
        <v>0</v>
      </c>
      <c r="AJ453" s="401">
        <f t="shared" si="673"/>
        <v>0</v>
      </c>
      <c r="AK453" s="401">
        <f t="shared" si="723"/>
        <v>0</v>
      </c>
      <c r="AL453" s="188">
        <f t="shared" si="735"/>
        <v>0</v>
      </c>
      <c r="AM453" s="316">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2">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6">
        <f t="shared" si="695"/>
        <v>35</v>
      </c>
      <c r="M454" s="316">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2">
        <f t="shared" si="652"/>
        <v>59010</v>
      </c>
      <c r="Y454" s="188">
        <f t="shared" si="729"/>
        <v>0</v>
      </c>
      <c r="Z454" s="385">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1">
        <f t="shared" si="722"/>
        <v>0</v>
      </c>
      <c r="AJ454" s="401">
        <f t="shared" si="673"/>
        <v>0</v>
      </c>
      <c r="AK454" s="401">
        <f t="shared" si="723"/>
        <v>0</v>
      </c>
      <c r="AL454" s="188">
        <f t="shared" si="735"/>
        <v>0</v>
      </c>
      <c r="AM454" s="316">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2">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6">
        <f t="shared" si="695"/>
        <v>35</v>
      </c>
      <c r="M455" s="316">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2">
        <f t="shared" si="652"/>
        <v>59040</v>
      </c>
      <c r="Y455" s="188">
        <f t="shared" si="729"/>
        <v>0</v>
      </c>
      <c r="Z455" s="385">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1">
        <f t="shared" si="722"/>
        <v>0</v>
      </c>
      <c r="AJ455" s="401">
        <f t="shared" si="673"/>
        <v>0</v>
      </c>
      <c r="AK455" s="401">
        <f t="shared" si="723"/>
        <v>0</v>
      </c>
      <c r="AL455" s="188">
        <f t="shared" si="735"/>
        <v>0</v>
      </c>
      <c r="AM455" s="316">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2">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6">
        <f t="shared" si="695"/>
        <v>35</v>
      </c>
      <c r="M456" s="316">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2">
        <f t="shared" si="652"/>
        <v>59070</v>
      </c>
      <c r="Y456" s="188">
        <f t="shared" si="729"/>
        <v>0</v>
      </c>
      <c r="Z456" s="385">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1">
        <f t="shared" si="722"/>
        <v>0</v>
      </c>
      <c r="AJ456" s="401">
        <f t="shared" si="673"/>
        <v>0</v>
      </c>
      <c r="AK456" s="401">
        <f t="shared" si="723"/>
        <v>0</v>
      </c>
      <c r="AL456" s="188">
        <f t="shared" si="735"/>
        <v>0</v>
      </c>
      <c r="AM456" s="316">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2">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6">
        <f t="shared" si="695"/>
        <v>35</v>
      </c>
      <c r="M457" s="316">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2">
        <f t="shared" si="652"/>
        <v>59100</v>
      </c>
      <c r="Y457" s="188">
        <f t="shared" si="729"/>
        <v>0</v>
      </c>
      <c r="Z457" s="385">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1">
        <f t="shared" si="722"/>
        <v>0</v>
      </c>
      <c r="AJ457" s="401">
        <f t="shared" si="673"/>
        <v>0</v>
      </c>
      <c r="AK457" s="401">
        <f t="shared" si="723"/>
        <v>0</v>
      </c>
      <c r="AL457" s="188">
        <f t="shared" si="735"/>
        <v>0</v>
      </c>
      <c r="AM457" s="316">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2">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6">
        <f t="shared" si="695"/>
        <v>35</v>
      </c>
      <c r="M458" s="316">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2">
        <f t="shared" si="652"/>
        <v>59130</v>
      </c>
      <c r="Y458" s="188">
        <f t="shared" si="729"/>
        <v>0</v>
      </c>
      <c r="Z458" s="385">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1">
        <f t="shared" si="722"/>
        <v>0</v>
      </c>
      <c r="AJ458" s="401">
        <f t="shared" si="673"/>
        <v>0</v>
      </c>
      <c r="AK458" s="401">
        <f t="shared" si="723"/>
        <v>0</v>
      </c>
      <c r="AL458" s="188">
        <f t="shared" si="735"/>
        <v>0</v>
      </c>
      <c r="AM458" s="316">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5">
        <f t="shared" si="711"/>
        <v>59160</v>
      </c>
      <c r="B459" s="236">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6">
        <f t="shared" si="713"/>
        <v>113972.28000000012</v>
      </c>
      <c r="J459" s="236">
        <f t="shared" si="714"/>
        <v>135074.61000000004</v>
      </c>
      <c r="K459" s="236">
        <f t="shared" si="715"/>
        <v>9200.8899999999412</v>
      </c>
      <c r="L459" s="317">
        <f t="shared" si="695"/>
        <v>35</v>
      </c>
      <c r="M459" s="317">
        <f t="shared" si="650"/>
        <v>431</v>
      </c>
      <c r="N459" s="236">
        <f t="shared" si="680"/>
        <v>0</v>
      </c>
      <c r="O459" s="236">
        <f t="shared" si="727"/>
        <v>0</v>
      </c>
      <c r="P459" s="236">
        <f t="shared" si="659"/>
        <v>0</v>
      </c>
      <c r="Q459" s="236">
        <f t="shared" si="728"/>
        <v>0</v>
      </c>
      <c r="R459" s="236">
        <f t="shared" si="719"/>
        <v>51.5</v>
      </c>
      <c r="S459" s="236">
        <f t="shared" si="720"/>
        <v>145.09666666666666</v>
      </c>
      <c r="T459" s="236">
        <f t="shared" si="716"/>
        <v>196.59666666666666</v>
      </c>
      <c r="U459" s="236">
        <f t="shared" si="660"/>
        <v>325712.93999999989</v>
      </c>
      <c r="V459" s="236">
        <f t="shared" si="661"/>
        <v>575881.85999999975</v>
      </c>
      <c r="W459" s="236">
        <f t="shared" si="717"/>
        <v>0</v>
      </c>
      <c r="X459" s="395">
        <f t="shared" si="652"/>
        <v>59160</v>
      </c>
      <c r="Y459" s="236">
        <f t="shared" si="729"/>
        <v>0</v>
      </c>
      <c r="Z459" s="386">
        <f t="shared" si="645"/>
        <v>8.4999999999999992E-2</v>
      </c>
      <c r="AA459" s="236">
        <f t="shared" si="646"/>
        <v>0</v>
      </c>
      <c r="AB459" s="236">
        <f t="shared" si="730"/>
        <v>0</v>
      </c>
      <c r="AC459" s="236">
        <f t="shared" si="647"/>
        <v>0</v>
      </c>
      <c r="AD459" s="236">
        <f t="shared" ref="AD459:AE459" si="747">+AD458</f>
        <v>51.5</v>
      </c>
      <c r="AE459" s="236">
        <f t="shared" si="747"/>
        <v>145.09666666666666</v>
      </c>
      <c r="AF459" s="236">
        <f t="shared" si="732"/>
        <v>196.59666666666666</v>
      </c>
      <c r="AG459" s="236">
        <f t="shared" si="733"/>
        <v>325712.93999999989</v>
      </c>
      <c r="AH459" s="236">
        <f t="shared" si="734"/>
        <v>575881.85999999975</v>
      </c>
      <c r="AI459" s="402">
        <f t="shared" si="722"/>
        <v>0</v>
      </c>
      <c r="AJ459" s="402">
        <f t="shared" si="673"/>
        <v>0</v>
      </c>
      <c r="AK459" s="401">
        <f t="shared" si="723"/>
        <v>0</v>
      </c>
      <c r="AL459" s="236">
        <f t="shared" si="735"/>
        <v>0</v>
      </c>
      <c r="AM459" s="317">
        <f t="shared" si="654"/>
        <v>35</v>
      </c>
      <c r="AN459" s="21">
        <f t="shared" si="724"/>
        <v>0</v>
      </c>
      <c r="AO459" s="21">
        <f t="shared" si="693"/>
        <v>0</v>
      </c>
      <c r="AP459" s="21">
        <f t="shared" si="725"/>
        <v>0</v>
      </c>
      <c r="AQ459" s="21"/>
      <c r="AR459" s="23"/>
      <c r="AS459" s="21">
        <f t="shared" si="649"/>
        <v>0</v>
      </c>
      <c r="AT459" s="21">
        <f t="shared" si="655"/>
        <v>0</v>
      </c>
      <c r="AU459" s="236">
        <f t="shared" si="656"/>
        <v>0</v>
      </c>
      <c r="AV459" s="236">
        <f t="shared" si="657"/>
        <v>0</v>
      </c>
    </row>
    <row r="460" spans="1:48">
      <c r="A460" s="392">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6">
        <f t="shared" si="695"/>
        <v>36</v>
      </c>
      <c r="M460" s="316">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2">
        <f t="shared" si="652"/>
        <v>59190</v>
      </c>
      <c r="Y460" s="188">
        <f t="shared" si="729"/>
        <v>0</v>
      </c>
      <c r="Z460" s="385">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1">
        <f t="shared" si="722"/>
        <v>0</v>
      </c>
      <c r="AJ460" s="401">
        <f t="shared" si="673"/>
        <v>0</v>
      </c>
      <c r="AK460" s="401">
        <f t="shared" si="723"/>
        <v>0</v>
      </c>
      <c r="AL460" s="188">
        <f t="shared" si="735"/>
        <v>0</v>
      </c>
      <c r="AM460" s="316">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2">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6">
        <f t="shared" si="695"/>
        <v>36</v>
      </c>
      <c r="M461" s="316">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2">
        <f t="shared" si="652"/>
        <v>59220</v>
      </c>
      <c r="Y461" s="188">
        <f t="shared" si="729"/>
        <v>0</v>
      </c>
      <c r="Z461" s="385">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1">
        <f t="shared" si="722"/>
        <v>0</v>
      </c>
      <c r="AJ461" s="401">
        <f t="shared" si="673"/>
        <v>0</v>
      </c>
      <c r="AK461" s="401">
        <f t="shared" si="723"/>
        <v>0</v>
      </c>
      <c r="AL461" s="188">
        <f t="shared" si="735"/>
        <v>0</v>
      </c>
      <c r="AM461" s="316">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2">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6">
        <f t="shared" si="695"/>
        <v>36</v>
      </c>
      <c r="M462" s="316">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2">
        <f t="shared" si="652"/>
        <v>59250</v>
      </c>
      <c r="Y462" s="188">
        <f t="shared" si="729"/>
        <v>0</v>
      </c>
      <c r="Z462" s="385">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1">
        <f t="shared" si="722"/>
        <v>0</v>
      </c>
      <c r="AJ462" s="401">
        <f t="shared" si="673"/>
        <v>0</v>
      </c>
      <c r="AK462" s="401">
        <f t="shared" si="723"/>
        <v>0</v>
      </c>
      <c r="AL462" s="188">
        <f t="shared" si="735"/>
        <v>0</v>
      </c>
      <c r="AM462" s="316">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2">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6">
        <f t="shared" si="695"/>
        <v>36</v>
      </c>
      <c r="M463" s="316">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2">
        <f t="shared" si="652"/>
        <v>59280</v>
      </c>
      <c r="Y463" s="188">
        <f t="shared" si="729"/>
        <v>0</v>
      </c>
      <c r="Z463" s="385">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1">
        <f t="shared" si="722"/>
        <v>0</v>
      </c>
      <c r="AJ463" s="401">
        <f t="shared" si="673"/>
        <v>0</v>
      </c>
      <c r="AK463" s="401">
        <f t="shared" si="723"/>
        <v>0</v>
      </c>
      <c r="AL463" s="188">
        <f t="shared" si="735"/>
        <v>0</v>
      </c>
      <c r="AM463" s="316">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2">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6">
        <f t="shared" si="695"/>
        <v>36</v>
      </c>
      <c r="M464" s="316">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2">
        <f t="shared" si="652"/>
        <v>59310</v>
      </c>
      <c r="Y464" s="188">
        <f t="shared" si="729"/>
        <v>0</v>
      </c>
      <c r="Z464" s="385">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1">
        <f t="shared" si="722"/>
        <v>0</v>
      </c>
      <c r="AJ464" s="401">
        <f t="shared" si="673"/>
        <v>0</v>
      </c>
      <c r="AK464" s="401">
        <f t="shared" si="723"/>
        <v>0</v>
      </c>
      <c r="AL464" s="188">
        <f t="shared" si="735"/>
        <v>0</v>
      </c>
      <c r="AM464" s="316">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2">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6">
        <f t="shared" si="695"/>
        <v>36</v>
      </c>
      <c r="M465" s="316">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2">
        <f t="shared" ref="X465:X528" si="760">+A465</f>
        <v>59340</v>
      </c>
      <c r="Y465" s="188">
        <f t="shared" si="729"/>
        <v>0</v>
      </c>
      <c r="Z465" s="385">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1">
        <f t="shared" si="722"/>
        <v>0</v>
      </c>
      <c r="AJ465" s="401">
        <f t="shared" si="673"/>
        <v>0</v>
      </c>
      <c r="AK465" s="401">
        <f t="shared" si="723"/>
        <v>0</v>
      </c>
      <c r="AL465" s="188">
        <f t="shared" si="735"/>
        <v>0</v>
      </c>
      <c r="AM465" s="316">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2">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6">
        <f t="shared" si="695"/>
        <v>36</v>
      </c>
      <c r="M466" s="316">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2">
        <f t="shared" si="760"/>
        <v>59370</v>
      </c>
      <c r="Y466" s="188">
        <f t="shared" si="729"/>
        <v>0</v>
      </c>
      <c r="Z466" s="385">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1">
        <f t="shared" si="722"/>
        <v>0</v>
      </c>
      <c r="AJ466" s="401">
        <f t="shared" si="673"/>
        <v>0</v>
      </c>
      <c r="AK466" s="401">
        <f t="shared" si="723"/>
        <v>0</v>
      </c>
      <c r="AL466" s="188">
        <f t="shared" si="735"/>
        <v>0</v>
      </c>
      <c r="AM466" s="316">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2">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6">
        <f t="shared" si="695"/>
        <v>36</v>
      </c>
      <c r="M467" s="316">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2">
        <f t="shared" si="760"/>
        <v>59400</v>
      </c>
      <c r="Y467" s="188">
        <f t="shared" si="729"/>
        <v>0</v>
      </c>
      <c r="Z467" s="385">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1">
        <f t="shared" si="722"/>
        <v>0</v>
      </c>
      <c r="AJ467" s="401">
        <f t="shared" si="673"/>
        <v>0</v>
      </c>
      <c r="AK467" s="401">
        <f t="shared" si="723"/>
        <v>0</v>
      </c>
      <c r="AL467" s="188">
        <f t="shared" si="735"/>
        <v>0</v>
      </c>
      <c r="AM467" s="316">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2">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6">
        <f t="shared" si="695"/>
        <v>36</v>
      </c>
      <c r="M468" s="316">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2">
        <f t="shared" si="760"/>
        <v>59430</v>
      </c>
      <c r="Y468" s="188">
        <f t="shared" si="729"/>
        <v>0</v>
      </c>
      <c r="Z468" s="385">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1">
        <f t="shared" si="722"/>
        <v>0</v>
      </c>
      <c r="AJ468" s="401">
        <f t="shared" si="673"/>
        <v>0</v>
      </c>
      <c r="AK468" s="401">
        <f t="shared" si="723"/>
        <v>0</v>
      </c>
      <c r="AL468" s="188">
        <f t="shared" si="735"/>
        <v>0</v>
      </c>
      <c r="AM468" s="316">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2">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6">
        <f t="shared" si="695"/>
        <v>36</v>
      </c>
      <c r="M469" s="316">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2">
        <f t="shared" si="760"/>
        <v>59460</v>
      </c>
      <c r="Y469" s="188">
        <f t="shared" si="729"/>
        <v>0</v>
      </c>
      <c r="Z469" s="385">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1">
        <f t="shared" si="722"/>
        <v>0</v>
      </c>
      <c r="AJ469" s="401">
        <f t="shared" si="673"/>
        <v>0</v>
      </c>
      <c r="AK469" s="401">
        <f t="shared" si="723"/>
        <v>0</v>
      </c>
      <c r="AL469" s="188">
        <f t="shared" si="735"/>
        <v>0</v>
      </c>
      <c r="AM469" s="316">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2">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6">
        <f t="shared" si="695"/>
        <v>36</v>
      </c>
      <c r="M470" s="316">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2">
        <f t="shared" si="760"/>
        <v>59490</v>
      </c>
      <c r="Y470" s="188">
        <f t="shared" si="729"/>
        <v>0</v>
      </c>
      <c r="Z470" s="385">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1">
        <f t="shared" si="722"/>
        <v>0</v>
      </c>
      <c r="AJ470" s="401">
        <f t="shared" si="673"/>
        <v>0</v>
      </c>
      <c r="AK470" s="401">
        <f t="shared" si="723"/>
        <v>0</v>
      </c>
      <c r="AL470" s="188">
        <f t="shared" si="735"/>
        <v>0</v>
      </c>
      <c r="AM470" s="316">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5">
        <f t="shared" si="711"/>
        <v>59520</v>
      </c>
      <c r="B471" s="236">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6">
        <f t="shared" si="713"/>
        <v>120408.47000000016</v>
      </c>
      <c r="J471" s="236">
        <f t="shared" si="714"/>
        <v>135356.98000000004</v>
      </c>
      <c r="K471" s="236">
        <f t="shared" si="715"/>
        <v>2764.6999999999425</v>
      </c>
      <c r="L471" s="317">
        <f t="shared" si="695"/>
        <v>36</v>
      </c>
      <c r="M471" s="317">
        <f t="shared" si="759"/>
        <v>443</v>
      </c>
      <c r="N471" s="236">
        <f t="shared" si="680"/>
        <v>0</v>
      </c>
      <c r="O471" s="236">
        <f t="shared" si="727"/>
        <v>0</v>
      </c>
      <c r="P471" s="236">
        <f t="shared" si="767"/>
        <v>0</v>
      </c>
      <c r="Q471" s="236">
        <f t="shared" si="728"/>
        <v>0</v>
      </c>
      <c r="R471" s="236">
        <f t="shared" si="719"/>
        <v>51.5</v>
      </c>
      <c r="S471" s="236">
        <f t="shared" si="720"/>
        <v>145.09666666666666</v>
      </c>
      <c r="T471" s="236">
        <f t="shared" si="716"/>
        <v>196.59666666666666</v>
      </c>
      <c r="U471" s="236">
        <f t="shared" si="768"/>
        <v>325712.93999999989</v>
      </c>
      <c r="V471" s="236">
        <f t="shared" si="769"/>
        <v>575881.85999999975</v>
      </c>
      <c r="W471" s="236">
        <f t="shared" si="717"/>
        <v>0</v>
      </c>
      <c r="X471" s="395">
        <f t="shared" si="760"/>
        <v>59520</v>
      </c>
      <c r="Y471" s="236">
        <f t="shared" si="729"/>
        <v>0</v>
      </c>
      <c r="Z471" s="386">
        <f t="shared" si="754"/>
        <v>8.4999999999999992E-2</v>
      </c>
      <c r="AA471" s="236">
        <f t="shared" si="755"/>
        <v>0</v>
      </c>
      <c r="AB471" s="236">
        <f t="shared" si="730"/>
        <v>0</v>
      </c>
      <c r="AC471" s="236">
        <f t="shared" si="756"/>
        <v>0</v>
      </c>
      <c r="AD471" s="236">
        <f t="shared" ref="AD471:AE471" si="775">+AD470</f>
        <v>51.5</v>
      </c>
      <c r="AE471" s="236">
        <f t="shared" si="775"/>
        <v>145.09666666666666</v>
      </c>
      <c r="AF471" s="236">
        <f t="shared" si="732"/>
        <v>196.59666666666666</v>
      </c>
      <c r="AG471" s="236">
        <f t="shared" si="733"/>
        <v>325712.93999999989</v>
      </c>
      <c r="AH471" s="236">
        <f t="shared" si="734"/>
        <v>575881.85999999975</v>
      </c>
      <c r="AI471" s="402">
        <f t="shared" si="722"/>
        <v>0</v>
      </c>
      <c r="AJ471" s="402">
        <f t="shared" si="673"/>
        <v>0</v>
      </c>
      <c r="AK471" s="401">
        <f t="shared" si="723"/>
        <v>0</v>
      </c>
      <c r="AL471" s="236">
        <f t="shared" si="735"/>
        <v>0</v>
      </c>
      <c r="AM471" s="317">
        <f t="shared" si="762"/>
        <v>36</v>
      </c>
      <c r="AN471" s="21">
        <f t="shared" si="724"/>
        <v>0</v>
      </c>
      <c r="AO471" s="21">
        <f t="shared" si="693"/>
        <v>0</v>
      </c>
      <c r="AP471" s="21">
        <f t="shared" si="725"/>
        <v>0</v>
      </c>
      <c r="AQ471" s="21"/>
      <c r="AR471" s="23"/>
      <c r="AS471" s="21">
        <f t="shared" si="758"/>
        <v>0</v>
      </c>
      <c r="AT471" s="21">
        <f t="shared" si="763"/>
        <v>0</v>
      </c>
      <c r="AU471" s="236">
        <f t="shared" si="764"/>
        <v>0</v>
      </c>
      <c r="AV471" s="236">
        <f t="shared" si="765"/>
        <v>0</v>
      </c>
    </row>
    <row r="472" spans="1:48">
      <c r="A472" s="392">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6">
        <f t="shared" si="695"/>
        <v>37</v>
      </c>
      <c r="M472" s="316">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2">
        <f t="shared" si="760"/>
        <v>59550</v>
      </c>
      <c r="Y472" s="188">
        <f t="shared" si="729"/>
        <v>0</v>
      </c>
      <c r="Z472" s="385">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1">
        <f t="shared" si="722"/>
        <v>0</v>
      </c>
      <c r="AJ472" s="401">
        <f t="shared" si="673"/>
        <v>0</v>
      </c>
      <c r="AK472" s="401">
        <f t="shared" si="723"/>
        <v>0</v>
      </c>
      <c r="AL472" s="188">
        <f t="shared" si="735"/>
        <v>0</v>
      </c>
      <c r="AM472" s="316">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2">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6">
        <f t="shared" si="695"/>
        <v>37</v>
      </c>
      <c r="M473" s="316">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2">
        <f t="shared" si="760"/>
        <v>59580</v>
      </c>
      <c r="Y473" s="188">
        <f t="shared" si="729"/>
        <v>0</v>
      </c>
      <c r="Z473" s="385">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1">
        <f t="shared" si="722"/>
        <v>0</v>
      </c>
      <c r="AJ473" s="401">
        <f t="shared" si="673"/>
        <v>0</v>
      </c>
      <c r="AK473" s="401">
        <f t="shared" si="723"/>
        <v>0</v>
      </c>
      <c r="AL473" s="188">
        <f t="shared" si="735"/>
        <v>0</v>
      </c>
      <c r="AM473" s="316">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2">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6">
        <f t="shared" si="695"/>
        <v>37</v>
      </c>
      <c r="M474" s="316">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2">
        <f t="shared" si="760"/>
        <v>59610</v>
      </c>
      <c r="Y474" s="188">
        <f t="shared" si="729"/>
        <v>0</v>
      </c>
      <c r="Z474" s="385">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1">
        <f t="shared" si="722"/>
        <v>0</v>
      </c>
      <c r="AJ474" s="401">
        <f t="shared" si="673"/>
        <v>0</v>
      </c>
      <c r="AK474" s="401">
        <f t="shared" si="723"/>
        <v>0</v>
      </c>
      <c r="AL474" s="188">
        <f t="shared" si="735"/>
        <v>0</v>
      </c>
      <c r="AM474" s="316">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2">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6">
        <f t="shared" si="695"/>
        <v>37</v>
      </c>
      <c r="M475" s="316">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2">
        <f t="shared" si="760"/>
        <v>59640</v>
      </c>
      <c r="Y475" s="188">
        <f t="shared" si="729"/>
        <v>0</v>
      </c>
      <c r="Z475" s="385">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1">
        <f t="shared" si="722"/>
        <v>0</v>
      </c>
      <c r="AJ475" s="401">
        <f t="shared" si="673"/>
        <v>0</v>
      </c>
      <c r="AK475" s="401">
        <f t="shared" si="723"/>
        <v>0</v>
      </c>
      <c r="AL475" s="188">
        <f t="shared" si="735"/>
        <v>0</v>
      </c>
      <c r="AM475" s="316">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2"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6">
        <f t="shared" si="695"/>
        <v>37</v>
      </c>
      <c r="M476" s="316">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2" t="str">
        <f t="shared" si="760"/>
        <v xml:space="preserve"> </v>
      </c>
      <c r="Y476" s="188">
        <f t="shared" si="729"/>
        <v>0</v>
      </c>
      <c r="Z476" s="385">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1">
        <f t="shared" si="722"/>
        <v>0</v>
      </c>
      <c r="AJ476" s="401">
        <f t="shared" ref="AJ476:AJ539" si="781">+W476-AL476</f>
        <v>0</v>
      </c>
      <c r="AK476" s="401">
        <f t="shared" si="723"/>
        <v>0</v>
      </c>
      <c r="AL476" s="188">
        <f t="shared" si="735"/>
        <v>0</v>
      </c>
      <c r="AM476" s="316">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2"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6">
        <f t="shared" si="695"/>
        <v>37</v>
      </c>
      <c r="M477" s="316">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2" t="str">
        <f t="shared" si="760"/>
        <v xml:space="preserve"> </v>
      </c>
      <c r="Y477" s="188">
        <f t="shared" si="729"/>
        <v>0</v>
      </c>
      <c r="Z477" s="385">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1">
        <f t="shared" si="722"/>
        <v>0</v>
      </c>
      <c r="AJ477" s="401">
        <f t="shared" si="781"/>
        <v>0</v>
      </c>
      <c r="AK477" s="401">
        <f t="shared" si="723"/>
        <v>0</v>
      </c>
      <c r="AL477" s="188">
        <f t="shared" si="735"/>
        <v>0</v>
      </c>
      <c r="AM477" s="316">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2"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6">
        <f t="shared" si="695"/>
        <v>37</v>
      </c>
      <c r="M478" s="316">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2" t="str">
        <f t="shared" si="760"/>
        <v xml:space="preserve"> </v>
      </c>
      <c r="Y478" s="188">
        <f t="shared" si="729"/>
        <v>0</v>
      </c>
      <c r="Z478" s="385">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1">
        <f t="shared" si="722"/>
        <v>0</v>
      </c>
      <c r="AJ478" s="401">
        <f t="shared" si="781"/>
        <v>0</v>
      </c>
      <c r="AK478" s="401">
        <f t="shared" si="723"/>
        <v>0</v>
      </c>
      <c r="AL478" s="188">
        <f t="shared" si="735"/>
        <v>0</v>
      </c>
      <c r="AM478" s="316">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2"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6">
        <f t="shared" si="695"/>
        <v>37</v>
      </c>
      <c r="M479" s="316">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2" t="str">
        <f t="shared" si="760"/>
        <v xml:space="preserve"> </v>
      </c>
      <c r="Y479" s="188">
        <f t="shared" si="729"/>
        <v>0</v>
      </c>
      <c r="Z479" s="385">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1">
        <f t="shared" si="722"/>
        <v>0</v>
      </c>
      <c r="AJ479" s="401">
        <f t="shared" si="781"/>
        <v>0</v>
      </c>
      <c r="AK479" s="401">
        <f t="shared" si="723"/>
        <v>0</v>
      </c>
      <c r="AL479" s="188">
        <f t="shared" si="735"/>
        <v>0</v>
      </c>
      <c r="AM479" s="316">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2"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6">
        <f t="shared" si="695"/>
        <v>37</v>
      </c>
      <c r="M480" s="316">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2" t="str">
        <f t="shared" si="760"/>
        <v xml:space="preserve"> </v>
      </c>
      <c r="Y480" s="188">
        <f t="shared" si="729"/>
        <v>0</v>
      </c>
      <c r="Z480" s="385">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1">
        <f t="shared" si="722"/>
        <v>0</v>
      </c>
      <c r="AJ480" s="401">
        <f t="shared" si="781"/>
        <v>0</v>
      </c>
      <c r="AK480" s="401">
        <f t="shared" si="723"/>
        <v>0</v>
      </c>
      <c r="AL480" s="188">
        <f t="shared" si="735"/>
        <v>0</v>
      </c>
      <c r="AM480" s="316">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2"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6">
        <f t="shared" si="695"/>
        <v>37</v>
      </c>
      <c r="M481" s="316">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2" t="str">
        <f t="shared" si="760"/>
        <v xml:space="preserve"> </v>
      </c>
      <c r="Y481" s="188">
        <f t="shared" si="729"/>
        <v>0</v>
      </c>
      <c r="Z481" s="385">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1">
        <f t="shared" si="722"/>
        <v>0</v>
      </c>
      <c r="AJ481" s="401">
        <f t="shared" si="781"/>
        <v>0</v>
      </c>
      <c r="AK481" s="401">
        <f t="shared" si="723"/>
        <v>0</v>
      </c>
      <c r="AL481" s="188">
        <f t="shared" si="735"/>
        <v>0</v>
      </c>
      <c r="AM481" s="316">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2"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6">
        <f t="shared" si="695"/>
        <v>37</v>
      </c>
      <c r="M482" s="316">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2" t="str">
        <f t="shared" si="760"/>
        <v xml:space="preserve"> </v>
      </c>
      <c r="Y482" s="188">
        <f t="shared" si="729"/>
        <v>0</v>
      </c>
      <c r="Z482" s="385">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1">
        <f t="shared" si="722"/>
        <v>0</v>
      </c>
      <c r="AJ482" s="401">
        <f t="shared" si="781"/>
        <v>0</v>
      </c>
      <c r="AK482" s="401">
        <f t="shared" si="723"/>
        <v>0</v>
      </c>
      <c r="AL482" s="188">
        <f t="shared" si="735"/>
        <v>0</v>
      </c>
      <c r="AM482" s="316">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5" t="str">
        <f t="shared" si="711"/>
        <v xml:space="preserve"> </v>
      </c>
      <c r="B483" s="236">
        <f t="shared" si="705"/>
        <v>0</v>
      </c>
      <c r="C483" s="21">
        <f t="shared" si="752"/>
        <v>0</v>
      </c>
      <c r="D483" s="21">
        <f t="shared" si="766"/>
        <v>0</v>
      </c>
      <c r="E483" s="21">
        <f t="shared" si="753"/>
        <v>0</v>
      </c>
      <c r="F483" s="21">
        <f t="shared" si="712"/>
        <v>51.5</v>
      </c>
      <c r="G483" s="21">
        <f t="shared" si="708"/>
        <v>145.09666666666666</v>
      </c>
      <c r="H483" s="21">
        <f t="shared" si="709"/>
        <v>196.59666666666666</v>
      </c>
      <c r="I483" s="236">
        <f t="shared" si="713"/>
        <v>123176.71000000017</v>
      </c>
      <c r="J483" s="236">
        <f t="shared" si="714"/>
        <v>135388.14000000001</v>
      </c>
      <c r="K483" s="236">
        <f t="shared" si="715"/>
        <v>0</v>
      </c>
      <c r="L483" s="317">
        <f t="shared" si="695"/>
        <v>37</v>
      </c>
      <c r="M483" s="317">
        <f t="shared" si="759"/>
        <v>455</v>
      </c>
      <c r="N483" s="236">
        <f t="shared" ref="N483:N491" si="788">IF(+W482&lt;0,0,+W482)</f>
        <v>0</v>
      </c>
      <c r="O483" s="236">
        <f t="shared" si="727"/>
        <v>0</v>
      </c>
      <c r="P483" s="236">
        <f t="shared" si="767"/>
        <v>0</v>
      </c>
      <c r="Q483" s="236">
        <f t="shared" si="728"/>
        <v>0</v>
      </c>
      <c r="R483" s="236">
        <f t="shared" si="719"/>
        <v>51.5</v>
      </c>
      <c r="S483" s="236">
        <f t="shared" si="720"/>
        <v>145.09666666666666</v>
      </c>
      <c r="T483" s="236">
        <f t="shared" si="716"/>
        <v>196.59666666666666</v>
      </c>
      <c r="U483" s="236">
        <f t="shared" si="768"/>
        <v>325712.93999999989</v>
      </c>
      <c r="V483" s="236">
        <f t="shared" si="769"/>
        <v>575881.85999999975</v>
      </c>
      <c r="W483" s="236">
        <f t="shared" si="717"/>
        <v>0</v>
      </c>
      <c r="X483" s="395" t="str">
        <f t="shared" si="760"/>
        <v xml:space="preserve"> </v>
      </c>
      <c r="Y483" s="236">
        <f t="shared" si="729"/>
        <v>0</v>
      </c>
      <c r="Z483" s="386">
        <f t="shared" si="754"/>
        <v>8.4999999999999992E-2</v>
      </c>
      <c r="AA483" s="236">
        <f t="shared" si="755"/>
        <v>0</v>
      </c>
      <c r="AB483" s="236">
        <f t="shared" si="730"/>
        <v>0</v>
      </c>
      <c r="AC483" s="236">
        <f t="shared" si="756"/>
        <v>0</v>
      </c>
      <c r="AD483" s="236">
        <f t="shared" ref="AD483:AE483" si="789">+AD482</f>
        <v>51.5</v>
      </c>
      <c r="AE483" s="236">
        <f t="shared" si="789"/>
        <v>145.09666666666666</v>
      </c>
      <c r="AF483" s="236">
        <f t="shared" si="732"/>
        <v>196.59666666666666</v>
      </c>
      <c r="AG483" s="236">
        <f t="shared" si="733"/>
        <v>325712.93999999989</v>
      </c>
      <c r="AH483" s="236">
        <f t="shared" si="734"/>
        <v>575881.85999999975</v>
      </c>
      <c r="AI483" s="402">
        <f t="shared" si="722"/>
        <v>0</v>
      </c>
      <c r="AJ483" s="402">
        <f t="shared" si="781"/>
        <v>0</v>
      </c>
      <c r="AK483" s="401">
        <f t="shared" si="723"/>
        <v>0</v>
      </c>
      <c r="AL483" s="236">
        <f t="shared" si="735"/>
        <v>0</v>
      </c>
      <c r="AM483" s="317">
        <f t="shared" si="762"/>
        <v>37</v>
      </c>
      <c r="AN483" s="21">
        <f t="shared" si="724"/>
        <v>0</v>
      </c>
      <c r="AO483" s="21">
        <f t="shared" si="693"/>
        <v>0</v>
      </c>
      <c r="AP483" s="21">
        <f t="shared" si="725"/>
        <v>0</v>
      </c>
      <c r="AQ483" s="21"/>
      <c r="AR483" s="23"/>
      <c r="AS483" s="21">
        <f t="shared" si="758"/>
        <v>0</v>
      </c>
      <c r="AT483" s="21">
        <f t="shared" si="763"/>
        <v>0</v>
      </c>
      <c r="AU483" s="236">
        <f t="shared" si="764"/>
        <v>0</v>
      </c>
      <c r="AV483" s="236">
        <f t="shared" si="765"/>
        <v>0</v>
      </c>
    </row>
    <row r="484" spans="1:49">
      <c r="A484" s="392"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6">
        <f t="shared" si="695"/>
        <v>38</v>
      </c>
      <c r="M484" s="316">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2" t="str">
        <f t="shared" si="760"/>
        <v xml:space="preserve"> </v>
      </c>
      <c r="Y484" s="188">
        <f t="shared" si="729"/>
        <v>0</v>
      </c>
      <c r="Z484" s="385">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1">
        <f t="shared" si="722"/>
        <v>0</v>
      </c>
      <c r="AJ484" s="401">
        <f t="shared" si="781"/>
        <v>0</v>
      </c>
      <c r="AK484" s="401">
        <f t="shared" si="723"/>
        <v>0</v>
      </c>
      <c r="AL484" s="188">
        <f t="shared" si="735"/>
        <v>0</v>
      </c>
      <c r="AM484" s="316">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2"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6">
        <f t="shared" si="695"/>
        <v>38</v>
      </c>
      <c r="M485" s="316">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2" t="str">
        <f t="shared" si="760"/>
        <v xml:space="preserve"> </v>
      </c>
      <c r="Y485" s="188">
        <f t="shared" si="729"/>
        <v>0</v>
      </c>
      <c r="Z485" s="385">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1">
        <f t="shared" si="722"/>
        <v>0</v>
      </c>
      <c r="AJ485" s="401">
        <f t="shared" si="781"/>
        <v>0</v>
      </c>
      <c r="AK485" s="401">
        <f t="shared" si="723"/>
        <v>0</v>
      </c>
      <c r="AL485" s="188">
        <f t="shared" si="735"/>
        <v>0</v>
      </c>
      <c r="AM485" s="316">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2"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6">
        <f t="shared" si="695"/>
        <v>38</v>
      </c>
      <c r="M486" s="316">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2" t="str">
        <f t="shared" si="760"/>
        <v xml:space="preserve"> </v>
      </c>
      <c r="Y486" s="188">
        <f t="shared" si="729"/>
        <v>0</v>
      </c>
      <c r="Z486" s="385">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1">
        <f t="shared" si="722"/>
        <v>0</v>
      </c>
      <c r="AJ486" s="401">
        <f t="shared" si="781"/>
        <v>0</v>
      </c>
      <c r="AK486" s="401">
        <f t="shared" si="723"/>
        <v>0</v>
      </c>
      <c r="AL486" s="188">
        <f t="shared" si="735"/>
        <v>0</v>
      </c>
      <c r="AM486" s="316">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2"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6">
        <f t="shared" si="695"/>
        <v>38</v>
      </c>
      <c r="M487" s="316">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2" t="str">
        <f t="shared" si="760"/>
        <v xml:space="preserve"> </v>
      </c>
      <c r="Y487" s="188">
        <f t="shared" si="729"/>
        <v>0</v>
      </c>
      <c r="Z487" s="385">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1">
        <f t="shared" si="722"/>
        <v>0</v>
      </c>
      <c r="AJ487" s="401">
        <f t="shared" si="781"/>
        <v>0</v>
      </c>
      <c r="AK487" s="401">
        <f t="shared" si="723"/>
        <v>0</v>
      </c>
      <c r="AL487" s="188">
        <f t="shared" si="735"/>
        <v>0</v>
      </c>
      <c r="AM487" s="316">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2"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6">
        <f t="shared" si="695"/>
        <v>38</v>
      </c>
      <c r="M488" s="316">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2" t="str">
        <f t="shared" si="760"/>
        <v xml:space="preserve"> </v>
      </c>
      <c r="Y488" s="188">
        <f t="shared" si="729"/>
        <v>0</v>
      </c>
      <c r="Z488" s="385">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1">
        <f t="shared" si="722"/>
        <v>0</v>
      </c>
      <c r="AJ488" s="401">
        <f t="shared" si="781"/>
        <v>0</v>
      </c>
      <c r="AK488" s="401">
        <f t="shared" si="723"/>
        <v>0</v>
      </c>
      <c r="AL488" s="188">
        <f t="shared" si="735"/>
        <v>0</v>
      </c>
      <c r="AM488" s="316">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2"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6">
        <f t="shared" si="695"/>
        <v>38</v>
      </c>
      <c r="M489" s="316">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2" t="str">
        <f t="shared" si="760"/>
        <v xml:space="preserve"> </v>
      </c>
      <c r="Y489" s="188">
        <f t="shared" si="729"/>
        <v>0</v>
      </c>
      <c r="Z489" s="385">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1">
        <f t="shared" si="722"/>
        <v>0</v>
      </c>
      <c r="AJ489" s="401">
        <f t="shared" si="781"/>
        <v>0</v>
      </c>
      <c r="AK489" s="401">
        <f t="shared" si="723"/>
        <v>0</v>
      </c>
      <c r="AL489" s="188">
        <f t="shared" si="735"/>
        <v>0</v>
      </c>
      <c r="AM489" s="316">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2"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6">
        <f t="shared" si="695"/>
        <v>38</v>
      </c>
      <c r="M490" s="316">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2" t="str">
        <f t="shared" si="760"/>
        <v xml:space="preserve"> </v>
      </c>
      <c r="Y490" s="188">
        <f t="shared" si="729"/>
        <v>0</v>
      </c>
      <c r="Z490" s="385">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1">
        <f t="shared" si="722"/>
        <v>0</v>
      </c>
      <c r="AJ490" s="401">
        <f t="shared" si="781"/>
        <v>0</v>
      </c>
      <c r="AK490" s="401">
        <f t="shared" si="723"/>
        <v>0</v>
      </c>
      <c r="AL490" s="188">
        <f t="shared" si="735"/>
        <v>0</v>
      </c>
      <c r="AM490" s="316">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2"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6">
        <f t="shared" si="695"/>
        <v>38</v>
      </c>
      <c r="M491" s="316">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2" t="str">
        <f t="shared" si="760"/>
        <v xml:space="preserve"> </v>
      </c>
      <c r="Y491" s="188">
        <f t="shared" si="729"/>
        <v>0</v>
      </c>
      <c r="Z491" s="385">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1">
        <f t="shared" si="722"/>
        <v>0</v>
      </c>
      <c r="AJ491" s="401">
        <f t="shared" si="781"/>
        <v>0</v>
      </c>
      <c r="AK491" s="401">
        <f t="shared" si="723"/>
        <v>0</v>
      </c>
      <c r="AL491" s="188">
        <f t="shared" si="735"/>
        <v>0</v>
      </c>
      <c r="AM491" s="316">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2"/>
      <c r="L492" s="316">
        <f t="shared" si="695"/>
        <v>0</v>
      </c>
      <c r="M492" s="316"/>
      <c r="X492" s="392">
        <f t="shared" si="760"/>
        <v>0</v>
      </c>
      <c r="Y492" s="188">
        <f t="shared" si="729"/>
        <v>0</v>
      </c>
      <c r="Z492" s="385">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1">
        <f t="shared" si="722"/>
        <v>0</v>
      </c>
      <c r="AJ492" s="401">
        <f t="shared" si="781"/>
        <v>0</v>
      </c>
      <c r="AK492" s="401">
        <f t="shared" si="723"/>
        <v>0</v>
      </c>
      <c r="AL492" s="188">
        <f t="shared" si="735"/>
        <v>0</v>
      </c>
      <c r="AM492" s="316">
        <f t="shared" si="762"/>
        <v>0</v>
      </c>
    </row>
    <row r="493" spans="1:49">
      <c r="A493" s="392"/>
      <c r="L493" s="316">
        <f t="shared" si="695"/>
        <v>0</v>
      </c>
      <c r="M493" s="316"/>
      <c r="X493" s="392">
        <f t="shared" si="760"/>
        <v>0</v>
      </c>
      <c r="Y493" s="188">
        <f t="shared" si="729"/>
        <v>0</v>
      </c>
      <c r="Z493" s="385">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1">
        <f t="shared" si="722"/>
        <v>0</v>
      </c>
      <c r="AJ493" s="401">
        <f t="shared" si="781"/>
        <v>0</v>
      </c>
      <c r="AK493" s="401">
        <f t="shared" si="723"/>
        <v>0</v>
      </c>
      <c r="AL493" s="188">
        <f t="shared" si="735"/>
        <v>0</v>
      </c>
      <c r="AM493" s="316">
        <f t="shared" si="762"/>
        <v>0</v>
      </c>
    </row>
    <row r="494" spans="1:49">
      <c r="A494" s="392"/>
      <c r="L494" s="316">
        <f t="shared" si="695"/>
        <v>0</v>
      </c>
      <c r="M494" s="316"/>
      <c r="X494" s="392">
        <f t="shared" si="760"/>
        <v>0</v>
      </c>
      <c r="Y494" s="188">
        <f t="shared" si="729"/>
        <v>0</v>
      </c>
      <c r="Z494" s="385">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1">
        <f t="shared" si="722"/>
        <v>0</v>
      </c>
      <c r="AJ494" s="401">
        <f t="shared" si="781"/>
        <v>0</v>
      </c>
      <c r="AK494" s="401">
        <f t="shared" si="723"/>
        <v>0</v>
      </c>
      <c r="AL494" s="188">
        <f t="shared" si="735"/>
        <v>0</v>
      </c>
      <c r="AM494" s="316">
        <f t="shared" si="762"/>
        <v>0</v>
      </c>
    </row>
    <row r="495" spans="1:49" ht="15.75" thickBot="1">
      <c r="A495" s="395"/>
      <c r="B495" s="236"/>
      <c r="C495" s="21"/>
      <c r="D495" s="21"/>
      <c r="E495" s="21"/>
      <c r="F495" s="21"/>
      <c r="G495" s="21"/>
      <c r="H495" s="21"/>
      <c r="I495" s="236"/>
      <c r="J495" s="236"/>
      <c r="K495" s="236"/>
      <c r="L495" s="317">
        <f t="shared" si="695"/>
        <v>0</v>
      </c>
      <c r="M495" s="317"/>
      <c r="N495" s="236"/>
      <c r="U495" s="236"/>
      <c r="V495" s="236"/>
      <c r="W495" s="236"/>
      <c r="X495" s="395">
        <f t="shared" si="760"/>
        <v>0</v>
      </c>
      <c r="Y495" s="188">
        <f t="shared" si="729"/>
        <v>0</v>
      </c>
      <c r="Z495" s="385">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1">
        <f t="shared" si="722"/>
        <v>0</v>
      </c>
      <c r="AJ495" s="401">
        <f t="shared" si="781"/>
        <v>0</v>
      </c>
      <c r="AK495" s="401">
        <f t="shared" si="723"/>
        <v>0</v>
      </c>
      <c r="AL495" s="188">
        <f t="shared" si="735"/>
        <v>0</v>
      </c>
      <c r="AM495" s="317">
        <f t="shared" si="762"/>
        <v>0</v>
      </c>
      <c r="AN495" s="21"/>
      <c r="AO495" s="21"/>
      <c r="AP495" s="21"/>
      <c r="AQ495" s="21"/>
      <c r="AR495" s="23"/>
      <c r="AS495" s="21"/>
      <c r="AT495" s="21"/>
      <c r="AU495" s="236"/>
      <c r="AV495" s="236"/>
      <c r="AW495" s="21"/>
    </row>
    <row r="496" spans="1:49">
      <c r="A496" s="392"/>
      <c r="L496" s="316">
        <f t="shared" ref="L496:L559" si="802">IF(MOD(M496,12)=0,M496/12,L495)</f>
        <v>0</v>
      </c>
      <c r="M496" s="316"/>
      <c r="X496" s="392">
        <f t="shared" si="760"/>
        <v>0</v>
      </c>
      <c r="Y496" s="188">
        <f t="shared" si="729"/>
        <v>0</v>
      </c>
      <c r="Z496" s="385">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1">
        <f t="shared" si="722"/>
        <v>0</v>
      </c>
      <c r="AJ496" s="401">
        <f t="shared" si="781"/>
        <v>0</v>
      </c>
      <c r="AK496" s="401">
        <f t="shared" si="723"/>
        <v>0</v>
      </c>
      <c r="AL496" s="188">
        <f t="shared" si="735"/>
        <v>0</v>
      </c>
      <c r="AM496" s="316">
        <f t="shared" si="762"/>
        <v>0</v>
      </c>
    </row>
    <row r="497" spans="1:49">
      <c r="A497" s="392"/>
      <c r="L497" s="316">
        <f t="shared" si="802"/>
        <v>0</v>
      </c>
      <c r="M497" s="316"/>
      <c r="X497" s="392">
        <f t="shared" si="760"/>
        <v>0</v>
      </c>
      <c r="Y497" s="188">
        <f t="shared" si="729"/>
        <v>0</v>
      </c>
      <c r="Z497" s="385">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1">
        <f t="shared" si="722"/>
        <v>0</v>
      </c>
      <c r="AJ497" s="401">
        <f t="shared" si="781"/>
        <v>0</v>
      </c>
      <c r="AK497" s="401">
        <f t="shared" si="723"/>
        <v>0</v>
      </c>
      <c r="AL497" s="188">
        <f t="shared" si="735"/>
        <v>0</v>
      </c>
      <c r="AM497" s="316">
        <f t="shared" si="762"/>
        <v>0</v>
      </c>
    </row>
    <row r="498" spans="1:49">
      <c r="A498" s="392"/>
      <c r="L498" s="316">
        <f t="shared" si="802"/>
        <v>0</v>
      </c>
      <c r="M498" s="316"/>
      <c r="X498" s="392">
        <f t="shared" si="760"/>
        <v>0</v>
      </c>
      <c r="Y498" s="188">
        <f t="shared" si="729"/>
        <v>0</v>
      </c>
      <c r="Z498" s="385">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1">
        <f t="shared" si="722"/>
        <v>0</v>
      </c>
      <c r="AJ498" s="401">
        <f t="shared" si="781"/>
        <v>0</v>
      </c>
      <c r="AK498" s="401">
        <f t="shared" si="723"/>
        <v>0</v>
      </c>
      <c r="AL498" s="188">
        <f t="shared" si="735"/>
        <v>0</v>
      </c>
      <c r="AM498" s="316">
        <f t="shared" si="762"/>
        <v>0</v>
      </c>
    </row>
    <row r="499" spans="1:49">
      <c r="A499" s="392"/>
      <c r="L499" s="316">
        <f t="shared" si="802"/>
        <v>0</v>
      </c>
      <c r="M499" s="316"/>
      <c r="X499" s="392">
        <f t="shared" si="760"/>
        <v>0</v>
      </c>
      <c r="Y499" s="188">
        <f t="shared" si="729"/>
        <v>0</v>
      </c>
      <c r="Z499" s="385">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1">
        <f t="shared" si="722"/>
        <v>0</v>
      </c>
      <c r="AJ499" s="401">
        <f t="shared" si="781"/>
        <v>0</v>
      </c>
      <c r="AK499" s="401">
        <f t="shared" si="723"/>
        <v>0</v>
      </c>
      <c r="AL499" s="188">
        <f t="shared" si="735"/>
        <v>0</v>
      </c>
      <c r="AM499" s="316">
        <f t="shared" si="762"/>
        <v>0</v>
      </c>
    </row>
    <row r="500" spans="1:49">
      <c r="A500" s="392"/>
      <c r="L500" s="316">
        <f t="shared" si="802"/>
        <v>0</v>
      </c>
      <c r="M500" s="316"/>
      <c r="X500" s="392">
        <f t="shared" si="760"/>
        <v>0</v>
      </c>
      <c r="Y500" s="188">
        <f t="shared" si="729"/>
        <v>0</v>
      </c>
      <c r="Z500" s="385">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1">
        <f t="shared" si="722"/>
        <v>0</v>
      </c>
      <c r="AJ500" s="401">
        <f t="shared" si="781"/>
        <v>0</v>
      </c>
      <c r="AK500" s="401">
        <f t="shared" si="723"/>
        <v>0</v>
      </c>
      <c r="AL500" s="188">
        <f t="shared" si="735"/>
        <v>0</v>
      </c>
      <c r="AM500" s="316">
        <f t="shared" si="762"/>
        <v>0</v>
      </c>
    </row>
    <row r="501" spans="1:49">
      <c r="A501" s="392"/>
      <c r="L501" s="316">
        <f t="shared" si="802"/>
        <v>0</v>
      </c>
      <c r="M501" s="316"/>
      <c r="X501" s="392">
        <f t="shared" si="760"/>
        <v>0</v>
      </c>
      <c r="Y501" s="188">
        <f t="shared" si="729"/>
        <v>0</v>
      </c>
      <c r="Z501" s="385">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1">
        <f t="shared" si="722"/>
        <v>0</v>
      </c>
      <c r="AJ501" s="401">
        <f t="shared" si="781"/>
        <v>0</v>
      </c>
      <c r="AK501" s="401">
        <f t="shared" si="723"/>
        <v>0</v>
      </c>
      <c r="AL501" s="188">
        <f t="shared" si="735"/>
        <v>0</v>
      </c>
      <c r="AM501" s="316">
        <f t="shared" si="762"/>
        <v>0</v>
      </c>
    </row>
    <row r="502" spans="1:49">
      <c r="A502" s="392"/>
      <c r="L502" s="316">
        <f t="shared" si="802"/>
        <v>0</v>
      </c>
      <c r="M502" s="316"/>
      <c r="X502" s="392">
        <f t="shared" si="760"/>
        <v>0</v>
      </c>
      <c r="Y502" s="188">
        <f t="shared" si="729"/>
        <v>0</v>
      </c>
      <c r="Z502" s="385">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1">
        <f t="shared" si="722"/>
        <v>0</v>
      </c>
      <c r="AJ502" s="401">
        <f t="shared" si="781"/>
        <v>0</v>
      </c>
      <c r="AK502" s="401">
        <f t="shared" si="723"/>
        <v>0</v>
      </c>
      <c r="AL502" s="188">
        <f t="shared" si="735"/>
        <v>0</v>
      </c>
      <c r="AM502" s="316">
        <f t="shared" si="762"/>
        <v>0</v>
      </c>
    </row>
    <row r="503" spans="1:49">
      <c r="A503" s="392"/>
      <c r="L503" s="316">
        <f t="shared" si="802"/>
        <v>0</v>
      </c>
      <c r="M503" s="316"/>
      <c r="X503" s="392">
        <f t="shared" si="760"/>
        <v>0</v>
      </c>
      <c r="Y503" s="188">
        <f t="shared" si="729"/>
        <v>0</v>
      </c>
      <c r="Z503" s="385">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1">
        <f t="shared" si="722"/>
        <v>0</v>
      </c>
      <c r="AJ503" s="401">
        <f t="shared" si="781"/>
        <v>0</v>
      </c>
      <c r="AK503" s="401">
        <f t="shared" si="723"/>
        <v>0</v>
      </c>
      <c r="AL503" s="188">
        <f t="shared" si="735"/>
        <v>0</v>
      </c>
      <c r="AM503" s="316">
        <f t="shared" si="762"/>
        <v>0</v>
      </c>
    </row>
    <row r="504" spans="1:49">
      <c r="A504" s="392"/>
      <c r="L504" s="316">
        <f t="shared" si="802"/>
        <v>0</v>
      </c>
      <c r="M504" s="316"/>
      <c r="X504" s="392">
        <f t="shared" si="760"/>
        <v>0</v>
      </c>
      <c r="Y504" s="188">
        <f t="shared" si="729"/>
        <v>0</v>
      </c>
      <c r="Z504" s="385">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1">
        <f t="shared" si="722"/>
        <v>0</v>
      </c>
      <c r="AJ504" s="401">
        <f t="shared" si="781"/>
        <v>0</v>
      </c>
      <c r="AK504" s="401">
        <f t="shared" si="723"/>
        <v>0</v>
      </c>
      <c r="AL504" s="188">
        <f t="shared" si="735"/>
        <v>0</v>
      </c>
      <c r="AM504" s="316">
        <f t="shared" si="762"/>
        <v>0</v>
      </c>
    </row>
    <row r="505" spans="1:49">
      <c r="A505" s="392"/>
      <c r="L505" s="316">
        <f t="shared" si="802"/>
        <v>0</v>
      </c>
      <c r="M505" s="316"/>
      <c r="X505" s="392">
        <f t="shared" si="760"/>
        <v>0</v>
      </c>
      <c r="Y505" s="188">
        <f t="shared" si="729"/>
        <v>0</v>
      </c>
      <c r="Z505" s="385">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1">
        <f t="shared" si="722"/>
        <v>0</v>
      </c>
      <c r="AJ505" s="401">
        <f t="shared" si="781"/>
        <v>0</v>
      </c>
      <c r="AK505" s="401">
        <f t="shared" si="723"/>
        <v>0</v>
      </c>
      <c r="AL505" s="188">
        <f t="shared" si="735"/>
        <v>0</v>
      </c>
      <c r="AM505" s="316">
        <f t="shared" si="762"/>
        <v>0</v>
      </c>
    </row>
    <row r="506" spans="1:49">
      <c r="A506" s="392"/>
      <c r="L506" s="316">
        <f t="shared" si="802"/>
        <v>0</v>
      </c>
      <c r="M506" s="316"/>
      <c r="X506" s="392">
        <f t="shared" si="760"/>
        <v>0</v>
      </c>
      <c r="Y506" s="188">
        <f t="shared" si="729"/>
        <v>0</v>
      </c>
      <c r="Z506" s="385">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1">
        <f t="shared" si="722"/>
        <v>0</v>
      </c>
      <c r="AJ506" s="401">
        <f t="shared" si="781"/>
        <v>0</v>
      </c>
      <c r="AK506" s="401">
        <f t="shared" si="723"/>
        <v>0</v>
      </c>
      <c r="AL506" s="188">
        <f t="shared" si="735"/>
        <v>0</v>
      </c>
      <c r="AM506" s="316">
        <f t="shared" si="762"/>
        <v>0</v>
      </c>
    </row>
    <row r="507" spans="1:49" ht="15.75" thickBot="1">
      <c r="A507" s="395"/>
      <c r="B507" s="236"/>
      <c r="C507" s="21"/>
      <c r="D507" s="21"/>
      <c r="E507" s="21"/>
      <c r="F507" s="21"/>
      <c r="G507" s="21"/>
      <c r="H507" s="21"/>
      <c r="I507" s="236"/>
      <c r="J507" s="236"/>
      <c r="K507" s="236"/>
      <c r="L507" s="317">
        <f t="shared" si="802"/>
        <v>0</v>
      </c>
      <c r="M507" s="317"/>
      <c r="N507" s="236"/>
      <c r="U507" s="236"/>
      <c r="V507" s="236"/>
      <c r="W507" s="236"/>
      <c r="X507" s="395">
        <f t="shared" si="760"/>
        <v>0</v>
      </c>
      <c r="Y507" s="188">
        <f t="shared" si="729"/>
        <v>0</v>
      </c>
      <c r="Z507" s="385">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1">
        <f t="shared" si="722"/>
        <v>0</v>
      </c>
      <c r="AJ507" s="401">
        <f t="shared" si="781"/>
        <v>0</v>
      </c>
      <c r="AK507" s="401">
        <f t="shared" si="723"/>
        <v>0</v>
      </c>
      <c r="AL507" s="188">
        <f t="shared" si="735"/>
        <v>0</v>
      </c>
      <c r="AM507" s="317">
        <f t="shared" si="762"/>
        <v>0</v>
      </c>
      <c r="AN507" s="21"/>
      <c r="AO507" s="21"/>
      <c r="AP507" s="21"/>
      <c r="AQ507" s="21"/>
      <c r="AR507" s="23"/>
      <c r="AS507" s="21"/>
      <c r="AT507" s="21"/>
      <c r="AU507" s="236"/>
      <c r="AV507" s="236"/>
      <c r="AW507" s="21"/>
    </row>
    <row r="508" spans="1:49">
      <c r="A508" s="392"/>
      <c r="L508" s="316">
        <f t="shared" si="802"/>
        <v>0</v>
      </c>
      <c r="M508" s="316"/>
      <c r="X508" s="392">
        <f t="shared" si="760"/>
        <v>0</v>
      </c>
      <c r="Y508" s="188">
        <f t="shared" si="729"/>
        <v>0</v>
      </c>
      <c r="Z508" s="385">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1">
        <f t="shared" si="722"/>
        <v>0</v>
      </c>
      <c r="AJ508" s="401">
        <f t="shared" si="781"/>
        <v>0</v>
      </c>
      <c r="AK508" s="401">
        <f t="shared" si="723"/>
        <v>0</v>
      </c>
      <c r="AL508" s="188">
        <f t="shared" si="735"/>
        <v>0</v>
      </c>
      <c r="AM508" s="316">
        <f t="shared" si="762"/>
        <v>0</v>
      </c>
    </row>
    <row r="509" spans="1:49">
      <c r="A509" s="392"/>
      <c r="L509" s="316">
        <f t="shared" si="802"/>
        <v>0</v>
      </c>
      <c r="M509" s="316"/>
      <c r="X509" s="392">
        <f t="shared" si="760"/>
        <v>0</v>
      </c>
      <c r="Y509" s="188">
        <f t="shared" si="729"/>
        <v>0</v>
      </c>
      <c r="Z509" s="385">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1">
        <f t="shared" ref="AI509:AI544" si="817">O509-AA509+AI508</f>
        <v>0</v>
      </c>
      <c r="AJ509" s="401">
        <f t="shared" si="781"/>
        <v>0</v>
      </c>
      <c r="AK509" s="401">
        <f t="shared" ref="AK509:AK544" si="818">SUM(AI509:AJ509)</f>
        <v>0</v>
      </c>
      <c r="AL509" s="188">
        <f t="shared" si="735"/>
        <v>0</v>
      </c>
      <c r="AM509" s="316">
        <f t="shared" si="762"/>
        <v>0</v>
      </c>
    </row>
    <row r="510" spans="1:49">
      <c r="A510" s="392"/>
      <c r="L510" s="316">
        <f t="shared" si="802"/>
        <v>0</v>
      </c>
      <c r="M510" s="316"/>
      <c r="X510" s="392">
        <f t="shared" si="760"/>
        <v>0</v>
      </c>
      <c r="Y510" s="188">
        <f t="shared" si="729"/>
        <v>0</v>
      </c>
      <c r="Z510" s="385">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1">
        <f t="shared" si="817"/>
        <v>0</v>
      </c>
      <c r="AJ510" s="401">
        <f t="shared" si="781"/>
        <v>0</v>
      </c>
      <c r="AK510" s="401">
        <f t="shared" si="818"/>
        <v>0</v>
      </c>
      <c r="AL510" s="188">
        <f t="shared" si="735"/>
        <v>0</v>
      </c>
      <c r="AM510" s="316">
        <f t="shared" si="762"/>
        <v>0</v>
      </c>
    </row>
    <row r="511" spans="1:49">
      <c r="A511" s="392"/>
      <c r="L511" s="316">
        <f t="shared" si="802"/>
        <v>0</v>
      </c>
      <c r="M511" s="316"/>
      <c r="X511" s="392">
        <f t="shared" si="760"/>
        <v>0</v>
      </c>
      <c r="Y511" s="188">
        <f t="shared" ref="Y511:Y544" si="820">IF(+AL510&lt;0,0,+AL510)</f>
        <v>0</v>
      </c>
      <c r="Z511" s="385">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1">
        <f t="shared" si="817"/>
        <v>0</v>
      </c>
      <c r="AJ511" s="401">
        <f t="shared" si="781"/>
        <v>0</v>
      </c>
      <c r="AK511" s="401">
        <f t="shared" si="818"/>
        <v>0</v>
      </c>
      <c r="AL511" s="188">
        <f t="shared" ref="AL511:AL544" si="826">+Y511-AB511</f>
        <v>0</v>
      </c>
      <c r="AM511" s="316">
        <f t="shared" si="762"/>
        <v>0</v>
      </c>
    </row>
    <row r="512" spans="1:49">
      <c r="A512" s="392"/>
      <c r="L512" s="316">
        <f t="shared" si="802"/>
        <v>0</v>
      </c>
      <c r="M512" s="316"/>
      <c r="X512" s="392">
        <f t="shared" si="760"/>
        <v>0</v>
      </c>
      <c r="Y512" s="188">
        <f t="shared" si="820"/>
        <v>0</v>
      </c>
      <c r="Z512" s="385">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1">
        <f t="shared" si="817"/>
        <v>0</v>
      </c>
      <c r="AJ512" s="401">
        <f t="shared" si="781"/>
        <v>0</v>
      </c>
      <c r="AK512" s="401">
        <f t="shared" si="818"/>
        <v>0</v>
      </c>
      <c r="AL512" s="188">
        <f t="shared" si="826"/>
        <v>0</v>
      </c>
      <c r="AM512" s="316">
        <f t="shared" si="762"/>
        <v>0</v>
      </c>
    </row>
    <row r="513" spans="1:49">
      <c r="A513" s="392"/>
      <c r="L513" s="316">
        <f t="shared" si="802"/>
        <v>0</v>
      </c>
      <c r="M513" s="316"/>
      <c r="X513" s="392">
        <f t="shared" si="760"/>
        <v>0</v>
      </c>
      <c r="Y513" s="188">
        <f t="shared" si="820"/>
        <v>0</v>
      </c>
      <c r="Z513" s="385">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1">
        <f t="shared" si="817"/>
        <v>0</v>
      </c>
      <c r="AJ513" s="401">
        <f t="shared" si="781"/>
        <v>0</v>
      </c>
      <c r="AK513" s="401">
        <f t="shared" si="818"/>
        <v>0</v>
      </c>
      <c r="AL513" s="188">
        <f t="shared" si="826"/>
        <v>0</v>
      </c>
      <c r="AM513" s="316">
        <f t="shared" si="762"/>
        <v>0</v>
      </c>
    </row>
    <row r="514" spans="1:49">
      <c r="A514" s="392"/>
      <c r="L514" s="316">
        <f t="shared" si="802"/>
        <v>0</v>
      </c>
      <c r="M514" s="316"/>
      <c r="X514" s="392">
        <f t="shared" si="760"/>
        <v>0</v>
      </c>
      <c r="Y514" s="188">
        <f t="shared" si="820"/>
        <v>0</v>
      </c>
      <c r="Z514" s="385">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1">
        <f t="shared" si="817"/>
        <v>0</v>
      </c>
      <c r="AJ514" s="401">
        <f t="shared" si="781"/>
        <v>0</v>
      </c>
      <c r="AK514" s="401">
        <f t="shared" si="818"/>
        <v>0</v>
      </c>
      <c r="AL514" s="188">
        <f t="shared" si="826"/>
        <v>0</v>
      </c>
      <c r="AM514" s="316">
        <f t="shared" si="762"/>
        <v>0</v>
      </c>
    </row>
    <row r="515" spans="1:49">
      <c r="A515" s="392"/>
      <c r="L515" s="316">
        <f t="shared" si="802"/>
        <v>0</v>
      </c>
      <c r="M515" s="316"/>
      <c r="X515" s="392">
        <f t="shared" si="760"/>
        <v>0</v>
      </c>
      <c r="Y515" s="188">
        <f t="shared" si="820"/>
        <v>0</v>
      </c>
      <c r="Z515" s="385">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1">
        <f t="shared" si="817"/>
        <v>0</v>
      </c>
      <c r="AJ515" s="401">
        <f t="shared" si="781"/>
        <v>0</v>
      </c>
      <c r="AK515" s="401">
        <f t="shared" si="818"/>
        <v>0</v>
      </c>
      <c r="AL515" s="188">
        <f t="shared" si="826"/>
        <v>0</v>
      </c>
      <c r="AM515" s="316">
        <f t="shared" si="762"/>
        <v>0</v>
      </c>
    </row>
    <row r="516" spans="1:49">
      <c r="A516" s="392"/>
      <c r="L516" s="316">
        <f t="shared" si="802"/>
        <v>0</v>
      </c>
      <c r="M516" s="316"/>
      <c r="X516" s="392">
        <f t="shared" si="760"/>
        <v>0</v>
      </c>
      <c r="Y516" s="188">
        <f t="shared" si="820"/>
        <v>0</v>
      </c>
      <c r="Z516" s="385">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1">
        <f t="shared" si="817"/>
        <v>0</v>
      </c>
      <c r="AJ516" s="401">
        <f t="shared" si="781"/>
        <v>0</v>
      </c>
      <c r="AK516" s="401">
        <f t="shared" si="818"/>
        <v>0</v>
      </c>
      <c r="AL516" s="188">
        <f t="shared" si="826"/>
        <v>0</v>
      </c>
      <c r="AM516" s="316">
        <f t="shared" si="762"/>
        <v>0</v>
      </c>
    </row>
    <row r="517" spans="1:49">
      <c r="A517" s="392"/>
      <c r="L517" s="316">
        <f t="shared" si="802"/>
        <v>0</v>
      </c>
      <c r="M517" s="316"/>
      <c r="X517" s="392">
        <f t="shared" si="760"/>
        <v>0</v>
      </c>
      <c r="Y517" s="188">
        <f t="shared" si="820"/>
        <v>0</v>
      </c>
      <c r="Z517" s="385">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1">
        <f t="shared" si="817"/>
        <v>0</v>
      </c>
      <c r="AJ517" s="401">
        <f t="shared" si="781"/>
        <v>0</v>
      </c>
      <c r="AK517" s="401">
        <f t="shared" si="818"/>
        <v>0</v>
      </c>
      <c r="AL517" s="188">
        <f t="shared" si="826"/>
        <v>0</v>
      </c>
      <c r="AM517" s="316">
        <f t="shared" si="762"/>
        <v>0</v>
      </c>
    </row>
    <row r="518" spans="1:49">
      <c r="A518" s="392"/>
      <c r="L518" s="316">
        <f t="shared" si="802"/>
        <v>0</v>
      </c>
      <c r="M518" s="316"/>
      <c r="X518" s="392">
        <f t="shared" si="760"/>
        <v>0</v>
      </c>
      <c r="Y518" s="188">
        <f t="shared" si="820"/>
        <v>0</v>
      </c>
      <c r="Z518" s="385">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1">
        <f t="shared" si="817"/>
        <v>0</v>
      </c>
      <c r="AJ518" s="401">
        <f t="shared" si="781"/>
        <v>0</v>
      </c>
      <c r="AK518" s="401">
        <f t="shared" si="818"/>
        <v>0</v>
      </c>
      <c r="AL518" s="188">
        <f t="shared" si="826"/>
        <v>0</v>
      </c>
      <c r="AM518" s="316">
        <f t="shared" si="762"/>
        <v>0</v>
      </c>
    </row>
    <row r="519" spans="1:49" ht="15.75" thickBot="1">
      <c r="A519" s="395"/>
      <c r="B519" s="236"/>
      <c r="C519" s="21"/>
      <c r="D519" s="21"/>
      <c r="E519" s="21"/>
      <c r="F519" s="21"/>
      <c r="G519" s="21"/>
      <c r="H519" s="21"/>
      <c r="I519" s="236"/>
      <c r="J519" s="236"/>
      <c r="K519" s="236"/>
      <c r="L519" s="317">
        <f t="shared" si="802"/>
        <v>0</v>
      </c>
      <c r="M519" s="317"/>
      <c r="N519" s="236"/>
      <c r="U519" s="236"/>
      <c r="V519" s="236"/>
      <c r="W519" s="236"/>
      <c r="X519" s="395">
        <f t="shared" si="760"/>
        <v>0</v>
      </c>
      <c r="Y519" s="188">
        <f t="shared" si="820"/>
        <v>0</v>
      </c>
      <c r="Z519" s="385">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1">
        <f t="shared" si="817"/>
        <v>0</v>
      </c>
      <c r="AJ519" s="401">
        <f t="shared" si="781"/>
        <v>0</v>
      </c>
      <c r="AK519" s="401">
        <f t="shared" si="818"/>
        <v>0</v>
      </c>
      <c r="AL519" s="188">
        <f t="shared" si="826"/>
        <v>0</v>
      </c>
      <c r="AM519" s="317">
        <f t="shared" si="762"/>
        <v>0</v>
      </c>
      <c r="AN519" s="21"/>
      <c r="AO519" s="21"/>
      <c r="AP519" s="21"/>
      <c r="AQ519" s="21"/>
      <c r="AR519" s="23"/>
      <c r="AS519" s="21"/>
      <c r="AT519" s="21"/>
      <c r="AU519" s="236"/>
      <c r="AV519" s="236"/>
      <c r="AW519" s="21"/>
    </row>
    <row r="520" spans="1:49">
      <c r="A520" s="392"/>
      <c r="L520" s="316">
        <f t="shared" si="802"/>
        <v>0</v>
      </c>
      <c r="M520" s="316"/>
      <c r="X520" s="392">
        <f t="shared" si="760"/>
        <v>0</v>
      </c>
      <c r="Y520" s="188">
        <f t="shared" si="820"/>
        <v>0</v>
      </c>
      <c r="Z520" s="385">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1">
        <f t="shared" si="817"/>
        <v>0</v>
      </c>
      <c r="AJ520" s="401">
        <f t="shared" si="781"/>
        <v>0</v>
      </c>
      <c r="AK520" s="401">
        <f t="shared" si="818"/>
        <v>0</v>
      </c>
      <c r="AL520" s="188">
        <f t="shared" si="826"/>
        <v>0</v>
      </c>
      <c r="AM520" s="316">
        <f t="shared" si="762"/>
        <v>0</v>
      </c>
    </row>
    <row r="521" spans="1:49">
      <c r="A521" s="392"/>
      <c r="L521" s="316">
        <f t="shared" si="802"/>
        <v>0</v>
      </c>
      <c r="M521" s="316"/>
      <c r="X521" s="392">
        <f t="shared" si="760"/>
        <v>0</v>
      </c>
      <c r="Y521" s="188">
        <f t="shared" si="820"/>
        <v>0</v>
      </c>
      <c r="Z521" s="385">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1">
        <f t="shared" si="817"/>
        <v>0</v>
      </c>
      <c r="AJ521" s="401">
        <f t="shared" si="781"/>
        <v>0</v>
      </c>
      <c r="AK521" s="401">
        <f t="shared" si="818"/>
        <v>0</v>
      </c>
      <c r="AL521" s="188">
        <f t="shared" si="826"/>
        <v>0</v>
      </c>
      <c r="AM521" s="316">
        <f t="shared" si="762"/>
        <v>0</v>
      </c>
    </row>
    <row r="522" spans="1:49">
      <c r="A522" s="392"/>
      <c r="L522" s="316">
        <f t="shared" si="802"/>
        <v>0</v>
      </c>
      <c r="M522" s="316"/>
      <c r="X522" s="392">
        <f t="shared" si="760"/>
        <v>0</v>
      </c>
      <c r="Y522" s="188">
        <f t="shared" si="820"/>
        <v>0</v>
      </c>
      <c r="Z522" s="385">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1">
        <f t="shared" si="817"/>
        <v>0</v>
      </c>
      <c r="AJ522" s="401">
        <f t="shared" si="781"/>
        <v>0</v>
      </c>
      <c r="AK522" s="401">
        <f t="shared" si="818"/>
        <v>0</v>
      </c>
      <c r="AL522" s="188">
        <f t="shared" si="826"/>
        <v>0</v>
      </c>
      <c r="AM522" s="316">
        <f t="shared" si="762"/>
        <v>0</v>
      </c>
    </row>
    <row r="523" spans="1:49">
      <c r="A523" s="392"/>
      <c r="L523" s="316">
        <f t="shared" si="802"/>
        <v>0</v>
      </c>
      <c r="M523" s="316"/>
      <c r="X523" s="392">
        <f t="shared" si="760"/>
        <v>0</v>
      </c>
      <c r="Y523" s="188">
        <f t="shared" si="820"/>
        <v>0</v>
      </c>
      <c r="Z523" s="385">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1">
        <f t="shared" si="817"/>
        <v>0</v>
      </c>
      <c r="AJ523" s="401">
        <f t="shared" si="781"/>
        <v>0</v>
      </c>
      <c r="AK523" s="401">
        <f t="shared" si="818"/>
        <v>0</v>
      </c>
      <c r="AL523" s="188">
        <f t="shared" si="826"/>
        <v>0</v>
      </c>
      <c r="AM523" s="316">
        <f t="shared" si="762"/>
        <v>0</v>
      </c>
    </row>
    <row r="524" spans="1:49">
      <c r="A524" s="392"/>
      <c r="L524" s="316">
        <f t="shared" si="802"/>
        <v>0</v>
      </c>
      <c r="M524" s="316"/>
      <c r="X524" s="392">
        <f t="shared" si="760"/>
        <v>0</v>
      </c>
      <c r="Y524" s="188">
        <f t="shared" si="820"/>
        <v>0</v>
      </c>
      <c r="Z524" s="385">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1">
        <f t="shared" si="817"/>
        <v>0</v>
      </c>
      <c r="AJ524" s="401">
        <f t="shared" si="781"/>
        <v>0</v>
      </c>
      <c r="AK524" s="401">
        <f t="shared" si="818"/>
        <v>0</v>
      </c>
      <c r="AL524" s="188">
        <f t="shared" si="826"/>
        <v>0</v>
      </c>
      <c r="AM524" s="316">
        <f t="shared" si="762"/>
        <v>0</v>
      </c>
    </row>
    <row r="525" spans="1:49">
      <c r="A525" s="392"/>
      <c r="L525" s="316">
        <f t="shared" si="802"/>
        <v>0</v>
      </c>
      <c r="M525" s="316"/>
      <c r="X525" s="392">
        <f t="shared" si="760"/>
        <v>0</v>
      </c>
      <c r="Y525" s="188">
        <f t="shared" si="820"/>
        <v>0</v>
      </c>
      <c r="Z525" s="385">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1">
        <f t="shared" si="817"/>
        <v>0</v>
      </c>
      <c r="AJ525" s="401">
        <f t="shared" si="781"/>
        <v>0</v>
      </c>
      <c r="AK525" s="401">
        <f t="shared" si="818"/>
        <v>0</v>
      </c>
      <c r="AL525" s="188">
        <f t="shared" si="826"/>
        <v>0</v>
      </c>
      <c r="AM525" s="316">
        <f t="shared" si="762"/>
        <v>0</v>
      </c>
    </row>
    <row r="526" spans="1:49">
      <c r="A526" s="392"/>
      <c r="L526" s="316">
        <f t="shared" si="802"/>
        <v>0</v>
      </c>
      <c r="M526" s="316"/>
      <c r="X526" s="392">
        <f t="shared" si="760"/>
        <v>0</v>
      </c>
      <c r="Y526" s="188">
        <f t="shared" si="820"/>
        <v>0</v>
      </c>
      <c r="Z526" s="385">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1">
        <f t="shared" si="817"/>
        <v>0</v>
      </c>
      <c r="AJ526" s="401">
        <f t="shared" si="781"/>
        <v>0</v>
      </c>
      <c r="AK526" s="401">
        <f t="shared" si="818"/>
        <v>0</v>
      </c>
      <c r="AL526" s="188">
        <f t="shared" si="826"/>
        <v>0</v>
      </c>
      <c r="AM526" s="316">
        <f t="shared" si="762"/>
        <v>0</v>
      </c>
    </row>
    <row r="527" spans="1:49">
      <c r="A527" s="392"/>
      <c r="L527" s="316">
        <f t="shared" si="802"/>
        <v>0</v>
      </c>
      <c r="M527" s="316"/>
      <c r="X527" s="392">
        <f t="shared" si="760"/>
        <v>0</v>
      </c>
      <c r="Y527" s="188">
        <f t="shared" si="820"/>
        <v>0</v>
      </c>
      <c r="Z527" s="385">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1">
        <f t="shared" si="817"/>
        <v>0</v>
      </c>
      <c r="AJ527" s="401">
        <f t="shared" si="781"/>
        <v>0</v>
      </c>
      <c r="AK527" s="401">
        <f t="shared" si="818"/>
        <v>0</v>
      </c>
      <c r="AL527" s="188">
        <f t="shared" si="826"/>
        <v>0</v>
      </c>
      <c r="AM527" s="316">
        <f t="shared" si="762"/>
        <v>0</v>
      </c>
    </row>
    <row r="528" spans="1:49">
      <c r="A528" s="392"/>
      <c r="L528" s="316">
        <f t="shared" si="802"/>
        <v>0</v>
      </c>
      <c r="M528" s="316"/>
      <c r="X528" s="392">
        <f t="shared" si="760"/>
        <v>0</v>
      </c>
      <c r="Y528" s="188">
        <f t="shared" si="820"/>
        <v>0</v>
      </c>
      <c r="Z528" s="385">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1">
        <f t="shared" si="817"/>
        <v>0</v>
      </c>
      <c r="AJ528" s="401">
        <f t="shared" si="781"/>
        <v>0</v>
      </c>
      <c r="AK528" s="401">
        <f t="shared" si="818"/>
        <v>0</v>
      </c>
      <c r="AL528" s="188">
        <f t="shared" si="826"/>
        <v>0</v>
      </c>
      <c r="AM528" s="316">
        <f t="shared" si="762"/>
        <v>0</v>
      </c>
    </row>
    <row r="529" spans="1:49">
      <c r="A529" s="392"/>
      <c r="L529" s="316">
        <f t="shared" si="802"/>
        <v>0</v>
      </c>
      <c r="M529" s="316"/>
      <c r="X529" s="392">
        <f t="shared" ref="X529:X592" si="847">+A529</f>
        <v>0</v>
      </c>
      <c r="Y529" s="188">
        <f t="shared" si="820"/>
        <v>0</v>
      </c>
      <c r="Z529" s="385">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1">
        <f t="shared" si="817"/>
        <v>0</v>
      </c>
      <c r="AJ529" s="401">
        <f t="shared" si="781"/>
        <v>0</v>
      </c>
      <c r="AK529" s="401">
        <f t="shared" si="818"/>
        <v>0</v>
      </c>
      <c r="AL529" s="188">
        <f t="shared" si="826"/>
        <v>0</v>
      </c>
      <c r="AM529" s="316">
        <f t="shared" ref="AM529:AM592" si="849">+L529</f>
        <v>0</v>
      </c>
    </row>
    <row r="530" spans="1:49">
      <c r="A530" s="392"/>
      <c r="L530" s="316">
        <f t="shared" si="802"/>
        <v>0</v>
      </c>
      <c r="M530" s="316"/>
      <c r="X530" s="392">
        <f t="shared" si="847"/>
        <v>0</v>
      </c>
      <c r="Y530" s="188">
        <f t="shared" si="820"/>
        <v>0</v>
      </c>
      <c r="Z530" s="385">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1">
        <f t="shared" si="817"/>
        <v>0</v>
      </c>
      <c r="AJ530" s="401">
        <f t="shared" si="781"/>
        <v>0</v>
      </c>
      <c r="AK530" s="401">
        <f t="shared" si="818"/>
        <v>0</v>
      </c>
      <c r="AL530" s="188">
        <f t="shared" si="826"/>
        <v>0</v>
      </c>
      <c r="AM530" s="316">
        <f t="shared" si="849"/>
        <v>0</v>
      </c>
    </row>
    <row r="531" spans="1:49" ht="15.75" thickBot="1">
      <c r="A531" s="395"/>
      <c r="B531" s="236"/>
      <c r="C531" s="21"/>
      <c r="D531" s="21"/>
      <c r="E531" s="21"/>
      <c r="F531" s="21"/>
      <c r="G531" s="21"/>
      <c r="H531" s="21"/>
      <c r="I531" s="236"/>
      <c r="J531" s="236"/>
      <c r="K531" s="236"/>
      <c r="L531" s="317">
        <f t="shared" si="802"/>
        <v>0</v>
      </c>
      <c r="M531" s="317"/>
      <c r="N531" s="236"/>
      <c r="U531" s="236"/>
      <c r="V531" s="236"/>
      <c r="W531" s="236"/>
      <c r="X531" s="395">
        <f t="shared" si="847"/>
        <v>0</v>
      </c>
      <c r="Y531" s="188">
        <f t="shared" si="820"/>
        <v>0</v>
      </c>
      <c r="Z531" s="385">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1">
        <f t="shared" si="817"/>
        <v>0</v>
      </c>
      <c r="AJ531" s="401">
        <f t="shared" si="781"/>
        <v>0</v>
      </c>
      <c r="AK531" s="401">
        <f t="shared" si="818"/>
        <v>0</v>
      </c>
      <c r="AL531" s="188">
        <f t="shared" si="826"/>
        <v>0</v>
      </c>
      <c r="AM531" s="317">
        <f t="shared" si="849"/>
        <v>0</v>
      </c>
      <c r="AN531" s="21"/>
      <c r="AO531" s="21"/>
      <c r="AP531" s="21"/>
      <c r="AQ531" s="21"/>
      <c r="AR531" s="23"/>
      <c r="AS531" s="21"/>
      <c r="AT531" s="21"/>
      <c r="AU531" s="236"/>
      <c r="AV531" s="236"/>
      <c r="AW531" s="21"/>
    </row>
    <row r="532" spans="1:49">
      <c r="A532" s="392"/>
      <c r="L532" s="316">
        <f t="shared" si="802"/>
        <v>0</v>
      </c>
      <c r="M532" s="316"/>
      <c r="X532" s="392">
        <f t="shared" si="847"/>
        <v>0</v>
      </c>
      <c r="Y532" s="188">
        <f t="shared" si="820"/>
        <v>0</v>
      </c>
      <c r="Z532" s="385">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1">
        <f t="shared" si="817"/>
        <v>0</v>
      </c>
      <c r="AJ532" s="401">
        <f t="shared" si="781"/>
        <v>0</v>
      </c>
      <c r="AK532" s="401">
        <f t="shared" si="818"/>
        <v>0</v>
      </c>
      <c r="AL532" s="188">
        <f t="shared" si="826"/>
        <v>0</v>
      </c>
      <c r="AM532" s="316">
        <f t="shared" si="849"/>
        <v>0</v>
      </c>
    </row>
    <row r="533" spans="1:49">
      <c r="A533" s="392"/>
      <c r="L533" s="316">
        <f t="shared" si="802"/>
        <v>0</v>
      </c>
      <c r="M533" s="316"/>
      <c r="X533" s="392">
        <f t="shared" si="847"/>
        <v>0</v>
      </c>
      <c r="Y533" s="188">
        <f t="shared" si="820"/>
        <v>0</v>
      </c>
      <c r="Z533" s="385">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1">
        <f t="shared" si="817"/>
        <v>0</v>
      </c>
      <c r="AJ533" s="401">
        <f t="shared" si="781"/>
        <v>0</v>
      </c>
      <c r="AK533" s="401">
        <f t="shared" si="818"/>
        <v>0</v>
      </c>
      <c r="AL533" s="188">
        <f t="shared" si="826"/>
        <v>0</v>
      </c>
      <c r="AM533" s="316">
        <f t="shared" si="849"/>
        <v>0</v>
      </c>
    </row>
    <row r="534" spans="1:49">
      <c r="A534" s="392"/>
      <c r="L534" s="316">
        <f t="shared" si="802"/>
        <v>0</v>
      </c>
      <c r="M534" s="316"/>
      <c r="X534" s="392">
        <f t="shared" si="847"/>
        <v>0</v>
      </c>
      <c r="Y534" s="188">
        <f t="shared" si="820"/>
        <v>0</v>
      </c>
      <c r="Z534" s="385">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1">
        <f t="shared" si="817"/>
        <v>0</v>
      </c>
      <c r="AJ534" s="401">
        <f t="shared" si="781"/>
        <v>0</v>
      </c>
      <c r="AK534" s="401">
        <f t="shared" si="818"/>
        <v>0</v>
      </c>
      <c r="AL534" s="188">
        <f t="shared" si="826"/>
        <v>0</v>
      </c>
      <c r="AM534" s="316">
        <f t="shared" si="849"/>
        <v>0</v>
      </c>
    </row>
    <row r="535" spans="1:49">
      <c r="A535" s="392"/>
      <c r="L535" s="316">
        <f t="shared" si="802"/>
        <v>0</v>
      </c>
      <c r="M535" s="316"/>
      <c r="X535" s="392">
        <f t="shared" si="847"/>
        <v>0</v>
      </c>
      <c r="Y535" s="188">
        <f t="shared" si="820"/>
        <v>0</v>
      </c>
      <c r="Z535" s="385">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1">
        <f t="shared" si="817"/>
        <v>0</v>
      </c>
      <c r="AJ535" s="401">
        <f t="shared" si="781"/>
        <v>0</v>
      </c>
      <c r="AK535" s="401">
        <f t="shared" si="818"/>
        <v>0</v>
      </c>
      <c r="AL535" s="188">
        <f t="shared" si="826"/>
        <v>0</v>
      </c>
      <c r="AM535" s="316">
        <f t="shared" si="849"/>
        <v>0</v>
      </c>
    </row>
    <row r="536" spans="1:49">
      <c r="A536" s="392"/>
      <c r="L536" s="316">
        <f t="shared" si="802"/>
        <v>0</v>
      </c>
      <c r="M536" s="316"/>
      <c r="X536" s="392">
        <f t="shared" si="847"/>
        <v>0</v>
      </c>
      <c r="Y536" s="188">
        <f t="shared" si="820"/>
        <v>0</v>
      </c>
      <c r="Z536" s="385">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1">
        <f t="shared" si="817"/>
        <v>0</v>
      </c>
      <c r="AJ536" s="401">
        <f t="shared" si="781"/>
        <v>0</v>
      </c>
      <c r="AK536" s="401">
        <f t="shared" si="818"/>
        <v>0</v>
      </c>
      <c r="AL536" s="188">
        <f t="shared" si="826"/>
        <v>0</v>
      </c>
      <c r="AM536" s="316">
        <f t="shared" si="849"/>
        <v>0</v>
      </c>
    </row>
    <row r="537" spans="1:49">
      <c r="A537" s="392"/>
      <c r="L537" s="316">
        <f t="shared" si="802"/>
        <v>0</v>
      </c>
      <c r="M537" s="316"/>
      <c r="X537" s="392">
        <f t="shared" si="847"/>
        <v>0</v>
      </c>
      <c r="Y537" s="188">
        <f t="shared" si="820"/>
        <v>0</v>
      </c>
      <c r="Z537" s="385">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1">
        <f t="shared" si="817"/>
        <v>0</v>
      </c>
      <c r="AJ537" s="401">
        <f t="shared" si="781"/>
        <v>0</v>
      </c>
      <c r="AK537" s="401">
        <f t="shared" si="818"/>
        <v>0</v>
      </c>
      <c r="AL537" s="188">
        <f t="shared" si="826"/>
        <v>0</v>
      </c>
      <c r="AM537" s="316">
        <f t="shared" si="849"/>
        <v>0</v>
      </c>
    </row>
    <row r="538" spans="1:49">
      <c r="A538" s="392"/>
      <c r="L538" s="316">
        <f t="shared" si="802"/>
        <v>0</v>
      </c>
      <c r="M538" s="316"/>
      <c r="X538" s="392">
        <f t="shared" si="847"/>
        <v>0</v>
      </c>
      <c r="Y538" s="188">
        <f t="shared" si="820"/>
        <v>0</v>
      </c>
      <c r="Z538" s="385">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1">
        <f t="shared" si="817"/>
        <v>0</v>
      </c>
      <c r="AJ538" s="401">
        <f t="shared" si="781"/>
        <v>0</v>
      </c>
      <c r="AK538" s="401">
        <f t="shared" si="818"/>
        <v>0</v>
      </c>
      <c r="AL538" s="188">
        <f t="shared" si="826"/>
        <v>0</v>
      </c>
      <c r="AM538" s="316">
        <f t="shared" si="849"/>
        <v>0</v>
      </c>
    </row>
    <row r="539" spans="1:49">
      <c r="A539" s="392"/>
      <c r="L539" s="316">
        <f t="shared" si="802"/>
        <v>0</v>
      </c>
      <c r="M539" s="316"/>
      <c r="X539" s="392">
        <f t="shared" si="847"/>
        <v>0</v>
      </c>
      <c r="Y539" s="188">
        <f t="shared" si="820"/>
        <v>0</v>
      </c>
      <c r="Z539" s="385">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1">
        <f t="shared" si="817"/>
        <v>0</v>
      </c>
      <c r="AJ539" s="401">
        <f t="shared" si="781"/>
        <v>0</v>
      </c>
      <c r="AK539" s="401">
        <f t="shared" si="818"/>
        <v>0</v>
      </c>
      <c r="AL539" s="188">
        <f t="shared" si="826"/>
        <v>0</v>
      </c>
      <c r="AM539" s="316">
        <f t="shared" si="849"/>
        <v>0</v>
      </c>
    </row>
    <row r="540" spans="1:49">
      <c r="A540" s="392"/>
      <c r="L540" s="316">
        <f t="shared" si="802"/>
        <v>0</v>
      </c>
      <c r="M540" s="316"/>
      <c r="X540" s="392">
        <f t="shared" si="847"/>
        <v>0</v>
      </c>
      <c r="Y540" s="188">
        <f t="shared" si="820"/>
        <v>0</v>
      </c>
      <c r="Z540" s="385">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1">
        <f t="shared" si="817"/>
        <v>0</v>
      </c>
      <c r="AJ540" s="401">
        <f t="shared" ref="AJ540:AJ544" si="861">+W540-AL540</f>
        <v>0</v>
      </c>
      <c r="AK540" s="401">
        <f t="shared" si="818"/>
        <v>0</v>
      </c>
      <c r="AL540" s="188">
        <f t="shared" si="826"/>
        <v>0</v>
      </c>
      <c r="AM540" s="316">
        <f t="shared" si="849"/>
        <v>0</v>
      </c>
    </row>
    <row r="541" spans="1:49">
      <c r="A541" s="392"/>
      <c r="L541" s="316">
        <f t="shared" si="802"/>
        <v>0</v>
      </c>
      <c r="M541" s="316"/>
      <c r="X541" s="392">
        <f t="shared" si="847"/>
        <v>0</v>
      </c>
      <c r="Y541" s="188">
        <f t="shared" si="820"/>
        <v>0</v>
      </c>
      <c r="Z541" s="385">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1">
        <f t="shared" si="817"/>
        <v>0</v>
      </c>
      <c r="AJ541" s="401">
        <f t="shared" si="861"/>
        <v>0</v>
      </c>
      <c r="AK541" s="401">
        <f t="shared" si="818"/>
        <v>0</v>
      </c>
      <c r="AL541" s="188">
        <f t="shared" si="826"/>
        <v>0</v>
      </c>
      <c r="AM541" s="316">
        <f t="shared" si="849"/>
        <v>0</v>
      </c>
    </row>
    <row r="542" spans="1:49">
      <c r="A542" s="392"/>
      <c r="L542" s="316">
        <f t="shared" si="802"/>
        <v>0</v>
      </c>
      <c r="M542" s="316"/>
      <c r="X542" s="392">
        <f t="shared" si="847"/>
        <v>0</v>
      </c>
      <c r="Y542" s="188">
        <f t="shared" si="820"/>
        <v>0</v>
      </c>
      <c r="Z542" s="385">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1">
        <f t="shared" si="817"/>
        <v>0</v>
      </c>
      <c r="AJ542" s="401">
        <f t="shared" si="861"/>
        <v>0</v>
      </c>
      <c r="AK542" s="401">
        <f t="shared" si="818"/>
        <v>0</v>
      </c>
      <c r="AL542" s="188">
        <f t="shared" si="826"/>
        <v>0</v>
      </c>
      <c r="AM542" s="316">
        <f t="shared" si="849"/>
        <v>0</v>
      </c>
    </row>
    <row r="543" spans="1:49" ht="15.75" thickBot="1">
      <c r="A543" s="395"/>
      <c r="B543" s="236"/>
      <c r="C543" s="21"/>
      <c r="D543" s="21"/>
      <c r="E543" s="21"/>
      <c r="F543" s="21"/>
      <c r="G543" s="21"/>
      <c r="H543" s="21"/>
      <c r="I543" s="236"/>
      <c r="J543" s="236"/>
      <c r="K543" s="236"/>
      <c r="L543" s="317">
        <f t="shared" si="802"/>
        <v>0</v>
      </c>
      <c r="M543" s="317"/>
      <c r="N543" s="236"/>
      <c r="U543" s="236"/>
      <c r="V543" s="236"/>
      <c r="W543" s="236"/>
      <c r="X543" s="395">
        <f t="shared" si="847"/>
        <v>0</v>
      </c>
      <c r="Y543" s="188">
        <f t="shared" si="820"/>
        <v>0</v>
      </c>
      <c r="Z543" s="385">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1">
        <f t="shared" si="817"/>
        <v>0</v>
      </c>
      <c r="AJ543" s="401">
        <f t="shared" si="861"/>
        <v>0</v>
      </c>
      <c r="AK543" s="401">
        <f t="shared" si="818"/>
        <v>0</v>
      </c>
      <c r="AL543" s="188">
        <f t="shared" si="826"/>
        <v>0</v>
      </c>
      <c r="AM543" s="317">
        <f t="shared" si="849"/>
        <v>0</v>
      </c>
      <c r="AN543" s="21"/>
      <c r="AO543" s="21"/>
      <c r="AP543" s="21"/>
      <c r="AQ543" s="21"/>
      <c r="AR543" s="23"/>
      <c r="AS543" s="21"/>
      <c r="AT543" s="21"/>
      <c r="AU543" s="236"/>
      <c r="AV543" s="236"/>
      <c r="AW543" s="21"/>
    </row>
    <row r="544" spans="1:49">
      <c r="A544" s="392"/>
      <c r="L544" s="316">
        <f t="shared" si="802"/>
        <v>0</v>
      </c>
      <c r="M544" s="316"/>
      <c r="X544" s="392">
        <f t="shared" si="847"/>
        <v>0</v>
      </c>
      <c r="Y544" s="188">
        <f t="shared" si="820"/>
        <v>0</v>
      </c>
      <c r="Z544" s="385">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1">
        <f t="shared" si="817"/>
        <v>0</v>
      </c>
      <c r="AJ544" s="401">
        <f t="shared" si="861"/>
        <v>0</v>
      </c>
      <c r="AK544" s="401">
        <f t="shared" si="818"/>
        <v>0</v>
      </c>
      <c r="AL544" s="188">
        <f t="shared" si="826"/>
        <v>0</v>
      </c>
      <c r="AM544" s="316">
        <f t="shared" si="849"/>
        <v>0</v>
      </c>
    </row>
    <row r="545" spans="1:49">
      <c r="A545" s="392"/>
      <c r="L545" s="316">
        <f t="shared" si="802"/>
        <v>0</v>
      </c>
      <c r="M545" s="316"/>
      <c r="X545" s="392">
        <f t="shared" si="847"/>
        <v>0</v>
      </c>
      <c r="AM545" s="316">
        <f t="shared" si="849"/>
        <v>0</v>
      </c>
    </row>
    <row r="546" spans="1:49">
      <c r="A546" s="392"/>
      <c r="L546" s="316">
        <f t="shared" si="802"/>
        <v>0</v>
      </c>
      <c r="M546" s="316"/>
      <c r="X546" s="392">
        <f t="shared" si="847"/>
        <v>0</v>
      </c>
      <c r="AM546" s="316">
        <f t="shared" si="849"/>
        <v>0</v>
      </c>
    </row>
    <row r="547" spans="1:49">
      <c r="A547" s="392"/>
      <c r="L547" s="316">
        <f t="shared" si="802"/>
        <v>0</v>
      </c>
      <c r="M547" s="316"/>
      <c r="X547" s="392">
        <f t="shared" si="847"/>
        <v>0</v>
      </c>
      <c r="AM547" s="316">
        <f t="shared" si="849"/>
        <v>0</v>
      </c>
    </row>
    <row r="548" spans="1:49">
      <c r="A548" s="392"/>
      <c r="L548" s="316">
        <f t="shared" si="802"/>
        <v>0</v>
      </c>
      <c r="M548" s="316"/>
      <c r="X548" s="392">
        <f t="shared" si="847"/>
        <v>0</v>
      </c>
      <c r="AM548" s="316">
        <f t="shared" si="849"/>
        <v>0</v>
      </c>
    </row>
    <row r="549" spans="1:49">
      <c r="A549" s="392"/>
      <c r="L549" s="316">
        <f t="shared" si="802"/>
        <v>0</v>
      </c>
      <c r="M549" s="316"/>
      <c r="X549" s="392">
        <f t="shared" si="847"/>
        <v>0</v>
      </c>
      <c r="AM549" s="316">
        <f t="shared" si="849"/>
        <v>0</v>
      </c>
    </row>
    <row r="550" spans="1:49">
      <c r="A550" s="392"/>
      <c r="L550" s="316">
        <f t="shared" si="802"/>
        <v>0</v>
      </c>
      <c r="M550" s="316"/>
      <c r="X550" s="392">
        <f t="shared" si="847"/>
        <v>0</v>
      </c>
      <c r="AM550" s="316">
        <f t="shared" si="849"/>
        <v>0</v>
      </c>
    </row>
    <row r="551" spans="1:49">
      <c r="A551" s="392"/>
      <c r="L551" s="316">
        <f t="shared" si="802"/>
        <v>0</v>
      </c>
      <c r="M551" s="316"/>
      <c r="X551" s="392">
        <f t="shared" si="847"/>
        <v>0</v>
      </c>
      <c r="AM551" s="316">
        <f t="shared" si="849"/>
        <v>0</v>
      </c>
    </row>
    <row r="552" spans="1:49">
      <c r="A552" s="392"/>
      <c r="L552" s="316">
        <f t="shared" si="802"/>
        <v>0</v>
      </c>
      <c r="M552" s="316"/>
      <c r="X552" s="392">
        <f t="shared" si="847"/>
        <v>0</v>
      </c>
      <c r="AM552" s="316">
        <f t="shared" si="849"/>
        <v>0</v>
      </c>
    </row>
    <row r="553" spans="1:49">
      <c r="A553" s="392"/>
      <c r="L553" s="316">
        <f t="shared" si="802"/>
        <v>0</v>
      </c>
      <c r="M553" s="316"/>
      <c r="X553" s="392">
        <f t="shared" si="847"/>
        <v>0</v>
      </c>
      <c r="AM553" s="316">
        <f t="shared" si="849"/>
        <v>0</v>
      </c>
    </row>
    <row r="554" spans="1:49">
      <c r="A554" s="392"/>
      <c r="L554" s="316">
        <f t="shared" si="802"/>
        <v>0</v>
      </c>
      <c r="M554" s="316"/>
      <c r="X554" s="392">
        <f t="shared" si="847"/>
        <v>0</v>
      </c>
      <c r="AM554" s="316">
        <f t="shared" si="849"/>
        <v>0</v>
      </c>
    </row>
    <row r="555" spans="1:49" ht="15.75" thickBot="1">
      <c r="A555" s="395"/>
      <c r="B555" s="236"/>
      <c r="C555" s="21"/>
      <c r="D555" s="21"/>
      <c r="E555" s="21"/>
      <c r="F555" s="21"/>
      <c r="G555" s="21"/>
      <c r="H555" s="21"/>
      <c r="I555" s="236"/>
      <c r="J555" s="236"/>
      <c r="K555" s="236"/>
      <c r="L555" s="317">
        <f t="shared" si="802"/>
        <v>0</v>
      </c>
      <c r="M555" s="317"/>
      <c r="N555" s="236"/>
      <c r="O555" s="21"/>
      <c r="P555" s="21"/>
      <c r="Q555" s="21"/>
      <c r="R555" s="21"/>
      <c r="S555" s="21"/>
      <c r="T555" s="21"/>
      <c r="U555" s="236"/>
      <c r="V555" s="236"/>
      <c r="W555" s="236"/>
      <c r="X555" s="395">
        <f t="shared" si="847"/>
        <v>0</v>
      </c>
      <c r="Y555" s="236"/>
      <c r="Z555" s="386"/>
      <c r="AA555" s="21"/>
      <c r="AB555" s="21"/>
      <c r="AC555" s="21"/>
      <c r="AD555" s="21"/>
      <c r="AE555" s="21"/>
      <c r="AF555" s="21"/>
      <c r="AG555" s="236"/>
      <c r="AH555" s="236"/>
      <c r="AI555" s="236"/>
      <c r="AJ555" s="236"/>
      <c r="AK555" s="236"/>
      <c r="AL555" s="236"/>
      <c r="AM555" s="317">
        <f t="shared" si="849"/>
        <v>0</v>
      </c>
      <c r="AN555" s="21"/>
      <c r="AO555" s="21"/>
      <c r="AP555" s="21"/>
      <c r="AQ555" s="21"/>
      <c r="AR555" s="23"/>
      <c r="AS555" s="21"/>
      <c r="AT555" s="21"/>
      <c r="AU555" s="236"/>
      <c r="AV555" s="236"/>
      <c r="AW555" s="21"/>
    </row>
    <row r="556" spans="1:49">
      <c r="A556" s="392"/>
      <c r="L556" s="316">
        <f t="shared" si="802"/>
        <v>0</v>
      </c>
      <c r="M556" s="316"/>
      <c r="X556" s="392">
        <f t="shared" si="847"/>
        <v>0</v>
      </c>
      <c r="AM556" s="316">
        <f t="shared" si="849"/>
        <v>0</v>
      </c>
    </row>
    <row r="557" spans="1:49">
      <c r="A557" s="392"/>
      <c r="L557" s="316">
        <f t="shared" si="802"/>
        <v>0</v>
      </c>
      <c r="M557" s="316"/>
      <c r="X557" s="392">
        <f t="shared" si="847"/>
        <v>0</v>
      </c>
      <c r="AM557" s="316">
        <f t="shared" si="849"/>
        <v>0</v>
      </c>
    </row>
    <row r="558" spans="1:49">
      <c r="A558" s="392"/>
      <c r="L558" s="316">
        <f t="shared" si="802"/>
        <v>0</v>
      </c>
      <c r="M558" s="316"/>
      <c r="X558" s="392">
        <f t="shared" si="847"/>
        <v>0</v>
      </c>
      <c r="AM558" s="316">
        <f t="shared" si="849"/>
        <v>0</v>
      </c>
    </row>
    <row r="559" spans="1:49">
      <c r="A559" s="392"/>
      <c r="L559" s="316">
        <f t="shared" si="802"/>
        <v>0</v>
      </c>
      <c r="M559" s="316"/>
      <c r="X559" s="392">
        <f t="shared" si="847"/>
        <v>0</v>
      </c>
      <c r="AM559" s="316">
        <f t="shared" si="849"/>
        <v>0</v>
      </c>
    </row>
    <row r="560" spans="1:49">
      <c r="A560" s="392"/>
      <c r="L560" s="316">
        <f t="shared" ref="L560:L623" si="866">IF(MOD(M560,12)=0,M560/12,L559)</f>
        <v>0</v>
      </c>
      <c r="M560" s="316"/>
      <c r="X560" s="392">
        <f t="shared" si="847"/>
        <v>0</v>
      </c>
      <c r="AM560" s="316">
        <f t="shared" si="849"/>
        <v>0</v>
      </c>
    </row>
    <row r="561" spans="1:49">
      <c r="A561" s="392"/>
      <c r="L561" s="316">
        <f t="shared" si="866"/>
        <v>0</v>
      </c>
      <c r="M561" s="316"/>
      <c r="X561" s="392">
        <f t="shared" si="847"/>
        <v>0</v>
      </c>
      <c r="AM561" s="316">
        <f t="shared" si="849"/>
        <v>0</v>
      </c>
    </row>
    <row r="562" spans="1:49">
      <c r="A562" s="392"/>
      <c r="L562" s="316">
        <f t="shared" si="866"/>
        <v>0</v>
      </c>
      <c r="M562" s="316"/>
      <c r="X562" s="392">
        <f t="shared" si="847"/>
        <v>0</v>
      </c>
      <c r="AM562" s="316">
        <f t="shared" si="849"/>
        <v>0</v>
      </c>
    </row>
    <row r="563" spans="1:49">
      <c r="A563" s="392"/>
      <c r="L563" s="316">
        <f t="shared" si="866"/>
        <v>0</v>
      </c>
      <c r="M563" s="316"/>
      <c r="X563" s="392">
        <f t="shared" si="847"/>
        <v>0</v>
      </c>
      <c r="AM563" s="316">
        <f t="shared" si="849"/>
        <v>0</v>
      </c>
    </row>
    <row r="564" spans="1:49">
      <c r="A564" s="392"/>
      <c r="L564" s="316">
        <f t="shared" si="866"/>
        <v>0</v>
      </c>
      <c r="M564" s="316"/>
      <c r="X564" s="392">
        <f t="shared" si="847"/>
        <v>0</v>
      </c>
      <c r="AM564" s="316">
        <f t="shared" si="849"/>
        <v>0</v>
      </c>
    </row>
    <row r="565" spans="1:49">
      <c r="A565" s="392"/>
      <c r="L565" s="316">
        <f t="shared" si="866"/>
        <v>0</v>
      </c>
      <c r="M565" s="316"/>
      <c r="X565" s="392">
        <f t="shared" si="847"/>
        <v>0</v>
      </c>
      <c r="AM565" s="316">
        <f t="shared" si="849"/>
        <v>0</v>
      </c>
    </row>
    <row r="566" spans="1:49">
      <c r="A566" s="392"/>
      <c r="L566" s="316">
        <f t="shared" si="866"/>
        <v>0</v>
      </c>
      <c r="M566" s="316"/>
      <c r="X566" s="392">
        <f t="shared" si="847"/>
        <v>0</v>
      </c>
      <c r="AM566" s="316">
        <f t="shared" si="849"/>
        <v>0</v>
      </c>
    </row>
    <row r="567" spans="1:49" ht="15.75" thickBot="1">
      <c r="A567" s="395"/>
      <c r="B567" s="236"/>
      <c r="C567" s="21"/>
      <c r="D567" s="21"/>
      <c r="E567" s="21"/>
      <c r="F567" s="21"/>
      <c r="G567" s="21"/>
      <c r="H567" s="21"/>
      <c r="I567" s="236"/>
      <c r="J567" s="236"/>
      <c r="K567" s="236"/>
      <c r="L567" s="317">
        <f t="shared" si="866"/>
        <v>0</v>
      </c>
      <c r="M567" s="317"/>
      <c r="N567" s="236"/>
      <c r="O567" s="21"/>
      <c r="P567" s="21"/>
      <c r="Q567" s="21"/>
      <c r="R567" s="21"/>
      <c r="S567" s="21"/>
      <c r="T567" s="21"/>
      <c r="U567" s="236"/>
      <c r="V567" s="236"/>
      <c r="W567" s="236"/>
      <c r="X567" s="395">
        <f t="shared" si="847"/>
        <v>0</v>
      </c>
      <c r="Y567" s="236"/>
      <c r="Z567" s="386"/>
      <c r="AA567" s="21"/>
      <c r="AB567" s="21"/>
      <c r="AC567" s="21"/>
      <c r="AD567" s="21"/>
      <c r="AE567" s="21"/>
      <c r="AF567" s="21"/>
      <c r="AG567" s="236"/>
      <c r="AH567" s="236"/>
      <c r="AI567" s="236"/>
      <c r="AJ567" s="236"/>
      <c r="AK567" s="236"/>
      <c r="AL567" s="236"/>
      <c r="AM567" s="317">
        <f t="shared" si="849"/>
        <v>0</v>
      </c>
      <c r="AN567" s="21"/>
      <c r="AO567" s="21"/>
      <c r="AP567" s="21"/>
      <c r="AQ567" s="21"/>
      <c r="AR567" s="23"/>
      <c r="AS567" s="21"/>
      <c r="AT567" s="21"/>
      <c r="AU567" s="236"/>
      <c r="AV567" s="236"/>
      <c r="AW567" s="21"/>
    </row>
    <row r="568" spans="1:49">
      <c r="A568" s="392"/>
      <c r="L568" s="316">
        <f t="shared" si="866"/>
        <v>0</v>
      </c>
      <c r="M568" s="316"/>
      <c r="X568" s="392">
        <f t="shared" si="847"/>
        <v>0</v>
      </c>
      <c r="AM568" s="316">
        <f t="shared" si="849"/>
        <v>0</v>
      </c>
    </row>
    <row r="569" spans="1:49">
      <c r="A569" s="392"/>
      <c r="L569" s="316">
        <f t="shared" si="866"/>
        <v>0</v>
      </c>
      <c r="M569" s="316"/>
      <c r="X569" s="392">
        <f t="shared" si="847"/>
        <v>0</v>
      </c>
      <c r="AM569" s="316">
        <f t="shared" si="849"/>
        <v>0</v>
      </c>
    </row>
    <row r="570" spans="1:49">
      <c r="A570" s="392"/>
      <c r="L570" s="316">
        <f t="shared" si="866"/>
        <v>0</v>
      </c>
      <c r="M570" s="316"/>
      <c r="X570" s="392">
        <f t="shared" si="847"/>
        <v>0</v>
      </c>
      <c r="AM570" s="316">
        <f t="shared" si="849"/>
        <v>0</v>
      </c>
    </row>
    <row r="571" spans="1:49">
      <c r="A571" s="392"/>
      <c r="L571" s="316">
        <f t="shared" si="866"/>
        <v>0</v>
      </c>
      <c r="M571" s="316"/>
      <c r="X571" s="392">
        <f t="shared" si="847"/>
        <v>0</v>
      </c>
      <c r="AM571" s="316">
        <f t="shared" si="849"/>
        <v>0</v>
      </c>
    </row>
    <row r="572" spans="1:49">
      <c r="A572" s="392"/>
      <c r="L572" s="316">
        <f t="shared" si="866"/>
        <v>0</v>
      </c>
      <c r="M572" s="316"/>
      <c r="X572" s="392">
        <f t="shared" si="847"/>
        <v>0</v>
      </c>
      <c r="AM572" s="316">
        <f t="shared" si="849"/>
        <v>0</v>
      </c>
    </row>
    <row r="573" spans="1:49">
      <c r="A573" s="392"/>
      <c r="L573" s="316">
        <f t="shared" si="866"/>
        <v>0</v>
      </c>
      <c r="M573" s="316"/>
      <c r="X573" s="392">
        <f t="shared" si="847"/>
        <v>0</v>
      </c>
      <c r="AM573" s="316">
        <f t="shared" si="849"/>
        <v>0</v>
      </c>
    </row>
    <row r="574" spans="1:49">
      <c r="A574" s="392"/>
      <c r="L574" s="316">
        <f t="shared" si="866"/>
        <v>0</v>
      </c>
      <c r="M574" s="316"/>
      <c r="X574" s="392">
        <f t="shared" si="847"/>
        <v>0</v>
      </c>
      <c r="AM574" s="316">
        <f t="shared" si="849"/>
        <v>0</v>
      </c>
    </row>
    <row r="575" spans="1:49">
      <c r="A575" s="392"/>
      <c r="L575" s="316">
        <f t="shared" si="866"/>
        <v>0</v>
      </c>
      <c r="M575" s="316"/>
      <c r="X575" s="392">
        <f t="shared" si="847"/>
        <v>0</v>
      </c>
      <c r="AM575" s="316">
        <f t="shared" si="849"/>
        <v>0</v>
      </c>
    </row>
    <row r="576" spans="1:49">
      <c r="A576" s="392"/>
      <c r="L576" s="316">
        <f t="shared" si="866"/>
        <v>0</v>
      </c>
      <c r="M576" s="316"/>
      <c r="X576" s="392">
        <f t="shared" si="847"/>
        <v>0</v>
      </c>
      <c r="AM576" s="316">
        <f t="shared" si="849"/>
        <v>0</v>
      </c>
    </row>
    <row r="577" spans="1:49">
      <c r="A577" s="392"/>
      <c r="L577" s="316">
        <f t="shared" si="866"/>
        <v>0</v>
      </c>
      <c r="M577" s="316"/>
      <c r="X577" s="392">
        <f t="shared" si="847"/>
        <v>0</v>
      </c>
      <c r="AM577" s="316">
        <f t="shared" si="849"/>
        <v>0</v>
      </c>
    </row>
    <row r="578" spans="1:49">
      <c r="A578" s="392"/>
      <c r="L578" s="316">
        <f t="shared" si="866"/>
        <v>0</v>
      </c>
      <c r="M578" s="316"/>
      <c r="X578" s="392">
        <f t="shared" si="847"/>
        <v>0</v>
      </c>
      <c r="AM578" s="316">
        <f t="shared" si="849"/>
        <v>0</v>
      </c>
    </row>
    <row r="579" spans="1:49" ht="15.75" thickBot="1">
      <c r="A579" s="395"/>
      <c r="B579" s="236"/>
      <c r="C579" s="21"/>
      <c r="D579" s="21"/>
      <c r="E579" s="21"/>
      <c r="F579" s="21"/>
      <c r="G579" s="21"/>
      <c r="H579" s="21"/>
      <c r="I579" s="236"/>
      <c r="J579" s="236"/>
      <c r="K579" s="236"/>
      <c r="L579" s="317">
        <f t="shared" si="866"/>
        <v>0</v>
      </c>
      <c r="M579" s="317"/>
      <c r="N579" s="236"/>
      <c r="O579" s="21"/>
      <c r="P579" s="21"/>
      <c r="Q579" s="21"/>
      <c r="R579" s="21"/>
      <c r="S579" s="21"/>
      <c r="T579" s="21"/>
      <c r="U579" s="236"/>
      <c r="V579" s="236"/>
      <c r="W579" s="236"/>
      <c r="X579" s="395">
        <f t="shared" si="847"/>
        <v>0</v>
      </c>
      <c r="Y579" s="236"/>
      <c r="Z579" s="386"/>
      <c r="AA579" s="21"/>
      <c r="AB579" s="21"/>
      <c r="AC579" s="21"/>
      <c r="AD579" s="21"/>
      <c r="AE579" s="21"/>
      <c r="AF579" s="21"/>
      <c r="AG579" s="236"/>
      <c r="AH579" s="236"/>
      <c r="AI579" s="236"/>
      <c r="AJ579" s="236"/>
      <c r="AK579" s="236"/>
      <c r="AL579" s="236"/>
      <c r="AM579" s="317">
        <f t="shared" si="849"/>
        <v>0</v>
      </c>
      <c r="AN579" s="21"/>
      <c r="AO579" s="21"/>
      <c r="AP579" s="21"/>
      <c r="AQ579" s="21"/>
      <c r="AR579" s="23"/>
      <c r="AS579" s="21"/>
      <c r="AT579" s="21"/>
      <c r="AU579" s="236"/>
      <c r="AV579" s="236"/>
      <c r="AW579" s="21"/>
    </row>
    <row r="580" spans="1:49">
      <c r="A580" s="392"/>
      <c r="L580" s="316">
        <f t="shared" si="866"/>
        <v>0</v>
      </c>
      <c r="M580" s="316"/>
      <c r="X580" s="392">
        <f t="shared" si="847"/>
        <v>0</v>
      </c>
      <c r="AM580" s="316">
        <f t="shared" si="849"/>
        <v>0</v>
      </c>
    </row>
    <row r="581" spans="1:49">
      <c r="A581" s="392"/>
      <c r="L581" s="316">
        <f t="shared" si="866"/>
        <v>0</v>
      </c>
      <c r="M581" s="316"/>
      <c r="X581" s="392">
        <f t="shared" si="847"/>
        <v>0</v>
      </c>
      <c r="AM581" s="316">
        <f t="shared" si="849"/>
        <v>0</v>
      </c>
    </row>
    <row r="582" spans="1:49">
      <c r="A582" s="392"/>
      <c r="L582" s="316">
        <f t="shared" si="866"/>
        <v>0</v>
      </c>
      <c r="M582" s="316"/>
      <c r="X582" s="392">
        <f t="shared" si="847"/>
        <v>0</v>
      </c>
      <c r="AM582" s="316">
        <f t="shared" si="849"/>
        <v>0</v>
      </c>
    </row>
    <row r="583" spans="1:49">
      <c r="A583" s="392"/>
      <c r="L583" s="316">
        <f t="shared" si="866"/>
        <v>0</v>
      </c>
      <c r="M583" s="316"/>
      <c r="X583" s="392">
        <f t="shared" si="847"/>
        <v>0</v>
      </c>
      <c r="AM583" s="316">
        <f t="shared" si="849"/>
        <v>0</v>
      </c>
    </row>
    <row r="584" spans="1:49">
      <c r="A584" s="392"/>
      <c r="L584" s="316">
        <f t="shared" si="866"/>
        <v>0</v>
      </c>
      <c r="M584" s="316"/>
      <c r="X584" s="392">
        <f t="shared" si="847"/>
        <v>0</v>
      </c>
      <c r="AM584" s="316">
        <f t="shared" si="849"/>
        <v>0</v>
      </c>
    </row>
    <row r="585" spans="1:49">
      <c r="A585" s="392"/>
      <c r="L585" s="316">
        <f t="shared" si="866"/>
        <v>0</v>
      </c>
      <c r="M585" s="316"/>
      <c r="X585" s="392">
        <f t="shared" si="847"/>
        <v>0</v>
      </c>
      <c r="AM585" s="316">
        <f t="shared" si="849"/>
        <v>0</v>
      </c>
    </row>
    <row r="586" spans="1:49">
      <c r="A586" s="392"/>
      <c r="L586" s="316">
        <f t="shared" si="866"/>
        <v>0</v>
      </c>
      <c r="M586" s="316"/>
      <c r="X586" s="392">
        <f t="shared" si="847"/>
        <v>0</v>
      </c>
      <c r="AM586" s="316">
        <f t="shared" si="849"/>
        <v>0</v>
      </c>
    </row>
    <row r="587" spans="1:49">
      <c r="A587" s="392"/>
      <c r="L587" s="316">
        <f t="shared" si="866"/>
        <v>0</v>
      </c>
      <c r="M587" s="316"/>
      <c r="X587" s="392">
        <f t="shared" si="847"/>
        <v>0</v>
      </c>
      <c r="AM587" s="316">
        <f t="shared" si="849"/>
        <v>0</v>
      </c>
    </row>
    <row r="588" spans="1:49">
      <c r="A588" s="392"/>
      <c r="L588" s="316">
        <f t="shared" si="866"/>
        <v>0</v>
      </c>
      <c r="M588" s="316"/>
      <c r="X588" s="392">
        <f t="shared" si="847"/>
        <v>0</v>
      </c>
      <c r="AM588" s="316">
        <f t="shared" si="849"/>
        <v>0</v>
      </c>
    </row>
    <row r="589" spans="1:49">
      <c r="A589" s="392"/>
      <c r="L589" s="316">
        <f t="shared" si="866"/>
        <v>0</v>
      </c>
      <c r="M589" s="316"/>
      <c r="X589" s="392">
        <f t="shared" si="847"/>
        <v>0</v>
      </c>
      <c r="AM589" s="316">
        <f t="shared" si="849"/>
        <v>0</v>
      </c>
    </row>
    <row r="590" spans="1:49">
      <c r="A590" s="392"/>
      <c r="L590" s="316">
        <f t="shared" si="866"/>
        <v>0</v>
      </c>
      <c r="M590" s="316"/>
      <c r="X590" s="392">
        <f t="shared" si="847"/>
        <v>0</v>
      </c>
      <c r="AM590" s="316">
        <f t="shared" si="849"/>
        <v>0</v>
      </c>
    </row>
    <row r="591" spans="1:49" ht="15.75" thickBot="1">
      <c r="A591" s="395"/>
      <c r="B591" s="236"/>
      <c r="C591" s="21"/>
      <c r="D591" s="21"/>
      <c r="E591" s="21"/>
      <c r="F591" s="21"/>
      <c r="G591" s="21"/>
      <c r="H591" s="21"/>
      <c r="I591" s="236"/>
      <c r="J591" s="236"/>
      <c r="K591" s="236"/>
      <c r="L591" s="317">
        <f t="shared" si="866"/>
        <v>0</v>
      </c>
      <c r="M591" s="317"/>
      <c r="N591" s="236"/>
      <c r="O591" s="21"/>
      <c r="P591" s="21"/>
      <c r="Q591" s="21"/>
      <c r="R591" s="21"/>
      <c r="S591" s="21"/>
      <c r="T591" s="21"/>
      <c r="U591" s="236"/>
      <c r="V591" s="236"/>
      <c r="W591" s="236"/>
      <c r="X591" s="395">
        <f t="shared" si="847"/>
        <v>0</v>
      </c>
      <c r="Y591" s="236"/>
      <c r="Z591" s="386"/>
      <c r="AA591" s="21"/>
      <c r="AB591" s="21"/>
      <c r="AC591" s="21"/>
      <c r="AD591" s="21"/>
      <c r="AE591" s="21"/>
      <c r="AF591" s="21"/>
      <c r="AG591" s="236"/>
      <c r="AH591" s="236"/>
      <c r="AI591" s="236"/>
      <c r="AJ591" s="236"/>
      <c r="AK591" s="236"/>
      <c r="AL591" s="236"/>
      <c r="AM591" s="317">
        <f t="shared" si="849"/>
        <v>0</v>
      </c>
      <c r="AN591" s="21"/>
      <c r="AO591" s="21"/>
      <c r="AP591" s="21"/>
      <c r="AQ591" s="21"/>
      <c r="AR591" s="23"/>
      <c r="AS591" s="21"/>
      <c r="AT591" s="21"/>
      <c r="AU591" s="236"/>
      <c r="AV591" s="236"/>
      <c r="AW591" s="21"/>
    </row>
    <row r="592" spans="1:49">
      <c r="A592" s="392"/>
      <c r="L592" s="316">
        <f t="shared" si="866"/>
        <v>0</v>
      </c>
      <c r="M592" s="316"/>
      <c r="X592" s="392">
        <f t="shared" si="847"/>
        <v>0</v>
      </c>
      <c r="AM592" s="316">
        <f t="shared" si="849"/>
        <v>0</v>
      </c>
    </row>
    <row r="593" spans="1:49">
      <c r="A593" s="392"/>
      <c r="L593" s="316">
        <f t="shared" si="866"/>
        <v>0</v>
      </c>
      <c r="M593" s="316"/>
      <c r="X593" s="392">
        <f t="shared" ref="X593:X656" si="867">+A593</f>
        <v>0</v>
      </c>
      <c r="AM593" s="316">
        <f t="shared" ref="AM593:AM656" si="868">+L593</f>
        <v>0</v>
      </c>
    </row>
    <row r="594" spans="1:49">
      <c r="A594" s="392"/>
      <c r="L594" s="316">
        <f t="shared" si="866"/>
        <v>0</v>
      </c>
      <c r="M594" s="316"/>
      <c r="X594" s="392">
        <f t="shared" si="867"/>
        <v>0</v>
      </c>
      <c r="AM594" s="316">
        <f t="shared" si="868"/>
        <v>0</v>
      </c>
    </row>
    <row r="595" spans="1:49">
      <c r="A595" s="392"/>
      <c r="L595" s="316">
        <f t="shared" si="866"/>
        <v>0</v>
      </c>
      <c r="M595" s="316"/>
      <c r="X595" s="392">
        <f t="shared" si="867"/>
        <v>0</v>
      </c>
      <c r="AM595" s="316">
        <f t="shared" si="868"/>
        <v>0</v>
      </c>
    </row>
    <row r="596" spans="1:49">
      <c r="A596" s="392"/>
      <c r="L596" s="316">
        <f t="shared" si="866"/>
        <v>0</v>
      </c>
      <c r="M596" s="316"/>
      <c r="X596" s="392">
        <f t="shared" si="867"/>
        <v>0</v>
      </c>
      <c r="AM596" s="316">
        <f t="shared" si="868"/>
        <v>0</v>
      </c>
    </row>
    <row r="597" spans="1:49">
      <c r="A597" s="392"/>
      <c r="L597" s="316">
        <f t="shared" si="866"/>
        <v>0</v>
      </c>
      <c r="M597" s="316"/>
      <c r="X597" s="392">
        <f t="shared" si="867"/>
        <v>0</v>
      </c>
      <c r="AM597" s="316">
        <f t="shared" si="868"/>
        <v>0</v>
      </c>
    </row>
    <row r="598" spans="1:49">
      <c r="A598" s="392"/>
      <c r="L598" s="316">
        <f t="shared" si="866"/>
        <v>0</v>
      </c>
      <c r="M598" s="316"/>
      <c r="X598" s="392">
        <f t="shared" si="867"/>
        <v>0</v>
      </c>
      <c r="AM598" s="316">
        <f t="shared" si="868"/>
        <v>0</v>
      </c>
    </row>
    <row r="599" spans="1:49">
      <c r="A599" s="392"/>
      <c r="L599" s="316">
        <f t="shared" si="866"/>
        <v>0</v>
      </c>
      <c r="M599" s="316"/>
      <c r="X599" s="392">
        <f t="shared" si="867"/>
        <v>0</v>
      </c>
      <c r="AM599" s="316">
        <f t="shared" si="868"/>
        <v>0</v>
      </c>
    </row>
    <row r="600" spans="1:49">
      <c r="A600" s="392"/>
      <c r="L600" s="316">
        <f t="shared" si="866"/>
        <v>0</v>
      </c>
      <c r="M600" s="316"/>
      <c r="X600" s="392">
        <f t="shared" si="867"/>
        <v>0</v>
      </c>
      <c r="AM600" s="316">
        <f t="shared" si="868"/>
        <v>0</v>
      </c>
    </row>
    <row r="601" spans="1:49">
      <c r="A601" s="392"/>
      <c r="L601" s="316">
        <f t="shared" si="866"/>
        <v>0</v>
      </c>
      <c r="M601" s="316"/>
      <c r="X601" s="392">
        <f t="shared" si="867"/>
        <v>0</v>
      </c>
      <c r="AM601" s="316">
        <f t="shared" si="868"/>
        <v>0</v>
      </c>
    </row>
    <row r="602" spans="1:49">
      <c r="A602" s="392"/>
      <c r="L602" s="316">
        <f t="shared" si="866"/>
        <v>0</v>
      </c>
      <c r="M602" s="316"/>
      <c r="X602" s="392">
        <f t="shared" si="867"/>
        <v>0</v>
      </c>
      <c r="AM602" s="316">
        <f t="shared" si="868"/>
        <v>0</v>
      </c>
    </row>
    <row r="603" spans="1:49" ht="15.75" thickBot="1">
      <c r="A603" s="395"/>
      <c r="B603" s="236"/>
      <c r="C603" s="21"/>
      <c r="D603" s="21"/>
      <c r="E603" s="21"/>
      <c r="F603" s="21"/>
      <c r="G603" s="21"/>
      <c r="H603" s="21"/>
      <c r="I603" s="236"/>
      <c r="J603" s="236"/>
      <c r="K603" s="236"/>
      <c r="L603" s="317">
        <f t="shared" si="866"/>
        <v>0</v>
      </c>
      <c r="M603" s="317"/>
      <c r="N603" s="236"/>
      <c r="O603" s="21"/>
      <c r="P603" s="21"/>
      <c r="Q603" s="21"/>
      <c r="R603" s="21"/>
      <c r="S603" s="21"/>
      <c r="T603" s="21"/>
      <c r="U603" s="236"/>
      <c r="V603" s="236"/>
      <c r="W603" s="236"/>
      <c r="X603" s="395">
        <f t="shared" si="867"/>
        <v>0</v>
      </c>
      <c r="Y603" s="236"/>
      <c r="Z603" s="386"/>
      <c r="AA603" s="21"/>
      <c r="AB603" s="21"/>
      <c r="AC603" s="21"/>
      <c r="AD603" s="21"/>
      <c r="AE603" s="21"/>
      <c r="AF603" s="21"/>
      <c r="AG603" s="236"/>
      <c r="AH603" s="236"/>
      <c r="AI603" s="236"/>
      <c r="AJ603" s="236"/>
      <c r="AK603" s="236"/>
      <c r="AL603" s="236"/>
      <c r="AM603" s="317">
        <f t="shared" si="868"/>
        <v>0</v>
      </c>
      <c r="AN603" s="21"/>
      <c r="AO603" s="21"/>
      <c r="AP603" s="21"/>
      <c r="AQ603" s="21"/>
      <c r="AR603" s="23"/>
      <c r="AS603" s="21"/>
      <c r="AT603" s="21"/>
      <c r="AU603" s="236"/>
      <c r="AV603" s="236"/>
      <c r="AW603" s="21"/>
    </row>
    <row r="604" spans="1:49">
      <c r="A604" s="392"/>
      <c r="L604" s="316">
        <f t="shared" si="866"/>
        <v>0</v>
      </c>
      <c r="M604" s="316"/>
      <c r="X604" s="392">
        <f t="shared" si="867"/>
        <v>0</v>
      </c>
      <c r="AM604" s="316">
        <f t="shared" si="868"/>
        <v>0</v>
      </c>
    </row>
    <row r="605" spans="1:49">
      <c r="A605" s="392"/>
      <c r="L605" s="316">
        <f t="shared" si="866"/>
        <v>0</v>
      </c>
      <c r="M605" s="316"/>
      <c r="X605" s="392">
        <f t="shared" si="867"/>
        <v>0</v>
      </c>
      <c r="AM605" s="316">
        <f t="shared" si="868"/>
        <v>0</v>
      </c>
    </row>
    <row r="606" spans="1:49">
      <c r="A606" s="392"/>
      <c r="L606" s="316">
        <f t="shared" si="866"/>
        <v>0</v>
      </c>
      <c r="M606" s="316"/>
      <c r="X606" s="392">
        <f t="shared" si="867"/>
        <v>0</v>
      </c>
      <c r="AM606" s="316">
        <f t="shared" si="868"/>
        <v>0</v>
      </c>
    </row>
    <row r="607" spans="1:49">
      <c r="A607" s="392"/>
      <c r="L607" s="316">
        <f t="shared" si="866"/>
        <v>0</v>
      </c>
      <c r="M607" s="316"/>
      <c r="X607" s="392">
        <f t="shared" si="867"/>
        <v>0</v>
      </c>
      <c r="AM607" s="316">
        <f t="shared" si="868"/>
        <v>0</v>
      </c>
    </row>
    <row r="608" spans="1:49">
      <c r="A608" s="392"/>
      <c r="L608" s="316">
        <f t="shared" si="866"/>
        <v>0</v>
      </c>
      <c r="M608" s="316"/>
      <c r="X608" s="392">
        <f t="shared" si="867"/>
        <v>0</v>
      </c>
      <c r="AM608" s="316">
        <f t="shared" si="868"/>
        <v>0</v>
      </c>
    </row>
    <row r="609" spans="1:49">
      <c r="A609" s="392"/>
      <c r="L609" s="316">
        <f t="shared" si="866"/>
        <v>0</v>
      </c>
      <c r="M609" s="316"/>
      <c r="X609" s="392">
        <f t="shared" si="867"/>
        <v>0</v>
      </c>
      <c r="AM609" s="316">
        <f t="shared" si="868"/>
        <v>0</v>
      </c>
    </row>
    <row r="610" spans="1:49">
      <c r="A610" s="392"/>
      <c r="L610" s="316">
        <f t="shared" si="866"/>
        <v>0</v>
      </c>
      <c r="M610" s="316"/>
      <c r="X610" s="392">
        <f t="shared" si="867"/>
        <v>0</v>
      </c>
      <c r="AM610" s="316">
        <f t="shared" si="868"/>
        <v>0</v>
      </c>
    </row>
    <row r="611" spans="1:49">
      <c r="A611" s="392"/>
      <c r="L611" s="316">
        <f t="shared" si="866"/>
        <v>0</v>
      </c>
      <c r="M611" s="316"/>
      <c r="X611" s="392">
        <f t="shared" si="867"/>
        <v>0</v>
      </c>
      <c r="AM611" s="316">
        <f t="shared" si="868"/>
        <v>0</v>
      </c>
    </row>
    <row r="612" spans="1:49">
      <c r="A612" s="392"/>
      <c r="L612" s="316">
        <f t="shared" si="866"/>
        <v>0</v>
      </c>
      <c r="M612" s="316"/>
      <c r="X612" s="392">
        <f t="shared" si="867"/>
        <v>0</v>
      </c>
      <c r="AM612" s="316">
        <f t="shared" si="868"/>
        <v>0</v>
      </c>
    </row>
    <row r="613" spans="1:49">
      <c r="A613" s="392"/>
      <c r="L613" s="316">
        <f t="shared" si="866"/>
        <v>0</v>
      </c>
      <c r="M613" s="316"/>
      <c r="X613" s="392">
        <f t="shared" si="867"/>
        <v>0</v>
      </c>
      <c r="AM613" s="316">
        <f t="shared" si="868"/>
        <v>0</v>
      </c>
    </row>
    <row r="614" spans="1:49">
      <c r="A614" s="392"/>
      <c r="L614" s="316">
        <f t="shared" si="866"/>
        <v>0</v>
      </c>
      <c r="M614" s="316"/>
      <c r="X614" s="392">
        <f t="shared" si="867"/>
        <v>0</v>
      </c>
      <c r="AM614" s="316">
        <f t="shared" si="868"/>
        <v>0</v>
      </c>
    </row>
    <row r="615" spans="1:49" ht="15.75" thickBot="1">
      <c r="A615" s="395"/>
      <c r="B615" s="236"/>
      <c r="C615" s="21"/>
      <c r="D615" s="21"/>
      <c r="E615" s="21"/>
      <c r="F615" s="21"/>
      <c r="G615" s="21"/>
      <c r="H615" s="21"/>
      <c r="I615" s="236"/>
      <c r="J615" s="236"/>
      <c r="K615" s="236"/>
      <c r="L615" s="317">
        <f t="shared" si="866"/>
        <v>0</v>
      </c>
      <c r="M615" s="317"/>
      <c r="N615" s="236"/>
      <c r="O615" s="21"/>
      <c r="P615" s="21"/>
      <c r="Q615" s="21"/>
      <c r="R615" s="21"/>
      <c r="S615" s="21"/>
      <c r="T615" s="21"/>
      <c r="U615" s="236"/>
      <c r="V615" s="236"/>
      <c r="W615" s="236"/>
      <c r="X615" s="395">
        <f t="shared" si="867"/>
        <v>0</v>
      </c>
      <c r="Y615" s="236"/>
      <c r="Z615" s="386"/>
      <c r="AA615" s="21"/>
      <c r="AB615" s="21"/>
      <c r="AC615" s="21"/>
      <c r="AD615" s="21"/>
      <c r="AE615" s="21"/>
      <c r="AF615" s="21"/>
      <c r="AG615" s="236"/>
      <c r="AH615" s="236"/>
      <c r="AI615" s="236"/>
      <c r="AJ615" s="236"/>
      <c r="AK615" s="236"/>
      <c r="AL615" s="236"/>
      <c r="AM615" s="317">
        <f t="shared" si="868"/>
        <v>0</v>
      </c>
      <c r="AN615" s="21"/>
      <c r="AO615" s="21"/>
      <c r="AP615" s="21"/>
      <c r="AQ615" s="21"/>
      <c r="AR615" s="23"/>
      <c r="AS615" s="21"/>
      <c r="AT615" s="21"/>
      <c r="AU615" s="236"/>
      <c r="AV615" s="236"/>
      <c r="AW615" s="21"/>
    </row>
    <row r="616" spans="1:49">
      <c r="A616" s="392"/>
      <c r="L616" s="316">
        <f t="shared" si="866"/>
        <v>0</v>
      </c>
      <c r="M616" s="316"/>
      <c r="X616" s="392">
        <f t="shared" si="867"/>
        <v>0</v>
      </c>
      <c r="AM616" s="316">
        <f t="shared" si="868"/>
        <v>0</v>
      </c>
    </row>
    <row r="617" spans="1:49">
      <c r="A617" s="392"/>
      <c r="L617" s="316">
        <f t="shared" si="866"/>
        <v>0</v>
      </c>
      <c r="M617" s="316"/>
      <c r="X617" s="392">
        <f t="shared" si="867"/>
        <v>0</v>
      </c>
      <c r="AM617" s="316">
        <f t="shared" si="868"/>
        <v>0</v>
      </c>
    </row>
    <row r="618" spans="1:49">
      <c r="A618" s="392"/>
      <c r="L618" s="316">
        <f t="shared" si="866"/>
        <v>0</v>
      </c>
      <c r="M618" s="316"/>
      <c r="X618" s="392">
        <f t="shared" si="867"/>
        <v>0</v>
      </c>
      <c r="AM618" s="316">
        <f t="shared" si="868"/>
        <v>0</v>
      </c>
    </row>
    <row r="619" spans="1:49">
      <c r="A619" s="392"/>
      <c r="L619" s="316">
        <f t="shared" si="866"/>
        <v>0</v>
      </c>
      <c r="M619" s="316"/>
      <c r="X619" s="392">
        <f t="shared" si="867"/>
        <v>0</v>
      </c>
      <c r="AM619" s="316">
        <f t="shared" si="868"/>
        <v>0</v>
      </c>
    </row>
    <row r="620" spans="1:49">
      <c r="A620" s="392"/>
      <c r="L620" s="316">
        <f t="shared" si="866"/>
        <v>0</v>
      </c>
      <c r="M620" s="316"/>
      <c r="X620" s="392">
        <f t="shared" si="867"/>
        <v>0</v>
      </c>
      <c r="AM620" s="316">
        <f t="shared" si="868"/>
        <v>0</v>
      </c>
    </row>
    <row r="621" spans="1:49">
      <c r="A621" s="392"/>
      <c r="L621" s="316">
        <f t="shared" si="866"/>
        <v>0</v>
      </c>
      <c r="M621" s="316"/>
      <c r="X621" s="392">
        <f t="shared" si="867"/>
        <v>0</v>
      </c>
      <c r="AM621" s="316">
        <f t="shared" si="868"/>
        <v>0</v>
      </c>
    </row>
    <row r="622" spans="1:49">
      <c r="A622" s="392"/>
      <c r="L622" s="316">
        <f t="shared" si="866"/>
        <v>0</v>
      </c>
      <c r="M622" s="316"/>
      <c r="X622" s="392">
        <f t="shared" si="867"/>
        <v>0</v>
      </c>
      <c r="AM622" s="316">
        <f t="shared" si="868"/>
        <v>0</v>
      </c>
    </row>
    <row r="623" spans="1:49">
      <c r="A623" s="392"/>
      <c r="L623" s="316">
        <f t="shared" si="866"/>
        <v>0</v>
      </c>
      <c r="M623" s="316"/>
      <c r="X623" s="392">
        <f t="shared" si="867"/>
        <v>0</v>
      </c>
      <c r="AM623" s="316">
        <f t="shared" si="868"/>
        <v>0</v>
      </c>
    </row>
    <row r="624" spans="1:49">
      <c r="A624" s="392"/>
      <c r="L624" s="316">
        <f t="shared" ref="L624:L687" si="869">IF(MOD(M624,12)=0,M624/12,L623)</f>
        <v>0</v>
      </c>
      <c r="M624" s="316"/>
      <c r="X624" s="392">
        <f t="shared" si="867"/>
        <v>0</v>
      </c>
      <c r="AM624" s="316">
        <f t="shared" si="868"/>
        <v>0</v>
      </c>
    </row>
    <row r="625" spans="1:49">
      <c r="A625" s="392"/>
      <c r="L625" s="316">
        <f t="shared" si="869"/>
        <v>0</v>
      </c>
      <c r="M625" s="316"/>
      <c r="X625" s="392">
        <f t="shared" si="867"/>
        <v>0</v>
      </c>
      <c r="AM625" s="316">
        <f t="shared" si="868"/>
        <v>0</v>
      </c>
    </row>
    <row r="626" spans="1:49">
      <c r="A626" s="392"/>
      <c r="L626" s="316">
        <f t="shared" si="869"/>
        <v>0</v>
      </c>
      <c r="M626" s="316"/>
      <c r="X626" s="392">
        <f t="shared" si="867"/>
        <v>0</v>
      </c>
      <c r="AM626" s="316">
        <f t="shared" si="868"/>
        <v>0</v>
      </c>
    </row>
    <row r="627" spans="1:49" ht="15.75" thickBot="1">
      <c r="A627" s="395"/>
      <c r="B627" s="236"/>
      <c r="C627" s="21"/>
      <c r="D627" s="21"/>
      <c r="E627" s="21"/>
      <c r="F627" s="21"/>
      <c r="G627" s="21"/>
      <c r="H627" s="21"/>
      <c r="I627" s="236"/>
      <c r="J627" s="236"/>
      <c r="K627" s="236"/>
      <c r="L627" s="317">
        <f t="shared" si="869"/>
        <v>0</v>
      </c>
      <c r="M627" s="317"/>
      <c r="N627" s="236"/>
      <c r="O627" s="21"/>
      <c r="P627" s="21"/>
      <c r="Q627" s="21"/>
      <c r="R627" s="21"/>
      <c r="S627" s="21"/>
      <c r="T627" s="21"/>
      <c r="U627" s="236"/>
      <c r="V627" s="236"/>
      <c r="W627" s="236"/>
      <c r="X627" s="395">
        <f t="shared" si="867"/>
        <v>0</v>
      </c>
      <c r="Y627" s="236"/>
      <c r="Z627" s="386"/>
      <c r="AA627" s="21"/>
      <c r="AB627" s="21"/>
      <c r="AC627" s="21"/>
      <c r="AD627" s="21"/>
      <c r="AE627" s="21"/>
      <c r="AF627" s="21"/>
      <c r="AG627" s="236"/>
      <c r="AH627" s="236"/>
      <c r="AI627" s="236"/>
      <c r="AJ627" s="236"/>
      <c r="AK627" s="236"/>
      <c r="AL627" s="236"/>
      <c r="AM627" s="317">
        <f t="shared" si="868"/>
        <v>0</v>
      </c>
      <c r="AN627" s="21"/>
      <c r="AO627" s="21"/>
      <c r="AP627" s="21"/>
      <c r="AQ627" s="21"/>
      <c r="AR627" s="23"/>
      <c r="AS627" s="21"/>
      <c r="AT627" s="21"/>
      <c r="AU627" s="236"/>
      <c r="AV627" s="236"/>
      <c r="AW627" s="21"/>
    </row>
    <row r="628" spans="1:49">
      <c r="A628" s="392"/>
      <c r="L628" s="316">
        <f t="shared" si="869"/>
        <v>0</v>
      </c>
      <c r="M628" s="316"/>
      <c r="X628" s="392">
        <f t="shared" si="867"/>
        <v>0</v>
      </c>
      <c r="AM628" s="316">
        <f t="shared" si="868"/>
        <v>0</v>
      </c>
    </row>
    <row r="629" spans="1:49">
      <c r="A629" s="392"/>
      <c r="L629" s="316">
        <f t="shared" si="869"/>
        <v>0</v>
      </c>
      <c r="M629" s="316"/>
      <c r="X629" s="392">
        <f t="shared" si="867"/>
        <v>0</v>
      </c>
      <c r="AM629" s="316">
        <f t="shared" si="868"/>
        <v>0</v>
      </c>
    </row>
    <row r="630" spans="1:49">
      <c r="A630" s="392"/>
      <c r="L630" s="316">
        <f t="shared" si="869"/>
        <v>0</v>
      </c>
      <c r="M630" s="316"/>
      <c r="X630" s="392">
        <f t="shared" si="867"/>
        <v>0</v>
      </c>
      <c r="AM630" s="316">
        <f t="shared" si="868"/>
        <v>0</v>
      </c>
    </row>
    <row r="631" spans="1:49">
      <c r="A631" s="392"/>
      <c r="L631" s="316">
        <f t="shared" si="869"/>
        <v>0</v>
      </c>
      <c r="M631" s="316"/>
      <c r="X631" s="392">
        <f t="shared" si="867"/>
        <v>0</v>
      </c>
      <c r="AM631" s="316">
        <f t="shared" si="868"/>
        <v>0</v>
      </c>
    </row>
    <row r="632" spans="1:49">
      <c r="A632" s="392"/>
      <c r="L632" s="316">
        <f t="shared" si="869"/>
        <v>0</v>
      </c>
      <c r="M632" s="316"/>
      <c r="X632" s="392">
        <f t="shared" si="867"/>
        <v>0</v>
      </c>
      <c r="AM632" s="316">
        <f t="shared" si="868"/>
        <v>0</v>
      </c>
    </row>
    <row r="633" spans="1:49">
      <c r="A633" s="392"/>
      <c r="L633" s="316">
        <f t="shared" si="869"/>
        <v>0</v>
      </c>
      <c r="M633" s="316"/>
      <c r="X633" s="392">
        <f t="shared" si="867"/>
        <v>0</v>
      </c>
      <c r="AM633" s="316">
        <f t="shared" si="868"/>
        <v>0</v>
      </c>
    </row>
    <row r="634" spans="1:49">
      <c r="A634" s="392"/>
      <c r="L634" s="316">
        <f t="shared" si="869"/>
        <v>0</v>
      </c>
      <c r="M634" s="316"/>
      <c r="X634" s="392">
        <f t="shared" si="867"/>
        <v>0</v>
      </c>
      <c r="AM634" s="316">
        <f t="shared" si="868"/>
        <v>0</v>
      </c>
    </row>
    <row r="635" spans="1:49">
      <c r="A635" s="392"/>
      <c r="L635" s="316">
        <f t="shared" si="869"/>
        <v>0</v>
      </c>
      <c r="M635" s="316"/>
      <c r="X635" s="392">
        <f t="shared" si="867"/>
        <v>0</v>
      </c>
      <c r="AM635" s="316">
        <f t="shared" si="868"/>
        <v>0</v>
      </c>
    </row>
    <row r="636" spans="1:49">
      <c r="A636" s="392"/>
      <c r="L636" s="316">
        <f t="shared" si="869"/>
        <v>0</v>
      </c>
      <c r="M636" s="316"/>
      <c r="X636" s="392">
        <f t="shared" si="867"/>
        <v>0</v>
      </c>
      <c r="AM636" s="316">
        <f t="shared" si="868"/>
        <v>0</v>
      </c>
    </row>
    <row r="637" spans="1:49">
      <c r="A637" s="392"/>
      <c r="L637" s="316">
        <f t="shared" si="869"/>
        <v>0</v>
      </c>
      <c r="M637" s="316"/>
      <c r="X637" s="392">
        <f t="shared" si="867"/>
        <v>0</v>
      </c>
      <c r="AM637" s="316">
        <f t="shared" si="868"/>
        <v>0</v>
      </c>
    </row>
    <row r="638" spans="1:49">
      <c r="A638" s="392"/>
      <c r="L638" s="316">
        <f t="shared" si="869"/>
        <v>0</v>
      </c>
      <c r="M638" s="316"/>
      <c r="X638" s="392">
        <f t="shared" si="867"/>
        <v>0</v>
      </c>
      <c r="AM638" s="316">
        <f t="shared" si="868"/>
        <v>0</v>
      </c>
    </row>
    <row r="639" spans="1:49" ht="15.75" thickBot="1">
      <c r="A639" s="395"/>
      <c r="B639" s="236"/>
      <c r="C639" s="21"/>
      <c r="D639" s="21"/>
      <c r="E639" s="21"/>
      <c r="F639" s="21"/>
      <c r="G639" s="21"/>
      <c r="H639" s="21"/>
      <c r="I639" s="236"/>
      <c r="J639" s="236"/>
      <c r="K639" s="236"/>
      <c r="L639" s="317">
        <f t="shared" si="869"/>
        <v>0</v>
      </c>
      <c r="M639" s="317"/>
      <c r="N639" s="236"/>
      <c r="O639" s="21"/>
      <c r="P639" s="21"/>
      <c r="Q639" s="21"/>
      <c r="R639" s="21"/>
      <c r="S639" s="21"/>
      <c r="T639" s="21"/>
      <c r="U639" s="236"/>
      <c r="V639" s="236"/>
      <c r="W639" s="236"/>
      <c r="X639" s="395">
        <f t="shared" si="867"/>
        <v>0</v>
      </c>
      <c r="Y639" s="236"/>
      <c r="Z639" s="386"/>
      <c r="AA639" s="21"/>
      <c r="AB639" s="21"/>
      <c r="AC639" s="21"/>
      <c r="AD639" s="21"/>
      <c r="AE639" s="21"/>
      <c r="AF639" s="21"/>
      <c r="AG639" s="236"/>
      <c r="AH639" s="236"/>
      <c r="AI639" s="236"/>
      <c r="AJ639" s="236"/>
      <c r="AK639" s="236"/>
      <c r="AL639" s="236"/>
      <c r="AM639" s="317">
        <f t="shared" si="868"/>
        <v>0</v>
      </c>
      <c r="AN639" s="21"/>
      <c r="AO639" s="21"/>
      <c r="AP639" s="21"/>
      <c r="AQ639" s="21"/>
      <c r="AR639" s="23"/>
      <c r="AS639" s="21"/>
      <c r="AT639" s="21"/>
      <c r="AU639" s="236"/>
      <c r="AV639" s="236"/>
      <c r="AW639" s="21"/>
    </row>
    <row r="640" spans="1:49">
      <c r="A640" s="392"/>
      <c r="L640" s="316">
        <f t="shared" si="869"/>
        <v>0</v>
      </c>
      <c r="M640" s="316"/>
      <c r="X640" s="392">
        <f t="shared" si="867"/>
        <v>0</v>
      </c>
      <c r="AM640" s="316">
        <f t="shared" si="868"/>
        <v>0</v>
      </c>
    </row>
    <row r="641" spans="1:49">
      <c r="A641" s="392"/>
      <c r="L641" s="316">
        <f t="shared" si="869"/>
        <v>0</v>
      </c>
      <c r="M641" s="316"/>
      <c r="X641" s="392">
        <f t="shared" si="867"/>
        <v>0</v>
      </c>
      <c r="AM641" s="316">
        <f t="shared" si="868"/>
        <v>0</v>
      </c>
    </row>
    <row r="642" spans="1:49">
      <c r="A642" s="392"/>
      <c r="L642" s="316">
        <f t="shared" si="869"/>
        <v>0</v>
      </c>
      <c r="M642" s="316"/>
      <c r="X642" s="392">
        <f t="shared" si="867"/>
        <v>0</v>
      </c>
      <c r="AM642" s="316">
        <f t="shared" si="868"/>
        <v>0</v>
      </c>
    </row>
    <row r="643" spans="1:49">
      <c r="A643" s="392"/>
      <c r="L643" s="316">
        <f t="shared" si="869"/>
        <v>0</v>
      </c>
      <c r="M643" s="316"/>
      <c r="X643" s="392">
        <f t="shared" si="867"/>
        <v>0</v>
      </c>
      <c r="AM643" s="316">
        <f t="shared" si="868"/>
        <v>0</v>
      </c>
    </row>
    <row r="644" spans="1:49">
      <c r="A644" s="392"/>
      <c r="L644" s="316">
        <f t="shared" si="869"/>
        <v>0</v>
      </c>
      <c r="M644" s="316"/>
      <c r="X644" s="392">
        <f t="shared" si="867"/>
        <v>0</v>
      </c>
      <c r="AM644" s="316">
        <f t="shared" si="868"/>
        <v>0</v>
      </c>
    </row>
    <row r="645" spans="1:49">
      <c r="A645" s="392"/>
      <c r="L645" s="316">
        <f t="shared" si="869"/>
        <v>0</v>
      </c>
      <c r="M645" s="316"/>
      <c r="X645" s="392">
        <f t="shared" si="867"/>
        <v>0</v>
      </c>
      <c r="AM645" s="316">
        <f t="shared" si="868"/>
        <v>0</v>
      </c>
    </row>
    <row r="646" spans="1:49">
      <c r="A646" s="392"/>
      <c r="L646" s="316">
        <f t="shared" si="869"/>
        <v>0</v>
      </c>
      <c r="M646" s="316"/>
      <c r="X646" s="392">
        <f t="shared" si="867"/>
        <v>0</v>
      </c>
      <c r="AM646" s="316">
        <f t="shared" si="868"/>
        <v>0</v>
      </c>
    </row>
    <row r="647" spans="1:49">
      <c r="A647" s="392"/>
      <c r="L647" s="316">
        <f t="shared" si="869"/>
        <v>0</v>
      </c>
      <c r="M647" s="316"/>
      <c r="X647" s="392">
        <f t="shared" si="867"/>
        <v>0</v>
      </c>
      <c r="AM647" s="316">
        <f t="shared" si="868"/>
        <v>0</v>
      </c>
    </row>
    <row r="648" spans="1:49">
      <c r="A648" s="392"/>
      <c r="L648" s="316">
        <f t="shared" si="869"/>
        <v>0</v>
      </c>
      <c r="M648" s="316"/>
      <c r="X648" s="392">
        <f t="shared" si="867"/>
        <v>0</v>
      </c>
      <c r="AM648" s="316">
        <f t="shared" si="868"/>
        <v>0</v>
      </c>
    </row>
    <row r="649" spans="1:49">
      <c r="A649" s="392"/>
      <c r="L649" s="316">
        <f t="shared" si="869"/>
        <v>0</v>
      </c>
      <c r="M649" s="316"/>
      <c r="X649" s="392">
        <f t="shared" si="867"/>
        <v>0</v>
      </c>
      <c r="AM649" s="316">
        <f t="shared" si="868"/>
        <v>0</v>
      </c>
    </row>
    <row r="650" spans="1:49">
      <c r="A650" s="392"/>
      <c r="L650" s="316">
        <f t="shared" si="869"/>
        <v>0</v>
      </c>
      <c r="M650" s="316"/>
      <c r="X650" s="392">
        <f t="shared" si="867"/>
        <v>0</v>
      </c>
      <c r="AM650" s="316">
        <f t="shared" si="868"/>
        <v>0</v>
      </c>
    </row>
    <row r="651" spans="1:49" ht="15.75" thickBot="1">
      <c r="A651" s="395"/>
      <c r="B651" s="236"/>
      <c r="C651" s="21"/>
      <c r="D651" s="21"/>
      <c r="E651" s="21"/>
      <c r="F651" s="21"/>
      <c r="G651" s="21"/>
      <c r="H651" s="21"/>
      <c r="I651" s="236"/>
      <c r="J651" s="236"/>
      <c r="K651" s="236"/>
      <c r="L651" s="317">
        <f t="shared" si="869"/>
        <v>0</v>
      </c>
      <c r="M651" s="317"/>
      <c r="N651" s="236"/>
      <c r="O651" s="21"/>
      <c r="P651" s="21"/>
      <c r="Q651" s="21"/>
      <c r="R651" s="21"/>
      <c r="S651" s="21"/>
      <c r="T651" s="21"/>
      <c r="U651" s="236"/>
      <c r="V651" s="236"/>
      <c r="W651" s="236"/>
      <c r="X651" s="395">
        <f t="shared" si="867"/>
        <v>0</v>
      </c>
      <c r="Y651" s="236"/>
      <c r="Z651" s="386"/>
      <c r="AA651" s="21"/>
      <c r="AB651" s="21"/>
      <c r="AC651" s="21"/>
      <c r="AD651" s="21"/>
      <c r="AE651" s="21"/>
      <c r="AF651" s="21"/>
      <c r="AG651" s="236"/>
      <c r="AH651" s="236"/>
      <c r="AI651" s="236"/>
      <c r="AJ651" s="236"/>
      <c r="AK651" s="236"/>
      <c r="AL651" s="236"/>
      <c r="AM651" s="317">
        <f t="shared" si="868"/>
        <v>0</v>
      </c>
      <c r="AN651" s="21"/>
      <c r="AO651" s="21"/>
      <c r="AP651" s="21"/>
      <c r="AQ651" s="21"/>
      <c r="AR651" s="23"/>
      <c r="AS651" s="21"/>
      <c r="AT651" s="21"/>
      <c r="AU651" s="236"/>
      <c r="AV651" s="236"/>
      <c r="AW651" s="21"/>
    </row>
    <row r="652" spans="1:49">
      <c r="A652" s="392"/>
      <c r="L652" s="316">
        <f t="shared" si="869"/>
        <v>0</v>
      </c>
      <c r="M652" s="316"/>
      <c r="X652" s="392">
        <f t="shared" si="867"/>
        <v>0</v>
      </c>
      <c r="AM652" s="316">
        <f t="shared" si="868"/>
        <v>0</v>
      </c>
    </row>
    <row r="653" spans="1:49">
      <c r="A653" s="392"/>
      <c r="L653" s="316">
        <f t="shared" si="869"/>
        <v>0</v>
      </c>
      <c r="M653" s="316"/>
      <c r="X653" s="392">
        <f t="shared" si="867"/>
        <v>0</v>
      </c>
      <c r="AM653" s="316">
        <f t="shared" si="868"/>
        <v>0</v>
      </c>
    </row>
    <row r="654" spans="1:49">
      <c r="A654" s="392"/>
      <c r="L654" s="316">
        <f t="shared" si="869"/>
        <v>0</v>
      </c>
      <c r="M654" s="316"/>
      <c r="X654" s="392">
        <f t="shared" si="867"/>
        <v>0</v>
      </c>
      <c r="AM654" s="316">
        <f t="shared" si="868"/>
        <v>0</v>
      </c>
    </row>
    <row r="655" spans="1:49">
      <c r="A655" s="392"/>
      <c r="L655" s="316">
        <f t="shared" si="869"/>
        <v>0</v>
      </c>
      <c r="M655" s="316"/>
      <c r="X655" s="392">
        <f t="shared" si="867"/>
        <v>0</v>
      </c>
      <c r="AM655" s="316">
        <f t="shared" si="868"/>
        <v>0</v>
      </c>
    </row>
    <row r="656" spans="1:49">
      <c r="A656" s="392"/>
      <c r="L656" s="316">
        <f t="shared" si="869"/>
        <v>0</v>
      </c>
      <c r="M656" s="316"/>
      <c r="X656" s="392">
        <f t="shared" si="867"/>
        <v>0</v>
      </c>
      <c r="AM656" s="316">
        <f t="shared" si="868"/>
        <v>0</v>
      </c>
    </row>
    <row r="657" spans="1:49">
      <c r="A657" s="392"/>
      <c r="L657" s="316">
        <f t="shared" si="869"/>
        <v>0</v>
      </c>
      <c r="M657" s="316"/>
      <c r="X657" s="392">
        <f t="shared" ref="X657:X720" si="870">+A657</f>
        <v>0</v>
      </c>
      <c r="AM657" s="316">
        <f t="shared" ref="AM657:AM720" si="871">+L657</f>
        <v>0</v>
      </c>
    </row>
    <row r="658" spans="1:49">
      <c r="A658" s="392"/>
      <c r="L658" s="316">
        <f t="shared" si="869"/>
        <v>0</v>
      </c>
      <c r="M658" s="316"/>
      <c r="X658" s="392">
        <f t="shared" si="870"/>
        <v>0</v>
      </c>
      <c r="AM658" s="316">
        <f t="shared" si="871"/>
        <v>0</v>
      </c>
    </row>
    <row r="659" spans="1:49">
      <c r="A659" s="392"/>
      <c r="L659" s="316">
        <f t="shared" si="869"/>
        <v>0</v>
      </c>
      <c r="M659" s="316"/>
      <c r="X659" s="392">
        <f t="shared" si="870"/>
        <v>0</v>
      </c>
      <c r="AM659" s="316">
        <f t="shared" si="871"/>
        <v>0</v>
      </c>
    </row>
    <row r="660" spans="1:49">
      <c r="A660" s="392"/>
      <c r="L660" s="316">
        <f t="shared" si="869"/>
        <v>0</v>
      </c>
      <c r="M660" s="316"/>
      <c r="X660" s="392">
        <f t="shared" si="870"/>
        <v>0</v>
      </c>
      <c r="AM660" s="316">
        <f t="shared" si="871"/>
        <v>0</v>
      </c>
    </row>
    <row r="661" spans="1:49">
      <c r="A661" s="392"/>
      <c r="L661" s="316">
        <f t="shared" si="869"/>
        <v>0</v>
      </c>
      <c r="M661" s="316"/>
      <c r="X661" s="392">
        <f t="shared" si="870"/>
        <v>0</v>
      </c>
      <c r="AM661" s="316">
        <f t="shared" si="871"/>
        <v>0</v>
      </c>
    </row>
    <row r="662" spans="1:49">
      <c r="A662" s="392"/>
      <c r="L662" s="316">
        <f t="shared" si="869"/>
        <v>0</v>
      </c>
      <c r="M662" s="316"/>
      <c r="X662" s="392">
        <f t="shared" si="870"/>
        <v>0</v>
      </c>
      <c r="AM662" s="316">
        <f t="shared" si="871"/>
        <v>0</v>
      </c>
    </row>
    <row r="663" spans="1:49" ht="15.75" thickBot="1">
      <c r="A663" s="395"/>
      <c r="B663" s="236"/>
      <c r="C663" s="21"/>
      <c r="D663" s="21"/>
      <c r="E663" s="21"/>
      <c r="F663" s="21"/>
      <c r="G663" s="21"/>
      <c r="H663" s="21"/>
      <c r="I663" s="236"/>
      <c r="J663" s="236"/>
      <c r="K663" s="236"/>
      <c r="L663" s="317">
        <f t="shared" si="869"/>
        <v>0</v>
      </c>
      <c r="M663" s="317"/>
      <c r="N663" s="236"/>
      <c r="O663" s="21"/>
      <c r="P663" s="21"/>
      <c r="Q663" s="21"/>
      <c r="R663" s="21"/>
      <c r="S663" s="21"/>
      <c r="T663" s="21"/>
      <c r="U663" s="236"/>
      <c r="V663" s="236"/>
      <c r="W663" s="236"/>
      <c r="X663" s="395">
        <f t="shared" si="870"/>
        <v>0</v>
      </c>
      <c r="Y663" s="236"/>
      <c r="Z663" s="386"/>
      <c r="AA663" s="21"/>
      <c r="AB663" s="21"/>
      <c r="AC663" s="21"/>
      <c r="AD663" s="21"/>
      <c r="AE663" s="21"/>
      <c r="AF663" s="21"/>
      <c r="AG663" s="236"/>
      <c r="AH663" s="236"/>
      <c r="AI663" s="236"/>
      <c r="AJ663" s="236"/>
      <c r="AK663" s="236"/>
      <c r="AL663" s="236"/>
      <c r="AM663" s="317">
        <f t="shared" si="871"/>
        <v>0</v>
      </c>
      <c r="AN663" s="21"/>
      <c r="AO663" s="21"/>
      <c r="AP663" s="21"/>
      <c r="AQ663" s="21"/>
      <c r="AR663" s="23"/>
      <c r="AS663" s="21"/>
      <c r="AT663" s="21"/>
      <c r="AU663" s="236"/>
      <c r="AV663" s="236"/>
      <c r="AW663" s="21"/>
    </row>
    <row r="664" spans="1:49">
      <c r="A664" s="392"/>
      <c r="L664" s="316">
        <f t="shared" si="869"/>
        <v>0</v>
      </c>
      <c r="M664" s="316"/>
      <c r="X664" s="392">
        <f t="shared" si="870"/>
        <v>0</v>
      </c>
      <c r="AM664" s="316">
        <f t="shared" si="871"/>
        <v>0</v>
      </c>
    </row>
    <row r="665" spans="1:49">
      <c r="A665" s="392"/>
      <c r="L665" s="316">
        <f t="shared" si="869"/>
        <v>0</v>
      </c>
      <c r="M665" s="316"/>
      <c r="X665" s="392">
        <f t="shared" si="870"/>
        <v>0</v>
      </c>
      <c r="AM665" s="316">
        <f t="shared" si="871"/>
        <v>0</v>
      </c>
    </row>
    <row r="666" spans="1:49">
      <c r="A666" s="392"/>
      <c r="L666" s="316">
        <f t="shared" si="869"/>
        <v>0</v>
      </c>
      <c r="M666" s="316"/>
      <c r="X666" s="392">
        <f t="shared" si="870"/>
        <v>0</v>
      </c>
      <c r="AM666" s="316">
        <f t="shared" si="871"/>
        <v>0</v>
      </c>
    </row>
    <row r="667" spans="1:49">
      <c r="A667" s="392"/>
      <c r="L667" s="316">
        <f t="shared" si="869"/>
        <v>0</v>
      </c>
      <c r="M667" s="316"/>
      <c r="X667" s="392">
        <f t="shared" si="870"/>
        <v>0</v>
      </c>
      <c r="AM667" s="316">
        <f t="shared" si="871"/>
        <v>0</v>
      </c>
    </row>
    <row r="668" spans="1:49">
      <c r="A668" s="392"/>
      <c r="L668" s="316">
        <f t="shared" si="869"/>
        <v>0</v>
      </c>
      <c r="M668" s="316"/>
      <c r="X668" s="392">
        <f t="shared" si="870"/>
        <v>0</v>
      </c>
      <c r="AM668" s="316">
        <f t="shared" si="871"/>
        <v>0</v>
      </c>
    </row>
    <row r="669" spans="1:49">
      <c r="A669" s="392"/>
      <c r="L669" s="316">
        <f t="shared" si="869"/>
        <v>0</v>
      </c>
      <c r="M669" s="316"/>
      <c r="X669" s="392">
        <f t="shared" si="870"/>
        <v>0</v>
      </c>
      <c r="AM669" s="316">
        <f t="shared" si="871"/>
        <v>0</v>
      </c>
    </row>
    <row r="670" spans="1:49">
      <c r="A670" s="392"/>
      <c r="L670" s="316">
        <f t="shared" si="869"/>
        <v>0</v>
      </c>
      <c r="M670" s="316"/>
      <c r="X670" s="392">
        <f t="shared" si="870"/>
        <v>0</v>
      </c>
      <c r="AM670" s="316">
        <f t="shared" si="871"/>
        <v>0</v>
      </c>
    </row>
    <row r="671" spans="1:49">
      <c r="A671" s="392"/>
      <c r="L671" s="316">
        <f t="shared" si="869"/>
        <v>0</v>
      </c>
      <c r="M671" s="316"/>
      <c r="X671" s="392">
        <f t="shared" si="870"/>
        <v>0</v>
      </c>
      <c r="AM671" s="316">
        <f t="shared" si="871"/>
        <v>0</v>
      </c>
    </row>
    <row r="672" spans="1:49">
      <c r="A672" s="392"/>
      <c r="L672" s="316">
        <f t="shared" si="869"/>
        <v>0</v>
      </c>
      <c r="M672" s="316"/>
      <c r="X672" s="392">
        <f t="shared" si="870"/>
        <v>0</v>
      </c>
      <c r="AM672" s="316">
        <f t="shared" si="871"/>
        <v>0</v>
      </c>
    </row>
    <row r="673" spans="1:49">
      <c r="A673" s="392"/>
      <c r="L673" s="316">
        <f t="shared" si="869"/>
        <v>0</v>
      </c>
      <c r="M673" s="316"/>
      <c r="X673" s="392">
        <f t="shared" si="870"/>
        <v>0</v>
      </c>
      <c r="AM673" s="316">
        <f t="shared" si="871"/>
        <v>0</v>
      </c>
    </row>
    <row r="674" spans="1:49">
      <c r="A674" s="392"/>
      <c r="L674" s="316">
        <f t="shared" si="869"/>
        <v>0</v>
      </c>
      <c r="M674" s="316"/>
      <c r="X674" s="392">
        <f t="shared" si="870"/>
        <v>0</v>
      </c>
      <c r="AM674" s="316">
        <f t="shared" si="871"/>
        <v>0</v>
      </c>
    </row>
    <row r="675" spans="1:49" ht="15.75" thickBot="1">
      <c r="A675" s="395"/>
      <c r="B675" s="236"/>
      <c r="C675" s="21"/>
      <c r="D675" s="21"/>
      <c r="E675" s="21"/>
      <c r="F675" s="21"/>
      <c r="G675" s="21"/>
      <c r="H675" s="21"/>
      <c r="I675" s="236"/>
      <c r="J675" s="236"/>
      <c r="K675" s="236"/>
      <c r="L675" s="317">
        <f t="shared" si="869"/>
        <v>0</v>
      </c>
      <c r="M675" s="317"/>
      <c r="N675" s="236"/>
      <c r="O675" s="21"/>
      <c r="P675" s="21"/>
      <c r="Q675" s="21"/>
      <c r="R675" s="21"/>
      <c r="S675" s="21"/>
      <c r="T675" s="21"/>
      <c r="U675" s="236"/>
      <c r="V675" s="236"/>
      <c r="W675" s="236"/>
      <c r="X675" s="395">
        <f t="shared" si="870"/>
        <v>0</v>
      </c>
      <c r="Y675" s="236"/>
      <c r="Z675" s="386"/>
      <c r="AA675" s="21"/>
      <c r="AB675" s="21"/>
      <c r="AC675" s="21"/>
      <c r="AD675" s="21"/>
      <c r="AE675" s="21"/>
      <c r="AF675" s="21"/>
      <c r="AG675" s="236"/>
      <c r="AH675" s="236"/>
      <c r="AI675" s="236"/>
      <c r="AJ675" s="236"/>
      <c r="AK675" s="236"/>
      <c r="AL675" s="236"/>
      <c r="AM675" s="317">
        <f t="shared" si="871"/>
        <v>0</v>
      </c>
      <c r="AN675" s="21"/>
      <c r="AO675" s="21"/>
      <c r="AP675" s="21"/>
      <c r="AQ675" s="21"/>
      <c r="AR675" s="23"/>
      <c r="AS675" s="21"/>
      <c r="AT675" s="21"/>
      <c r="AU675" s="236"/>
      <c r="AV675" s="236"/>
      <c r="AW675" s="21"/>
    </row>
    <row r="676" spans="1:49">
      <c r="A676" s="392"/>
      <c r="L676" s="316">
        <f t="shared" si="869"/>
        <v>0</v>
      </c>
      <c r="M676" s="316"/>
      <c r="X676" s="392">
        <f t="shared" si="870"/>
        <v>0</v>
      </c>
      <c r="AM676" s="316">
        <f t="shared" si="871"/>
        <v>0</v>
      </c>
    </row>
    <row r="677" spans="1:49">
      <c r="A677" s="392"/>
      <c r="L677" s="316">
        <f t="shared" si="869"/>
        <v>0</v>
      </c>
      <c r="M677" s="316"/>
      <c r="X677" s="392">
        <f t="shared" si="870"/>
        <v>0</v>
      </c>
      <c r="AM677" s="316">
        <f t="shared" si="871"/>
        <v>0</v>
      </c>
    </row>
    <row r="678" spans="1:49">
      <c r="A678" s="392"/>
      <c r="L678" s="316">
        <f t="shared" si="869"/>
        <v>0</v>
      </c>
      <c r="M678" s="316"/>
      <c r="X678" s="392">
        <f t="shared" si="870"/>
        <v>0</v>
      </c>
      <c r="AM678" s="316">
        <f t="shared" si="871"/>
        <v>0</v>
      </c>
    </row>
    <row r="679" spans="1:49">
      <c r="A679" s="392"/>
      <c r="L679" s="316">
        <f t="shared" si="869"/>
        <v>0</v>
      </c>
      <c r="M679" s="316"/>
      <c r="X679" s="392">
        <f t="shared" si="870"/>
        <v>0</v>
      </c>
      <c r="AM679" s="316">
        <f t="shared" si="871"/>
        <v>0</v>
      </c>
    </row>
    <row r="680" spans="1:49">
      <c r="A680" s="392"/>
      <c r="L680" s="316">
        <f t="shared" si="869"/>
        <v>0</v>
      </c>
      <c r="M680" s="316"/>
      <c r="X680" s="392">
        <f t="shared" si="870"/>
        <v>0</v>
      </c>
      <c r="AM680" s="316">
        <f t="shared" si="871"/>
        <v>0</v>
      </c>
    </row>
    <row r="681" spans="1:49">
      <c r="A681" s="392"/>
      <c r="L681" s="316">
        <f t="shared" si="869"/>
        <v>0</v>
      </c>
      <c r="M681" s="316"/>
      <c r="X681" s="392">
        <f t="shared" si="870"/>
        <v>0</v>
      </c>
      <c r="AM681" s="316">
        <f t="shared" si="871"/>
        <v>0</v>
      </c>
    </row>
    <row r="682" spans="1:49">
      <c r="A682" s="392"/>
      <c r="L682" s="316">
        <f t="shared" si="869"/>
        <v>0</v>
      </c>
      <c r="M682" s="316"/>
      <c r="X682" s="392">
        <f t="shared" si="870"/>
        <v>0</v>
      </c>
      <c r="AM682" s="316">
        <f t="shared" si="871"/>
        <v>0</v>
      </c>
    </row>
    <row r="683" spans="1:49">
      <c r="A683" s="392"/>
      <c r="L683" s="316">
        <f t="shared" si="869"/>
        <v>0</v>
      </c>
      <c r="M683" s="316"/>
      <c r="X683" s="392">
        <f t="shared" si="870"/>
        <v>0</v>
      </c>
      <c r="AM683" s="316">
        <f t="shared" si="871"/>
        <v>0</v>
      </c>
    </row>
    <row r="684" spans="1:49">
      <c r="A684" s="392"/>
      <c r="L684" s="316">
        <f t="shared" si="869"/>
        <v>0</v>
      </c>
      <c r="M684" s="316"/>
      <c r="X684" s="392">
        <f t="shared" si="870"/>
        <v>0</v>
      </c>
      <c r="AM684" s="316">
        <f t="shared" si="871"/>
        <v>0</v>
      </c>
    </row>
    <row r="685" spans="1:49">
      <c r="A685" s="392"/>
      <c r="L685" s="316">
        <f t="shared" si="869"/>
        <v>0</v>
      </c>
      <c r="M685" s="316"/>
      <c r="X685" s="392">
        <f t="shared" si="870"/>
        <v>0</v>
      </c>
      <c r="AM685" s="316">
        <f t="shared" si="871"/>
        <v>0</v>
      </c>
    </row>
    <row r="686" spans="1:49">
      <c r="A686" s="392"/>
      <c r="L686" s="316">
        <f t="shared" si="869"/>
        <v>0</v>
      </c>
      <c r="M686" s="316"/>
      <c r="X686" s="392">
        <f t="shared" si="870"/>
        <v>0</v>
      </c>
      <c r="AM686" s="316">
        <f t="shared" si="871"/>
        <v>0</v>
      </c>
    </row>
    <row r="687" spans="1:49" ht="15.75" thickBot="1">
      <c r="A687" s="395"/>
      <c r="B687" s="236"/>
      <c r="C687" s="21"/>
      <c r="D687" s="21"/>
      <c r="E687" s="21"/>
      <c r="F687" s="21"/>
      <c r="G687" s="21"/>
      <c r="H687" s="21"/>
      <c r="I687" s="236"/>
      <c r="J687" s="236"/>
      <c r="K687" s="236"/>
      <c r="L687" s="317">
        <f t="shared" si="869"/>
        <v>0</v>
      </c>
      <c r="M687" s="317"/>
      <c r="N687" s="236"/>
      <c r="O687" s="21"/>
      <c r="P687" s="21"/>
      <c r="Q687" s="21"/>
      <c r="R687" s="21"/>
      <c r="S687" s="21"/>
      <c r="T687" s="21"/>
      <c r="U687" s="236"/>
      <c r="V687" s="236"/>
      <c r="W687" s="236"/>
      <c r="X687" s="395">
        <f t="shared" si="870"/>
        <v>0</v>
      </c>
      <c r="Y687" s="236"/>
      <c r="Z687" s="386"/>
      <c r="AA687" s="21"/>
      <c r="AB687" s="21"/>
      <c r="AC687" s="21"/>
      <c r="AD687" s="21"/>
      <c r="AE687" s="21"/>
      <c r="AF687" s="21"/>
      <c r="AG687" s="236"/>
      <c r="AH687" s="236"/>
      <c r="AI687" s="236"/>
      <c r="AJ687" s="236"/>
      <c r="AK687" s="236"/>
      <c r="AL687" s="236"/>
      <c r="AM687" s="317">
        <f t="shared" si="871"/>
        <v>0</v>
      </c>
      <c r="AN687" s="21"/>
      <c r="AO687" s="21"/>
      <c r="AP687" s="21"/>
      <c r="AQ687" s="21"/>
      <c r="AR687" s="23"/>
      <c r="AS687" s="21"/>
      <c r="AT687" s="21"/>
      <c r="AU687" s="236"/>
      <c r="AV687" s="236"/>
      <c r="AW687" s="21"/>
    </row>
    <row r="688" spans="1:49">
      <c r="A688" s="392"/>
      <c r="L688" s="316">
        <f t="shared" ref="L688:L751" si="872">IF(MOD(M688,12)=0,M688/12,L687)</f>
        <v>0</v>
      </c>
      <c r="M688" s="316"/>
      <c r="X688" s="392">
        <f t="shared" si="870"/>
        <v>0</v>
      </c>
      <c r="AM688" s="316">
        <f t="shared" si="871"/>
        <v>0</v>
      </c>
    </row>
    <row r="689" spans="1:49">
      <c r="A689" s="392"/>
      <c r="L689" s="316">
        <f t="shared" si="872"/>
        <v>0</v>
      </c>
      <c r="M689" s="316"/>
      <c r="X689" s="392">
        <f t="shared" si="870"/>
        <v>0</v>
      </c>
      <c r="AM689" s="316">
        <f t="shared" si="871"/>
        <v>0</v>
      </c>
    </row>
    <row r="690" spans="1:49">
      <c r="A690" s="392"/>
      <c r="L690" s="316">
        <f t="shared" si="872"/>
        <v>0</v>
      </c>
      <c r="M690" s="316"/>
      <c r="X690" s="392">
        <f t="shared" si="870"/>
        <v>0</v>
      </c>
      <c r="AM690" s="316">
        <f t="shared" si="871"/>
        <v>0</v>
      </c>
    </row>
    <row r="691" spans="1:49">
      <c r="A691" s="392"/>
      <c r="L691" s="316">
        <f t="shared" si="872"/>
        <v>0</v>
      </c>
      <c r="M691" s="316"/>
      <c r="X691" s="392">
        <f t="shared" si="870"/>
        <v>0</v>
      </c>
      <c r="AM691" s="316">
        <f t="shared" si="871"/>
        <v>0</v>
      </c>
    </row>
    <row r="692" spans="1:49">
      <c r="A692" s="392"/>
      <c r="L692" s="316">
        <f t="shared" si="872"/>
        <v>0</v>
      </c>
      <c r="M692" s="316"/>
      <c r="X692" s="392">
        <f t="shared" si="870"/>
        <v>0</v>
      </c>
      <c r="AM692" s="316">
        <f t="shared" si="871"/>
        <v>0</v>
      </c>
    </row>
    <row r="693" spans="1:49">
      <c r="A693" s="392"/>
      <c r="L693" s="316">
        <f t="shared" si="872"/>
        <v>0</v>
      </c>
      <c r="M693" s="316"/>
      <c r="X693" s="392">
        <f t="shared" si="870"/>
        <v>0</v>
      </c>
      <c r="AM693" s="316">
        <f t="shared" si="871"/>
        <v>0</v>
      </c>
    </row>
    <row r="694" spans="1:49">
      <c r="A694" s="392"/>
      <c r="L694" s="316">
        <f t="shared" si="872"/>
        <v>0</v>
      </c>
      <c r="M694" s="316"/>
      <c r="X694" s="392">
        <f t="shared" si="870"/>
        <v>0</v>
      </c>
      <c r="AM694" s="316">
        <f t="shared" si="871"/>
        <v>0</v>
      </c>
    </row>
    <row r="695" spans="1:49">
      <c r="A695" s="392"/>
      <c r="L695" s="316">
        <f t="shared" si="872"/>
        <v>0</v>
      </c>
      <c r="M695" s="316"/>
      <c r="X695" s="392">
        <f t="shared" si="870"/>
        <v>0</v>
      </c>
      <c r="AM695" s="316">
        <f t="shared" si="871"/>
        <v>0</v>
      </c>
    </row>
    <row r="696" spans="1:49">
      <c r="A696" s="392"/>
      <c r="L696" s="316">
        <f t="shared" si="872"/>
        <v>0</v>
      </c>
      <c r="M696" s="316"/>
      <c r="X696" s="392">
        <f t="shared" si="870"/>
        <v>0</v>
      </c>
      <c r="AM696" s="316">
        <f t="shared" si="871"/>
        <v>0</v>
      </c>
    </row>
    <row r="697" spans="1:49">
      <c r="A697" s="392"/>
      <c r="L697" s="316">
        <f t="shared" si="872"/>
        <v>0</v>
      </c>
      <c r="M697" s="316"/>
      <c r="X697" s="392">
        <f t="shared" si="870"/>
        <v>0</v>
      </c>
      <c r="AM697" s="316">
        <f t="shared" si="871"/>
        <v>0</v>
      </c>
    </row>
    <row r="698" spans="1:49">
      <c r="A698" s="392"/>
      <c r="L698" s="316">
        <f t="shared" si="872"/>
        <v>0</v>
      </c>
      <c r="M698" s="316"/>
      <c r="X698" s="392">
        <f t="shared" si="870"/>
        <v>0</v>
      </c>
      <c r="AM698" s="316">
        <f t="shared" si="871"/>
        <v>0</v>
      </c>
    </row>
    <row r="699" spans="1:49" ht="15.75" thickBot="1">
      <c r="A699" s="395"/>
      <c r="B699" s="236"/>
      <c r="C699" s="21"/>
      <c r="D699" s="21"/>
      <c r="E699" s="21"/>
      <c r="F699" s="21"/>
      <c r="G699" s="21"/>
      <c r="H699" s="21"/>
      <c r="I699" s="236"/>
      <c r="J699" s="236"/>
      <c r="K699" s="236"/>
      <c r="L699" s="317">
        <f t="shared" si="872"/>
        <v>0</v>
      </c>
      <c r="M699" s="317"/>
      <c r="N699" s="236"/>
      <c r="O699" s="21"/>
      <c r="P699" s="21"/>
      <c r="Q699" s="21"/>
      <c r="R699" s="21"/>
      <c r="S699" s="21"/>
      <c r="T699" s="21"/>
      <c r="U699" s="236"/>
      <c r="V699" s="236"/>
      <c r="W699" s="236"/>
      <c r="X699" s="395">
        <f t="shared" si="870"/>
        <v>0</v>
      </c>
      <c r="Y699" s="236"/>
      <c r="Z699" s="386"/>
      <c r="AA699" s="21"/>
      <c r="AB699" s="21"/>
      <c r="AC699" s="21"/>
      <c r="AD699" s="21"/>
      <c r="AE699" s="21"/>
      <c r="AF699" s="21"/>
      <c r="AG699" s="236"/>
      <c r="AH699" s="236"/>
      <c r="AI699" s="236"/>
      <c r="AJ699" s="236"/>
      <c r="AK699" s="236"/>
      <c r="AL699" s="236"/>
      <c r="AM699" s="317">
        <f t="shared" si="871"/>
        <v>0</v>
      </c>
      <c r="AN699" s="21"/>
      <c r="AO699" s="21"/>
      <c r="AP699" s="21"/>
      <c r="AQ699" s="21"/>
      <c r="AR699" s="23"/>
      <c r="AS699" s="21"/>
      <c r="AT699" s="21"/>
      <c r="AU699" s="236"/>
      <c r="AV699" s="236"/>
      <c r="AW699" s="21"/>
    </row>
    <row r="700" spans="1:49">
      <c r="A700" s="392"/>
      <c r="L700" s="316">
        <f t="shared" si="872"/>
        <v>0</v>
      </c>
      <c r="M700" s="316"/>
      <c r="X700" s="392">
        <f t="shared" si="870"/>
        <v>0</v>
      </c>
      <c r="AM700" s="316">
        <f t="shared" si="871"/>
        <v>0</v>
      </c>
    </row>
    <row r="701" spans="1:49">
      <c r="A701" s="392"/>
      <c r="L701" s="316">
        <f t="shared" si="872"/>
        <v>0</v>
      </c>
      <c r="M701" s="316"/>
      <c r="X701" s="392">
        <f t="shared" si="870"/>
        <v>0</v>
      </c>
      <c r="AM701" s="316">
        <f t="shared" si="871"/>
        <v>0</v>
      </c>
    </row>
    <row r="702" spans="1:49">
      <c r="A702" s="392"/>
      <c r="L702" s="316">
        <f t="shared" si="872"/>
        <v>0</v>
      </c>
      <c r="M702" s="316"/>
      <c r="X702" s="392">
        <f t="shared" si="870"/>
        <v>0</v>
      </c>
      <c r="AM702" s="316">
        <f t="shared" si="871"/>
        <v>0</v>
      </c>
    </row>
    <row r="703" spans="1:49">
      <c r="A703" s="392"/>
      <c r="L703" s="316">
        <f t="shared" si="872"/>
        <v>0</v>
      </c>
      <c r="M703" s="316"/>
      <c r="X703" s="392">
        <f t="shared" si="870"/>
        <v>0</v>
      </c>
      <c r="AM703" s="316">
        <f t="shared" si="871"/>
        <v>0</v>
      </c>
    </row>
    <row r="704" spans="1:49">
      <c r="A704" s="392"/>
      <c r="L704" s="316">
        <f t="shared" si="872"/>
        <v>0</v>
      </c>
      <c r="M704" s="316"/>
      <c r="X704" s="392">
        <f t="shared" si="870"/>
        <v>0</v>
      </c>
      <c r="AM704" s="316">
        <f t="shared" si="871"/>
        <v>0</v>
      </c>
    </row>
    <row r="705" spans="1:49">
      <c r="A705" s="392"/>
      <c r="L705" s="316">
        <f t="shared" si="872"/>
        <v>0</v>
      </c>
      <c r="M705" s="316"/>
      <c r="X705" s="392">
        <f t="shared" si="870"/>
        <v>0</v>
      </c>
      <c r="AM705" s="316">
        <f t="shared" si="871"/>
        <v>0</v>
      </c>
    </row>
    <row r="706" spans="1:49">
      <c r="A706" s="392"/>
      <c r="L706" s="316">
        <f t="shared" si="872"/>
        <v>0</v>
      </c>
      <c r="M706" s="316"/>
      <c r="X706" s="392">
        <f t="shared" si="870"/>
        <v>0</v>
      </c>
      <c r="AM706" s="316">
        <f t="shared" si="871"/>
        <v>0</v>
      </c>
    </row>
    <row r="707" spans="1:49">
      <c r="A707" s="392"/>
      <c r="L707" s="316">
        <f t="shared" si="872"/>
        <v>0</v>
      </c>
      <c r="M707" s="316"/>
      <c r="X707" s="392">
        <f t="shared" si="870"/>
        <v>0</v>
      </c>
      <c r="AM707" s="316">
        <f t="shared" si="871"/>
        <v>0</v>
      </c>
    </row>
    <row r="708" spans="1:49">
      <c r="A708" s="392"/>
      <c r="L708" s="316">
        <f t="shared" si="872"/>
        <v>0</v>
      </c>
      <c r="M708" s="316"/>
      <c r="X708" s="392">
        <f t="shared" si="870"/>
        <v>0</v>
      </c>
      <c r="AM708" s="316">
        <f t="shared" si="871"/>
        <v>0</v>
      </c>
    </row>
    <row r="709" spans="1:49">
      <c r="A709" s="392"/>
      <c r="L709" s="316">
        <f t="shared" si="872"/>
        <v>0</v>
      </c>
      <c r="M709" s="316"/>
      <c r="X709" s="392">
        <f t="shared" si="870"/>
        <v>0</v>
      </c>
      <c r="AM709" s="316">
        <f t="shared" si="871"/>
        <v>0</v>
      </c>
    </row>
    <row r="710" spans="1:49">
      <c r="A710" s="392"/>
      <c r="L710" s="316">
        <f t="shared" si="872"/>
        <v>0</v>
      </c>
      <c r="M710" s="316"/>
      <c r="X710" s="392">
        <f t="shared" si="870"/>
        <v>0</v>
      </c>
      <c r="AM710" s="316">
        <f t="shared" si="871"/>
        <v>0</v>
      </c>
    </row>
    <row r="711" spans="1:49" ht="15.75" thickBot="1">
      <c r="A711" s="395"/>
      <c r="B711" s="236"/>
      <c r="C711" s="21"/>
      <c r="D711" s="21"/>
      <c r="E711" s="21"/>
      <c r="F711" s="21"/>
      <c r="G711" s="21"/>
      <c r="H711" s="21"/>
      <c r="I711" s="236"/>
      <c r="J711" s="236"/>
      <c r="K711" s="236"/>
      <c r="L711" s="317">
        <f t="shared" si="872"/>
        <v>0</v>
      </c>
      <c r="M711" s="317"/>
      <c r="N711" s="236"/>
      <c r="O711" s="21"/>
      <c r="P711" s="21"/>
      <c r="Q711" s="21"/>
      <c r="R711" s="21"/>
      <c r="S711" s="21"/>
      <c r="T711" s="21"/>
      <c r="U711" s="236"/>
      <c r="V711" s="236"/>
      <c r="W711" s="236"/>
      <c r="X711" s="395">
        <f t="shared" si="870"/>
        <v>0</v>
      </c>
      <c r="Y711" s="236"/>
      <c r="Z711" s="386"/>
      <c r="AA711" s="21"/>
      <c r="AB711" s="21"/>
      <c r="AC711" s="21"/>
      <c r="AD711" s="21"/>
      <c r="AE711" s="21"/>
      <c r="AF711" s="21"/>
      <c r="AG711" s="236"/>
      <c r="AH711" s="236"/>
      <c r="AI711" s="236"/>
      <c r="AJ711" s="236"/>
      <c r="AK711" s="236"/>
      <c r="AL711" s="236"/>
      <c r="AM711" s="317">
        <f t="shared" si="871"/>
        <v>0</v>
      </c>
      <c r="AN711" s="21"/>
      <c r="AO711" s="21"/>
      <c r="AP711" s="21"/>
      <c r="AQ711" s="21"/>
      <c r="AR711" s="23"/>
      <c r="AS711" s="21"/>
      <c r="AT711" s="21"/>
      <c r="AU711" s="236"/>
      <c r="AV711" s="236"/>
      <c r="AW711" s="21"/>
    </row>
    <row r="712" spans="1:49">
      <c r="A712" s="392"/>
      <c r="L712" s="316">
        <f t="shared" si="872"/>
        <v>0</v>
      </c>
      <c r="M712" s="316"/>
      <c r="X712" s="392">
        <f t="shared" si="870"/>
        <v>0</v>
      </c>
      <c r="AM712" s="316">
        <f t="shared" si="871"/>
        <v>0</v>
      </c>
    </row>
    <row r="713" spans="1:49">
      <c r="A713" s="392"/>
      <c r="L713" s="316">
        <f t="shared" si="872"/>
        <v>0</v>
      </c>
      <c r="M713" s="316"/>
      <c r="X713" s="392">
        <f t="shared" si="870"/>
        <v>0</v>
      </c>
      <c r="AM713" s="316">
        <f t="shared" si="871"/>
        <v>0</v>
      </c>
    </row>
    <row r="714" spans="1:49">
      <c r="A714" s="392"/>
      <c r="L714" s="316">
        <f t="shared" si="872"/>
        <v>0</v>
      </c>
      <c r="M714" s="316"/>
      <c r="X714" s="392">
        <f t="shared" si="870"/>
        <v>0</v>
      </c>
      <c r="AM714" s="316">
        <f t="shared" si="871"/>
        <v>0</v>
      </c>
    </row>
    <row r="715" spans="1:49">
      <c r="A715" s="392"/>
      <c r="L715" s="316">
        <f t="shared" si="872"/>
        <v>0</v>
      </c>
      <c r="M715" s="316"/>
      <c r="X715" s="392">
        <f t="shared" si="870"/>
        <v>0</v>
      </c>
      <c r="AM715" s="316">
        <f t="shared" si="871"/>
        <v>0</v>
      </c>
    </row>
    <row r="716" spans="1:49">
      <c r="A716" s="392"/>
      <c r="L716" s="316">
        <f t="shared" si="872"/>
        <v>0</v>
      </c>
      <c r="M716" s="316"/>
      <c r="X716" s="392">
        <f t="shared" si="870"/>
        <v>0</v>
      </c>
      <c r="AM716" s="316">
        <f t="shared" si="871"/>
        <v>0</v>
      </c>
    </row>
    <row r="717" spans="1:49">
      <c r="A717" s="392"/>
      <c r="L717" s="316">
        <f t="shared" si="872"/>
        <v>0</v>
      </c>
      <c r="M717" s="316"/>
      <c r="X717" s="392">
        <f t="shared" si="870"/>
        <v>0</v>
      </c>
      <c r="AM717" s="316">
        <f t="shared" si="871"/>
        <v>0</v>
      </c>
    </row>
    <row r="718" spans="1:49">
      <c r="A718" s="392"/>
      <c r="L718" s="316">
        <f t="shared" si="872"/>
        <v>0</v>
      </c>
      <c r="M718" s="316"/>
      <c r="X718" s="392">
        <f t="shared" si="870"/>
        <v>0</v>
      </c>
      <c r="AM718" s="316">
        <f t="shared" si="871"/>
        <v>0</v>
      </c>
    </row>
    <row r="719" spans="1:49">
      <c r="A719" s="392"/>
      <c r="L719" s="316">
        <f t="shared" si="872"/>
        <v>0</v>
      </c>
      <c r="M719" s="316"/>
      <c r="X719" s="392">
        <f t="shared" si="870"/>
        <v>0</v>
      </c>
      <c r="AM719" s="316">
        <f t="shared" si="871"/>
        <v>0</v>
      </c>
    </row>
    <row r="720" spans="1:49">
      <c r="A720" s="392"/>
      <c r="L720" s="316">
        <f t="shared" si="872"/>
        <v>0</v>
      </c>
      <c r="M720" s="316"/>
      <c r="X720" s="392">
        <f t="shared" si="870"/>
        <v>0</v>
      </c>
      <c r="AM720" s="316">
        <f t="shared" si="871"/>
        <v>0</v>
      </c>
    </row>
    <row r="721" spans="1:49">
      <c r="A721" s="392"/>
      <c r="L721" s="316">
        <f t="shared" si="872"/>
        <v>0</v>
      </c>
      <c r="M721" s="316"/>
      <c r="X721" s="392">
        <f t="shared" ref="X721:X783" si="873">+A721</f>
        <v>0</v>
      </c>
      <c r="AM721" s="316">
        <f t="shared" ref="AM721:AM724" si="874">+L721</f>
        <v>0</v>
      </c>
    </row>
    <row r="722" spans="1:49">
      <c r="A722" s="392"/>
      <c r="L722" s="316">
        <f t="shared" si="872"/>
        <v>0</v>
      </c>
      <c r="M722" s="316"/>
      <c r="X722" s="392">
        <f t="shared" si="873"/>
        <v>0</v>
      </c>
      <c r="AM722" s="316">
        <f t="shared" si="874"/>
        <v>0</v>
      </c>
    </row>
    <row r="723" spans="1:49" ht="15.75" thickBot="1">
      <c r="A723" s="395"/>
      <c r="B723" s="236"/>
      <c r="C723" s="21"/>
      <c r="D723" s="21"/>
      <c r="E723" s="21"/>
      <c r="F723" s="21"/>
      <c r="G723" s="21"/>
      <c r="H723" s="21"/>
      <c r="I723" s="236"/>
      <c r="J723" s="236"/>
      <c r="K723" s="236"/>
      <c r="L723" s="317">
        <f t="shared" si="872"/>
        <v>0</v>
      </c>
      <c r="M723" s="317"/>
      <c r="N723" s="236"/>
      <c r="O723" s="21"/>
      <c r="P723" s="21"/>
      <c r="Q723" s="21"/>
      <c r="R723" s="21"/>
      <c r="S723" s="21"/>
      <c r="T723" s="21"/>
      <c r="U723" s="236"/>
      <c r="V723" s="236"/>
      <c r="W723" s="236"/>
      <c r="X723" s="395">
        <f t="shared" si="873"/>
        <v>0</v>
      </c>
      <c r="Y723" s="236"/>
      <c r="Z723" s="386"/>
      <c r="AA723" s="21"/>
      <c r="AB723" s="21"/>
      <c r="AC723" s="21"/>
      <c r="AD723" s="21"/>
      <c r="AE723" s="21"/>
      <c r="AF723" s="21"/>
      <c r="AG723" s="236"/>
      <c r="AH723" s="236"/>
      <c r="AI723" s="236"/>
      <c r="AJ723" s="236"/>
      <c r="AK723" s="236"/>
      <c r="AL723" s="236"/>
      <c r="AM723" s="317">
        <f t="shared" si="874"/>
        <v>0</v>
      </c>
      <c r="AN723" s="21"/>
      <c r="AO723" s="21"/>
      <c r="AP723" s="21"/>
      <c r="AQ723" s="21"/>
      <c r="AR723" s="23"/>
      <c r="AS723" s="21"/>
      <c r="AT723" s="21"/>
      <c r="AU723" s="236"/>
      <c r="AV723" s="236"/>
      <c r="AW723" s="21"/>
    </row>
    <row r="724" spans="1:49">
      <c r="A724" s="392"/>
      <c r="L724" s="316">
        <f t="shared" si="872"/>
        <v>0</v>
      </c>
      <c r="M724" s="316"/>
      <c r="X724" s="392">
        <f t="shared" si="873"/>
        <v>0</v>
      </c>
      <c r="AM724" s="316">
        <f t="shared" si="874"/>
        <v>0</v>
      </c>
    </row>
    <row r="725" spans="1:49">
      <c r="A725" s="392"/>
      <c r="L725" s="316">
        <f t="shared" si="872"/>
        <v>0</v>
      </c>
      <c r="M725" s="316"/>
      <c r="X725" s="392">
        <f t="shared" si="873"/>
        <v>0</v>
      </c>
      <c r="AM725" s="316"/>
    </row>
    <row r="726" spans="1:49">
      <c r="A726" s="392"/>
      <c r="L726" s="316">
        <f t="shared" si="872"/>
        <v>0</v>
      </c>
      <c r="M726" s="316"/>
      <c r="X726" s="392">
        <f t="shared" si="873"/>
        <v>0</v>
      </c>
      <c r="AM726" s="316"/>
    </row>
    <row r="727" spans="1:49">
      <c r="A727" s="392"/>
      <c r="L727" s="316">
        <f t="shared" si="872"/>
        <v>0</v>
      </c>
      <c r="M727" s="316"/>
      <c r="X727" s="392">
        <f t="shared" si="873"/>
        <v>0</v>
      </c>
      <c r="AM727" s="316"/>
    </row>
    <row r="728" spans="1:49">
      <c r="A728" s="392"/>
      <c r="L728" s="316">
        <f t="shared" si="872"/>
        <v>0</v>
      </c>
      <c r="M728" s="316"/>
      <c r="X728" s="392">
        <f t="shared" si="873"/>
        <v>0</v>
      </c>
      <c r="AM728" s="316"/>
    </row>
    <row r="729" spans="1:49">
      <c r="A729" s="392"/>
      <c r="L729" s="316">
        <f t="shared" si="872"/>
        <v>0</v>
      </c>
      <c r="M729" s="316"/>
      <c r="X729" s="392">
        <f t="shared" si="873"/>
        <v>0</v>
      </c>
      <c r="AM729" s="316"/>
    </row>
    <row r="730" spans="1:49">
      <c r="A730" s="392"/>
      <c r="L730" s="316">
        <f t="shared" si="872"/>
        <v>0</v>
      </c>
      <c r="M730" s="316"/>
      <c r="X730" s="392">
        <f t="shared" si="873"/>
        <v>0</v>
      </c>
      <c r="AM730" s="316"/>
    </row>
    <row r="731" spans="1:49">
      <c r="A731" s="392"/>
      <c r="L731" s="316">
        <f t="shared" si="872"/>
        <v>0</v>
      </c>
      <c r="M731" s="316"/>
      <c r="X731" s="392">
        <f t="shared" si="873"/>
        <v>0</v>
      </c>
      <c r="AM731" s="316"/>
    </row>
    <row r="732" spans="1:49">
      <c r="A732" s="392"/>
      <c r="L732" s="316">
        <f t="shared" si="872"/>
        <v>0</v>
      </c>
      <c r="M732" s="316"/>
      <c r="X732" s="392">
        <f t="shared" si="873"/>
        <v>0</v>
      </c>
      <c r="AM732" s="316"/>
    </row>
    <row r="733" spans="1:49">
      <c r="A733" s="392"/>
      <c r="L733" s="316">
        <f t="shared" si="872"/>
        <v>0</v>
      </c>
      <c r="M733" s="316"/>
      <c r="X733" s="392">
        <f t="shared" si="873"/>
        <v>0</v>
      </c>
      <c r="AM733" s="316"/>
    </row>
    <row r="734" spans="1:49">
      <c r="A734" s="392"/>
      <c r="L734" s="316">
        <f t="shared" si="872"/>
        <v>0</v>
      </c>
      <c r="M734" s="316"/>
      <c r="X734" s="392">
        <f t="shared" si="873"/>
        <v>0</v>
      </c>
      <c r="AM734" s="316"/>
    </row>
    <row r="735" spans="1:49" ht="15.75" thickBot="1">
      <c r="A735" s="395"/>
      <c r="B735" s="236"/>
      <c r="C735" s="21"/>
      <c r="D735" s="21"/>
      <c r="E735" s="21"/>
      <c r="F735" s="21"/>
      <c r="G735" s="21"/>
      <c r="H735" s="21"/>
      <c r="I735" s="236"/>
      <c r="J735" s="236"/>
      <c r="K735" s="236"/>
      <c r="L735" s="317">
        <f t="shared" si="872"/>
        <v>0</v>
      </c>
      <c r="M735" s="317"/>
      <c r="N735" s="236"/>
      <c r="O735" s="21"/>
      <c r="P735" s="21"/>
      <c r="Q735" s="21"/>
      <c r="R735" s="21"/>
      <c r="S735" s="21"/>
      <c r="T735" s="21"/>
      <c r="U735" s="236"/>
      <c r="V735" s="236"/>
      <c r="W735" s="236"/>
      <c r="X735" s="395">
        <f t="shared" si="873"/>
        <v>0</v>
      </c>
      <c r="Y735" s="236"/>
      <c r="Z735" s="386"/>
      <c r="AA735" s="21"/>
      <c r="AB735" s="21"/>
      <c r="AC735" s="21"/>
      <c r="AD735" s="21"/>
      <c r="AE735" s="21"/>
      <c r="AF735" s="21"/>
      <c r="AG735" s="236"/>
      <c r="AH735" s="236"/>
      <c r="AI735" s="236"/>
      <c r="AJ735" s="236"/>
      <c r="AK735" s="236"/>
      <c r="AL735" s="236"/>
      <c r="AM735" s="317"/>
      <c r="AN735" s="21"/>
      <c r="AO735" s="21"/>
      <c r="AP735" s="21"/>
      <c r="AQ735" s="21"/>
      <c r="AR735" s="23"/>
      <c r="AS735" s="21"/>
      <c r="AT735" s="21"/>
      <c r="AU735" s="236"/>
      <c r="AV735" s="236"/>
      <c r="AW735" s="21"/>
    </row>
    <row r="736" spans="1:49">
      <c r="A736" s="392"/>
      <c r="L736" s="316">
        <f t="shared" si="872"/>
        <v>0</v>
      </c>
      <c r="M736" s="316"/>
      <c r="X736" s="392">
        <f t="shared" si="873"/>
        <v>0</v>
      </c>
      <c r="AM736" s="316"/>
    </row>
    <row r="737" spans="1:49">
      <c r="A737" s="392"/>
      <c r="L737" s="316">
        <f t="shared" si="872"/>
        <v>0</v>
      </c>
      <c r="M737" s="316"/>
      <c r="X737" s="392">
        <f t="shared" si="873"/>
        <v>0</v>
      </c>
      <c r="AM737" s="316"/>
    </row>
    <row r="738" spans="1:49">
      <c r="A738" s="392"/>
      <c r="L738" s="316">
        <f t="shared" si="872"/>
        <v>0</v>
      </c>
      <c r="M738" s="316"/>
      <c r="X738" s="392">
        <f t="shared" si="873"/>
        <v>0</v>
      </c>
      <c r="AM738" s="316"/>
    </row>
    <row r="739" spans="1:49">
      <c r="A739" s="392"/>
      <c r="L739" s="316">
        <f t="shared" si="872"/>
        <v>0</v>
      </c>
      <c r="M739" s="316"/>
      <c r="X739" s="392">
        <f t="shared" si="873"/>
        <v>0</v>
      </c>
      <c r="AM739" s="316"/>
    </row>
    <row r="740" spans="1:49">
      <c r="A740" s="392"/>
      <c r="L740" s="316">
        <f t="shared" si="872"/>
        <v>0</v>
      </c>
      <c r="M740" s="316"/>
      <c r="X740" s="392">
        <f t="shared" si="873"/>
        <v>0</v>
      </c>
      <c r="AM740" s="316"/>
    </row>
    <row r="741" spans="1:49">
      <c r="A741" s="392"/>
      <c r="L741" s="316">
        <f t="shared" si="872"/>
        <v>0</v>
      </c>
      <c r="M741" s="316"/>
      <c r="X741" s="392">
        <f t="shared" si="873"/>
        <v>0</v>
      </c>
      <c r="AM741" s="316"/>
    </row>
    <row r="742" spans="1:49">
      <c r="A742" s="392"/>
      <c r="L742" s="316">
        <f t="shared" si="872"/>
        <v>0</v>
      </c>
      <c r="M742" s="316"/>
      <c r="X742" s="392">
        <f t="shared" si="873"/>
        <v>0</v>
      </c>
      <c r="AM742" s="316"/>
    </row>
    <row r="743" spans="1:49">
      <c r="A743" s="392"/>
      <c r="L743" s="316">
        <f t="shared" si="872"/>
        <v>0</v>
      </c>
      <c r="M743" s="316"/>
      <c r="X743" s="392">
        <f t="shared" si="873"/>
        <v>0</v>
      </c>
      <c r="AM743" s="316"/>
    </row>
    <row r="744" spans="1:49">
      <c r="A744" s="392"/>
      <c r="L744" s="316">
        <f t="shared" si="872"/>
        <v>0</v>
      </c>
      <c r="M744" s="316"/>
      <c r="X744" s="392">
        <f t="shared" si="873"/>
        <v>0</v>
      </c>
      <c r="AM744" s="316"/>
    </row>
    <row r="745" spans="1:49">
      <c r="A745" s="392"/>
      <c r="L745" s="316">
        <f t="shared" si="872"/>
        <v>0</v>
      </c>
      <c r="M745" s="316"/>
      <c r="X745" s="392">
        <f t="shared" si="873"/>
        <v>0</v>
      </c>
      <c r="AM745" s="316"/>
    </row>
    <row r="746" spans="1:49">
      <c r="A746" s="392"/>
      <c r="L746" s="316">
        <f t="shared" si="872"/>
        <v>0</v>
      </c>
      <c r="M746" s="316"/>
      <c r="X746" s="392">
        <f t="shared" si="873"/>
        <v>0</v>
      </c>
      <c r="AM746" s="316"/>
    </row>
    <row r="747" spans="1:49" ht="15.75" thickBot="1">
      <c r="A747" s="395"/>
      <c r="B747" s="236"/>
      <c r="C747" s="21"/>
      <c r="D747" s="21"/>
      <c r="E747" s="21"/>
      <c r="F747" s="21"/>
      <c r="G747" s="21"/>
      <c r="H747" s="21"/>
      <c r="I747" s="236"/>
      <c r="J747" s="236"/>
      <c r="K747" s="236"/>
      <c r="L747" s="317">
        <f t="shared" si="872"/>
        <v>0</v>
      </c>
      <c r="M747" s="317"/>
      <c r="N747" s="236"/>
      <c r="O747" s="21"/>
      <c r="P747" s="21"/>
      <c r="Q747" s="21"/>
      <c r="R747" s="21"/>
      <c r="S747" s="21"/>
      <c r="T747" s="21"/>
      <c r="U747" s="236"/>
      <c r="V747" s="236"/>
      <c r="W747" s="236"/>
      <c r="X747" s="395">
        <f t="shared" si="873"/>
        <v>0</v>
      </c>
      <c r="Y747" s="236"/>
      <c r="Z747" s="386"/>
      <c r="AA747" s="21"/>
      <c r="AB747" s="21"/>
      <c r="AC747" s="21"/>
      <c r="AD747" s="21"/>
      <c r="AE747" s="21"/>
      <c r="AF747" s="21"/>
      <c r="AG747" s="236"/>
      <c r="AH747" s="236"/>
      <c r="AI747" s="236"/>
      <c r="AJ747" s="236"/>
      <c r="AK747" s="236"/>
      <c r="AL747" s="236"/>
      <c r="AM747" s="317"/>
      <c r="AN747" s="21"/>
      <c r="AO747" s="21"/>
      <c r="AP747" s="21"/>
      <c r="AQ747" s="21"/>
      <c r="AR747" s="23"/>
      <c r="AS747" s="21"/>
      <c r="AT747" s="21"/>
      <c r="AU747" s="236"/>
      <c r="AV747" s="236"/>
      <c r="AW747" s="21"/>
    </row>
    <row r="748" spans="1:49">
      <c r="A748" s="392"/>
      <c r="L748" s="316">
        <f t="shared" si="872"/>
        <v>0</v>
      </c>
      <c r="M748" s="316"/>
      <c r="X748" s="392">
        <f t="shared" si="873"/>
        <v>0</v>
      </c>
      <c r="AM748" s="316"/>
    </row>
    <row r="749" spans="1:49">
      <c r="A749" s="392"/>
      <c r="L749" s="316">
        <f t="shared" si="872"/>
        <v>0</v>
      </c>
      <c r="M749" s="316"/>
      <c r="X749" s="392">
        <f t="shared" si="873"/>
        <v>0</v>
      </c>
      <c r="AM749" s="316"/>
    </row>
    <row r="750" spans="1:49">
      <c r="A750" s="392"/>
      <c r="L750" s="316">
        <f t="shared" si="872"/>
        <v>0</v>
      </c>
      <c r="M750" s="316"/>
      <c r="X750" s="392">
        <f t="shared" si="873"/>
        <v>0</v>
      </c>
      <c r="AM750" s="316"/>
    </row>
    <row r="751" spans="1:49">
      <c r="A751" s="392"/>
      <c r="L751" s="316">
        <f t="shared" si="872"/>
        <v>0</v>
      </c>
      <c r="M751" s="316"/>
      <c r="X751" s="392">
        <f t="shared" si="873"/>
        <v>0</v>
      </c>
      <c r="AM751" s="316"/>
    </row>
    <row r="752" spans="1:49">
      <c r="A752" s="392"/>
      <c r="L752" s="316">
        <f t="shared" ref="L752:L783" si="875">IF(MOD(M752,12)=0,M752/12,L751)</f>
        <v>0</v>
      </c>
      <c r="M752" s="316"/>
      <c r="X752" s="392">
        <f t="shared" si="873"/>
        <v>0</v>
      </c>
      <c r="AM752" s="316"/>
    </row>
    <row r="753" spans="1:49">
      <c r="A753" s="392"/>
      <c r="L753" s="316">
        <f t="shared" si="875"/>
        <v>0</v>
      </c>
      <c r="M753" s="316"/>
      <c r="X753" s="392">
        <f t="shared" si="873"/>
        <v>0</v>
      </c>
      <c r="AM753" s="316"/>
    </row>
    <row r="754" spans="1:49">
      <c r="A754" s="392"/>
      <c r="L754" s="316">
        <f t="shared" si="875"/>
        <v>0</v>
      </c>
      <c r="M754" s="316"/>
      <c r="X754" s="392">
        <f t="shared" si="873"/>
        <v>0</v>
      </c>
      <c r="AM754" s="316"/>
    </row>
    <row r="755" spans="1:49">
      <c r="A755" s="392"/>
      <c r="L755" s="316">
        <f t="shared" si="875"/>
        <v>0</v>
      </c>
      <c r="M755" s="316"/>
      <c r="X755" s="392">
        <f t="shared" si="873"/>
        <v>0</v>
      </c>
      <c r="AM755" s="316"/>
    </row>
    <row r="756" spans="1:49">
      <c r="A756" s="392"/>
      <c r="L756" s="316">
        <f t="shared" si="875"/>
        <v>0</v>
      </c>
      <c r="M756" s="316"/>
      <c r="X756" s="392">
        <f t="shared" si="873"/>
        <v>0</v>
      </c>
      <c r="AM756" s="316"/>
    </row>
    <row r="757" spans="1:49">
      <c r="A757" s="392"/>
      <c r="L757" s="316">
        <f t="shared" si="875"/>
        <v>0</v>
      </c>
      <c r="M757" s="316"/>
      <c r="X757" s="392">
        <f t="shared" si="873"/>
        <v>0</v>
      </c>
      <c r="AM757" s="316"/>
    </row>
    <row r="758" spans="1:49">
      <c r="A758" s="392"/>
      <c r="L758" s="316">
        <f t="shared" si="875"/>
        <v>0</v>
      </c>
      <c r="M758" s="316"/>
      <c r="X758" s="392">
        <f t="shared" si="873"/>
        <v>0</v>
      </c>
      <c r="AM758" s="316"/>
    </row>
    <row r="759" spans="1:49" ht="15.75" thickBot="1">
      <c r="A759" s="395"/>
      <c r="B759" s="236"/>
      <c r="C759" s="21"/>
      <c r="D759" s="21"/>
      <c r="E759" s="21"/>
      <c r="F759" s="21"/>
      <c r="G759" s="21"/>
      <c r="H759" s="21"/>
      <c r="I759" s="236"/>
      <c r="J759" s="236"/>
      <c r="K759" s="236"/>
      <c r="L759" s="317">
        <f t="shared" si="875"/>
        <v>0</v>
      </c>
      <c r="M759" s="317"/>
      <c r="N759" s="236"/>
      <c r="O759" s="21"/>
      <c r="P759" s="21"/>
      <c r="Q759" s="21"/>
      <c r="R759" s="21"/>
      <c r="S759" s="21"/>
      <c r="T759" s="21"/>
      <c r="U759" s="236"/>
      <c r="V759" s="236"/>
      <c r="W759" s="236"/>
      <c r="X759" s="395">
        <f t="shared" si="873"/>
        <v>0</v>
      </c>
      <c r="Y759" s="236"/>
      <c r="Z759" s="386"/>
      <c r="AA759" s="21"/>
      <c r="AB759" s="21"/>
      <c r="AC759" s="21"/>
      <c r="AD759" s="21"/>
      <c r="AE759" s="21"/>
      <c r="AF759" s="21"/>
      <c r="AG759" s="236"/>
      <c r="AH759" s="236"/>
      <c r="AI759" s="236"/>
      <c r="AJ759" s="236"/>
      <c r="AK759" s="236"/>
      <c r="AL759" s="236"/>
      <c r="AM759" s="317"/>
      <c r="AN759" s="21"/>
      <c r="AO759" s="21"/>
      <c r="AP759" s="21"/>
      <c r="AQ759" s="21"/>
      <c r="AR759" s="23"/>
      <c r="AS759" s="21"/>
      <c r="AT759" s="21"/>
      <c r="AU759" s="236"/>
      <c r="AV759" s="236"/>
      <c r="AW759" s="21"/>
    </row>
    <row r="760" spans="1:49">
      <c r="A760" s="392"/>
      <c r="L760" s="316">
        <f t="shared" si="875"/>
        <v>0</v>
      </c>
      <c r="M760" s="316"/>
      <c r="X760" s="392">
        <f t="shared" si="873"/>
        <v>0</v>
      </c>
      <c r="AM760" s="316"/>
    </row>
    <row r="761" spans="1:49">
      <c r="A761" s="392"/>
      <c r="L761" s="316">
        <f t="shared" si="875"/>
        <v>0</v>
      </c>
      <c r="M761" s="316"/>
      <c r="X761" s="392">
        <f t="shared" si="873"/>
        <v>0</v>
      </c>
      <c r="AM761" s="316"/>
    </row>
    <row r="762" spans="1:49">
      <c r="A762" s="392"/>
      <c r="L762" s="316">
        <f t="shared" si="875"/>
        <v>0</v>
      </c>
      <c r="M762" s="316"/>
      <c r="X762" s="392">
        <f t="shared" si="873"/>
        <v>0</v>
      </c>
      <c r="AM762" s="316"/>
    </row>
    <row r="763" spans="1:49">
      <c r="A763" s="392"/>
      <c r="L763" s="316">
        <f t="shared" si="875"/>
        <v>0</v>
      </c>
      <c r="M763" s="316"/>
      <c r="X763" s="392">
        <f t="shared" si="873"/>
        <v>0</v>
      </c>
      <c r="AM763" s="316"/>
    </row>
    <row r="764" spans="1:49">
      <c r="A764" s="392"/>
      <c r="L764" s="316">
        <f t="shared" si="875"/>
        <v>0</v>
      </c>
      <c r="M764" s="316"/>
      <c r="X764" s="392">
        <f t="shared" si="873"/>
        <v>0</v>
      </c>
      <c r="AM764" s="316"/>
    </row>
    <row r="765" spans="1:49">
      <c r="A765" s="392"/>
      <c r="L765" s="316">
        <f t="shared" si="875"/>
        <v>0</v>
      </c>
      <c r="M765" s="316"/>
      <c r="X765" s="392">
        <f t="shared" si="873"/>
        <v>0</v>
      </c>
      <c r="AM765" s="316"/>
    </row>
    <row r="766" spans="1:49">
      <c r="A766" s="392"/>
      <c r="L766" s="316">
        <f t="shared" si="875"/>
        <v>0</v>
      </c>
      <c r="M766" s="316"/>
      <c r="X766" s="392">
        <f t="shared" si="873"/>
        <v>0</v>
      </c>
      <c r="AM766" s="316"/>
    </row>
    <row r="767" spans="1:49">
      <c r="A767" s="392"/>
      <c r="L767" s="316">
        <f t="shared" si="875"/>
        <v>0</v>
      </c>
      <c r="M767" s="316"/>
      <c r="X767" s="392">
        <f t="shared" si="873"/>
        <v>0</v>
      </c>
      <c r="AM767" s="316"/>
    </row>
    <row r="768" spans="1:49">
      <c r="A768" s="392"/>
      <c r="L768" s="316">
        <f t="shared" si="875"/>
        <v>0</v>
      </c>
      <c r="M768" s="316"/>
      <c r="X768" s="392">
        <f t="shared" si="873"/>
        <v>0</v>
      </c>
      <c r="AM768" s="316"/>
    </row>
    <row r="769" spans="1:49">
      <c r="A769" s="392"/>
      <c r="L769" s="316">
        <f t="shared" si="875"/>
        <v>0</v>
      </c>
      <c r="M769" s="316"/>
      <c r="X769" s="392">
        <f t="shared" si="873"/>
        <v>0</v>
      </c>
      <c r="AM769" s="316"/>
    </row>
    <row r="770" spans="1:49">
      <c r="A770" s="392"/>
      <c r="L770" s="316">
        <f t="shared" si="875"/>
        <v>0</v>
      </c>
      <c r="M770" s="316"/>
      <c r="X770" s="392">
        <f t="shared" si="873"/>
        <v>0</v>
      </c>
      <c r="AM770" s="316"/>
    </row>
    <row r="771" spans="1:49" ht="15.75" thickBot="1">
      <c r="A771" s="395"/>
      <c r="B771" s="236"/>
      <c r="C771" s="21"/>
      <c r="D771" s="21"/>
      <c r="E771" s="21"/>
      <c r="F771" s="21"/>
      <c r="G771" s="21"/>
      <c r="H771" s="21"/>
      <c r="I771" s="236"/>
      <c r="J771" s="236"/>
      <c r="K771" s="236"/>
      <c r="L771" s="317">
        <f t="shared" si="875"/>
        <v>0</v>
      </c>
      <c r="M771" s="317"/>
      <c r="N771" s="236"/>
      <c r="O771" s="21"/>
      <c r="P771" s="21"/>
      <c r="Q771" s="21"/>
      <c r="R771" s="21"/>
      <c r="S771" s="21"/>
      <c r="T771" s="21"/>
      <c r="U771" s="236"/>
      <c r="V771" s="236"/>
      <c r="W771" s="236"/>
      <c r="X771" s="395">
        <f t="shared" si="873"/>
        <v>0</v>
      </c>
      <c r="Y771" s="236"/>
      <c r="Z771" s="386"/>
      <c r="AA771" s="21"/>
      <c r="AB771" s="21"/>
      <c r="AC771" s="21"/>
      <c r="AD771" s="21"/>
      <c r="AE771" s="21"/>
      <c r="AF771" s="21"/>
      <c r="AG771" s="236"/>
      <c r="AH771" s="236"/>
      <c r="AI771" s="236"/>
      <c r="AJ771" s="236"/>
      <c r="AK771" s="236"/>
      <c r="AL771" s="236"/>
      <c r="AM771" s="317"/>
      <c r="AN771" s="21"/>
      <c r="AO771" s="21"/>
      <c r="AP771" s="21"/>
      <c r="AQ771" s="21"/>
      <c r="AR771" s="23"/>
      <c r="AS771" s="21"/>
      <c r="AT771" s="21"/>
      <c r="AU771" s="236"/>
      <c r="AV771" s="236"/>
      <c r="AW771" s="21"/>
    </row>
    <row r="772" spans="1:49">
      <c r="A772" s="392"/>
      <c r="L772" s="316">
        <f t="shared" si="875"/>
        <v>0</v>
      </c>
      <c r="M772" s="316"/>
      <c r="X772" s="392">
        <f t="shared" si="873"/>
        <v>0</v>
      </c>
      <c r="AM772" s="316"/>
    </row>
    <row r="773" spans="1:49">
      <c r="A773" s="392"/>
      <c r="L773" s="316">
        <f t="shared" si="875"/>
        <v>0</v>
      </c>
      <c r="M773" s="316"/>
      <c r="X773" s="392">
        <f t="shared" si="873"/>
        <v>0</v>
      </c>
      <c r="AM773" s="316"/>
    </row>
    <row r="774" spans="1:49">
      <c r="A774" s="392"/>
      <c r="L774" s="316">
        <f t="shared" si="875"/>
        <v>0</v>
      </c>
      <c r="M774" s="316"/>
      <c r="X774" s="392">
        <f t="shared" si="873"/>
        <v>0</v>
      </c>
      <c r="AM774" s="316"/>
    </row>
    <row r="775" spans="1:49">
      <c r="A775" s="392"/>
      <c r="L775" s="316">
        <f t="shared" si="875"/>
        <v>0</v>
      </c>
      <c r="M775" s="316"/>
      <c r="X775" s="392">
        <f t="shared" si="873"/>
        <v>0</v>
      </c>
      <c r="AM775" s="316"/>
    </row>
    <row r="776" spans="1:49">
      <c r="A776" s="392"/>
      <c r="L776" s="316">
        <f t="shared" si="875"/>
        <v>0</v>
      </c>
      <c r="M776" s="316"/>
      <c r="X776" s="392">
        <f t="shared" si="873"/>
        <v>0</v>
      </c>
      <c r="AM776" s="316"/>
    </row>
    <row r="777" spans="1:49">
      <c r="A777" s="392"/>
      <c r="L777" s="316">
        <f t="shared" si="875"/>
        <v>0</v>
      </c>
      <c r="M777" s="316"/>
      <c r="X777" s="392">
        <f t="shared" si="873"/>
        <v>0</v>
      </c>
      <c r="AM777" s="316"/>
    </row>
    <row r="778" spans="1:49">
      <c r="A778" s="392"/>
      <c r="L778" s="316">
        <f t="shared" si="875"/>
        <v>0</v>
      </c>
      <c r="M778" s="316"/>
      <c r="X778" s="392">
        <f t="shared" si="873"/>
        <v>0</v>
      </c>
      <c r="AM778" s="316"/>
    </row>
    <row r="779" spans="1:49">
      <c r="A779" s="392"/>
      <c r="L779" s="316">
        <f t="shared" si="875"/>
        <v>0</v>
      </c>
      <c r="M779" s="316"/>
      <c r="X779" s="392">
        <f t="shared" si="873"/>
        <v>0</v>
      </c>
      <c r="AM779" s="316"/>
    </row>
    <row r="780" spans="1:49">
      <c r="A780" s="392"/>
      <c r="L780" s="316">
        <f t="shared" si="875"/>
        <v>0</v>
      </c>
      <c r="M780" s="316"/>
      <c r="X780" s="392">
        <f t="shared" si="873"/>
        <v>0</v>
      </c>
      <c r="AM780" s="316"/>
    </row>
    <row r="781" spans="1:49">
      <c r="A781" s="392"/>
      <c r="L781" s="316">
        <f t="shared" si="875"/>
        <v>0</v>
      </c>
      <c r="M781" s="316"/>
      <c r="X781" s="392">
        <f t="shared" si="873"/>
        <v>0</v>
      </c>
      <c r="AM781" s="316"/>
    </row>
    <row r="782" spans="1:49">
      <c r="A782" s="392"/>
      <c r="L782" s="316">
        <f t="shared" si="875"/>
        <v>0</v>
      </c>
      <c r="M782" s="316"/>
      <c r="X782" s="392">
        <f t="shared" si="873"/>
        <v>0</v>
      </c>
      <c r="AM782" s="316"/>
    </row>
    <row r="783" spans="1:49" ht="15.75" thickBot="1">
      <c r="A783" s="395"/>
      <c r="B783" s="236"/>
      <c r="C783" s="21"/>
      <c r="D783" s="21"/>
      <c r="E783" s="21"/>
      <c r="F783" s="21"/>
      <c r="G783" s="21"/>
      <c r="H783" s="21"/>
      <c r="I783" s="236"/>
      <c r="J783" s="236"/>
      <c r="K783" s="236"/>
      <c r="L783" s="317">
        <f t="shared" si="875"/>
        <v>0</v>
      </c>
      <c r="M783" s="317"/>
      <c r="N783" s="236"/>
      <c r="O783" s="21"/>
      <c r="P783" s="21"/>
      <c r="Q783" s="21"/>
      <c r="R783" s="21"/>
      <c r="S783" s="21"/>
      <c r="T783" s="21"/>
      <c r="U783" s="236"/>
      <c r="V783" s="236"/>
      <c r="W783" s="236"/>
      <c r="X783" s="395">
        <f t="shared" si="873"/>
        <v>0</v>
      </c>
      <c r="Y783" s="236"/>
      <c r="Z783" s="386"/>
      <c r="AA783" s="21"/>
      <c r="AB783" s="21"/>
      <c r="AC783" s="21"/>
      <c r="AD783" s="21"/>
      <c r="AE783" s="21"/>
      <c r="AF783" s="21"/>
      <c r="AG783" s="236"/>
      <c r="AH783" s="236"/>
      <c r="AI783" s="236"/>
      <c r="AJ783" s="236"/>
      <c r="AK783" s="236"/>
      <c r="AL783" s="236"/>
      <c r="AM783" s="317"/>
      <c r="AN783" s="21"/>
      <c r="AO783" s="21"/>
      <c r="AP783" s="21"/>
      <c r="AQ783" s="21"/>
      <c r="AR783" s="23"/>
      <c r="AS783" s="21"/>
      <c r="AT783" s="21"/>
      <c r="AU783" s="236"/>
      <c r="AV783" s="236"/>
      <c r="AW783" s="21"/>
    </row>
  </sheetData>
  <mergeCells count="23">
    <mergeCell ref="I14:J14"/>
    <mergeCell ref="AN14:AO14"/>
    <mergeCell ref="C14:H14"/>
    <mergeCell ref="N13:W13"/>
    <mergeCell ref="Y13:AL13"/>
    <mergeCell ref="U14:V14"/>
    <mergeCell ref="Y2:Z2"/>
    <mergeCell ref="Y4:Z4"/>
    <mergeCell ref="Y5:Z5"/>
    <mergeCell ref="Y6:Z6"/>
    <mergeCell ref="AU14:AV14"/>
    <mergeCell ref="Y12:Z12"/>
    <mergeCell ref="AI14:AK14"/>
    <mergeCell ref="AA14:AF14"/>
    <mergeCell ref="AG14:AH14"/>
    <mergeCell ref="AP14:AQ14"/>
    <mergeCell ref="Y7:Z7"/>
    <mergeCell ref="Y8:Z8"/>
    <mergeCell ref="K2:L2"/>
    <mergeCell ref="K3:L3"/>
    <mergeCell ref="K4:L4"/>
    <mergeCell ref="U5:W6"/>
    <mergeCell ref="X5:X6"/>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6"/>
  <sheetViews>
    <sheetView tabSelected="1" workbookViewId="0">
      <pane xSplit="2" ySplit="1" topLeftCell="C2" activePane="bottomRight" state="frozen"/>
      <selection pane="topRight" activeCell="C1" sqref="C1"/>
      <selection pane="bottomLeft" activeCell="A3" sqref="A3"/>
      <selection pane="bottomRight" activeCell="I79" sqref="I79"/>
    </sheetView>
  </sheetViews>
  <sheetFormatPr defaultRowHeight="15.75"/>
  <cols>
    <col min="1" max="1" width="30" bestFit="1" customWidth="1"/>
    <col min="2" max="2" width="51.42578125" style="412" customWidth="1"/>
    <col min="3" max="3" width="13" style="412" customWidth="1"/>
    <col min="4" max="6" width="35.5703125" style="412"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c r="CW1" s="25"/>
    </row>
    <row r="2" spans="1:101">
      <c r="K2" s="30"/>
      <c r="AY2" s="30"/>
      <c r="AZ2" s="30"/>
      <c r="BA2" s="30"/>
      <c r="BB2" s="30"/>
      <c r="BC2" s="30"/>
      <c r="BD2" s="30"/>
      <c r="CA2" s="373"/>
      <c r="CB2" s="373"/>
      <c r="CC2" s="373"/>
      <c r="CD2" s="373"/>
      <c r="CE2" s="373"/>
      <c r="CF2" s="373"/>
    </row>
    <row r="3" spans="1:101">
      <c r="A3" s="30" t="s">
        <v>1203</v>
      </c>
      <c r="B3" s="412" t="s">
        <v>358</v>
      </c>
      <c r="F3" s="15"/>
      <c r="G3" t="str">
        <f>+B55</f>
        <v xml:space="preserve"> </v>
      </c>
      <c r="AY3" s="30"/>
      <c r="AZ3" s="30"/>
      <c r="BV3" s="15"/>
      <c r="CE3" s="30"/>
    </row>
    <row r="4" spans="1:101" ht="16.5" thickBot="1">
      <c r="F4"/>
      <c r="BV4" s="14"/>
    </row>
    <row r="5" spans="1:101" ht="16.5" thickBot="1">
      <c r="A5" s="406" t="s">
        <v>197</v>
      </c>
      <c r="B5" s="413"/>
      <c r="C5" s="413"/>
      <c r="D5" s="413"/>
      <c r="E5" s="413"/>
      <c r="F5" s="413"/>
      <c r="G5" s="25"/>
      <c r="H5" s="25"/>
    </row>
    <row r="6" spans="1:101">
      <c r="A6" s="30" t="s">
        <v>1383</v>
      </c>
      <c r="B6" s="413" t="s">
        <v>1398</v>
      </c>
      <c r="C6" s="413"/>
      <c r="D6" s="413"/>
      <c r="E6" s="413"/>
      <c r="F6" s="413"/>
      <c r="G6" s="25"/>
      <c r="H6" s="25"/>
    </row>
    <row r="7" spans="1:101">
      <c r="A7" s="30" t="s">
        <v>1384</v>
      </c>
      <c r="B7" s="413" t="s">
        <v>1399</v>
      </c>
      <c r="C7" s="560"/>
      <c r="D7" s="413"/>
      <c r="E7" s="413"/>
      <c r="F7" s="413"/>
      <c r="G7" s="25"/>
      <c r="H7" s="25"/>
    </row>
    <row r="8" spans="1:101">
      <c r="A8" s="30" t="s">
        <v>1378</v>
      </c>
      <c r="B8" s="413" t="s">
        <v>1379</v>
      </c>
      <c r="C8" s="413"/>
      <c r="D8" s="413"/>
      <c r="E8" s="413"/>
      <c r="F8" s="413"/>
      <c r="G8" s="25"/>
      <c r="H8" s="25"/>
    </row>
    <row r="9" spans="1:101">
      <c r="A9" s="30" t="s">
        <v>1378</v>
      </c>
      <c r="B9" s="413" t="s">
        <v>225</v>
      </c>
      <c r="C9" s="413"/>
      <c r="D9" s="413"/>
      <c r="E9" s="413"/>
      <c r="F9" s="413"/>
      <c r="G9" s="25"/>
      <c r="H9" s="25"/>
    </row>
    <row r="10" spans="1:101">
      <c r="A10" s="30" t="s">
        <v>198</v>
      </c>
      <c r="B10" s="413" t="s">
        <v>1377</v>
      </c>
      <c r="C10" s="413"/>
      <c r="D10" s="413"/>
      <c r="E10" s="413"/>
      <c r="F10" s="413"/>
      <c r="G10" s="25"/>
      <c r="H10" s="25"/>
    </row>
    <row r="11" spans="1:101">
      <c r="A11" s="30" t="s">
        <v>199</v>
      </c>
      <c r="B11" s="545">
        <f>+Amortization!AA4</f>
        <v>346500</v>
      </c>
      <c r="C11" s="414"/>
      <c r="D11" s="414"/>
      <c r="E11" s="414"/>
      <c r="F11" s="414"/>
      <c r="G11" s="376"/>
      <c r="H11" s="376"/>
    </row>
    <row r="12" spans="1:101">
      <c r="A12" s="30" t="s">
        <v>1389</v>
      </c>
      <c r="B12" s="545">
        <f>+Amortization!K2</f>
        <v>6000</v>
      </c>
      <c r="C12" s="414"/>
      <c r="D12" s="414"/>
      <c r="E12" s="414"/>
      <c r="F12" s="414"/>
      <c r="G12" s="376"/>
      <c r="H12" s="376"/>
    </row>
    <row r="13" spans="1:101">
      <c r="A13" s="382" t="s">
        <v>200</v>
      </c>
      <c r="B13" s="545">
        <f>+Amortization!$O$4</f>
        <v>20790</v>
      </c>
      <c r="C13" s="414"/>
      <c r="D13" s="414"/>
      <c r="E13" s="414"/>
      <c r="F13" s="414"/>
      <c r="G13" s="376"/>
      <c r="H13" s="376"/>
    </row>
    <row r="14" spans="1:101">
      <c r="A14" s="382" t="s">
        <v>137</v>
      </c>
      <c r="B14" s="546">
        <f>+Amortization!O5</f>
        <v>325710</v>
      </c>
      <c r="C14" s="415"/>
      <c r="D14" s="415"/>
      <c r="E14" s="415"/>
      <c r="F14" s="415"/>
      <c r="G14" s="377"/>
      <c r="H14" s="377"/>
    </row>
    <row r="15" spans="1:101" ht="13.5" customHeight="1">
      <c r="A15" s="382" t="s">
        <v>190</v>
      </c>
      <c r="B15" s="547">
        <f>SUM(B16:B16)</f>
        <v>2504.4299999999998</v>
      </c>
      <c r="C15" s="416"/>
      <c r="D15" s="416"/>
      <c r="E15" s="416"/>
      <c r="F15" s="416"/>
      <c r="G15" s="380"/>
      <c r="H15" s="380"/>
    </row>
    <row r="16" spans="1:101" ht="13.5" customHeight="1">
      <c r="A16" s="382" t="s">
        <v>201</v>
      </c>
      <c r="B16" s="548">
        <f>+Amortization!Z9</f>
        <v>2504.4299999999998</v>
      </c>
      <c r="C16" s="417"/>
      <c r="D16" s="417"/>
      <c r="E16" s="417"/>
      <c r="F16" s="417"/>
      <c r="G16" s="379"/>
      <c r="H16" s="379"/>
    </row>
    <row r="17" spans="1:8" ht="13.5" customHeight="1">
      <c r="A17" s="382" t="s">
        <v>202</v>
      </c>
      <c r="B17" s="548">
        <f>+Amortization!Z10</f>
        <v>2545.85</v>
      </c>
      <c r="C17" s="417"/>
      <c r="D17" s="417"/>
      <c r="E17" s="417"/>
      <c r="F17" s="417"/>
      <c r="G17" s="379"/>
      <c r="H17" s="379"/>
    </row>
    <row r="18" spans="1:8" ht="13.5" customHeight="1">
      <c r="A18" s="382" t="s">
        <v>191</v>
      </c>
      <c r="B18" s="547">
        <f>SUM(B17:B17)</f>
        <v>2545.85</v>
      </c>
      <c r="C18" s="416"/>
      <c r="D18" s="416"/>
      <c r="E18" s="416"/>
      <c r="F18" s="416"/>
      <c r="G18" s="380"/>
      <c r="H18" s="380"/>
    </row>
    <row r="19" spans="1:8" ht="13.5" customHeight="1">
      <c r="A19" s="382" t="s">
        <v>203</v>
      </c>
      <c r="B19" s="546">
        <f>+Amortization!O9</f>
        <v>30</v>
      </c>
      <c r="C19" s="416"/>
      <c r="D19" s="416"/>
      <c r="E19" s="416"/>
      <c r="F19" s="416"/>
      <c r="G19" s="380"/>
      <c r="H19" s="380"/>
    </row>
    <row r="20" spans="1:8" ht="13.5" customHeight="1">
      <c r="A20" s="30" t="s">
        <v>204</v>
      </c>
      <c r="B20" s="549">
        <f>+B19*12</f>
        <v>360</v>
      </c>
      <c r="C20" s="416"/>
      <c r="D20" s="416"/>
      <c r="E20" s="416"/>
      <c r="F20" s="416"/>
      <c r="G20" s="380"/>
      <c r="H20" s="380"/>
    </row>
    <row r="21" spans="1:8" ht="13.5" customHeight="1">
      <c r="A21" s="30" t="s">
        <v>205</v>
      </c>
      <c r="B21" s="549">
        <f>+B20-60</f>
        <v>300</v>
      </c>
      <c r="C21" s="416"/>
      <c r="D21" s="416"/>
      <c r="E21" s="416"/>
      <c r="F21" s="416"/>
      <c r="G21" s="380"/>
      <c r="H21" s="380"/>
    </row>
    <row r="22" spans="1:8" ht="13.5" customHeight="1">
      <c r="A22" s="30" t="s">
        <v>206</v>
      </c>
      <c r="B22" s="550">
        <f>+Amortization!O11</f>
        <v>46204</v>
      </c>
      <c r="C22" s="416"/>
      <c r="D22" s="416"/>
      <c r="E22" s="416"/>
      <c r="F22" s="416"/>
      <c r="G22" s="380"/>
      <c r="H22" s="380"/>
    </row>
    <row r="23" spans="1:8">
      <c r="A23" s="30" t="s">
        <v>207</v>
      </c>
      <c r="B23" s="550">
        <f>+Amortization!Q11</f>
        <v>57132</v>
      </c>
      <c r="C23" s="416"/>
      <c r="D23" s="416"/>
      <c r="E23" s="416"/>
      <c r="F23" s="416"/>
      <c r="G23" s="380"/>
      <c r="H23" s="380"/>
    </row>
    <row r="24" spans="1:8">
      <c r="A24" s="30" t="s">
        <v>208</v>
      </c>
      <c r="B24" s="550">
        <f>+Amortization!O11</f>
        <v>46204</v>
      </c>
      <c r="C24" s="416"/>
      <c r="D24" s="416"/>
      <c r="E24" s="416"/>
      <c r="F24" s="416"/>
      <c r="G24" s="380"/>
      <c r="H24" s="380"/>
    </row>
    <row r="25" spans="1:8">
      <c r="A25" s="30" t="s">
        <v>209</v>
      </c>
      <c r="B25" s="550">
        <f>+$B$22+($B$19*365)-DAY(+$B$22+($B$19*365))+1</f>
        <v>57132</v>
      </c>
      <c r="C25" s="416"/>
      <c r="D25" s="416"/>
      <c r="E25" s="416"/>
      <c r="F25" s="416"/>
      <c r="G25" s="380"/>
      <c r="H25" s="380"/>
    </row>
    <row r="26" spans="1:8" ht="16.5" thickBot="1">
      <c r="A26" s="30" t="s">
        <v>210</v>
      </c>
      <c r="B26" s="413" t="s">
        <v>1395</v>
      </c>
      <c r="C26" s="416" t="s">
        <v>1396</v>
      </c>
      <c r="D26" s="416" t="s">
        <v>1397</v>
      </c>
      <c r="E26" s="416"/>
      <c r="F26" s="416"/>
      <c r="G26" s="380"/>
      <c r="H26" s="380"/>
    </row>
    <row r="27" spans="1:8" ht="16.5" thickBot="1">
      <c r="A27" s="406" t="s">
        <v>211</v>
      </c>
      <c r="B27" s="413"/>
      <c r="C27" s="416"/>
      <c r="D27" s="416"/>
      <c r="E27" s="416"/>
      <c r="F27" s="416"/>
      <c r="G27" s="380"/>
      <c r="H27" s="380"/>
    </row>
    <row r="28" spans="1:8">
      <c r="A28" s="30" t="s">
        <v>212</v>
      </c>
      <c r="B28" s="418" t="s">
        <v>213</v>
      </c>
      <c r="C28" s="416"/>
      <c r="D28" s="416"/>
      <c r="E28" s="416"/>
      <c r="F28" s="416"/>
      <c r="G28" s="380"/>
      <c r="H28" s="380"/>
    </row>
    <row r="29" spans="1:8">
      <c r="A29" s="30" t="s">
        <v>214</v>
      </c>
      <c r="B29" s="549" t="str">
        <f>MOG!$B$3 &amp; " " &amp; MOG!$C$3</f>
        <v>Hubolist Elliott</v>
      </c>
      <c r="C29" s="416"/>
      <c r="D29" s="416"/>
      <c r="E29" s="416"/>
      <c r="F29" s="416"/>
      <c r="G29" s="380"/>
      <c r="H29" s="380"/>
    </row>
    <row r="30" spans="1:8">
      <c r="A30" s="30" t="s">
        <v>215</v>
      </c>
      <c r="B30" s="549" t="str">
        <f>IF(B31="",MOG!B4&amp;" "&amp;MOG!C4,"")</f>
        <v>Hurbert Lee Elliott</v>
      </c>
      <c r="C30" s="416"/>
      <c r="D30" s="416"/>
      <c r="E30" s="416"/>
      <c r="F30" s="416"/>
      <c r="G30" s="380"/>
      <c r="H30" s="380"/>
    </row>
    <row r="31" spans="1:8">
      <c r="A31" s="30" t="s">
        <v>216</v>
      </c>
      <c r="B31" s="418"/>
      <c r="C31" s="416"/>
      <c r="D31" s="416"/>
      <c r="E31" s="416"/>
      <c r="F31" s="416"/>
      <c r="G31" s="380"/>
      <c r="H31" s="380"/>
    </row>
    <row r="32" spans="1:8">
      <c r="A32" s="30" t="s">
        <v>217</v>
      </c>
      <c r="B32" s="418"/>
      <c r="C32" s="416"/>
      <c r="D32" s="416"/>
      <c r="E32" s="416"/>
      <c r="F32" s="416"/>
      <c r="G32" s="380"/>
      <c r="H32" s="380"/>
    </row>
    <row r="33" spans="1:8">
      <c r="A33" s="30" t="s">
        <v>218</v>
      </c>
      <c r="B33" s="413"/>
      <c r="C33" s="413"/>
      <c r="D33" s="413"/>
      <c r="E33" s="413"/>
      <c r="F33" s="413"/>
      <c r="G33" s="25"/>
      <c r="H33" s="25"/>
    </row>
    <row r="34" spans="1:8">
      <c r="A34" s="30" t="s">
        <v>219</v>
      </c>
      <c r="B34" s="413"/>
      <c r="C34" s="413"/>
      <c r="D34" s="413"/>
      <c r="E34" s="413"/>
      <c r="F34" s="413"/>
      <c r="G34" s="25"/>
      <c r="H34" s="25"/>
    </row>
    <row r="35" spans="1:8">
      <c r="A35" s="30" t="s">
        <v>220</v>
      </c>
      <c r="B35" s="413"/>
      <c r="C35" s="413"/>
      <c r="D35" s="413"/>
      <c r="E35" s="413"/>
      <c r="F35" s="413"/>
      <c r="G35" s="25"/>
      <c r="H35" s="25"/>
    </row>
    <row r="36" spans="1:8" ht="15">
      <c r="A36" s="30" t="s">
        <v>221</v>
      </c>
      <c r="B36" s="426"/>
      <c r="C36" s="426"/>
      <c r="D36" s="426"/>
      <c r="E36" s="426"/>
      <c r="F36" s="426"/>
      <c r="G36" s="25"/>
      <c r="H36" s="25"/>
    </row>
    <row r="37" spans="1:8" ht="15">
      <c r="A37" s="30" t="s">
        <v>222</v>
      </c>
      <c r="B37" s="426"/>
      <c r="C37" s="426"/>
      <c r="D37" s="426"/>
      <c r="E37" s="426"/>
      <c r="F37" s="426"/>
      <c r="G37" s="25"/>
      <c r="H37" s="25"/>
    </row>
    <row r="38" spans="1:8" ht="15">
      <c r="A38" s="30" t="s">
        <v>223</v>
      </c>
      <c r="B38" s="426"/>
      <c r="C38" s="426"/>
      <c r="D38" s="426"/>
      <c r="E38" s="426"/>
      <c r="F38" s="426"/>
      <c r="G38" s="25"/>
      <c r="H38" s="25"/>
    </row>
    <row r="39" spans="1:8" ht="15">
      <c r="A39" s="30" t="s">
        <v>224</v>
      </c>
      <c r="B39" s="426"/>
      <c r="C39" s="426"/>
      <c r="D39" s="426"/>
      <c r="E39" s="426"/>
      <c r="F39" s="426"/>
      <c r="G39" s="25"/>
      <c r="H39" s="25"/>
    </row>
    <row r="40" spans="1:8">
      <c r="A40" s="30" t="s">
        <v>187</v>
      </c>
      <c r="B40" s="413" t="s">
        <v>226</v>
      </c>
      <c r="C40" s="413"/>
      <c r="D40" s="413"/>
      <c r="E40" s="413"/>
      <c r="F40" s="413"/>
      <c r="G40" s="25"/>
      <c r="H40" s="25"/>
    </row>
    <row r="41" spans="1:8">
      <c r="A41" s="30" t="s">
        <v>227</v>
      </c>
      <c r="B41" s="418" t="s">
        <v>228</v>
      </c>
      <c r="C41" s="418"/>
      <c r="D41" s="418"/>
      <c r="E41" s="418"/>
      <c r="F41" s="418"/>
      <c r="G41" s="25"/>
      <c r="H41" s="25"/>
    </row>
    <row r="42" spans="1:8">
      <c r="A42" s="30" t="s">
        <v>229</v>
      </c>
      <c r="B42" s="418" t="s">
        <v>228</v>
      </c>
      <c r="C42" s="418"/>
      <c r="D42" s="418"/>
      <c r="E42" s="418"/>
      <c r="F42" s="418"/>
      <c r="G42" s="25"/>
      <c r="H42" s="25"/>
    </row>
    <row r="43" spans="1:8">
      <c r="A43" s="30" t="s">
        <v>230</v>
      </c>
      <c r="B43" s="418" t="s">
        <v>228</v>
      </c>
      <c r="C43" s="418"/>
      <c r="D43" s="418"/>
      <c r="E43" s="418"/>
      <c r="F43" s="418"/>
      <c r="G43" s="25"/>
      <c r="H43" s="25"/>
    </row>
    <row r="44" spans="1:8">
      <c r="A44" s="30" t="s">
        <v>189</v>
      </c>
      <c r="B44" s="413">
        <v>555834859</v>
      </c>
      <c r="C44" s="413"/>
      <c r="D44" s="413"/>
      <c r="E44" s="413"/>
      <c r="F44" s="413"/>
      <c r="G44" s="25"/>
      <c r="H44" s="25"/>
    </row>
    <row r="45" spans="1:8">
      <c r="A45" s="382" t="s">
        <v>231</v>
      </c>
      <c r="B45" s="415">
        <f>Profit!C14</f>
        <v>15000</v>
      </c>
      <c r="C45" s="415"/>
      <c r="D45" s="415"/>
      <c r="E45" s="415"/>
      <c r="F45" s="415"/>
      <c r="G45" s="377"/>
      <c r="H45" s="377"/>
    </row>
    <row r="46" spans="1:8">
      <c r="A46" s="382" t="s">
        <v>132</v>
      </c>
      <c r="B46" s="415">
        <f>Profit!C15</f>
        <v>122713</v>
      </c>
      <c r="C46" s="415"/>
      <c r="D46" s="415"/>
      <c r="E46" s="415"/>
      <c r="F46" s="415"/>
      <c r="G46" s="377"/>
      <c r="H46" s="377"/>
    </row>
    <row r="47" spans="1:8">
      <c r="A47" s="382" t="s">
        <v>232</v>
      </c>
      <c r="B47" s="415">
        <f>Profit!B21</f>
        <v>222245</v>
      </c>
      <c r="C47" s="415"/>
      <c r="D47" s="415"/>
      <c r="E47" s="415"/>
      <c r="F47" s="415"/>
      <c r="G47" s="377"/>
      <c r="H47" s="377"/>
    </row>
    <row r="48" spans="1:8">
      <c r="A48" s="382" t="s">
        <v>233</v>
      </c>
      <c r="B48" s="418">
        <v>100</v>
      </c>
      <c r="C48" s="418"/>
      <c r="D48" s="418"/>
      <c r="E48" s="418"/>
      <c r="F48" s="418"/>
      <c r="G48" s="28"/>
      <c r="H48" s="28"/>
    </row>
    <row r="49" spans="1:8">
      <c r="A49" s="382" t="s">
        <v>234</v>
      </c>
      <c r="B49" s="415">
        <f>+Profit!C20-B48</f>
        <v>9900</v>
      </c>
      <c r="C49" s="415"/>
      <c r="D49" s="415"/>
      <c r="E49" s="415"/>
      <c r="F49" s="415"/>
      <c r="G49" s="377"/>
      <c r="H49" s="377"/>
    </row>
    <row r="50" spans="1:8">
      <c r="A50" s="382" t="s">
        <v>235</v>
      </c>
      <c r="B50" s="417" t="str">
        <f>TEXT(Amortization!$C$4,"0.000%")</f>
        <v>4.500%</v>
      </c>
      <c r="C50" s="417"/>
      <c r="D50" s="417"/>
      <c r="E50" s="417"/>
      <c r="F50" s="417"/>
      <c r="G50" s="379"/>
      <c r="H50" s="379"/>
    </row>
    <row r="51" spans="1:8">
      <c r="A51" s="382" t="s">
        <v>236</v>
      </c>
      <c r="B51" s="417" t="str">
        <f>TEXT(+Amortization!AA9,"0.000%")</f>
        <v>8.500%</v>
      </c>
      <c r="C51" s="417"/>
      <c r="D51" s="417"/>
      <c r="E51" s="417"/>
      <c r="F51" s="417"/>
      <c r="G51" s="379"/>
      <c r="H51" s="379"/>
    </row>
    <row r="52" spans="1:8">
      <c r="A52" s="382" t="s">
        <v>237</v>
      </c>
      <c r="B52" s="417" t="str">
        <f>TEXT(Amortization!$O$7,"0.000%")</f>
        <v>8.500%</v>
      </c>
      <c r="C52" s="417"/>
      <c r="D52" s="417"/>
      <c r="E52" s="417"/>
      <c r="F52" s="417"/>
      <c r="G52" s="379"/>
      <c r="H52" s="379"/>
    </row>
    <row r="53" spans="1:8">
      <c r="A53" s="382" t="s">
        <v>238</v>
      </c>
      <c r="B53" s="415" t="s">
        <v>239</v>
      </c>
      <c r="C53" s="415"/>
      <c r="D53" s="415"/>
      <c r="E53" s="415"/>
      <c r="F53" s="415"/>
      <c r="G53" s="377"/>
      <c r="H53" s="377"/>
    </row>
    <row r="54" spans="1:8">
      <c r="G54" s="378"/>
      <c r="H54" s="378"/>
    </row>
    <row r="55" spans="1:8" ht="16.5" thickBot="1">
      <c r="A55" s="382" t="s">
        <v>240</v>
      </c>
      <c r="B55" s="415" t="s">
        <v>241</v>
      </c>
      <c r="C55" s="415"/>
      <c r="D55" s="415"/>
      <c r="E55" s="415"/>
      <c r="F55" s="415"/>
      <c r="G55" s="377"/>
      <c r="H55" s="377"/>
    </row>
    <row r="56" spans="1:8" ht="16.5" thickBot="1">
      <c r="A56" s="406" t="s">
        <v>242</v>
      </c>
      <c r="B56" s="420"/>
      <c r="C56" s="420"/>
      <c r="D56" s="420"/>
      <c r="E56" s="420"/>
      <c r="F56" s="420"/>
      <c r="G56" s="407"/>
      <c r="H56" s="407"/>
    </row>
    <row r="57" spans="1:8">
      <c r="A57" s="382" t="s">
        <v>243</v>
      </c>
      <c r="B57" s="424"/>
      <c r="C57" s="420"/>
      <c r="D57" s="420"/>
      <c r="E57" s="420"/>
      <c r="F57" s="420"/>
      <c r="G57" s="407"/>
      <c r="H57" s="407"/>
    </row>
    <row r="58" spans="1:8">
      <c r="A58" s="382" t="s">
        <v>244</v>
      </c>
      <c r="B58" s="415">
        <f>IF(B57="",+Docs!B33,B57)</f>
        <v>0</v>
      </c>
      <c r="C58" s="415"/>
      <c r="D58" s="415"/>
      <c r="E58" s="415"/>
      <c r="F58" s="415"/>
      <c r="G58" s="407"/>
      <c r="H58" s="407"/>
    </row>
    <row r="59" spans="1:8">
      <c r="A59" s="382" t="s">
        <v>245</v>
      </c>
      <c r="B59" s="421">
        <v>2025</v>
      </c>
      <c r="C59" s="421"/>
      <c r="D59" s="421"/>
      <c r="E59" s="421"/>
      <c r="F59" s="421"/>
      <c r="G59" s="32"/>
      <c r="H59" s="32"/>
    </row>
    <row r="60" spans="1:8">
      <c r="A60" s="30" t="s">
        <v>246</v>
      </c>
      <c r="B60" s="415" t="s">
        <v>247</v>
      </c>
      <c r="C60" s="415"/>
      <c r="D60" s="415"/>
      <c r="E60" s="415"/>
      <c r="F60" s="415"/>
      <c r="G60" s="377"/>
      <c r="H60" s="377"/>
    </row>
    <row r="61" spans="1:8">
      <c r="A61" s="30" t="s">
        <v>248</v>
      </c>
      <c r="B61" s="424"/>
      <c r="C61" s="420"/>
      <c r="D61" s="420"/>
      <c r="E61" s="420"/>
      <c r="F61" s="420"/>
      <c r="G61" s="377"/>
      <c r="H61" s="377"/>
    </row>
    <row r="62" spans="1:8">
      <c r="A62" s="30" t="s">
        <v>249</v>
      </c>
      <c r="B62" s="415" t="str">
        <f>IF(B61="X","[X] If checked, The rent shall adjust, annually, to exactly the amount of the mortgage payment, property insurance, real estate taxes, plus $10.00."," ")</f>
        <v xml:space="preserve"> </v>
      </c>
      <c r="C62" s="420"/>
      <c r="D62" s="420"/>
      <c r="E62" s="420"/>
      <c r="F62" s="420"/>
      <c r="G62" s="377"/>
      <c r="H62" s="377"/>
    </row>
    <row r="63" spans="1:8">
      <c r="A63" s="30" t="s">
        <v>250</v>
      </c>
      <c r="B63" s="425">
        <v>0</v>
      </c>
      <c r="C63" s="420"/>
      <c r="D63" s="420"/>
      <c r="E63" s="420"/>
      <c r="F63" s="420"/>
      <c r="G63" s="377"/>
      <c r="H63" s="377"/>
    </row>
    <row r="64" spans="1:8" ht="16.5" thickBot="1">
      <c r="A64" s="30" t="s">
        <v>251</v>
      </c>
      <c r="B64" s="419">
        <f>IF(B63=0,0,Carrying!E5)</f>
        <v>0</v>
      </c>
      <c r="C64" s="419"/>
      <c r="D64" s="419"/>
      <c r="E64" s="419"/>
      <c r="F64" s="419"/>
      <c r="G64" s="377"/>
      <c r="H64" s="377"/>
    </row>
    <row r="65" spans="1:10" ht="16.5" thickBot="1">
      <c r="A65" s="406" t="s">
        <v>252</v>
      </c>
      <c r="B65" s="413"/>
      <c r="C65" s="413"/>
      <c r="D65" s="413"/>
      <c r="E65" s="413"/>
      <c r="F65" s="413"/>
      <c r="G65" s="25"/>
      <c r="H65" s="25"/>
    </row>
    <row r="66" spans="1:10">
      <c r="A66" s="30" t="s">
        <v>253</v>
      </c>
      <c r="B66" s="549" t="str">
        <f>+Profit!$B$2</f>
        <v>320 Rose Pl</v>
      </c>
      <c r="C66" s="413"/>
      <c r="D66" s="413"/>
      <c r="E66" s="413"/>
      <c r="F66" s="413"/>
      <c r="G66" s="25"/>
      <c r="H66" s="25"/>
    </row>
    <row r="67" spans="1:10">
      <c r="A67" s="30" t="s">
        <v>254</v>
      </c>
      <c r="B67" s="549" t="str">
        <f>+Profit!$E$2</f>
        <v>Wendell, NC 27591</v>
      </c>
      <c r="C67" s="413"/>
      <c r="D67" s="413"/>
      <c r="E67" s="413"/>
      <c r="F67" s="413"/>
      <c r="G67" s="25"/>
      <c r="H67" s="25"/>
    </row>
    <row r="68" spans="1:10">
      <c r="A68" s="30" t="s">
        <v>186</v>
      </c>
      <c r="B68" s="413" t="s">
        <v>255</v>
      </c>
      <c r="C68" s="413"/>
      <c r="D68" s="413"/>
      <c r="E68" s="413"/>
      <c r="F68" s="413"/>
      <c r="G68" s="25"/>
      <c r="H68" s="25"/>
    </row>
    <row r="69" spans="1:10">
      <c r="A69" s="382" t="s">
        <v>256</v>
      </c>
      <c r="B69" s="413">
        <f>+B70*12</f>
        <v>1741.1599999999999</v>
      </c>
      <c r="C69" s="413"/>
      <c r="D69" s="413"/>
      <c r="E69" s="413"/>
      <c r="F69" s="413"/>
      <c r="G69" s="25"/>
      <c r="H69" s="25"/>
    </row>
    <row r="70" spans="1:10">
      <c r="A70" s="382" t="s">
        <v>257</v>
      </c>
      <c r="B70" s="553">
        <f>+Amortization!$T$10</f>
        <v>145.09666666666666</v>
      </c>
      <c r="C70" s="419"/>
      <c r="D70" s="419"/>
      <c r="E70" s="419"/>
      <c r="F70" s="419"/>
      <c r="G70" s="378"/>
      <c r="H70" s="378"/>
    </row>
    <row r="71" spans="1:10">
      <c r="A71" s="382" t="s">
        <v>258</v>
      </c>
      <c r="B71" s="553">
        <f>+Amortization!$T$9</f>
        <v>51.5</v>
      </c>
      <c r="C71" s="419"/>
      <c r="D71" s="419"/>
      <c r="E71" s="419"/>
      <c r="F71" s="419"/>
      <c r="G71" s="378"/>
      <c r="H71" s="378"/>
    </row>
    <row r="72" spans="1:10" ht="16.5" thickBot="1">
      <c r="A72" s="383" t="s">
        <v>259</v>
      </c>
      <c r="B72" s="413">
        <v>0</v>
      </c>
      <c r="C72" s="413"/>
      <c r="D72" s="413"/>
      <c r="E72" s="413"/>
      <c r="F72" s="413"/>
      <c r="G72" s="25"/>
      <c r="H72" s="25"/>
    </row>
    <row r="73" spans="1:10" ht="16.5" thickBot="1">
      <c r="A73" s="406" t="s">
        <v>260</v>
      </c>
      <c r="B73" s="413"/>
      <c r="C73" s="413"/>
      <c r="D73" s="413"/>
      <c r="E73" s="413"/>
      <c r="F73" s="413"/>
      <c r="G73" s="25"/>
      <c r="H73" s="25"/>
    </row>
    <row r="74" spans="1:10">
      <c r="A74" s="30" t="s">
        <v>261</v>
      </c>
      <c r="B74" s="554" t="s">
        <v>1382</v>
      </c>
      <c r="C74" s="415"/>
      <c r="D74" s="415"/>
      <c r="E74" s="415"/>
      <c r="F74" s="415"/>
      <c r="G74" s="377"/>
      <c r="H74" s="377"/>
    </row>
    <row r="75" spans="1:10">
      <c r="A75" s="30" t="s">
        <v>262</v>
      </c>
      <c r="B75" t="s">
        <v>1380</v>
      </c>
      <c r="C75" s="415"/>
      <c r="D75" s="415"/>
      <c r="E75" s="415"/>
      <c r="F75" s="415"/>
      <c r="G75" s="377"/>
      <c r="H75" s="377"/>
    </row>
    <row r="76" spans="1:10">
      <c r="A76" s="30" t="s">
        <v>263</v>
      </c>
      <c r="B76" s="427" t="s">
        <v>1385</v>
      </c>
      <c r="C76" s="420"/>
      <c r="D76" s="420"/>
      <c r="E76" s="420"/>
      <c r="F76" s="420"/>
      <c r="G76" s="420"/>
      <c r="H76" s="420"/>
      <c r="I76" s="420"/>
      <c r="J76" s="420"/>
    </row>
    <row r="77" spans="1:10">
      <c r="C77" s="420"/>
      <c r="D77" s="420"/>
      <c r="E77" s="420"/>
      <c r="F77" s="420"/>
      <c r="G77" s="420"/>
      <c r="H77" s="420"/>
      <c r="I77" s="420"/>
      <c r="J77" s="420"/>
    </row>
    <row r="78" spans="1:10">
      <c r="A78" s="30" t="s">
        <v>264</v>
      </c>
      <c r="B78" s="425"/>
      <c r="C78" s="420"/>
      <c r="D78" s="420"/>
      <c r="E78" s="420"/>
      <c r="F78" s="420"/>
      <c r="G78" s="420"/>
      <c r="H78" s="420"/>
      <c r="I78" s="420"/>
      <c r="J78" s="420"/>
    </row>
    <row r="79" spans="1:10">
      <c r="A79" s="30" t="s">
        <v>265</v>
      </c>
      <c r="B79" s="418"/>
      <c r="C79" s="420"/>
      <c r="D79" s="420"/>
      <c r="E79" s="420"/>
      <c r="F79" s="420"/>
      <c r="G79" s="420"/>
      <c r="H79" s="420"/>
      <c r="I79" s="420"/>
      <c r="J79" s="420"/>
    </row>
    <row r="80" spans="1:10">
      <c r="A80" s="30" t="s">
        <v>266</v>
      </c>
      <c r="B80" s="422"/>
      <c r="C80" s="420"/>
      <c r="D80" s="420"/>
      <c r="E80" s="420"/>
      <c r="F80" s="420"/>
      <c r="G80" s="420"/>
      <c r="H80" s="420"/>
      <c r="I80" s="420"/>
      <c r="J80" s="420"/>
    </row>
    <row r="81" spans="1:71">
      <c r="A81" s="30" t="s">
        <v>267</v>
      </c>
      <c r="B81" s="422"/>
      <c r="C81" s="420"/>
      <c r="D81" s="420"/>
      <c r="E81" s="420"/>
      <c r="F81" s="420"/>
      <c r="G81" s="420"/>
      <c r="H81" s="420"/>
      <c r="I81" s="420"/>
      <c r="J81" s="420"/>
    </row>
    <row r="82" spans="1:71" ht="16.5" thickBot="1">
      <c r="A82" s="30" t="s">
        <v>268</v>
      </c>
      <c r="B82" s="418" t="s">
        <v>1381</v>
      </c>
      <c r="C82" s="420"/>
      <c r="D82" s="420"/>
      <c r="E82" s="420"/>
      <c r="F82" s="420"/>
      <c r="G82" s="420"/>
      <c r="H82" s="420"/>
      <c r="I82" s="420"/>
      <c r="J82" s="420"/>
    </row>
    <row r="83" spans="1:71" ht="16.5" thickBot="1">
      <c r="A83" s="406" t="s">
        <v>269</v>
      </c>
      <c r="B83" s="413"/>
      <c r="C83" s="420"/>
      <c r="D83" s="420"/>
      <c r="E83" s="420"/>
      <c r="F83" s="420"/>
      <c r="G83" s="25"/>
      <c r="H83" s="25"/>
    </row>
    <row r="84" spans="1:71">
      <c r="A84" s="30" t="s">
        <v>196</v>
      </c>
      <c r="B84" s="418" t="s">
        <v>270</v>
      </c>
      <c r="C84" s="413"/>
      <c r="D84" s="413"/>
      <c r="E84" s="413"/>
      <c r="F84" s="413"/>
      <c r="G84" s="25"/>
      <c r="H84" s="25"/>
    </row>
    <row r="85" spans="1:71">
      <c r="A85" s="30" t="s">
        <v>271</v>
      </c>
      <c r="B85" s="425" t="s">
        <v>272</v>
      </c>
    </row>
    <row r="86" spans="1:71">
      <c r="A86" s="30" t="s">
        <v>273</v>
      </c>
      <c r="B86" s="425" t="s">
        <v>274</v>
      </c>
    </row>
    <row r="87" spans="1:71">
      <c r="A87" s="30" t="s">
        <v>195</v>
      </c>
      <c r="B87" s="549" t="str">
        <f>+ B66 &amp; " Real Estate Trust dated " &amp; B88 &amp; " " &amp; B89</f>
        <v>320 Rose Pl Real Estate Trust dated March, 5 2025</v>
      </c>
      <c r="C87" s="413"/>
      <c r="D87" s="413"/>
      <c r="E87" s="413"/>
      <c r="F87" s="413"/>
      <c r="G87" s="25"/>
      <c r="H87" s="25"/>
      <c r="BR87" s="30"/>
      <c r="BS87" s="30"/>
    </row>
    <row r="88" spans="1:71">
      <c r="A88" s="30" t="s">
        <v>275</v>
      </c>
      <c r="B88" s="422" t="s">
        <v>276</v>
      </c>
      <c r="C88" s="423"/>
      <c r="D88" s="423"/>
      <c r="E88" s="423"/>
      <c r="F88" s="423"/>
      <c r="G88" s="381"/>
      <c r="H88" s="381"/>
    </row>
    <row r="89" spans="1:71">
      <c r="A89" s="30" t="s">
        <v>172</v>
      </c>
      <c r="B89" s="418">
        <v>2025</v>
      </c>
      <c r="C89" s="413"/>
      <c r="D89" s="413"/>
      <c r="E89" s="413"/>
      <c r="F89" s="413"/>
      <c r="G89" s="25"/>
      <c r="H89" s="25"/>
    </row>
    <row r="90" spans="1:71">
      <c r="A90" s="30" t="s">
        <v>192</v>
      </c>
      <c r="B90" s="418" t="s">
        <v>1400</v>
      </c>
      <c r="C90" s="418"/>
      <c r="D90" s="418"/>
      <c r="E90" s="418"/>
      <c r="F90" s="418"/>
      <c r="G90" s="28"/>
      <c r="H90" s="28"/>
    </row>
    <row r="91" spans="1:71">
      <c r="A91" s="30" t="s">
        <v>277</v>
      </c>
      <c r="B91" s="555">
        <f ca="1">YEAR(NOW())</f>
        <v>2026</v>
      </c>
      <c r="C91" s="421"/>
      <c r="D91" s="421"/>
      <c r="E91" s="421"/>
      <c r="F91" s="421"/>
      <c r="G91" s="32"/>
      <c r="H91" s="32"/>
    </row>
    <row r="92" spans="1:71">
      <c r="A92" s="30" t="s">
        <v>278</v>
      </c>
      <c r="B92" s="555">
        <f ca="1">MONTH(NOW())</f>
        <v>6</v>
      </c>
      <c r="C92" s="421"/>
      <c r="D92" s="421"/>
      <c r="E92" s="421"/>
      <c r="F92" s="421"/>
      <c r="G92" s="32"/>
      <c r="H92" s="32"/>
    </row>
    <row r="93" spans="1:71">
      <c r="A93" s="30"/>
      <c r="B93" s="413"/>
      <c r="C93" s="413"/>
      <c r="D93" s="413"/>
      <c r="E93" s="413"/>
      <c r="F93" s="413"/>
      <c r="G93" s="25"/>
      <c r="H93" s="25"/>
    </row>
    <row r="94" spans="1:71">
      <c r="A94" s="30" t="s">
        <v>279</v>
      </c>
      <c r="B94" s="413"/>
      <c r="C94" s="413"/>
      <c r="D94" s="413"/>
      <c r="E94" s="413"/>
      <c r="F94" s="413"/>
      <c r="G94" s="25"/>
      <c r="H94" s="25"/>
    </row>
    <row r="95" spans="1:71" ht="16.5" thickBot="1">
      <c r="A95" s="30"/>
      <c r="B95" s="413"/>
      <c r="C95" s="413"/>
      <c r="D95" s="413"/>
      <c r="E95" s="413"/>
      <c r="F95" s="413"/>
      <c r="G95" s="25"/>
      <c r="H95" s="25"/>
    </row>
    <row r="96" spans="1:71" ht="16.5" thickBot="1">
      <c r="A96" s="406" t="s">
        <v>280</v>
      </c>
      <c r="B96" s="413"/>
      <c r="C96" s="413"/>
      <c r="D96" s="413"/>
      <c r="E96" s="413"/>
      <c r="F96" s="413"/>
      <c r="G96" s="25"/>
      <c r="H96" s="25"/>
    </row>
    <row r="97" spans="1:8">
      <c r="A97" s="30" t="s">
        <v>281</v>
      </c>
      <c r="B97" s="413">
        <f>+Profit!C19</f>
        <v>20000</v>
      </c>
      <c r="C97" s="413"/>
      <c r="D97" s="413"/>
      <c r="E97" s="413"/>
      <c r="F97" s="413"/>
      <c r="G97" s="25"/>
      <c r="H97" s="25"/>
    </row>
    <row r="98" spans="1:8">
      <c r="A98" s="30" t="s">
        <v>282</v>
      </c>
      <c r="B98" s="415">
        <f>+B97/2/6</f>
        <v>1666.6666666666667</v>
      </c>
      <c r="C98" s="413"/>
      <c r="D98" s="413"/>
      <c r="E98" s="413"/>
      <c r="F98" s="413"/>
      <c r="G98" s="25"/>
      <c r="H98" s="25"/>
    </row>
    <row r="99" spans="1:8">
      <c r="A99" s="30" t="s">
        <v>283</v>
      </c>
      <c r="B99" s="415">
        <f>+B97/2</f>
        <v>10000</v>
      </c>
      <c r="C99" s="413"/>
      <c r="D99" s="413"/>
      <c r="E99" s="413"/>
      <c r="F99" s="413"/>
      <c r="G99" s="25"/>
      <c r="H99" s="25"/>
    </row>
    <row r="100" spans="1:8">
      <c r="A100" s="30" t="s">
        <v>284</v>
      </c>
      <c r="B100" s="413" t="str">
        <f>"A balloon payment of " &amp; TEXT(B99,"$#,##0.00") &amp; " will be due when the property is resold by the purchaser"</f>
        <v>A balloon payment of $10,000.00 will be due when the property is resold by the purchaser</v>
      </c>
      <c r="C100" s="413"/>
      <c r="D100" s="413"/>
      <c r="E100" s="413"/>
      <c r="F100" s="413"/>
      <c r="G100" s="25"/>
      <c r="H100" s="25"/>
    </row>
    <row r="101" spans="1:8">
      <c r="A101" s="30" t="s">
        <v>193</v>
      </c>
      <c r="B101" s="30" t="str">
        <f>IF(C101="Yes","Limited Allowance Compensating for Rent", "DON'T USE")</f>
        <v>DON'T USE</v>
      </c>
      <c r="C101" s="412" t="s">
        <v>285</v>
      </c>
      <c r="G101" s="378"/>
      <c r="H101" s="378"/>
    </row>
    <row r="102" spans="1:8">
      <c r="A102" s="30" t="s">
        <v>194</v>
      </c>
      <c r="B102" s="30" t="str">
        <f>IF(C102="Yes","Part of Purchase and Sale Agreement", "DON'T USE")</f>
        <v>Part of Purchase and Sale Agreement</v>
      </c>
      <c r="C102" s="412" t="s">
        <v>286</v>
      </c>
      <c r="G102" s="378"/>
      <c r="H102" s="378"/>
    </row>
    <row r="103" spans="1:8">
      <c r="A103" s="30" t="s">
        <v>287</v>
      </c>
      <c r="B103" s="408">
        <v>11</v>
      </c>
      <c r="C103" s="408"/>
      <c r="D103" s="408"/>
      <c r="E103" s="408"/>
      <c r="F103" s="408"/>
      <c r="G103" s="378"/>
      <c r="H103" s="378"/>
    </row>
    <row r="104" spans="1:8">
      <c r="A104" s="30" t="s">
        <v>288</v>
      </c>
      <c r="B104" s="413">
        <v>6</v>
      </c>
      <c r="C104" s="413"/>
      <c r="D104" s="413"/>
      <c r="E104" s="413"/>
      <c r="F104" s="413"/>
      <c r="G104" s="25"/>
      <c r="H104" s="25"/>
    </row>
    <row r="105" spans="1:8">
      <c r="A105" s="30" t="s">
        <v>289</v>
      </c>
      <c r="B105" s="413">
        <v>0</v>
      </c>
      <c r="C105" s="413"/>
      <c r="D105" s="413"/>
      <c r="E105" s="413"/>
      <c r="F105" s="413"/>
      <c r="G105" s="25"/>
      <c r="H105" s="25"/>
    </row>
    <row r="106" spans="1:8">
      <c r="A106" s="30" t="s">
        <v>290</v>
      </c>
      <c r="B106" s="413" t="str">
        <f>IF(B97&gt;0,"X","")</f>
        <v>X</v>
      </c>
      <c r="C106" s="413"/>
      <c r="D106" s="413"/>
      <c r="E106" s="413"/>
      <c r="F106" s="413"/>
      <c r="G106" s="25"/>
      <c r="H106" s="25"/>
    </row>
    <row r="107" spans="1:8">
      <c r="A107" s="30" t="s">
        <v>291</v>
      </c>
      <c r="B107" s="413" t="s">
        <v>292</v>
      </c>
      <c r="C107" s="413"/>
      <c r="D107" s="413"/>
      <c r="E107" s="413"/>
      <c r="F107" s="413"/>
      <c r="G107" s="25"/>
      <c r="H107" s="25"/>
    </row>
    <row r="108" spans="1:8" ht="16.5" thickBot="1">
      <c r="A108" s="30"/>
      <c r="B108" s="413"/>
      <c r="C108" s="413"/>
      <c r="D108" s="413"/>
      <c r="E108" s="413"/>
      <c r="F108" s="413"/>
      <c r="G108" s="25"/>
      <c r="H108" s="25"/>
    </row>
    <row r="109" spans="1:8" ht="16.5" thickBot="1">
      <c r="A109" s="406" t="s">
        <v>293</v>
      </c>
      <c r="B109" s="413"/>
      <c r="C109" s="413"/>
      <c r="D109" s="413"/>
      <c r="E109" s="413"/>
      <c r="F109" s="413"/>
      <c r="G109" s="25"/>
      <c r="H109" s="25"/>
    </row>
    <row r="110" spans="1:8">
      <c r="A110" s="30" t="s">
        <v>294</v>
      </c>
      <c r="B110" s="418"/>
      <c r="C110" s="413"/>
      <c r="D110" s="413"/>
      <c r="E110" s="413"/>
      <c r="F110" s="413"/>
      <c r="G110" s="25"/>
      <c r="H110" s="25"/>
    </row>
    <row r="111" spans="1:8">
      <c r="A111" s="30" t="s">
        <v>295</v>
      </c>
      <c r="B111" s="418"/>
      <c r="C111" s="413"/>
      <c r="D111" s="413"/>
      <c r="E111" s="413"/>
      <c r="F111" s="413"/>
      <c r="G111" s="25"/>
      <c r="H111" s="25"/>
    </row>
    <row r="112" spans="1:8">
      <c r="A112" s="30" t="s">
        <v>296</v>
      </c>
      <c r="B112" s="418"/>
      <c r="C112" s="413"/>
      <c r="D112" s="413"/>
      <c r="E112" s="413"/>
      <c r="F112" s="413"/>
      <c r="G112" s="25"/>
      <c r="H112" s="25"/>
    </row>
    <row r="113" spans="1:8">
      <c r="A113" s="30" t="s">
        <v>297</v>
      </c>
      <c r="B113" s="552"/>
      <c r="C113" s="413"/>
      <c r="D113" s="413"/>
      <c r="E113" s="413"/>
      <c r="F113" s="413"/>
      <c r="G113" s="25"/>
      <c r="H113" s="25"/>
    </row>
    <row r="114" spans="1:8">
      <c r="A114" s="30" t="s">
        <v>298</v>
      </c>
      <c r="B114" s="418"/>
      <c r="C114" s="413"/>
      <c r="D114" s="413"/>
      <c r="E114" s="413"/>
      <c r="F114" s="413"/>
      <c r="G114" s="25"/>
      <c r="H114" s="25"/>
    </row>
    <row r="115" spans="1:8">
      <c r="A115" s="30" t="s">
        <v>299</v>
      </c>
      <c r="B115" s="418"/>
      <c r="C115" s="413"/>
      <c r="D115" s="413"/>
      <c r="E115" s="413"/>
      <c r="F115" s="413"/>
      <c r="G115" s="25"/>
      <c r="H115" s="25"/>
    </row>
    <row r="116" spans="1:8">
      <c r="A116" s="30"/>
      <c r="B116" s="413"/>
      <c r="C116" s="413"/>
      <c r="D116" s="413"/>
      <c r="E116" s="413"/>
      <c r="F116" s="413"/>
      <c r="G116" s="25"/>
      <c r="H116"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39" t="s">
        <v>300</v>
      </c>
      <c r="D1" s="740"/>
      <c r="E1" s="711"/>
      <c r="I1" s="73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1" t="s">
        <v>301</v>
      </c>
      <c r="K1" s="733"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11"/>
      <c r="J2" s="741"/>
      <c r="K2" s="733"/>
    </row>
    <row r="3" spans="1:11" ht="16.5" customHeight="1">
      <c r="A3" t="s">
        <v>302</v>
      </c>
      <c r="B3" s="218" t="s">
        <v>303</v>
      </c>
      <c r="C3" s="169" t="s">
        <v>304</v>
      </c>
      <c r="D3" s="22"/>
      <c r="I3" s="711"/>
      <c r="J3" s="163"/>
      <c r="K3" s="733"/>
    </row>
    <row r="4" spans="1:11">
      <c r="A4" t="s">
        <v>305</v>
      </c>
      <c r="B4" s="168" t="s">
        <v>306</v>
      </c>
      <c r="C4" s="170" t="s">
        <v>304</v>
      </c>
      <c r="D4" s="22"/>
      <c r="I4" s="711"/>
      <c r="K4" s="733"/>
    </row>
    <row r="5" spans="1:11" ht="16.5">
      <c r="A5" t="s">
        <v>307</v>
      </c>
      <c r="B5" s="158"/>
      <c r="C5" s="159"/>
      <c r="D5" s="22"/>
      <c r="I5" s="711"/>
      <c r="K5" s="733"/>
    </row>
    <row r="6" spans="1:11" ht="15" customHeight="1" thickBot="1">
      <c r="A6" t="s">
        <v>308</v>
      </c>
      <c r="B6" s="160"/>
      <c r="C6" s="161"/>
      <c r="D6" s="22"/>
      <c r="I6" s="711"/>
      <c r="K6" s="733"/>
    </row>
    <row r="7" spans="1:11">
      <c r="I7" s="711"/>
      <c r="K7" s="733"/>
    </row>
    <row r="8" spans="1:11">
      <c r="I8" s="711"/>
      <c r="K8" s="733"/>
    </row>
    <row r="9" spans="1:11">
      <c r="A9" s="15" t="s">
        <v>309</v>
      </c>
      <c r="B9" s="15" t="s">
        <v>310</v>
      </c>
      <c r="C9" s="15"/>
      <c r="I9" s="711"/>
      <c r="K9" s="733"/>
    </row>
    <row r="10" spans="1:11">
      <c r="B10" s="742" t="s">
        <v>311</v>
      </c>
      <c r="C10" s="743"/>
      <c r="D10" s="743"/>
      <c r="E10" s="743"/>
      <c r="F10" s="743"/>
      <c r="G10" s="743"/>
      <c r="I10" s="711"/>
      <c r="K10" s="733"/>
    </row>
    <row r="11" spans="1:11">
      <c r="B11" s="711"/>
      <c r="C11" s="711"/>
      <c r="D11" s="711"/>
      <c r="E11" s="711"/>
      <c r="F11" s="711"/>
      <c r="G11" s="711"/>
      <c r="I11" s="711"/>
      <c r="K11" s="733"/>
    </row>
    <row r="12" spans="1:11">
      <c r="F12" s="706" t="s">
        <v>312</v>
      </c>
      <c r="I12" s="711"/>
      <c r="K12" s="733"/>
    </row>
    <row r="13" spans="1:11" ht="15.75" thickBot="1">
      <c r="B13" s="31" t="s">
        <v>313</v>
      </c>
      <c r="C13" s="156" t="s">
        <v>314</v>
      </c>
      <c r="D13" s="31" t="s">
        <v>315</v>
      </c>
      <c r="E13" s="31"/>
      <c r="F13" s="581"/>
      <c r="G13" s="31" t="s">
        <v>316</v>
      </c>
      <c r="I13" s="711"/>
      <c r="K13" s="733"/>
    </row>
    <row r="14" spans="1:11" ht="16.5" thickTop="1" thickBot="1">
      <c r="B14" s="167">
        <f>+D14+F14</f>
        <v>239245</v>
      </c>
      <c r="C14" s="1">
        <f>+Profit!B4</f>
        <v>330000</v>
      </c>
      <c r="D14" s="1">
        <f>+Profit!K47-Profit!C20</f>
        <v>212245</v>
      </c>
      <c r="F14" s="166">
        <f>+B24-(B24*F16)</f>
        <v>27000</v>
      </c>
      <c r="G14" s="132">
        <f ca="1">+C14-D14-F14+Profit!D54+Profit!C20</f>
        <v>-177998.05756574997</v>
      </c>
      <c r="I14" s="711"/>
      <c r="K14" s="733"/>
    </row>
    <row r="15" spans="1:11" ht="16.5" thickTop="1" thickBot="1">
      <c r="C15" s="127"/>
      <c r="D15" s="128" t="s">
        <v>317</v>
      </c>
      <c r="E15" s="129">
        <f ca="1">+Profit!$K$49</f>
        <v>61708.057565749987</v>
      </c>
      <c r="H15" s="157"/>
      <c r="K15" s="733"/>
    </row>
    <row r="16" spans="1:11" ht="16.5" thickTop="1" thickBot="1">
      <c r="C16" s="127"/>
      <c r="D16" s="130" t="s">
        <v>318</v>
      </c>
      <c r="E16" s="131">
        <f ca="1">+G14/E15</f>
        <v>-2.8845188876038255</v>
      </c>
      <c r="F16" s="165">
        <v>0.1</v>
      </c>
      <c r="H16" s="157" t="s">
        <v>319</v>
      </c>
      <c r="I16" s="73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33"/>
    </row>
    <row r="17" spans="1:13" ht="15.75" thickTop="1">
      <c r="C17" s="127"/>
      <c r="D17" s="130" t="s">
        <v>320</v>
      </c>
      <c r="E17" s="131">
        <f ca="1">+G14/(F14+G14)</f>
        <v>1.1788102471996584</v>
      </c>
      <c r="F17" t="s">
        <v>321</v>
      </c>
      <c r="I17" s="733"/>
      <c r="K17" s="733"/>
    </row>
    <row r="18" spans="1:13">
      <c r="I18" s="733"/>
      <c r="K18" s="733"/>
    </row>
    <row r="19" spans="1:13" ht="15.75" thickBot="1">
      <c r="A19" s="15" t="s">
        <v>322</v>
      </c>
      <c r="B19" s="15" t="s">
        <v>323</v>
      </c>
      <c r="D19" s="15" t="s">
        <v>324</v>
      </c>
      <c r="H19">
        <f>IF(H20="X",1,0)</f>
        <v>0</v>
      </c>
      <c r="K19" s="733"/>
    </row>
    <row r="20" spans="1:13" ht="15" customHeight="1" thickTop="1" thickBot="1">
      <c r="B20" t="s">
        <v>325</v>
      </c>
      <c r="H20" s="157"/>
      <c r="I20" s="73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33"/>
    </row>
    <row r="21" spans="1:13" ht="15.75" thickTop="1">
      <c r="B21" t="s">
        <v>326</v>
      </c>
      <c r="I21" s="733"/>
      <c r="J21" s="154"/>
      <c r="K21" s="733"/>
      <c r="L21" s="153"/>
      <c r="M21" s="153"/>
    </row>
    <row r="22" spans="1:13" ht="30">
      <c r="F22" s="50" t="s">
        <v>327</v>
      </c>
      <c r="I22" s="733"/>
      <c r="J22" s="153"/>
      <c r="K22" s="733"/>
      <c r="L22" s="153"/>
      <c r="M22" s="153"/>
    </row>
    <row r="23" spans="1:13" ht="15.75" thickBot="1">
      <c r="B23" s="31" t="s">
        <v>328</v>
      </c>
      <c r="C23" s="735"/>
      <c r="D23" s="736"/>
      <c r="E23" s="736"/>
      <c r="F23" s="736"/>
      <c r="G23" s="31" t="s">
        <v>316</v>
      </c>
      <c r="I23" s="734"/>
      <c r="J23" s="153"/>
      <c r="K23" s="733"/>
      <c r="L23" s="153"/>
      <c r="M23" s="153"/>
    </row>
    <row r="24" spans="1:13" ht="16.5" thickTop="1" thickBot="1">
      <c r="B24" s="164">
        <f>+SUM(Profit!C19:'Profit'!C20)</f>
        <v>30000</v>
      </c>
      <c r="C24" s="737" t="s">
        <v>329</v>
      </c>
      <c r="D24" s="738"/>
      <c r="E24" s="738"/>
      <c r="F24" s="10">
        <f>+B24</f>
        <v>30000</v>
      </c>
      <c r="G24" s="132">
        <f ca="1">+Profit!K62</f>
        <v>159927.31506911264</v>
      </c>
      <c r="I24" s="711"/>
      <c r="K24" s="733"/>
    </row>
    <row r="25" spans="1:13" ht="15.4" customHeight="1" thickTop="1" thickBot="1">
      <c r="C25" s="127"/>
      <c r="D25" s="128" t="s">
        <v>317</v>
      </c>
      <c r="E25" s="129">
        <f ca="1">+Profit!$K$49</f>
        <v>61708.057565749987</v>
      </c>
      <c r="H25">
        <f>IF(H26="X",1+H19,H19)</f>
        <v>1</v>
      </c>
      <c r="K25" s="733"/>
    </row>
    <row r="26" spans="1:13" ht="15" customHeight="1" thickTop="1" thickBot="1">
      <c r="C26" s="127"/>
      <c r="D26" s="130" t="s">
        <v>318</v>
      </c>
      <c r="E26" s="131">
        <f ca="1">+G24/E25</f>
        <v>2.5916763770875457</v>
      </c>
      <c r="H26" s="157" t="s">
        <v>330</v>
      </c>
      <c r="I26" s="73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33"/>
    </row>
    <row r="27" spans="1:13" ht="15" customHeight="1" thickTop="1">
      <c r="C27" s="127"/>
      <c r="D27" s="130" t="s">
        <v>320</v>
      </c>
      <c r="E27" s="131">
        <f ca="1">+G24/(F24+G24)</f>
        <v>0.84204483705209388</v>
      </c>
      <c r="I27" s="733"/>
      <c r="K27" s="733"/>
    </row>
    <row r="28" spans="1:13" ht="15" customHeight="1">
      <c r="I28" s="733"/>
      <c r="K28" s="733"/>
    </row>
    <row r="29" spans="1:13">
      <c r="A29" s="15"/>
      <c r="B29" s="15"/>
      <c r="I29" s="734"/>
      <c r="K29" s="733"/>
    </row>
    <row r="30" spans="1:13">
      <c r="A30" s="15" t="s">
        <v>331</v>
      </c>
      <c r="B30" s="15" t="s">
        <v>332</v>
      </c>
      <c r="D30" t="s">
        <v>333</v>
      </c>
      <c r="I30" s="711"/>
      <c r="K30" s="733"/>
    </row>
    <row r="31" spans="1:13" ht="25.5">
      <c r="B31" t="s">
        <v>325</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33"/>
    </row>
    <row r="32" spans="1:13" ht="15.75" thickBot="1">
      <c r="B32" t="s">
        <v>326</v>
      </c>
      <c r="H32">
        <f>IF(H33="X",H25+1,H25)</f>
        <v>2</v>
      </c>
      <c r="K32" s="733"/>
    </row>
    <row r="33" spans="1:13" ht="15" customHeight="1" thickTop="1" thickBot="1">
      <c r="H33" s="157" t="s">
        <v>330</v>
      </c>
      <c r="I33" s="73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33"/>
    </row>
    <row r="34" spans="1:13" ht="16.5" thickTop="1" thickBot="1">
      <c r="C34" s="2" t="s">
        <v>334</v>
      </c>
      <c r="D34" s="3" t="s">
        <v>335</v>
      </c>
      <c r="F34" s="3" t="s">
        <v>336</v>
      </c>
      <c r="I34" s="733"/>
      <c r="K34" s="733"/>
    </row>
    <row r="35" spans="1:13" ht="16.5" thickTop="1" thickBot="1">
      <c r="B35" s="162" t="s">
        <v>337</v>
      </c>
      <c r="C35" s="135">
        <v>10400</v>
      </c>
      <c r="D35" s="126">
        <v>60</v>
      </c>
      <c r="F35" s="706" t="s">
        <v>327</v>
      </c>
      <c r="I35" s="733"/>
      <c r="K35" s="733"/>
    </row>
    <row r="36" spans="1:13" ht="16.5" thickTop="1" thickBot="1">
      <c r="B36" s="31" t="s">
        <v>338</v>
      </c>
      <c r="C36" s="31" t="s">
        <v>339</v>
      </c>
      <c r="D36" s="31" t="s">
        <v>340</v>
      </c>
      <c r="E36" s="31" t="s">
        <v>289</v>
      </c>
      <c r="F36" s="581"/>
      <c r="G36" s="31" t="s">
        <v>316</v>
      </c>
      <c r="I36" s="733"/>
      <c r="K36" s="733"/>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33"/>
      <c r="K37" s="733"/>
    </row>
    <row r="38" spans="1:13" ht="16.5" thickTop="1" thickBot="1">
      <c r="B38" s="137">
        <v>0.34</v>
      </c>
      <c r="C38" s="152">
        <f>1-B38</f>
        <v>0.65999999999999992</v>
      </c>
      <c r="D38" s="10"/>
      <c r="E38" s="36"/>
      <c r="F38" s="10"/>
      <c r="G38" s="10"/>
      <c r="I38" s="733"/>
      <c r="K38" s="733"/>
    </row>
    <row r="39" spans="1:13" ht="15.4" customHeight="1" thickTop="1">
      <c r="B39" s="10"/>
      <c r="C39" s="132"/>
      <c r="D39" s="128" t="s">
        <v>317</v>
      </c>
      <c r="E39" s="129">
        <f ca="1">+Profit!$K$49-C37+C35</f>
        <v>41908.057565749987</v>
      </c>
      <c r="F39" s="10"/>
      <c r="G39" s="10"/>
      <c r="I39" s="733"/>
      <c r="K39" s="733"/>
    </row>
    <row r="40" spans="1:13">
      <c r="C40" s="127"/>
      <c r="D40" s="130" t="s">
        <v>318</v>
      </c>
      <c r="E40" s="131">
        <f ca="1">+G37/E39</f>
        <v>3.423859835164011</v>
      </c>
      <c r="I40" s="733"/>
      <c r="K40" s="733"/>
    </row>
    <row r="41" spans="1:13" ht="15" customHeight="1" thickBot="1">
      <c r="C41" s="127"/>
      <c r="D41" s="130" t="s">
        <v>320</v>
      </c>
      <c r="E41" s="131">
        <f ca="1">+G37/(F37+G37)</f>
        <v>0.7554854077566413</v>
      </c>
      <c r="H41">
        <f>IF(H42="X",H32+1,H32)</f>
        <v>2</v>
      </c>
      <c r="K41" s="733"/>
    </row>
    <row r="42" spans="1:13" ht="16.5" thickTop="1" thickBot="1">
      <c r="A42" s="15" t="s">
        <v>341</v>
      </c>
      <c r="B42" s="15" t="s">
        <v>342</v>
      </c>
      <c r="H42" s="157"/>
      <c r="I42" s="733"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33"/>
    </row>
    <row r="43" spans="1:13" ht="15.75" thickTop="1">
      <c r="B43" t="s">
        <v>325</v>
      </c>
      <c r="I43" s="733"/>
      <c r="K43" s="711"/>
      <c r="M43" s="139"/>
    </row>
    <row r="44" spans="1:13">
      <c r="B44" t="s">
        <v>326</v>
      </c>
      <c r="I44" s="733"/>
      <c r="K44" s="711"/>
    </row>
    <row r="45" spans="1:13" ht="15" customHeight="1">
      <c r="B45" t="s">
        <v>343</v>
      </c>
      <c r="I45" s="733"/>
      <c r="K45" s="711"/>
    </row>
    <row r="46" spans="1:13">
      <c r="B46" t="s">
        <v>344</v>
      </c>
      <c r="I46" s="733"/>
      <c r="K46" s="711"/>
    </row>
    <row r="47" spans="1:13">
      <c r="F47" s="3" t="s">
        <v>345</v>
      </c>
      <c r="I47" s="733"/>
      <c r="K47" s="711"/>
    </row>
    <row r="48" spans="1:13">
      <c r="C48" s="706" t="s">
        <v>346</v>
      </c>
      <c r="D48" s="706" t="s">
        <v>347</v>
      </c>
      <c r="E48" s="706" t="s">
        <v>348</v>
      </c>
      <c r="F48" s="706" t="s">
        <v>327</v>
      </c>
      <c r="I48" s="733"/>
      <c r="K48" s="711"/>
    </row>
    <row r="49" spans="1:11" ht="15.75" thickBot="1">
      <c r="B49" s="3" t="s">
        <v>338</v>
      </c>
      <c r="C49" s="581" t="s">
        <v>346</v>
      </c>
      <c r="D49" s="581" t="s">
        <v>347</v>
      </c>
      <c r="E49" s="581" t="s">
        <v>349</v>
      </c>
      <c r="F49" s="581"/>
      <c r="G49" s="31" t="s">
        <v>316</v>
      </c>
      <c r="I49" s="733"/>
      <c r="K49" s="711"/>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33"/>
      <c r="K50" s="711"/>
    </row>
    <row r="51" spans="1:11" ht="15.75" thickTop="1">
      <c r="D51" s="15" t="s">
        <v>350</v>
      </c>
      <c r="I51" s="155"/>
      <c r="K51" s="711"/>
    </row>
    <row r="52" spans="1:11">
      <c r="C52" s="127"/>
      <c r="D52" s="128" t="s">
        <v>317</v>
      </c>
      <c r="E52" s="129">
        <f ca="1">+Profit!$K$49-B24+B50</f>
        <v>41708.057565749987</v>
      </c>
      <c r="H52" t="s">
        <v>319</v>
      </c>
      <c r="I52" s="73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1"/>
    </row>
    <row r="53" spans="1:11" ht="15" customHeight="1">
      <c r="C53" s="127"/>
      <c r="D53" s="130" t="s">
        <v>318</v>
      </c>
      <c r="E53" s="131">
        <f ca="1">+G50/E52</f>
        <v>1.3639617340379213</v>
      </c>
      <c r="I53" s="711"/>
      <c r="K53" s="711"/>
    </row>
    <row r="54" spans="1:11">
      <c r="C54" s="127"/>
      <c r="D54" s="130" t="s">
        <v>320</v>
      </c>
      <c r="E54" s="131">
        <f ca="1">+G50/(F50+G50)</f>
        <v>0.28497199644767368</v>
      </c>
      <c r="I54" s="711"/>
      <c r="K54" s="711"/>
    </row>
    <row r="55" spans="1:11" ht="15" customHeight="1">
      <c r="I55" s="711"/>
      <c r="K55" s="711"/>
    </row>
    <row r="56" spans="1:11" ht="15.75" thickBot="1">
      <c r="B56" s="15" t="s">
        <v>351</v>
      </c>
      <c r="D56" t="s">
        <v>352</v>
      </c>
      <c r="I56" s="711"/>
      <c r="K56" s="711"/>
    </row>
    <row r="57" spans="1:11">
      <c r="A57" s="72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25"/>
      <c r="C57" s="725"/>
      <c r="D57" s="725"/>
      <c r="E57" s="725"/>
      <c r="F57" s="725"/>
      <c r="G57" s="726"/>
      <c r="I57" s="711"/>
      <c r="K57" s="711"/>
    </row>
    <row r="58" spans="1:11">
      <c r="A58" s="727"/>
      <c r="B58" s="728"/>
      <c r="C58" s="728"/>
      <c r="D58" s="728"/>
      <c r="E58" s="728"/>
      <c r="F58" s="728"/>
      <c r="G58" s="729"/>
      <c r="I58" s="711"/>
      <c r="K58" s="711"/>
    </row>
    <row r="59" spans="1:11">
      <c r="A59" s="727"/>
      <c r="B59" s="728"/>
      <c r="C59" s="728"/>
      <c r="D59" s="728"/>
      <c r="E59" s="728"/>
      <c r="F59" s="728"/>
      <c r="G59" s="729"/>
      <c r="K59" s="711"/>
    </row>
    <row r="60" spans="1:11">
      <c r="A60" s="727"/>
      <c r="B60" s="728"/>
      <c r="C60" s="728"/>
      <c r="D60" s="728"/>
      <c r="E60" s="728"/>
      <c r="F60" s="728"/>
      <c r="G60" s="729"/>
      <c r="K60" s="711"/>
    </row>
    <row r="61" spans="1:11">
      <c r="A61" s="727"/>
      <c r="B61" s="728"/>
      <c r="C61" s="728"/>
      <c r="D61" s="728"/>
      <c r="E61" s="728"/>
      <c r="F61" s="728"/>
      <c r="G61" s="729"/>
      <c r="H61" t="s">
        <v>319</v>
      </c>
      <c r="I61" s="733"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1"/>
    </row>
    <row r="62" spans="1:11">
      <c r="A62" s="727"/>
      <c r="B62" s="728"/>
      <c r="C62" s="728"/>
      <c r="D62" s="728"/>
      <c r="E62" s="728"/>
      <c r="F62" s="728"/>
      <c r="G62" s="729"/>
      <c r="I62" s="711"/>
      <c r="K62" s="711"/>
    </row>
    <row r="63" spans="1:11">
      <c r="A63" s="727"/>
      <c r="B63" s="728"/>
      <c r="C63" s="728"/>
      <c r="D63" s="728"/>
      <c r="E63" s="728"/>
      <c r="F63" s="728"/>
      <c r="G63" s="729"/>
      <c r="I63" s="711"/>
      <c r="K63" s="711"/>
    </row>
    <row r="64" spans="1:11">
      <c r="A64" s="727"/>
      <c r="B64" s="728"/>
      <c r="C64" s="728"/>
      <c r="D64" s="728"/>
      <c r="E64" s="728"/>
      <c r="F64" s="728"/>
      <c r="G64" s="729"/>
      <c r="I64" s="711"/>
      <c r="K64" s="711"/>
    </row>
    <row r="65" spans="1:11">
      <c r="A65" s="727"/>
      <c r="B65" s="728"/>
      <c r="C65" s="728"/>
      <c r="D65" s="728"/>
      <c r="E65" s="728"/>
      <c r="F65" s="728"/>
      <c r="G65" s="729"/>
      <c r="I65" s="711"/>
      <c r="K65" s="711"/>
    </row>
    <row r="66" spans="1:11">
      <c r="A66" s="727"/>
      <c r="B66" s="728"/>
      <c r="C66" s="728"/>
      <c r="D66" s="728"/>
      <c r="E66" s="728"/>
      <c r="F66" s="728"/>
      <c r="G66" s="729"/>
      <c r="I66" s="711"/>
      <c r="K66" s="711"/>
    </row>
    <row r="67" spans="1:11">
      <c r="A67" s="727"/>
      <c r="B67" s="728"/>
      <c r="C67" s="728"/>
      <c r="D67" s="728"/>
      <c r="E67" s="728"/>
      <c r="F67" s="728"/>
      <c r="G67" s="729"/>
      <c r="I67" s="711"/>
      <c r="K67" s="711"/>
    </row>
    <row r="68" spans="1:11">
      <c r="A68" s="727"/>
      <c r="B68" s="728"/>
      <c r="C68" s="728"/>
      <c r="D68" s="728"/>
      <c r="E68" s="728"/>
      <c r="F68" s="728"/>
      <c r="G68" s="729"/>
      <c r="I68" s="711"/>
    </row>
    <row r="69" spans="1:11">
      <c r="A69" s="727"/>
      <c r="B69" s="728"/>
      <c r="C69" s="728"/>
      <c r="D69" s="728"/>
      <c r="E69" s="728"/>
      <c r="F69" s="728"/>
      <c r="G69" s="729"/>
      <c r="I69" s="711"/>
    </row>
    <row r="70" spans="1:11">
      <c r="A70" s="727"/>
      <c r="B70" s="728"/>
      <c r="C70" s="728"/>
      <c r="D70" s="728"/>
      <c r="E70" s="728"/>
      <c r="F70" s="728"/>
      <c r="G70" s="729"/>
      <c r="I70" s="711"/>
    </row>
    <row r="71" spans="1:11">
      <c r="A71" s="727"/>
      <c r="B71" s="728"/>
      <c r="C71" s="728"/>
      <c r="D71" s="728"/>
      <c r="E71" s="728"/>
      <c r="F71" s="728"/>
      <c r="G71" s="729"/>
      <c r="I71" s="711"/>
    </row>
    <row r="72" spans="1:11">
      <c r="A72" s="727"/>
      <c r="B72" s="728"/>
      <c r="C72" s="728"/>
      <c r="D72" s="728"/>
      <c r="E72" s="728"/>
      <c r="F72" s="728"/>
      <c r="G72" s="729"/>
      <c r="I72" s="711"/>
    </row>
    <row r="73" spans="1:11">
      <c r="A73" s="727"/>
      <c r="B73" s="728"/>
      <c r="C73" s="728"/>
      <c r="D73" s="728"/>
      <c r="E73" s="728"/>
      <c r="F73" s="728"/>
      <c r="G73" s="729"/>
    </row>
    <row r="74" spans="1:11">
      <c r="A74" s="727"/>
      <c r="B74" s="728"/>
      <c r="C74" s="728"/>
      <c r="D74" s="728"/>
      <c r="E74" s="728"/>
      <c r="F74" s="728"/>
      <c r="G74" s="729"/>
      <c r="H74" t="s">
        <v>319</v>
      </c>
      <c r="I74" s="138" t="str">
        <f>"Sincerely,
Wes Browning"</f>
        <v>Sincerely,
Wes Browning</v>
      </c>
    </row>
    <row r="75" spans="1:11" ht="15" customHeight="1">
      <c r="A75" s="727"/>
      <c r="B75" s="728"/>
      <c r="C75" s="728"/>
      <c r="D75" s="728"/>
      <c r="E75" s="728"/>
      <c r="F75" s="728"/>
      <c r="G75" s="729"/>
      <c r="I75" s="138"/>
    </row>
    <row r="76" spans="1:11">
      <c r="A76" s="727"/>
      <c r="B76" s="728"/>
      <c r="C76" s="728"/>
      <c r="D76" s="728"/>
      <c r="E76" s="728"/>
      <c r="F76" s="728"/>
      <c r="G76" s="729"/>
      <c r="I76" s="138"/>
    </row>
    <row r="77" spans="1:11">
      <c r="A77" s="727"/>
      <c r="B77" s="728"/>
      <c r="C77" s="728"/>
      <c r="D77" s="728"/>
      <c r="E77" s="728"/>
      <c r="F77" s="728"/>
      <c r="G77" s="729"/>
    </row>
    <row r="78" spans="1:11">
      <c r="A78" s="727"/>
      <c r="B78" s="728"/>
      <c r="C78" s="728"/>
      <c r="D78" s="728"/>
      <c r="E78" s="728"/>
      <c r="F78" s="728"/>
      <c r="G78" s="729"/>
    </row>
    <row r="79" spans="1:11" ht="15.75" thickBot="1">
      <c r="A79" s="730"/>
      <c r="B79" s="731"/>
      <c r="C79" s="731"/>
      <c r="D79" s="731"/>
      <c r="E79" s="731"/>
      <c r="F79" s="731"/>
      <c r="G79" s="732"/>
    </row>
    <row r="80" spans="1:11">
      <c r="A80" s="138"/>
      <c r="B80" s="138"/>
      <c r="C80" s="138"/>
      <c r="D80" s="138"/>
      <c r="E80" s="138"/>
      <c r="F80" s="138"/>
      <c r="G80" s="138"/>
    </row>
    <row r="81" spans="1:9">
      <c r="A81" s="138"/>
      <c r="B81" s="138"/>
      <c r="C81" s="138"/>
      <c r="D81" s="138"/>
      <c r="E81" s="138"/>
      <c r="F81" s="138"/>
      <c r="G81" s="2" t="s">
        <v>353</v>
      </c>
      <c r="I81" s="138" t="s">
        <v>354</v>
      </c>
    </row>
    <row r="82" spans="1:9">
      <c r="G82" s="2" t="s">
        <v>355</v>
      </c>
      <c r="H82" t="s">
        <v>319</v>
      </c>
      <c r="I82" s="138" t="s">
        <v>356</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369</v>
      </c>
      <c r="B1" s="3" t="s">
        <v>370</v>
      </c>
      <c r="C1" s="32" t="s">
        <v>371</v>
      </c>
      <c r="D1" s="30" t="s">
        <v>372</v>
      </c>
      <c r="E1" s="32" t="s">
        <v>373</v>
      </c>
      <c r="F1" s="3" t="s">
        <v>374</v>
      </c>
    </row>
    <row r="2" spans="1:9">
      <c r="A2" s="25" t="s">
        <v>375</v>
      </c>
      <c r="E2" s="27"/>
    </row>
    <row r="3" spans="1:9">
      <c r="C3" s="28"/>
      <c r="D3" s="32" t="s">
        <v>376</v>
      </c>
      <c r="E3" s="517"/>
    </row>
    <row r="4" spans="1:9" ht="16.5">
      <c r="A4" s="30" t="s">
        <v>377</v>
      </c>
      <c r="B4" s="226"/>
      <c r="C4" s="28"/>
      <c r="D4" s="32" t="s">
        <v>378</v>
      </c>
      <c r="E4" s="12"/>
    </row>
    <row r="5" spans="1:9">
      <c r="B5" s="43" t="s">
        <v>4</v>
      </c>
      <c r="C5" s="43" t="s">
        <v>5</v>
      </c>
      <c r="D5" s="25"/>
      <c r="E5" s="27"/>
    </row>
    <row r="6" spans="1:9">
      <c r="A6" s="25" t="s">
        <v>379</v>
      </c>
      <c r="B6" s="43"/>
      <c r="E6" s="172"/>
    </row>
    <row r="7" spans="1:9" ht="15.75">
      <c r="A7" s="44" t="s">
        <v>239</v>
      </c>
      <c r="B7" s="518" t="s">
        <v>380</v>
      </c>
      <c r="D7" s="519" t="s">
        <v>1166</v>
      </c>
      <c r="E7" s="428" t="s">
        <v>1149</v>
      </c>
      <c r="F7" s="19"/>
    </row>
    <row r="8" spans="1:9">
      <c r="A8" s="44" t="s">
        <v>381</v>
      </c>
      <c r="B8" s="27" t="s">
        <v>1140</v>
      </c>
      <c r="D8" s="45"/>
      <c r="E8" s="27"/>
      <c r="F8" s="19"/>
    </row>
    <row r="9" spans="1:9">
      <c r="A9" s="44" t="s">
        <v>382</v>
      </c>
      <c r="B9" s="27" t="s">
        <v>1139</v>
      </c>
      <c r="D9" s="45"/>
      <c r="E9" s="27"/>
      <c r="F9" s="19"/>
      <c r="H9" s="19"/>
    </row>
    <row r="10" spans="1:9">
      <c r="A10" s="2" t="s">
        <v>383</v>
      </c>
      <c r="B10" s="25" t="s">
        <v>384</v>
      </c>
      <c r="C10" s="25" t="s">
        <v>385</v>
      </c>
      <c r="E10" t="s">
        <v>386</v>
      </c>
      <c r="F10" s="25" t="s">
        <v>387</v>
      </c>
    </row>
    <row r="11" spans="1:9">
      <c r="E11" s="27"/>
    </row>
    <row r="12" spans="1:9">
      <c r="A12" s="2" t="s">
        <v>1141</v>
      </c>
      <c r="B12" s="525" t="s">
        <v>1142</v>
      </c>
      <c r="E12"/>
    </row>
    <row r="13" spans="1:9">
      <c r="B13" s="525" t="s">
        <v>1143</v>
      </c>
      <c r="E13"/>
      <c r="F13" s="27"/>
      <c r="I13" s="194"/>
    </row>
    <row r="14" spans="1:9">
      <c r="B14" s="525" t="s">
        <v>1144</v>
      </c>
      <c r="E14"/>
      <c r="I14" s="25"/>
    </row>
    <row r="15" spans="1:9">
      <c r="B15"/>
    </row>
    <row r="16" spans="1:9">
      <c r="A16" s="2" t="s">
        <v>388</v>
      </c>
      <c r="B16" s="525" t="s">
        <v>1145</v>
      </c>
      <c r="E16" s="19"/>
    </row>
    <row r="17" spans="1:25">
      <c r="B17"/>
    </row>
    <row r="18" spans="1:25">
      <c r="B18" s="19" t="s">
        <v>1146</v>
      </c>
      <c r="V18" t="s">
        <v>389</v>
      </c>
      <c r="W18" t="s">
        <v>390</v>
      </c>
      <c r="X18" t="s">
        <v>391</v>
      </c>
      <c r="Y18" t="s">
        <v>392</v>
      </c>
    </row>
    <row r="19" spans="1:25">
      <c r="B19"/>
      <c r="E19" s="27"/>
      <c r="F19" s="19"/>
      <c r="V19" t="s">
        <v>393</v>
      </c>
      <c r="W19" s="142">
        <v>0.4458333333333333</v>
      </c>
      <c r="X19" t="s">
        <v>394</v>
      </c>
    </row>
    <row r="20" spans="1:25">
      <c r="B20" s="525" t="s">
        <v>1147</v>
      </c>
    </row>
    <row r="21" spans="1:25">
      <c r="B21" s="525" t="s">
        <v>1148</v>
      </c>
    </row>
    <row r="22" spans="1:25">
      <c r="A22" s="2" t="s">
        <v>395</v>
      </c>
    </row>
    <row r="23" spans="1:25">
      <c r="A23" s="143" t="s">
        <v>396</v>
      </c>
      <c r="B23" s="2" t="s">
        <v>397</v>
      </c>
      <c r="C23" s="27" t="s">
        <v>398</v>
      </c>
    </row>
    <row r="24" spans="1:25">
      <c r="A24" s="144" t="s">
        <v>399</v>
      </c>
    </row>
    <row r="25" spans="1:25">
      <c r="A25" s="145" t="s">
        <v>400</v>
      </c>
    </row>
    <row r="26" spans="1:25">
      <c r="A26" s="146" t="s">
        <v>401</v>
      </c>
    </row>
    <row r="27" spans="1:25">
      <c r="A27" s="147" t="s">
        <v>402</v>
      </c>
      <c r="B27" s="2" t="s">
        <v>403</v>
      </c>
      <c r="C27" s="27" t="s">
        <v>404</v>
      </c>
    </row>
    <row r="28" spans="1:25">
      <c r="A28" s="148" t="s">
        <v>405</v>
      </c>
    </row>
    <row r="29" spans="1:25">
      <c r="A29" s="149" t="s">
        <v>400</v>
      </c>
    </row>
    <row r="30" spans="1:25">
      <c r="A30" s="150" t="s">
        <v>406</v>
      </c>
    </row>
    <row r="32" spans="1:25">
      <c r="A32" s="2" t="s">
        <v>407</v>
      </c>
      <c r="B32" s="2" t="s">
        <v>408</v>
      </c>
      <c r="E32" s="25" t="s">
        <v>409</v>
      </c>
      <c r="I32" t="s">
        <v>410</v>
      </c>
    </row>
    <row r="34" spans="1:9">
      <c r="A34" s="2" t="s">
        <v>411</v>
      </c>
      <c r="B34" s="2" t="s">
        <v>412</v>
      </c>
    </row>
    <row r="36" spans="1:9">
      <c r="A36" s="2" t="s">
        <v>413</v>
      </c>
      <c r="B36" s="2" t="s">
        <v>414</v>
      </c>
    </row>
    <row r="38" spans="1:9">
      <c r="A38" s="2" t="s">
        <v>415</v>
      </c>
      <c r="B38" s="2" t="s">
        <v>416</v>
      </c>
    </row>
    <row r="40" spans="1:9">
      <c r="A40" s="2" t="s">
        <v>417</v>
      </c>
      <c r="B40" s="2" t="s">
        <v>418</v>
      </c>
      <c r="E40" s="25" t="s">
        <v>419</v>
      </c>
    </row>
    <row r="42" spans="1:9">
      <c r="A42" s="2" t="s">
        <v>420</v>
      </c>
      <c r="B42" s="2" t="s">
        <v>421</v>
      </c>
      <c r="I42" t="s">
        <v>422</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4" t="s">
        <v>1204</v>
      </c>
      <c r="B1" s="745"/>
      <c r="C1" s="746"/>
      <c r="D1" s="744" t="s">
        <v>423</v>
      </c>
      <c r="E1" s="745"/>
      <c r="F1" s="746"/>
      <c r="G1" s="744" t="s">
        <v>60</v>
      </c>
      <c r="H1" s="745"/>
      <c r="I1" s="746"/>
      <c r="J1" s="744" t="s">
        <v>1205</v>
      </c>
      <c r="K1" s="745"/>
      <c r="L1" s="746"/>
      <c r="M1" s="744" t="s">
        <v>424</v>
      </c>
      <c r="N1" s="745"/>
      <c r="O1" s="746"/>
      <c r="P1" s="744" t="s">
        <v>1206</v>
      </c>
      <c r="Q1" s="745"/>
      <c r="R1" s="746"/>
      <c r="S1" s="744" t="s">
        <v>1207</v>
      </c>
      <c r="T1" s="745"/>
      <c r="U1" s="746"/>
      <c r="V1" s="744" t="s">
        <v>188</v>
      </c>
      <c r="W1" s="745"/>
      <c r="X1" s="746"/>
      <c r="Y1" s="744" t="s">
        <v>425</v>
      </c>
      <c r="Z1" s="745"/>
      <c r="AA1" s="746"/>
      <c r="AB1" s="744" t="s">
        <v>1208</v>
      </c>
      <c r="AC1" s="745"/>
      <c r="AD1" s="746"/>
      <c r="AE1" s="744" t="s">
        <v>1209</v>
      </c>
      <c r="AF1" s="745"/>
      <c r="AG1" s="746"/>
      <c r="AH1" s="50"/>
      <c r="AI1" s="747"/>
      <c r="AJ1" s="740"/>
      <c r="AK1" s="740"/>
      <c r="AL1" s="740"/>
      <c r="AM1" s="740"/>
      <c r="AN1" s="740"/>
      <c r="AO1" s="740"/>
      <c r="AP1" s="740"/>
      <c r="AQ1" s="740"/>
      <c r="AR1" s="740"/>
      <c r="AS1" s="740"/>
    </row>
    <row r="2" spans="1:45" ht="15" customHeight="1">
      <c r="C2" s="213"/>
      <c r="F2" s="213"/>
      <c r="I2" s="213"/>
      <c r="L2" s="213"/>
      <c r="O2" s="213"/>
      <c r="R2" s="213"/>
      <c r="U2" s="213"/>
      <c r="X2" s="213"/>
      <c r="AA2" s="748" t="s">
        <v>1374</v>
      </c>
      <c r="AD2" s="213"/>
      <c r="AG2" s="213"/>
      <c r="AI2" t="s">
        <v>1210</v>
      </c>
      <c r="AJ2" t="s">
        <v>1211</v>
      </c>
      <c r="AK2" t="s">
        <v>109</v>
      </c>
      <c r="AL2" t="s">
        <v>369</v>
      </c>
      <c r="AM2" t="s">
        <v>430</v>
      </c>
      <c r="AN2" t="s">
        <v>1212</v>
      </c>
      <c r="AO2" t="s">
        <v>1213</v>
      </c>
      <c r="AP2" t="s">
        <v>994</v>
      </c>
      <c r="AQ2" t="s">
        <v>1214</v>
      </c>
      <c r="AR2" t="s">
        <v>1215</v>
      </c>
      <c r="AS2" t="s">
        <v>357</v>
      </c>
    </row>
    <row r="3" spans="1:45" ht="15" customHeight="1">
      <c r="A3" s="3" t="s">
        <v>109</v>
      </c>
      <c r="B3" s="13" t="s">
        <v>1212</v>
      </c>
      <c r="C3" s="215"/>
      <c r="D3" s="3" t="s">
        <v>109</v>
      </c>
      <c r="E3" s="13" t="s">
        <v>1373</v>
      </c>
      <c r="F3" s="215"/>
      <c r="G3" s="3" t="s">
        <v>109</v>
      </c>
      <c r="H3" s="13" t="s">
        <v>1373</v>
      </c>
      <c r="I3" s="215"/>
      <c r="J3" s="3" t="s">
        <v>109</v>
      </c>
      <c r="K3" s="13" t="s">
        <v>1373</v>
      </c>
      <c r="L3" s="213"/>
      <c r="M3" s="3" t="s">
        <v>109</v>
      </c>
      <c r="N3" s="13" t="s">
        <v>1373</v>
      </c>
      <c r="O3" s="213"/>
      <c r="P3" s="3" t="s">
        <v>109</v>
      </c>
      <c r="Q3" s="13" t="s">
        <v>1373</v>
      </c>
      <c r="R3" s="213"/>
      <c r="S3" s="3" t="s">
        <v>109</v>
      </c>
      <c r="T3" s="13" t="s">
        <v>1373</v>
      </c>
      <c r="U3" s="213"/>
      <c r="V3" t="s">
        <v>109</v>
      </c>
      <c r="W3" t="s">
        <v>1373</v>
      </c>
      <c r="X3" s="213"/>
      <c r="Y3" t="s">
        <v>109</v>
      </c>
      <c r="Z3" t="s">
        <v>1373</v>
      </c>
      <c r="AA3" s="749"/>
      <c r="AB3" s="3" t="s">
        <v>109</v>
      </c>
      <c r="AC3" s="13" t="s">
        <v>1373</v>
      </c>
      <c r="AD3" s="213"/>
      <c r="AE3" s="3" t="s">
        <v>109</v>
      </c>
      <c r="AF3" s="13" t="s">
        <v>1373</v>
      </c>
      <c r="AG3" s="213"/>
      <c r="AI3" t="s">
        <v>358</v>
      </c>
      <c r="AJ3" t="s">
        <v>1204</v>
      </c>
      <c r="AK3" s="12">
        <v>45823</v>
      </c>
      <c r="AM3" t="s">
        <v>1219</v>
      </c>
      <c r="AN3" s="5">
        <v>0</v>
      </c>
      <c r="AO3" t="s">
        <v>1216</v>
      </c>
      <c r="AP3" s="83" t="s">
        <v>603</v>
      </c>
      <c r="AQ3" t="s">
        <v>1220</v>
      </c>
      <c r="AR3" t="s">
        <v>1217</v>
      </c>
      <c r="AS3" t="s">
        <v>1221</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37"/>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7"/>
      <c r="AH4" s="538"/>
      <c r="AI4" t="s">
        <v>358</v>
      </c>
      <c r="AJ4" t="s">
        <v>1204</v>
      </c>
      <c r="AK4" s="12">
        <v>45853.42</v>
      </c>
      <c r="AM4" t="s">
        <v>1219</v>
      </c>
      <c r="AN4" s="5">
        <v>0</v>
      </c>
      <c r="AO4" t="s">
        <v>1216</v>
      </c>
      <c r="AP4" s="83" t="s">
        <v>603</v>
      </c>
      <c r="AQ4" t="s">
        <v>1220</v>
      </c>
      <c r="AR4" t="s">
        <v>1217</v>
      </c>
      <c r="AS4" t="s">
        <v>1222</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37"/>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7"/>
      <c r="AH5" s="538"/>
      <c r="AI5" t="s">
        <v>358</v>
      </c>
      <c r="AJ5" t="s">
        <v>1204</v>
      </c>
      <c r="AK5" s="12">
        <v>45883.839999999997</v>
      </c>
      <c r="AM5" t="s">
        <v>1219</v>
      </c>
      <c r="AN5" s="5">
        <v>0</v>
      </c>
      <c r="AO5" t="s">
        <v>1216</v>
      </c>
      <c r="AP5" s="83" t="s">
        <v>603</v>
      </c>
      <c r="AQ5" t="s">
        <v>1220</v>
      </c>
      <c r="AR5" t="s">
        <v>1217</v>
      </c>
      <c r="AS5" t="s">
        <v>1223</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37"/>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7"/>
      <c r="AH6" s="538"/>
      <c r="AI6" t="s">
        <v>358</v>
      </c>
      <c r="AJ6" t="s">
        <v>1204</v>
      </c>
      <c r="AK6" s="12">
        <v>45947</v>
      </c>
      <c r="AM6" t="s">
        <v>1219</v>
      </c>
      <c r="AN6" s="5">
        <v>410</v>
      </c>
      <c r="AO6" t="s">
        <v>1216</v>
      </c>
      <c r="AP6" s="83" t="s">
        <v>603</v>
      </c>
      <c r="AQ6" t="s">
        <v>1220</v>
      </c>
      <c r="AR6" t="s">
        <v>1217</v>
      </c>
      <c r="AS6" t="s">
        <v>1224</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37"/>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7"/>
      <c r="AH7" s="538"/>
      <c r="AI7" t="s">
        <v>358</v>
      </c>
      <c r="AJ7" t="s">
        <v>1204</v>
      </c>
      <c r="AK7" s="12">
        <v>45947</v>
      </c>
      <c r="AM7" t="s">
        <v>1219</v>
      </c>
      <c r="AN7" s="5">
        <v>20.84</v>
      </c>
      <c r="AO7" t="s">
        <v>1216</v>
      </c>
      <c r="AP7" s="83" t="s">
        <v>603</v>
      </c>
      <c r="AQ7" t="s">
        <v>1220</v>
      </c>
      <c r="AR7" t="s">
        <v>1217</v>
      </c>
      <c r="AS7" t="s">
        <v>1225</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37"/>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7"/>
      <c r="AH8" s="538"/>
      <c r="AI8" t="s">
        <v>358</v>
      </c>
      <c r="AJ8" t="s">
        <v>1204</v>
      </c>
      <c r="AK8" s="12">
        <v>45950</v>
      </c>
      <c r="AM8" t="s">
        <v>1219</v>
      </c>
      <c r="AN8" s="5">
        <v>37.880000000000003</v>
      </c>
      <c r="AO8" t="s">
        <v>1216</v>
      </c>
      <c r="AP8" s="83" t="s">
        <v>603</v>
      </c>
      <c r="AQ8" t="s">
        <v>1220</v>
      </c>
      <c r="AR8" t="s">
        <v>1217</v>
      </c>
      <c r="AS8" t="s">
        <v>1226</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37"/>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7"/>
      <c r="AH9" s="538"/>
      <c r="AI9" t="s">
        <v>358</v>
      </c>
      <c r="AJ9" t="s">
        <v>1204</v>
      </c>
      <c r="AK9" s="12">
        <v>45979</v>
      </c>
      <c r="AM9" t="s">
        <v>1219</v>
      </c>
      <c r="AN9" s="5">
        <v>34.119999999999997</v>
      </c>
      <c r="AO9" t="s">
        <v>1216</v>
      </c>
      <c r="AP9" s="83" t="s">
        <v>603</v>
      </c>
      <c r="AQ9" t="s">
        <v>1220</v>
      </c>
      <c r="AR9" t="s">
        <v>1217</v>
      </c>
      <c r="AS9" t="s">
        <v>1227</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37"/>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7"/>
      <c r="AH10" s="538"/>
      <c r="AI10" t="s">
        <v>358</v>
      </c>
      <c r="AJ10" t="s">
        <v>1204</v>
      </c>
      <c r="AK10" s="12">
        <v>46008</v>
      </c>
      <c r="AM10" t="s">
        <v>1219</v>
      </c>
      <c r="AN10" s="5">
        <v>33.67</v>
      </c>
      <c r="AO10" t="s">
        <v>1216</v>
      </c>
      <c r="AP10" s="83" t="s">
        <v>603</v>
      </c>
      <c r="AQ10" t="s">
        <v>1220</v>
      </c>
      <c r="AR10" t="s">
        <v>1217</v>
      </c>
      <c r="AS10" t="s">
        <v>1228</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37"/>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7"/>
      <c r="AH11" s="538"/>
      <c r="AI11" t="s">
        <v>358</v>
      </c>
      <c r="AJ11" t="s">
        <v>1204</v>
      </c>
      <c r="AK11" s="12">
        <v>46042</v>
      </c>
      <c r="AM11" t="s">
        <v>1219</v>
      </c>
      <c r="AN11" s="5">
        <v>65.849999999999994</v>
      </c>
      <c r="AO11" t="s">
        <v>1216</v>
      </c>
      <c r="AP11" s="83" t="s">
        <v>603</v>
      </c>
      <c r="AQ11" t="s">
        <v>1220</v>
      </c>
      <c r="AR11" t="s">
        <v>1217</v>
      </c>
      <c r="AS11" t="s">
        <v>1229</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37"/>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7"/>
      <c r="AH12" s="538"/>
      <c r="AI12" t="s">
        <v>358</v>
      </c>
      <c r="AJ12" t="s">
        <v>1204</v>
      </c>
      <c r="AK12" s="12">
        <v>46070</v>
      </c>
      <c r="AM12" t="s">
        <v>1219</v>
      </c>
      <c r="AN12" s="5">
        <v>169.01</v>
      </c>
      <c r="AO12" t="s">
        <v>1216</v>
      </c>
      <c r="AP12" s="83" t="s">
        <v>603</v>
      </c>
      <c r="AQ12" t="s">
        <v>1220</v>
      </c>
      <c r="AR12" t="s">
        <v>1217</v>
      </c>
      <c r="AS12" t="s">
        <v>1230</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37"/>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7"/>
      <c r="AH13" s="538"/>
      <c r="AI13" t="s">
        <v>358</v>
      </c>
      <c r="AJ13" t="s">
        <v>1204</v>
      </c>
      <c r="AK13" s="12">
        <v>46099</v>
      </c>
      <c r="AM13" t="s">
        <v>1219</v>
      </c>
      <c r="AN13" s="5">
        <v>80.64</v>
      </c>
      <c r="AO13" t="s">
        <v>1216</v>
      </c>
      <c r="AP13" s="83" t="s">
        <v>603</v>
      </c>
      <c r="AQ13" t="s">
        <v>1220</v>
      </c>
      <c r="AR13" t="s">
        <v>1217</v>
      </c>
      <c r="AS13" t="s">
        <v>1231</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37"/>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7"/>
      <c r="AH14" s="538"/>
      <c r="AI14" t="s">
        <v>358</v>
      </c>
      <c r="AJ14" t="s">
        <v>1204</v>
      </c>
      <c r="AK14" s="12">
        <v>46132</v>
      </c>
      <c r="AM14" t="s">
        <v>1219</v>
      </c>
      <c r="AN14" s="5">
        <v>60</v>
      </c>
      <c r="AO14" t="s">
        <v>1216</v>
      </c>
      <c r="AP14" s="83" t="s">
        <v>603</v>
      </c>
      <c r="AQ14" t="s">
        <v>1220</v>
      </c>
      <c r="AR14" t="s">
        <v>1217</v>
      </c>
      <c r="AS14" t="s">
        <v>1232</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37"/>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7"/>
      <c r="AH15" s="538"/>
      <c r="AI15" t="s">
        <v>358</v>
      </c>
      <c r="AJ15" t="s">
        <v>1204</v>
      </c>
      <c r="AK15" s="12">
        <v>46160</v>
      </c>
      <c r="AM15" t="s">
        <v>1219</v>
      </c>
      <c r="AN15" s="5">
        <v>51.1</v>
      </c>
      <c r="AO15" t="s">
        <v>1216</v>
      </c>
      <c r="AP15" s="83" t="s">
        <v>603</v>
      </c>
      <c r="AQ15" t="s">
        <v>1220</v>
      </c>
      <c r="AR15" t="s">
        <v>1217</v>
      </c>
      <c r="AS15" t="s">
        <v>1233</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37"/>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7"/>
      <c r="AH16" s="538"/>
      <c r="AI16" t="s">
        <v>358</v>
      </c>
      <c r="AJ16" t="s">
        <v>1204</v>
      </c>
      <c r="AK16" s="12">
        <v>46190.42</v>
      </c>
      <c r="AM16" t="s">
        <v>1219</v>
      </c>
      <c r="AN16" s="5">
        <v>0</v>
      </c>
      <c r="AO16" t="s">
        <v>1216</v>
      </c>
      <c r="AP16" s="83" t="s">
        <v>603</v>
      </c>
      <c r="AQ16" t="s">
        <v>1220</v>
      </c>
      <c r="AR16" t="s">
        <v>1217</v>
      </c>
      <c r="AS16" t="s">
        <v>1234</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37"/>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7"/>
      <c r="AH17" s="538"/>
      <c r="AI17" t="s">
        <v>358</v>
      </c>
      <c r="AJ17" t="s">
        <v>1204</v>
      </c>
      <c r="AK17" s="12">
        <v>46220.84</v>
      </c>
      <c r="AM17" t="s">
        <v>1219</v>
      </c>
      <c r="AN17" s="5">
        <v>0</v>
      </c>
      <c r="AO17" t="s">
        <v>1216</v>
      </c>
      <c r="AP17" s="83" t="s">
        <v>603</v>
      </c>
      <c r="AQ17" t="s">
        <v>1220</v>
      </c>
      <c r="AR17" t="s">
        <v>1217</v>
      </c>
      <c r="AS17" t="s">
        <v>1235</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37"/>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7"/>
      <c r="AH18" s="538"/>
      <c r="AI18" t="s">
        <v>358</v>
      </c>
      <c r="AJ18" t="s">
        <v>1204</v>
      </c>
      <c r="AK18" s="12">
        <v>46251.259999999995</v>
      </c>
      <c r="AM18" t="s">
        <v>1219</v>
      </c>
      <c r="AN18" s="5">
        <v>0</v>
      </c>
      <c r="AO18" t="s">
        <v>1216</v>
      </c>
      <c r="AP18" s="83" t="s">
        <v>603</v>
      </c>
      <c r="AQ18" t="s">
        <v>1220</v>
      </c>
      <c r="AR18" t="s">
        <v>1217</v>
      </c>
      <c r="AS18" t="s">
        <v>1236</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37"/>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7"/>
      <c r="AH19" s="538"/>
      <c r="AI19" t="s">
        <v>358</v>
      </c>
      <c r="AJ19" t="s">
        <v>1204</v>
      </c>
      <c r="AK19" s="12">
        <v>46281.679999999993</v>
      </c>
      <c r="AM19" t="s">
        <v>1219</v>
      </c>
      <c r="AN19" s="5">
        <v>0</v>
      </c>
      <c r="AO19" t="s">
        <v>1216</v>
      </c>
      <c r="AP19" s="83" t="s">
        <v>603</v>
      </c>
      <c r="AQ19" t="s">
        <v>1220</v>
      </c>
      <c r="AR19" t="s">
        <v>1217</v>
      </c>
      <c r="AS19" t="s">
        <v>1237</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37"/>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7"/>
      <c r="AH20" s="538"/>
      <c r="AI20" t="s">
        <v>358</v>
      </c>
      <c r="AJ20" t="s">
        <v>1204</v>
      </c>
      <c r="AK20" s="12">
        <v>46312.099999999991</v>
      </c>
      <c r="AM20" t="s">
        <v>1219</v>
      </c>
      <c r="AN20" s="5">
        <v>0</v>
      </c>
      <c r="AO20" t="s">
        <v>1216</v>
      </c>
      <c r="AP20" s="83" t="s">
        <v>603</v>
      </c>
      <c r="AQ20" t="s">
        <v>1220</v>
      </c>
      <c r="AR20" t="s">
        <v>1217</v>
      </c>
      <c r="AS20" t="s">
        <v>1238</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37"/>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7"/>
      <c r="AH21" s="538"/>
      <c r="AI21" t="s">
        <v>358</v>
      </c>
      <c r="AJ21" t="s">
        <v>1204</v>
      </c>
      <c r="AK21" s="12">
        <v>46342.51999999999</v>
      </c>
      <c r="AM21" t="s">
        <v>1219</v>
      </c>
      <c r="AN21" s="5">
        <v>0</v>
      </c>
      <c r="AO21" t="s">
        <v>1216</v>
      </c>
      <c r="AP21" s="83" t="s">
        <v>603</v>
      </c>
      <c r="AQ21" t="s">
        <v>1220</v>
      </c>
      <c r="AR21" t="s">
        <v>1217</v>
      </c>
      <c r="AS21" t="s">
        <v>1239</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37"/>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7"/>
      <c r="AH22" s="538"/>
      <c r="AI22" t="s">
        <v>358</v>
      </c>
      <c r="AJ22" t="s">
        <v>1218</v>
      </c>
      <c r="AK22" s="12">
        <v>45902</v>
      </c>
      <c r="AM22" t="s">
        <v>1219</v>
      </c>
      <c r="AN22" s="5">
        <v>1968.32</v>
      </c>
      <c r="AO22" t="s">
        <v>1216</v>
      </c>
      <c r="AP22" s="83" t="s">
        <v>603</v>
      </c>
      <c r="AQ22" t="s">
        <v>1220</v>
      </c>
      <c r="AR22" t="s">
        <v>1217</v>
      </c>
      <c r="AS22" t="s">
        <v>1240</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7"/>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7"/>
      <c r="AH23" s="538"/>
      <c r="AI23" t="s">
        <v>358</v>
      </c>
      <c r="AJ23" t="s">
        <v>1218</v>
      </c>
      <c r="AK23" s="12">
        <v>45902</v>
      </c>
      <c r="AM23" t="s">
        <v>1219</v>
      </c>
      <c r="AN23" s="5">
        <v>1120.77</v>
      </c>
      <c r="AO23" t="s">
        <v>1216</v>
      </c>
      <c r="AP23" s="83" t="s">
        <v>603</v>
      </c>
      <c r="AQ23" t="s">
        <v>1220</v>
      </c>
      <c r="AR23" t="s">
        <v>1217</v>
      </c>
      <c r="AS23" t="s">
        <v>1241</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9"/>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2"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9"/>
      <c r="AH24" s="538"/>
      <c r="AI24" t="s">
        <v>358</v>
      </c>
      <c r="AJ24" t="s">
        <v>1218</v>
      </c>
      <c r="AK24" s="12">
        <v>45932.42</v>
      </c>
      <c r="AM24" t="s">
        <v>1219</v>
      </c>
      <c r="AN24" s="5">
        <v>984.16</v>
      </c>
      <c r="AO24" t="s">
        <v>1216</v>
      </c>
      <c r="AP24" s="83" t="s">
        <v>603</v>
      </c>
      <c r="AQ24" t="s">
        <v>1220</v>
      </c>
      <c r="AR24" t="s">
        <v>1217</v>
      </c>
      <c r="AS24" t="s">
        <v>1242</v>
      </c>
    </row>
    <row r="25" spans="1:45" ht="15.75" customHeight="1" thickBot="1">
      <c r="A25" s="23"/>
      <c r="B25" s="750">
        <f>SUMIFS(tblCarryingExpenses[Amount],tblCarryingExpenses[Category],IF(A1="Mortgage Payment paid after Reinstatement","Mortgage Payment",A1),tblCarryingExpenses[Include],"Yes")</f>
        <v>963.11</v>
      </c>
      <c r="C25" s="751"/>
      <c r="D25" s="23"/>
      <c r="E25" s="750">
        <f>SUMIFS(tblCarryingExpenses[Amount],tblCarryingExpenses[Category],IF(D1="Mortgage Payment paid after Reinstatement","Mortgage Payment",D1),tblCarryingExpenses[Include],"Yes")</f>
        <v>12150.119999999999</v>
      </c>
      <c r="F25" s="752"/>
      <c r="G25" s="540"/>
      <c r="H25" s="750">
        <f>SUMIFS(tblCarryingExpenses[Amount],tblCarryingExpenses[Category],IF(G1="Mortgage Payment paid after Reinstatement","Mortgage Payment",G1),tblCarryingExpenses[Include],"Yes")</f>
        <v>0</v>
      </c>
      <c r="I25" s="751"/>
      <c r="J25" s="540"/>
      <c r="K25" s="750">
        <f>SUMIFS(tblCarryingExpenses[Amount],tblCarryingExpenses[Category],IF(J1="Mortgage Payment paid after Reinstatement","Mortgage Payment",J1),tblCarryingExpenses[Include],"Yes")</f>
        <v>0</v>
      </c>
      <c r="L25" s="751"/>
      <c r="M25" s="540"/>
      <c r="N25" s="750">
        <f>SUMIFS(tblCarryingExpenses[Amount],tblCarryingExpenses[Category],IF(M1="Mortgage Payment paid after Reinstatement","Mortgage Payment",M1),tblCarryingExpenses[Include],"Yes")</f>
        <v>0</v>
      </c>
      <c r="O25" s="751"/>
      <c r="P25" s="540"/>
      <c r="Q25" s="750">
        <f>SUMIFS(tblCarryingExpenses[Amount],tblCarryingExpenses[Category],IF(P1="Mortgage Payment paid after Reinstatement","Mortgage Payment",P1),tblCarryingExpenses[Include],"Yes")</f>
        <v>227.75</v>
      </c>
      <c r="R25" s="751"/>
      <c r="S25" s="540"/>
      <c r="T25" s="750">
        <f>SUMIFS(tblCarryingExpenses[Amount],tblCarryingExpenses[Category],IF(S1="Mortgage Payment paid after Reinstatement","Mortgage Payment",S1),tblCarryingExpenses[Include],"Yes")</f>
        <v>0</v>
      </c>
      <c r="U25" s="751"/>
      <c r="V25" s="540"/>
      <c r="W25" s="750">
        <f>SUMIFS(tblCarryingExpenses[Amount],tblCarryingExpenses[Category],IF(V1="Mortgage Payment paid after Reinstatement","Mortgage Payment",V1),tblCarryingExpenses[Include],"Yes")</f>
        <v>0</v>
      </c>
      <c r="X25" s="751"/>
      <c r="Y25" s="540"/>
      <c r="Z25" s="750">
        <f>SUM(Z4:AA23)</f>
        <v>0</v>
      </c>
      <c r="AA25" s="751"/>
      <c r="AB25" s="540"/>
      <c r="AC25" s="750">
        <f>SUMIFS(tblCarryingExpenses[Amount],tblCarryingExpenses[Category],IF(AB1="Mortgage Payment paid after Reinstatement","Mortgage Payment",AB1),tblCarryingExpenses[Include],"Yes")</f>
        <v>0</v>
      </c>
      <c r="AD25" s="751"/>
      <c r="AE25" s="540"/>
      <c r="AF25" s="750">
        <f>SUMIFS(tblCarryingExpenses[Amount],tblCarryingExpenses[Category],IF(AE1="Mortgage Payment paid after Reinstatement","Mortgage Payment",AE1),tblCarryingExpenses[Include],"Yes")</f>
        <v>0</v>
      </c>
      <c r="AG25" s="751"/>
      <c r="AH25" s="5"/>
      <c r="AI25" t="s">
        <v>358</v>
      </c>
      <c r="AJ25" t="s">
        <v>1218</v>
      </c>
      <c r="AK25" s="12">
        <v>45932</v>
      </c>
      <c r="AM25" t="s">
        <v>1219</v>
      </c>
      <c r="AN25" s="5">
        <v>1120.77</v>
      </c>
      <c r="AO25" t="s">
        <v>1216</v>
      </c>
      <c r="AP25" s="83" t="s">
        <v>603</v>
      </c>
      <c r="AQ25" t="s">
        <v>1220</v>
      </c>
      <c r="AR25" t="s">
        <v>1217</v>
      </c>
      <c r="AS25" t="s">
        <v>1243</v>
      </c>
    </row>
    <row r="26" spans="1:45" ht="15" customHeight="1">
      <c r="AI26" t="s">
        <v>358</v>
      </c>
      <c r="AJ26" t="s">
        <v>1218</v>
      </c>
      <c r="AK26" s="12">
        <v>45962.42</v>
      </c>
      <c r="AM26" t="s">
        <v>1219</v>
      </c>
      <c r="AN26" s="5">
        <v>984.16</v>
      </c>
      <c r="AO26" t="s">
        <v>1216</v>
      </c>
      <c r="AP26" s="83" t="s">
        <v>603</v>
      </c>
      <c r="AQ26" t="s">
        <v>1220</v>
      </c>
      <c r="AR26" t="s">
        <v>1217</v>
      </c>
      <c r="AS26" t="s">
        <v>1244</v>
      </c>
    </row>
    <row r="27" spans="1:45" ht="15" customHeight="1">
      <c r="AI27" t="s">
        <v>358</v>
      </c>
      <c r="AJ27" t="s">
        <v>1218</v>
      </c>
      <c r="AK27" s="12">
        <v>45992.84</v>
      </c>
      <c r="AM27" t="s">
        <v>1219</v>
      </c>
      <c r="AN27" s="5">
        <v>984.16</v>
      </c>
      <c r="AO27" t="s">
        <v>1216</v>
      </c>
      <c r="AP27" s="83" t="s">
        <v>603</v>
      </c>
      <c r="AQ27" t="s">
        <v>1220</v>
      </c>
      <c r="AR27" t="s">
        <v>1217</v>
      </c>
      <c r="AS27" t="s">
        <v>1245</v>
      </c>
    </row>
    <row r="28" spans="1:45" ht="15" customHeight="1">
      <c r="AI28" t="s">
        <v>358</v>
      </c>
      <c r="AJ28" t="s">
        <v>1218</v>
      </c>
      <c r="AK28" s="12">
        <v>46023.259999999995</v>
      </c>
      <c r="AM28" t="s">
        <v>1219</v>
      </c>
      <c r="AN28" s="5">
        <v>984.16</v>
      </c>
      <c r="AO28" t="s">
        <v>1216</v>
      </c>
      <c r="AP28" s="83" t="s">
        <v>603</v>
      </c>
      <c r="AQ28" t="s">
        <v>1220</v>
      </c>
      <c r="AR28" t="s">
        <v>1217</v>
      </c>
      <c r="AS28" t="s">
        <v>1246</v>
      </c>
    </row>
    <row r="29" spans="1:45" ht="15" customHeight="1">
      <c r="AI29" t="s">
        <v>358</v>
      </c>
      <c r="AJ29" t="s">
        <v>1218</v>
      </c>
      <c r="AK29" s="12">
        <v>46053.679999999993</v>
      </c>
      <c r="AM29" t="s">
        <v>1219</v>
      </c>
      <c r="AN29" s="5">
        <v>984.16</v>
      </c>
      <c r="AO29" t="s">
        <v>1216</v>
      </c>
      <c r="AP29" s="83" t="s">
        <v>603</v>
      </c>
      <c r="AQ29" t="s">
        <v>1220</v>
      </c>
      <c r="AR29" t="s">
        <v>1217</v>
      </c>
      <c r="AS29" t="s">
        <v>1247</v>
      </c>
    </row>
    <row r="30" spans="1:45" ht="15" customHeight="1">
      <c r="AI30" t="s">
        <v>358</v>
      </c>
      <c r="AJ30" t="s">
        <v>1218</v>
      </c>
      <c r="AK30" s="12">
        <v>46084.099999999991</v>
      </c>
      <c r="AM30" t="s">
        <v>1219</v>
      </c>
      <c r="AN30" s="5">
        <v>984.16</v>
      </c>
      <c r="AO30" t="s">
        <v>1216</v>
      </c>
      <c r="AP30" s="83" t="s">
        <v>603</v>
      </c>
      <c r="AQ30" t="s">
        <v>1220</v>
      </c>
      <c r="AR30" t="s">
        <v>1217</v>
      </c>
      <c r="AS30" t="s">
        <v>1248</v>
      </c>
    </row>
    <row r="31" spans="1:45" ht="15" customHeight="1">
      <c r="AI31" t="s">
        <v>358</v>
      </c>
      <c r="AJ31" t="s">
        <v>1218</v>
      </c>
      <c r="AK31" s="12">
        <v>46114.51999999999</v>
      </c>
      <c r="AM31" t="s">
        <v>1219</v>
      </c>
      <c r="AN31" s="5">
        <v>1017.65</v>
      </c>
      <c r="AO31" t="s">
        <v>1216</v>
      </c>
      <c r="AP31" s="83" t="s">
        <v>603</v>
      </c>
      <c r="AQ31" t="s">
        <v>1220</v>
      </c>
      <c r="AR31" t="s">
        <v>1217</v>
      </c>
      <c r="AS31" t="s">
        <v>1249</v>
      </c>
    </row>
    <row r="32" spans="1:45" ht="15" customHeight="1">
      <c r="AI32" t="s">
        <v>358</v>
      </c>
      <c r="AJ32" t="s">
        <v>1218</v>
      </c>
      <c r="AK32" s="12">
        <v>46144.939999999988</v>
      </c>
      <c r="AM32" t="s">
        <v>1219</v>
      </c>
      <c r="AN32" s="5">
        <v>1017.65</v>
      </c>
      <c r="AO32" t="s">
        <v>1216</v>
      </c>
      <c r="AP32" s="83" t="s">
        <v>603</v>
      </c>
      <c r="AQ32" t="s">
        <v>1220</v>
      </c>
      <c r="AR32" t="s">
        <v>1217</v>
      </c>
      <c r="AS32" t="s">
        <v>1250</v>
      </c>
    </row>
    <row r="33" spans="35:45" ht="15" customHeight="1">
      <c r="AI33" t="s">
        <v>358</v>
      </c>
      <c r="AJ33" t="s">
        <v>1218</v>
      </c>
      <c r="AK33" s="12">
        <v>46175.359999999986</v>
      </c>
      <c r="AM33" t="s">
        <v>1219</v>
      </c>
      <c r="AN33" s="5">
        <v>0</v>
      </c>
      <c r="AO33" t="s">
        <v>1216</v>
      </c>
      <c r="AP33" s="83" t="s">
        <v>603</v>
      </c>
      <c r="AQ33" t="s">
        <v>1220</v>
      </c>
      <c r="AR33" t="s">
        <v>1217</v>
      </c>
      <c r="AS33" t="s">
        <v>1251</v>
      </c>
    </row>
    <row r="34" spans="35:45" ht="15" customHeight="1">
      <c r="AI34" t="s">
        <v>358</v>
      </c>
      <c r="AJ34" t="s">
        <v>1218</v>
      </c>
      <c r="AK34" s="12">
        <v>46205.779999999984</v>
      </c>
      <c r="AM34" t="s">
        <v>1219</v>
      </c>
      <c r="AN34" s="5">
        <v>0</v>
      </c>
      <c r="AO34" t="s">
        <v>1216</v>
      </c>
      <c r="AP34" s="83" t="s">
        <v>603</v>
      </c>
      <c r="AQ34" t="s">
        <v>1220</v>
      </c>
      <c r="AR34" t="s">
        <v>1217</v>
      </c>
      <c r="AS34" t="s">
        <v>1252</v>
      </c>
    </row>
    <row r="35" spans="35:45" ht="15" customHeight="1">
      <c r="AI35" t="s">
        <v>358</v>
      </c>
      <c r="AJ35" t="s">
        <v>1218</v>
      </c>
      <c r="AK35" s="12">
        <v>46236.199999999983</v>
      </c>
      <c r="AM35" t="s">
        <v>1219</v>
      </c>
      <c r="AN35" s="5">
        <v>0</v>
      </c>
      <c r="AO35" t="s">
        <v>1216</v>
      </c>
      <c r="AP35" s="83" t="s">
        <v>603</v>
      </c>
      <c r="AQ35" t="s">
        <v>1220</v>
      </c>
      <c r="AR35" t="s">
        <v>1217</v>
      </c>
      <c r="AS35" t="s">
        <v>1253</v>
      </c>
    </row>
    <row r="36" spans="35:45" ht="15" customHeight="1">
      <c r="AI36" t="s">
        <v>358</v>
      </c>
      <c r="AJ36" t="s">
        <v>1218</v>
      </c>
      <c r="AK36" s="12">
        <v>46266.619999999981</v>
      </c>
      <c r="AM36" t="s">
        <v>1219</v>
      </c>
      <c r="AN36" s="5">
        <v>0</v>
      </c>
      <c r="AO36" t="s">
        <v>1216</v>
      </c>
      <c r="AP36" s="83" t="s">
        <v>603</v>
      </c>
      <c r="AQ36" t="s">
        <v>1220</v>
      </c>
      <c r="AR36" t="s">
        <v>1217</v>
      </c>
      <c r="AS36" t="s">
        <v>1254</v>
      </c>
    </row>
    <row r="37" spans="35:45" ht="15" customHeight="1">
      <c r="AI37" t="s">
        <v>358</v>
      </c>
      <c r="AJ37" t="s">
        <v>1218</v>
      </c>
      <c r="AK37" s="12">
        <v>46297.039999999979</v>
      </c>
      <c r="AM37" t="s">
        <v>1219</v>
      </c>
      <c r="AN37" s="5">
        <v>0</v>
      </c>
      <c r="AO37" t="s">
        <v>1216</v>
      </c>
      <c r="AP37" s="83" t="s">
        <v>603</v>
      </c>
      <c r="AQ37" t="s">
        <v>1220</v>
      </c>
      <c r="AR37" t="s">
        <v>1217</v>
      </c>
      <c r="AS37" t="s">
        <v>1255</v>
      </c>
    </row>
    <row r="38" spans="35:45" ht="15" customHeight="1">
      <c r="AI38" t="s">
        <v>358</v>
      </c>
      <c r="AJ38" t="s">
        <v>1218</v>
      </c>
      <c r="AK38" s="12">
        <v>46327.459999999977</v>
      </c>
      <c r="AM38" t="s">
        <v>1219</v>
      </c>
      <c r="AN38" s="5">
        <v>0</v>
      </c>
      <c r="AO38" t="s">
        <v>1216</v>
      </c>
      <c r="AP38" s="83" t="s">
        <v>603</v>
      </c>
      <c r="AQ38" t="s">
        <v>1220</v>
      </c>
      <c r="AR38" t="s">
        <v>1217</v>
      </c>
      <c r="AS38" t="s">
        <v>1256</v>
      </c>
    </row>
    <row r="39" spans="35:45" ht="15" customHeight="1">
      <c r="AI39" t="s">
        <v>358</v>
      </c>
      <c r="AJ39" t="s">
        <v>1218</v>
      </c>
      <c r="AK39" s="12">
        <v>46357.879999999976</v>
      </c>
      <c r="AM39" t="s">
        <v>1219</v>
      </c>
      <c r="AN39" s="5">
        <v>0</v>
      </c>
      <c r="AO39" t="s">
        <v>1216</v>
      </c>
      <c r="AP39" s="83" t="s">
        <v>603</v>
      </c>
      <c r="AQ39" t="s">
        <v>1220</v>
      </c>
      <c r="AR39" t="s">
        <v>1217</v>
      </c>
      <c r="AS39" t="s">
        <v>1257</v>
      </c>
    </row>
    <row r="40" spans="35:45" ht="15" customHeight="1">
      <c r="AI40" t="s">
        <v>358</v>
      </c>
      <c r="AJ40" t="s">
        <v>1218</v>
      </c>
      <c r="AK40" s="12">
        <v>46388.299999999974</v>
      </c>
      <c r="AM40" t="s">
        <v>1219</v>
      </c>
      <c r="AN40" s="5">
        <v>0</v>
      </c>
      <c r="AO40" t="s">
        <v>1216</v>
      </c>
      <c r="AP40" s="83" t="s">
        <v>603</v>
      </c>
      <c r="AQ40" t="s">
        <v>1220</v>
      </c>
      <c r="AR40" t="s">
        <v>1217</v>
      </c>
      <c r="AS40" t="s">
        <v>1258</v>
      </c>
    </row>
    <row r="41" spans="35:45" ht="15" customHeight="1">
      <c r="AI41" t="s">
        <v>358</v>
      </c>
      <c r="AJ41" t="s">
        <v>60</v>
      </c>
      <c r="AK41" s="12">
        <v>45823</v>
      </c>
      <c r="AM41" t="s">
        <v>1219</v>
      </c>
      <c r="AN41" s="5">
        <v>0</v>
      </c>
      <c r="AO41" t="s">
        <v>1216</v>
      </c>
      <c r="AP41" s="83" t="s">
        <v>603</v>
      </c>
      <c r="AQ41" t="s">
        <v>1220</v>
      </c>
      <c r="AR41" t="s">
        <v>1217</v>
      </c>
      <c r="AS41" t="s">
        <v>1259</v>
      </c>
    </row>
    <row r="42" spans="35:45" ht="15" customHeight="1">
      <c r="AI42" t="s">
        <v>358</v>
      </c>
      <c r="AJ42" t="s">
        <v>60</v>
      </c>
      <c r="AK42" s="12">
        <v>45853.42</v>
      </c>
      <c r="AM42" t="s">
        <v>1219</v>
      </c>
      <c r="AN42" s="5">
        <v>0</v>
      </c>
      <c r="AO42" t="s">
        <v>1216</v>
      </c>
      <c r="AP42" s="83" t="s">
        <v>603</v>
      </c>
      <c r="AQ42" t="s">
        <v>1220</v>
      </c>
      <c r="AR42" t="s">
        <v>1217</v>
      </c>
      <c r="AS42" t="s">
        <v>1260</v>
      </c>
    </row>
    <row r="43" spans="35:45" ht="15" customHeight="1">
      <c r="AI43" t="s">
        <v>358</v>
      </c>
      <c r="AJ43" t="s">
        <v>60</v>
      </c>
      <c r="AK43" s="12">
        <v>45883.839999999997</v>
      </c>
      <c r="AM43" t="s">
        <v>1219</v>
      </c>
      <c r="AN43" s="5">
        <v>0</v>
      </c>
      <c r="AO43" t="s">
        <v>1216</v>
      </c>
      <c r="AP43" s="83" t="s">
        <v>603</v>
      </c>
      <c r="AQ43" t="s">
        <v>1220</v>
      </c>
      <c r="AR43" t="s">
        <v>1217</v>
      </c>
      <c r="AS43" t="s">
        <v>1261</v>
      </c>
    </row>
    <row r="44" spans="35:45" ht="15" customHeight="1">
      <c r="AI44" t="s">
        <v>358</v>
      </c>
      <c r="AJ44" t="s">
        <v>60</v>
      </c>
      <c r="AK44" s="12">
        <v>45914.259999999995</v>
      </c>
      <c r="AM44" t="s">
        <v>1219</v>
      </c>
      <c r="AN44" s="5">
        <v>0</v>
      </c>
      <c r="AO44" t="s">
        <v>1216</v>
      </c>
      <c r="AP44" s="83" t="s">
        <v>603</v>
      </c>
      <c r="AQ44" t="s">
        <v>1220</v>
      </c>
      <c r="AR44" t="s">
        <v>1217</v>
      </c>
      <c r="AS44" t="s">
        <v>1262</v>
      </c>
    </row>
    <row r="45" spans="35:45" ht="15" customHeight="1">
      <c r="AI45" t="s">
        <v>358</v>
      </c>
      <c r="AJ45" t="s">
        <v>60</v>
      </c>
      <c r="AK45" s="12">
        <v>45944.679999999993</v>
      </c>
      <c r="AM45" t="s">
        <v>1219</v>
      </c>
      <c r="AN45" s="5">
        <v>0</v>
      </c>
      <c r="AO45" t="s">
        <v>1216</v>
      </c>
      <c r="AP45" s="83" t="s">
        <v>603</v>
      </c>
      <c r="AQ45" t="s">
        <v>1220</v>
      </c>
      <c r="AR45" t="s">
        <v>1217</v>
      </c>
      <c r="AS45" t="s">
        <v>1263</v>
      </c>
    </row>
    <row r="46" spans="35:45" ht="15" customHeight="1">
      <c r="AI46" t="s">
        <v>358</v>
      </c>
      <c r="AJ46" t="s">
        <v>60</v>
      </c>
      <c r="AK46" s="12">
        <v>45975.099999999991</v>
      </c>
      <c r="AM46" t="s">
        <v>1219</v>
      </c>
      <c r="AN46" s="5">
        <v>0</v>
      </c>
      <c r="AO46" t="s">
        <v>1216</v>
      </c>
      <c r="AP46" s="83" t="s">
        <v>603</v>
      </c>
      <c r="AQ46" t="s">
        <v>1220</v>
      </c>
      <c r="AR46" t="s">
        <v>1217</v>
      </c>
      <c r="AS46" t="s">
        <v>1264</v>
      </c>
    </row>
    <row r="47" spans="35:45" ht="15" customHeight="1">
      <c r="AI47" t="s">
        <v>358</v>
      </c>
      <c r="AJ47" t="s">
        <v>60</v>
      </c>
      <c r="AK47" s="12">
        <v>46005.51999999999</v>
      </c>
      <c r="AM47" t="s">
        <v>1219</v>
      </c>
      <c r="AN47" s="5">
        <v>0</v>
      </c>
      <c r="AO47" t="s">
        <v>1216</v>
      </c>
      <c r="AP47" s="83" t="s">
        <v>603</v>
      </c>
      <c r="AQ47" t="s">
        <v>1220</v>
      </c>
      <c r="AR47" t="s">
        <v>1217</v>
      </c>
      <c r="AS47" t="s">
        <v>1265</v>
      </c>
    </row>
    <row r="48" spans="35:45" ht="15" customHeight="1">
      <c r="AI48" t="s">
        <v>358</v>
      </c>
      <c r="AJ48" t="s">
        <v>60</v>
      </c>
      <c r="AK48" s="12">
        <v>46035.939999999988</v>
      </c>
      <c r="AM48" t="s">
        <v>1219</v>
      </c>
      <c r="AN48" s="5">
        <v>0</v>
      </c>
      <c r="AO48" t="s">
        <v>1216</v>
      </c>
      <c r="AP48" s="83" t="s">
        <v>603</v>
      </c>
      <c r="AQ48" t="s">
        <v>1220</v>
      </c>
      <c r="AR48" t="s">
        <v>1217</v>
      </c>
      <c r="AS48" t="s">
        <v>1266</v>
      </c>
    </row>
    <row r="49" spans="35:45" ht="15" customHeight="1">
      <c r="AI49" t="s">
        <v>358</v>
      </c>
      <c r="AJ49" t="s">
        <v>60</v>
      </c>
      <c r="AK49" s="12">
        <v>46066.359999999986</v>
      </c>
      <c r="AM49" t="s">
        <v>1219</v>
      </c>
      <c r="AN49" s="5">
        <v>0</v>
      </c>
      <c r="AO49" t="s">
        <v>1216</v>
      </c>
      <c r="AP49" s="83" t="s">
        <v>603</v>
      </c>
      <c r="AQ49" t="s">
        <v>1220</v>
      </c>
      <c r="AR49" t="s">
        <v>1217</v>
      </c>
      <c r="AS49" t="s">
        <v>1267</v>
      </c>
    </row>
    <row r="50" spans="35:45" ht="15" customHeight="1">
      <c r="AI50" t="s">
        <v>358</v>
      </c>
      <c r="AJ50" t="s">
        <v>60</v>
      </c>
      <c r="AK50" s="12">
        <v>46096.779999999984</v>
      </c>
      <c r="AM50" t="s">
        <v>1219</v>
      </c>
      <c r="AN50" s="5">
        <v>0</v>
      </c>
      <c r="AO50" t="s">
        <v>1216</v>
      </c>
      <c r="AP50" s="83" t="s">
        <v>603</v>
      </c>
      <c r="AQ50" t="s">
        <v>1220</v>
      </c>
      <c r="AR50" t="s">
        <v>1217</v>
      </c>
      <c r="AS50" t="s">
        <v>1268</v>
      </c>
    </row>
    <row r="51" spans="35:45" ht="15" customHeight="1">
      <c r="AI51" t="s">
        <v>358</v>
      </c>
      <c r="AJ51" t="s">
        <v>60</v>
      </c>
      <c r="AK51" s="12">
        <v>46127.199999999983</v>
      </c>
      <c r="AM51" t="s">
        <v>1219</v>
      </c>
      <c r="AN51" s="5">
        <v>0</v>
      </c>
      <c r="AO51" t="s">
        <v>1216</v>
      </c>
      <c r="AP51" s="83" t="s">
        <v>603</v>
      </c>
      <c r="AQ51" t="s">
        <v>1220</v>
      </c>
      <c r="AR51" t="s">
        <v>1217</v>
      </c>
      <c r="AS51" t="s">
        <v>1269</v>
      </c>
    </row>
    <row r="52" spans="35:45" ht="15" customHeight="1">
      <c r="AI52" t="s">
        <v>358</v>
      </c>
      <c r="AJ52" t="s">
        <v>60</v>
      </c>
      <c r="AK52" s="12">
        <v>46157.619999999981</v>
      </c>
      <c r="AM52" t="s">
        <v>1219</v>
      </c>
      <c r="AN52" s="5"/>
      <c r="AO52" t="s">
        <v>1216</v>
      </c>
      <c r="AP52" s="83" t="s">
        <v>603</v>
      </c>
      <c r="AQ52" t="s">
        <v>1220</v>
      </c>
      <c r="AR52" t="s">
        <v>1217</v>
      </c>
      <c r="AS52" t="s">
        <v>1270</v>
      </c>
    </row>
    <row r="53" spans="35:45" ht="15" customHeight="1">
      <c r="AI53" t="s">
        <v>358</v>
      </c>
      <c r="AJ53" t="s">
        <v>60</v>
      </c>
      <c r="AK53" s="12">
        <v>46188.039999999979</v>
      </c>
      <c r="AM53" t="s">
        <v>1219</v>
      </c>
      <c r="AN53" s="5"/>
      <c r="AO53" t="s">
        <v>1216</v>
      </c>
      <c r="AP53" s="83" t="s">
        <v>603</v>
      </c>
      <c r="AQ53" t="s">
        <v>1220</v>
      </c>
      <c r="AR53" t="s">
        <v>1217</v>
      </c>
      <c r="AS53" t="s">
        <v>1271</v>
      </c>
    </row>
    <row r="54" spans="35:45" ht="15" customHeight="1">
      <c r="AI54" t="s">
        <v>358</v>
      </c>
      <c r="AJ54" t="s">
        <v>60</v>
      </c>
      <c r="AK54" s="12">
        <v>46218.459999999977</v>
      </c>
      <c r="AM54" t="s">
        <v>1219</v>
      </c>
      <c r="AN54" s="5"/>
      <c r="AO54" t="s">
        <v>1216</v>
      </c>
      <c r="AP54" s="83" t="s">
        <v>603</v>
      </c>
      <c r="AQ54" t="s">
        <v>1220</v>
      </c>
      <c r="AR54" t="s">
        <v>1217</v>
      </c>
      <c r="AS54" t="s">
        <v>1272</v>
      </c>
    </row>
    <row r="55" spans="35:45" ht="15" customHeight="1">
      <c r="AI55" t="s">
        <v>358</v>
      </c>
      <c r="AJ55" t="s">
        <v>60</v>
      </c>
      <c r="AK55" s="12">
        <v>46248.879999999976</v>
      </c>
      <c r="AM55" t="s">
        <v>1219</v>
      </c>
      <c r="AN55" s="5"/>
      <c r="AO55" t="s">
        <v>1216</v>
      </c>
      <c r="AP55" s="83" t="s">
        <v>603</v>
      </c>
      <c r="AQ55" t="s">
        <v>1220</v>
      </c>
      <c r="AR55" t="s">
        <v>1217</v>
      </c>
      <c r="AS55" t="s">
        <v>1273</v>
      </c>
    </row>
    <row r="56" spans="35:45" ht="15" customHeight="1">
      <c r="AI56" t="s">
        <v>358</v>
      </c>
      <c r="AJ56" t="s">
        <v>60</v>
      </c>
      <c r="AK56" s="12">
        <v>46279.299999999974</v>
      </c>
      <c r="AM56" t="s">
        <v>1219</v>
      </c>
      <c r="AN56" s="5"/>
      <c r="AO56" t="s">
        <v>1216</v>
      </c>
      <c r="AP56" s="83" t="s">
        <v>603</v>
      </c>
      <c r="AQ56" t="s">
        <v>1220</v>
      </c>
      <c r="AR56" t="s">
        <v>1217</v>
      </c>
      <c r="AS56" t="s">
        <v>1274</v>
      </c>
    </row>
    <row r="57" spans="35:45" ht="15" customHeight="1">
      <c r="AI57" t="s">
        <v>358</v>
      </c>
      <c r="AJ57" t="s">
        <v>60</v>
      </c>
      <c r="AK57" s="12">
        <v>46309.719999999972</v>
      </c>
      <c r="AM57" t="s">
        <v>1219</v>
      </c>
      <c r="AN57" s="5"/>
      <c r="AO57" t="s">
        <v>1216</v>
      </c>
      <c r="AP57" s="83" t="s">
        <v>603</v>
      </c>
      <c r="AQ57" t="s">
        <v>1220</v>
      </c>
      <c r="AR57" t="s">
        <v>1217</v>
      </c>
      <c r="AS57" t="s">
        <v>1275</v>
      </c>
    </row>
    <row r="58" spans="35:45" ht="15" customHeight="1">
      <c r="AI58" t="s">
        <v>358</v>
      </c>
      <c r="AJ58" t="s">
        <v>60</v>
      </c>
      <c r="AK58" s="12">
        <v>46340.13999999997</v>
      </c>
      <c r="AM58" t="s">
        <v>1219</v>
      </c>
      <c r="AN58" s="5"/>
      <c r="AO58" t="s">
        <v>1216</v>
      </c>
      <c r="AP58" s="83" t="s">
        <v>603</v>
      </c>
      <c r="AQ58" t="s">
        <v>1220</v>
      </c>
      <c r="AR58" t="s">
        <v>1217</v>
      </c>
      <c r="AS58" t="s">
        <v>1276</v>
      </c>
    </row>
    <row r="59" spans="35:45" ht="15" customHeight="1">
      <c r="AI59" t="s">
        <v>358</v>
      </c>
      <c r="AJ59" t="s">
        <v>60</v>
      </c>
      <c r="AK59" s="12">
        <v>46370.559999999969</v>
      </c>
      <c r="AM59" t="s">
        <v>1219</v>
      </c>
      <c r="AN59" s="5"/>
      <c r="AO59" t="s">
        <v>1216</v>
      </c>
      <c r="AP59" s="83" t="s">
        <v>603</v>
      </c>
      <c r="AQ59" t="s">
        <v>1220</v>
      </c>
      <c r="AR59" t="s">
        <v>1217</v>
      </c>
      <c r="AS59" t="s">
        <v>1277</v>
      </c>
    </row>
    <row r="60" spans="35:45" ht="15" customHeight="1">
      <c r="AI60" t="s">
        <v>358</v>
      </c>
      <c r="AJ60" t="s">
        <v>424</v>
      </c>
      <c r="AK60" s="12">
        <v>45823</v>
      </c>
      <c r="AM60" t="s">
        <v>1219</v>
      </c>
      <c r="AN60" s="5">
        <v>0</v>
      </c>
      <c r="AO60" t="s">
        <v>1216</v>
      </c>
      <c r="AP60" s="83" t="s">
        <v>603</v>
      </c>
      <c r="AQ60" t="s">
        <v>1220</v>
      </c>
      <c r="AR60" t="s">
        <v>1217</v>
      </c>
      <c r="AS60" t="s">
        <v>1278</v>
      </c>
    </row>
    <row r="61" spans="35:45" ht="15" customHeight="1">
      <c r="AI61" t="s">
        <v>358</v>
      </c>
      <c r="AJ61" t="s">
        <v>424</v>
      </c>
      <c r="AK61" s="12">
        <v>45853.42</v>
      </c>
      <c r="AM61" t="s">
        <v>1219</v>
      </c>
      <c r="AN61" s="5">
        <v>0</v>
      </c>
      <c r="AO61" t="s">
        <v>1216</v>
      </c>
      <c r="AP61" s="83" t="s">
        <v>603</v>
      </c>
      <c r="AQ61" t="s">
        <v>1220</v>
      </c>
      <c r="AR61" t="s">
        <v>1217</v>
      </c>
      <c r="AS61" t="s">
        <v>1279</v>
      </c>
    </row>
    <row r="62" spans="35:45" ht="15" customHeight="1">
      <c r="AI62" t="s">
        <v>358</v>
      </c>
      <c r="AJ62" t="s">
        <v>424</v>
      </c>
      <c r="AK62" s="12">
        <v>45883.839999999997</v>
      </c>
      <c r="AM62" t="s">
        <v>1219</v>
      </c>
      <c r="AN62" s="5">
        <v>0</v>
      </c>
      <c r="AO62" t="s">
        <v>1216</v>
      </c>
      <c r="AP62" s="83" t="s">
        <v>603</v>
      </c>
      <c r="AQ62" t="s">
        <v>1220</v>
      </c>
      <c r="AR62" t="s">
        <v>1217</v>
      </c>
      <c r="AS62" t="s">
        <v>1280</v>
      </c>
    </row>
    <row r="63" spans="35:45" ht="15" customHeight="1">
      <c r="AI63" t="s">
        <v>358</v>
      </c>
      <c r="AJ63" t="s">
        <v>424</v>
      </c>
      <c r="AK63" s="12">
        <v>45914.259999999995</v>
      </c>
      <c r="AM63" t="s">
        <v>1219</v>
      </c>
      <c r="AN63" s="5">
        <v>0</v>
      </c>
      <c r="AO63" t="s">
        <v>1216</v>
      </c>
      <c r="AP63" s="83" t="s">
        <v>603</v>
      </c>
      <c r="AQ63" t="s">
        <v>1220</v>
      </c>
      <c r="AR63" t="s">
        <v>1217</v>
      </c>
      <c r="AS63" t="s">
        <v>1281</v>
      </c>
    </row>
    <row r="64" spans="35:45" ht="15" customHeight="1">
      <c r="AI64" t="s">
        <v>358</v>
      </c>
      <c r="AJ64" t="s">
        <v>424</v>
      </c>
      <c r="AK64" s="12">
        <v>45944.679999999993</v>
      </c>
      <c r="AM64" t="s">
        <v>1219</v>
      </c>
      <c r="AN64" s="5">
        <v>0</v>
      </c>
      <c r="AO64" t="s">
        <v>1216</v>
      </c>
      <c r="AP64" s="83" t="s">
        <v>603</v>
      </c>
      <c r="AQ64" t="s">
        <v>1220</v>
      </c>
      <c r="AR64" t="s">
        <v>1217</v>
      </c>
      <c r="AS64" t="s">
        <v>1282</v>
      </c>
    </row>
    <row r="65" spans="35:45" ht="15" customHeight="1">
      <c r="AI65" t="s">
        <v>358</v>
      </c>
      <c r="AJ65" t="s">
        <v>424</v>
      </c>
      <c r="AK65" s="12">
        <v>45975.099999999991</v>
      </c>
      <c r="AM65" t="s">
        <v>1219</v>
      </c>
      <c r="AN65" s="5">
        <v>0</v>
      </c>
      <c r="AO65" t="s">
        <v>1216</v>
      </c>
      <c r="AP65" s="83" t="s">
        <v>603</v>
      </c>
      <c r="AQ65" t="s">
        <v>1220</v>
      </c>
      <c r="AR65" t="s">
        <v>1217</v>
      </c>
      <c r="AS65" t="s">
        <v>1283</v>
      </c>
    </row>
    <row r="66" spans="35:45" ht="15" customHeight="1">
      <c r="AI66" t="s">
        <v>358</v>
      </c>
      <c r="AJ66" t="s">
        <v>424</v>
      </c>
      <c r="AK66" s="12">
        <v>46005.51999999999</v>
      </c>
      <c r="AM66" t="s">
        <v>1219</v>
      </c>
      <c r="AN66" s="5">
        <v>0</v>
      </c>
      <c r="AO66" t="s">
        <v>1216</v>
      </c>
      <c r="AP66" s="83" t="s">
        <v>603</v>
      </c>
      <c r="AQ66" t="s">
        <v>1220</v>
      </c>
      <c r="AR66" t="s">
        <v>1217</v>
      </c>
      <c r="AS66" t="s">
        <v>1284</v>
      </c>
    </row>
    <row r="67" spans="35:45" ht="15" customHeight="1">
      <c r="AI67" t="s">
        <v>358</v>
      </c>
      <c r="AJ67" t="s">
        <v>424</v>
      </c>
      <c r="AK67" s="12">
        <v>46035.939999999988</v>
      </c>
      <c r="AM67" t="s">
        <v>1219</v>
      </c>
      <c r="AN67" s="5">
        <v>0</v>
      </c>
      <c r="AO67" t="s">
        <v>1216</v>
      </c>
      <c r="AP67" s="83" t="s">
        <v>603</v>
      </c>
      <c r="AQ67" t="s">
        <v>1220</v>
      </c>
      <c r="AR67" t="s">
        <v>1217</v>
      </c>
      <c r="AS67" t="s">
        <v>1285</v>
      </c>
    </row>
    <row r="68" spans="35:45" ht="15" customHeight="1">
      <c r="AI68" t="s">
        <v>358</v>
      </c>
      <c r="AJ68" t="s">
        <v>424</v>
      </c>
      <c r="AK68" s="12">
        <v>46066.359999999986</v>
      </c>
      <c r="AM68" t="s">
        <v>1219</v>
      </c>
      <c r="AN68" s="5">
        <v>0</v>
      </c>
      <c r="AO68" t="s">
        <v>1216</v>
      </c>
      <c r="AP68" s="83" t="s">
        <v>603</v>
      </c>
      <c r="AQ68" t="s">
        <v>1220</v>
      </c>
      <c r="AR68" t="s">
        <v>1217</v>
      </c>
      <c r="AS68" t="s">
        <v>1286</v>
      </c>
    </row>
    <row r="69" spans="35:45" ht="15" customHeight="1">
      <c r="AI69" t="s">
        <v>358</v>
      </c>
      <c r="AJ69" t="s">
        <v>424</v>
      </c>
      <c r="AK69" s="12">
        <v>46096.779999999984</v>
      </c>
      <c r="AM69" t="s">
        <v>1219</v>
      </c>
      <c r="AN69" s="5">
        <v>0</v>
      </c>
      <c r="AO69" t="s">
        <v>1216</v>
      </c>
      <c r="AP69" s="83" t="s">
        <v>603</v>
      </c>
      <c r="AQ69" t="s">
        <v>1220</v>
      </c>
      <c r="AR69" t="s">
        <v>1217</v>
      </c>
      <c r="AS69" t="s">
        <v>1287</v>
      </c>
    </row>
    <row r="70" spans="35:45" ht="15" customHeight="1">
      <c r="AI70" t="s">
        <v>358</v>
      </c>
      <c r="AJ70" t="s">
        <v>424</v>
      </c>
      <c r="AK70" s="12">
        <v>46127.199999999983</v>
      </c>
      <c r="AM70" t="s">
        <v>1219</v>
      </c>
      <c r="AN70" s="5">
        <v>0</v>
      </c>
      <c r="AO70" t="s">
        <v>1216</v>
      </c>
      <c r="AP70" s="83" t="s">
        <v>603</v>
      </c>
      <c r="AQ70" t="s">
        <v>1220</v>
      </c>
      <c r="AR70" t="s">
        <v>1217</v>
      </c>
      <c r="AS70" t="s">
        <v>1288</v>
      </c>
    </row>
    <row r="71" spans="35:45" ht="15" customHeight="1">
      <c r="AI71" t="s">
        <v>358</v>
      </c>
      <c r="AJ71" t="s">
        <v>424</v>
      </c>
      <c r="AK71" s="12">
        <v>46157.619999999981</v>
      </c>
      <c r="AM71" t="s">
        <v>1219</v>
      </c>
      <c r="AN71" s="5">
        <v>0</v>
      </c>
      <c r="AO71" t="s">
        <v>1216</v>
      </c>
      <c r="AP71" s="83" t="s">
        <v>603</v>
      </c>
      <c r="AQ71" t="s">
        <v>1220</v>
      </c>
      <c r="AR71" t="s">
        <v>1217</v>
      </c>
      <c r="AS71" t="s">
        <v>1289</v>
      </c>
    </row>
    <row r="72" spans="35:45" ht="15" customHeight="1">
      <c r="AI72" t="s">
        <v>358</v>
      </c>
      <c r="AJ72" t="s">
        <v>424</v>
      </c>
      <c r="AK72" s="12">
        <v>46188.039999999979</v>
      </c>
      <c r="AM72" t="s">
        <v>1219</v>
      </c>
      <c r="AN72" s="5">
        <v>0</v>
      </c>
      <c r="AO72" t="s">
        <v>1216</v>
      </c>
      <c r="AP72" s="83" t="s">
        <v>603</v>
      </c>
      <c r="AQ72" t="s">
        <v>1220</v>
      </c>
      <c r="AR72" t="s">
        <v>1217</v>
      </c>
      <c r="AS72" t="s">
        <v>1290</v>
      </c>
    </row>
    <row r="73" spans="35:45" ht="15" customHeight="1">
      <c r="AI73" t="s">
        <v>358</v>
      </c>
      <c r="AJ73" t="s">
        <v>424</v>
      </c>
      <c r="AK73" s="12">
        <v>46218.459999999977</v>
      </c>
      <c r="AM73" t="s">
        <v>1219</v>
      </c>
      <c r="AN73" s="5">
        <v>0</v>
      </c>
      <c r="AO73" t="s">
        <v>1216</v>
      </c>
      <c r="AP73" s="83" t="s">
        <v>603</v>
      </c>
      <c r="AQ73" t="s">
        <v>1220</v>
      </c>
      <c r="AR73" t="s">
        <v>1217</v>
      </c>
      <c r="AS73" t="s">
        <v>1291</v>
      </c>
    </row>
    <row r="74" spans="35:45" ht="15" customHeight="1">
      <c r="AI74" t="s">
        <v>358</v>
      </c>
      <c r="AJ74" t="s">
        <v>424</v>
      </c>
      <c r="AK74" s="12">
        <v>46248.879999999976</v>
      </c>
      <c r="AM74" t="s">
        <v>1219</v>
      </c>
      <c r="AN74" s="5">
        <v>0</v>
      </c>
      <c r="AO74" t="s">
        <v>1216</v>
      </c>
      <c r="AP74" s="83" t="s">
        <v>603</v>
      </c>
      <c r="AQ74" t="s">
        <v>1220</v>
      </c>
      <c r="AR74" t="s">
        <v>1217</v>
      </c>
      <c r="AS74" t="s">
        <v>1292</v>
      </c>
    </row>
    <row r="75" spans="35:45" ht="15" customHeight="1">
      <c r="AI75" t="s">
        <v>358</v>
      </c>
      <c r="AJ75" t="s">
        <v>424</v>
      </c>
      <c r="AK75" s="12">
        <v>46279.299999999974</v>
      </c>
      <c r="AM75" t="s">
        <v>1219</v>
      </c>
      <c r="AN75" s="5">
        <v>0</v>
      </c>
      <c r="AO75" t="s">
        <v>1216</v>
      </c>
      <c r="AP75" s="83" t="s">
        <v>603</v>
      </c>
      <c r="AQ75" t="s">
        <v>1220</v>
      </c>
      <c r="AR75" t="s">
        <v>1217</v>
      </c>
      <c r="AS75" t="s">
        <v>1293</v>
      </c>
    </row>
    <row r="76" spans="35:45" ht="15" customHeight="1">
      <c r="AI76" t="s">
        <v>358</v>
      </c>
      <c r="AJ76" t="s">
        <v>424</v>
      </c>
      <c r="AK76" s="12">
        <v>46309.719999999972</v>
      </c>
      <c r="AM76" t="s">
        <v>1219</v>
      </c>
      <c r="AN76" s="5">
        <v>0</v>
      </c>
      <c r="AO76" t="s">
        <v>1216</v>
      </c>
      <c r="AP76" s="83" t="s">
        <v>603</v>
      </c>
      <c r="AQ76" t="s">
        <v>1220</v>
      </c>
      <c r="AR76" t="s">
        <v>1217</v>
      </c>
      <c r="AS76" t="s">
        <v>1294</v>
      </c>
    </row>
    <row r="77" spans="35:45" ht="15" customHeight="1">
      <c r="AI77" t="s">
        <v>358</v>
      </c>
      <c r="AJ77" t="s">
        <v>424</v>
      </c>
      <c r="AK77" s="12">
        <v>46340.13999999997</v>
      </c>
      <c r="AM77" t="s">
        <v>1219</v>
      </c>
      <c r="AN77" s="5">
        <v>0</v>
      </c>
      <c r="AO77" t="s">
        <v>1216</v>
      </c>
      <c r="AP77" s="83" t="s">
        <v>603</v>
      </c>
      <c r="AQ77" t="s">
        <v>1220</v>
      </c>
      <c r="AR77" t="s">
        <v>1217</v>
      </c>
      <c r="AS77" t="s">
        <v>1295</v>
      </c>
    </row>
    <row r="78" spans="35:45" ht="15" customHeight="1">
      <c r="AI78" t="s">
        <v>358</v>
      </c>
      <c r="AJ78" t="s">
        <v>424</v>
      </c>
      <c r="AK78" s="12">
        <v>46370.559999999969</v>
      </c>
      <c r="AM78" t="s">
        <v>1219</v>
      </c>
      <c r="AN78" s="5">
        <v>0</v>
      </c>
      <c r="AO78" t="s">
        <v>1216</v>
      </c>
      <c r="AP78" s="83" t="s">
        <v>603</v>
      </c>
      <c r="AQ78" t="s">
        <v>1220</v>
      </c>
      <c r="AR78" t="s">
        <v>1217</v>
      </c>
      <c r="AS78" t="s">
        <v>1296</v>
      </c>
    </row>
    <row r="79" spans="35:45" ht="15" customHeight="1">
      <c r="AI79" t="s">
        <v>358</v>
      </c>
      <c r="AJ79" t="s">
        <v>1206</v>
      </c>
      <c r="AK79" s="12">
        <v>46035</v>
      </c>
      <c r="AM79" t="s">
        <v>1219</v>
      </c>
      <c r="AN79" s="5">
        <v>92.51</v>
      </c>
      <c r="AO79" t="s">
        <v>1216</v>
      </c>
      <c r="AP79" s="83" t="s">
        <v>603</v>
      </c>
      <c r="AQ79" t="s">
        <v>1220</v>
      </c>
      <c r="AR79" t="s">
        <v>1217</v>
      </c>
      <c r="AS79" t="s">
        <v>1297</v>
      </c>
    </row>
    <row r="80" spans="35:45" ht="15" customHeight="1">
      <c r="AI80" t="s">
        <v>358</v>
      </c>
      <c r="AJ80" t="s">
        <v>1206</v>
      </c>
      <c r="AK80" s="12">
        <v>46066</v>
      </c>
      <c r="AM80" t="s">
        <v>1219</v>
      </c>
      <c r="AN80" s="5">
        <v>44.74</v>
      </c>
      <c r="AO80" t="s">
        <v>1216</v>
      </c>
      <c r="AP80" s="83" t="s">
        <v>603</v>
      </c>
      <c r="AQ80" t="s">
        <v>1220</v>
      </c>
      <c r="AR80" t="s">
        <v>1217</v>
      </c>
      <c r="AS80" t="s">
        <v>1298</v>
      </c>
    </row>
    <row r="81" spans="35:45" ht="15" customHeight="1">
      <c r="AI81" t="s">
        <v>358</v>
      </c>
      <c r="AJ81" t="s">
        <v>1206</v>
      </c>
      <c r="AK81" s="12">
        <v>46097</v>
      </c>
      <c r="AM81" t="s">
        <v>1219</v>
      </c>
      <c r="AN81" s="5">
        <v>30.34</v>
      </c>
      <c r="AO81" t="s">
        <v>1216</v>
      </c>
      <c r="AP81" s="83" t="s">
        <v>603</v>
      </c>
      <c r="AQ81" t="s">
        <v>1220</v>
      </c>
      <c r="AR81" t="s">
        <v>1217</v>
      </c>
      <c r="AS81" t="s">
        <v>1299</v>
      </c>
    </row>
    <row r="82" spans="35:45" ht="15" customHeight="1">
      <c r="AI82" t="s">
        <v>358</v>
      </c>
      <c r="AJ82" t="s">
        <v>1206</v>
      </c>
      <c r="AK82" s="12">
        <v>46127.42</v>
      </c>
      <c r="AM82" t="s">
        <v>1219</v>
      </c>
      <c r="AN82" s="5">
        <v>30.08</v>
      </c>
      <c r="AO82" t="s">
        <v>1216</v>
      </c>
      <c r="AP82" s="83" t="s">
        <v>603</v>
      </c>
      <c r="AQ82" t="s">
        <v>1220</v>
      </c>
      <c r="AR82" t="s">
        <v>1217</v>
      </c>
      <c r="AS82" t="s">
        <v>1300</v>
      </c>
    </row>
    <row r="83" spans="35:45" ht="15" customHeight="1">
      <c r="AI83" t="s">
        <v>358</v>
      </c>
      <c r="AJ83" t="s">
        <v>1206</v>
      </c>
      <c r="AK83" s="12">
        <v>46157.84</v>
      </c>
      <c r="AM83" t="s">
        <v>1219</v>
      </c>
      <c r="AN83" s="5">
        <v>30.08</v>
      </c>
      <c r="AO83" t="s">
        <v>1216</v>
      </c>
      <c r="AP83" s="83" t="s">
        <v>603</v>
      </c>
      <c r="AQ83" t="s">
        <v>1220</v>
      </c>
      <c r="AR83" t="s">
        <v>1217</v>
      </c>
      <c r="AS83" t="s">
        <v>1301</v>
      </c>
    </row>
    <row r="84" spans="35:45" ht="15" customHeight="1">
      <c r="AI84" t="s">
        <v>358</v>
      </c>
      <c r="AJ84" t="s">
        <v>1206</v>
      </c>
      <c r="AK84" s="12">
        <v>46188.259999999995</v>
      </c>
      <c r="AM84" t="s">
        <v>1219</v>
      </c>
      <c r="AN84" s="5">
        <v>0</v>
      </c>
      <c r="AO84" t="s">
        <v>1216</v>
      </c>
      <c r="AP84" s="83" t="s">
        <v>603</v>
      </c>
      <c r="AQ84" t="s">
        <v>1220</v>
      </c>
      <c r="AR84" t="s">
        <v>1217</v>
      </c>
      <c r="AS84" t="s">
        <v>1302</v>
      </c>
    </row>
    <row r="85" spans="35:45" ht="15" customHeight="1">
      <c r="AI85" t="s">
        <v>358</v>
      </c>
      <c r="AJ85" t="s">
        <v>1206</v>
      </c>
      <c r="AK85" s="12">
        <v>46218.679999999993</v>
      </c>
      <c r="AM85" t="s">
        <v>1219</v>
      </c>
      <c r="AN85" s="5">
        <v>0</v>
      </c>
      <c r="AO85" t="s">
        <v>1216</v>
      </c>
      <c r="AP85" s="83" t="s">
        <v>603</v>
      </c>
      <c r="AQ85" t="s">
        <v>1220</v>
      </c>
      <c r="AR85" t="s">
        <v>1217</v>
      </c>
      <c r="AS85" t="s">
        <v>1303</v>
      </c>
    </row>
    <row r="86" spans="35:45" ht="15" customHeight="1">
      <c r="AI86" t="s">
        <v>358</v>
      </c>
      <c r="AJ86" t="s">
        <v>1206</v>
      </c>
      <c r="AK86" s="12">
        <v>46249.099999999991</v>
      </c>
      <c r="AM86" t="s">
        <v>1219</v>
      </c>
      <c r="AN86" s="5">
        <v>0</v>
      </c>
      <c r="AO86" t="s">
        <v>1216</v>
      </c>
      <c r="AP86" s="83" t="s">
        <v>603</v>
      </c>
      <c r="AQ86" t="s">
        <v>1220</v>
      </c>
      <c r="AR86" t="s">
        <v>1217</v>
      </c>
      <c r="AS86" t="s">
        <v>1304</v>
      </c>
    </row>
    <row r="87" spans="35:45" ht="15" customHeight="1">
      <c r="AI87" t="s">
        <v>358</v>
      </c>
      <c r="AJ87" t="s">
        <v>1206</v>
      </c>
      <c r="AK87" s="12">
        <v>46279.51999999999</v>
      </c>
      <c r="AM87" t="s">
        <v>1219</v>
      </c>
      <c r="AN87" s="5">
        <v>0</v>
      </c>
      <c r="AO87" t="s">
        <v>1216</v>
      </c>
      <c r="AP87" s="83" t="s">
        <v>603</v>
      </c>
      <c r="AQ87" t="s">
        <v>1220</v>
      </c>
      <c r="AR87" t="s">
        <v>1217</v>
      </c>
      <c r="AS87" t="s">
        <v>1305</v>
      </c>
    </row>
    <row r="88" spans="35:45" ht="15" customHeight="1">
      <c r="AI88" t="s">
        <v>358</v>
      </c>
      <c r="AJ88" t="s">
        <v>1206</v>
      </c>
      <c r="AK88" s="12">
        <v>46309.939999999988</v>
      </c>
      <c r="AM88" t="s">
        <v>1219</v>
      </c>
      <c r="AN88" s="5">
        <v>0</v>
      </c>
      <c r="AO88" t="s">
        <v>1216</v>
      </c>
      <c r="AP88" s="83" t="s">
        <v>603</v>
      </c>
      <c r="AQ88" t="s">
        <v>1220</v>
      </c>
      <c r="AR88" t="s">
        <v>1217</v>
      </c>
      <c r="AS88" t="s">
        <v>1306</v>
      </c>
    </row>
    <row r="89" spans="35:45" ht="15" customHeight="1">
      <c r="AI89" t="s">
        <v>358</v>
      </c>
      <c r="AJ89" t="s">
        <v>1206</v>
      </c>
      <c r="AK89" s="12">
        <v>46340.359999999986</v>
      </c>
      <c r="AM89" t="s">
        <v>1219</v>
      </c>
      <c r="AN89" s="5">
        <v>0</v>
      </c>
      <c r="AO89" t="s">
        <v>1216</v>
      </c>
      <c r="AP89" s="83" t="s">
        <v>603</v>
      </c>
      <c r="AQ89" t="s">
        <v>1220</v>
      </c>
      <c r="AR89" t="s">
        <v>1217</v>
      </c>
      <c r="AS89" t="s">
        <v>1307</v>
      </c>
    </row>
    <row r="90" spans="35:45" ht="15" customHeight="1">
      <c r="AI90" t="s">
        <v>358</v>
      </c>
      <c r="AJ90" t="s">
        <v>1206</v>
      </c>
      <c r="AK90" s="12">
        <v>46370.779999999984</v>
      </c>
      <c r="AM90" t="s">
        <v>1219</v>
      </c>
      <c r="AN90" s="5">
        <v>0</v>
      </c>
      <c r="AO90" t="s">
        <v>1216</v>
      </c>
      <c r="AP90" s="83" t="s">
        <v>603</v>
      </c>
      <c r="AQ90" t="s">
        <v>1220</v>
      </c>
      <c r="AR90" t="s">
        <v>1217</v>
      </c>
      <c r="AS90" t="s">
        <v>1308</v>
      </c>
    </row>
    <row r="91" spans="35:45" ht="15" customHeight="1">
      <c r="AI91" t="s">
        <v>358</v>
      </c>
      <c r="AJ91" t="s">
        <v>1206</v>
      </c>
      <c r="AK91" s="12">
        <v>46401.199999999983</v>
      </c>
      <c r="AM91" t="s">
        <v>1219</v>
      </c>
      <c r="AN91" s="5">
        <v>0</v>
      </c>
      <c r="AO91" t="s">
        <v>1216</v>
      </c>
      <c r="AP91" s="83" t="s">
        <v>603</v>
      </c>
      <c r="AQ91" t="s">
        <v>1220</v>
      </c>
      <c r="AR91" t="s">
        <v>1217</v>
      </c>
      <c r="AS91" t="s">
        <v>1309</v>
      </c>
    </row>
    <row r="92" spans="35:45" ht="15" customHeight="1">
      <c r="AI92" t="s">
        <v>358</v>
      </c>
      <c r="AJ92" t="s">
        <v>1206</v>
      </c>
      <c r="AK92" s="12">
        <v>46431.619999999981</v>
      </c>
      <c r="AM92" t="s">
        <v>1219</v>
      </c>
      <c r="AN92" s="5">
        <v>0</v>
      </c>
      <c r="AO92" t="s">
        <v>1216</v>
      </c>
      <c r="AP92" s="83" t="s">
        <v>603</v>
      </c>
      <c r="AQ92" t="s">
        <v>1220</v>
      </c>
      <c r="AR92" t="s">
        <v>1217</v>
      </c>
      <c r="AS92" t="s">
        <v>1310</v>
      </c>
    </row>
    <row r="93" spans="35:45">
      <c r="AI93" t="s">
        <v>358</v>
      </c>
      <c r="AJ93" t="s">
        <v>1206</v>
      </c>
      <c r="AK93" s="12">
        <v>46462.039999999979</v>
      </c>
      <c r="AM93" t="s">
        <v>1219</v>
      </c>
      <c r="AN93" s="5">
        <v>0</v>
      </c>
      <c r="AO93" t="s">
        <v>1216</v>
      </c>
      <c r="AP93" s="83" t="s">
        <v>603</v>
      </c>
      <c r="AQ93" t="s">
        <v>1220</v>
      </c>
      <c r="AR93" t="s">
        <v>1217</v>
      </c>
      <c r="AS93" t="s">
        <v>1311</v>
      </c>
    </row>
    <row r="94" spans="35:45">
      <c r="AI94" t="s">
        <v>358</v>
      </c>
      <c r="AJ94" t="s">
        <v>1206</v>
      </c>
      <c r="AK94" s="12">
        <v>46492.459999999977</v>
      </c>
      <c r="AM94" t="s">
        <v>1219</v>
      </c>
      <c r="AN94" s="5">
        <v>0</v>
      </c>
      <c r="AO94" t="s">
        <v>1216</v>
      </c>
      <c r="AP94" s="83" t="s">
        <v>603</v>
      </c>
      <c r="AQ94" t="s">
        <v>1220</v>
      </c>
      <c r="AR94" t="s">
        <v>1217</v>
      </c>
      <c r="AS94" t="s">
        <v>1312</v>
      </c>
    </row>
    <row r="95" spans="35:45">
      <c r="AI95" t="s">
        <v>358</v>
      </c>
      <c r="AJ95" t="s">
        <v>1206</v>
      </c>
      <c r="AK95" s="12">
        <v>46522.879999999976</v>
      </c>
      <c r="AM95" t="s">
        <v>1219</v>
      </c>
      <c r="AN95" s="5">
        <v>0</v>
      </c>
      <c r="AO95" t="s">
        <v>1216</v>
      </c>
      <c r="AP95" s="83" t="s">
        <v>603</v>
      </c>
      <c r="AQ95" t="s">
        <v>1220</v>
      </c>
      <c r="AR95" t="s">
        <v>1217</v>
      </c>
      <c r="AS95" t="s">
        <v>1313</v>
      </c>
    </row>
    <row r="96" spans="35:45">
      <c r="AI96" t="s">
        <v>358</v>
      </c>
      <c r="AJ96" t="s">
        <v>1206</v>
      </c>
      <c r="AK96" s="12">
        <v>46553.299999999974</v>
      </c>
      <c r="AM96" t="s">
        <v>1219</v>
      </c>
      <c r="AN96" s="5">
        <v>0</v>
      </c>
      <c r="AO96" t="s">
        <v>1216</v>
      </c>
      <c r="AP96" s="83" t="s">
        <v>603</v>
      </c>
      <c r="AQ96" t="s">
        <v>1220</v>
      </c>
      <c r="AR96" t="s">
        <v>1217</v>
      </c>
      <c r="AS96" t="s">
        <v>1314</v>
      </c>
    </row>
    <row r="97" spans="35:45">
      <c r="AI97" t="s">
        <v>358</v>
      </c>
      <c r="AJ97" t="s">
        <v>1206</v>
      </c>
      <c r="AK97" s="12">
        <v>46583.719999999972</v>
      </c>
      <c r="AM97" t="s">
        <v>1219</v>
      </c>
      <c r="AN97" s="5">
        <v>0</v>
      </c>
      <c r="AO97" t="s">
        <v>1216</v>
      </c>
      <c r="AP97" s="83" t="s">
        <v>603</v>
      </c>
      <c r="AQ97" t="s">
        <v>1220</v>
      </c>
      <c r="AR97" t="s">
        <v>1217</v>
      </c>
      <c r="AS97" t="s">
        <v>1315</v>
      </c>
    </row>
    <row r="98" spans="35:45">
      <c r="AI98" t="s">
        <v>358</v>
      </c>
      <c r="AJ98" t="s">
        <v>1206</v>
      </c>
      <c r="AK98" s="12">
        <v>45823</v>
      </c>
      <c r="AM98" t="s">
        <v>1219</v>
      </c>
      <c r="AN98" s="5">
        <v>0</v>
      </c>
      <c r="AO98" t="s">
        <v>1216</v>
      </c>
      <c r="AP98" s="83" t="s">
        <v>603</v>
      </c>
      <c r="AQ98" t="s">
        <v>1220</v>
      </c>
      <c r="AR98" t="s">
        <v>1217</v>
      </c>
      <c r="AS98" t="s">
        <v>1316</v>
      </c>
    </row>
    <row r="99" spans="35:45">
      <c r="AI99" t="s">
        <v>358</v>
      </c>
      <c r="AJ99" t="s">
        <v>1206</v>
      </c>
      <c r="AK99" s="12">
        <v>45853.42</v>
      </c>
      <c r="AM99" t="s">
        <v>1219</v>
      </c>
      <c r="AN99" s="5">
        <v>0</v>
      </c>
      <c r="AO99" t="s">
        <v>1216</v>
      </c>
      <c r="AP99" s="83" t="s">
        <v>603</v>
      </c>
      <c r="AQ99" t="s">
        <v>1220</v>
      </c>
      <c r="AR99" t="s">
        <v>1217</v>
      </c>
      <c r="AS99" t="s">
        <v>1317</v>
      </c>
    </row>
    <row r="100" spans="35:45">
      <c r="AI100" t="s">
        <v>358</v>
      </c>
      <c r="AJ100" t="s">
        <v>1206</v>
      </c>
      <c r="AK100" s="12">
        <v>45883.839999999997</v>
      </c>
      <c r="AM100" t="s">
        <v>1219</v>
      </c>
      <c r="AN100" s="5">
        <v>0</v>
      </c>
      <c r="AO100" t="s">
        <v>1216</v>
      </c>
      <c r="AP100" s="83" t="s">
        <v>603</v>
      </c>
      <c r="AQ100" t="s">
        <v>1220</v>
      </c>
      <c r="AR100" t="s">
        <v>1217</v>
      </c>
      <c r="AS100" t="s">
        <v>1318</v>
      </c>
    </row>
    <row r="101" spans="35:45">
      <c r="AI101" t="s">
        <v>358</v>
      </c>
      <c r="AJ101" t="s">
        <v>1206</v>
      </c>
      <c r="AK101" s="12">
        <v>45914.259999999995</v>
      </c>
      <c r="AM101" t="s">
        <v>1219</v>
      </c>
      <c r="AN101" s="5">
        <v>0</v>
      </c>
      <c r="AO101" t="s">
        <v>1216</v>
      </c>
      <c r="AP101" s="83" t="s">
        <v>603</v>
      </c>
      <c r="AQ101" t="s">
        <v>1220</v>
      </c>
      <c r="AR101" t="s">
        <v>1217</v>
      </c>
      <c r="AS101" t="s">
        <v>1319</v>
      </c>
    </row>
    <row r="102" spans="35:45">
      <c r="AI102" t="s">
        <v>358</v>
      </c>
      <c r="AJ102" t="s">
        <v>1206</v>
      </c>
      <c r="AK102" s="12">
        <v>45944.679999999993</v>
      </c>
      <c r="AM102" t="s">
        <v>1219</v>
      </c>
      <c r="AN102" s="5">
        <v>0</v>
      </c>
      <c r="AO102" t="s">
        <v>1216</v>
      </c>
      <c r="AP102" s="83" t="s">
        <v>603</v>
      </c>
      <c r="AQ102" t="s">
        <v>1220</v>
      </c>
      <c r="AR102" t="s">
        <v>1217</v>
      </c>
      <c r="AS102" t="s">
        <v>1320</v>
      </c>
    </row>
    <row r="103" spans="35:45">
      <c r="AI103" t="s">
        <v>358</v>
      </c>
      <c r="AJ103" t="s">
        <v>1206</v>
      </c>
      <c r="AK103" s="12">
        <v>45975.099999999991</v>
      </c>
      <c r="AM103" t="s">
        <v>1219</v>
      </c>
      <c r="AN103" s="5">
        <v>0</v>
      </c>
      <c r="AO103" t="s">
        <v>1216</v>
      </c>
      <c r="AP103" s="83" t="s">
        <v>603</v>
      </c>
      <c r="AQ103" t="s">
        <v>1220</v>
      </c>
      <c r="AR103" t="s">
        <v>1217</v>
      </c>
      <c r="AS103" t="s">
        <v>1321</v>
      </c>
    </row>
    <row r="104" spans="35:45">
      <c r="AI104" t="s">
        <v>358</v>
      </c>
      <c r="AJ104" t="s">
        <v>1206</v>
      </c>
      <c r="AK104" s="12">
        <v>46005.51999999999</v>
      </c>
      <c r="AM104" t="s">
        <v>1219</v>
      </c>
      <c r="AN104" s="5">
        <v>0</v>
      </c>
      <c r="AO104" t="s">
        <v>1216</v>
      </c>
      <c r="AP104" s="83" t="s">
        <v>603</v>
      </c>
      <c r="AQ104" t="s">
        <v>1220</v>
      </c>
      <c r="AR104" t="s">
        <v>1217</v>
      </c>
      <c r="AS104" t="s">
        <v>1322</v>
      </c>
    </row>
    <row r="105" spans="35:45">
      <c r="AI105" t="s">
        <v>358</v>
      </c>
      <c r="AJ105" t="s">
        <v>1206</v>
      </c>
      <c r="AK105" s="12">
        <v>46035.939999999988</v>
      </c>
      <c r="AM105" t="s">
        <v>1219</v>
      </c>
      <c r="AN105" s="5">
        <v>0</v>
      </c>
      <c r="AO105" t="s">
        <v>1216</v>
      </c>
      <c r="AP105" s="83" t="s">
        <v>603</v>
      </c>
      <c r="AQ105" t="s">
        <v>1220</v>
      </c>
      <c r="AR105" t="s">
        <v>1217</v>
      </c>
      <c r="AS105" t="s">
        <v>1323</v>
      </c>
    </row>
    <row r="106" spans="35:45">
      <c r="AI106" t="s">
        <v>358</v>
      </c>
      <c r="AJ106" t="s">
        <v>1206</v>
      </c>
      <c r="AK106" s="12">
        <v>46066.359999999986</v>
      </c>
      <c r="AM106" t="s">
        <v>1219</v>
      </c>
      <c r="AN106" s="5">
        <v>0</v>
      </c>
      <c r="AO106" t="s">
        <v>1216</v>
      </c>
      <c r="AP106" s="83" t="s">
        <v>603</v>
      </c>
      <c r="AQ106" t="s">
        <v>1220</v>
      </c>
      <c r="AR106" t="s">
        <v>1217</v>
      </c>
      <c r="AS106" t="s">
        <v>1324</v>
      </c>
    </row>
    <row r="107" spans="35:45">
      <c r="AI107" t="s">
        <v>358</v>
      </c>
      <c r="AJ107" t="s">
        <v>1206</v>
      </c>
      <c r="AK107" s="12">
        <v>46096.779999999984</v>
      </c>
      <c r="AM107" t="s">
        <v>1219</v>
      </c>
      <c r="AN107" s="5">
        <v>0</v>
      </c>
      <c r="AO107" t="s">
        <v>1216</v>
      </c>
      <c r="AP107" s="83" t="s">
        <v>603</v>
      </c>
      <c r="AQ107" t="s">
        <v>1220</v>
      </c>
      <c r="AR107" t="s">
        <v>1217</v>
      </c>
      <c r="AS107" t="s">
        <v>1325</v>
      </c>
    </row>
    <row r="108" spans="35:45">
      <c r="AI108" t="s">
        <v>358</v>
      </c>
      <c r="AJ108" t="s">
        <v>1206</v>
      </c>
      <c r="AK108" s="12">
        <v>46127.199999999983</v>
      </c>
      <c r="AM108" t="s">
        <v>1219</v>
      </c>
      <c r="AN108" s="5">
        <v>0</v>
      </c>
      <c r="AO108" t="s">
        <v>1216</v>
      </c>
      <c r="AP108" s="83" t="s">
        <v>603</v>
      </c>
      <c r="AQ108" t="s">
        <v>1220</v>
      </c>
      <c r="AR108" t="s">
        <v>1217</v>
      </c>
      <c r="AS108" t="s">
        <v>1326</v>
      </c>
    </row>
    <row r="109" spans="35:45">
      <c r="AI109" t="s">
        <v>358</v>
      </c>
      <c r="AJ109" t="s">
        <v>1206</v>
      </c>
      <c r="AK109" s="12">
        <v>46157.619999999981</v>
      </c>
      <c r="AM109" t="s">
        <v>1219</v>
      </c>
      <c r="AN109" s="5">
        <v>0</v>
      </c>
      <c r="AO109" t="s">
        <v>1216</v>
      </c>
      <c r="AP109" s="83" t="s">
        <v>603</v>
      </c>
      <c r="AQ109" t="s">
        <v>1220</v>
      </c>
      <c r="AR109" t="s">
        <v>1217</v>
      </c>
      <c r="AS109" t="s">
        <v>1327</v>
      </c>
    </row>
    <row r="110" spans="35:45">
      <c r="AI110" t="s">
        <v>358</v>
      </c>
      <c r="AJ110" t="s">
        <v>1206</v>
      </c>
      <c r="AK110" s="12">
        <v>46188.039999999979</v>
      </c>
      <c r="AM110" t="s">
        <v>1219</v>
      </c>
      <c r="AN110" s="5">
        <v>0</v>
      </c>
      <c r="AO110" t="s">
        <v>1216</v>
      </c>
      <c r="AP110" s="83" t="s">
        <v>603</v>
      </c>
      <c r="AQ110" t="s">
        <v>1220</v>
      </c>
      <c r="AR110" t="s">
        <v>1217</v>
      </c>
      <c r="AS110" t="s">
        <v>1328</v>
      </c>
    </row>
    <row r="111" spans="35:45">
      <c r="AI111" t="s">
        <v>358</v>
      </c>
      <c r="AJ111" t="s">
        <v>1206</v>
      </c>
      <c r="AK111" s="12">
        <v>46218.459999999977</v>
      </c>
      <c r="AM111" t="s">
        <v>1219</v>
      </c>
      <c r="AN111" s="5">
        <v>0</v>
      </c>
      <c r="AO111" t="s">
        <v>1216</v>
      </c>
      <c r="AP111" s="83" t="s">
        <v>603</v>
      </c>
      <c r="AQ111" t="s">
        <v>1220</v>
      </c>
      <c r="AR111" t="s">
        <v>1217</v>
      </c>
      <c r="AS111" t="s">
        <v>1329</v>
      </c>
    </row>
    <row r="112" spans="35:45">
      <c r="AI112" t="s">
        <v>358</v>
      </c>
      <c r="AJ112" t="s">
        <v>1206</v>
      </c>
      <c r="AK112" s="12">
        <v>46248.879999999976</v>
      </c>
      <c r="AM112" t="s">
        <v>1219</v>
      </c>
      <c r="AN112" s="5">
        <v>0</v>
      </c>
      <c r="AO112" t="s">
        <v>1216</v>
      </c>
      <c r="AP112" s="83" t="s">
        <v>603</v>
      </c>
      <c r="AQ112" t="s">
        <v>1220</v>
      </c>
      <c r="AR112" t="s">
        <v>1217</v>
      </c>
      <c r="AS112" t="s">
        <v>1330</v>
      </c>
    </row>
    <row r="113" spans="35:45">
      <c r="AI113" t="s">
        <v>358</v>
      </c>
      <c r="AJ113" t="s">
        <v>1206</v>
      </c>
      <c r="AK113" s="12">
        <v>46279.299999999974</v>
      </c>
      <c r="AM113" t="s">
        <v>1219</v>
      </c>
      <c r="AN113" s="5">
        <v>0</v>
      </c>
      <c r="AO113" t="s">
        <v>1216</v>
      </c>
      <c r="AP113" s="83" t="s">
        <v>603</v>
      </c>
      <c r="AQ113" t="s">
        <v>1220</v>
      </c>
      <c r="AR113" t="s">
        <v>1217</v>
      </c>
      <c r="AS113" t="s">
        <v>1331</v>
      </c>
    </row>
    <row r="114" spans="35:45">
      <c r="AI114" t="s">
        <v>358</v>
      </c>
      <c r="AJ114" t="s">
        <v>1206</v>
      </c>
      <c r="AK114" s="12">
        <v>46309.719999999972</v>
      </c>
      <c r="AM114" t="s">
        <v>1219</v>
      </c>
      <c r="AN114" s="5">
        <v>0</v>
      </c>
      <c r="AO114" t="s">
        <v>1216</v>
      </c>
      <c r="AP114" s="83" t="s">
        <v>603</v>
      </c>
      <c r="AQ114" t="s">
        <v>1220</v>
      </c>
      <c r="AR114" t="s">
        <v>1217</v>
      </c>
      <c r="AS114" t="s">
        <v>1332</v>
      </c>
    </row>
    <row r="115" spans="35:45">
      <c r="AI115" t="s">
        <v>358</v>
      </c>
      <c r="AJ115" t="s">
        <v>1206</v>
      </c>
      <c r="AK115" s="12">
        <v>46340.13999999997</v>
      </c>
      <c r="AM115" t="s">
        <v>1219</v>
      </c>
      <c r="AN115" s="5">
        <v>0</v>
      </c>
      <c r="AO115" t="s">
        <v>1216</v>
      </c>
      <c r="AP115" s="83" t="s">
        <v>603</v>
      </c>
      <c r="AQ115" t="s">
        <v>1220</v>
      </c>
      <c r="AR115" t="s">
        <v>1217</v>
      </c>
      <c r="AS115" t="s">
        <v>1333</v>
      </c>
    </row>
    <row r="116" spans="35:45">
      <c r="AI116" t="s">
        <v>358</v>
      </c>
      <c r="AJ116" t="s">
        <v>1206</v>
      </c>
      <c r="AK116" s="12">
        <v>46370.559999999969</v>
      </c>
      <c r="AM116" t="s">
        <v>1219</v>
      </c>
      <c r="AN116" s="5">
        <v>0</v>
      </c>
      <c r="AO116" t="s">
        <v>1216</v>
      </c>
      <c r="AP116" s="83" t="s">
        <v>603</v>
      </c>
      <c r="AQ116" t="s">
        <v>1220</v>
      </c>
      <c r="AR116" t="s">
        <v>1217</v>
      </c>
      <c r="AS116" t="s">
        <v>1334</v>
      </c>
    </row>
    <row r="117" spans="35:45">
      <c r="AI117" t="s">
        <v>358</v>
      </c>
      <c r="AJ117" t="s">
        <v>188</v>
      </c>
      <c r="AK117" s="12">
        <v>46035</v>
      </c>
      <c r="AM117" t="s">
        <v>1219</v>
      </c>
      <c r="AN117" s="5">
        <v>0</v>
      </c>
      <c r="AO117" t="s">
        <v>1216</v>
      </c>
      <c r="AP117" s="83" t="s">
        <v>603</v>
      </c>
      <c r="AQ117" t="s">
        <v>1220</v>
      </c>
      <c r="AR117" t="s">
        <v>1217</v>
      </c>
      <c r="AS117" t="s">
        <v>1335</v>
      </c>
    </row>
    <row r="118" spans="35:45">
      <c r="AI118" t="s">
        <v>358</v>
      </c>
      <c r="AJ118" t="s">
        <v>188</v>
      </c>
      <c r="AK118" s="12">
        <v>46065.42</v>
      </c>
      <c r="AM118" t="s">
        <v>1219</v>
      </c>
      <c r="AN118" s="5">
        <v>0</v>
      </c>
      <c r="AO118" t="s">
        <v>1216</v>
      </c>
      <c r="AP118" s="83" t="s">
        <v>603</v>
      </c>
      <c r="AQ118" t="s">
        <v>1220</v>
      </c>
      <c r="AR118" t="s">
        <v>1217</v>
      </c>
      <c r="AS118" t="s">
        <v>1336</v>
      </c>
    </row>
    <row r="119" spans="35:45">
      <c r="AI119" t="s">
        <v>358</v>
      </c>
      <c r="AJ119" t="s">
        <v>188</v>
      </c>
      <c r="AK119" s="12">
        <v>46095.839999999997</v>
      </c>
      <c r="AM119" t="s">
        <v>1219</v>
      </c>
      <c r="AN119" s="5">
        <v>0</v>
      </c>
      <c r="AO119" t="s">
        <v>1216</v>
      </c>
      <c r="AP119" s="83" t="s">
        <v>603</v>
      </c>
      <c r="AQ119" t="s">
        <v>1220</v>
      </c>
      <c r="AR119" t="s">
        <v>1217</v>
      </c>
      <c r="AS119" t="s">
        <v>1337</v>
      </c>
    </row>
    <row r="120" spans="35:45">
      <c r="AI120" t="s">
        <v>358</v>
      </c>
      <c r="AJ120" t="s">
        <v>188</v>
      </c>
      <c r="AK120" s="12">
        <v>46126.259999999995</v>
      </c>
      <c r="AM120" t="s">
        <v>1219</v>
      </c>
      <c r="AN120" s="5">
        <v>0</v>
      </c>
      <c r="AO120" t="s">
        <v>1216</v>
      </c>
      <c r="AP120" s="83" t="s">
        <v>603</v>
      </c>
      <c r="AQ120" t="s">
        <v>1220</v>
      </c>
      <c r="AR120" t="s">
        <v>1217</v>
      </c>
      <c r="AS120" t="s">
        <v>1338</v>
      </c>
    </row>
    <row r="121" spans="35:45">
      <c r="AI121" t="s">
        <v>358</v>
      </c>
      <c r="AJ121" t="s">
        <v>188</v>
      </c>
      <c r="AK121" s="12">
        <v>46156.679999999993</v>
      </c>
      <c r="AM121" t="s">
        <v>1219</v>
      </c>
      <c r="AN121" s="5">
        <v>0</v>
      </c>
      <c r="AO121" t="s">
        <v>1216</v>
      </c>
      <c r="AP121" s="83" t="s">
        <v>603</v>
      </c>
      <c r="AQ121" t="s">
        <v>1220</v>
      </c>
      <c r="AR121" t="s">
        <v>1217</v>
      </c>
      <c r="AS121" t="s">
        <v>1339</v>
      </c>
    </row>
    <row r="122" spans="35:45">
      <c r="AI122" t="s">
        <v>358</v>
      </c>
      <c r="AJ122" t="s">
        <v>188</v>
      </c>
      <c r="AK122" s="12">
        <v>46187.099999999991</v>
      </c>
      <c r="AM122" t="s">
        <v>1219</v>
      </c>
      <c r="AN122" s="5">
        <v>0</v>
      </c>
      <c r="AO122" t="s">
        <v>1216</v>
      </c>
      <c r="AP122" s="83" t="s">
        <v>603</v>
      </c>
      <c r="AQ122" t="s">
        <v>1220</v>
      </c>
      <c r="AR122" t="s">
        <v>1217</v>
      </c>
      <c r="AS122" t="s">
        <v>1340</v>
      </c>
    </row>
    <row r="123" spans="35:45">
      <c r="AI123" t="s">
        <v>358</v>
      </c>
      <c r="AJ123" t="s">
        <v>188</v>
      </c>
      <c r="AK123" s="12">
        <v>46217.51999999999</v>
      </c>
      <c r="AM123" t="s">
        <v>1219</v>
      </c>
      <c r="AN123" s="5">
        <v>0</v>
      </c>
      <c r="AO123" t="s">
        <v>1216</v>
      </c>
      <c r="AP123" s="83" t="s">
        <v>603</v>
      </c>
      <c r="AQ123" t="s">
        <v>1220</v>
      </c>
      <c r="AR123" t="s">
        <v>1217</v>
      </c>
      <c r="AS123" t="s">
        <v>1341</v>
      </c>
    </row>
    <row r="124" spans="35:45">
      <c r="AI124" t="s">
        <v>358</v>
      </c>
      <c r="AJ124" t="s">
        <v>188</v>
      </c>
      <c r="AK124" s="12">
        <v>46247.939999999988</v>
      </c>
      <c r="AM124" t="s">
        <v>1219</v>
      </c>
      <c r="AN124" s="5">
        <v>0</v>
      </c>
      <c r="AO124" t="s">
        <v>1216</v>
      </c>
      <c r="AP124" s="83" t="s">
        <v>603</v>
      </c>
      <c r="AQ124" t="s">
        <v>1220</v>
      </c>
      <c r="AR124" t="s">
        <v>1217</v>
      </c>
      <c r="AS124" t="s">
        <v>1342</v>
      </c>
    </row>
    <row r="125" spans="35:45">
      <c r="AI125" t="s">
        <v>358</v>
      </c>
      <c r="AJ125" t="s">
        <v>188</v>
      </c>
      <c r="AK125" s="12">
        <v>46278.359999999986</v>
      </c>
      <c r="AM125" t="s">
        <v>1219</v>
      </c>
      <c r="AN125" s="5">
        <v>0</v>
      </c>
      <c r="AO125" t="s">
        <v>1216</v>
      </c>
      <c r="AP125" s="83" t="s">
        <v>603</v>
      </c>
      <c r="AQ125" t="s">
        <v>1220</v>
      </c>
      <c r="AR125" t="s">
        <v>1217</v>
      </c>
      <c r="AS125" t="s">
        <v>1343</v>
      </c>
    </row>
    <row r="126" spans="35:45">
      <c r="AI126" t="s">
        <v>358</v>
      </c>
      <c r="AJ126" t="s">
        <v>188</v>
      </c>
      <c r="AK126" s="12">
        <v>46308.779999999984</v>
      </c>
      <c r="AM126" t="s">
        <v>1219</v>
      </c>
      <c r="AN126" s="5">
        <v>0</v>
      </c>
      <c r="AO126" t="s">
        <v>1216</v>
      </c>
      <c r="AP126" s="83" t="s">
        <v>603</v>
      </c>
      <c r="AQ126" t="s">
        <v>1220</v>
      </c>
      <c r="AR126" t="s">
        <v>1217</v>
      </c>
      <c r="AS126" t="s">
        <v>1344</v>
      </c>
    </row>
    <row r="127" spans="35:45">
      <c r="AI127" t="s">
        <v>358</v>
      </c>
      <c r="AJ127" t="s">
        <v>188</v>
      </c>
      <c r="AK127" s="12">
        <v>46339.199999999983</v>
      </c>
      <c r="AM127" t="s">
        <v>1219</v>
      </c>
      <c r="AN127" s="5">
        <v>0</v>
      </c>
      <c r="AO127" t="s">
        <v>1216</v>
      </c>
      <c r="AP127" s="83" t="s">
        <v>603</v>
      </c>
      <c r="AQ127" t="s">
        <v>1220</v>
      </c>
      <c r="AR127" t="s">
        <v>1217</v>
      </c>
      <c r="AS127" t="s">
        <v>1345</v>
      </c>
    </row>
    <row r="128" spans="35:45">
      <c r="AI128" t="s">
        <v>358</v>
      </c>
      <c r="AJ128" t="s">
        <v>188</v>
      </c>
      <c r="AK128" s="12">
        <v>46369.619999999981</v>
      </c>
      <c r="AM128" t="s">
        <v>1219</v>
      </c>
      <c r="AN128" s="5">
        <v>0</v>
      </c>
      <c r="AO128" t="s">
        <v>1216</v>
      </c>
      <c r="AP128" s="83" t="s">
        <v>603</v>
      </c>
      <c r="AQ128" t="s">
        <v>1220</v>
      </c>
      <c r="AR128" t="s">
        <v>1217</v>
      </c>
      <c r="AS128" t="s">
        <v>1346</v>
      </c>
    </row>
    <row r="129" spans="35:45">
      <c r="AI129" t="s">
        <v>358</v>
      </c>
      <c r="AJ129" t="s">
        <v>188</v>
      </c>
      <c r="AK129" s="12">
        <v>46400.039999999979</v>
      </c>
      <c r="AM129" t="s">
        <v>1219</v>
      </c>
      <c r="AN129" s="5">
        <v>0</v>
      </c>
      <c r="AO129" t="s">
        <v>1216</v>
      </c>
      <c r="AP129" s="83" t="s">
        <v>603</v>
      </c>
      <c r="AQ129" t="s">
        <v>1220</v>
      </c>
      <c r="AR129" t="s">
        <v>1217</v>
      </c>
      <c r="AS129" t="s">
        <v>1347</v>
      </c>
    </row>
    <row r="130" spans="35:45">
      <c r="AI130" t="s">
        <v>358</v>
      </c>
      <c r="AJ130" t="s">
        <v>188</v>
      </c>
      <c r="AK130" s="12">
        <v>46430.459999999977</v>
      </c>
      <c r="AM130" t="s">
        <v>1219</v>
      </c>
      <c r="AN130" s="5">
        <v>0</v>
      </c>
      <c r="AO130" t="s">
        <v>1216</v>
      </c>
      <c r="AP130" s="83" t="s">
        <v>603</v>
      </c>
      <c r="AQ130" t="s">
        <v>1220</v>
      </c>
      <c r="AR130" t="s">
        <v>1217</v>
      </c>
      <c r="AS130" t="s">
        <v>1348</v>
      </c>
    </row>
    <row r="131" spans="35:45">
      <c r="AI131" t="s">
        <v>358</v>
      </c>
      <c r="AJ131" t="s">
        <v>188</v>
      </c>
      <c r="AK131" s="12">
        <v>46460.879999999976</v>
      </c>
      <c r="AM131" t="s">
        <v>1219</v>
      </c>
      <c r="AN131" s="5">
        <v>0</v>
      </c>
      <c r="AO131" t="s">
        <v>1216</v>
      </c>
      <c r="AP131" s="83" t="s">
        <v>603</v>
      </c>
      <c r="AQ131" t="s">
        <v>1220</v>
      </c>
      <c r="AR131" t="s">
        <v>1217</v>
      </c>
      <c r="AS131" t="s">
        <v>1349</v>
      </c>
    </row>
    <row r="132" spans="35:45">
      <c r="AI132" t="s">
        <v>358</v>
      </c>
      <c r="AJ132" t="s">
        <v>188</v>
      </c>
      <c r="AK132" s="12">
        <v>46491.299999999974</v>
      </c>
      <c r="AM132" t="s">
        <v>1219</v>
      </c>
      <c r="AN132" s="5">
        <v>0</v>
      </c>
      <c r="AO132" t="s">
        <v>1216</v>
      </c>
      <c r="AP132" s="83" t="s">
        <v>603</v>
      </c>
      <c r="AQ132" t="s">
        <v>1220</v>
      </c>
      <c r="AR132" t="s">
        <v>1217</v>
      </c>
      <c r="AS132" t="s">
        <v>1350</v>
      </c>
    </row>
    <row r="133" spans="35:45">
      <c r="AI133" t="s">
        <v>358</v>
      </c>
      <c r="AJ133" t="s">
        <v>188</v>
      </c>
      <c r="AK133" s="12">
        <v>46521.719999999972</v>
      </c>
      <c r="AM133" t="s">
        <v>1219</v>
      </c>
      <c r="AN133" s="5">
        <v>0</v>
      </c>
      <c r="AO133" t="s">
        <v>1216</v>
      </c>
      <c r="AP133" s="83" t="s">
        <v>603</v>
      </c>
      <c r="AQ133" t="s">
        <v>1220</v>
      </c>
      <c r="AR133" t="s">
        <v>1217</v>
      </c>
      <c r="AS133" t="s">
        <v>1351</v>
      </c>
    </row>
    <row r="134" spans="35:45">
      <c r="AI134" t="s">
        <v>358</v>
      </c>
      <c r="AJ134" t="s">
        <v>188</v>
      </c>
      <c r="AK134" s="12">
        <v>46552.13999999997</v>
      </c>
      <c r="AM134" t="s">
        <v>1219</v>
      </c>
      <c r="AN134" s="5">
        <v>0</v>
      </c>
      <c r="AO134" t="s">
        <v>1216</v>
      </c>
      <c r="AP134" s="83" t="s">
        <v>603</v>
      </c>
      <c r="AQ134" t="s">
        <v>1220</v>
      </c>
      <c r="AR134" t="s">
        <v>1217</v>
      </c>
      <c r="AS134" t="s">
        <v>1352</v>
      </c>
    </row>
    <row r="135" spans="35:45">
      <c r="AI135" t="s">
        <v>358</v>
      </c>
      <c r="AJ135" t="s">
        <v>188</v>
      </c>
      <c r="AK135" s="12">
        <v>46582.559999999969</v>
      </c>
      <c r="AM135" t="s">
        <v>1219</v>
      </c>
      <c r="AN135" s="5">
        <v>0</v>
      </c>
      <c r="AO135" t="s">
        <v>1216</v>
      </c>
      <c r="AP135" s="83" t="s">
        <v>603</v>
      </c>
      <c r="AQ135" t="s">
        <v>1220</v>
      </c>
      <c r="AR135" t="s">
        <v>1217</v>
      </c>
      <c r="AS135" t="s">
        <v>1353</v>
      </c>
    </row>
    <row r="136" spans="35:45">
      <c r="AI136" t="s">
        <v>358</v>
      </c>
      <c r="AJ136" t="s">
        <v>425</v>
      </c>
      <c r="AK136" s="12">
        <v>45823</v>
      </c>
      <c r="AM136" t="s">
        <v>1219</v>
      </c>
      <c r="AN136" s="5"/>
      <c r="AO136" t="s">
        <v>1216</v>
      </c>
      <c r="AP136" s="83" t="s">
        <v>603</v>
      </c>
      <c r="AQ136" t="s">
        <v>1220</v>
      </c>
      <c r="AR136" t="s">
        <v>1217</v>
      </c>
      <c r="AS136" t="s">
        <v>1354</v>
      </c>
    </row>
    <row r="137" spans="35:45">
      <c r="AI137" t="s">
        <v>358</v>
      </c>
      <c r="AJ137" t="s">
        <v>425</v>
      </c>
      <c r="AK137" s="12">
        <v>45536</v>
      </c>
      <c r="AM137" t="s">
        <v>1219</v>
      </c>
      <c r="AN137" s="5"/>
      <c r="AO137" t="s">
        <v>1216</v>
      </c>
      <c r="AP137" s="83" t="s">
        <v>603</v>
      </c>
      <c r="AQ137" t="s">
        <v>1220</v>
      </c>
      <c r="AR137" t="s">
        <v>1217</v>
      </c>
      <c r="AS137" t="s">
        <v>1355</v>
      </c>
    </row>
    <row r="138" spans="35:45">
      <c r="AI138" t="s">
        <v>358</v>
      </c>
      <c r="AJ138" t="s">
        <v>425</v>
      </c>
      <c r="AK138" s="12">
        <v>45901</v>
      </c>
      <c r="AM138" t="s">
        <v>1219</v>
      </c>
      <c r="AN138" s="5">
        <v>0</v>
      </c>
      <c r="AO138" t="s">
        <v>1216</v>
      </c>
      <c r="AP138" s="83" t="s">
        <v>603</v>
      </c>
      <c r="AQ138" t="s">
        <v>1220</v>
      </c>
      <c r="AR138" t="s">
        <v>1217</v>
      </c>
      <c r="AS138" t="s">
        <v>1356</v>
      </c>
    </row>
    <row r="139" spans="35:45">
      <c r="AI139" t="s">
        <v>358</v>
      </c>
      <c r="AJ139" t="s">
        <v>425</v>
      </c>
      <c r="AK139" s="12">
        <v>46266</v>
      </c>
      <c r="AM139" t="s">
        <v>1219</v>
      </c>
      <c r="AN139" s="5">
        <v>0</v>
      </c>
      <c r="AO139" t="s">
        <v>1216</v>
      </c>
      <c r="AP139" s="83" t="s">
        <v>603</v>
      </c>
      <c r="AQ139" t="s">
        <v>1220</v>
      </c>
      <c r="AR139" t="s">
        <v>1217</v>
      </c>
      <c r="AS139" t="s">
        <v>1357</v>
      </c>
    </row>
    <row r="140" spans="35:45">
      <c r="AI140" t="s">
        <v>358</v>
      </c>
      <c r="AJ140" t="s">
        <v>425</v>
      </c>
      <c r="AK140" s="12">
        <v>46631</v>
      </c>
      <c r="AM140" t="s">
        <v>1219</v>
      </c>
      <c r="AN140" s="5">
        <v>0</v>
      </c>
      <c r="AO140" t="s">
        <v>1216</v>
      </c>
      <c r="AP140" s="83" t="s">
        <v>603</v>
      </c>
      <c r="AQ140" t="s">
        <v>1220</v>
      </c>
      <c r="AR140" t="s">
        <v>1217</v>
      </c>
      <c r="AS140" t="s">
        <v>1358</v>
      </c>
    </row>
    <row r="141" spans="35:45">
      <c r="AI141" t="s">
        <v>358</v>
      </c>
      <c r="AJ141" t="s">
        <v>425</v>
      </c>
      <c r="AK141" s="12">
        <v>46996</v>
      </c>
      <c r="AM141" t="s">
        <v>1219</v>
      </c>
      <c r="AN141" s="5">
        <v>0</v>
      </c>
      <c r="AO141" t="s">
        <v>1216</v>
      </c>
      <c r="AP141" s="83" t="s">
        <v>603</v>
      </c>
      <c r="AQ141" t="s">
        <v>1220</v>
      </c>
      <c r="AR141" t="s">
        <v>1217</v>
      </c>
      <c r="AS141" t="s">
        <v>1359</v>
      </c>
    </row>
    <row r="142" spans="35:45">
      <c r="AI142" t="s">
        <v>358</v>
      </c>
      <c r="AJ142" t="s">
        <v>425</v>
      </c>
      <c r="AK142" s="12">
        <v>47361</v>
      </c>
      <c r="AM142" t="s">
        <v>1219</v>
      </c>
      <c r="AN142" s="5">
        <v>0</v>
      </c>
      <c r="AO142" t="s">
        <v>1216</v>
      </c>
      <c r="AP142" s="83" t="s">
        <v>603</v>
      </c>
      <c r="AQ142" t="s">
        <v>1220</v>
      </c>
      <c r="AR142" t="s">
        <v>1217</v>
      </c>
      <c r="AS142" t="s">
        <v>1360</v>
      </c>
    </row>
    <row r="143" spans="35:45">
      <c r="AI143" t="s">
        <v>358</v>
      </c>
      <c r="AJ143" t="s">
        <v>425</v>
      </c>
      <c r="AK143" s="12">
        <v>47726</v>
      </c>
      <c r="AM143" t="s">
        <v>1219</v>
      </c>
      <c r="AN143" s="5">
        <v>0</v>
      </c>
      <c r="AO143" t="s">
        <v>1216</v>
      </c>
      <c r="AP143" s="83" t="s">
        <v>603</v>
      </c>
      <c r="AQ143" t="s">
        <v>1220</v>
      </c>
      <c r="AR143" t="s">
        <v>1217</v>
      </c>
      <c r="AS143" t="s">
        <v>1361</v>
      </c>
    </row>
    <row r="144" spans="35:45">
      <c r="AI144" t="s">
        <v>358</v>
      </c>
      <c r="AJ144" t="s">
        <v>425</v>
      </c>
      <c r="AK144" s="12">
        <v>48091</v>
      </c>
      <c r="AM144" t="s">
        <v>1219</v>
      </c>
      <c r="AN144" s="5">
        <v>0</v>
      </c>
      <c r="AO144" t="s">
        <v>1216</v>
      </c>
      <c r="AP144" s="83" t="s">
        <v>603</v>
      </c>
      <c r="AQ144" t="s">
        <v>1220</v>
      </c>
      <c r="AR144" t="s">
        <v>1217</v>
      </c>
      <c r="AS144" t="s">
        <v>1362</v>
      </c>
    </row>
    <row r="145" spans="35:45">
      <c r="AI145" t="s">
        <v>358</v>
      </c>
      <c r="AJ145" t="s">
        <v>425</v>
      </c>
      <c r="AK145" s="12">
        <v>48456</v>
      </c>
      <c r="AM145" t="s">
        <v>1219</v>
      </c>
      <c r="AN145" s="5">
        <v>0</v>
      </c>
      <c r="AO145" t="s">
        <v>1216</v>
      </c>
      <c r="AP145" s="83" t="s">
        <v>603</v>
      </c>
      <c r="AQ145" t="s">
        <v>1220</v>
      </c>
      <c r="AR145" t="s">
        <v>1217</v>
      </c>
      <c r="AS145" t="s">
        <v>1363</v>
      </c>
    </row>
    <row r="146" spans="35:45">
      <c r="AI146" t="s">
        <v>358</v>
      </c>
      <c r="AJ146" t="s">
        <v>425</v>
      </c>
      <c r="AK146" s="12">
        <v>48821</v>
      </c>
      <c r="AM146" t="s">
        <v>1219</v>
      </c>
      <c r="AN146" s="5">
        <v>0</v>
      </c>
      <c r="AO146" t="s">
        <v>1216</v>
      </c>
      <c r="AP146" s="83" t="s">
        <v>603</v>
      </c>
      <c r="AQ146" t="s">
        <v>1220</v>
      </c>
      <c r="AR146" t="s">
        <v>1217</v>
      </c>
      <c r="AS146" t="s">
        <v>1364</v>
      </c>
    </row>
    <row r="147" spans="35:45">
      <c r="AI147" t="s">
        <v>358</v>
      </c>
      <c r="AJ147" t="s">
        <v>425</v>
      </c>
      <c r="AK147" s="12">
        <v>49186</v>
      </c>
      <c r="AM147" t="s">
        <v>1219</v>
      </c>
      <c r="AN147" s="5">
        <v>0</v>
      </c>
      <c r="AO147" t="s">
        <v>1216</v>
      </c>
      <c r="AP147" s="83" t="s">
        <v>603</v>
      </c>
      <c r="AQ147" t="s">
        <v>1220</v>
      </c>
      <c r="AR147" t="s">
        <v>1217</v>
      </c>
      <c r="AS147" t="s">
        <v>1365</v>
      </c>
    </row>
    <row r="148" spans="35:45">
      <c r="AI148" t="s">
        <v>358</v>
      </c>
      <c r="AJ148" t="s">
        <v>425</v>
      </c>
      <c r="AK148" s="12">
        <v>49551</v>
      </c>
      <c r="AM148" t="s">
        <v>1219</v>
      </c>
      <c r="AN148" s="5">
        <v>0</v>
      </c>
      <c r="AO148" t="s">
        <v>1216</v>
      </c>
      <c r="AP148" s="83" t="s">
        <v>603</v>
      </c>
      <c r="AQ148" t="s">
        <v>1220</v>
      </c>
      <c r="AR148" t="s">
        <v>1217</v>
      </c>
      <c r="AS148" t="s">
        <v>1366</v>
      </c>
    </row>
    <row r="149" spans="35:45">
      <c r="AI149" t="s">
        <v>358</v>
      </c>
      <c r="AJ149" t="s">
        <v>425</v>
      </c>
      <c r="AK149" s="12">
        <v>49916</v>
      </c>
      <c r="AM149" t="s">
        <v>1219</v>
      </c>
      <c r="AN149" s="5">
        <v>0</v>
      </c>
      <c r="AO149" t="s">
        <v>1216</v>
      </c>
      <c r="AP149" s="83" t="s">
        <v>603</v>
      </c>
      <c r="AQ149" t="s">
        <v>1220</v>
      </c>
      <c r="AR149" t="s">
        <v>1217</v>
      </c>
      <c r="AS149" t="s">
        <v>1367</v>
      </c>
    </row>
    <row r="150" spans="35:45">
      <c r="AI150" t="s">
        <v>358</v>
      </c>
      <c r="AJ150" t="s">
        <v>425</v>
      </c>
      <c r="AK150" s="12">
        <v>50281</v>
      </c>
      <c r="AM150" t="s">
        <v>1219</v>
      </c>
      <c r="AN150" s="5">
        <v>0</v>
      </c>
      <c r="AO150" t="s">
        <v>1216</v>
      </c>
      <c r="AP150" s="83" t="s">
        <v>603</v>
      </c>
      <c r="AQ150" t="s">
        <v>1220</v>
      </c>
      <c r="AR150" t="s">
        <v>1217</v>
      </c>
      <c r="AS150" t="s">
        <v>1368</v>
      </c>
    </row>
    <row r="151" spans="35:45">
      <c r="AI151" t="s">
        <v>358</v>
      </c>
      <c r="AJ151" t="s">
        <v>425</v>
      </c>
      <c r="AK151" s="12">
        <v>50646</v>
      </c>
      <c r="AM151" t="s">
        <v>1219</v>
      </c>
      <c r="AN151" s="5">
        <v>0</v>
      </c>
      <c r="AO151" t="s">
        <v>1216</v>
      </c>
      <c r="AP151" s="83" t="s">
        <v>603</v>
      </c>
      <c r="AQ151" t="s">
        <v>1220</v>
      </c>
      <c r="AR151" t="s">
        <v>1217</v>
      </c>
      <c r="AS151" t="s">
        <v>1369</v>
      </c>
    </row>
    <row r="152" spans="35:45">
      <c r="AI152" t="s">
        <v>358</v>
      </c>
      <c r="AJ152" t="s">
        <v>425</v>
      </c>
      <c r="AK152" s="12">
        <v>51011</v>
      </c>
      <c r="AM152" t="s">
        <v>1219</v>
      </c>
      <c r="AN152" s="5">
        <v>0</v>
      </c>
      <c r="AO152" t="s">
        <v>1216</v>
      </c>
      <c r="AP152" s="83" t="s">
        <v>603</v>
      </c>
      <c r="AQ152" t="s">
        <v>1220</v>
      </c>
      <c r="AR152" t="s">
        <v>1217</v>
      </c>
      <c r="AS152" t="s">
        <v>1370</v>
      </c>
    </row>
    <row r="153" spans="35:45">
      <c r="AI153" t="s">
        <v>358</v>
      </c>
      <c r="AJ153" t="s">
        <v>425</v>
      </c>
      <c r="AK153" s="12">
        <v>51376</v>
      </c>
      <c r="AM153" t="s">
        <v>1219</v>
      </c>
      <c r="AN153" s="5">
        <v>0</v>
      </c>
      <c r="AO153" t="s">
        <v>1216</v>
      </c>
      <c r="AP153" s="83" t="s">
        <v>603</v>
      </c>
      <c r="AQ153" t="s">
        <v>1220</v>
      </c>
      <c r="AR153" t="s">
        <v>1217</v>
      </c>
      <c r="AS153" t="s">
        <v>1371</v>
      </c>
    </row>
    <row r="154" spans="35:45">
      <c r="AI154" t="s">
        <v>358</v>
      </c>
      <c r="AJ154" t="s">
        <v>425</v>
      </c>
      <c r="AK154" s="12">
        <v>51741</v>
      </c>
      <c r="AM154" t="s">
        <v>1219</v>
      </c>
      <c r="AN154" s="5">
        <v>0</v>
      </c>
      <c r="AO154" t="s">
        <v>1216</v>
      </c>
      <c r="AP154" s="83" t="s">
        <v>603</v>
      </c>
      <c r="AQ154" t="s">
        <v>1220</v>
      </c>
      <c r="AR154" t="s">
        <v>1217</v>
      </c>
      <c r="AS154" t="s">
        <v>1372</v>
      </c>
    </row>
  </sheetData>
  <mergeCells count="24">
    <mergeCell ref="AF25:AG25"/>
    <mergeCell ref="Q25:R25"/>
    <mergeCell ref="T25:U25"/>
    <mergeCell ref="W25:X25"/>
    <mergeCell ref="Z25:AA25"/>
    <mergeCell ref="AC25:AD25"/>
    <mergeCell ref="B25:C25"/>
    <mergeCell ref="E25:F25"/>
    <mergeCell ref="H25:I25"/>
    <mergeCell ref="K25:L25"/>
    <mergeCell ref="N25:O25"/>
    <mergeCell ref="Y1:AA1"/>
    <mergeCell ref="AB1:AD1"/>
    <mergeCell ref="AE1:AG1"/>
    <mergeCell ref="AI1:AS1"/>
    <mergeCell ref="AA2:AA3"/>
    <mergeCell ref="V1:X1"/>
    <mergeCell ref="S1:U1"/>
    <mergeCell ref="A1:C1"/>
    <mergeCell ref="D1:F1"/>
    <mergeCell ref="J1:L1"/>
    <mergeCell ref="M1:O1"/>
    <mergeCell ref="G1:I1"/>
    <mergeCell ref="P1:R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36" customWidth="1"/>
    <col min="5" max="5" width="6.28515625" style="441"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37" t="s">
        <v>427</v>
      </c>
      <c r="B1" s="438" t="s">
        <v>428</v>
      </c>
      <c r="C1" s="438" t="s">
        <v>429</v>
      </c>
      <c r="D1" s="439" t="s">
        <v>430</v>
      </c>
      <c r="E1" s="440" t="s">
        <v>431</v>
      </c>
      <c r="F1" s="438" t="s">
        <v>432</v>
      </c>
      <c r="G1" s="438" t="s">
        <v>433</v>
      </c>
      <c r="H1" s="496" t="s">
        <v>434</v>
      </c>
      <c r="I1" s="3"/>
    </row>
    <row r="2" spans="1:10">
      <c r="A2" s="497">
        <v>1</v>
      </c>
      <c r="B2" s="502" t="s">
        <v>435</v>
      </c>
      <c r="C2" s="498" t="s">
        <v>436</v>
      </c>
      <c r="D2" s="499" t="s">
        <v>437</v>
      </c>
      <c r="E2" s="500">
        <v>1</v>
      </c>
      <c r="F2" s="501">
        <v>0</v>
      </c>
      <c r="G2" s="498" t="s">
        <v>438</v>
      </c>
      <c r="H2">
        <v>1</v>
      </c>
      <c r="J2" t="e">
        <f>+tblContractBase[[#This Row],[Index]]=#REF!+1</f>
        <v>#REF!</v>
      </c>
    </row>
    <row r="3" spans="1:10">
      <c r="A3" s="497">
        <v>2</v>
      </c>
      <c r="B3" s="502" t="s">
        <v>435</v>
      </c>
      <c r="C3" s="498" t="s">
        <v>439</v>
      </c>
      <c r="D3" s="499" t="s">
        <v>439</v>
      </c>
      <c r="E3" s="500">
        <v>1</v>
      </c>
      <c r="F3" s="501">
        <v>0</v>
      </c>
      <c r="G3" s="498" t="s">
        <v>438</v>
      </c>
      <c r="H3">
        <v>1</v>
      </c>
      <c r="J3" t="b">
        <f>+tblContractBase[[#This Row],[Index]]=A2+1</f>
        <v>1</v>
      </c>
    </row>
    <row r="4" spans="1:10">
      <c r="A4" s="497">
        <v>3</v>
      </c>
      <c r="B4" s="502" t="s">
        <v>435</v>
      </c>
      <c r="C4" s="498" t="s">
        <v>440</v>
      </c>
      <c r="D4" s="499" t="s">
        <v>441</v>
      </c>
      <c r="E4" s="500">
        <v>1</v>
      </c>
      <c r="F4" s="501">
        <v>0</v>
      </c>
      <c r="G4" s="498" t="s">
        <v>438</v>
      </c>
      <c r="H4">
        <v>2</v>
      </c>
      <c r="J4" t="b">
        <f>+tblContractBase[[#This Row],[Index]]=A3+1</f>
        <v>1</v>
      </c>
    </row>
    <row r="5" spans="1:10">
      <c r="A5" s="497">
        <v>4</v>
      </c>
      <c r="B5" s="502" t="s">
        <v>435</v>
      </c>
      <c r="C5" s="498" t="s">
        <v>442</v>
      </c>
      <c r="D5" s="499" t="s">
        <v>443</v>
      </c>
      <c r="E5" s="500">
        <v>1</v>
      </c>
      <c r="F5" s="501">
        <v>0</v>
      </c>
      <c r="G5" s="498" t="s">
        <v>438</v>
      </c>
      <c r="H5">
        <v>3</v>
      </c>
      <c r="J5" t="b">
        <f>+tblContractBase[[#This Row],[Index]]=A4+1</f>
        <v>1</v>
      </c>
    </row>
    <row r="6" spans="1:10">
      <c r="A6" s="497">
        <v>5</v>
      </c>
      <c r="B6" s="502" t="s">
        <v>435</v>
      </c>
      <c r="C6" s="498" t="s">
        <v>444</v>
      </c>
      <c r="D6" s="499" t="s">
        <v>445</v>
      </c>
      <c r="E6" s="500">
        <v>1</v>
      </c>
      <c r="F6" s="501">
        <v>0</v>
      </c>
      <c r="G6" s="498" t="s">
        <v>438</v>
      </c>
      <c r="H6">
        <v>4</v>
      </c>
      <c r="J6" t="b">
        <f>+tblContractBase[[#This Row],[Index]]=A5+1</f>
        <v>1</v>
      </c>
    </row>
    <row r="7" spans="1:10">
      <c r="A7" s="497">
        <v>6</v>
      </c>
      <c r="B7" s="502" t="s">
        <v>435</v>
      </c>
      <c r="C7" s="498" t="s">
        <v>446</v>
      </c>
      <c r="D7" s="499" t="s">
        <v>447</v>
      </c>
      <c r="E7" s="500">
        <v>1</v>
      </c>
      <c r="F7" s="501">
        <v>0</v>
      </c>
      <c r="G7" s="498" t="s">
        <v>438</v>
      </c>
      <c r="H7">
        <v>5</v>
      </c>
      <c r="J7" t="b">
        <f>+tblContractBase[[#This Row],[Index]]=A6+1</f>
        <v>1</v>
      </c>
    </row>
    <row r="8" spans="1:10">
      <c r="A8" s="497">
        <v>7</v>
      </c>
      <c r="B8" s="502" t="s">
        <v>435</v>
      </c>
      <c r="C8" s="498" t="s">
        <v>448</v>
      </c>
      <c r="D8" s="499" t="s">
        <v>449</v>
      </c>
      <c r="E8" s="500">
        <v>1</v>
      </c>
      <c r="F8" s="501">
        <v>0</v>
      </c>
      <c r="G8" s="498" t="s">
        <v>438</v>
      </c>
      <c r="H8">
        <v>6</v>
      </c>
      <c r="J8" t="b">
        <f>+tblContractBase[[#This Row],[Index]]=A7+1</f>
        <v>1</v>
      </c>
    </row>
    <row r="9" spans="1:10">
      <c r="A9" s="497">
        <v>8</v>
      </c>
      <c r="B9" s="502" t="s">
        <v>435</v>
      </c>
      <c r="C9" s="498" t="s">
        <v>450</v>
      </c>
      <c r="D9" s="499" t="s">
        <v>451</v>
      </c>
      <c r="E9" s="500">
        <v>1</v>
      </c>
      <c r="F9" s="501">
        <v>0</v>
      </c>
      <c r="G9" s="498" t="s">
        <v>438</v>
      </c>
      <c r="H9">
        <v>7</v>
      </c>
      <c r="J9" t="b">
        <f>+tblContractBase[[#This Row],[Index]]=A8+1</f>
        <v>1</v>
      </c>
    </row>
    <row r="10" spans="1:10">
      <c r="A10" s="497">
        <v>9</v>
      </c>
      <c r="B10" s="502" t="s">
        <v>435</v>
      </c>
      <c r="C10" s="498" t="s">
        <v>452</v>
      </c>
      <c r="D10" s="499" t="s">
        <v>442</v>
      </c>
      <c r="E10" s="500">
        <v>1</v>
      </c>
      <c r="F10" s="501">
        <v>0</v>
      </c>
      <c r="G10" s="498" t="s">
        <v>438</v>
      </c>
      <c r="H10">
        <v>8</v>
      </c>
      <c r="J10" t="b">
        <f>+tblContractBase[[#This Row],[Index]]=A9+1</f>
        <v>1</v>
      </c>
    </row>
    <row r="11" spans="1:10">
      <c r="A11" s="497">
        <v>10</v>
      </c>
      <c r="B11" s="502" t="s">
        <v>435</v>
      </c>
      <c r="C11" s="498" t="s">
        <v>452</v>
      </c>
      <c r="D11" s="499" t="s">
        <v>453</v>
      </c>
      <c r="E11" s="500">
        <v>1</v>
      </c>
      <c r="F11" s="501">
        <v>0</v>
      </c>
      <c r="G11" s="498" t="s">
        <v>438</v>
      </c>
      <c r="H11">
        <v>9</v>
      </c>
      <c r="J11" t="b">
        <f>+tblContractBase[[#This Row],[Index]]=A10+1</f>
        <v>1</v>
      </c>
    </row>
    <row r="12" spans="1:10">
      <c r="A12" s="497">
        <v>11</v>
      </c>
      <c r="B12" s="502" t="s">
        <v>435</v>
      </c>
      <c r="C12" s="498" t="s">
        <v>452</v>
      </c>
      <c r="D12" s="499" t="s">
        <v>454</v>
      </c>
      <c r="E12" s="500">
        <v>1</v>
      </c>
      <c r="F12" s="501">
        <v>0</v>
      </c>
      <c r="G12" s="498" t="s">
        <v>438</v>
      </c>
      <c r="H12">
        <v>10</v>
      </c>
      <c r="J12" t="b">
        <f>+tblContractBase[[#This Row],[Index]]=A11+1</f>
        <v>1</v>
      </c>
    </row>
    <row r="13" spans="1:10">
      <c r="A13" s="497">
        <v>12</v>
      </c>
      <c r="B13" s="502" t="s">
        <v>435</v>
      </c>
      <c r="C13" s="498" t="s">
        <v>455</v>
      </c>
      <c r="D13" s="499" t="s">
        <v>456</v>
      </c>
      <c r="E13" s="500">
        <v>1</v>
      </c>
      <c r="F13" s="501">
        <v>0</v>
      </c>
      <c r="G13" s="498" t="s">
        <v>438</v>
      </c>
      <c r="H13">
        <v>11</v>
      </c>
      <c r="J13" t="b">
        <f>+tblContractBase[[#This Row],[Index]]=A12+1</f>
        <v>1</v>
      </c>
    </row>
    <row r="14" spans="1:10">
      <c r="A14" s="497">
        <v>13</v>
      </c>
      <c r="B14" s="502" t="s">
        <v>435</v>
      </c>
      <c r="C14" s="498" t="s">
        <v>457</v>
      </c>
      <c r="D14" s="499" t="s">
        <v>458</v>
      </c>
      <c r="E14" s="500">
        <v>1</v>
      </c>
      <c r="F14" s="501">
        <v>0</v>
      </c>
      <c r="G14" s="498" t="s">
        <v>438</v>
      </c>
      <c r="H14">
        <v>12</v>
      </c>
      <c r="J14" t="b">
        <f>+tblContractBase[[#This Row],[Index]]=A13+1</f>
        <v>1</v>
      </c>
    </row>
    <row r="15" spans="1:10">
      <c r="A15" s="497">
        <v>14</v>
      </c>
      <c r="B15" s="502" t="s">
        <v>435</v>
      </c>
      <c r="C15" s="498" t="s">
        <v>459</v>
      </c>
      <c r="D15" s="499" t="s">
        <v>460</v>
      </c>
      <c r="E15" s="500">
        <v>1</v>
      </c>
      <c r="F15" s="501">
        <v>0</v>
      </c>
      <c r="G15" s="498" t="s">
        <v>438</v>
      </c>
      <c r="H15">
        <v>13</v>
      </c>
      <c r="J15" t="b">
        <f>+tblContractBase[[#This Row],[Index]]=A14+1</f>
        <v>1</v>
      </c>
    </row>
    <row r="16" spans="1:10">
      <c r="A16" s="497">
        <v>15</v>
      </c>
      <c r="B16" s="502" t="s">
        <v>435</v>
      </c>
      <c r="C16" s="498" t="s">
        <v>461</v>
      </c>
      <c r="D16" s="499" t="s">
        <v>462</v>
      </c>
      <c r="E16" s="500">
        <v>1</v>
      </c>
      <c r="F16" s="501">
        <v>0</v>
      </c>
      <c r="G16" s="498" t="s">
        <v>438</v>
      </c>
      <c r="H16">
        <v>14</v>
      </c>
      <c r="J16" t="b">
        <f>+tblContractBase[[#This Row],[Index]]=A15+1</f>
        <v>1</v>
      </c>
    </row>
    <row r="17" spans="1:10">
      <c r="A17" s="497">
        <v>16</v>
      </c>
      <c r="B17" s="502" t="s">
        <v>435</v>
      </c>
      <c r="C17" s="498" t="s">
        <v>463</v>
      </c>
      <c r="D17" s="499" t="s">
        <v>453</v>
      </c>
      <c r="E17" s="500">
        <v>1</v>
      </c>
      <c r="F17" s="501">
        <v>0</v>
      </c>
      <c r="G17" s="498" t="s">
        <v>438</v>
      </c>
      <c r="H17">
        <v>15</v>
      </c>
      <c r="J17" t="b">
        <f>+tblContractBase[[#This Row],[Index]]=A16+1</f>
        <v>1</v>
      </c>
    </row>
    <row r="18" spans="1:10">
      <c r="A18" s="497">
        <v>17</v>
      </c>
      <c r="B18" s="502" t="s">
        <v>435</v>
      </c>
      <c r="C18" s="498" t="s">
        <v>463</v>
      </c>
      <c r="D18" s="499" t="s">
        <v>442</v>
      </c>
      <c r="E18" s="500">
        <v>1</v>
      </c>
      <c r="F18" s="501">
        <v>0</v>
      </c>
      <c r="G18" s="498" t="s">
        <v>438</v>
      </c>
      <c r="H18">
        <v>16</v>
      </c>
      <c r="J18" t="b">
        <f>+tblContractBase[[#This Row],[Index]]=A17+1</f>
        <v>1</v>
      </c>
    </row>
    <row r="19" spans="1:10">
      <c r="A19" s="497">
        <v>18</v>
      </c>
      <c r="B19" s="502" t="s">
        <v>435</v>
      </c>
      <c r="C19" s="498" t="s">
        <v>463</v>
      </c>
      <c r="D19" s="499" t="s">
        <v>454</v>
      </c>
      <c r="E19" s="500">
        <v>1</v>
      </c>
      <c r="F19" s="501">
        <v>0</v>
      </c>
      <c r="G19" s="498" t="s">
        <v>438</v>
      </c>
      <c r="H19">
        <v>17</v>
      </c>
      <c r="J19" t="b">
        <f>+tblContractBase[[#This Row],[Index]]=A18+1</f>
        <v>1</v>
      </c>
    </row>
    <row r="20" spans="1:10">
      <c r="A20" s="497">
        <v>19</v>
      </c>
      <c r="B20" s="502" t="s">
        <v>435</v>
      </c>
      <c r="C20" s="498" t="s">
        <v>454</v>
      </c>
      <c r="D20" s="499" t="s">
        <v>461</v>
      </c>
      <c r="E20" s="500">
        <v>1</v>
      </c>
      <c r="F20" s="501">
        <v>0</v>
      </c>
      <c r="G20" s="498" t="s">
        <v>438</v>
      </c>
      <c r="H20">
        <v>18</v>
      </c>
      <c r="J20" t="b">
        <f>+tblContractBase[[#This Row],[Index]]=A19+1</f>
        <v>1</v>
      </c>
    </row>
    <row r="21" spans="1:10">
      <c r="A21" s="497">
        <v>20</v>
      </c>
      <c r="B21" s="502" t="s">
        <v>435</v>
      </c>
      <c r="C21" s="498" t="s">
        <v>450</v>
      </c>
      <c r="D21" s="499" t="s">
        <v>464</v>
      </c>
      <c r="E21" s="500">
        <v>1</v>
      </c>
      <c r="F21" s="501">
        <v>0</v>
      </c>
      <c r="G21" s="498" t="s">
        <v>438</v>
      </c>
      <c r="H21">
        <v>19</v>
      </c>
      <c r="J21" t="b">
        <f>+tblContractBase[[#This Row],[Index]]=A20+1</f>
        <v>1</v>
      </c>
    </row>
    <row r="22" spans="1:10">
      <c r="A22" s="497">
        <v>21</v>
      </c>
      <c r="B22" s="502" t="s">
        <v>435</v>
      </c>
      <c r="C22" s="498" t="s">
        <v>465</v>
      </c>
      <c r="D22" s="499" t="s">
        <v>466</v>
      </c>
      <c r="E22" s="500">
        <v>1</v>
      </c>
      <c r="F22" s="501">
        <v>0</v>
      </c>
      <c r="G22" s="498" t="s">
        <v>438</v>
      </c>
      <c r="H22">
        <v>20</v>
      </c>
      <c r="J22" t="b">
        <f>+tblContractBase[[#This Row],[Index]]=A21+1</f>
        <v>1</v>
      </c>
    </row>
    <row r="23" spans="1:10">
      <c r="A23" s="497">
        <v>22</v>
      </c>
      <c r="B23" s="502" t="s">
        <v>435</v>
      </c>
      <c r="C23" s="498" t="s">
        <v>467</v>
      </c>
      <c r="D23" s="499" t="s">
        <v>468</v>
      </c>
      <c r="E23" s="500">
        <v>1</v>
      </c>
      <c r="F23" s="501">
        <v>0</v>
      </c>
      <c r="G23" s="498" t="s">
        <v>438</v>
      </c>
      <c r="H23">
        <v>21</v>
      </c>
      <c r="J23" t="b">
        <f>+tblContractBase[[#This Row],[Index]]=A22+1</f>
        <v>1</v>
      </c>
    </row>
    <row r="24" spans="1:10">
      <c r="A24" s="497">
        <v>23</v>
      </c>
      <c r="B24" s="502" t="s">
        <v>435</v>
      </c>
      <c r="C24" s="498" t="s">
        <v>469</v>
      </c>
      <c r="D24" s="499" t="s">
        <v>470</v>
      </c>
      <c r="E24" s="500">
        <v>1</v>
      </c>
      <c r="F24" s="501">
        <v>0</v>
      </c>
      <c r="G24" s="498" t="s">
        <v>438</v>
      </c>
      <c r="H24">
        <v>22</v>
      </c>
      <c r="J24" t="b">
        <f>+tblContractBase[[#This Row],[Index]]=A23+1</f>
        <v>1</v>
      </c>
    </row>
    <row r="25" spans="1:10">
      <c r="A25" s="497">
        <v>24</v>
      </c>
      <c r="B25" s="502" t="s">
        <v>435</v>
      </c>
      <c r="C25" s="498" t="s">
        <v>459</v>
      </c>
      <c r="D25" s="499" t="s">
        <v>471</v>
      </c>
      <c r="E25" s="500">
        <v>1</v>
      </c>
      <c r="F25" s="501">
        <v>0</v>
      </c>
      <c r="G25" s="498" t="s">
        <v>438</v>
      </c>
      <c r="H25">
        <v>23</v>
      </c>
      <c r="J25" t="b">
        <f>+tblContractBase[[#This Row],[Index]]=A24+1</f>
        <v>1</v>
      </c>
    </row>
    <row r="26" spans="1:10">
      <c r="A26" s="497">
        <v>25</v>
      </c>
      <c r="B26" s="502" t="s">
        <v>435</v>
      </c>
      <c r="C26" s="498" t="s">
        <v>472</v>
      </c>
      <c r="D26" s="499" t="s">
        <v>473</v>
      </c>
      <c r="E26" s="500">
        <v>1</v>
      </c>
      <c r="F26" s="501">
        <v>0</v>
      </c>
      <c r="G26" s="498" t="s">
        <v>438</v>
      </c>
      <c r="H26">
        <v>24</v>
      </c>
      <c r="J26" t="b">
        <f>+tblContractBase[[#This Row],[Index]]=A25+1</f>
        <v>1</v>
      </c>
    </row>
    <row r="27" spans="1:10">
      <c r="A27" s="497">
        <v>26</v>
      </c>
      <c r="B27" s="502" t="s">
        <v>435</v>
      </c>
      <c r="C27" s="498" t="s">
        <v>474</v>
      </c>
      <c r="D27" s="499" t="s">
        <v>472</v>
      </c>
      <c r="E27" s="500">
        <v>1</v>
      </c>
      <c r="F27" s="501">
        <v>0</v>
      </c>
      <c r="G27" s="498" t="s">
        <v>438</v>
      </c>
      <c r="H27">
        <v>25</v>
      </c>
      <c r="J27" t="b">
        <f>+tblContractBase[[#This Row],[Index]]=A26+1</f>
        <v>1</v>
      </c>
    </row>
    <row r="28" spans="1:10">
      <c r="A28" s="497">
        <v>27</v>
      </c>
      <c r="B28" s="502" t="s">
        <v>435</v>
      </c>
      <c r="C28" s="498" t="s">
        <v>475</v>
      </c>
      <c r="D28" s="499" t="s">
        <v>476</v>
      </c>
      <c r="E28" s="500">
        <v>1</v>
      </c>
      <c r="F28" s="501">
        <v>0</v>
      </c>
      <c r="G28" s="498" t="s">
        <v>438</v>
      </c>
      <c r="H28">
        <v>26</v>
      </c>
      <c r="J28" t="b">
        <f>+tblContractBase[[#This Row],[Index]]=A27+1</f>
        <v>1</v>
      </c>
    </row>
    <row r="29" spans="1:10">
      <c r="A29" s="497">
        <v>28</v>
      </c>
      <c r="B29" s="502" t="s">
        <v>435</v>
      </c>
      <c r="C29" s="498" t="s">
        <v>477</v>
      </c>
      <c r="D29" s="499" t="s">
        <v>478</v>
      </c>
      <c r="E29" s="500">
        <v>1</v>
      </c>
      <c r="F29" s="501">
        <v>0</v>
      </c>
      <c r="G29" s="498" t="s">
        <v>438</v>
      </c>
      <c r="H29">
        <v>27</v>
      </c>
      <c r="J29" t="b">
        <f>+tblContractBase[[#This Row],[Index]]=A28+1</f>
        <v>1</v>
      </c>
    </row>
    <row r="30" spans="1:10">
      <c r="A30" s="497">
        <v>31</v>
      </c>
      <c r="B30" s="502" t="s">
        <v>479</v>
      </c>
      <c r="C30" s="498" t="s">
        <v>479</v>
      </c>
      <c r="D30" s="499" t="s">
        <v>480</v>
      </c>
      <c r="E30" s="500">
        <v>1</v>
      </c>
      <c r="F30" s="501"/>
      <c r="G30" s="498" t="s">
        <v>481</v>
      </c>
      <c r="J30" t="e">
        <f>+tblContractBase[[#This Row],[Index]]=#REF!+1</f>
        <v>#REF!</v>
      </c>
    </row>
    <row r="31" spans="1:10">
      <c r="A31" s="497">
        <v>32</v>
      </c>
      <c r="B31" s="502" t="s">
        <v>459</v>
      </c>
      <c r="C31" s="498" t="s">
        <v>459</v>
      </c>
      <c r="D31" s="499" t="s">
        <v>482</v>
      </c>
      <c r="E31" s="500">
        <v>1</v>
      </c>
      <c r="F31" s="501"/>
      <c r="G31" s="498" t="s">
        <v>481</v>
      </c>
      <c r="J31" t="b">
        <f>+tblContractBase[[#This Row],[Index]]=A30+1</f>
        <v>1</v>
      </c>
    </row>
    <row r="32" spans="1:10">
      <c r="A32" s="497">
        <v>33</v>
      </c>
      <c r="B32" s="502" t="s">
        <v>459</v>
      </c>
      <c r="C32" s="498" t="s">
        <v>459</v>
      </c>
      <c r="D32" s="499" t="s">
        <v>483</v>
      </c>
      <c r="E32" s="500">
        <v>1</v>
      </c>
      <c r="F32" s="501"/>
      <c r="G32" s="498" t="s">
        <v>481</v>
      </c>
      <c r="J32" t="b">
        <f>+tblContractBase[[#This Row],[Index]]=A31+1</f>
        <v>1</v>
      </c>
    </row>
    <row r="33" spans="1:10">
      <c r="A33" s="497">
        <v>34</v>
      </c>
      <c r="B33" s="502" t="s">
        <v>459</v>
      </c>
      <c r="C33" s="498" t="s">
        <v>459</v>
      </c>
      <c r="D33" s="499" t="s">
        <v>484</v>
      </c>
      <c r="E33" s="500">
        <v>1</v>
      </c>
      <c r="F33" s="501"/>
      <c r="G33" s="498" t="s">
        <v>481</v>
      </c>
      <c r="J33" t="b">
        <f>+tblContractBase[[#This Row],[Index]]=A32+1</f>
        <v>1</v>
      </c>
    </row>
    <row r="34" spans="1:10" ht="30">
      <c r="A34" s="497">
        <v>38</v>
      </c>
      <c r="B34" s="502" t="s">
        <v>485</v>
      </c>
      <c r="C34" s="498" t="s">
        <v>439</v>
      </c>
      <c r="D34" s="499" t="s">
        <v>486</v>
      </c>
      <c r="E34" s="500">
        <v>1</v>
      </c>
      <c r="F34" s="501"/>
      <c r="G34" s="498" t="s">
        <v>481</v>
      </c>
      <c r="J34" t="e">
        <f>+tblContractBase[[#This Row],[Index]]=#REF!+1</f>
        <v>#REF!</v>
      </c>
    </row>
    <row r="35" spans="1:10">
      <c r="A35" s="497">
        <v>39</v>
      </c>
      <c r="B35" s="502" t="s">
        <v>485</v>
      </c>
      <c r="C35" s="498"/>
      <c r="D35" s="499" t="s">
        <v>487</v>
      </c>
      <c r="E35" s="500">
        <v>1</v>
      </c>
      <c r="F35" s="501"/>
      <c r="G35" s="498" t="s">
        <v>481</v>
      </c>
      <c r="J35" t="b">
        <f>+tblContractBase[[#This Row],[Index]]=A34+1</f>
        <v>1</v>
      </c>
    </row>
    <row r="36" spans="1:10">
      <c r="A36" s="497">
        <v>40</v>
      </c>
      <c r="B36" s="502" t="s">
        <v>488</v>
      </c>
      <c r="C36" s="498" t="s">
        <v>489</v>
      </c>
      <c r="D36" s="499" t="s">
        <v>490</v>
      </c>
      <c r="E36" s="500">
        <v>1</v>
      </c>
      <c r="F36" s="501"/>
      <c r="G36" s="498" t="s">
        <v>481</v>
      </c>
      <c r="J36" t="b">
        <f>+tblContractBase[[#This Row],[Index]]=A35+1</f>
        <v>1</v>
      </c>
    </row>
    <row r="37" spans="1:10">
      <c r="A37" s="497">
        <v>41</v>
      </c>
      <c r="B37" s="502" t="s">
        <v>485</v>
      </c>
      <c r="C37" s="498" t="s">
        <v>489</v>
      </c>
      <c r="D37" s="499" t="s">
        <v>491</v>
      </c>
      <c r="E37" s="500">
        <v>1</v>
      </c>
      <c r="F37" s="501"/>
      <c r="G37" s="498" t="s">
        <v>481</v>
      </c>
      <c r="J37" t="b">
        <f>+tblContractBase[[#This Row],[Index]]=A36+1</f>
        <v>1</v>
      </c>
    </row>
    <row r="38" spans="1:10">
      <c r="A38" s="497">
        <v>48</v>
      </c>
      <c r="B38" s="502" t="s">
        <v>492</v>
      </c>
      <c r="C38" s="498" t="s">
        <v>493</v>
      </c>
      <c r="D38" s="499" t="s">
        <v>494</v>
      </c>
      <c r="E38" s="500">
        <v>1</v>
      </c>
      <c r="F38" s="501"/>
      <c r="G38" s="498" t="s">
        <v>481</v>
      </c>
      <c r="J38" t="e">
        <f>+tblContractBase[[#This Row],[Index]]=#REF!+1</f>
        <v>#REF!</v>
      </c>
    </row>
    <row r="39" spans="1:10">
      <c r="A39" s="497">
        <v>49</v>
      </c>
      <c r="B39" s="502" t="s">
        <v>485</v>
      </c>
      <c r="C39" s="498" t="s">
        <v>439</v>
      </c>
      <c r="D39" s="499" t="s">
        <v>495</v>
      </c>
      <c r="E39" s="500">
        <v>1</v>
      </c>
      <c r="F39" s="501"/>
      <c r="G39" s="498" t="s">
        <v>481</v>
      </c>
      <c r="J39" t="b">
        <f>+tblContractBase[[#This Row],[Index]]=A38+1</f>
        <v>1</v>
      </c>
    </row>
    <row r="40" spans="1:10">
      <c r="A40" s="497">
        <v>50</v>
      </c>
      <c r="B40" s="502" t="s">
        <v>488</v>
      </c>
      <c r="C40" s="498" t="s">
        <v>496</v>
      </c>
      <c r="D40" s="499" t="s">
        <v>497</v>
      </c>
      <c r="E40" s="500">
        <v>1</v>
      </c>
      <c r="F40" s="501"/>
      <c r="G40" s="498" t="s">
        <v>481</v>
      </c>
      <c r="J40" t="b">
        <f>+tblContractBase[[#This Row],[Index]]=A39+1</f>
        <v>1</v>
      </c>
    </row>
    <row r="41" spans="1:10">
      <c r="A41" s="497">
        <v>51</v>
      </c>
      <c r="B41" s="502" t="s">
        <v>488</v>
      </c>
      <c r="C41" s="498" t="s">
        <v>496</v>
      </c>
      <c r="D41" s="499" t="s">
        <v>498</v>
      </c>
      <c r="E41" s="500">
        <v>1</v>
      </c>
      <c r="F41" s="501"/>
      <c r="G41" s="498" t="s">
        <v>481</v>
      </c>
      <c r="J41" t="b">
        <f>+tblContractBase[[#This Row],[Index]]=A40+1</f>
        <v>1</v>
      </c>
    </row>
    <row r="42" spans="1:10">
      <c r="A42" s="497">
        <v>52</v>
      </c>
      <c r="B42" s="502" t="s">
        <v>488</v>
      </c>
      <c r="C42" s="498" t="s">
        <v>496</v>
      </c>
      <c r="D42" s="499" t="s">
        <v>499</v>
      </c>
      <c r="E42" s="500">
        <v>1</v>
      </c>
      <c r="F42" s="501"/>
      <c r="G42" s="498" t="s">
        <v>481</v>
      </c>
      <c r="J42" t="b">
        <f>+tblContractBase[[#This Row],[Index]]=A41+1</f>
        <v>1</v>
      </c>
    </row>
    <row r="43" spans="1:10">
      <c r="A43" s="497">
        <v>53</v>
      </c>
      <c r="B43" s="502" t="s">
        <v>453</v>
      </c>
      <c r="C43" s="498" t="s">
        <v>500</v>
      </c>
      <c r="D43" s="499" t="s">
        <v>501</v>
      </c>
      <c r="E43" s="500">
        <v>1</v>
      </c>
      <c r="F43" s="501"/>
      <c r="G43" s="498" t="s">
        <v>481</v>
      </c>
      <c r="J43" t="b">
        <f>+tblContractBase[[#This Row],[Index]]=A42+1</f>
        <v>1</v>
      </c>
    </row>
    <row r="44" spans="1:10">
      <c r="A44" s="497">
        <v>54</v>
      </c>
      <c r="B44" s="502" t="s">
        <v>502</v>
      </c>
      <c r="C44" s="498"/>
      <c r="D44" s="499" t="s">
        <v>503</v>
      </c>
      <c r="E44" s="500">
        <v>1</v>
      </c>
      <c r="F44" s="501"/>
      <c r="G44" s="498" t="s">
        <v>481</v>
      </c>
      <c r="J44" t="b">
        <f>+tblContractBase[[#This Row],[Index]]=A43+1</f>
        <v>1</v>
      </c>
    </row>
    <row r="45" spans="1:10">
      <c r="A45" s="497">
        <v>55</v>
      </c>
      <c r="B45" s="502" t="s">
        <v>485</v>
      </c>
      <c r="C45" s="498" t="s">
        <v>439</v>
      </c>
      <c r="D45" s="499" t="s">
        <v>504</v>
      </c>
      <c r="E45" s="500">
        <v>1</v>
      </c>
      <c r="F45" s="501"/>
      <c r="G45" s="498" t="s">
        <v>481</v>
      </c>
      <c r="J45" t="b">
        <f>+tblContractBase[[#This Row],[Index]]=A44+1</f>
        <v>1</v>
      </c>
    </row>
    <row r="46" spans="1:10">
      <c r="A46" s="497">
        <v>56</v>
      </c>
      <c r="B46" s="502" t="s">
        <v>502</v>
      </c>
      <c r="C46" s="498" t="s">
        <v>505</v>
      </c>
      <c r="D46" s="499" t="s">
        <v>506</v>
      </c>
      <c r="E46" s="500">
        <v>1</v>
      </c>
      <c r="F46" s="501"/>
      <c r="G46" s="498" t="s">
        <v>481</v>
      </c>
      <c r="J46" t="b">
        <f>+tblContractBase[[#This Row],[Index]]=A45+1</f>
        <v>1</v>
      </c>
    </row>
    <row r="47" spans="1:10">
      <c r="A47" s="497">
        <v>59</v>
      </c>
      <c r="B47" s="502" t="s">
        <v>485</v>
      </c>
      <c r="C47" s="498" t="s">
        <v>439</v>
      </c>
      <c r="D47" s="499" t="s">
        <v>507</v>
      </c>
      <c r="E47" s="500">
        <v>1</v>
      </c>
      <c r="F47" s="501"/>
      <c r="G47" s="498" t="s">
        <v>481</v>
      </c>
      <c r="J47" t="e">
        <f>+tblContractBase[[#This Row],[Index]]=#REF!+1</f>
        <v>#REF!</v>
      </c>
    </row>
    <row r="48" spans="1:10">
      <c r="A48" s="497">
        <v>60</v>
      </c>
      <c r="B48" s="502" t="s">
        <v>488</v>
      </c>
      <c r="C48" s="498" t="s">
        <v>496</v>
      </c>
      <c r="D48" s="499" t="s">
        <v>508</v>
      </c>
      <c r="E48" s="500">
        <v>1</v>
      </c>
      <c r="F48" s="501"/>
      <c r="G48" s="498" t="s">
        <v>481</v>
      </c>
      <c r="J48" t="b">
        <f>+tblContractBase[[#This Row],[Index]]=A47+1</f>
        <v>1</v>
      </c>
    </row>
    <row r="49" spans="1:10">
      <c r="A49" s="497">
        <v>61</v>
      </c>
      <c r="B49" s="502" t="s">
        <v>459</v>
      </c>
      <c r="C49" s="498" t="s">
        <v>459</v>
      </c>
      <c r="D49" s="499" t="s">
        <v>509</v>
      </c>
      <c r="E49" s="500">
        <v>2</v>
      </c>
      <c r="F49" s="501"/>
      <c r="G49" s="498" t="s">
        <v>481</v>
      </c>
      <c r="J49" t="b">
        <f>+tblContractBase[[#This Row],[Index]]=A48+1</f>
        <v>1</v>
      </c>
    </row>
    <row r="50" spans="1:10">
      <c r="A50" s="497">
        <v>62</v>
      </c>
      <c r="B50" s="502" t="s">
        <v>488</v>
      </c>
      <c r="C50" s="498" t="s">
        <v>496</v>
      </c>
      <c r="D50" s="499" t="s">
        <v>510</v>
      </c>
      <c r="E50" s="500">
        <v>1</v>
      </c>
      <c r="F50" s="501"/>
      <c r="G50" s="498" t="s">
        <v>481</v>
      </c>
      <c r="J50" t="b">
        <f>+tblContractBase[[#This Row],[Index]]=A49+1</f>
        <v>1</v>
      </c>
    </row>
    <row r="51" spans="1:10">
      <c r="A51" s="497">
        <v>63</v>
      </c>
      <c r="B51" s="502" t="s">
        <v>454</v>
      </c>
      <c r="C51" s="498" t="s">
        <v>454</v>
      </c>
      <c r="D51" s="499" t="s">
        <v>511</v>
      </c>
      <c r="E51" s="500">
        <v>1</v>
      </c>
      <c r="F51" s="501"/>
      <c r="G51" s="498" t="s">
        <v>481</v>
      </c>
      <c r="J51" t="b">
        <f>+tblContractBase[[#This Row],[Index]]=A50+1</f>
        <v>1</v>
      </c>
    </row>
    <row r="52" spans="1:10">
      <c r="A52" s="497">
        <v>64</v>
      </c>
      <c r="B52" s="502" t="s">
        <v>488</v>
      </c>
      <c r="C52" s="498" t="s">
        <v>496</v>
      </c>
      <c r="D52" s="499" t="s">
        <v>512</v>
      </c>
      <c r="E52" s="500">
        <v>1</v>
      </c>
      <c r="F52" s="501"/>
      <c r="G52" s="498" t="s">
        <v>481</v>
      </c>
      <c r="J52" t="b">
        <f>+tblContractBase[[#This Row],[Index]]=A51+1</f>
        <v>1</v>
      </c>
    </row>
    <row r="53" spans="1:10">
      <c r="A53" s="497">
        <v>67</v>
      </c>
      <c r="B53" s="502" t="s">
        <v>513</v>
      </c>
      <c r="C53" s="498" t="s">
        <v>514</v>
      </c>
      <c r="D53" s="499" t="s">
        <v>515</v>
      </c>
      <c r="E53" s="500">
        <v>1</v>
      </c>
      <c r="F53" s="501"/>
      <c r="G53" s="498" t="s">
        <v>481</v>
      </c>
      <c r="J53" t="e">
        <f>+tblContractBase[[#This Row],[Index]]=#REF!+1</f>
        <v>#REF!</v>
      </c>
    </row>
    <row r="54" spans="1:10">
      <c r="A54" s="497">
        <v>70</v>
      </c>
      <c r="B54" s="502" t="s">
        <v>513</v>
      </c>
      <c r="C54" s="498" t="s">
        <v>516</v>
      </c>
      <c r="D54" s="499" t="s">
        <v>517</v>
      </c>
      <c r="E54" s="500">
        <v>1</v>
      </c>
      <c r="F54" s="501"/>
      <c r="G54" s="498" t="s">
        <v>481</v>
      </c>
      <c r="J54" t="e">
        <f>+tblContractBase[[#This Row],[Index]]=#REF!+1</f>
        <v>#REF!</v>
      </c>
    </row>
    <row r="55" spans="1:10">
      <c r="A55" s="497">
        <v>71</v>
      </c>
      <c r="B55" s="502" t="s">
        <v>453</v>
      </c>
      <c r="C55" s="498" t="s">
        <v>516</v>
      </c>
      <c r="D55" s="499" t="s">
        <v>518</v>
      </c>
      <c r="E55" s="500">
        <v>1</v>
      </c>
      <c r="F55" s="501"/>
      <c r="G55" s="498" t="s">
        <v>481</v>
      </c>
      <c r="J55" t="b">
        <f>+tblContractBase[[#This Row],[Index]]=A54+1</f>
        <v>1</v>
      </c>
    </row>
    <row r="56" spans="1:10">
      <c r="A56" s="497">
        <v>75</v>
      </c>
      <c r="B56" s="502" t="s">
        <v>488</v>
      </c>
      <c r="C56" s="498" t="s">
        <v>496</v>
      </c>
      <c r="D56" s="499" t="s">
        <v>519</v>
      </c>
      <c r="E56" s="500">
        <v>3</v>
      </c>
      <c r="F56" s="501"/>
      <c r="G56" s="498" t="s">
        <v>481</v>
      </c>
    </row>
    <row r="57" spans="1:10">
      <c r="A57" s="497">
        <v>76</v>
      </c>
      <c r="B57" s="502" t="s">
        <v>485</v>
      </c>
      <c r="C57" s="498" t="s">
        <v>459</v>
      </c>
      <c r="D57" s="499" t="s">
        <v>520</v>
      </c>
      <c r="E57" s="500">
        <v>2</v>
      </c>
      <c r="F57" s="501"/>
      <c r="G57" s="498" t="s">
        <v>481</v>
      </c>
      <c r="H57">
        <f t="shared" ref="H57:H60" si="0">+A56</f>
        <v>75</v>
      </c>
      <c r="J57" t="b">
        <f>+tblContractBase[[#This Row],[Index]]=A56+1</f>
        <v>1</v>
      </c>
    </row>
    <row r="58" spans="1:10">
      <c r="A58" s="497">
        <v>77</v>
      </c>
      <c r="B58" s="502" t="s">
        <v>485</v>
      </c>
      <c r="C58" s="498" t="s">
        <v>521</v>
      </c>
      <c r="D58" s="499" t="s">
        <v>522</v>
      </c>
      <c r="E58" s="500">
        <v>1</v>
      </c>
      <c r="F58" s="501"/>
      <c r="G58" s="498" t="s">
        <v>481</v>
      </c>
      <c r="H58">
        <f t="shared" si="0"/>
        <v>76</v>
      </c>
    </row>
    <row r="59" spans="1:10">
      <c r="A59" s="497">
        <v>78</v>
      </c>
      <c r="B59" s="502" t="s">
        <v>513</v>
      </c>
      <c r="C59" s="498" t="s">
        <v>523</v>
      </c>
      <c r="D59" s="499" t="s">
        <v>524</v>
      </c>
      <c r="E59" s="500">
        <v>1</v>
      </c>
      <c r="F59" s="501"/>
      <c r="G59" s="498" t="s">
        <v>481</v>
      </c>
      <c r="H59">
        <f t="shared" si="0"/>
        <v>77</v>
      </c>
    </row>
    <row r="60" spans="1:10">
      <c r="A60" s="497">
        <v>79</v>
      </c>
      <c r="B60" s="502" t="s">
        <v>459</v>
      </c>
      <c r="C60" s="498" t="s">
        <v>516</v>
      </c>
      <c r="D60" s="499" t="s">
        <v>525</v>
      </c>
      <c r="E60" s="500">
        <v>1</v>
      </c>
      <c r="F60" s="501"/>
      <c r="G60" s="498" t="s">
        <v>481</v>
      </c>
      <c r="H60">
        <f t="shared" si="0"/>
        <v>78</v>
      </c>
    </row>
    <row r="61" spans="1:10">
      <c r="A61" s="497">
        <v>80</v>
      </c>
      <c r="B61" s="502" t="s">
        <v>459</v>
      </c>
      <c r="C61" s="498" t="s">
        <v>523</v>
      </c>
      <c r="D61" s="499" t="s">
        <v>1169</v>
      </c>
      <c r="E61" s="500">
        <v>2</v>
      </c>
      <c r="F61" s="501">
        <v>62.5</v>
      </c>
      <c r="G61" s="498" t="s">
        <v>481</v>
      </c>
      <c r="H61">
        <v>77</v>
      </c>
    </row>
    <row r="62" spans="1:10">
      <c r="A62" s="497">
        <v>81</v>
      </c>
      <c r="B62" s="502" t="s">
        <v>502</v>
      </c>
      <c r="C62" s="498" t="s">
        <v>505</v>
      </c>
      <c r="D62" s="499" t="s">
        <v>1174</v>
      </c>
      <c r="E62" s="500">
        <v>16</v>
      </c>
      <c r="F62" s="501">
        <v>62.5</v>
      </c>
      <c r="G62" s="498" t="s">
        <v>481</v>
      </c>
      <c r="H62">
        <f>+A61</f>
        <v>80</v>
      </c>
    </row>
    <row r="63" spans="1:10">
      <c r="A63" s="497">
        <v>82</v>
      </c>
      <c r="B63" s="502" t="s">
        <v>459</v>
      </c>
      <c r="C63" s="498" t="s">
        <v>521</v>
      </c>
      <c r="D63" s="499" t="s">
        <v>1173</v>
      </c>
      <c r="E63" s="500">
        <v>15</v>
      </c>
      <c r="F63" s="501">
        <v>62.5</v>
      </c>
      <c r="G63" s="498" t="s">
        <v>481</v>
      </c>
      <c r="H63">
        <f>+A62</f>
        <v>81</v>
      </c>
    </row>
    <row r="64" spans="1:10">
      <c r="A64" s="497">
        <v>83</v>
      </c>
      <c r="B64" s="502" t="s">
        <v>1197</v>
      </c>
      <c r="C64" s="498" t="s">
        <v>521</v>
      </c>
      <c r="D64" s="499" t="s">
        <v>1198</v>
      </c>
      <c r="E64" s="500">
        <v>11</v>
      </c>
      <c r="F64" s="501">
        <v>62.5</v>
      </c>
      <c r="G64" s="498" t="s">
        <v>481</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16"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427</v>
      </c>
      <c r="B1" t="s">
        <v>428</v>
      </c>
      <c r="C1" t="s">
        <v>429</v>
      </c>
      <c r="D1" t="s">
        <v>430</v>
      </c>
      <c r="E1" t="s">
        <v>431</v>
      </c>
      <c r="F1" t="s">
        <v>432</v>
      </c>
      <c r="G1" t="s">
        <v>433</v>
      </c>
      <c r="H1" t="s">
        <v>434</v>
      </c>
      <c r="I1" t="s">
        <v>526</v>
      </c>
      <c r="J1" s="516" t="s">
        <v>527</v>
      </c>
      <c r="K1" t="s">
        <v>528</v>
      </c>
      <c r="L1" t="s">
        <v>529</v>
      </c>
      <c r="M1" s="442" t="s">
        <v>530</v>
      </c>
      <c r="N1" t="s">
        <v>531</v>
      </c>
      <c r="O1" t="s">
        <v>532</v>
      </c>
      <c r="P1" t="s">
        <v>533</v>
      </c>
      <c r="Q1" t="s">
        <v>357</v>
      </c>
      <c r="R1" t="s">
        <v>534</v>
      </c>
    </row>
    <row r="2" spans="1:18">
      <c r="A2">
        <v>1</v>
      </c>
      <c r="B2" t="s">
        <v>435</v>
      </c>
      <c r="C2" t="s">
        <v>436</v>
      </c>
      <c r="D2" t="s">
        <v>437</v>
      </c>
      <c r="E2">
        <v>1</v>
      </c>
      <c r="F2">
        <v>0</v>
      </c>
      <c r="G2" t="s">
        <v>438</v>
      </c>
      <c r="H2">
        <v>1</v>
      </c>
      <c r="I2" cm="1">
        <f t="array" ref="I2">_xlfn.XLOOKUP(tblContractDependency[[#This Row],[Index]],_xleta.INDEX,qryContractsToGnatt[Unit Price],0)</f>
        <v>0</v>
      </c>
      <c r="J2" s="516">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42">
        <f ca="1">IFERROR(_xlfn.XLOOKUP(tblContractDependency[[#This Row],[Index]], Contract_Edits[Index], Contract_Edits[Date]), tblContractDependency[[#This Row],[Start]])</f>
        <v>46185</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435</v>
      </c>
      <c r="C3" t="s">
        <v>439</v>
      </c>
      <c r="D3" t="s">
        <v>439</v>
      </c>
      <c r="E3">
        <v>1</v>
      </c>
      <c r="F3">
        <v>0</v>
      </c>
      <c r="G3" t="s">
        <v>438</v>
      </c>
      <c r="H3">
        <v>1</v>
      </c>
      <c r="I3" cm="1">
        <f t="array" ref="I3">_xlfn.XLOOKUP(tblContractDependency[[#This Row],[Index]],_xleta.INDEX,qryContractsToGnatt[Unit Price],0)</f>
        <v>0</v>
      </c>
      <c r="J3" s="516">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42">
        <f ca="1">IFERROR(_xlfn.XLOOKUP(tblContractDependency[[#This Row],[Index]], Contract_Edits[Index], Contract_Edits[Date]), tblContractDependency[[#This Row],[Start]])</f>
        <v>46188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435</v>
      </c>
      <c r="C4" t="s">
        <v>440</v>
      </c>
      <c r="D4" t="s">
        <v>441</v>
      </c>
      <c r="E4">
        <v>1</v>
      </c>
      <c r="F4">
        <v>0</v>
      </c>
      <c r="G4" t="s">
        <v>438</v>
      </c>
      <c r="H4">
        <v>2</v>
      </c>
      <c r="I4" cm="1">
        <f t="array" ref="I4">_xlfn.XLOOKUP(tblContractDependency[[#This Row],[Index]],_xleta.INDEX,qryContractsToGnatt[Unit Price],0)</f>
        <v>0</v>
      </c>
      <c r="J4" s="516">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42">
        <f ca="1">IFERROR(_xlfn.XLOOKUP(tblContractDependency[[#This Row],[Index]], Contract_Edits[Index], Contract_Edits[Date]), tblContractDependency[[#This Row],[Start]])</f>
        <v>46188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435</v>
      </c>
      <c r="C5" t="s">
        <v>442</v>
      </c>
      <c r="D5" t="s">
        <v>443</v>
      </c>
      <c r="E5">
        <v>1</v>
      </c>
      <c r="F5">
        <v>0</v>
      </c>
      <c r="G5" t="s">
        <v>438</v>
      </c>
      <c r="H5">
        <v>3</v>
      </c>
      <c r="I5" cm="1">
        <f t="array" ref="I5">_xlfn.XLOOKUP(tblContractDependency[[#This Row],[Index]],_xleta.INDEX,qryContractsToGnatt[Unit Price],0)</f>
        <v>0</v>
      </c>
      <c r="J5" s="516">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42">
        <f ca="1">IFERROR(_xlfn.XLOOKUP(tblContractDependency[[#This Row],[Index]], Contract_Edits[Index], Contract_Edits[Date]), tblContractDependency[[#This Row],[Start]])</f>
        <v>46188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435</v>
      </c>
      <c r="C6" t="s">
        <v>444</v>
      </c>
      <c r="D6" t="s">
        <v>445</v>
      </c>
      <c r="E6">
        <v>1</v>
      </c>
      <c r="F6">
        <v>0</v>
      </c>
      <c r="G6" t="s">
        <v>438</v>
      </c>
      <c r="H6">
        <v>4</v>
      </c>
      <c r="I6" cm="1">
        <f t="array" ref="I6">_xlfn.XLOOKUP(tblContractDependency[[#This Row],[Index]],_xleta.INDEX,qryContractsToGnatt[Unit Price],0)</f>
        <v>0</v>
      </c>
      <c r="J6" s="516">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42">
        <f ca="1">IFERROR(_xlfn.XLOOKUP(tblContractDependency[[#This Row],[Index]], Contract_Edits[Index], Contract_Edits[Date]), tblContractDependency[[#This Row],[Start]])</f>
        <v>46188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435</v>
      </c>
      <c r="C7" t="s">
        <v>446</v>
      </c>
      <c r="D7" t="s">
        <v>447</v>
      </c>
      <c r="E7">
        <v>1</v>
      </c>
      <c r="F7">
        <v>0</v>
      </c>
      <c r="G7" t="s">
        <v>438</v>
      </c>
      <c r="H7">
        <v>5</v>
      </c>
      <c r="I7" cm="1">
        <f t="array" ref="I7">_xlfn.XLOOKUP(tblContractDependency[[#This Row],[Index]],_xleta.INDEX,qryContractsToGnatt[Unit Price],0)</f>
        <v>0</v>
      </c>
      <c r="J7" s="516">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42">
        <f ca="1">IFERROR(_xlfn.XLOOKUP(tblContractDependency[[#This Row],[Index]], Contract_Edits[Index], Contract_Edits[Date]), tblContractDependency[[#This Row],[Start]])</f>
        <v>46188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435</v>
      </c>
      <c r="C8" t="s">
        <v>448</v>
      </c>
      <c r="D8" t="s">
        <v>449</v>
      </c>
      <c r="E8">
        <v>1</v>
      </c>
      <c r="F8">
        <v>0</v>
      </c>
      <c r="G8" t="s">
        <v>438</v>
      </c>
      <c r="H8">
        <v>6</v>
      </c>
      <c r="I8" cm="1">
        <f t="array" ref="I8">_xlfn.XLOOKUP(tblContractDependency[[#This Row],[Index]],_xleta.INDEX,qryContractsToGnatt[Unit Price],0)</f>
        <v>0</v>
      </c>
      <c r="J8" s="516">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42">
        <f ca="1">IFERROR(_xlfn.XLOOKUP(tblContractDependency[[#This Row],[Index]], Contract_Edits[Index], Contract_Edits[Date]), tblContractDependency[[#This Row],[Start]])</f>
        <v>46188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435</v>
      </c>
      <c r="C9" t="s">
        <v>450</v>
      </c>
      <c r="D9" t="s">
        <v>451</v>
      </c>
      <c r="E9">
        <v>1</v>
      </c>
      <c r="F9">
        <v>0</v>
      </c>
      <c r="G9" t="s">
        <v>438</v>
      </c>
      <c r="H9">
        <v>7</v>
      </c>
      <c r="I9" cm="1">
        <f t="array" ref="I9">_xlfn.XLOOKUP(tblContractDependency[[#This Row],[Index]],_xleta.INDEX,qryContractsToGnatt[Unit Price],0)</f>
        <v>0</v>
      </c>
      <c r="J9" s="516">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42">
        <f ca="1">IFERROR(_xlfn.XLOOKUP(tblContractDependency[[#This Row],[Index]], Contract_Edits[Index], Contract_Edits[Date]), tblContractDependency[[#This Row],[Start]])</f>
        <v>46188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435</v>
      </c>
      <c r="C10" t="s">
        <v>452</v>
      </c>
      <c r="D10" t="s">
        <v>442</v>
      </c>
      <c r="E10">
        <v>1</v>
      </c>
      <c r="F10">
        <v>0</v>
      </c>
      <c r="G10" t="s">
        <v>438</v>
      </c>
      <c r="H10">
        <v>8</v>
      </c>
      <c r="I10" cm="1">
        <f t="array" ref="I10">_xlfn.XLOOKUP(tblContractDependency[[#This Row],[Index]],_xleta.INDEX,qryContractsToGnatt[Unit Price],0)</f>
        <v>0</v>
      </c>
      <c r="J10" s="516">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42">
        <f ca="1">IFERROR(_xlfn.XLOOKUP(tblContractDependency[[#This Row],[Index]], Contract_Edits[Index], Contract_Edits[Date]), tblContractDependency[[#This Row],[Start]])</f>
        <v>46188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435</v>
      </c>
      <c r="C11" t="s">
        <v>452</v>
      </c>
      <c r="D11" t="s">
        <v>453</v>
      </c>
      <c r="E11">
        <v>1</v>
      </c>
      <c r="F11">
        <v>0</v>
      </c>
      <c r="G11" t="s">
        <v>438</v>
      </c>
      <c r="H11">
        <v>9</v>
      </c>
      <c r="I11" cm="1">
        <f t="array" ref="I11">_xlfn.XLOOKUP(tblContractDependency[[#This Row],[Index]],_xleta.INDEX,qryContractsToGnatt[Unit Price],0)</f>
        <v>0</v>
      </c>
      <c r="J11" s="516">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42">
        <f ca="1">IFERROR(_xlfn.XLOOKUP(tblContractDependency[[#This Row],[Index]], Contract_Edits[Index], Contract_Edits[Date]), tblContractDependency[[#This Row],[Start]])</f>
        <v>46188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435</v>
      </c>
      <c r="C12" t="s">
        <v>452</v>
      </c>
      <c r="D12" t="s">
        <v>454</v>
      </c>
      <c r="E12">
        <v>1</v>
      </c>
      <c r="F12">
        <v>0</v>
      </c>
      <c r="G12" t="s">
        <v>438</v>
      </c>
      <c r="H12">
        <v>10</v>
      </c>
      <c r="I12" cm="1">
        <f t="array" ref="I12">_xlfn.XLOOKUP(tblContractDependency[[#This Row],[Index]],_xleta.INDEX,qryContractsToGnatt[Unit Price],0)</f>
        <v>0</v>
      </c>
      <c r="J12" s="516">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42">
        <f ca="1">IFERROR(_xlfn.XLOOKUP(tblContractDependency[[#This Row],[Index]], Contract_Edits[Index], Contract_Edits[Date]), tblContractDependency[[#This Row],[Start]])</f>
        <v>46188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435</v>
      </c>
      <c r="C13" t="s">
        <v>455</v>
      </c>
      <c r="D13" t="s">
        <v>456</v>
      </c>
      <c r="E13">
        <v>1</v>
      </c>
      <c r="F13">
        <v>0</v>
      </c>
      <c r="G13" t="s">
        <v>438</v>
      </c>
      <c r="H13">
        <v>11</v>
      </c>
      <c r="I13" cm="1">
        <f t="array" ref="I13">_xlfn.XLOOKUP(tblContractDependency[[#This Row],[Index]],_xleta.INDEX,qryContractsToGnatt[Unit Price],0)</f>
        <v>0</v>
      </c>
      <c r="J13" s="516">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42">
        <f ca="1">IFERROR(_xlfn.XLOOKUP(tblContractDependency[[#This Row],[Index]], Contract_Edits[Index], Contract_Edits[Date]), tblContractDependency[[#This Row],[Start]])</f>
        <v>46188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435</v>
      </c>
      <c r="C14" t="s">
        <v>457</v>
      </c>
      <c r="D14" t="s">
        <v>458</v>
      </c>
      <c r="E14">
        <v>1</v>
      </c>
      <c r="F14">
        <v>0</v>
      </c>
      <c r="G14" t="s">
        <v>438</v>
      </c>
      <c r="H14">
        <v>12</v>
      </c>
      <c r="I14" cm="1">
        <f t="array" ref="I14">_xlfn.XLOOKUP(tblContractDependency[[#This Row],[Index]],_xleta.INDEX,qryContractsToGnatt[Unit Price],0)</f>
        <v>0</v>
      </c>
      <c r="J14" s="516">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42">
        <f ca="1">IFERROR(_xlfn.XLOOKUP(tblContractDependency[[#This Row],[Index]], Contract_Edits[Index], Contract_Edits[Date]), tblContractDependency[[#This Row],[Start]])</f>
        <v>46188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435</v>
      </c>
      <c r="C15" t="s">
        <v>459</v>
      </c>
      <c r="D15" t="s">
        <v>460</v>
      </c>
      <c r="E15">
        <v>1</v>
      </c>
      <c r="F15">
        <v>0</v>
      </c>
      <c r="G15" t="s">
        <v>438</v>
      </c>
      <c r="H15">
        <v>13</v>
      </c>
      <c r="I15" cm="1">
        <f t="array" ref="I15">_xlfn.XLOOKUP(tblContractDependency[[#This Row],[Index]],_xleta.INDEX,qryContractsToGnatt[Unit Price],0)</f>
        <v>0</v>
      </c>
      <c r="J15" s="516">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42">
        <f ca="1">IFERROR(_xlfn.XLOOKUP(tblContractDependency[[#This Row],[Index]], Contract_Edits[Index], Contract_Edits[Date]), tblContractDependency[[#This Row],[Start]])</f>
        <v>46188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435</v>
      </c>
      <c r="C16" t="s">
        <v>461</v>
      </c>
      <c r="D16" t="s">
        <v>462</v>
      </c>
      <c r="E16">
        <v>1</v>
      </c>
      <c r="F16">
        <v>0</v>
      </c>
      <c r="G16" t="s">
        <v>438</v>
      </c>
      <c r="H16">
        <v>14</v>
      </c>
      <c r="I16" cm="1">
        <f t="array" ref="I16">_xlfn.XLOOKUP(tblContractDependency[[#This Row],[Index]],_xleta.INDEX,qryContractsToGnatt[Unit Price],0)</f>
        <v>0</v>
      </c>
      <c r="J16" s="516">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42">
        <f ca="1">IFERROR(_xlfn.XLOOKUP(tblContractDependency[[#This Row],[Index]], Contract_Edits[Index], Contract_Edits[Date]), tblContractDependency[[#This Row],[Start]])</f>
        <v>46188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435</v>
      </c>
      <c r="C17" t="s">
        <v>463</v>
      </c>
      <c r="D17" t="s">
        <v>453</v>
      </c>
      <c r="E17">
        <v>1</v>
      </c>
      <c r="F17">
        <v>0</v>
      </c>
      <c r="G17" t="s">
        <v>438</v>
      </c>
      <c r="H17">
        <v>15</v>
      </c>
      <c r="I17" cm="1">
        <f t="array" ref="I17">_xlfn.XLOOKUP(tblContractDependency[[#This Row],[Index]],_xleta.INDEX,qryContractsToGnatt[Unit Price],0)</f>
        <v>0</v>
      </c>
      <c r="J17" s="516">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42">
        <f ca="1">IFERROR(_xlfn.XLOOKUP(tblContractDependency[[#This Row],[Index]], Contract_Edits[Index], Contract_Edits[Date]), tblContractDependency[[#This Row],[Start]])</f>
        <v>46188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435</v>
      </c>
      <c r="C18" t="s">
        <v>463</v>
      </c>
      <c r="D18" t="s">
        <v>442</v>
      </c>
      <c r="E18">
        <v>1</v>
      </c>
      <c r="F18">
        <v>0</v>
      </c>
      <c r="G18" t="s">
        <v>438</v>
      </c>
      <c r="H18">
        <v>16</v>
      </c>
      <c r="I18" cm="1">
        <f t="array" ref="I18">_xlfn.XLOOKUP(tblContractDependency[[#This Row],[Index]],_xleta.INDEX,qryContractsToGnatt[Unit Price],0)</f>
        <v>0</v>
      </c>
      <c r="J18" s="516">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42">
        <f ca="1">IFERROR(_xlfn.XLOOKUP(tblContractDependency[[#This Row],[Index]], Contract_Edits[Index], Contract_Edits[Date]), tblContractDependency[[#This Row],[Start]])</f>
        <v>46188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435</v>
      </c>
      <c r="C19" t="s">
        <v>463</v>
      </c>
      <c r="D19" t="s">
        <v>454</v>
      </c>
      <c r="E19">
        <v>1</v>
      </c>
      <c r="F19">
        <v>0</v>
      </c>
      <c r="G19" t="s">
        <v>438</v>
      </c>
      <c r="H19">
        <v>17</v>
      </c>
      <c r="I19" cm="1">
        <f t="array" ref="I19">_xlfn.XLOOKUP(tblContractDependency[[#This Row],[Index]],_xleta.INDEX,qryContractsToGnatt[Unit Price],0)</f>
        <v>0</v>
      </c>
      <c r="J19" s="516">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42">
        <f ca="1">IFERROR(_xlfn.XLOOKUP(tblContractDependency[[#This Row],[Index]], Contract_Edits[Index], Contract_Edits[Date]), tblContractDependency[[#This Row],[Start]])</f>
        <v>46188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435</v>
      </c>
      <c r="C20" t="s">
        <v>454</v>
      </c>
      <c r="D20" t="s">
        <v>461</v>
      </c>
      <c r="E20">
        <v>1</v>
      </c>
      <c r="F20">
        <v>0</v>
      </c>
      <c r="G20" t="s">
        <v>438</v>
      </c>
      <c r="H20">
        <v>18</v>
      </c>
      <c r="I20" cm="1">
        <f t="array" ref="I20">_xlfn.XLOOKUP(tblContractDependency[[#This Row],[Index]],_xleta.INDEX,qryContractsToGnatt[Unit Price],0)</f>
        <v>0</v>
      </c>
      <c r="J20" s="516">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42">
        <f ca="1">IFERROR(_xlfn.XLOOKUP(tblContractDependency[[#This Row],[Index]], Contract_Edits[Index], Contract_Edits[Date]), tblContractDependency[[#This Row],[Start]])</f>
        <v>46188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435</v>
      </c>
      <c r="C21" t="s">
        <v>450</v>
      </c>
      <c r="D21" t="s">
        <v>464</v>
      </c>
      <c r="E21">
        <v>1</v>
      </c>
      <c r="F21">
        <v>0</v>
      </c>
      <c r="G21" t="s">
        <v>438</v>
      </c>
      <c r="H21">
        <v>19</v>
      </c>
      <c r="I21" cm="1">
        <f t="array" ref="I21">_xlfn.XLOOKUP(tblContractDependency[[#This Row],[Index]],_xleta.INDEX,qryContractsToGnatt[Unit Price],0)</f>
        <v>0</v>
      </c>
      <c r="J21" s="516">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42">
        <f ca="1">IFERROR(_xlfn.XLOOKUP(tblContractDependency[[#This Row],[Index]], Contract_Edits[Index], Contract_Edits[Date]), tblContractDependency[[#This Row],[Start]])</f>
        <v>46188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435</v>
      </c>
      <c r="C22" t="s">
        <v>465</v>
      </c>
      <c r="D22" t="s">
        <v>466</v>
      </c>
      <c r="E22">
        <v>1</v>
      </c>
      <c r="F22">
        <v>0</v>
      </c>
      <c r="G22" t="s">
        <v>438</v>
      </c>
      <c r="H22">
        <v>20</v>
      </c>
      <c r="I22" cm="1">
        <f t="array" ref="I22">_xlfn.XLOOKUP(tblContractDependency[[#This Row],[Index]],_xleta.INDEX,qryContractsToGnatt[Unit Price],0)</f>
        <v>0</v>
      </c>
      <c r="J22" s="516">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42">
        <f ca="1">IFERROR(_xlfn.XLOOKUP(tblContractDependency[[#This Row],[Index]], Contract_Edits[Index], Contract_Edits[Date]), tblContractDependency[[#This Row],[Start]])</f>
        <v>46188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435</v>
      </c>
      <c r="C23" t="s">
        <v>467</v>
      </c>
      <c r="D23" t="s">
        <v>468</v>
      </c>
      <c r="E23">
        <v>1</v>
      </c>
      <c r="F23">
        <v>0</v>
      </c>
      <c r="G23" t="s">
        <v>438</v>
      </c>
      <c r="H23">
        <v>21</v>
      </c>
      <c r="I23" cm="1">
        <f t="array" ref="I23">_xlfn.XLOOKUP(tblContractDependency[[#This Row],[Index]],_xleta.INDEX,qryContractsToGnatt[Unit Price],0)</f>
        <v>0</v>
      </c>
      <c r="J23" s="516">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42">
        <f ca="1">IFERROR(_xlfn.XLOOKUP(tblContractDependency[[#This Row],[Index]], Contract_Edits[Index], Contract_Edits[Date]), tblContractDependency[[#This Row],[Start]])</f>
        <v>46188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435</v>
      </c>
      <c r="C24" t="s">
        <v>469</v>
      </c>
      <c r="D24" t="s">
        <v>470</v>
      </c>
      <c r="E24">
        <v>1</v>
      </c>
      <c r="F24">
        <v>0</v>
      </c>
      <c r="G24" t="s">
        <v>438</v>
      </c>
      <c r="H24">
        <v>22</v>
      </c>
      <c r="I24" cm="1">
        <f t="array" ref="I24">_xlfn.XLOOKUP(tblContractDependency[[#This Row],[Index]],_xleta.INDEX,qryContractsToGnatt[Unit Price],0)</f>
        <v>0</v>
      </c>
      <c r="J24" s="516">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42">
        <f ca="1">IFERROR(_xlfn.XLOOKUP(tblContractDependency[[#This Row],[Index]], Contract_Edits[Index], Contract_Edits[Date]), tblContractDependency[[#This Row],[Start]])</f>
        <v>46188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435</v>
      </c>
      <c r="C25" t="s">
        <v>459</v>
      </c>
      <c r="D25" t="s">
        <v>471</v>
      </c>
      <c r="E25">
        <v>1</v>
      </c>
      <c r="F25">
        <v>0</v>
      </c>
      <c r="G25" t="s">
        <v>438</v>
      </c>
      <c r="H25">
        <v>23</v>
      </c>
      <c r="I25" cm="1">
        <f t="array" ref="I25">_xlfn.XLOOKUP(tblContractDependency[[#This Row],[Index]],_xleta.INDEX,qryContractsToGnatt[Unit Price],0)</f>
        <v>0</v>
      </c>
      <c r="J25" s="516">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42">
        <f ca="1">IFERROR(_xlfn.XLOOKUP(tblContractDependency[[#This Row],[Index]], Contract_Edits[Index], Contract_Edits[Date]), tblContractDependency[[#This Row],[Start]])</f>
        <v>46188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435</v>
      </c>
      <c r="C26" t="s">
        <v>472</v>
      </c>
      <c r="D26" t="s">
        <v>473</v>
      </c>
      <c r="E26">
        <v>1</v>
      </c>
      <c r="F26">
        <v>0</v>
      </c>
      <c r="G26" t="s">
        <v>438</v>
      </c>
      <c r="H26">
        <v>24</v>
      </c>
      <c r="I26" cm="1">
        <f t="array" ref="I26">_xlfn.XLOOKUP(tblContractDependency[[#This Row],[Index]],_xleta.INDEX,qryContractsToGnatt[Unit Price],0)</f>
        <v>0</v>
      </c>
      <c r="J26" s="516">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42">
        <f ca="1">IFERROR(_xlfn.XLOOKUP(tblContractDependency[[#This Row],[Index]], Contract_Edits[Index], Contract_Edits[Date]), tblContractDependency[[#This Row],[Start]])</f>
        <v>46188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435</v>
      </c>
      <c r="C27" t="s">
        <v>474</v>
      </c>
      <c r="D27" t="s">
        <v>472</v>
      </c>
      <c r="E27">
        <v>1</v>
      </c>
      <c r="F27">
        <v>0</v>
      </c>
      <c r="G27" t="s">
        <v>438</v>
      </c>
      <c r="H27">
        <v>25</v>
      </c>
      <c r="I27" cm="1">
        <f t="array" ref="I27">_xlfn.XLOOKUP(tblContractDependency[[#This Row],[Index]],_xleta.INDEX,qryContractsToGnatt[Unit Price],0)</f>
        <v>0</v>
      </c>
      <c r="J27" s="516">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42">
        <f ca="1">IFERROR(_xlfn.XLOOKUP(tblContractDependency[[#This Row],[Index]], Contract_Edits[Index], Contract_Edits[Date]), tblContractDependency[[#This Row],[Start]])</f>
        <v>46188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435</v>
      </c>
      <c r="C28" t="s">
        <v>475</v>
      </c>
      <c r="D28" t="s">
        <v>476</v>
      </c>
      <c r="E28">
        <v>1</v>
      </c>
      <c r="F28">
        <v>0</v>
      </c>
      <c r="G28" t="s">
        <v>438</v>
      </c>
      <c r="H28">
        <v>26</v>
      </c>
      <c r="I28" cm="1">
        <f t="array" ref="I28">_xlfn.XLOOKUP(tblContractDependency[[#This Row],[Index]],_xleta.INDEX,qryContractsToGnatt[Unit Price],0)</f>
        <v>0</v>
      </c>
      <c r="J28" s="516">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42">
        <f ca="1">IFERROR(_xlfn.XLOOKUP(tblContractDependency[[#This Row],[Index]], Contract_Edits[Index], Contract_Edits[Date]), tblContractDependency[[#This Row],[Start]])</f>
        <v>46188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435</v>
      </c>
      <c r="C29" t="s">
        <v>477</v>
      </c>
      <c r="D29" t="s">
        <v>478</v>
      </c>
      <c r="E29">
        <v>1</v>
      </c>
      <c r="F29">
        <v>0</v>
      </c>
      <c r="G29" t="s">
        <v>438</v>
      </c>
      <c r="H29">
        <v>27</v>
      </c>
      <c r="I29" cm="1">
        <f t="array" ref="I29">_xlfn.XLOOKUP(tblContractDependency[[#This Row],[Index]],_xleta.INDEX,qryContractsToGnatt[Unit Price],0)</f>
        <v>0</v>
      </c>
      <c r="J29" s="516">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42">
        <f ca="1">IFERROR(_xlfn.XLOOKUP(tblContractDependency[[#This Row],[Index]], Contract_Edits[Index], Contract_Edits[Date]), tblContractDependency[[#This Row],[Start]])</f>
        <v>46188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42"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535</v>
      </c>
      <c r="T1" s="15">
        <v>1</v>
      </c>
      <c r="U1" s="48" t="s">
        <v>165</v>
      </c>
      <c r="V1" s="15">
        <v>4</v>
      </c>
      <c r="AJ1" s="753" t="str">
        <f>+"These Cells are for the " &amp; 'Gnatt Chart'!D3 &amp; " Contract tab and are protected here. They are modified from the Contract tab"</f>
        <v>These Cells are for the Glasgow DB Contract tab and are protected here. They are modified from the Contract tab</v>
      </c>
      <c r="AK1" s="754"/>
      <c r="AL1" s="754"/>
      <c r="AM1" s="754"/>
      <c r="AN1" s="754"/>
      <c r="AO1" s="754"/>
      <c r="AP1" s="754"/>
      <c r="AQ1" s="666"/>
      <c r="AR1" s="755" t="s">
        <v>536</v>
      </c>
      <c r="AS1" s="754"/>
      <c r="AT1" s="754"/>
      <c r="AU1" s="754"/>
      <c r="AV1" s="754"/>
      <c r="AW1" s="754"/>
      <c r="AX1" s="754"/>
      <c r="AY1" s="666"/>
    </row>
    <row r="2" spans="1:51" ht="15" customHeight="1">
      <c r="S2" s="30" t="s">
        <v>537</v>
      </c>
      <c r="T2" s="15">
        <v>2</v>
      </c>
      <c r="U2" s="30" t="s">
        <v>538</v>
      </c>
      <c r="V2" s="15">
        <v>5</v>
      </c>
      <c r="AJ2" s="667"/>
      <c r="AK2" s="711"/>
      <c r="AL2" s="711"/>
      <c r="AM2" s="711"/>
      <c r="AN2" s="711"/>
      <c r="AO2" s="711"/>
      <c r="AP2" s="711"/>
      <c r="AQ2" s="668"/>
      <c r="AR2" s="667"/>
      <c r="AS2" s="711"/>
      <c r="AT2" s="711"/>
      <c r="AU2" s="711"/>
      <c r="AV2" s="711"/>
      <c r="AW2" s="711"/>
      <c r="AX2" s="711"/>
      <c r="AY2" s="668"/>
    </row>
    <row r="3" spans="1:51" ht="15.75" customHeight="1" thickBot="1">
      <c r="S3" s="30" t="s">
        <v>539</v>
      </c>
      <c r="T3" s="30">
        <v>3</v>
      </c>
      <c r="U3" s="30" t="s">
        <v>540</v>
      </c>
      <c r="V3" s="15">
        <v>0</v>
      </c>
      <c r="AJ3" s="669"/>
      <c r="AK3" s="715"/>
      <c r="AL3" s="715"/>
      <c r="AM3" s="715"/>
      <c r="AN3" s="715"/>
      <c r="AO3" s="715"/>
      <c r="AP3" s="715"/>
      <c r="AQ3" s="670"/>
      <c r="AR3" s="669"/>
      <c r="AS3" s="715"/>
      <c r="AT3" s="715"/>
      <c r="AU3" s="715"/>
      <c r="AV3" s="715"/>
      <c r="AW3" s="715"/>
      <c r="AX3" s="715"/>
      <c r="AY3" s="670"/>
    </row>
    <row r="4" spans="1:51">
      <c r="A4" t="s">
        <v>427</v>
      </c>
      <c r="B4" t="s">
        <v>428</v>
      </c>
      <c r="C4" t="s">
        <v>429</v>
      </c>
      <c r="D4" t="s">
        <v>430</v>
      </c>
      <c r="E4" t="s">
        <v>431</v>
      </c>
      <c r="F4" t="s">
        <v>432</v>
      </c>
      <c r="G4" t="s">
        <v>433</v>
      </c>
      <c r="H4" t="s">
        <v>526</v>
      </c>
      <c r="I4" t="s">
        <v>527</v>
      </c>
      <c r="J4" t="s">
        <v>528</v>
      </c>
      <c r="K4" t="s">
        <v>529</v>
      </c>
      <c r="L4" s="442" t="s">
        <v>530</v>
      </c>
      <c r="M4" t="s">
        <v>531</v>
      </c>
      <c r="N4" t="s">
        <v>532</v>
      </c>
      <c r="O4" t="s">
        <v>533</v>
      </c>
      <c r="P4" t="s">
        <v>357</v>
      </c>
      <c r="Q4" t="s">
        <v>534</v>
      </c>
    </row>
    <row r="5" spans="1:51">
      <c r="D5" s="436"/>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42"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535</v>
      </c>
      <c r="T1" s="15">
        <v>1</v>
      </c>
      <c r="U1" s="48" t="s">
        <v>165</v>
      </c>
      <c r="V1" s="15">
        <v>4</v>
      </c>
      <c r="X1" s="753" t="str">
        <f>+"These Cells are for the " &amp; 'Gnatt Chart'!D3 &amp; " Contract tab and are protected here. They are modified from the Contract tab"</f>
        <v>These Cells are for the Glasgow DB Contract tab and are protected here. They are modified from the Contract tab</v>
      </c>
      <c r="Y1" s="754"/>
      <c r="Z1" s="754"/>
      <c r="AA1" s="754"/>
      <c r="AB1" s="754"/>
      <c r="AC1" s="754"/>
      <c r="AD1" s="754"/>
      <c r="AE1" s="666"/>
      <c r="AF1" s="755" t="s">
        <v>536</v>
      </c>
      <c r="AG1" s="754"/>
      <c r="AH1" s="754"/>
      <c r="AI1" s="754"/>
      <c r="AJ1" s="754"/>
      <c r="AK1" s="754"/>
      <c r="AL1" s="754"/>
      <c r="AM1" s="666"/>
    </row>
    <row r="2" spans="1:39" ht="15" customHeight="1">
      <c r="C2" t="s">
        <v>1175</v>
      </c>
      <c r="F2" t="s">
        <v>1177</v>
      </c>
      <c r="G2">
        <v>9563</v>
      </c>
      <c r="I2" t="s">
        <v>109</v>
      </c>
      <c r="J2" s="12">
        <v>46136</v>
      </c>
      <c r="K2" s="83" t="s">
        <v>1179</v>
      </c>
      <c r="L2" s="83" t="s">
        <v>1178</v>
      </c>
      <c r="S2" s="30" t="s">
        <v>537</v>
      </c>
      <c r="T2" s="15">
        <v>2</v>
      </c>
      <c r="U2" s="30" t="s">
        <v>538</v>
      </c>
      <c r="V2" s="15">
        <v>5</v>
      </c>
      <c r="X2" s="667"/>
      <c r="Y2" s="711"/>
      <c r="Z2" s="711"/>
      <c r="AA2" s="711"/>
      <c r="AB2" s="711"/>
      <c r="AC2" s="711"/>
      <c r="AD2" s="711"/>
      <c r="AE2" s="668"/>
      <c r="AF2" s="667"/>
      <c r="AG2" s="711"/>
      <c r="AH2" s="711"/>
      <c r="AI2" s="711"/>
      <c r="AJ2" s="711"/>
      <c r="AK2" s="711"/>
      <c r="AL2" s="711"/>
      <c r="AM2" s="668"/>
    </row>
    <row r="3" spans="1:39" ht="15.75" customHeight="1" thickBot="1">
      <c r="S3" s="30" t="s">
        <v>539</v>
      </c>
      <c r="T3" s="30">
        <v>3</v>
      </c>
      <c r="U3" s="30" t="s">
        <v>540</v>
      </c>
      <c r="V3" s="15">
        <v>0</v>
      </c>
      <c r="X3" s="669"/>
      <c r="Y3" s="715"/>
      <c r="Z3" s="715"/>
      <c r="AA3" s="715"/>
      <c r="AB3" s="715"/>
      <c r="AC3" s="715"/>
      <c r="AD3" s="715"/>
      <c r="AE3" s="670"/>
      <c r="AF3" s="669"/>
      <c r="AG3" s="715"/>
      <c r="AH3" s="715"/>
      <c r="AI3" s="715"/>
      <c r="AJ3" s="715"/>
      <c r="AK3" s="715"/>
      <c r="AL3" s="715"/>
      <c r="AM3" s="670"/>
    </row>
    <row r="4" spans="1:39" s="22" customFormat="1">
      <c r="A4" s="22" t="s">
        <v>427</v>
      </c>
      <c r="B4" s="22" t="s">
        <v>428</v>
      </c>
      <c r="C4" s="22" t="s">
        <v>429</v>
      </c>
      <c r="D4" s="22" t="s">
        <v>430</v>
      </c>
      <c r="E4" s="22" t="s">
        <v>431</v>
      </c>
      <c r="F4" s="22" t="s">
        <v>432</v>
      </c>
      <c r="G4" s="22" t="s">
        <v>433</v>
      </c>
      <c r="H4" s="22" t="s">
        <v>526</v>
      </c>
      <c r="I4" s="22" t="s">
        <v>527</v>
      </c>
      <c r="J4" s="489" t="s">
        <v>528</v>
      </c>
      <c r="K4" s="22" t="s">
        <v>529</v>
      </c>
      <c r="L4" s="521" t="s">
        <v>530</v>
      </c>
      <c r="M4" s="22" t="s">
        <v>531</v>
      </c>
      <c r="N4" s="22" t="s">
        <v>532</v>
      </c>
      <c r="O4" s="22" t="s">
        <v>533</v>
      </c>
      <c r="P4" s="22" t="s">
        <v>357</v>
      </c>
      <c r="Q4" s="22" t="s">
        <v>534</v>
      </c>
    </row>
    <row r="5" spans="1:39">
      <c r="A5">
        <v>31</v>
      </c>
      <c r="B5" t="s">
        <v>479</v>
      </c>
      <c r="C5" t="s">
        <v>479</v>
      </c>
      <c r="D5" s="436" t="s">
        <v>480</v>
      </c>
      <c r="E5">
        <v>1</v>
      </c>
      <c r="F5" s="179"/>
      <c r="G5" t="s">
        <v>481</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42">
        <f ca="1">IFERROR(_xlfn.XLOOKUP(tblContractTim[[#This Row],[Index]], Contract_Edits[Index], Contract_Edits[Date]), tblContractTim[[#This Row],[Start]])</f>
        <v>46188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459</v>
      </c>
      <c r="C6" t="s">
        <v>459</v>
      </c>
      <c r="D6" s="436" t="s">
        <v>482</v>
      </c>
      <c r="E6">
        <v>1</v>
      </c>
      <c r="F6" s="179"/>
      <c r="G6" t="s">
        <v>481</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42">
        <f ca="1">IFERROR(_xlfn.XLOOKUP(tblContractTim[[#This Row],[Index]], Contract_Edits[Index], Contract_Edits[Date]), tblContractTim[[#This Row],[Start]])</f>
        <v>46188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459</v>
      </c>
      <c r="C7" t="s">
        <v>459</v>
      </c>
      <c r="D7" s="436" t="s">
        <v>483</v>
      </c>
      <c r="E7">
        <v>1</v>
      </c>
      <c r="F7" s="179"/>
      <c r="G7" t="s">
        <v>481</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42">
        <f ca="1">IFERROR(_xlfn.XLOOKUP(tblContractTim[[#This Row],[Index]], Contract_Edits[Index], Contract_Edits[Date]), tblContractTim[[#This Row],[Start]])</f>
        <v>46188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459</v>
      </c>
      <c r="C8" t="s">
        <v>459</v>
      </c>
      <c r="D8" s="436" t="s">
        <v>484</v>
      </c>
      <c r="E8">
        <v>1</v>
      </c>
      <c r="F8" s="179"/>
      <c r="G8" t="s">
        <v>481</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42">
        <f ca="1">IFERROR(_xlfn.XLOOKUP(tblContractTim[[#This Row],[Index]], Contract_Edits[Index], Contract_Edits[Date]), tblContractTim[[#This Row],[Start]])</f>
        <v>46188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485</v>
      </c>
      <c r="C9" t="s">
        <v>439</v>
      </c>
      <c r="D9" s="436" t="s">
        <v>486</v>
      </c>
      <c r="E9">
        <v>1</v>
      </c>
      <c r="F9" s="179"/>
      <c r="G9" t="s">
        <v>481</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42">
        <f ca="1">IFERROR(_xlfn.XLOOKUP(tblContractTim[[#This Row],[Index]], Contract_Edits[Index], Contract_Edits[Date]), tblContractTim[[#This Row],[Start]])</f>
        <v>46188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485</v>
      </c>
      <c r="D10" s="436" t="s">
        <v>487</v>
      </c>
      <c r="E10">
        <v>1</v>
      </c>
      <c r="F10" s="179"/>
      <c r="G10" t="s">
        <v>481</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42">
        <f ca="1">IFERROR(_xlfn.XLOOKUP(tblContractTim[[#This Row],[Index]], Contract_Edits[Index], Contract_Edits[Date]), tblContractTim[[#This Row],[Start]])</f>
        <v>46188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488</v>
      </c>
      <c r="C11" t="s">
        <v>489</v>
      </c>
      <c r="D11" s="436" t="s">
        <v>490</v>
      </c>
      <c r="E11">
        <v>1</v>
      </c>
      <c r="F11" s="179"/>
      <c r="G11" t="s">
        <v>481</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42">
        <f ca="1">IFERROR(_xlfn.XLOOKUP(tblContractTim[[#This Row],[Index]], Contract_Edits[Index], Contract_Edits[Date]), tblContractTim[[#This Row],[Start]])</f>
        <v>46188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485</v>
      </c>
      <c r="C12" t="s">
        <v>489</v>
      </c>
      <c r="D12" s="436" t="s">
        <v>491</v>
      </c>
      <c r="E12">
        <v>1</v>
      </c>
      <c r="F12" s="179"/>
      <c r="G12" t="s">
        <v>481</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42">
        <f ca="1">IFERROR(_xlfn.XLOOKUP(tblContractTim[[#This Row],[Index]], Contract_Edits[Index], Contract_Edits[Date]), tblContractTim[[#This Row],[Start]])</f>
        <v>46188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492</v>
      </c>
      <c r="C13" t="s">
        <v>493</v>
      </c>
      <c r="D13" s="436" t="s">
        <v>494</v>
      </c>
      <c r="E13">
        <v>1</v>
      </c>
      <c r="F13" s="179"/>
      <c r="G13" t="s">
        <v>481</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42">
        <f ca="1">IFERROR(_xlfn.XLOOKUP(tblContractTim[[#This Row],[Index]], Contract_Edits[Index], Contract_Edits[Date]), tblContractTim[[#This Row],[Start]])</f>
        <v>46188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485</v>
      </c>
      <c r="C14" t="s">
        <v>439</v>
      </c>
      <c r="D14" s="436" t="s">
        <v>495</v>
      </c>
      <c r="E14">
        <v>1</v>
      </c>
      <c r="F14" s="179"/>
      <c r="G14" t="s">
        <v>481</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42">
        <f ca="1">IFERROR(_xlfn.XLOOKUP(tblContractTim[[#This Row],[Index]], Contract_Edits[Index], Contract_Edits[Date]), tblContractTim[[#This Row],[Start]])</f>
        <v>46188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488</v>
      </c>
      <c r="C15" t="s">
        <v>496</v>
      </c>
      <c r="D15" s="436" t="s">
        <v>497</v>
      </c>
      <c r="E15">
        <v>1</v>
      </c>
      <c r="F15" s="179"/>
      <c r="G15" t="s">
        <v>481</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42">
        <f ca="1">IFERROR(_xlfn.XLOOKUP(tblContractTim[[#This Row],[Index]], Contract_Edits[Index], Contract_Edits[Date]), tblContractTim[[#This Row],[Start]])</f>
        <v>46188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488</v>
      </c>
      <c r="C16" t="s">
        <v>496</v>
      </c>
      <c r="D16" s="436" t="s">
        <v>498</v>
      </c>
      <c r="E16">
        <v>1</v>
      </c>
      <c r="F16" s="179"/>
      <c r="G16" t="s">
        <v>481</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42">
        <f ca="1">IFERROR(_xlfn.XLOOKUP(tblContractTim[[#This Row],[Index]], Contract_Edits[Index], Contract_Edits[Date]), tblContractTim[[#This Row],[Start]])</f>
        <v>46188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488</v>
      </c>
      <c r="C17" t="s">
        <v>496</v>
      </c>
      <c r="D17" s="436" t="s">
        <v>499</v>
      </c>
      <c r="E17">
        <v>1</v>
      </c>
      <c r="F17" s="179"/>
      <c r="G17" t="s">
        <v>481</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42">
        <f ca="1">IFERROR(_xlfn.XLOOKUP(tblContractTim[[#This Row],[Index]], Contract_Edits[Index], Contract_Edits[Date]), tblContractTim[[#This Row],[Start]])</f>
        <v>46188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453</v>
      </c>
      <c r="C18" t="s">
        <v>500</v>
      </c>
      <c r="D18" s="436" t="s">
        <v>501</v>
      </c>
      <c r="E18">
        <v>1</v>
      </c>
      <c r="F18" s="179"/>
      <c r="G18" t="s">
        <v>481</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42">
        <f ca="1">IFERROR(_xlfn.XLOOKUP(tblContractTim[[#This Row],[Index]], Contract_Edits[Index], Contract_Edits[Date]), tblContractTim[[#This Row],[Start]])</f>
        <v>46188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502</v>
      </c>
      <c r="D19" s="436" t="s">
        <v>503</v>
      </c>
      <c r="E19">
        <v>1</v>
      </c>
      <c r="F19" s="179"/>
      <c r="G19" t="s">
        <v>481</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42">
        <f ca="1">IFERROR(_xlfn.XLOOKUP(tblContractTim[[#This Row],[Index]], Contract_Edits[Index], Contract_Edits[Date]), tblContractTim[[#This Row],[Start]])</f>
        <v>46188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485</v>
      </c>
      <c r="C20" t="s">
        <v>439</v>
      </c>
      <c r="D20" s="436" t="s">
        <v>504</v>
      </c>
      <c r="E20">
        <v>1</v>
      </c>
      <c r="F20" s="179"/>
      <c r="G20" t="s">
        <v>481</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42">
        <f ca="1">IFERROR(_xlfn.XLOOKUP(tblContractTim[[#This Row],[Index]], Contract_Edits[Index], Contract_Edits[Date]), tblContractTim[[#This Row],[Start]])</f>
        <v>46188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502</v>
      </c>
      <c r="C21" t="s">
        <v>505</v>
      </c>
      <c r="D21" s="436" t="s">
        <v>506</v>
      </c>
      <c r="E21">
        <v>1</v>
      </c>
      <c r="F21" s="179"/>
      <c r="G21" t="s">
        <v>481</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42">
        <f ca="1">IFERROR(_xlfn.XLOOKUP(tblContractTim[[#This Row],[Index]], Contract_Edits[Index], Contract_Edits[Date]), tblContractTim[[#This Row],[Start]])</f>
        <v>46188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485</v>
      </c>
      <c r="C22" t="s">
        <v>439</v>
      </c>
      <c r="D22" s="436" t="s">
        <v>507</v>
      </c>
      <c r="E22">
        <v>1</v>
      </c>
      <c r="F22" s="179"/>
      <c r="G22" t="s">
        <v>481</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42">
        <f ca="1">IFERROR(_xlfn.XLOOKUP(tblContractTim[[#This Row],[Index]], Contract_Edits[Index], Contract_Edits[Date]), tblContractTim[[#This Row],[Start]])</f>
        <v>46188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488</v>
      </c>
      <c r="C23" t="s">
        <v>496</v>
      </c>
      <c r="D23" s="436" t="s">
        <v>508</v>
      </c>
      <c r="E23">
        <v>1</v>
      </c>
      <c r="F23" s="179"/>
      <c r="G23" t="s">
        <v>481</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42">
        <f ca="1">IFERROR(_xlfn.XLOOKUP(tblContractTim[[#This Row],[Index]], Contract_Edits[Index], Contract_Edits[Date]), tblContractTim[[#This Row],[Start]])</f>
        <v>46188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459</v>
      </c>
      <c r="C24" t="s">
        <v>459</v>
      </c>
      <c r="D24" s="436" t="s">
        <v>509</v>
      </c>
      <c r="E24">
        <v>2</v>
      </c>
      <c r="F24" s="179"/>
      <c r="G24" t="s">
        <v>481</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42">
        <f ca="1">IFERROR(_xlfn.XLOOKUP(tblContractTim[[#This Row],[Index]], Contract_Edits[Index], Contract_Edits[Date]), tblContractTim[[#This Row],[Start]])</f>
        <v>46188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488</v>
      </c>
      <c r="C25" t="s">
        <v>496</v>
      </c>
      <c r="D25" s="436" t="s">
        <v>510</v>
      </c>
      <c r="E25">
        <v>1</v>
      </c>
      <c r="F25" s="179"/>
      <c r="G25" t="s">
        <v>481</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42">
        <f ca="1">IFERROR(_xlfn.XLOOKUP(tblContractTim[[#This Row],[Index]], Contract_Edits[Index], Contract_Edits[Date]), tblContractTim[[#This Row],[Start]])</f>
        <v>46188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454</v>
      </c>
      <c r="C26" t="s">
        <v>454</v>
      </c>
      <c r="D26" s="436" t="s">
        <v>511</v>
      </c>
      <c r="E26">
        <v>1</v>
      </c>
      <c r="F26" s="179"/>
      <c r="G26" t="s">
        <v>481</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42">
        <f ca="1">IFERROR(_xlfn.XLOOKUP(tblContractTim[[#This Row],[Index]], Contract_Edits[Index], Contract_Edits[Date]), tblContractTim[[#This Row],[Start]])</f>
        <v>46188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488</v>
      </c>
      <c r="C27" t="s">
        <v>496</v>
      </c>
      <c r="D27" s="436" t="s">
        <v>512</v>
      </c>
      <c r="E27">
        <v>1</v>
      </c>
      <c r="F27" s="179"/>
      <c r="G27" t="s">
        <v>481</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42">
        <f ca="1">IFERROR(_xlfn.XLOOKUP(tblContractTim[[#This Row],[Index]], Contract_Edits[Index], Contract_Edits[Date]), tblContractTim[[#This Row],[Start]])</f>
        <v>46188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513</v>
      </c>
      <c r="C28" t="s">
        <v>514</v>
      </c>
      <c r="D28" s="436" t="s">
        <v>515</v>
      </c>
      <c r="E28">
        <v>1</v>
      </c>
      <c r="F28" s="179"/>
      <c r="G28" t="s">
        <v>481</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42">
        <f ca="1">IFERROR(_xlfn.XLOOKUP(tblContractTim[[#This Row],[Index]], Contract_Edits[Index], Contract_Edits[Date]), tblContractTim[[#This Row],[Start]])</f>
        <v>46188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513</v>
      </c>
      <c r="C29" t="s">
        <v>516</v>
      </c>
      <c r="D29" s="436" t="s">
        <v>517</v>
      </c>
      <c r="E29">
        <v>1</v>
      </c>
      <c r="F29" s="179"/>
      <c r="G29" t="s">
        <v>481</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42">
        <f ca="1">IFERROR(_xlfn.XLOOKUP(tblContractTim[[#This Row],[Index]], Contract_Edits[Index], Contract_Edits[Date]), tblContractTim[[#This Row],[Start]])</f>
        <v>46188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453</v>
      </c>
      <c r="C30" t="s">
        <v>516</v>
      </c>
      <c r="D30" s="436" t="s">
        <v>518</v>
      </c>
      <c r="E30">
        <v>1</v>
      </c>
      <c r="F30" s="179"/>
      <c r="G30" t="s">
        <v>481</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42">
        <f ca="1">IFERROR(_xlfn.XLOOKUP(tblContractTim[[#This Row],[Index]], Contract_Edits[Index], Contract_Edits[Date]), tblContractTim[[#This Row],[Start]])</f>
        <v>46188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488</v>
      </c>
      <c r="C31" t="s">
        <v>496</v>
      </c>
      <c r="D31" s="436" t="s">
        <v>519</v>
      </c>
      <c r="E31">
        <v>3</v>
      </c>
      <c r="F31" s="179"/>
      <c r="G31" t="s">
        <v>481</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42">
        <f ca="1">IFERROR(_xlfn.XLOOKUP(tblContractTim[[#This Row],[Index]], Contract_Edits[Index], Contract_Edits[Date]), tblContractTim[[#This Row],[Start]])</f>
        <v>46188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485</v>
      </c>
      <c r="C32" t="s">
        <v>459</v>
      </c>
      <c r="D32" s="436" t="s">
        <v>520</v>
      </c>
      <c r="E32">
        <v>2</v>
      </c>
      <c r="F32" s="179"/>
      <c r="G32" t="s">
        <v>481</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42">
        <f ca="1">IFERROR(_xlfn.XLOOKUP(tblContractTim[[#This Row],[Index]], Contract_Edits[Index], Contract_Edits[Date]), tblContractTim[[#This Row],[Start]])</f>
        <v>46188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485</v>
      </c>
      <c r="C33" t="s">
        <v>521</v>
      </c>
      <c r="D33" s="436" t="s">
        <v>522</v>
      </c>
      <c r="E33">
        <v>1</v>
      </c>
      <c r="F33" s="179"/>
      <c r="G33" t="s">
        <v>481</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42">
        <f ca="1">IFERROR(_xlfn.XLOOKUP(tblContractTim[[#This Row],[Index]], Contract_Edits[Index], Contract_Edits[Date]), tblContractTim[[#This Row],[Start]])</f>
        <v>46188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513</v>
      </c>
      <c r="C34" t="s">
        <v>523</v>
      </c>
      <c r="D34" s="436" t="s">
        <v>524</v>
      </c>
      <c r="E34">
        <v>1</v>
      </c>
      <c r="F34" s="179"/>
      <c r="G34" t="s">
        <v>481</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42">
        <f ca="1">IFERROR(_xlfn.XLOOKUP(tblContractTim[[#This Row],[Index]], Contract_Edits[Index], Contract_Edits[Date]), tblContractTim[[#This Row],[Start]])</f>
        <v>46188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459</v>
      </c>
      <c r="C35" t="s">
        <v>516</v>
      </c>
      <c r="D35" s="436" t="s">
        <v>525</v>
      </c>
      <c r="E35">
        <v>1</v>
      </c>
      <c r="F35" s="179"/>
      <c r="G35" t="s">
        <v>481</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42">
        <f ca="1">IFERROR(_xlfn.XLOOKUP(tblContractTim[[#This Row],[Index]], Contract_Edits[Index], Contract_Edits[Date]), tblContractTim[[#This Row],[Start]])</f>
        <v>46188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459</v>
      </c>
      <c r="C36" t="s">
        <v>523</v>
      </c>
      <c r="D36" s="436" t="s">
        <v>1169</v>
      </c>
      <c r="E36">
        <v>2</v>
      </c>
      <c r="F36" s="179">
        <v>62.5</v>
      </c>
      <c r="G36" t="s">
        <v>481</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42">
        <f ca="1">IFERROR(_xlfn.XLOOKUP(tblContractTim[[#This Row],[Index]], Contract_Edits[Index], Contract_Edits[Date]), tblContractTim[[#This Row],[Start]])</f>
        <v>46188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502</v>
      </c>
      <c r="C37" t="s">
        <v>505</v>
      </c>
      <c r="D37" s="436" t="s">
        <v>1174</v>
      </c>
      <c r="E37">
        <v>16</v>
      </c>
      <c r="F37" s="179">
        <v>62.5</v>
      </c>
      <c r="G37" t="s">
        <v>481</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42">
        <f ca="1">IFERROR(_xlfn.XLOOKUP(tblContractTim[[#This Row],[Index]], Contract_Edits[Index], Contract_Edits[Date]), tblContractTim[[#This Row],[Start]])</f>
        <v>46188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459</v>
      </c>
      <c r="C38" t="s">
        <v>521</v>
      </c>
      <c r="D38" s="436" t="s">
        <v>1173</v>
      </c>
      <c r="E38">
        <v>15</v>
      </c>
      <c r="F38" s="179">
        <v>62.5</v>
      </c>
      <c r="G38" t="s">
        <v>481</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42">
        <f ca="1">IFERROR(_xlfn.XLOOKUP(tblContractTim[[#This Row],[Index]], Contract_Edits[Index], Contract_Edits[Date]), tblContractTim[[#This Row],[Start]])</f>
        <v>46188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1197</v>
      </c>
      <c r="C39" t="s">
        <v>521</v>
      </c>
      <c r="D39" s="436" t="s">
        <v>1198</v>
      </c>
      <c r="E39">
        <v>11</v>
      </c>
      <c r="F39" s="179">
        <v>62.5</v>
      </c>
      <c r="G39" t="s">
        <v>481</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42">
        <f ca="1">IFERROR(_xlfn.XLOOKUP(tblContractTim[[#This Row],[Index]], Contract_Edits[Index], Contract_Edits[Date]), tblContractTim[[#This Row],[Start]])</f>
        <v>46188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42" t="s">
        <v>1176</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42"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3" t="str">
        <f>+"These Cells are for the " &amp; 'Gnatt Chart'!D3 &amp; " Contract tab and are protected here. They are modified from the Contract tab"</f>
        <v>These Cells are for the Glasgow DB Contract tab and are protected here. They are modified from the Contract tab</v>
      </c>
      <c r="B1" s="756"/>
      <c r="C1" s="756"/>
      <c r="D1" s="756"/>
      <c r="E1" s="756"/>
      <c r="F1" s="756"/>
      <c r="G1" s="756"/>
      <c r="H1" s="757"/>
      <c r="I1" s="755" t="s">
        <v>536</v>
      </c>
      <c r="J1" s="764"/>
      <c r="K1" s="764"/>
      <c r="L1" s="764"/>
      <c r="M1" s="764"/>
      <c r="N1" s="764"/>
      <c r="O1" s="764"/>
      <c r="P1" s="765"/>
      <c r="S1" s="30" t="s">
        <v>535</v>
      </c>
      <c r="T1" s="15">
        <v>1</v>
      </c>
      <c r="U1" s="48" t="s">
        <v>165</v>
      </c>
      <c r="V1" s="15">
        <v>4</v>
      </c>
      <c r="W1" s="30"/>
      <c r="X1" s="30"/>
      <c r="Y1" s="30"/>
      <c r="Z1" s="30"/>
    </row>
    <row r="2" spans="1:26" ht="15" customHeight="1">
      <c r="A2" s="758"/>
      <c r="B2" s="759"/>
      <c r="C2" s="759"/>
      <c r="D2" s="759"/>
      <c r="E2" s="759"/>
      <c r="F2" s="759"/>
      <c r="G2" s="759"/>
      <c r="H2" s="760"/>
      <c r="I2" s="766"/>
      <c r="J2" s="767"/>
      <c r="K2" s="767"/>
      <c r="L2" s="767"/>
      <c r="M2" s="767"/>
      <c r="N2" s="767"/>
      <c r="O2" s="767"/>
      <c r="P2" s="768"/>
      <c r="S2" s="30" t="s">
        <v>537</v>
      </c>
      <c r="T2" s="15">
        <v>2</v>
      </c>
      <c r="U2" s="30" t="s">
        <v>538</v>
      </c>
      <c r="V2" s="15">
        <v>5</v>
      </c>
      <c r="W2" s="30"/>
      <c r="X2" s="30"/>
      <c r="Y2" s="30"/>
      <c r="Z2" s="30"/>
    </row>
    <row r="3" spans="1:26" ht="15.75" customHeight="1" thickBot="1">
      <c r="A3" s="761"/>
      <c r="B3" s="762"/>
      <c r="C3" s="762"/>
      <c r="D3" s="762"/>
      <c r="E3" s="762"/>
      <c r="F3" s="762"/>
      <c r="G3" s="762"/>
      <c r="H3" s="763"/>
      <c r="I3" s="769"/>
      <c r="J3" s="770"/>
      <c r="K3" s="770"/>
      <c r="L3" s="770"/>
      <c r="M3" s="770"/>
      <c r="N3" s="770"/>
      <c r="O3" s="770"/>
      <c r="P3" s="771"/>
      <c r="S3" s="30" t="s">
        <v>539</v>
      </c>
      <c r="T3" s="30">
        <v>3</v>
      </c>
      <c r="U3" s="30" t="s">
        <v>540</v>
      </c>
      <c r="V3" s="15">
        <v>6</v>
      </c>
      <c r="W3" s="30"/>
      <c r="X3" s="30"/>
      <c r="Y3" s="30"/>
      <c r="Z3" s="30"/>
    </row>
    <row r="4" spans="1:26">
      <c r="A4" t="s">
        <v>427</v>
      </c>
      <c r="B4" t="s">
        <v>428</v>
      </c>
      <c r="C4" t="s">
        <v>429</v>
      </c>
      <c r="D4" t="s">
        <v>430</v>
      </c>
      <c r="E4" t="s">
        <v>431</v>
      </c>
      <c r="F4" t="s">
        <v>432</v>
      </c>
      <c r="G4" t="s">
        <v>433</v>
      </c>
      <c r="H4" t="s">
        <v>526</v>
      </c>
      <c r="I4" s="489" t="s">
        <v>527</v>
      </c>
      <c r="J4" t="s">
        <v>528</v>
      </c>
      <c r="K4" t="s">
        <v>529</v>
      </c>
      <c r="L4" s="442" t="s">
        <v>530</v>
      </c>
      <c r="M4" t="s">
        <v>531</v>
      </c>
      <c r="N4" t="s">
        <v>532</v>
      </c>
      <c r="O4" t="s">
        <v>533</v>
      </c>
      <c r="P4" t="s">
        <v>357</v>
      </c>
      <c r="Q4" t="s">
        <v>534</v>
      </c>
    </row>
    <row r="5" spans="1:26">
      <c r="D5" s="436"/>
      <c r="H5" s="179"/>
      <c r="M5" s="11"/>
    </row>
    <row r="6" spans="1:26">
      <c r="D6" s="436"/>
      <c r="H6" s="179"/>
      <c r="M6" s="11"/>
      <c r="S6" t="s">
        <v>428</v>
      </c>
      <c r="T6" t="s">
        <v>541</v>
      </c>
      <c r="U6" t="s">
        <v>534</v>
      </c>
      <c r="V6" t="s">
        <v>542</v>
      </c>
      <c r="W6" t="s">
        <v>543</v>
      </c>
      <c r="X6" t="s">
        <v>544</v>
      </c>
      <c r="Y6" t="s">
        <v>545</v>
      </c>
    </row>
    <row r="7" spans="1:26">
      <c r="D7" s="436"/>
      <c r="H7" s="179"/>
      <c r="M7" s="11"/>
      <c r="S7" t="s">
        <v>435</v>
      </c>
      <c r="T7">
        <v>0</v>
      </c>
      <c r="U7">
        <v>1</v>
      </c>
      <c r="W7" s="443" t="e">
        <f>_xlfn.MAXIFS(#REF!,qryContractsToGnatt[Cost Code],qryCostSummary[[#This Row],[Cost Code]])</f>
        <v>#REF!</v>
      </c>
      <c r="X7" s="443" t="e">
        <f>_xlfn.MAXIFS(#REF!,qryContractsToGnatt[Cost Code],qryCostSummary[[#This Row],[Cost Code]])</f>
        <v>#REF!</v>
      </c>
      <c r="Y7" s="188">
        <f>SUMIFS(qryContractsToGnatt[Price],qryContractsToGnatt[Cost Code],qryCostSummary[[#This Row],[Cost Code]])</f>
        <v>0</v>
      </c>
    </row>
    <row r="8" spans="1:26">
      <c r="D8" s="436"/>
      <c r="H8" s="179"/>
      <c r="M8" s="11"/>
      <c r="S8" t="s">
        <v>546</v>
      </c>
      <c r="T8">
        <v>2615</v>
      </c>
      <c r="U8">
        <v>1</v>
      </c>
      <c r="W8" s="443" t="e">
        <f>_xlfn.MAXIFS(#REF!,qryContractsToGnatt[Cost Code],qryCostSummary[[#This Row],[Cost Code]])</f>
        <v>#REF!</v>
      </c>
      <c r="X8" s="443" t="e">
        <f>_xlfn.MAXIFS(#REF!,qryContractsToGnatt[Cost Code],qryCostSummary[[#This Row],[Cost Code]])</f>
        <v>#REF!</v>
      </c>
      <c r="Y8" s="188">
        <f>SUMIFS(qryContractsToGnatt[Price],qryContractsToGnatt[Cost Code],qryCostSummary[[#This Row],[Cost Code]])</f>
        <v>18411.407314999997</v>
      </c>
    </row>
    <row r="9" spans="1:26">
      <c r="D9" s="436"/>
      <c r="H9" s="179"/>
      <c r="M9" s="11"/>
      <c r="S9" t="s">
        <v>485</v>
      </c>
      <c r="U9">
        <v>0</v>
      </c>
      <c r="W9" s="443" t="e">
        <f>_xlfn.MAXIFS(#REF!,qryContractsToGnatt[Cost Code],qryCostSummary[[#This Row],[Cost Code]])</f>
        <v>#REF!</v>
      </c>
      <c r="X9" s="443" t="e">
        <f>_xlfn.MAXIFS(#REF!,qryContractsToGnatt[Cost Code],qryCostSummary[[#This Row],[Cost Code]])</f>
        <v>#REF!</v>
      </c>
      <c r="Y9" s="188">
        <f>SUMIFS(qryContractsToGnatt[Price],qryContractsToGnatt[Cost Code],qryCostSummary[[#This Row],[Cost Code]])</f>
        <v>0</v>
      </c>
    </row>
    <row r="10" spans="1:26">
      <c r="D10" s="436"/>
      <c r="H10" s="179"/>
      <c r="M10" s="11"/>
      <c r="S10" t="s">
        <v>488</v>
      </c>
      <c r="U10">
        <v>0</v>
      </c>
      <c r="W10" s="443" t="e">
        <f>_xlfn.MAXIFS(#REF!,qryContractsToGnatt[Cost Code],qryCostSummary[[#This Row],[Cost Code]])</f>
        <v>#REF!</v>
      </c>
      <c r="X10" s="443" t="e">
        <f>_xlfn.MAXIFS(#REF!,qryContractsToGnatt[Cost Code],qryCostSummary[[#This Row],[Cost Code]])</f>
        <v>#REF!</v>
      </c>
      <c r="Y10" s="188">
        <f>SUMIFS(qryContractsToGnatt[Price],qryContractsToGnatt[Cost Code],qryCostSummary[[#This Row],[Cost Code]])</f>
        <v>0</v>
      </c>
    </row>
    <row r="11" spans="1:26">
      <c r="D11" s="436"/>
      <c r="H11" s="179"/>
      <c r="M11" s="11"/>
      <c r="S11" t="s">
        <v>502</v>
      </c>
      <c r="U11">
        <v>0</v>
      </c>
      <c r="W11" s="443" t="e">
        <f>_xlfn.MAXIFS(#REF!,qryContractsToGnatt[Cost Code],qryCostSummary[[#This Row],[Cost Code]])</f>
        <v>#REF!</v>
      </c>
      <c r="X11" s="443" t="e">
        <f>_xlfn.MAXIFS(#REF!,qryContractsToGnatt[Cost Code],qryCostSummary[[#This Row],[Cost Code]])</f>
        <v>#REF!</v>
      </c>
      <c r="Y11" s="188">
        <f>SUMIFS(qryContractsToGnatt[Price],qryContractsToGnatt[Cost Code],qryCostSummary[[#This Row],[Cost Code]])</f>
        <v>1000</v>
      </c>
    </row>
    <row r="12" spans="1:26">
      <c r="D12" s="436"/>
      <c r="H12" s="179"/>
      <c r="M12" s="11"/>
      <c r="S12" t="s">
        <v>459</v>
      </c>
      <c r="T12">
        <v>125</v>
      </c>
      <c r="U12">
        <v>0</v>
      </c>
      <c r="V12">
        <v>125</v>
      </c>
      <c r="W12" s="443" t="e">
        <f>_xlfn.MAXIFS(#REF!,qryContractsToGnatt[Cost Code],qryCostSummary[[#This Row],[Cost Code]])</f>
        <v>#REF!</v>
      </c>
      <c r="X12" s="443" t="e">
        <f>_xlfn.MAXIFS(#REF!,qryContractsToGnatt[Cost Code],qryCostSummary[[#This Row],[Cost Code]])</f>
        <v>#REF!</v>
      </c>
      <c r="Y12" s="188">
        <f>SUMIFS(qryContractsToGnatt[Price],qryContractsToGnatt[Cost Code],qryCostSummary[[#This Row],[Cost Code]])</f>
        <v>125</v>
      </c>
    </row>
    <row r="13" spans="1:26">
      <c r="D13" s="436"/>
      <c r="H13" s="179"/>
      <c r="M13" s="11"/>
      <c r="S13" t="s">
        <v>1197</v>
      </c>
      <c r="T13">
        <v>687.5</v>
      </c>
      <c r="U13">
        <v>0</v>
      </c>
      <c r="V13">
        <v>687.5</v>
      </c>
      <c r="W13" s="443" t="e">
        <f>_xlfn.MAXIFS(#REF!,qryContractsToGnatt[Cost Code],qryCostSummary[[#This Row],[Cost Code]])</f>
        <v>#REF!</v>
      </c>
      <c r="X13" s="443" t="e">
        <f>_xlfn.MAXIFS(#REF!,qryContractsToGnatt[Cost Code],qryCostSummary[[#This Row],[Cost Code]])</f>
        <v>#REF!</v>
      </c>
      <c r="Y13" s="188">
        <f>SUMIFS(qryContractsToGnatt[Price],qryContractsToGnatt[Cost Code],qryCostSummary[[#This Row],[Cost Code]])</f>
        <v>687.5</v>
      </c>
    </row>
    <row r="14" spans="1:26">
      <c r="D14" s="436"/>
      <c r="H14" s="179"/>
      <c r="M14" s="11"/>
      <c r="S14" t="s">
        <v>547</v>
      </c>
      <c r="T14">
        <v>150</v>
      </c>
      <c r="U14">
        <v>16</v>
      </c>
      <c r="V14">
        <v>150</v>
      </c>
      <c r="W14" s="443" t="e">
        <f>_xlfn.MAXIFS(#REF!,qryContractsToGnatt[Cost Code],qryCostSummary[[#This Row],[Cost Code]])</f>
        <v>#REF!</v>
      </c>
      <c r="X14" s="443" t="e">
        <f>_xlfn.MAXIFS(#REF!,qryContractsToGnatt[Cost Code],qryCostSummary[[#This Row],[Cost Code]])</f>
        <v>#REF!</v>
      </c>
      <c r="Y14" s="188">
        <f>SUMIFS(qryContractsToGnatt[Price],qryContractsToGnatt[Cost Code],qryCostSummary[[#This Row],[Cost Code]])</f>
        <v>14659.0237</v>
      </c>
    </row>
    <row r="15" spans="1:26">
      <c r="D15" s="436"/>
      <c r="H15" s="179"/>
      <c r="M15" s="11"/>
      <c r="S15" t="s">
        <v>453</v>
      </c>
      <c r="U15">
        <v>0</v>
      </c>
      <c r="W15" s="443" t="e">
        <f>_xlfn.MAXIFS(#REF!,qryContractsToGnatt[Cost Code],qryCostSummary[[#This Row],[Cost Code]])</f>
        <v>#REF!</v>
      </c>
      <c r="X15" s="443" t="e">
        <f>_xlfn.MAXIFS(#REF!,qryContractsToGnatt[Cost Code],qryCostSummary[[#This Row],[Cost Code]])</f>
        <v>#REF!</v>
      </c>
      <c r="Y15" s="188">
        <f>SUMIFS(qryContractsToGnatt[Price],qryContractsToGnatt[Cost Code],qryCostSummary[[#This Row],[Cost Code]])</f>
        <v>0</v>
      </c>
    </row>
    <row r="16" spans="1:26">
      <c r="D16" s="436"/>
      <c r="H16" s="179"/>
      <c r="M16" s="11"/>
      <c r="S16" t="s">
        <v>479</v>
      </c>
      <c r="U16">
        <v>0</v>
      </c>
      <c r="W16" s="443" t="e">
        <f>_xlfn.MAXIFS(#REF!,qryContractsToGnatt[Cost Code],qryCostSummary[[#This Row],[Cost Code]])</f>
        <v>#REF!</v>
      </c>
      <c r="X16" s="443" t="e">
        <f>_xlfn.MAXIFS(#REF!,qryContractsToGnatt[Cost Code],qryCostSummary[[#This Row],[Cost Code]])</f>
        <v>#REF!</v>
      </c>
      <c r="Y16" s="188">
        <f>SUMIFS(qryContractsToGnatt[Price],qryContractsToGnatt[Cost Code],qryCostSummary[[#This Row],[Cost Code]])</f>
        <v>0</v>
      </c>
    </row>
    <row r="17" spans="4:25">
      <c r="D17" s="436"/>
      <c r="H17" s="179"/>
      <c r="M17" s="11"/>
      <c r="S17" t="s">
        <v>513</v>
      </c>
      <c r="U17">
        <v>0</v>
      </c>
      <c r="W17" s="443" t="e">
        <f>_xlfn.MAXIFS(#REF!,qryContractsToGnatt[Cost Code],qryCostSummary[[#This Row],[Cost Code]])</f>
        <v>#REF!</v>
      </c>
      <c r="X17" s="443" t="e">
        <f>_xlfn.MAXIFS(#REF!,qryContractsToGnatt[Cost Code],qryCostSummary[[#This Row],[Cost Code]])</f>
        <v>#REF!</v>
      </c>
      <c r="Y17" s="188">
        <f>SUMIFS(qryContractsToGnatt[Price],qryContractsToGnatt[Cost Code],qryCostSummary[[#This Row],[Cost Code]])</f>
        <v>0</v>
      </c>
    </row>
    <row r="18" spans="4:25">
      <c r="D18" s="436"/>
      <c r="H18" s="179"/>
      <c r="M18" s="11"/>
      <c r="S18" t="s">
        <v>454</v>
      </c>
      <c r="U18">
        <v>0</v>
      </c>
      <c r="W18" s="443" t="e">
        <f>_xlfn.MAXIFS(#REF!,qryContractsToGnatt[Cost Code],qryCostSummary[[#This Row],[Cost Code]])</f>
        <v>#REF!</v>
      </c>
      <c r="X18" s="443" t="e">
        <f>_xlfn.MAXIFS(#REF!,qryContractsToGnatt[Cost Code],qryCostSummary[[#This Row],[Cost Code]])</f>
        <v>#REF!</v>
      </c>
      <c r="Y18" s="188">
        <f>SUMIFS(qryContractsToGnatt[Price],qryContractsToGnatt[Cost Code],qryCostSummary[[#This Row],[Cost Code]])</f>
        <v>0</v>
      </c>
    </row>
    <row r="19" spans="4:25">
      <c r="D19" s="436"/>
      <c r="H19" s="179"/>
      <c r="M19" s="11"/>
      <c r="S19" t="s">
        <v>492</v>
      </c>
      <c r="U19">
        <v>0</v>
      </c>
      <c r="W19" s="443" t="e">
        <f>_xlfn.MAXIFS(#REF!,qryContractsToGnatt[Cost Code],qryCostSummary[[#This Row],[Cost Code]])</f>
        <v>#REF!</v>
      </c>
      <c r="X19" s="443" t="e">
        <f>_xlfn.MAXIFS(#REF!,qryContractsToGnatt[Cost Code],qryCostSummary[[#This Row],[Cost Code]])</f>
        <v>#REF!</v>
      </c>
      <c r="Y19" s="188">
        <f>SUMIFS(qryContractsToGnatt[Price],qryContractsToGnatt[Cost Code],qryCostSummary[[#This Row],[Cost Code]])</f>
        <v>0</v>
      </c>
    </row>
    <row r="20" spans="4:25">
      <c r="D20" s="436"/>
      <c r="H20" s="179"/>
      <c r="M20" s="11"/>
    </row>
    <row r="21" spans="4:25">
      <c r="D21" s="436"/>
      <c r="H21" s="179"/>
      <c r="M21" s="11"/>
    </row>
    <row r="22" spans="4:25">
      <c r="D22" s="436"/>
      <c r="H22" s="179"/>
      <c r="M22" s="11"/>
    </row>
    <row r="23" spans="4:25">
      <c r="D23" s="436"/>
      <c r="H23" s="179"/>
      <c r="M23" s="11"/>
    </row>
    <row r="24" spans="4:25">
      <c r="D24" s="436"/>
      <c r="H24" s="179"/>
      <c r="M24" s="11"/>
    </row>
    <row r="25" spans="4:25">
      <c r="D25" s="436"/>
      <c r="H25" s="179"/>
      <c r="M25" s="11"/>
    </row>
    <row r="26" spans="4:25">
      <c r="D26" s="436"/>
      <c r="H26" s="179"/>
      <c r="M26" s="11"/>
    </row>
    <row r="27" spans="4:25">
      <c r="D27" s="436"/>
      <c r="H27" s="179"/>
      <c r="M27" s="11"/>
    </row>
    <row r="28" spans="4:25">
      <c r="D28" s="436"/>
      <c r="H28" s="179"/>
      <c r="M28" s="11"/>
    </row>
    <row r="29" spans="4:25">
      <c r="D29" s="436"/>
      <c r="H29" s="179"/>
      <c r="M29" s="11"/>
    </row>
    <row r="30" spans="4:25">
      <c r="D30" s="436"/>
      <c r="H30" s="179"/>
      <c r="M30" s="11"/>
    </row>
    <row r="31" spans="4:25">
      <c r="D31" s="436"/>
      <c r="H31" s="179"/>
      <c r="M31" s="11"/>
    </row>
    <row r="32" spans="4:25">
      <c r="D32" s="436"/>
      <c r="H32" s="179"/>
      <c r="M32" s="11"/>
    </row>
    <row r="33" spans="4:13">
      <c r="D33" s="436"/>
      <c r="H33" s="179"/>
      <c r="M33" s="11"/>
    </row>
    <row r="34" spans="4:13">
      <c r="D34" s="436"/>
      <c r="H34" s="179"/>
      <c r="M34" s="11"/>
    </row>
    <row r="35" spans="4:13">
      <c r="D35" s="436"/>
      <c r="H35" s="179"/>
      <c r="M35" s="11"/>
    </row>
    <row r="36" spans="4:13">
      <c r="D36" s="436"/>
      <c r="H36" s="179"/>
      <c r="M36" s="11"/>
    </row>
    <row r="37" spans="4:13">
      <c r="D37" s="436"/>
      <c r="H37" s="179"/>
      <c r="M37" s="11"/>
    </row>
    <row r="38" spans="4:13">
      <c r="D38" s="436"/>
      <c r="H38" s="179"/>
      <c r="M38" s="11"/>
    </row>
    <row r="39" spans="4:13">
      <c r="D39" s="436"/>
      <c r="H39" s="179"/>
      <c r="M39" s="11"/>
    </row>
    <row r="40" spans="4:13">
      <c r="D40" s="436"/>
      <c r="H40" s="179"/>
      <c r="M40" s="11"/>
    </row>
    <row r="41" spans="4:13">
      <c r="D41" s="436"/>
      <c r="H41" s="179"/>
      <c r="M41" s="11"/>
    </row>
    <row r="42" spans="4:13">
      <c r="D42" s="436"/>
      <c r="H42" s="179"/>
      <c r="M42" s="11"/>
    </row>
    <row r="43" spans="4:13">
      <c r="D43" s="436"/>
      <c r="H43" s="179"/>
      <c r="M43" s="11"/>
    </row>
    <row r="44" spans="4:13">
      <c r="D44" s="436"/>
      <c r="H44" s="179"/>
      <c r="M44" s="11"/>
    </row>
    <row r="45" spans="4:13">
      <c r="D45" s="436"/>
      <c r="H45" s="179"/>
      <c r="M45" s="11"/>
    </row>
    <row r="46" spans="4:13">
      <c r="D46" s="436"/>
      <c r="H46" s="179"/>
      <c r="M46" s="11"/>
    </row>
    <row r="47" spans="4:13">
      <c r="D47" s="436"/>
      <c r="H47" s="179"/>
      <c r="M47" s="11"/>
    </row>
    <row r="48" spans="4:13">
      <c r="D48" s="436"/>
      <c r="H48" s="179"/>
      <c r="M48" s="11"/>
    </row>
    <row r="49" spans="4:13">
      <c r="D49" s="436"/>
      <c r="H49" s="179"/>
      <c r="M49" s="11"/>
    </row>
    <row r="50" spans="4:13">
      <c r="D50" s="436"/>
      <c r="H50" s="179"/>
      <c r="M50" s="11"/>
    </row>
    <row r="51" spans="4:13">
      <c r="D51" s="436"/>
      <c r="H51" s="179"/>
      <c r="M51" s="11"/>
    </row>
    <row r="52" spans="4:13">
      <c r="D52" s="436"/>
      <c r="H52" s="179"/>
      <c r="M52" s="11"/>
    </row>
    <row r="53" spans="4:13">
      <c r="D53" s="436"/>
      <c r="H53" s="179"/>
      <c r="M53" s="11"/>
    </row>
    <row r="54" spans="4:13">
      <c r="D54" s="436"/>
      <c r="H54" s="179"/>
      <c r="M54" s="11"/>
    </row>
    <row r="55" spans="4:13">
      <c r="D55" s="436"/>
      <c r="H55" s="179"/>
      <c r="M55" s="11"/>
    </row>
    <row r="56" spans="4:13">
      <c r="D56" s="436"/>
      <c r="H56" s="179"/>
      <c r="M56" s="11"/>
    </row>
    <row r="57" spans="4:13">
      <c r="D57" s="436"/>
      <c r="H57" s="179"/>
      <c r="M57" s="11"/>
    </row>
    <row r="58" spans="4:13">
      <c r="D58" s="436"/>
      <c r="H58" s="179"/>
      <c r="M58" s="11"/>
    </row>
    <row r="59" spans="4:13">
      <c r="D59" s="436"/>
      <c r="H59" s="179"/>
      <c r="M59" s="11"/>
    </row>
    <row r="60" spans="4:13">
      <c r="D60" s="436"/>
      <c r="H60" s="179"/>
      <c r="M60" s="11"/>
    </row>
    <row r="61" spans="4:13">
      <c r="D61" s="436"/>
      <c r="H61" s="179"/>
      <c r="M61" s="11"/>
    </row>
    <row r="62" spans="4:13">
      <c r="D62" s="436"/>
      <c r="H62" s="179"/>
      <c r="M62" s="11"/>
    </row>
    <row r="63" spans="4:13">
      <c r="D63" s="436"/>
      <c r="H63" s="179"/>
      <c r="M63" s="11"/>
    </row>
    <row r="64" spans="4:13">
      <c r="D64" s="436"/>
      <c r="H64" s="179"/>
      <c r="M64" s="11"/>
    </row>
    <row r="65" spans="4:13">
      <c r="D65" s="436"/>
      <c r="H65" s="179"/>
      <c r="M65" s="11"/>
    </row>
    <row r="66" spans="4:13">
      <c r="D66" s="436"/>
      <c r="H66" s="179"/>
      <c r="M66" s="11"/>
    </row>
    <row r="67" spans="4:13">
      <c r="D67" s="436"/>
      <c r="H67" s="179"/>
      <c r="M67" s="11"/>
    </row>
    <row r="68" spans="4:13">
      <c r="D68" s="436"/>
      <c r="H68" s="179"/>
      <c r="M68" s="11"/>
    </row>
    <row r="69" spans="4:13">
      <c r="D69" s="436"/>
      <c r="H69" s="179"/>
      <c r="M69" s="11"/>
    </row>
    <row r="70" spans="4:13">
      <c r="D70" s="436"/>
      <c r="H70" s="179"/>
      <c r="M70" s="11"/>
    </row>
    <row r="71" spans="4:13">
      <c r="D71" s="436"/>
      <c r="H71" s="179"/>
      <c r="M71" s="11"/>
    </row>
    <row r="72" spans="4:13">
      <c r="D72" s="436"/>
      <c r="H72" s="179"/>
      <c r="M72" s="11"/>
    </row>
    <row r="73" spans="4:13">
      <c r="D73" s="436"/>
      <c r="H73" s="179"/>
      <c r="M73" s="11"/>
    </row>
    <row r="74" spans="4:13">
      <c r="D74" s="436"/>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53"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84" bestFit="1" customWidth="1"/>
    <col min="23" max="23" width="7.28515625" style="484" customWidth="1"/>
    <col min="24" max="24" width="11" style="484"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78" hidden="1" customWidth="1"/>
    <col min="37" max="40" width="15.28515625" style="478" hidden="1" customWidth="1"/>
    <col min="41" max="43" width="15.85546875" style="478"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1" t="s">
        <v>548</v>
      </c>
      <c r="C1" s="711"/>
      <c r="D1" s="430" t="str">
        <f>+Profit!B2</f>
        <v>320 Rose Pl</v>
      </c>
      <c r="F1" s="786" t="str">
        <f>Profit!$E$1&amp; " Your Home"</f>
        <v>Buy Your Home</v>
      </c>
      <c r="G1" s="740"/>
      <c r="H1" s="740"/>
      <c r="I1" s="778" t="s">
        <v>549</v>
      </c>
      <c r="J1" s="711"/>
      <c r="K1" s="711"/>
      <c r="L1" s="778" t="s">
        <v>542</v>
      </c>
      <c r="M1" s="711"/>
      <c r="N1" s="711"/>
      <c r="O1" s="778" t="s">
        <v>550</v>
      </c>
      <c r="P1" s="711"/>
      <c r="Q1" s="711"/>
      <c r="R1" s="711"/>
      <c r="T1" s="495">
        <v>1</v>
      </c>
      <c r="U1" s="493"/>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2">
        <f ca="1">NOW()</f>
        <v>46185.468968865738</v>
      </c>
      <c r="C2" s="711"/>
      <c r="D2" s="772" t="s">
        <v>551</v>
      </c>
      <c r="E2" s="668"/>
      <c r="F2" s="783" t="s">
        <v>552</v>
      </c>
      <c r="G2" s="784"/>
      <c r="H2" s="784"/>
      <c r="I2" s="775">
        <f>SUMIF(qryContractsToGnatt[Assigned],$D2,qryContractsToGnatt[Price])</f>
        <v>33070.431014999995</v>
      </c>
      <c r="J2" s="776"/>
      <c r="K2" s="776"/>
      <c r="L2" s="775">
        <f>SUMIF(qryContractsToGnatt[Assigned],$D2,qryContractsToGnatt[Due])</f>
        <v>33070.431014999995</v>
      </c>
      <c r="M2" s="776"/>
      <c r="N2" s="776"/>
      <c r="O2" s="779">
        <f>+I2-N2</f>
        <v>33070.431014999995</v>
      </c>
      <c r="P2" s="780"/>
      <c r="Q2" s="780"/>
      <c r="R2" s="780"/>
      <c r="T2" s="484"/>
      <c r="U2" s="494" t="s">
        <v>553</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43"/>
      <c r="BI2" s="443"/>
      <c r="BJ2" s="443"/>
      <c r="BK2" s="443"/>
      <c r="BL2" s="443"/>
      <c r="BM2" s="443"/>
      <c r="BN2" s="47"/>
      <c r="BO2" s="47"/>
      <c r="BP2" s="47"/>
      <c r="BQ2" s="47"/>
      <c r="BR2" s="47"/>
      <c r="BS2" s="47"/>
      <c r="BT2" s="47"/>
      <c r="BU2" s="47"/>
      <c r="BV2" s="47"/>
      <c r="BW2" s="47"/>
      <c r="BX2" s="47"/>
      <c r="BY2" s="47"/>
      <c r="BZ2" s="48"/>
      <c r="CA2" s="48"/>
      <c r="CF2" s="15"/>
      <c r="CG2" s="15"/>
      <c r="CH2" s="15"/>
    </row>
    <row r="3" spans="1:156" ht="18.75">
      <c r="A3" s="2"/>
      <c r="B3" s="2"/>
      <c r="C3" s="53"/>
      <c r="D3" s="772" t="s">
        <v>554</v>
      </c>
      <c r="E3" s="668"/>
      <c r="F3" s="785" t="str">
        <f>+D3 &amp; " Total:"</f>
        <v>Glasgow DB Total:</v>
      </c>
      <c r="G3" s="774"/>
      <c r="H3" s="774"/>
      <c r="I3" s="775">
        <f>SUMIF(qryContractsToGnatt[Assigned],$D3,qryContractsToGnatt[Price])</f>
        <v>0</v>
      </c>
      <c r="J3" s="776"/>
      <c r="K3" s="776"/>
      <c r="L3" s="775">
        <f>SUMIF(qryContractsToGnatt[Assigned],$D3,qryContractsToGnatt[Due])</f>
        <v>0</v>
      </c>
      <c r="M3" s="776"/>
      <c r="N3" s="776"/>
      <c r="O3" s="779">
        <f>+I3-N3</f>
        <v>0</v>
      </c>
      <c r="P3" s="780"/>
      <c r="Q3" s="780"/>
      <c r="R3" s="780"/>
      <c r="T3" s="484"/>
      <c r="U3" s="494" t="s">
        <v>555</v>
      </c>
      <c r="AC3" s="35"/>
      <c r="AD3" s="35"/>
      <c r="AE3" s="35"/>
      <c r="AF3" s="35"/>
      <c r="AG3" s="35"/>
      <c r="AH3" s="35"/>
      <c r="AI3" s="35"/>
      <c r="AJ3" s="35"/>
      <c r="AK3" s="491"/>
      <c r="AL3" s="491"/>
      <c r="AM3" s="491"/>
      <c r="AN3" s="491"/>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0"/>
      <c r="D4" s="772" t="s">
        <v>481</v>
      </c>
      <c r="E4" s="668"/>
      <c r="F4" s="777" t="str">
        <f>+D4 &amp; " Total:"</f>
        <v>Tim Flemming Total:</v>
      </c>
      <c r="G4" s="774"/>
      <c r="H4" s="774"/>
      <c r="I4" s="775">
        <f>SUMIF(qryContractsToGnatt[Assigned],$D4,qryContractsToGnatt[Price])</f>
        <v>1812.5</v>
      </c>
      <c r="J4" s="776"/>
      <c r="K4" s="776"/>
      <c r="L4" s="775">
        <f>SUMIF(qryContractsToGnatt[Assigned],$D4,qryContractsToGnatt[Due])-SUM(tblContractTim[Paid])</f>
        <v>-250</v>
      </c>
      <c r="M4" s="776"/>
      <c r="N4" s="776"/>
      <c r="O4" s="779">
        <f>+I4-N4</f>
        <v>1812.5</v>
      </c>
      <c r="P4" s="780"/>
      <c r="Q4" s="780"/>
      <c r="R4" s="780"/>
      <c r="T4" s="484"/>
      <c r="U4" s="494" t="s">
        <v>556</v>
      </c>
      <c r="AC4"/>
      <c r="AD4" s="35"/>
      <c r="AE4" s="35"/>
      <c r="AF4" s="35"/>
      <c r="AG4" s="35"/>
      <c r="AH4" s="35"/>
      <c r="AI4" s="35"/>
      <c r="AJ4" s="35"/>
      <c r="AK4" s="491"/>
      <c r="AL4" s="491"/>
      <c r="AM4" s="491"/>
      <c r="AN4" s="491"/>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0"/>
      <c r="D5" s="772" t="s">
        <v>367</v>
      </c>
      <c r="E5" s="668"/>
      <c r="F5" s="788" t="str">
        <f>+D5 &amp; " Total:"</f>
        <v>Buy Your Home Total:</v>
      </c>
      <c r="G5" s="774"/>
      <c r="H5" s="774"/>
      <c r="I5" s="775">
        <f>SUMIF(qryContractsToGnatt[Assigned],$D5,qryContractsToGnatt[Price])</f>
        <v>0</v>
      </c>
      <c r="J5" s="776"/>
      <c r="K5" s="776"/>
      <c r="L5" s="775">
        <f>SUMIF(qryContractsToGnatt[Assigned],$D5,qryContractsToGnatt[Due])</f>
        <v>0</v>
      </c>
      <c r="M5" s="776"/>
      <c r="N5" s="776"/>
      <c r="O5" s="779">
        <f>+I5-N5</f>
        <v>0</v>
      </c>
      <c r="P5" s="780"/>
      <c r="Q5" s="780"/>
      <c r="R5" s="780"/>
      <c r="T5" s="34"/>
      <c r="U5" s="34"/>
      <c r="AC5" s="35"/>
      <c r="AD5" s="35" t="str">
        <f>IFERROR(+IF('Gnatt Chart'!AE$23=#REF!,Milestone_Marker,IF(AND('Gnatt Chart'!AE$23&gt;#REF!,'Gnatt Chart'!AE$23&lt;#REF!+#REF!),#REF!,"")),"")</f>
        <v/>
      </c>
      <c r="AE5" s="35"/>
      <c r="AF5" s="35"/>
      <c r="AG5" s="35"/>
      <c r="AH5" s="35"/>
      <c r="AI5" s="35"/>
      <c r="AJ5" s="35"/>
      <c r="AK5" s="491"/>
      <c r="AL5" s="491"/>
      <c r="AM5" s="491"/>
      <c r="AN5" s="491"/>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73" t="s">
        <v>557</v>
      </c>
      <c r="G6" s="774"/>
      <c r="H6" s="774"/>
      <c r="I6" s="775">
        <f>SUM(I2:K5)</f>
        <v>34882.931014999995</v>
      </c>
      <c r="J6" s="776"/>
      <c r="K6" s="776"/>
      <c r="L6" s="775">
        <f>SUMIF(qryContractsToGnatt[Assigned],$E6,qryContractsToGnatt[Due])</f>
        <v>0</v>
      </c>
      <c r="M6" s="776"/>
      <c r="N6" s="776"/>
      <c r="O6" s="779">
        <f>SUM(O3:O5)</f>
        <v>1812.5</v>
      </c>
      <c r="P6" s="780"/>
      <c r="Q6" s="780"/>
      <c r="R6" s="780"/>
      <c r="T6" s="34"/>
      <c r="U6" s="34"/>
      <c r="AC6" s="35"/>
      <c r="AD6" s="35" t="str">
        <f>IFERROR(+IF('Gnatt Chart'!AE$23=#REF!,Milestone_Marker,IF(AND('Gnatt Chart'!AE$23&gt;#REF!,'Gnatt Chart'!AE$23&lt;#REF!+#REF!),#REF!,"")),"")</f>
        <v/>
      </c>
      <c r="AE6" s="35"/>
      <c r="AF6" s="35"/>
      <c r="AG6" s="35"/>
      <c r="AH6" s="35"/>
      <c r="AI6" s="35"/>
      <c r="AJ6" s="35"/>
      <c r="AK6" s="491"/>
      <c r="AL6" s="491"/>
      <c r="AM6" s="491"/>
      <c r="AN6" s="491"/>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44"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54"/>
      <c r="AC7" s="35"/>
      <c r="AD7" s="35" t="str">
        <f>IFERROR(+IF('Gnatt Chart'!AE$23=#REF!,Milestone_Marker,IF(AND('Gnatt Chart'!AE$23&gt;#REF!,'Gnatt Chart'!AE$23&lt;#REF!+#REF!),#REF!,"")),"")</f>
        <v/>
      </c>
      <c r="AE7" s="35"/>
      <c r="AF7" s="35"/>
      <c r="AG7" s="35"/>
      <c r="AH7" s="35"/>
      <c r="AI7" s="35"/>
      <c r="AJ7" s="35"/>
      <c r="AK7" s="491"/>
      <c r="AL7" s="491"/>
      <c r="AM7" s="491"/>
      <c r="AN7" s="491"/>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54"/>
      <c r="AV7" s="454"/>
      <c r="AW7" s="454"/>
      <c r="AX7" s="454"/>
      <c r="AY7" s="454"/>
      <c r="AZ7" s="454"/>
      <c r="BA7" s="454"/>
      <c r="BB7" s="454"/>
      <c r="BC7" s="454"/>
      <c r="BD7" s="454"/>
      <c r="BE7" s="454"/>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August</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433</v>
      </c>
      <c r="B8" s="57" t="s">
        <v>428</v>
      </c>
      <c r="C8" s="55" t="s">
        <v>429</v>
      </c>
      <c r="D8" s="55" t="s">
        <v>430</v>
      </c>
      <c r="E8" s="55" t="s">
        <v>431</v>
      </c>
      <c r="F8" s="55" t="s">
        <v>432</v>
      </c>
      <c r="G8" s="55" t="s">
        <v>541</v>
      </c>
      <c r="H8" s="55" t="s">
        <v>534</v>
      </c>
      <c r="I8" s="55" t="s">
        <v>542</v>
      </c>
      <c r="J8" s="56" t="s">
        <v>427</v>
      </c>
      <c r="K8" s="467" t="s">
        <v>558</v>
      </c>
      <c r="L8" s="55" t="s">
        <v>559</v>
      </c>
      <c r="M8" s="55" t="s">
        <v>560</v>
      </c>
      <c r="N8" s="55" t="s">
        <v>529</v>
      </c>
      <c r="O8" s="55" t="s">
        <v>561</v>
      </c>
      <c r="P8" s="55" t="s">
        <v>527</v>
      </c>
      <c r="Q8" s="55" t="s">
        <v>530</v>
      </c>
      <c r="R8" s="55" t="s">
        <v>109</v>
      </c>
      <c r="S8" s="55" t="s">
        <v>531</v>
      </c>
      <c r="T8" s="55" t="s">
        <v>562</v>
      </c>
      <c r="U8" s="55" t="s">
        <v>563</v>
      </c>
      <c r="V8" s="55" t="s">
        <v>357</v>
      </c>
      <c r="W8" s="55" t="s">
        <v>528</v>
      </c>
      <c r="X8" s="55" t="s">
        <v>532</v>
      </c>
      <c r="Y8" s="55" t="s">
        <v>533</v>
      </c>
      <c r="Z8" s="55" t="s">
        <v>564</v>
      </c>
      <c r="AA8" s="55" t="s">
        <v>565</v>
      </c>
      <c r="AB8" s="55" t="s">
        <v>566</v>
      </c>
      <c r="AC8" s="55" t="s">
        <v>567</v>
      </c>
      <c r="AD8" s="55" t="s">
        <v>568</v>
      </c>
      <c r="AE8" s="55" t="s">
        <v>569</v>
      </c>
      <c r="AF8" s="55" t="s">
        <v>570</v>
      </c>
      <c r="AG8" s="55" t="s">
        <v>571</v>
      </c>
      <c r="AH8" s="55" t="s">
        <v>572</v>
      </c>
      <c r="AI8" s="55" t="s">
        <v>573</v>
      </c>
      <c r="AJ8" s="55" t="s">
        <v>574</v>
      </c>
      <c r="AK8" s="55" t="s">
        <v>575</v>
      </c>
      <c r="AL8" s="55" t="s">
        <v>576</v>
      </c>
      <c r="AM8" s="55" t="s">
        <v>577</v>
      </c>
      <c r="AN8" s="55"/>
      <c r="AO8" s="35"/>
      <c r="AP8" s="35"/>
      <c r="AQ8" s="35"/>
      <c r="AR8" s="35"/>
      <c r="AS8" s="35" t="str">
        <f>IFERROR(+IF(#REF!=#REF!,Milestone_Marker,IF(AND(#REF!&gt;#REF!,#REF!&lt;#REF!+#REF!),#REF!,"")),"")</f>
        <v/>
      </c>
      <c r="AT8" s="35" t="str">
        <f>IFERROR(+IF(AO$23=#REF!,Milestone_Marker,IF(AND(AO$23&gt;#REF!,AO$23&lt;#REF!+#REF!),#REF!,"")),"")</f>
        <v/>
      </c>
      <c r="AU8" s="49">
        <f ca="1">+AP23</f>
        <v>46214.468968865738</v>
      </c>
      <c r="AV8" s="49">
        <f ca="1">+AU8+1</f>
        <v>46215.468968865738</v>
      </c>
      <c r="AW8" s="49">
        <f ca="1">+AV8+1</f>
        <v>46216.468968865738</v>
      </c>
      <c r="AX8" s="49">
        <f ca="1">+AW8+1</f>
        <v>46217.468968865738</v>
      </c>
      <c r="AY8" s="49">
        <f ca="1">+AX8+1</f>
        <v>46218.468968865738</v>
      </c>
      <c r="AZ8" s="49" t="str">
        <f>+'Gnatt Chart'!AE23</f>
        <v>SiblingRank</v>
      </c>
      <c r="BA8" s="49" t="e">
        <f>+#REF!</f>
        <v>#REF!</v>
      </c>
      <c r="BB8" s="49" t="e">
        <f>+#REF!</f>
        <v>#REF!</v>
      </c>
      <c r="BC8" s="49">
        <f>+AO23</f>
        <v>0</v>
      </c>
      <c r="BD8" s="49" t="e">
        <f>+#REF!</f>
        <v>#REF!</v>
      </c>
      <c r="BE8" s="49">
        <f t="shared" ref="BE8:CJ8" ca="1" si="3">+AQ23</f>
        <v>46215.468968865738</v>
      </c>
      <c r="BF8" s="49">
        <f t="shared" ca="1" si="3"/>
        <v>46216.468968865738</v>
      </c>
      <c r="BG8" s="49">
        <f t="shared" ca="1" si="3"/>
        <v>46217.468968865738</v>
      </c>
      <c r="BH8" s="49">
        <f t="shared" ca="1" si="3"/>
        <v>46218.468968865738</v>
      </c>
      <c r="BI8" s="49">
        <f t="shared" ca="1" si="3"/>
        <v>46219.468968865738</v>
      </c>
      <c r="BJ8" s="49">
        <f t="shared" ca="1" si="3"/>
        <v>46220.468968865738</v>
      </c>
      <c r="BK8" s="49">
        <f t="shared" ca="1" si="3"/>
        <v>46221.468968865738</v>
      </c>
      <c r="BL8" s="49">
        <f t="shared" ca="1" si="3"/>
        <v>46222.468968865738</v>
      </c>
      <c r="BM8" s="49">
        <f t="shared" ca="1" si="3"/>
        <v>46223.468968865738</v>
      </c>
      <c r="BN8" s="49">
        <f t="shared" ca="1" si="3"/>
        <v>46224.468968865738</v>
      </c>
      <c r="BO8" s="49">
        <f t="shared" ca="1" si="3"/>
        <v>46225.468968865738</v>
      </c>
      <c r="BP8" s="49">
        <f t="shared" ca="1" si="3"/>
        <v>46226.468968865738</v>
      </c>
      <c r="BQ8" s="49">
        <f t="shared" ca="1" si="3"/>
        <v>46227.468968865738</v>
      </c>
      <c r="BR8" s="49">
        <f t="shared" ca="1" si="3"/>
        <v>46228.468968865738</v>
      </c>
      <c r="BS8" s="49">
        <f t="shared" ca="1" si="3"/>
        <v>46229.468968865738</v>
      </c>
      <c r="BT8" s="49">
        <f t="shared" ca="1" si="3"/>
        <v>46230.468968865738</v>
      </c>
      <c r="BU8" s="49">
        <f t="shared" ca="1" si="3"/>
        <v>46231.468968865738</v>
      </c>
      <c r="BV8" s="49">
        <f t="shared" ca="1" si="3"/>
        <v>46232.468968865738</v>
      </c>
      <c r="BW8" s="49">
        <f t="shared" ca="1" si="3"/>
        <v>46233.468968865738</v>
      </c>
      <c r="BX8" s="49">
        <f t="shared" ca="1" si="3"/>
        <v>46234.468968865738</v>
      </c>
      <c r="BY8" s="49">
        <f t="shared" ca="1" si="3"/>
        <v>46235.468968865738</v>
      </c>
      <c r="BZ8" s="49">
        <f t="shared" ca="1" si="3"/>
        <v>46236.468968865738</v>
      </c>
      <c r="CA8" s="49">
        <f t="shared" ca="1" si="3"/>
        <v>46237.468968865738</v>
      </c>
      <c r="CB8" s="49">
        <f t="shared" ca="1" si="3"/>
        <v>46238.468968865738</v>
      </c>
      <c r="CC8" s="49">
        <f t="shared" ca="1" si="3"/>
        <v>46239.468968865738</v>
      </c>
      <c r="CD8" s="49">
        <f t="shared" ca="1" si="3"/>
        <v>46240.468968865738</v>
      </c>
      <c r="CE8" s="49">
        <f t="shared" ca="1" si="3"/>
        <v>46241.468968865738</v>
      </c>
      <c r="CF8" s="49">
        <f t="shared" ca="1" si="3"/>
        <v>46242.468968865738</v>
      </c>
      <c r="CG8" s="49">
        <f t="shared" ca="1" si="3"/>
        <v>46243.468968865738</v>
      </c>
      <c r="CH8" s="49">
        <f t="shared" ca="1" si="3"/>
        <v>46244.468968865738</v>
      </c>
      <c r="CI8" s="49">
        <f t="shared" ca="1" si="3"/>
        <v>46245.468968865738</v>
      </c>
      <c r="CJ8" s="49">
        <f t="shared" ca="1" si="3"/>
        <v>46246.468968865738</v>
      </c>
      <c r="CK8" s="49">
        <f t="shared" ref="CK8:DP8" ca="1" si="4">+BW23</f>
        <v>46247.468968865738</v>
      </c>
      <c r="CL8" s="49">
        <f t="shared" ca="1" si="4"/>
        <v>46248.468968865738</v>
      </c>
      <c r="CM8" s="49">
        <f t="shared" ca="1" si="4"/>
        <v>46249.468968865738</v>
      </c>
      <c r="CN8" s="49">
        <f t="shared" ca="1" si="4"/>
        <v>46250.468968865738</v>
      </c>
      <c r="CO8" s="49">
        <f t="shared" ca="1" si="4"/>
        <v>46251.468968865738</v>
      </c>
      <c r="CP8" s="49">
        <f t="shared" ca="1" si="4"/>
        <v>46252.468968865738</v>
      </c>
      <c r="CQ8" s="49">
        <f t="shared" ca="1" si="4"/>
        <v>46253.468968865738</v>
      </c>
      <c r="CR8" s="49">
        <f t="shared" ca="1" si="4"/>
        <v>46254.468968865738</v>
      </c>
      <c r="CS8" s="49">
        <f t="shared" ca="1" si="4"/>
        <v>46255.468968865738</v>
      </c>
      <c r="CT8" s="49">
        <f t="shared" ca="1" si="4"/>
        <v>46256.468968865738</v>
      </c>
      <c r="CU8" s="49">
        <f t="shared" ca="1" si="4"/>
        <v>46257.468968865738</v>
      </c>
      <c r="CV8" s="49">
        <f t="shared" ca="1" si="4"/>
        <v>46258.468968865738</v>
      </c>
      <c r="CW8" s="49">
        <f t="shared" ca="1" si="4"/>
        <v>46259.468968865738</v>
      </c>
      <c r="CX8" s="49">
        <f t="shared" ca="1" si="4"/>
        <v>46260.468968865738</v>
      </c>
      <c r="CY8" s="49">
        <f t="shared" ca="1" si="4"/>
        <v>46261.468968865738</v>
      </c>
      <c r="CZ8" s="49">
        <f t="shared" ca="1" si="4"/>
        <v>46262.468968865738</v>
      </c>
      <c r="DA8" s="49">
        <f t="shared" ca="1" si="4"/>
        <v>46263.468968865738</v>
      </c>
      <c r="DB8" s="49">
        <f t="shared" ca="1" si="4"/>
        <v>46264.468968865738</v>
      </c>
      <c r="DC8" s="49">
        <f t="shared" ca="1" si="4"/>
        <v>46265.468968865738</v>
      </c>
      <c r="DD8" s="49">
        <f t="shared" ca="1" si="4"/>
        <v>46266.468968865738</v>
      </c>
      <c r="DE8" s="49">
        <f t="shared" ca="1" si="4"/>
        <v>46267.468968865738</v>
      </c>
      <c r="DF8" s="49">
        <f t="shared" ca="1" si="4"/>
        <v>46268.468968865738</v>
      </c>
      <c r="DG8" s="49">
        <f t="shared" ca="1" si="4"/>
        <v>46269.468968865738</v>
      </c>
      <c r="DH8" s="49">
        <f t="shared" ca="1" si="4"/>
        <v>46270.468968865738</v>
      </c>
      <c r="DI8" s="49">
        <f t="shared" ca="1" si="4"/>
        <v>46271.468968865738</v>
      </c>
      <c r="DJ8" s="49">
        <f t="shared" ca="1" si="4"/>
        <v>46272.468968865738</v>
      </c>
      <c r="DK8" s="49">
        <f t="shared" ca="1" si="4"/>
        <v>46273.468968865738</v>
      </c>
      <c r="DL8" s="49">
        <f t="shared" ca="1" si="4"/>
        <v>46274.468968865738</v>
      </c>
      <c r="DM8" s="49">
        <f t="shared" ca="1" si="4"/>
        <v>46275.468968865738</v>
      </c>
      <c r="DN8" s="49">
        <f t="shared" ca="1" si="4"/>
        <v>46276.468968865738</v>
      </c>
      <c r="DO8" s="49">
        <f t="shared" ca="1" si="4"/>
        <v>46277.468968865738</v>
      </c>
      <c r="DP8" s="49">
        <f t="shared" ca="1" si="4"/>
        <v>46278.468968865738</v>
      </c>
      <c r="DQ8" s="49">
        <f t="shared" ref="DQ8:DS8" ca="1" si="5">+DC23</f>
        <v>46279.468968865738</v>
      </c>
      <c r="DR8" s="49">
        <f t="shared" ca="1" si="5"/>
        <v>46280.468968865738</v>
      </c>
      <c r="DS8" s="49">
        <f t="shared" ca="1" si="5"/>
        <v>46281.468968865738</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55" t="s">
        <v>551</v>
      </c>
      <c r="B9" t="s">
        <v>546</v>
      </c>
      <c r="C9" s="455" t="s">
        <v>578</v>
      </c>
      <c r="D9" s="455" t="s">
        <v>578</v>
      </c>
      <c r="E9" s="456">
        <v>1</v>
      </c>
      <c r="F9" s="457">
        <f>Legal!H31</f>
        <v>2615</v>
      </c>
      <c r="G9" s="457">
        <f t="shared" ref="G9:G22" si="7">+E9*F9</f>
        <v>2615</v>
      </c>
      <c r="H9" s="457"/>
      <c r="I9" s="458"/>
      <c r="J9" s="456">
        <v>908</v>
      </c>
      <c r="K9" s="458"/>
      <c r="L9" s="459"/>
      <c r="M9" s="462">
        <f>IFERROR(_xlfn.XLOOKUP(Table2[[#This Row],[Index]], Contract_Edits[Index], Contract_Edits[Dep]), Table2[[#This Row],[Index2]])</f>
        <v>1</v>
      </c>
      <c r="N9" s="462">
        <f>IFERROR(_xlfn.XLOOKUP(Table2[[#This Row],[Index]], Contract_Edits[Index], Contract_Edits[Group]), Table2[[#This Row],[Index2]])</f>
        <v>1</v>
      </c>
      <c r="O9" s="459"/>
      <c r="P9" s="459">
        <f>IFERROR(_xlfn.XLOOKUP(Table2[[#This Row],[Index]], Contract_Edits[Index], Contract_Edits[Order]), Table2[[#This Row],[Order]])</f>
        <v>5.0102000000000002</v>
      </c>
      <c r="Q9" s="459">
        <f>IFERROR(_xlfn.XLOOKUP(Table2[[#This Row],[Index]], Contract_Edits[Index], Contract_Edits[Start]), Table2[[#This Row],[Start]])</f>
        <v>0</v>
      </c>
      <c r="R9" s="460"/>
      <c r="S9" s="459">
        <v>0</v>
      </c>
      <c r="T9" s="459"/>
      <c r="U9" s="459"/>
      <c r="V9" s="459">
        <f>IFERROR(_xlfn.XLOOKUP(#REF!, Contract_Edits[Index], Contract_Edits[Notes]), Table2[[#This Row],[Dep Titles]])</f>
        <v>0</v>
      </c>
      <c r="W9" s="488" t="s">
        <v>358</v>
      </c>
      <c r="X9" s="485" t="str">
        <f>IFERROR(_xlfn.XLOOKUP(Table2[[#This Row],[Index]], Contract_Edits[Index], Contract_Edits[Done]), Table2[[#This Row],[Approve]])</f>
        <v>Yes</v>
      </c>
      <c r="Y9" s="485" t="str">
        <f>IFERROR(_xlfn.XLOOKUP(#REF!, Contract_Edits[Index], Contract_Edits[Paid]), Table2[[#This Row],[Done]])</f>
        <v>Yes</v>
      </c>
      <c r="Z9" s="485"/>
      <c r="AA9" s="193"/>
      <c r="AB9" s="193"/>
      <c r="AC9" s="35"/>
      <c r="AD9" s="35"/>
      <c r="AE9" s="35" t="str">
        <f>IFERROR(+IF('Gnatt Chart'!AE$23=#REF!,Milestone_Marker,IF(AND('Gnatt Chart'!AE$23&gt;#REF!,'Gnatt Chart'!AE$23&lt;#REF!+#REF!),#REF!,"")),"")</f>
        <v/>
      </c>
      <c r="AF9" s="35"/>
      <c r="AG9" s="35"/>
      <c r="AH9" s="35"/>
      <c r="AI9" s="35"/>
      <c r="AJ9" s="35"/>
      <c r="AK9" s="491"/>
      <c r="AL9" s="491"/>
      <c r="AM9" s="491"/>
      <c r="AN9" s="491"/>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55" t="s">
        <v>551</v>
      </c>
      <c r="B10" t="s">
        <v>546</v>
      </c>
      <c r="C10" s="455" t="s">
        <v>579</v>
      </c>
      <c r="D10" s="455" t="s">
        <v>580</v>
      </c>
      <c r="E10" s="456">
        <v>1</v>
      </c>
      <c r="F10" s="457">
        <f>+'Demo &amp; Trash Haul'!G24</f>
        <v>505</v>
      </c>
      <c r="G10" s="457">
        <f t="shared" si="7"/>
        <v>505</v>
      </c>
      <c r="H10" s="457"/>
      <c r="I10" s="461"/>
      <c r="J10" s="456">
        <v>900</v>
      </c>
      <c r="K10" s="461"/>
      <c r="L10" s="462"/>
      <c r="M10" s="462">
        <f>IFERROR(_xlfn.XLOOKUP(Table2[[#This Row],[Index]], Contract_Edits[Index], Contract_Edits[Dep]), Table2[[#This Row],[Index2]])</f>
        <v>2</v>
      </c>
      <c r="N10" s="462">
        <f>IFERROR(_xlfn.XLOOKUP(Table2[[#This Row],[Index]], Contract_Edits[Index], Contract_Edits[Group]), Table2[[#This Row],[Index2]])</f>
        <v>1</v>
      </c>
      <c r="O10" s="462"/>
      <c r="P10" s="459">
        <f>IFERROR(_xlfn.XLOOKUP(Table2[[#This Row],[Index]], Contract_Edits[Index], Contract_Edits[Order]), Table2[[#This Row],[Order]])</f>
        <v>15.020099999999999</v>
      </c>
      <c r="Q10" s="459">
        <f>IFERROR(_xlfn.XLOOKUP(Table2[[#This Row],[Index]], Contract_Edits[Index], Contract_Edits[Start]), Table2[[#This Row],[Start]])</f>
        <v>0</v>
      </c>
      <c r="R10" s="463"/>
      <c r="S10" s="459">
        <v>0</v>
      </c>
      <c r="T10" s="462"/>
      <c r="U10" s="462"/>
      <c r="V10" s="462">
        <f>IFERROR(_xlfn.XLOOKUP(#REF!, Contract_Edits[Index], Contract_Edits[Notes]), Table2[[#This Row],[Dep Titles]])</f>
        <v>0</v>
      </c>
      <c r="W10" s="488" t="s">
        <v>358</v>
      </c>
      <c r="X10" s="486" t="str">
        <f>IFERROR(_xlfn.XLOOKUP(Table2[[#This Row],[Index]], Contract_Edits[Index], Contract_Edits[Done]), Table2[[#This Row],[Approve]])</f>
        <v>Yes</v>
      </c>
      <c r="Y10" s="486" t="str">
        <f>IFERROR(_xlfn.XLOOKUP(#REF!, Contract_Edits[Index], Contract_Edits[Paid]), Table2[[#This Row],[Done]])</f>
        <v>Yes</v>
      </c>
      <c r="Z10" s="486"/>
      <c r="AA10" s="193"/>
      <c r="AB10" s="193"/>
      <c r="AC10" s="35"/>
      <c r="AD10" s="35"/>
      <c r="AE10" s="35" t="str">
        <f>IFERROR(+IF('Gnatt Chart'!AE$23=#REF!,Milestone_Marker,IF(AND('Gnatt Chart'!AE$23&gt;#REF!,'Gnatt Chart'!AE$23&lt;#REF!+#REF!),#REF!,"")),"")</f>
        <v/>
      </c>
      <c r="AF10" s="35"/>
      <c r="AG10" s="35"/>
      <c r="AH10" s="35"/>
      <c r="AI10" s="35"/>
      <c r="AJ10" s="35"/>
      <c r="AK10" s="491"/>
      <c r="AL10" s="491"/>
      <c r="AM10" s="491"/>
      <c r="AN10" s="491"/>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55" t="s">
        <v>551</v>
      </c>
      <c r="B11" t="s">
        <v>546</v>
      </c>
      <c r="C11" s="455" t="s">
        <v>581</v>
      </c>
      <c r="D11" s="455" t="s">
        <v>582</v>
      </c>
      <c r="E11" s="456">
        <v>1</v>
      </c>
      <c r="F11" s="457">
        <f>+Lumber!L112</f>
        <v>-310.864125</v>
      </c>
      <c r="G11" s="457">
        <f t="shared" si="7"/>
        <v>-310.864125</v>
      </c>
      <c r="H11" s="457"/>
      <c r="I11" s="461"/>
      <c r="J11" s="456">
        <v>912</v>
      </c>
      <c r="K11" s="461"/>
      <c r="L11" s="462"/>
      <c r="M11" s="462">
        <f>IFERROR(_xlfn.XLOOKUP(Table2[[#This Row],[Index]], Contract_Edits[Index], Contract_Edits[Dep]), Table2[[#This Row],[Index2]])</f>
        <v>7</v>
      </c>
      <c r="N11" s="462">
        <f>IFERROR(_xlfn.XLOOKUP(Table2[[#This Row],[Index]], Contract_Edits[Index], Contract_Edits[Group]), Table2[[#This Row],[Index2]])</f>
        <v>1</v>
      </c>
      <c r="O11" s="462"/>
      <c r="P11" s="459">
        <f>IFERROR(_xlfn.XLOOKUP(Table2[[#This Row],[Index]], Contract_Edits[Index], Contract_Edits[Order]), Table2[[#This Row],[Order]])</f>
        <v>65.010100000000008</v>
      </c>
      <c r="Q11" s="459">
        <f>IFERROR(_xlfn.XLOOKUP(Table2[[#This Row],[Index]], Contract_Edits[Index], Contract_Edits[Start]), Table2[[#This Row],[Start]])</f>
        <v>0</v>
      </c>
      <c r="R11" s="463"/>
      <c r="S11" s="459">
        <v>0</v>
      </c>
      <c r="T11" s="462"/>
      <c r="U11" s="462"/>
      <c r="V11" s="462">
        <f>IFERROR(_xlfn.XLOOKUP(#REF!, Contract_Edits[Index], Contract_Edits[Notes]), Table2[[#This Row],[Dep Titles]])</f>
        <v>0</v>
      </c>
      <c r="W11" s="488" t="s">
        <v>358</v>
      </c>
      <c r="X11" s="486" t="str">
        <f>IFERROR(_xlfn.XLOOKUP(Table2[[#This Row],[Index]], Contract_Edits[Index], Contract_Edits[Done]), Table2[[#This Row],[Approve]])</f>
        <v>Yes</v>
      </c>
      <c r="Y11" s="486" t="str">
        <f>IFERROR(_xlfn.XLOOKUP(#REF!, Contract_Edits[Index], Contract_Edits[Paid]), Table2[[#This Row],[Done]])</f>
        <v>Yes</v>
      </c>
      <c r="Z11" s="486"/>
      <c r="AA11" s="193"/>
      <c r="AB11" s="193"/>
      <c r="AC11" s="35"/>
      <c r="AD11" s="35"/>
      <c r="AE11" s="35" t="str">
        <f>IFERROR(+IF('Gnatt Chart'!AE$23=#REF!,Milestone_Marker,IF(AND('Gnatt Chart'!AE$23&gt;#REF!,'Gnatt Chart'!AE$23&lt;#REF!+#REF!),#REF!,"")),"")</f>
        <v/>
      </c>
      <c r="AF11" s="35"/>
      <c r="AG11" s="35"/>
      <c r="AH11" s="35"/>
      <c r="AI11" s="35"/>
      <c r="AJ11" s="35"/>
      <c r="AK11" s="491"/>
      <c r="AL11" s="491"/>
      <c r="AM11" s="491"/>
      <c r="AN11" s="491"/>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55" t="s">
        <v>551</v>
      </c>
      <c r="B12" t="s">
        <v>546</v>
      </c>
      <c r="C12" s="455" t="s">
        <v>583</v>
      </c>
      <c r="D12" s="455" t="s">
        <v>584</v>
      </c>
      <c r="E12" s="456">
        <v>1</v>
      </c>
      <c r="F12" s="457">
        <f>+Cabinets!J52</f>
        <v>6726.5870099999993</v>
      </c>
      <c r="G12" s="457">
        <f t="shared" si="7"/>
        <v>6726.5870099999993</v>
      </c>
      <c r="H12" s="457"/>
      <c r="I12" s="461"/>
      <c r="J12" s="456">
        <v>904</v>
      </c>
      <c r="K12" s="461"/>
      <c r="L12" s="462"/>
      <c r="M12" s="462">
        <f>IFERROR(_xlfn.XLOOKUP(Table2[[#This Row],[Index]], Contract_Edits[Index], Contract_Edits[Dep]), Table2[[#This Row],[Index2]])</f>
        <v>14</v>
      </c>
      <c r="N12" s="462">
        <f>IFERROR(_xlfn.XLOOKUP(Table2[[#This Row],[Index]], Contract_Edits[Index], Contract_Edits[Group]), Table2[[#This Row],[Index2]])</f>
        <v>1</v>
      </c>
      <c r="O12" s="462"/>
      <c r="P12" s="459">
        <f>IFERROR(_xlfn.XLOOKUP(Table2[[#This Row],[Index]], Contract_Edits[Index], Contract_Edits[Order]), Table2[[#This Row],[Order]])</f>
        <v>135.0102</v>
      </c>
      <c r="Q12" s="459">
        <f>IFERROR(_xlfn.XLOOKUP(Table2[[#This Row],[Index]], Contract_Edits[Index], Contract_Edits[Start]), Table2[[#This Row],[Start]])</f>
        <v>0</v>
      </c>
      <c r="R12" s="463"/>
      <c r="S12" s="459">
        <v>0</v>
      </c>
      <c r="T12" s="462"/>
      <c r="U12" s="462"/>
      <c r="V12" s="462">
        <f>IFERROR(_xlfn.XLOOKUP(#REF!, Contract_Edits[Index], Contract_Edits[Notes]), Table2[[#This Row],[Dep Titles]])</f>
        <v>0</v>
      </c>
      <c r="W12" s="488" t="s">
        <v>358</v>
      </c>
      <c r="X12" s="486" t="str">
        <f>IFERROR(_xlfn.XLOOKUP(Table2[[#This Row],[Index]], Contract_Edits[Index], Contract_Edits[Done]), Table2[[#This Row],[Approve]])</f>
        <v>Yes</v>
      </c>
      <c r="Y12" s="486" t="str">
        <f>IFERROR(_xlfn.XLOOKUP(#REF!, Contract_Edits[Index], Contract_Edits[Paid]), Table2[[#This Row],[Done]])</f>
        <v>Yes</v>
      </c>
      <c r="Z12" s="486"/>
      <c r="AA12" s="193"/>
      <c r="AB12" s="193"/>
      <c r="AC12" s="35"/>
      <c r="AD12" s="35"/>
      <c r="AE12" s="35" t="str">
        <f>IFERROR(+IF('Gnatt Chart'!AE$23=#REF!,Milestone_Marker,IF(AND('Gnatt Chart'!AE$23&gt;#REF!,'Gnatt Chart'!AE$23&lt;#REF!+#REF!),#REF!,"")),"")</f>
        <v/>
      </c>
      <c r="AF12" s="35"/>
      <c r="AG12" s="35"/>
      <c r="AH12" s="35"/>
      <c r="AI12" s="35"/>
      <c r="AJ12" s="35"/>
      <c r="AK12" s="491"/>
      <c r="AL12" s="491"/>
      <c r="AM12" s="491"/>
      <c r="AN12" s="491"/>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55" t="s">
        <v>551</v>
      </c>
      <c r="B13" t="s">
        <v>546</v>
      </c>
      <c r="C13" s="455" t="s">
        <v>463</v>
      </c>
      <c r="D13" s="455" t="s">
        <v>585</v>
      </c>
      <c r="E13" s="456">
        <v>1</v>
      </c>
      <c r="F13" s="457">
        <f>+'Windows &amp; Doors'!H44</f>
        <v>210.10060500000003</v>
      </c>
      <c r="G13" s="457">
        <f t="shared" si="7"/>
        <v>210.10060500000003</v>
      </c>
      <c r="H13" s="457"/>
      <c r="I13" s="461"/>
      <c r="J13" s="456">
        <v>903</v>
      </c>
      <c r="K13" s="461"/>
      <c r="L13" s="462"/>
      <c r="M13" s="462">
        <f>IFERROR(_xlfn.XLOOKUP(Table2[[#This Row],[Index]], Contract_Edits[Index], Contract_Edits[Dep]), Table2[[#This Row],[Index2]])</f>
        <v>15</v>
      </c>
      <c r="N13" s="462">
        <f>IFERROR(_xlfn.XLOOKUP(Table2[[#This Row],[Index]], Contract_Edits[Index], Contract_Edits[Group]), Table2[[#This Row],[Index2]])</f>
        <v>1</v>
      </c>
      <c r="O13" s="462"/>
      <c r="P13" s="459">
        <f>IFERROR(_xlfn.XLOOKUP(Table2[[#This Row],[Index]], Contract_Edits[Index], Contract_Edits[Order]), Table2[[#This Row],[Order]])</f>
        <v>145.01009999999999</v>
      </c>
      <c r="Q13" s="459">
        <f>IFERROR(_xlfn.XLOOKUP(Table2[[#This Row],[Index]], Contract_Edits[Index], Contract_Edits[Start]), Table2[[#This Row],[Start]])</f>
        <v>0</v>
      </c>
      <c r="R13" s="463"/>
      <c r="S13" s="459">
        <v>0</v>
      </c>
      <c r="T13" s="462"/>
      <c r="U13" s="462"/>
      <c r="V13" s="462">
        <f>IFERROR(_xlfn.XLOOKUP(#REF!, Contract_Edits[Index], Contract_Edits[Notes]), Table2[[#This Row],[Dep Titles]])</f>
        <v>0</v>
      </c>
      <c r="W13" s="488" t="s">
        <v>358</v>
      </c>
      <c r="X13" s="486" t="str">
        <f>IFERROR(_xlfn.XLOOKUP(Table2[[#This Row],[Index]], Contract_Edits[Index], Contract_Edits[Done]), Table2[[#This Row],[Approve]])</f>
        <v>Yes</v>
      </c>
      <c r="Y13" s="486" t="str">
        <f>IFERROR(_xlfn.XLOOKUP(#REF!, Contract_Edits[Index], Contract_Edits[Paid]), Table2[[#This Row],[Done]])</f>
        <v>Yes</v>
      </c>
      <c r="Z13" s="486"/>
      <c r="AC13" s="35"/>
      <c r="AD13" s="35"/>
      <c r="AE13" s="35" t="str">
        <f>IFERROR(+IF('Gnatt Chart'!AE$23=#REF!,Milestone_Marker,IF(AND('Gnatt Chart'!AE$23&gt;#REF!,'Gnatt Chart'!AE$23&lt;#REF!+#REF!),#REF!,"")),"")</f>
        <v/>
      </c>
      <c r="AF13" s="35"/>
      <c r="AG13" s="35"/>
      <c r="AH13" s="35"/>
      <c r="AI13" s="35"/>
      <c r="AJ13" s="35"/>
      <c r="AK13" s="491"/>
      <c r="AL13" s="491"/>
      <c r="AM13" s="491"/>
      <c r="AN13" s="491"/>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55" t="s">
        <v>551</v>
      </c>
      <c r="B14" t="s">
        <v>547</v>
      </c>
      <c r="C14" s="455" t="s">
        <v>479</v>
      </c>
      <c r="D14" s="455" t="s">
        <v>586</v>
      </c>
      <c r="E14" s="456">
        <v>1</v>
      </c>
      <c r="F14" s="457">
        <f>+Appliances!I31</f>
        <v>150</v>
      </c>
      <c r="G14" s="457">
        <f t="shared" si="7"/>
        <v>150</v>
      </c>
      <c r="H14" s="457"/>
      <c r="I14" s="461"/>
      <c r="J14" s="456">
        <v>901</v>
      </c>
      <c r="K14" s="461"/>
      <c r="L14" s="462"/>
      <c r="M14" s="462">
        <f>IFERROR(_xlfn.XLOOKUP(Table2[[#This Row],[Index]], Contract_Edits[Index], Contract_Edits[Dep]), Table2[[#This Row],[Index2]])</f>
        <v>16</v>
      </c>
      <c r="N14" s="462">
        <f>IFERROR(_xlfn.XLOOKUP(Table2[[#This Row],[Index]], Contract_Edits[Index], Contract_Edits[Group]), Table2[[#This Row],[Index2]])</f>
        <v>1</v>
      </c>
      <c r="O14" s="462"/>
      <c r="P14" s="459">
        <f>IFERROR(_xlfn.XLOOKUP(Table2[[#This Row],[Index]], Contract_Edits[Index], Contract_Edits[Order]), Table2[[#This Row],[Order]])</f>
        <v>155.01009999999999</v>
      </c>
      <c r="Q14" s="459">
        <f>IFERROR(_xlfn.XLOOKUP(Table2[[#This Row],[Index]], Contract_Edits[Index], Contract_Edits[Start]), Table2[[#This Row],[Start]])</f>
        <v>0</v>
      </c>
      <c r="R14" s="463"/>
      <c r="S14" s="459">
        <v>0</v>
      </c>
      <c r="T14" s="462"/>
      <c r="U14" s="462"/>
      <c r="V14" s="462">
        <f>IFERROR(_xlfn.XLOOKUP(#REF!, Contract_Edits[Index], Contract_Edits[Notes]), Table2[[#This Row],[Dep Titles]])</f>
        <v>0</v>
      </c>
      <c r="W14" s="488" t="s">
        <v>358</v>
      </c>
      <c r="X14" s="486" t="str">
        <f>IFERROR(_xlfn.XLOOKUP(Table2[[#This Row],[Index]], Contract_Edits[Index], Contract_Edits[Done]), Table2[[#This Row],[Approve]])</f>
        <v>Yes</v>
      </c>
      <c r="Y14" s="486" t="str">
        <f>IFERROR(_xlfn.XLOOKUP(#REF!, Contract_Edits[Index], Contract_Edits[Paid]), Table2[[#This Row],[Done]])</f>
        <v>Yes</v>
      </c>
      <c r="Z14" s="486"/>
      <c r="AA14" s="193"/>
      <c r="AB14" s="193"/>
      <c r="AC14" s="35"/>
      <c r="AD14" s="35"/>
      <c r="AE14" s="35" t="str">
        <f>IFERROR(+IF('Gnatt Chart'!AE$23=#REF!,Milestone_Marker,IF(AND('Gnatt Chart'!AE$23&gt;#REF!,'Gnatt Chart'!AE$23&lt;#REF!+#REF!),#REF!,"")),"")</f>
        <v/>
      </c>
      <c r="AF14" s="35"/>
      <c r="AG14" s="35"/>
      <c r="AH14" s="35"/>
      <c r="AI14" s="35"/>
      <c r="AJ14" s="35"/>
      <c r="AK14" s="491"/>
      <c r="AL14" s="491"/>
      <c r="AM14" s="491"/>
      <c r="AN14" s="491"/>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55" t="s">
        <v>551</v>
      </c>
      <c r="B15" t="s">
        <v>546</v>
      </c>
      <c r="C15" s="455" t="s">
        <v>453</v>
      </c>
      <c r="D15" s="455" t="s">
        <v>587</v>
      </c>
      <c r="E15" s="456">
        <v>1</v>
      </c>
      <c r="F15" s="457">
        <f>+'Electrical Fixtures'!H36</f>
        <v>0</v>
      </c>
      <c r="G15" s="457">
        <f t="shared" si="7"/>
        <v>0</v>
      </c>
      <c r="H15" s="457"/>
      <c r="I15" s="461"/>
      <c r="J15" s="456">
        <v>907</v>
      </c>
      <c r="K15" s="461"/>
      <c r="L15" s="462"/>
      <c r="M15" s="462">
        <f>IFERROR(_xlfn.XLOOKUP(Table2[[#This Row],[Index]], Contract_Edits[Index], Contract_Edits[Dep]), Table2[[#This Row],[Index2]])</f>
        <v>16</v>
      </c>
      <c r="N15" s="462">
        <f>IFERROR(_xlfn.XLOOKUP(Table2[[#This Row],[Index]], Contract_Edits[Index], Contract_Edits[Group]), Table2[[#This Row],[Index2]])</f>
        <v>1</v>
      </c>
      <c r="O15" s="462"/>
      <c r="P15" s="459">
        <f>IFERROR(_xlfn.XLOOKUP(Table2[[#This Row],[Index]], Contract_Edits[Index], Contract_Edits[Order]), Table2[[#This Row],[Order]])</f>
        <v>155.0102</v>
      </c>
      <c r="Q15" s="459">
        <f>IFERROR(_xlfn.XLOOKUP(Table2[[#This Row],[Index]], Contract_Edits[Index], Contract_Edits[Start]), Table2[[#This Row],[Start]])</f>
        <v>0</v>
      </c>
      <c r="R15" s="463"/>
      <c r="S15" s="459">
        <v>0</v>
      </c>
      <c r="T15" s="462"/>
      <c r="U15" s="462"/>
      <c r="V15" s="462">
        <f>IFERROR(_xlfn.XLOOKUP(#REF!, Contract_Edits[Index], Contract_Edits[Notes]), Table2[[#This Row],[Dep Titles]])</f>
        <v>0</v>
      </c>
      <c r="W15" s="488" t="s">
        <v>358</v>
      </c>
      <c r="X15" s="486" t="str">
        <f>IFERROR(_xlfn.XLOOKUP(Table2[[#This Row],[Index]], Contract_Edits[Index], Contract_Edits[Done]), Table2[[#This Row],[Approve]])</f>
        <v>Yes</v>
      </c>
      <c r="Y15" s="486" t="str">
        <f>IFERROR(_xlfn.XLOOKUP(#REF!, Contract_Edits[Index], Contract_Edits[Paid]), Table2[[#This Row],[Done]])</f>
        <v>Yes</v>
      </c>
      <c r="Z15" s="486"/>
      <c r="AA15" s="193"/>
      <c r="AB15" s="193"/>
      <c r="AC15" s="35"/>
      <c r="AD15" s="35"/>
      <c r="AE15" s="35" t="str">
        <f>IFERROR(+IF('Gnatt Chart'!AE$23=#REF!,Milestone_Marker,IF(AND('Gnatt Chart'!AE$23&gt;#REF!,'Gnatt Chart'!AE$23&lt;#REF!+#REF!),#REF!,"")),"")</f>
        <v/>
      </c>
      <c r="AF15" s="35"/>
      <c r="AG15" s="35"/>
      <c r="AH15" s="35"/>
      <c r="AI15" s="35"/>
      <c r="AJ15" s="35"/>
      <c r="AK15" s="491"/>
      <c r="AL15" s="491"/>
      <c r="AM15" s="491"/>
      <c r="AN15" s="491"/>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55" t="s">
        <v>551</v>
      </c>
      <c r="B16" t="s">
        <v>546</v>
      </c>
      <c r="C16" s="455" t="s">
        <v>442</v>
      </c>
      <c r="D16" s="455" t="s">
        <v>588</v>
      </c>
      <c r="E16" s="456">
        <v>1</v>
      </c>
      <c r="F16" s="457">
        <f>+'Plumbing Fixtures'!I32</f>
        <v>44.58382499999999</v>
      </c>
      <c r="G16" s="457">
        <f t="shared" si="7"/>
        <v>44.58382499999999</v>
      </c>
      <c r="H16" s="457"/>
      <c r="I16" s="461"/>
      <c r="J16" s="456">
        <v>902</v>
      </c>
      <c r="K16" s="461"/>
      <c r="L16" s="462"/>
      <c r="M16" s="462">
        <f>IFERROR(_xlfn.XLOOKUP(Table2[[#This Row],[Index]], Contract_Edits[Index], Contract_Edits[Dep]), Table2[[#This Row],[Index2]])</f>
        <v>17</v>
      </c>
      <c r="N16" s="462">
        <f>IFERROR(_xlfn.XLOOKUP(Table2[[#This Row],[Index]], Contract_Edits[Index], Contract_Edits[Group]), Table2[[#This Row],[Index2]])</f>
        <v>1</v>
      </c>
      <c r="O16" s="462"/>
      <c r="P16" s="459">
        <f>IFERROR(_xlfn.XLOOKUP(Table2[[#This Row],[Index]], Contract_Edits[Index], Contract_Edits[Order]), Table2[[#This Row],[Order]])</f>
        <v>165.0102</v>
      </c>
      <c r="Q16" s="459">
        <f>IFERROR(_xlfn.XLOOKUP(Table2[[#This Row],[Index]], Contract_Edits[Index], Contract_Edits[Start]), Table2[[#This Row],[Start]])</f>
        <v>0</v>
      </c>
      <c r="R16" s="463"/>
      <c r="S16" s="459">
        <v>0</v>
      </c>
      <c r="T16" s="462"/>
      <c r="U16" s="462"/>
      <c r="V16" s="462">
        <f>IFERROR(_xlfn.XLOOKUP(#REF!, Contract_Edits[Index], Contract_Edits[Notes]), Table2[[#This Row],[Dep Titles]])</f>
        <v>0</v>
      </c>
      <c r="W16" s="488" t="s">
        <v>358</v>
      </c>
      <c r="X16" s="486" t="str">
        <f>IFERROR(_xlfn.XLOOKUP(Table2[[#This Row],[Index]], Contract_Edits[Index], Contract_Edits[Done]), Table2[[#This Row],[Approve]])</f>
        <v>Yes</v>
      </c>
      <c r="Y16" s="486" t="str">
        <f>IFERROR(_xlfn.XLOOKUP(#REF!, Contract_Edits[Index], Contract_Edits[Paid]), Table2[[#This Row],[Done]])</f>
        <v>Yes</v>
      </c>
      <c r="Z16" s="486"/>
      <c r="AA16" s="193"/>
      <c r="AB16" s="193"/>
      <c r="AC16" s="35"/>
      <c r="AD16" s="35"/>
      <c r="AE16" s="35" t="str">
        <f>IFERROR(+IF('Gnatt Chart'!AE$23=#REF!,Milestone_Marker,IF(AND('Gnatt Chart'!AE$23&gt;#REF!,'Gnatt Chart'!AE$23&lt;#REF!+#REF!),#REF!,"")),"")</f>
        <v/>
      </c>
      <c r="AF16" s="35"/>
      <c r="AG16" s="35"/>
      <c r="AH16" s="35"/>
      <c r="AI16" s="35"/>
      <c r="AJ16" s="35"/>
      <c r="AK16" s="491"/>
      <c r="AL16" s="491"/>
      <c r="AM16" s="491"/>
      <c r="AN16" s="491"/>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0" t="s">
        <v>589</v>
      </c>
      <c r="BG16" s="451"/>
      <c r="BH16" s="451"/>
      <c r="BI16" s="451"/>
      <c r="BJ16" s="451"/>
      <c r="BK16" s="451"/>
      <c r="BL16" s="451"/>
      <c r="BM16" s="451"/>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55" t="s">
        <v>551</v>
      </c>
      <c r="B17" t="s">
        <v>546</v>
      </c>
      <c r="C17" s="455" t="s">
        <v>454</v>
      </c>
      <c r="D17" s="455" t="s">
        <v>590</v>
      </c>
      <c r="E17" s="456">
        <v>1</v>
      </c>
      <c r="F17" s="457">
        <f>+HVAC!I18</f>
        <v>8621</v>
      </c>
      <c r="G17" s="457">
        <f t="shared" si="7"/>
        <v>8621</v>
      </c>
      <c r="H17" s="457"/>
      <c r="I17" s="461"/>
      <c r="J17" s="456">
        <v>911</v>
      </c>
      <c r="K17" s="461"/>
      <c r="L17" s="462"/>
      <c r="M17" s="462">
        <f>IFERROR(_xlfn.XLOOKUP(Table2[[#This Row],[Index]], Contract_Edits[Index], Contract_Edits[Dep]), Table2[[#This Row],[Index2]])</f>
        <v>19</v>
      </c>
      <c r="N17" s="462">
        <f>IFERROR(_xlfn.XLOOKUP(Table2[[#This Row],[Index]], Contract_Edits[Index], Contract_Edits[Group]), Table2[[#This Row],[Index2]])</f>
        <v>1</v>
      </c>
      <c r="O17" s="462"/>
      <c r="P17" s="459">
        <f>IFERROR(_xlfn.XLOOKUP(Table2[[#This Row],[Index]], Contract_Edits[Index], Contract_Edits[Order]), Table2[[#This Row],[Order]])</f>
        <v>185.01009999999999</v>
      </c>
      <c r="Q17" s="459">
        <f>IFERROR(_xlfn.XLOOKUP(Table2[[#This Row],[Index]], Contract_Edits[Index], Contract_Edits[Start]), Table2[[#This Row],[Start]])</f>
        <v>0</v>
      </c>
      <c r="R17" s="463"/>
      <c r="S17" s="459">
        <v>0</v>
      </c>
      <c r="T17" s="462"/>
      <c r="U17" s="462"/>
      <c r="V17" s="462">
        <f>IFERROR(_xlfn.XLOOKUP(#REF!, Contract_Edits[Index], Contract_Edits[Notes]), Table2[[#This Row],[Dep Titles]])</f>
        <v>0</v>
      </c>
      <c r="W17" s="488" t="s">
        <v>358</v>
      </c>
      <c r="X17" s="486" t="str">
        <f>IFERROR(_xlfn.XLOOKUP(Table2[[#This Row],[Index]], Contract_Edits[Index], Contract_Edits[Done]), Table2[[#This Row],[Approve]])</f>
        <v>Yes</v>
      </c>
      <c r="Y17" s="486" t="str">
        <f>IFERROR(_xlfn.XLOOKUP(#REF!, Contract_Edits[Index], Contract_Edits[Paid]), Table2[[#This Row],[Done]])</f>
        <v>Yes</v>
      </c>
      <c r="Z17" s="486"/>
      <c r="AA17" s="193"/>
      <c r="AB17" s="193"/>
      <c r="AC17" s="35"/>
      <c r="AD17" s="35"/>
      <c r="AE17" s="35" t="str">
        <f>IFERROR(+IF('Gnatt Chart'!AE$23=#REF!,Milestone_Marker,IF(AND('Gnatt Chart'!AE$23&gt;#REF!,'Gnatt Chart'!AE$23&lt;#REF!+#REF!),#REF!,"")),"")</f>
        <v/>
      </c>
      <c r="AF17" s="35"/>
      <c r="AG17" s="35"/>
      <c r="AH17" s="35"/>
      <c r="AI17" s="35"/>
      <c r="AJ17" s="35"/>
      <c r="AK17" s="491"/>
      <c r="AL17" s="491"/>
      <c r="AM17" s="491"/>
      <c r="AN17" s="491"/>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1"/>
      <c r="BG17" s="451"/>
      <c r="BH17" s="451"/>
      <c r="BI17" s="451"/>
      <c r="BJ17" s="451"/>
      <c r="BK17" s="451"/>
      <c r="BL17" s="451"/>
      <c r="BM17" s="451"/>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55" t="s">
        <v>551</v>
      </c>
      <c r="B18" t="s">
        <v>547</v>
      </c>
      <c r="C18" s="455" t="s">
        <v>591</v>
      </c>
      <c r="D18" s="455" t="s">
        <v>592</v>
      </c>
      <c r="E18" s="456">
        <v>1</v>
      </c>
      <c r="F18" s="457">
        <f>+Flooring!I22</f>
        <v>5905.82</v>
      </c>
      <c r="G18" s="457">
        <f t="shared" si="7"/>
        <v>5905.82</v>
      </c>
      <c r="H18" s="457"/>
      <c r="I18" s="461"/>
      <c r="J18" s="456">
        <v>906</v>
      </c>
      <c r="K18" s="461"/>
      <c r="L18" s="462"/>
      <c r="M18" s="462">
        <f>IFERROR(_xlfn.XLOOKUP(Table2[[#This Row],[Index]], Contract_Edits[Index], Contract_Edits[Dep]), Table2[[#This Row],[Index2]])</f>
        <v>20</v>
      </c>
      <c r="N18" s="462">
        <f>IFERROR(_xlfn.XLOOKUP(Table2[[#This Row],[Index]], Contract_Edits[Index], Contract_Edits[Group]), Table2[[#This Row],[Index2]])</f>
        <v>1</v>
      </c>
      <c r="O18" s="462"/>
      <c r="P18" s="459">
        <f>IFERROR(_xlfn.XLOOKUP(Table2[[#This Row],[Index]], Contract_Edits[Index], Contract_Edits[Order]), Table2[[#This Row],[Order]])</f>
        <v>195.01009999999999</v>
      </c>
      <c r="Q18" s="459">
        <f>IFERROR(_xlfn.XLOOKUP(Table2[[#This Row],[Index]], Contract_Edits[Index], Contract_Edits[Start]), Table2[[#This Row],[Start]])</f>
        <v>0</v>
      </c>
      <c r="R18" s="463"/>
      <c r="S18" s="459">
        <v>0</v>
      </c>
      <c r="T18" s="462"/>
      <c r="U18" s="462"/>
      <c r="V18" s="462">
        <f>IFERROR(_xlfn.XLOOKUP(#REF!, Contract_Edits[Index], Contract_Edits[Notes]), Table2[[#This Row],[Dep Titles]])</f>
        <v>0</v>
      </c>
      <c r="W18" s="488" t="s">
        <v>358</v>
      </c>
      <c r="X18" s="486" t="str">
        <f>IFERROR(_xlfn.XLOOKUP(Table2[[#This Row],[Index]], Contract_Edits[Index], Contract_Edits[Done]), Table2[[#This Row],[Approve]])</f>
        <v>Yes</v>
      </c>
      <c r="Y18" s="486" t="str">
        <f>IFERROR(_xlfn.XLOOKUP(#REF!, Contract_Edits[Index], Contract_Edits[Paid]), Table2[[#This Row],[Done]])</f>
        <v>Yes</v>
      </c>
      <c r="Z18" s="486"/>
      <c r="AA18" s="193"/>
      <c r="AB18" s="193"/>
      <c r="AC18" s="35"/>
      <c r="AD18" s="35"/>
      <c r="AE18" s="35" t="str">
        <f>IFERROR(+IF('Gnatt Chart'!AE$23=#REF!,Milestone_Marker,IF(AND('Gnatt Chart'!AE$23&gt;#REF!,'Gnatt Chart'!AE$23&lt;#REF!+#REF!),#REF!,"")),"")</f>
        <v/>
      </c>
      <c r="AF18" s="35"/>
      <c r="AG18" s="35"/>
      <c r="AH18" s="35"/>
      <c r="AI18" s="35"/>
      <c r="AJ18" s="35"/>
      <c r="AK18" s="491"/>
      <c r="AL18" s="491"/>
      <c r="AM18" s="491"/>
      <c r="AN18" s="491"/>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55" t="s">
        <v>551</v>
      </c>
      <c r="B19" t="s">
        <v>547</v>
      </c>
      <c r="C19" s="455" t="s">
        <v>469</v>
      </c>
      <c r="D19" s="455" t="s">
        <v>593</v>
      </c>
      <c r="E19" s="456">
        <v>1</v>
      </c>
      <c r="F19" s="457">
        <f>+Paint!L55</f>
        <v>8333.2037</v>
      </c>
      <c r="G19" s="457">
        <f t="shared" si="7"/>
        <v>8333.2037</v>
      </c>
      <c r="H19" s="457"/>
      <c r="I19" s="461"/>
      <c r="J19" s="456">
        <v>905</v>
      </c>
      <c r="K19" s="461"/>
      <c r="L19" s="462"/>
      <c r="M19" s="462">
        <f>IFERROR(_xlfn.XLOOKUP(Table2[[#This Row],[Index]], Contract_Edits[Index], Contract_Edits[Dep]), Table2[[#This Row],[Index2]])</f>
        <v>23</v>
      </c>
      <c r="N19" s="462">
        <f>IFERROR(_xlfn.XLOOKUP(Table2[[#This Row],[Index]], Contract_Edits[Index], Contract_Edits[Group]), Table2[[#This Row],[Index2]])</f>
        <v>1</v>
      </c>
      <c r="O19" s="462"/>
      <c r="P19" s="459">
        <f>IFERROR(_xlfn.XLOOKUP(Table2[[#This Row],[Index]], Contract_Edits[Index], Contract_Edits[Order]), Table2[[#This Row],[Order]])</f>
        <v>225.01009999999999</v>
      </c>
      <c r="Q19" s="459">
        <f>IFERROR(_xlfn.XLOOKUP(Table2[[#This Row],[Index]], Contract_Edits[Index], Contract_Edits[Start]), Table2[[#This Row],[Start]])</f>
        <v>0</v>
      </c>
      <c r="R19" s="463"/>
      <c r="S19" s="459">
        <v>0</v>
      </c>
      <c r="T19" s="462"/>
      <c r="U19" s="462"/>
      <c r="V19" s="462">
        <f>IFERROR(_xlfn.XLOOKUP(#REF!, Contract_Edits[Index], Contract_Edits[Notes]), Table2[[#This Row],[Dep Titles]])</f>
        <v>0</v>
      </c>
      <c r="W19" s="488" t="s">
        <v>358</v>
      </c>
      <c r="X19" s="486" t="str">
        <f>IFERROR(_xlfn.XLOOKUP(Table2[[#This Row],[Index]], Contract_Edits[Index], Contract_Edits[Done]), Table2[[#This Row],[Approve]])</f>
        <v>Yes</v>
      </c>
      <c r="Y19" s="486" t="str">
        <f>IFERROR(_xlfn.XLOOKUP(#REF!, Contract_Edits[Index], Contract_Edits[Paid]), Table2[[#This Row],[Done]])</f>
        <v>Yes</v>
      </c>
      <c r="Z19" s="486"/>
      <c r="AA19" s="193"/>
      <c r="AB19" s="193"/>
      <c r="AC19" s="35"/>
      <c r="AD19" s="35"/>
      <c r="AE19" s="35" t="str">
        <f>IFERROR(+IF('Gnatt Chart'!AE$23=#REF!,Milestone_Marker,IF(AND('Gnatt Chart'!AE$23&gt;#REF!,'Gnatt Chart'!AE$23&lt;#REF!+#REF!),#REF!,"")),"")</f>
        <v/>
      </c>
      <c r="AF19" s="35"/>
      <c r="AG19" s="35"/>
      <c r="AH19" s="35"/>
      <c r="AI19" s="35"/>
      <c r="AJ19" s="35"/>
      <c r="AK19" s="491"/>
      <c r="AL19" s="491"/>
      <c r="AM19" s="491"/>
      <c r="AN19" s="491"/>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55" t="s">
        <v>551</v>
      </c>
      <c r="B20" t="s">
        <v>546</v>
      </c>
      <c r="C20" s="455" t="s">
        <v>477</v>
      </c>
      <c r="D20" s="455" t="s">
        <v>594</v>
      </c>
      <c r="E20" s="456">
        <v>1</v>
      </c>
      <c r="F20" s="457">
        <f>+Exterior!F22</f>
        <v>0</v>
      </c>
      <c r="G20" s="457">
        <f t="shared" si="7"/>
        <v>0</v>
      </c>
      <c r="H20" s="457"/>
      <c r="I20" s="461"/>
      <c r="J20" s="456">
        <v>909</v>
      </c>
      <c r="K20" s="461"/>
      <c r="L20" s="462"/>
      <c r="M20" s="462">
        <f>IFERROR(_xlfn.XLOOKUP(Table2[[#This Row],[Index]], Contract_Edits[Index], Contract_Edits[Dep]), Table2[[#This Row],[Index2]])</f>
        <v>28</v>
      </c>
      <c r="N20" s="462">
        <f>IFERROR(_xlfn.XLOOKUP(Table2[[#This Row],[Index]], Contract_Edits[Index], Contract_Edits[Group]), Table2[[#This Row],[Index2]])</f>
        <v>1</v>
      </c>
      <c r="O20" s="462"/>
      <c r="P20" s="459">
        <f>IFERROR(_xlfn.XLOOKUP(Table2[[#This Row],[Index]], Contract_Edits[Index], Contract_Edits[Order]), Table2[[#This Row],[Order]])</f>
        <v>275.01009999999997</v>
      </c>
      <c r="Q20" s="459">
        <f>IFERROR(_xlfn.XLOOKUP(Table2[[#This Row],[Index]], Contract_Edits[Index], Contract_Edits[Start]), Table2[[#This Row],[Start]])</f>
        <v>0</v>
      </c>
      <c r="R20" s="463"/>
      <c r="S20" s="459">
        <v>0</v>
      </c>
      <c r="T20" s="462"/>
      <c r="U20" s="462"/>
      <c r="V20" s="462">
        <f>IFERROR(_xlfn.XLOOKUP(#REF!, Contract_Edits[Index], Contract_Edits[Notes]), Table2[[#This Row],[Dep Titles]])</f>
        <v>0</v>
      </c>
      <c r="W20" s="488" t="s">
        <v>358</v>
      </c>
      <c r="X20" s="486" t="str">
        <f>IFERROR(_xlfn.XLOOKUP(Table2[[#This Row],[Index]], Contract_Edits[Index], Contract_Edits[Done]), Table2[[#This Row],[Approve]])</f>
        <v>Yes</v>
      </c>
      <c r="Y20" s="486" t="str">
        <f>IFERROR(_xlfn.XLOOKUP(#REF!, Contract_Edits[Index], Contract_Edits[Paid]), Table2[[#This Row],[Done]])</f>
        <v>Yes</v>
      </c>
      <c r="Z20" s="486"/>
      <c r="AA20" s="193"/>
      <c r="AB20" s="193"/>
      <c r="AC20" s="35"/>
      <c r="AD20" s="35"/>
      <c r="AE20" s="35" t="str">
        <f>IFERROR(+IF('Gnatt Chart'!AE$23=#REF!,Milestone_Marker,IF(AND('Gnatt Chart'!AE$23&gt;#REF!,'Gnatt Chart'!AE$23&lt;#REF!+#REF!),#REF!,"")),"")</f>
        <v/>
      </c>
      <c r="AF20" s="35"/>
      <c r="AG20" s="35"/>
      <c r="AH20" s="35"/>
      <c r="AI20" s="35"/>
      <c r="AJ20" s="35"/>
      <c r="AK20" s="491"/>
      <c r="AL20" s="491"/>
      <c r="AM20" s="491"/>
      <c r="AN20" s="491"/>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55" t="s">
        <v>551</v>
      </c>
      <c r="B21" t="s">
        <v>547</v>
      </c>
      <c r="C21" s="455" t="s">
        <v>595</v>
      </c>
      <c r="D21" s="455" t="s">
        <v>596</v>
      </c>
      <c r="E21" s="456">
        <v>1</v>
      </c>
      <c r="F21" s="457">
        <f>+Landscape!G17</f>
        <v>270</v>
      </c>
      <c r="G21" s="457">
        <f t="shared" si="7"/>
        <v>270</v>
      </c>
      <c r="H21" s="457"/>
      <c r="I21" s="461"/>
      <c r="J21" s="456">
        <v>910</v>
      </c>
      <c r="K21" s="461"/>
      <c r="L21" s="462"/>
      <c r="M21" s="462">
        <f>IFERROR(_xlfn.XLOOKUP(Table2[[#This Row],[Index]], Contract_Edits[Index], Contract_Edits[Dep]), Table2[[#This Row],[Index2]])</f>
        <v>28</v>
      </c>
      <c r="N21" s="462">
        <f>IFERROR(_xlfn.XLOOKUP(Table2[[#This Row],[Index]], Contract_Edits[Index], Contract_Edits[Group]), Table2[[#This Row],[Index2]])</f>
        <v>1</v>
      </c>
      <c r="O21" s="462"/>
      <c r="P21" s="459">
        <f>IFERROR(_xlfn.XLOOKUP(Table2[[#This Row],[Index]], Contract_Edits[Index], Contract_Edits[Order]), Table2[[#This Row],[Order]])</f>
        <v>275.0102</v>
      </c>
      <c r="Q21" s="459">
        <f>IFERROR(_xlfn.XLOOKUP(Table2[[#This Row],[Index]], Contract_Edits[Index], Contract_Edits[Start]), Table2[[#This Row],[Start]])</f>
        <v>0</v>
      </c>
      <c r="R21" s="463"/>
      <c r="S21" s="459">
        <v>0</v>
      </c>
      <c r="T21" s="462"/>
      <c r="U21" s="462"/>
      <c r="V21" s="462">
        <f>IFERROR(_xlfn.XLOOKUP(#REF!, Contract_Edits[Index], Contract_Edits[Notes]), Table2[[#This Row],[Dep Titles]])</f>
        <v>0</v>
      </c>
      <c r="W21" s="488" t="s">
        <v>358</v>
      </c>
      <c r="X21" s="486" t="str">
        <f>IFERROR(_xlfn.XLOOKUP(Table2[[#This Row],[Index]], Contract_Edits[Index], Contract_Edits[Done]), Table2[[#This Row],[Approve]])</f>
        <v>Yes</v>
      </c>
      <c r="Y21" s="486" t="str">
        <f>IFERROR(_xlfn.XLOOKUP(#REF!, Contract_Edits[Index], Contract_Edits[Paid]), Table2[[#This Row],[Done]])</f>
        <v>Yes</v>
      </c>
      <c r="Z21" s="486"/>
      <c r="AA21" s="193"/>
      <c r="AB21" s="193"/>
      <c r="AC21" s="35"/>
      <c r="AD21" s="35"/>
      <c r="AE21" s="35" t="str">
        <f>IFERROR(+IF('Gnatt Chart'!AE$23=#REF!,Milestone_Marker,IF(AND('Gnatt Chart'!AE$23&gt;#REF!,'Gnatt Chart'!AE$23&lt;#REF!+#REF!),#REF!,"")),"")</f>
        <v/>
      </c>
      <c r="AF21" s="35"/>
      <c r="AG21" s="35"/>
      <c r="AH21" s="35"/>
      <c r="AI21" s="35"/>
      <c r="AJ21" s="35"/>
      <c r="AK21" s="491"/>
      <c r="AL21" s="491"/>
      <c r="AM21" s="491"/>
      <c r="AN21" s="491"/>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55" t="s">
        <v>551</v>
      </c>
      <c r="B22" t="s">
        <v>546</v>
      </c>
      <c r="C22" s="455" t="s">
        <v>597</v>
      </c>
      <c r="D22" s="455" t="s">
        <v>598</v>
      </c>
      <c r="E22" s="456">
        <v>0</v>
      </c>
      <c r="F22" s="457">
        <f>+Furnishing!G18</f>
        <v>0</v>
      </c>
      <c r="G22" s="457">
        <f t="shared" si="7"/>
        <v>0</v>
      </c>
      <c r="H22" s="457"/>
      <c r="I22" s="464"/>
      <c r="J22" s="456">
        <v>913</v>
      </c>
      <c r="K22" s="464"/>
      <c r="L22" s="465"/>
      <c r="M22" s="465">
        <f>IFERROR( _xlfn.XLOOKUP(#REF!, Contract_Edits[Index],#REF!), Table2[[#This Row],[Date]])</f>
        <v>0</v>
      </c>
      <c r="N22" s="462">
        <f>IFERROR(_xlfn.XLOOKUP(Table2[[#This Row],[Index]], Contract_Edits[Index], Contract_Edits[Group]), Table2[[#This Row],[Index2]])</f>
        <v>1</v>
      </c>
      <c r="O22" s="465"/>
      <c r="P22" s="459">
        <f>IFERROR(_xlfn.XLOOKUP(Table2[[#This Row],[Index]], Contract_Edits[Index], Contract_Edits[Order]), Table2[[#This Row],[Order]])</f>
        <v>9999.0100999999995</v>
      </c>
      <c r="Q22" s="459">
        <f>IFERROR(_xlfn.XLOOKUP(Table2[[#This Row],[Index]], Contract_Edits[Index], Contract_Edits[Start]), Table2[[#This Row],[Start]])</f>
        <v>0</v>
      </c>
      <c r="R22" s="466"/>
      <c r="S22" s="465">
        <v>0</v>
      </c>
      <c r="T22" s="465"/>
      <c r="U22" s="465"/>
      <c r="V22" s="465">
        <f>IFERROR(_xlfn.XLOOKUP(#REF!, Contract_Edits[Index], Contract_Edits[Notes]), Table2[[#This Row],[Dep Titles]])</f>
        <v>0</v>
      </c>
      <c r="W22" s="488" t="s">
        <v>599</v>
      </c>
      <c r="X22" s="487" t="str">
        <f>IFERROR(_xlfn.XLOOKUP(Table2[[#This Row],[Index]], Contract_Edits[Index], Contract_Edits[Done]), Table2[[#This Row],[Approve]])</f>
        <v>No</v>
      </c>
      <c r="Y22" s="487" t="str">
        <f>IFERROR(_xlfn.XLOOKUP(#REF!, Contract_Edits[Index], Contract_Edits[Paid]), Table2[[#This Row],[Done]])</f>
        <v>No</v>
      </c>
      <c r="Z22" s="487"/>
      <c r="AA22" s="465"/>
      <c r="AB22" s="465"/>
      <c r="AD22" s="193"/>
      <c r="AE22" s="35" t="str">
        <f>IFERROR(+IF('Gnatt Chart'!AE$23=#REF!,Milestone_Marker,IF(AND('Gnatt Chart'!AE$23&gt;#REF!,'Gnatt Chart'!AE$23&lt;#REF!+#REF!),#REF!,"")),"")</f>
        <v/>
      </c>
      <c r="AF22" s="35"/>
      <c r="AG22" s="35"/>
      <c r="AH22" s="35"/>
      <c r="AI22" s="35"/>
      <c r="AJ22" s="35"/>
      <c r="AK22" s="491"/>
      <c r="AL22" s="491"/>
      <c r="AM22" s="491"/>
      <c r="AN22" s="491"/>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August</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September</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52" customFormat="1" ht="16.5" thickTop="1" thickBot="1">
      <c r="A23" s="475" t="s">
        <v>433</v>
      </c>
      <c r="B23" s="476" t="s">
        <v>428</v>
      </c>
      <c r="C23" s="476" t="s">
        <v>429</v>
      </c>
      <c r="D23" s="476" t="s">
        <v>430</v>
      </c>
      <c r="E23" s="476" t="s">
        <v>431</v>
      </c>
      <c r="F23" s="476" t="s">
        <v>432</v>
      </c>
      <c r="G23" s="476" t="s">
        <v>541</v>
      </c>
      <c r="H23" s="470" t="s">
        <v>534</v>
      </c>
      <c r="I23" s="470" t="s">
        <v>542</v>
      </c>
      <c r="J23" s="476" t="s">
        <v>427</v>
      </c>
      <c r="K23" s="477"/>
      <c r="L23" s="471" t="s">
        <v>427</v>
      </c>
      <c r="M23" s="471" t="s">
        <v>534</v>
      </c>
      <c r="N23" s="472" t="s">
        <v>529</v>
      </c>
      <c r="O23" s="472" t="s">
        <v>600</v>
      </c>
      <c r="P23" s="472" t="s">
        <v>527</v>
      </c>
      <c r="Q23" s="472" t="s">
        <v>530</v>
      </c>
      <c r="R23" s="472" t="s">
        <v>109</v>
      </c>
      <c r="S23" s="472" t="s">
        <v>531</v>
      </c>
      <c r="T23" s="472" t="s">
        <v>562</v>
      </c>
      <c r="U23" s="471" t="s">
        <v>601</v>
      </c>
      <c r="V23" s="472" t="s">
        <v>357</v>
      </c>
      <c r="W23" s="472" t="s">
        <v>528</v>
      </c>
      <c r="X23" s="473" t="s">
        <v>532</v>
      </c>
      <c r="Y23" s="472" t="s">
        <v>533</v>
      </c>
      <c r="Z23" s="474" t="s">
        <v>602</v>
      </c>
      <c r="AA23" s="22" t="s">
        <v>565</v>
      </c>
      <c r="AB23" s="22" t="s">
        <v>566</v>
      </c>
      <c r="AC23" s="479" t="s">
        <v>567</v>
      </c>
      <c r="AD23" s="479" t="s">
        <v>568</v>
      </c>
      <c r="AE23" s="479" t="s">
        <v>569</v>
      </c>
      <c r="AF23" s="479" t="s">
        <v>570</v>
      </c>
      <c r="AG23" s="479" t="s">
        <v>571</v>
      </c>
      <c r="AH23" s="479" t="s">
        <v>572</v>
      </c>
      <c r="AI23" s="479" t="s">
        <v>573</v>
      </c>
      <c r="AJ23" s="479" t="s">
        <v>574</v>
      </c>
      <c r="AK23" s="479" t="s">
        <v>575</v>
      </c>
      <c r="AL23" s="479" t="s">
        <v>576</v>
      </c>
      <c r="AM23" s="479" t="s">
        <v>577</v>
      </c>
      <c r="AN23" s="479"/>
      <c r="AO23" s="35"/>
      <c r="AP23" s="49">
        <f ca="1">IFERROR(Project_Start+Scrolling_Increment,TODAY())</f>
        <v>46214.468968865738</v>
      </c>
      <c r="AQ23" s="49">
        <f t="shared" ref="AQ23:BV23" ca="1" si="12">+AP23+1</f>
        <v>46215.468968865738</v>
      </c>
      <c r="AR23" s="49">
        <f t="shared" ca="1" si="12"/>
        <v>46216.468968865738</v>
      </c>
      <c r="AS23" s="49">
        <f t="shared" ca="1" si="12"/>
        <v>46217.468968865738</v>
      </c>
      <c r="AT23" s="49">
        <f t="shared" ca="1" si="12"/>
        <v>46218.468968865738</v>
      </c>
      <c r="AU23" s="49">
        <f t="shared" ca="1" si="12"/>
        <v>46219.468968865738</v>
      </c>
      <c r="AV23" s="49">
        <f t="shared" ca="1" si="12"/>
        <v>46220.468968865738</v>
      </c>
      <c r="AW23" s="49">
        <f t="shared" ca="1" si="12"/>
        <v>46221.468968865738</v>
      </c>
      <c r="AX23" s="49">
        <f t="shared" ca="1" si="12"/>
        <v>46222.468968865738</v>
      </c>
      <c r="AY23" s="49">
        <f t="shared" ca="1" si="12"/>
        <v>46223.468968865738</v>
      </c>
      <c r="AZ23" s="49">
        <f t="shared" ca="1" si="12"/>
        <v>46224.468968865738</v>
      </c>
      <c r="BA23" s="49">
        <f t="shared" ca="1" si="12"/>
        <v>46225.468968865738</v>
      </c>
      <c r="BB23" s="49">
        <f t="shared" ca="1" si="12"/>
        <v>46226.468968865738</v>
      </c>
      <c r="BC23" s="49">
        <f t="shared" ca="1" si="12"/>
        <v>46227.468968865738</v>
      </c>
      <c r="BD23" s="49">
        <f t="shared" ca="1" si="12"/>
        <v>46228.468968865738</v>
      </c>
      <c r="BE23" s="49">
        <f t="shared" ca="1" si="12"/>
        <v>46229.468968865738</v>
      </c>
      <c r="BF23" s="49">
        <f t="shared" ca="1" si="12"/>
        <v>46230.468968865738</v>
      </c>
      <c r="BG23" s="49">
        <f t="shared" ca="1" si="12"/>
        <v>46231.468968865738</v>
      </c>
      <c r="BH23" s="49">
        <f t="shared" ca="1" si="12"/>
        <v>46232.468968865738</v>
      </c>
      <c r="BI23" s="49">
        <f t="shared" ca="1" si="12"/>
        <v>46233.468968865738</v>
      </c>
      <c r="BJ23" s="49">
        <f t="shared" ca="1" si="12"/>
        <v>46234.468968865738</v>
      </c>
      <c r="BK23" s="49">
        <f t="shared" ca="1" si="12"/>
        <v>46235.468968865738</v>
      </c>
      <c r="BL23" s="49">
        <f t="shared" ca="1" si="12"/>
        <v>46236.468968865738</v>
      </c>
      <c r="BM23" s="49">
        <f t="shared" ca="1" si="12"/>
        <v>46237.468968865738</v>
      </c>
      <c r="BN23" s="49">
        <f t="shared" ca="1" si="12"/>
        <v>46238.468968865738</v>
      </c>
      <c r="BO23" s="49">
        <f t="shared" ca="1" si="12"/>
        <v>46239.468968865738</v>
      </c>
      <c r="BP23" s="49">
        <f t="shared" ca="1" si="12"/>
        <v>46240.468968865738</v>
      </c>
      <c r="BQ23" s="49">
        <f t="shared" ca="1" si="12"/>
        <v>46241.468968865738</v>
      </c>
      <c r="BR23" s="49">
        <f t="shared" ca="1" si="12"/>
        <v>46242.468968865738</v>
      </c>
      <c r="BS23" s="49">
        <f t="shared" ca="1" si="12"/>
        <v>46243.468968865738</v>
      </c>
      <c r="BT23" s="49">
        <f t="shared" ca="1" si="12"/>
        <v>46244.468968865738</v>
      </c>
      <c r="BU23" s="49">
        <f t="shared" ca="1" si="12"/>
        <v>46245.468968865738</v>
      </c>
      <c r="BV23" s="49">
        <f t="shared" ca="1" si="12"/>
        <v>46246.468968865738</v>
      </c>
      <c r="BW23" s="49">
        <f t="shared" ref="BW23:DE23" ca="1" si="13">+BV23+1</f>
        <v>46247.468968865738</v>
      </c>
      <c r="BX23" s="49">
        <f t="shared" ca="1" si="13"/>
        <v>46248.468968865738</v>
      </c>
      <c r="BY23" s="49">
        <f t="shared" ca="1" si="13"/>
        <v>46249.468968865738</v>
      </c>
      <c r="BZ23" s="49">
        <f t="shared" ca="1" si="13"/>
        <v>46250.468968865738</v>
      </c>
      <c r="CA23" s="49">
        <f t="shared" ca="1" si="13"/>
        <v>46251.468968865738</v>
      </c>
      <c r="CB23" s="49">
        <f t="shared" ca="1" si="13"/>
        <v>46252.468968865738</v>
      </c>
      <c r="CC23" s="49">
        <f t="shared" ca="1" si="13"/>
        <v>46253.468968865738</v>
      </c>
      <c r="CD23" s="49">
        <f t="shared" ca="1" si="13"/>
        <v>46254.468968865738</v>
      </c>
      <c r="CE23" s="49">
        <f t="shared" ca="1" si="13"/>
        <v>46255.468968865738</v>
      </c>
      <c r="CF23" s="49">
        <f t="shared" ca="1" si="13"/>
        <v>46256.468968865738</v>
      </c>
      <c r="CG23" s="49">
        <f t="shared" ca="1" si="13"/>
        <v>46257.468968865738</v>
      </c>
      <c r="CH23" s="49">
        <f t="shared" ca="1" si="13"/>
        <v>46258.468968865738</v>
      </c>
      <c r="CI23" s="49">
        <f t="shared" ca="1" si="13"/>
        <v>46259.468968865738</v>
      </c>
      <c r="CJ23" s="49">
        <f t="shared" ca="1" si="13"/>
        <v>46260.468968865738</v>
      </c>
      <c r="CK23" s="49">
        <f t="shared" ca="1" si="13"/>
        <v>46261.468968865738</v>
      </c>
      <c r="CL23" s="49">
        <f t="shared" ca="1" si="13"/>
        <v>46262.468968865738</v>
      </c>
      <c r="CM23" s="49">
        <f t="shared" ca="1" si="13"/>
        <v>46263.468968865738</v>
      </c>
      <c r="CN23" s="49">
        <f t="shared" ca="1" si="13"/>
        <v>46264.468968865738</v>
      </c>
      <c r="CO23" s="49">
        <f t="shared" ca="1" si="13"/>
        <v>46265.468968865738</v>
      </c>
      <c r="CP23" s="49">
        <f t="shared" ca="1" si="13"/>
        <v>46266.468968865738</v>
      </c>
      <c r="CQ23" s="49">
        <f t="shared" ca="1" si="13"/>
        <v>46267.468968865738</v>
      </c>
      <c r="CR23" s="49">
        <f t="shared" ca="1" si="13"/>
        <v>46268.468968865738</v>
      </c>
      <c r="CS23" s="49">
        <f t="shared" ca="1" si="13"/>
        <v>46269.468968865738</v>
      </c>
      <c r="CT23" s="49">
        <f t="shared" ca="1" si="13"/>
        <v>46270.468968865738</v>
      </c>
      <c r="CU23" s="49">
        <f t="shared" ca="1" si="13"/>
        <v>46271.468968865738</v>
      </c>
      <c r="CV23" s="49">
        <f t="shared" ca="1" si="13"/>
        <v>46272.468968865738</v>
      </c>
      <c r="CW23" s="49">
        <f t="shared" ca="1" si="13"/>
        <v>46273.468968865738</v>
      </c>
      <c r="CX23" s="49">
        <f t="shared" ca="1" si="13"/>
        <v>46274.468968865738</v>
      </c>
      <c r="CY23" s="49">
        <f t="shared" ca="1" si="13"/>
        <v>46275.468968865738</v>
      </c>
      <c r="CZ23" s="49">
        <f t="shared" ca="1" si="13"/>
        <v>46276.468968865738</v>
      </c>
      <c r="DA23" s="49">
        <f t="shared" ca="1" si="13"/>
        <v>46277.468968865738</v>
      </c>
      <c r="DB23" s="49">
        <f t="shared" ca="1" si="13"/>
        <v>46278.468968865738</v>
      </c>
      <c r="DC23" s="49">
        <f t="shared" ca="1" si="13"/>
        <v>46279.468968865738</v>
      </c>
      <c r="DD23" s="49">
        <f t="shared" ca="1" si="13"/>
        <v>46280.468968865738</v>
      </c>
      <c r="DE23" s="49">
        <f t="shared" ca="1" si="13"/>
        <v>46281.468968865738</v>
      </c>
    </row>
    <row r="24" spans="1:156" s="40" customFormat="1" ht="15">
      <c r="A24" t="s">
        <v>438</v>
      </c>
      <c r="B24" t="s">
        <v>435</v>
      </c>
      <c r="C24" t="s">
        <v>436</v>
      </c>
      <c r="D24" s="436" t="s">
        <v>437</v>
      </c>
      <c r="E24">
        <v>1</v>
      </c>
      <c r="F24" s="445">
        <v>0</v>
      </c>
      <c r="G24" s="188">
        <v>0</v>
      </c>
      <c r="H24">
        <v>1</v>
      </c>
      <c r="I24">
        <v>0</v>
      </c>
      <c r="J24">
        <v>1</v>
      </c>
      <c r="K24" s="104"/>
      <c r="L24" s="441">
        <v>1</v>
      </c>
      <c r="M24" s="441"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68"/>
      <c r="R24" s="508"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4" s="179">
        <v>1</v>
      </c>
      <c r="T24" s="179">
        <v>0</v>
      </c>
      <c r="U24" s="11"/>
      <c r="V24" t="s">
        <v>603</v>
      </c>
      <c r="W24" s="22" t="s">
        <v>358</v>
      </c>
      <c r="X24" s="22" t="s">
        <v>358</v>
      </c>
      <c r="Y24" s="22">
        <v>0</v>
      </c>
      <c r="Z24" s="490"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03">
        <f>--(
  ISNUMBER(SEARCH("BASE PARENT", UPPER(CLEAN(TRIM(_xlfn.XLOOKUP(TEXT(Contract_Edits[[#This Row],[Index]],"0"), baseIdxTxt, baseCost, "")))))) +
  ISNUMBER(SEARCH("DEPENDENCY GROUP", UPPER(CLEAN(TRIM(_xlfn.XLOOKUP(TEXT(Contract_Edits[[#This Row],[Index]],"0"), baseIdxTxt, baseCost, ""))))))
)</f>
        <v>1</v>
      </c>
      <c r="AG24" s="503" cm="1">
        <f t="array" ref="AG24">IF(Contract_Edits[[#This Row],[BaseFlag]]=1,
   10*BaseDepthL(TEXT(Contract_Edits[[#This Row],[Index]],"0"),500,editsIdxTxt,editsParentKeyTxt,baseIdxTxt,baseCost)-5,
   ""
)</f>
        <v>5</v>
      </c>
      <c r="AH24" s="503"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03" t="str">
        <f>IF(Contract_Edits[[#This Row],[Dep]]=0,"Root",
   IF(ISNUMBER(MATCH(Contract_Edits[[#This Row],[Dep]],Contract_Edits[Index],0)),"OK","Missing")
)</f>
        <v>OK</v>
      </c>
      <c r="AJ24" s="503" t="str">
        <f>IF(AND(Contract_Edits[[#This Row],[Dep]]&lt;&gt;0,
        ISNUMBER(MATCH(Contract_Edits[[#This Row],[Dep]], Contract_Edits[Index], 0)),
        INDEX(Contract_Edits[Dep], MATCH(Contract_Edits[[#This Row],[Dep]], Contract_Edits[Index], 0))=Contract_Edits[[#This Row],[Index]]),
   "2-cycle","")</f>
        <v>2-cycle</v>
      </c>
      <c r="AK24" s="503" cm="1">
        <f t="array" ref="AK24">IF(Contract_Edits[[#This Row],[BaseFlag]]&lt;&gt;1,0,
   IF(TEXT(Contract_Edits[[#This Row],[Dep]],"0")=TEXT(Contract_Edits[[#This Row],[Index]],"0"),
      0,
      MAX(0, SUMPRODUCT(--(Contract_Edits[BaseFlag]=1),
                        --(TEXT(Contract_Edits[Dep],"0")=TEXT(Contract_Edits[[#This Row],[Dep]],"0"))) - 1)
   )
)</f>
        <v>0</v>
      </c>
      <c r="AL24" s="503" t="str" cm="1">
        <f t="array" ref="AL24">IF(Contract_Edits[[#This Row],[BaseFlag]]=1,
   TEXT(Contract_Edits[[#This Row],[Index]],"0"),
   NearestBaseL(TEXT(Contract_Edits[[#This Row],[ParentKey]],"0"),500,editsIdxTxt,editsParentKeyTxt,baseIdxTxt,baseCost)
)</f>
        <v>1</v>
      </c>
      <c r="AM24" s="503" cm="1">
        <f t="array" ref="AM24">1+SUMPRODUCT(
  (Contract_Edits[BaseFlag]=1)*
  (TEXT(Contract_Edits[ParentAnchor],"0")=TEXT(Contract_Edits[[#This Row],[ParentAnchor]],"0"))*
  (VALUE(TEXT(Contract_Edits[Index],"0"))&lt;VALUE(TEXT(Contract_Edits[[#This Row],[Index]],"0")))
)</f>
        <v>1</v>
      </c>
      <c r="AN24" s="503"/>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551</v>
      </c>
      <c r="B25" t="s">
        <v>546</v>
      </c>
      <c r="C25" t="s">
        <v>578</v>
      </c>
      <c r="D25" s="436" t="s">
        <v>578</v>
      </c>
      <c r="E25">
        <v>1</v>
      </c>
      <c r="F25" s="445">
        <v>2615</v>
      </c>
      <c r="G25" s="188">
        <v>2615</v>
      </c>
      <c r="H25">
        <v>1</v>
      </c>
      <c r="I25">
        <v>2615</v>
      </c>
      <c r="J25">
        <v>908</v>
      </c>
      <c r="K25" s="104"/>
      <c r="L25" s="441">
        <v>908</v>
      </c>
      <c r="M25" s="441"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0"/>
      <c r="R25" s="508"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5" s="469"/>
      <c r="T25" s="469"/>
      <c r="U25" s="492" t="s">
        <v>605</v>
      </c>
      <c r="V25" s="193"/>
      <c r="W25" s="22" t="s">
        <v>358</v>
      </c>
      <c r="X25" s="484" t="s">
        <v>358</v>
      </c>
      <c r="Y25" s="484"/>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03">
        <f>--(
  ISNUMBER(SEARCH("BASE PARENT", UPPER(CLEAN(TRIM(_xlfn.XLOOKUP(TEXT(Contract_Edits[[#This Row],[Index]],"0"), baseIdxTxt, baseCost, "")))))) +
  ISNUMBER(SEARCH("DEPENDENCY GROUP", UPPER(CLEAN(TRIM(_xlfn.XLOOKUP(TEXT(Contract_Edits[[#This Row],[Index]],"0"), baseIdxTxt, baseCost, ""))))))
)</f>
        <v>0</v>
      </c>
      <c r="AG25" s="503" t="str" cm="1">
        <f t="array" ref="AG25">IF(Contract_Edits[[#This Row],[BaseFlag]]=1,
   10*BaseDepthL(TEXT(Contract_Edits[[#This Row],[Index]],"0"),500,editsIdxTxt,editsParentKeyTxt,baseIdxTxt,baseCost)-5,
   ""
)</f>
        <v/>
      </c>
      <c r="AH25" s="503"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03" t="str">
        <f>IF(Contract_Edits[[#This Row],[Dep]]=0,"Root",
   IF(ISNUMBER(MATCH(Contract_Edits[[#This Row],[Dep]],Contract_Edits[Index],0)),"OK","Missing")
)</f>
        <v>OK</v>
      </c>
      <c r="AJ25" s="503" t="str">
        <f>IF(AND(Contract_Edits[[#This Row],[Dep]]&lt;&gt;0,
        ISNUMBER(MATCH(Contract_Edits[[#This Row],[Dep]], Contract_Edits[Index], 0)),
        INDEX(Contract_Edits[Dep], MATCH(Contract_Edits[[#This Row],[Dep]], Contract_Edits[Index], 0))=Contract_Edits[[#This Row],[Index]]),
   "2-cycle","")</f>
        <v/>
      </c>
      <c r="AK25" s="503" cm="1">
        <f t="array" ref="AK25">IF(Contract_Edits[[#This Row],[BaseFlag]]&lt;&gt;1,0,
   IF(TEXT(Contract_Edits[[#This Row],[Dep]],"0")=TEXT(Contract_Edits[[#This Row],[Index]],"0"),
      0,
      MAX(0, SUMPRODUCT(--(Contract_Edits[BaseFlag]=1),
                        --(TEXT(Contract_Edits[Dep],"0")=TEXT(Contract_Edits[[#This Row],[Dep]],"0"))) - 1)
   )
)</f>
        <v>0</v>
      </c>
      <c r="AL25" s="503" t="str" cm="1">
        <f t="array" ref="AL25">IF(Contract_Edits[[#This Row],[BaseFlag]]=1,
   TEXT(Contract_Edits[[#This Row],[Index]],"0"),
   NearestBaseL(TEXT(Contract_Edits[[#This Row],[ParentKey]],"0"),500,editsIdxTxt,editsParentKeyTxt,baseIdxTxt,baseCost)
)</f>
        <v>1</v>
      </c>
      <c r="AM25" s="503" cm="1">
        <f t="array" ref="AM25">1+SUMPRODUCT(
  (Contract_Edits[BaseFlag]=1)*
  (TEXT(Contract_Edits[ParentAnchor],"0")=TEXT(Contract_Edits[[#This Row],[ParentAnchor]],"0"))*
  (VALUE(TEXT(Contract_Edits[Index],"0"))&lt;VALUE(TEXT(Contract_Edits[[#This Row],[Index]],"0")))
)</f>
        <v>3</v>
      </c>
      <c r="AN25" s="503"/>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438</v>
      </c>
      <c r="B26" t="s">
        <v>435</v>
      </c>
      <c r="C26" t="s">
        <v>439</v>
      </c>
      <c r="D26" s="436" t="s">
        <v>439</v>
      </c>
      <c r="E26">
        <v>1</v>
      </c>
      <c r="F26" s="445">
        <v>0</v>
      </c>
      <c r="G26" s="188">
        <v>0</v>
      </c>
      <c r="H26">
        <v>1</v>
      </c>
      <c r="I26">
        <v>0</v>
      </c>
      <c r="J26">
        <v>2</v>
      </c>
      <c r="K26" s="104"/>
      <c r="L26" s="441">
        <v>2</v>
      </c>
      <c r="M26" s="441"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0"/>
      <c r="R26" s="508"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6" s="469"/>
      <c r="T26" s="469"/>
      <c r="U26" s="492"/>
      <c r="V26" s="193"/>
      <c r="W26" s="22" t="s">
        <v>358</v>
      </c>
      <c r="X26" s="484" t="s">
        <v>358</v>
      </c>
      <c r="Y26" s="484"/>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03">
        <f>--(
  ISNUMBER(SEARCH("BASE PARENT", UPPER(CLEAN(TRIM(_xlfn.XLOOKUP(TEXT(Contract_Edits[[#This Row],[Index]],"0"), baseIdxTxt, baseCost, "")))))) +
  ISNUMBER(SEARCH("DEPENDENCY GROUP", UPPER(CLEAN(TRIM(_xlfn.XLOOKUP(TEXT(Contract_Edits[[#This Row],[Index]],"0"), baseIdxTxt, baseCost, ""))))))
)</f>
        <v>1</v>
      </c>
      <c r="AG26" s="503" cm="1">
        <f t="array" ref="AG26">IF(Contract_Edits[[#This Row],[BaseFlag]]=1,
   10*BaseDepthL(TEXT(Contract_Edits[[#This Row],[Index]],"0"),500,editsIdxTxt,editsParentKeyTxt,baseIdxTxt,baseCost)-5,
   ""
)</f>
        <v>15</v>
      </c>
      <c r="AH26" s="503"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03" t="str">
        <f>IF(Contract_Edits[[#This Row],[Dep]]=0,"Root",
   IF(ISNUMBER(MATCH(Contract_Edits[[#This Row],[Dep]],Contract_Edits[Index],0)),"OK","Missing")
)</f>
        <v>OK</v>
      </c>
      <c r="AJ26" s="503" t="str">
        <f>IF(AND(Contract_Edits[[#This Row],[Dep]]&lt;&gt;0,
        ISNUMBER(MATCH(Contract_Edits[[#This Row],[Dep]], Contract_Edits[Index], 0)),
        INDEX(Contract_Edits[Dep], MATCH(Contract_Edits[[#This Row],[Dep]], Contract_Edits[Index], 0))=Contract_Edits[[#This Row],[Index]]),
   "2-cycle","")</f>
        <v/>
      </c>
      <c r="AK26" s="503" cm="1">
        <f t="array" ref="AK26">IF(Contract_Edits[[#This Row],[BaseFlag]]&lt;&gt;1,0,
   IF(TEXT(Contract_Edits[[#This Row],[Dep]],"0")=TEXT(Contract_Edits[[#This Row],[Index]],"0"),
      0,
      MAX(0, SUMPRODUCT(--(Contract_Edits[BaseFlag]=1),
                        --(TEXT(Contract_Edits[Dep],"0")=TEXT(Contract_Edits[[#This Row],[Dep]],"0"))) - 1)
   )
)</f>
        <v>1</v>
      </c>
      <c r="AL26" s="503" t="str" cm="1">
        <f t="array" ref="AL26">IF(Contract_Edits[[#This Row],[BaseFlag]]=1,
   TEXT(Contract_Edits[[#This Row],[Index]],"0"),
   NearestBaseL(TEXT(Contract_Edits[[#This Row],[ParentKey]],"0"),500,editsIdxTxt,editsParentKeyTxt,baseIdxTxt,baseCost)
)</f>
        <v>2</v>
      </c>
      <c r="AM26" s="503" cm="1">
        <f t="array" ref="AM26">1+SUMPRODUCT(
  (Contract_Edits[BaseFlag]=1)*
  (TEXT(Contract_Edits[ParentAnchor],"0")=TEXT(Contract_Edits[[#This Row],[ParentAnchor]],"0"))*
  (VALUE(TEXT(Contract_Edits[Index],"0"))&lt;VALUE(TEXT(Contract_Edits[[#This Row],[Index]],"0")))
)</f>
        <v>2</v>
      </c>
      <c r="AN26" s="503"/>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551</v>
      </c>
      <c r="B27" t="s">
        <v>546</v>
      </c>
      <c r="C27" t="s">
        <v>579</v>
      </c>
      <c r="D27" s="436" t="s">
        <v>580</v>
      </c>
      <c r="E27">
        <v>1</v>
      </c>
      <c r="F27" s="445">
        <v>505</v>
      </c>
      <c r="G27" s="188">
        <v>505</v>
      </c>
      <c r="H27">
        <v>2</v>
      </c>
      <c r="I27">
        <v>505</v>
      </c>
      <c r="J27">
        <v>900</v>
      </c>
      <c r="K27" s="104"/>
      <c r="L27" s="441">
        <v>900</v>
      </c>
      <c r="M27" s="441"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0"/>
      <c r="R27" s="508"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7" s="179">
        <v>0</v>
      </c>
      <c r="T27" s="469">
        <v>0</v>
      </c>
      <c r="U27" s="492" t="s">
        <v>606</v>
      </c>
      <c r="V27" s="193"/>
      <c r="W27" s="22" t="s">
        <v>358</v>
      </c>
      <c r="X27" s="484" t="s">
        <v>358</v>
      </c>
      <c r="Y27" s="484"/>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03">
        <f>--(
  ISNUMBER(SEARCH("BASE PARENT", UPPER(CLEAN(TRIM(_xlfn.XLOOKUP(TEXT(Contract_Edits[[#This Row],[Index]],"0"), baseIdxTxt, baseCost, "")))))) +
  ISNUMBER(SEARCH("DEPENDENCY GROUP", UPPER(CLEAN(TRIM(_xlfn.XLOOKUP(TEXT(Contract_Edits[[#This Row],[Index]],"0"), baseIdxTxt, baseCost, ""))))))
)</f>
        <v>0</v>
      </c>
      <c r="AG27" s="503" t="str" cm="1">
        <f t="array" ref="AG27">IF(Contract_Edits[[#This Row],[BaseFlag]]=1,
   10*BaseDepthL(TEXT(Contract_Edits[[#This Row],[Index]],"0"),500,editsIdxTxt,editsParentKeyTxt,baseIdxTxt,baseCost)-5,
   ""
)</f>
        <v/>
      </c>
      <c r="AH27" s="503"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03" t="str">
        <f>IF(Contract_Edits[[#This Row],[Dep]]=0,"Root",
   IF(ISNUMBER(MATCH(Contract_Edits[[#This Row],[Dep]],Contract_Edits[Index],0)),"OK","Missing")
)</f>
        <v>OK</v>
      </c>
      <c r="AJ27" s="503" t="str">
        <f>IF(AND(Contract_Edits[[#This Row],[Dep]]&lt;&gt;0,
        ISNUMBER(MATCH(Contract_Edits[[#This Row],[Dep]], Contract_Edits[Index], 0)),
        INDEX(Contract_Edits[Dep], MATCH(Contract_Edits[[#This Row],[Dep]], Contract_Edits[Index], 0))=Contract_Edits[[#This Row],[Index]]),
   "2-cycle","")</f>
        <v/>
      </c>
      <c r="AK27" s="453" cm="1">
        <f t="array" ref="AK27">IF(Contract_Edits[[#This Row],[BaseFlag]]&lt;&gt;1,0,
   IF(TEXT(Contract_Edits[[#This Row],[Dep]],"0")=TEXT(Contract_Edits[[#This Row],[Index]],"0"),
      0,
      MAX(0, SUMPRODUCT(--(Contract_Edits[BaseFlag]=1),
                        --(TEXT(Contract_Edits[Dep],"0")=TEXT(Contract_Edits[[#This Row],[Dep]],"0"))) - 1)
   )
)</f>
        <v>0</v>
      </c>
      <c r="AL27" s="453" t="str" cm="1">
        <f t="array" ref="AL27">IF(Contract_Edits[[#This Row],[BaseFlag]]=1,
   TEXT(Contract_Edits[[#This Row],[Index]],"0"),
   NearestBaseL(TEXT(Contract_Edits[[#This Row],[ParentKey]],"0"),500,editsIdxTxt,editsParentKeyTxt,baseIdxTxt,baseCost)
)</f>
        <v>2</v>
      </c>
      <c r="AM27" s="453" cm="1">
        <f t="array" ref="AM27">1+SUMPRODUCT(
  (Contract_Edits[BaseFlag]=1)*
  (TEXT(Contract_Edits[ParentAnchor],"0")=TEXT(Contract_Edits[[#This Row],[ParentAnchor]],"0"))*
  (VALUE(TEXT(Contract_Edits[Index],"0"))&lt;VALUE(TEXT(Contract_Edits[[#This Row],[Index]],"0")))
)</f>
        <v>2</v>
      </c>
      <c r="AN27" s="453"/>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481</v>
      </c>
      <c r="B28" t="s">
        <v>485</v>
      </c>
      <c r="C28" t="s">
        <v>439</v>
      </c>
      <c r="D28" s="436" t="s">
        <v>507</v>
      </c>
      <c r="E28">
        <v>1</v>
      </c>
      <c r="F28" s="445"/>
      <c r="G28" s="188"/>
      <c r="H28">
        <v>0</v>
      </c>
      <c r="I28"/>
      <c r="J28">
        <v>59</v>
      </c>
      <c r="K28" s="104"/>
      <c r="L28" s="441">
        <v>59</v>
      </c>
      <c r="M28" s="441"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68"/>
      <c r="R28" s="508"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8" s="179">
        <v>0</v>
      </c>
      <c r="T28" s="179">
        <v>0</v>
      </c>
      <c r="U28" s="11" t="s">
        <v>606</v>
      </c>
      <c r="V28"/>
      <c r="W28" s="22" t="s">
        <v>358</v>
      </c>
      <c r="X28" s="484" t="s">
        <v>358</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03">
        <f>--(
  ISNUMBER(SEARCH("BASE PARENT", UPPER(CLEAN(TRIM(_xlfn.XLOOKUP(TEXT(Contract_Edits[[#This Row],[Index]],"0"), baseIdxTxt, baseCost, "")))))) +
  ISNUMBER(SEARCH("DEPENDENCY GROUP", UPPER(CLEAN(TRIM(_xlfn.XLOOKUP(TEXT(Contract_Edits[[#This Row],[Index]],"0"), baseIdxTxt, baseCost, ""))))))
)</f>
        <v>0</v>
      </c>
      <c r="AG28" s="503" t="str" cm="1">
        <f t="array" ref="AG28">IF(Contract_Edits[[#This Row],[BaseFlag]]=1,
   10*BaseDepthL(TEXT(Contract_Edits[[#This Row],[Index]],"0"),500,editsIdxTxt,editsParentKeyTxt,baseIdxTxt,baseCost)-5,
   ""
)</f>
        <v/>
      </c>
      <c r="AH28" s="503"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03" t="str">
        <f>IF(Contract_Edits[[#This Row],[Dep]]=0,"Root",
   IF(ISNUMBER(MATCH(Contract_Edits[[#This Row],[Dep]],Contract_Edits[Index],0)),"OK","Missing")
)</f>
        <v>OK</v>
      </c>
      <c r="AJ28" s="503" t="str">
        <f>IF(AND(Contract_Edits[[#This Row],[Dep]]&lt;&gt;0,
        ISNUMBER(MATCH(Contract_Edits[[#This Row],[Dep]], Contract_Edits[Index], 0)),
        INDEX(Contract_Edits[Dep], MATCH(Contract_Edits[[#This Row],[Dep]], Contract_Edits[Index], 0))=Contract_Edits[[#This Row],[Index]]),
   "2-cycle","")</f>
        <v/>
      </c>
      <c r="AK28" s="503" cm="1">
        <f t="array" ref="AK28">IF(Contract_Edits[[#This Row],[BaseFlag]]&lt;&gt;1,0,
   IF(TEXT(Contract_Edits[[#This Row],[Dep]],"0")=TEXT(Contract_Edits[[#This Row],[Index]],"0"),
      0,
      MAX(0, SUMPRODUCT(--(Contract_Edits[BaseFlag]=1),
                        --(TEXT(Contract_Edits[Dep],"0")=TEXT(Contract_Edits[[#This Row],[Dep]],"0"))) - 1)
   )
)</f>
        <v>0</v>
      </c>
      <c r="AL28" s="503" t="str" cm="1">
        <f t="array" ref="AL28">IF(Contract_Edits[[#This Row],[BaseFlag]]=1,
   TEXT(Contract_Edits[[#This Row],[Index]],"0"),
   NearestBaseL(TEXT(Contract_Edits[[#This Row],[ParentKey]],"0"),500,editsIdxTxt,editsParentKeyTxt,baseIdxTxt,baseCost)
)</f>
        <v>2</v>
      </c>
      <c r="AM28" s="503" cm="1">
        <f t="array" ref="AM28">1+SUMPRODUCT(
  (Contract_Edits[BaseFlag]=1)*
  (TEXT(Contract_Edits[ParentAnchor],"0")=TEXT(Contract_Edits[[#This Row],[ParentAnchor]],"0"))*
  (VALUE(TEXT(Contract_Edits[Index],"0"))&lt;VALUE(TEXT(Contract_Edits[[#This Row],[Index]],"0")))
)</f>
        <v>2</v>
      </c>
      <c r="AN28" s="503"/>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481</v>
      </c>
      <c r="B29" t="s">
        <v>485</v>
      </c>
      <c r="C29" t="s">
        <v>439</v>
      </c>
      <c r="D29" s="436" t="s">
        <v>504</v>
      </c>
      <c r="E29">
        <v>1</v>
      </c>
      <c r="F29" s="445"/>
      <c r="G29" s="188"/>
      <c r="H29">
        <v>0</v>
      </c>
      <c r="I29"/>
      <c r="J29">
        <v>55</v>
      </c>
      <c r="K29" s="104"/>
      <c r="L29" s="441">
        <v>55</v>
      </c>
      <c r="M29" s="441"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0"/>
      <c r="R29" s="508"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9" s="179">
        <v>0</v>
      </c>
      <c r="T29" s="469"/>
      <c r="U29" s="492" t="s">
        <v>606</v>
      </c>
      <c r="V29" s="193"/>
      <c r="W29" s="22" t="s">
        <v>358</v>
      </c>
      <c r="X29" s="484" t="s">
        <v>358</v>
      </c>
      <c r="Y29" s="484"/>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03">
        <f>--(
  ISNUMBER(SEARCH("BASE PARENT", UPPER(CLEAN(TRIM(_xlfn.XLOOKUP(TEXT(Contract_Edits[[#This Row],[Index]],"0"), baseIdxTxt, baseCost, "")))))) +
  ISNUMBER(SEARCH("DEPENDENCY GROUP", UPPER(CLEAN(TRIM(_xlfn.XLOOKUP(TEXT(Contract_Edits[[#This Row],[Index]],"0"), baseIdxTxt, baseCost, ""))))))
)</f>
        <v>0</v>
      </c>
      <c r="AG29" s="503" t="str" cm="1">
        <f t="array" ref="AG29">IF(Contract_Edits[[#This Row],[BaseFlag]]=1,
   10*BaseDepthL(TEXT(Contract_Edits[[#This Row],[Index]],"0"),500,editsIdxTxt,editsParentKeyTxt,baseIdxTxt,baseCost)-5,
   ""
)</f>
        <v/>
      </c>
      <c r="AH29" s="503"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03" t="str">
        <f>IF(Contract_Edits[[#This Row],[Dep]]=0,"Root",
   IF(ISNUMBER(MATCH(Contract_Edits[[#This Row],[Dep]],Contract_Edits[Index],0)),"OK","Missing")
)</f>
        <v>OK</v>
      </c>
      <c r="AJ29" s="503" t="str">
        <f>IF(AND(Contract_Edits[[#This Row],[Dep]]&lt;&gt;0,
        ISNUMBER(MATCH(Contract_Edits[[#This Row],[Dep]], Contract_Edits[Index], 0)),
        INDEX(Contract_Edits[Dep], MATCH(Contract_Edits[[#This Row],[Dep]], Contract_Edits[Index], 0))=Contract_Edits[[#This Row],[Index]]),
   "2-cycle","")</f>
        <v/>
      </c>
      <c r="AK29" s="503" cm="1">
        <f t="array" ref="AK29">IF(Contract_Edits[[#This Row],[BaseFlag]]&lt;&gt;1,0,
   IF(TEXT(Contract_Edits[[#This Row],[Dep]],"0")=TEXT(Contract_Edits[[#This Row],[Index]],"0"),
      0,
      MAX(0, SUMPRODUCT(--(Contract_Edits[BaseFlag]=1),
                        --(TEXT(Contract_Edits[Dep],"0")=TEXT(Contract_Edits[[#This Row],[Dep]],"0"))) - 1)
   )
)</f>
        <v>0</v>
      </c>
      <c r="AL29" s="503" t="str" cm="1">
        <f t="array" ref="AL29">IF(Contract_Edits[[#This Row],[BaseFlag]]=1,
   TEXT(Contract_Edits[[#This Row],[Index]],"0"),
   NearestBaseL(TEXT(Contract_Edits[[#This Row],[ParentKey]],"0"),500,editsIdxTxt,editsParentKeyTxt,baseIdxTxt,baseCost)
)</f>
        <v>2</v>
      </c>
      <c r="AM29" s="503" cm="1">
        <f t="array" ref="AM29">1+SUMPRODUCT(
  (Contract_Edits[BaseFlag]=1)*
  (TEXT(Contract_Edits[ParentAnchor],"0")=TEXT(Contract_Edits[[#This Row],[ParentAnchor]],"0"))*
  (VALUE(TEXT(Contract_Edits[Index],"0"))&lt;VALUE(TEXT(Contract_Edits[[#This Row],[Index]],"0")))
)</f>
        <v>2</v>
      </c>
      <c r="AN29" s="503"/>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481</v>
      </c>
      <c r="B30" t="s">
        <v>485</v>
      </c>
      <c r="C30" t="s">
        <v>489</v>
      </c>
      <c r="D30" s="436" t="s">
        <v>491</v>
      </c>
      <c r="E30">
        <v>1</v>
      </c>
      <c r="F30" s="445"/>
      <c r="G30" s="188"/>
      <c r="H30">
        <v>0</v>
      </c>
      <c r="I30"/>
      <c r="J30">
        <v>41</v>
      </c>
      <c r="K30" s="104"/>
      <c r="L30" s="441">
        <v>41</v>
      </c>
      <c r="M30" s="441"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68"/>
      <c r="R30" s="508"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0" s="179">
        <v>0</v>
      </c>
      <c r="T30" s="179">
        <v>0</v>
      </c>
      <c r="U30" s="11" t="s">
        <v>606</v>
      </c>
      <c r="V30"/>
      <c r="W30" s="22" t="s">
        <v>358</v>
      </c>
      <c r="X30" s="484" t="s">
        <v>358</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03">
        <f>--(
  ISNUMBER(SEARCH("BASE PARENT", UPPER(CLEAN(TRIM(_xlfn.XLOOKUP(TEXT(Contract_Edits[[#This Row],[Index]],"0"), baseIdxTxt, baseCost, "")))))) +
  ISNUMBER(SEARCH("DEPENDENCY GROUP", UPPER(CLEAN(TRIM(_xlfn.XLOOKUP(TEXT(Contract_Edits[[#This Row],[Index]],"0"), baseIdxTxt, baseCost, ""))))))
)</f>
        <v>0</v>
      </c>
      <c r="AG30" s="503" t="str" cm="1">
        <f t="array" ref="AG30">IF(Contract_Edits[[#This Row],[BaseFlag]]=1,
   10*BaseDepthL(TEXT(Contract_Edits[[#This Row],[Index]],"0"),500,editsIdxTxt,editsParentKeyTxt,baseIdxTxt,baseCost)-5,
   ""
)</f>
        <v/>
      </c>
      <c r="AH30" s="503"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03" t="str">
        <f>IF(Contract_Edits[[#This Row],[Dep]]=0,"Root",
   IF(ISNUMBER(MATCH(Contract_Edits[[#This Row],[Dep]],Contract_Edits[Index],0)),"OK","Missing")
)</f>
        <v>OK</v>
      </c>
      <c r="AJ30" s="503" t="str">
        <f>IF(AND(Contract_Edits[[#This Row],[Dep]]&lt;&gt;0,
        ISNUMBER(MATCH(Contract_Edits[[#This Row],[Dep]], Contract_Edits[Index], 0)),
        INDEX(Contract_Edits[Dep], MATCH(Contract_Edits[[#This Row],[Dep]], Contract_Edits[Index], 0))=Contract_Edits[[#This Row],[Index]]),
   "2-cycle","")</f>
        <v/>
      </c>
      <c r="AK30" s="503" cm="1">
        <f t="array" ref="AK30">IF(Contract_Edits[[#This Row],[BaseFlag]]&lt;&gt;1,0,
   IF(TEXT(Contract_Edits[[#This Row],[Dep]],"0")=TEXT(Contract_Edits[[#This Row],[Index]],"0"),
      0,
      MAX(0, SUMPRODUCT(--(Contract_Edits[BaseFlag]=1),
                        --(TEXT(Contract_Edits[Dep],"0")=TEXT(Contract_Edits[[#This Row],[Dep]],"0"))) - 1)
   )
)</f>
        <v>0</v>
      </c>
      <c r="AL30" s="503" t="str" cm="1">
        <f t="array" ref="AL30">IF(Contract_Edits[[#This Row],[BaseFlag]]=1,
   TEXT(Contract_Edits[[#This Row],[Index]],"0"),
   NearestBaseL(TEXT(Contract_Edits[[#This Row],[ParentKey]],"0"),500,editsIdxTxt,editsParentKeyTxt,baseIdxTxt,baseCost)
)</f>
        <v>2</v>
      </c>
      <c r="AM30" s="503" cm="1">
        <f t="array" ref="AM30">1+SUMPRODUCT(
  (Contract_Edits[BaseFlag]=1)*
  (TEXT(Contract_Edits[ParentAnchor],"0")=TEXT(Contract_Edits[[#This Row],[ParentAnchor]],"0"))*
  (VALUE(TEXT(Contract_Edits[Index],"0"))&lt;VALUE(TEXT(Contract_Edits[[#This Row],[Index]],"0")))
)</f>
        <v>2</v>
      </c>
      <c r="AN30" s="503"/>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481</v>
      </c>
      <c r="B31" t="s">
        <v>485</v>
      </c>
      <c r="C31" t="s">
        <v>439</v>
      </c>
      <c r="D31" s="436" t="s">
        <v>495</v>
      </c>
      <c r="E31">
        <v>1</v>
      </c>
      <c r="F31" s="445"/>
      <c r="G31" s="188"/>
      <c r="H31">
        <v>0</v>
      </c>
      <c r="I31"/>
      <c r="J31">
        <v>49</v>
      </c>
      <c r="K31" s="104"/>
      <c r="L31" s="441">
        <v>49</v>
      </c>
      <c r="M31" s="441"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0"/>
      <c r="R31" s="508"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1" s="179">
        <v>0</v>
      </c>
      <c r="T31" s="469"/>
      <c r="U31" s="492" t="s">
        <v>606</v>
      </c>
      <c r="V31" s="193"/>
      <c r="W31" s="22" t="s">
        <v>358</v>
      </c>
      <c r="X31" s="484" t="s">
        <v>358</v>
      </c>
      <c r="Y31" s="484"/>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03">
        <f>--(
  ISNUMBER(SEARCH("BASE PARENT", UPPER(CLEAN(TRIM(_xlfn.XLOOKUP(TEXT(Contract_Edits[[#This Row],[Index]],"0"), baseIdxTxt, baseCost, "")))))) +
  ISNUMBER(SEARCH("DEPENDENCY GROUP", UPPER(CLEAN(TRIM(_xlfn.XLOOKUP(TEXT(Contract_Edits[[#This Row],[Index]],"0"), baseIdxTxt, baseCost, ""))))))
)</f>
        <v>0</v>
      </c>
      <c r="AG31" s="503" t="str" cm="1">
        <f t="array" ref="AG31">IF(Contract_Edits[[#This Row],[BaseFlag]]=1,
   10*BaseDepthL(TEXT(Contract_Edits[[#This Row],[Index]],"0"),500,editsIdxTxt,editsParentKeyTxt,baseIdxTxt,baseCost)-5,
   ""
)</f>
        <v/>
      </c>
      <c r="AH31" s="503"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03" t="str">
        <f>IF(Contract_Edits[[#This Row],[Dep]]=0,"Root",
   IF(ISNUMBER(MATCH(Contract_Edits[[#This Row],[Dep]],Contract_Edits[Index],0)),"OK","Missing")
)</f>
        <v>OK</v>
      </c>
      <c r="AJ31" s="503" t="str">
        <f>IF(AND(Contract_Edits[[#This Row],[Dep]]&lt;&gt;0,
        ISNUMBER(MATCH(Contract_Edits[[#This Row],[Dep]], Contract_Edits[Index], 0)),
        INDEX(Contract_Edits[Dep], MATCH(Contract_Edits[[#This Row],[Dep]], Contract_Edits[Index], 0))=Contract_Edits[[#This Row],[Index]]),
   "2-cycle","")</f>
        <v/>
      </c>
      <c r="AK31" s="503" cm="1">
        <f t="array" ref="AK31">IF(Contract_Edits[[#This Row],[BaseFlag]]&lt;&gt;1,0,
   IF(TEXT(Contract_Edits[[#This Row],[Dep]],"0")=TEXT(Contract_Edits[[#This Row],[Index]],"0"),
      0,
      MAX(0, SUMPRODUCT(--(Contract_Edits[BaseFlag]=1),
                        --(TEXT(Contract_Edits[Dep],"0")=TEXT(Contract_Edits[[#This Row],[Dep]],"0"))) - 1)
   )
)</f>
        <v>0</v>
      </c>
      <c r="AL31" s="503" t="str" cm="1">
        <f t="array" ref="AL31">IF(Contract_Edits[[#This Row],[BaseFlag]]=1,
   TEXT(Contract_Edits[[#This Row],[Index]],"0"),
   NearestBaseL(TEXT(Contract_Edits[[#This Row],[ParentKey]],"0"),500,editsIdxTxt,editsParentKeyTxt,baseIdxTxt,baseCost)
)</f>
        <v>2</v>
      </c>
      <c r="AM31" s="503" cm="1">
        <f t="array" ref="AM31">1+SUMPRODUCT(
  (Contract_Edits[BaseFlag]=1)*
  (TEXT(Contract_Edits[ParentAnchor],"0")=TEXT(Contract_Edits[[#This Row],[ParentAnchor]],"0"))*
  (VALUE(TEXT(Contract_Edits[Index],"0"))&lt;VALUE(TEXT(Contract_Edits[[#This Row],[Index]],"0")))
)</f>
        <v>2</v>
      </c>
      <c r="AN31" s="503"/>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481</v>
      </c>
      <c r="B32" t="s">
        <v>485</v>
      </c>
      <c r="C32" t="s">
        <v>439</v>
      </c>
      <c r="D32" s="436" t="s">
        <v>486</v>
      </c>
      <c r="E32">
        <v>1</v>
      </c>
      <c r="F32" s="445"/>
      <c r="G32" s="188"/>
      <c r="H32">
        <v>0</v>
      </c>
      <c r="I32"/>
      <c r="J32">
        <v>38</v>
      </c>
      <c r="K32" s="104"/>
      <c r="L32" s="441">
        <v>38</v>
      </c>
      <c r="M32" s="441"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68"/>
      <c r="R32" s="508"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2" s="179">
        <v>0</v>
      </c>
      <c r="T32" s="179">
        <v>0</v>
      </c>
      <c r="U32" s="11" t="s">
        <v>606</v>
      </c>
      <c r="V32"/>
      <c r="W32" s="22" t="s">
        <v>358</v>
      </c>
      <c r="X32" s="484" t="s">
        <v>358</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03">
        <f>--(
  ISNUMBER(SEARCH("BASE PARENT", UPPER(CLEAN(TRIM(_xlfn.XLOOKUP(TEXT(Contract_Edits[[#This Row],[Index]],"0"), baseIdxTxt, baseCost, "")))))) +
  ISNUMBER(SEARCH("DEPENDENCY GROUP", UPPER(CLEAN(TRIM(_xlfn.XLOOKUP(TEXT(Contract_Edits[[#This Row],[Index]],"0"), baseIdxTxt, baseCost, ""))))))
)</f>
        <v>0</v>
      </c>
      <c r="AG32" s="503" t="str" cm="1">
        <f t="array" ref="AG32">IF(Contract_Edits[[#This Row],[BaseFlag]]=1,
   10*BaseDepthL(TEXT(Contract_Edits[[#This Row],[Index]],"0"),500,editsIdxTxt,editsParentKeyTxt,baseIdxTxt,baseCost)-5,
   ""
)</f>
        <v/>
      </c>
      <c r="AH32" s="503"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03" t="str">
        <f>IF(Contract_Edits[[#This Row],[Dep]]=0,"Root",
   IF(ISNUMBER(MATCH(Contract_Edits[[#This Row],[Dep]],Contract_Edits[Index],0)),"OK","Missing")
)</f>
        <v>OK</v>
      </c>
      <c r="AJ32" s="503" t="str">
        <f>IF(AND(Contract_Edits[[#This Row],[Dep]]&lt;&gt;0,
        ISNUMBER(MATCH(Contract_Edits[[#This Row],[Dep]], Contract_Edits[Index], 0)),
        INDEX(Contract_Edits[Dep], MATCH(Contract_Edits[[#This Row],[Dep]], Contract_Edits[Index], 0))=Contract_Edits[[#This Row],[Index]]),
   "2-cycle","")</f>
        <v/>
      </c>
      <c r="AK32" s="503" cm="1">
        <f t="array" ref="AK32">IF(Contract_Edits[[#This Row],[BaseFlag]]&lt;&gt;1,0,
   IF(TEXT(Contract_Edits[[#This Row],[Dep]],"0")=TEXT(Contract_Edits[[#This Row],[Index]],"0"),
      0,
      MAX(0, SUMPRODUCT(--(Contract_Edits[BaseFlag]=1),
                        --(TEXT(Contract_Edits[Dep],"0")=TEXT(Contract_Edits[[#This Row],[Dep]],"0"))) - 1)
   )
)</f>
        <v>0</v>
      </c>
      <c r="AL32" s="503" t="str" cm="1">
        <f t="array" ref="AL32">IF(Contract_Edits[[#This Row],[BaseFlag]]=1,
   TEXT(Contract_Edits[[#This Row],[Index]],"0"),
   NearestBaseL(TEXT(Contract_Edits[[#This Row],[ParentKey]],"0"),500,editsIdxTxt,editsParentKeyTxt,baseIdxTxt,baseCost)
)</f>
        <v>2</v>
      </c>
      <c r="AM32" s="503" cm="1">
        <f t="array" ref="AM32">1+SUMPRODUCT(
  (Contract_Edits[BaseFlag]=1)*
  (TEXT(Contract_Edits[ParentAnchor],"0")=TEXT(Contract_Edits[[#This Row],[ParentAnchor]],"0"))*
  (VALUE(TEXT(Contract_Edits[Index],"0"))&lt;VALUE(TEXT(Contract_Edits[[#This Row],[Index]],"0")))
)</f>
        <v>2</v>
      </c>
      <c r="AN32" s="503"/>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481</v>
      </c>
      <c r="B33" t="s">
        <v>485</v>
      </c>
      <c r="C33"/>
      <c r="D33" s="436" t="s">
        <v>487</v>
      </c>
      <c r="E33">
        <v>1</v>
      </c>
      <c r="F33" s="445"/>
      <c r="G33" s="188"/>
      <c r="H33">
        <v>0</v>
      </c>
      <c r="I33"/>
      <c r="J33">
        <v>39</v>
      </c>
      <c r="K33" s="104"/>
      <c r="L33" s="441">
        <v>39</v>
      </c>
      <c r="M33" s="441"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68"/>
      <c r="R33" s="508"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3" s="179">
        <v>0</v>
      </c>
      <c r="T33" s="179">
        <v>0</v>
      </c>
      <c r="U33" s="11" t="s">
        <v>606</v>
      </c>
      <c r="V33"/>
      <c r="W33" s="22" t="s">
        <v>358</v>
      </c>
      <c r="X33" s="484" t="s">
        <v>358</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03">
        <f>--(
  ISNUMBER(SEARCH("BASE PARENT", UPPER(CLEAN(TRIM(_xlfn.XLOOKUP(TEXT(Contract_Edits[[#This Row],[Index]],"0"), baseIdxTxt, baseCost, "")))))) +
  ISNUMBER(SEARCH("DEPENDENCY GROUP", UPPER(CLEAN(TRIM(_xlfn.XLOOKUP(TEXT(Contract_Edits[[#This Row],[Index]],"0"), baseIdxTxt, baseCost, ""))))))
)</f>
        <v>0</v>
      </c>
      <c r="AG33" s="503" t="str" cm="1">
        <f t="array" ref="AG33">IF(Contract_Edits[[#This Row],[BaseFlag]]=1,
   10*BaseDepthL(TEXT(Contract_Edits[[#This Row],[Index]],"0"),500,editsIdxTxt,editsParentKeyTxt,baseIdxTxt,baseCost)-5,
   ""
)</f>
        <v/>
      </c>
      <c r="AH33" s="503"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03" t="str">
        <f>IF(Contract_Edits[[#This Row],[Dep]]=0,"Root",
   IF(ISNUMBER(MATCH(Contract_Edits[[#This Row],[Dep]],Contract_Edits[Index],0)),"OK","Missing")
)</f>
        <v>OK</v>
      </c>
      <c r="AJ33" s="503" t="str">
        <f>IF(AND(Contract_Edits[[#This Row],[Dep]]&lt;&gt;0,
        ISNUMBER(MATCH(Contract_Edits[[#This Row],[Dep]], Contract_Edits[Index], 0)),
        INDEX(Contract_Edits[Dep], MATCH(Contract_Edits[[#This Row],[Dep]], Contract_Edits[Index], 0))=Contract_Edits[[#This Row],[Index]]),
   "2-cycle","")</f>
        <v/>
      </c>
      <c r="AK33" s="503" cm="1">
        <f t="array" ref="AK33">IF(Contract_Edits[[#This Row],[BaseFlag]]&lt;&gt;1,0,
   IF(TEXT(Contract_Edits[[#This Row],[Dep]],"0")=TEXT(Contract_Edits[[#This Row],[Index]],"0"),
      0,
      MAX(0, SUMPRODUCT(--(Contract_Edits[BaseFlag]=1),
                        --(TEXT(Contract_Edits[Dep],"0")=TEXT(Contract_Edits[[#This Row],[Dep]],"0"))) - 1)
   )
)</f>
        <v>0</v>
      </c>
      <c r="AL33" s="503" t="str" cm="1">
        <f t="array" ref="AL33">IF(Contract_Edits[[#This Row],[BaseFlag]]=1,
   TEXT(Contract_Edits[[#This Row],[Index]],"0"),
   NearestBaseL(TEXT(Contract_Edits[[#This Row],[ParentKey]],"0"),500,editsIdxTxt,editsParentKeyTxt,baseIdxTxt,baseCost)
)</f>
        <v>2</v>
      </c>
      <c r="AM33" s="503" cm="1">
        <f t="array" ref="AM33">1+SUMPRODUCT(
  (Contract_Edits[BaseFlag]=1)*
  (TEXT(Contract_Edits[ParentAnchor],"0")=TEXT(Contract_Edits[[#This Row],[ParentAnchor]],"0"))*
  (VALUE(TEXT(Contract_Edits[Index],"0"))&lt;VALUE(TEXT(Contract_Edits[[#This Row],[Index]],"0")))
)</f>
        <v>2</v>
      </c>
      <c r="AN33" s="503"/>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481</v>
      </c>
      <c r="B34" t="s">
        <v>485</v>
      </c>
      <c r="C34" t="s">
        <v>521</v>
      </c>
      <c r="D34" s="436" t="s">
        <v>522</v>
      </c>
      <c r="E34">
        <v>1</v>
      </c>
      <c r="F34" s="445"/>
      <c r="G34" s="188"/>
      <c r="H34">
        <v>0</v>
      </c>
      <c r="I34"/>
      <c r="J34">
        <v>77</v>
      </c>
      <c r="K34" s="104"/>
      <c r="L34" s="441">
        <v>77</v>
      </c>
      <c r="M34" s="441"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0"/>
      <c r="R34" s="508"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4" s="179">
        <v>0</v>
      </c>
      <c r="T34" s="469"/>
      <c r="U34" s="492" t="s">
        <v>606</v>
      </c>
      <c r="V34" s="193"/>
      <c r="W34" s="22" t="s">
        <v>358</v>
      </c>
      <c r="X34" s="484" t="s">
        <v>358</v>
      </c>
      <c r="Y34" s="484"/>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03">
        <f>--(
  ISNUMBER(SEARCH("BASE PARENT", UPPER(CLEAN(TRIM(_xlfn.XLOOKUP(TEXT(Contract_Edits[[#This Row],[Index]],"0"), baseIdxTxt, baseCost, "")))))) +
  ISNUMBER(SEARCH("DEPENDENCY GROUP", UPPER(CLEAN(TRIM(_xlfn.XLOOKUP(TEXT(Contract_Edits[[#This Row],[Index]],"0"), baseIdxTxt, baseCost, ""))))))
)</f>
        <v>0</v>
      </c>
      <c r="AG34" s="503" t="str" cm="1">
        <f t="array" ref="AG34">IF(Contract_Edits[[#This Row],[BaseFlag]]=1,
   10*BaseDepthL(TEXT(Contract_Edits[[#This Row],[Index]],"0"),500,editsIdxTxt,editsParentKeyTxt,baseIdxTxt,baseCost)-5,
   ""
)</f>
        <v/>
      </c>
      <c r="AH34" s="503"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03" t="str">
        <f>IF(Contract_Edits[[#This Row],[Dep]]=0,"Root",
   IF(ISNUMBER(MATCH(Contract_Edits[[#This Row],[Dep]],Contract_Edits[Index],0)),"OK","Missing")
)</f>
        <v>OK</v>
      </c>
      <c r="AJ34" s="503" t="str">
        <f>IF(AND(Contract_Edits[[#This Row],[Dep]]&lt;&gt;0,
        ISNUMBER(MATCH(Contract_Edits[[#This Row],[Dep]], Contract_Edits[Index], 0)),
        INDEX(Contract_Edits[Dep], MATCH(Contract_Edits[[#This Row],[Dep]], Contract_Edits[Index], 0))=Contract_Edits[[#This Row],[Index]]),
   "2-cycle","")</f>
        <v/>
      </c>
      <c r="AK34" s="503" cm="1">
        <f t="array" ref="AK34">IF(Contract_Edits[[#This Row],[BaseFlag]]&lt;&gt;1,0,
   IF(TEXT(Contract_Edits[[#This Row],[Dep]],"0")=TEXT(Contract_Edits[[#This Row],[Index]],"0"),
      0,
      MAX(0, SUMPRODUCT(--(Contract_Edits[BaseFlag]=1),
                        --(TEXT(Contract_Edits[Dep],"0")=TEXT(Contract_Edits[[#This Row],[Dep]],"0"))) - 1)
   )
)</f>
        <v>0</v>
      </c>
      <c r="AL34" s="503" t="str" cm="1">
        <f t="array" ref="AL34">IF(Contract_Edits[[#This Row],[BaseFlag]]=1,
   TEXT(Contract_Edits[[#This Row],[Index]],"0"),
   NearestBaseL(TEXT(Contract_Edits[[#This Row],[ParentKey]],"0"),500,editsIdxTxt,editsParentKeyTxt,baseIdxTxt,baseCost)
)</f>
        <v>2</v>
      </c>
      <c r="AM34" s="503" cm="1">
        <f t="array" ref="AM34">1+SUMPRODUCT(
  (Contract_Edits[BaseFlag]=1)*
  (TEXT(Contract_Edits[ParentAnchor],"0")=TEXT(Contract_Edits[[#This Row],[ParentAnchor]],"0"))*
  (VALUE(TEXT(Contract_Edits[Index],"0"))&lt;VALUE(TEXT(Contract_Edits[[#This Row],[Index]],"0")))
)</f>
        <v>2</v>
      </c>
      <c r="AN34" s="503"/>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481</v>
      </c>
      <c r="B35" t="s">
        <v>485</v>
      </c>
      <c r="C35" t="s">
        <v>459</v>
      </c>
      <c r="D35" s="436" t="s">
        <v>520</v>
      </c>
      <c r="E35">
        <v>2</v>
      </c>
      <c r="F35" s="445"/>
      <c r="G35" s="188"/>
      <c r="H35">
        <v>0</v>
      </c>
      <c r="I35"/>
      <c r="J35">
        <v>76</v>
      </c>
      <c r="K35" s="104"/>
      <c r="L35" s="441">
        <v>76</v>
      </c>
      <c r="M35" s="441"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68"/>
      <c r="R35" s="508"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5" s="179">
        <v>0</v>
      </c>
      <c r="T35" s="179">
        <v>0</v>
      </c>
      <c r="U35" s="11" t="s">
        <v>606</v>
      </c>
      <c r="V35"/>
      <c r="W35" s="22" t="s">
        <v>358</v>
      </c>
      <c r="X35" s="484" t="s">
        <v>358</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03">
        <f>--(
  ISNUMBER(SEARCH("BASE PARENT", UPPER(CLEAN(TRIM(_xlfn.XLOOKUP(TEXT(Contract_Edits[[#This Row],[Index]],"0"), baseIdxTxt, baseCost, "")))))) +
  ISNUMBER(SEARCH("DEPENDENCY GROUP", UPPER(CLEAN(TRIM(_xlfn.XLOOKUP(TEXT(Contract_Edits[[#This Row],[Index]],"0"), baseIdxTxt, baseCost, ""))))))
)</f>
        <v>0</v>
      </c>
      <c r="AG35" s="503" t="str" cm="1">
        <f t="array" ref="AG35">IF(Contract_Edits[[#This Row],[BaseFlag]]=1,
   10*BaseDepthL(TEXT(Contract_Edits[[#This Row],[Index]],"0"),500,editsIdxTxt,editsParentKeyTxt,baseIdxTxt,baseCost)-5,
   ""
)</f>
        <v/>
      </c>
      <c r="AH35" s="503"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03" t="str">
        <f>IF(Contract_Edits[[#This Row],[Dep]]=0,"Root",
   IF(ISNUMBER(MATCH(Contract_Edits[[#This Row],[Dep]],Contract_Edits[Index],0)),"OK","Missing")
)</f>
        <v>OK</v>
      </c>
      <c r="AJ35" s="503" t="str">
        <f>IF(AND(Contract_Edits[[#This Row],[Dep]]&lt;&gt;0,
        ISNUMBER(MATCH(Contract_Edits[[#This Row],[Dep]], Contract_Edits[Index], 0)),
        INDEX(Contract_Edits[Dep], MATCH(Contract_Edits[[#This Row],[Dep]], Contract_Edits[Index], 0))=Contract_Edits[[#This Row],[Index]]),
   "2-cycle","")</f>
        <v/>
      </c>
      <c r="AK35" s="503" cm="1">
        <f t="array" ref="AK35">IF(Contract_Edits[[#This Row],[BaseFlag]]&lt;&gt;1,0,
   IF(TEXT(Contract_Edits[[#This Row],[Dep]],"0")=TEXT(Contract_Edits[[#This Row],[Index]],"0"),
      0,
      MAX(0, SUMPRODUCT(--(Contract_Edits[BaseFlag]=1),
                        --(TEXT(Contract_Edits[Dep],"0")=TEXT(Contract_Edits[[#This Row],[Dep]],"0"))) - 1)
   )
)</f>
        <v>0</v>
      </c>
      <c r="AL35" s="503" t="str" cm="1">
        <f t="array" ref="AL35">IF(Contract_Edits[[#This Row],[BaseFlag]]=1,
   TEXT(Contract_Edits[[#This Row],[Index]],"0"),
   NearestBaseL(TEXT(Contract_Edits[[#This Row],[ParentKey]],"0"),500,editsIdxTxt,editsParentKeyTxt,baseIdxTxt,baseCost)
)</f>
        <v>2</v>
      </c>
      <c r="AM35" s="503" cm="1">
        <f t="array" ref="AM35">1+SUMPRODUCT(
  (Contract_Edits[BaseFlag]=1)*
  (TEXT(Contract_Edits[ParentAnchor],"0")=TEXT(Contract_Edits[[#This Row],[ParentAnchor]],"0"))*
  (VALUE(TEXT(Contract_Edits[Index],"0"))&lt;VALUE(TEXT(Contract_Edits[[#This Row],[Index]],"0")))
)</f>
        <v>2</v>
      </c>
      <c r="AN35" s="503"/>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438</v>
      </c>
      <c r="B36" t="s">
        <v>435</v>
      </c>
      <c r="C36" t="s">
        <v>448</v>
      </c>
      <c r="D36" s="436" t="s">
        <v>449</v>
      </c>
      <c r="E36">
        <v>1</v>
      </c>
      <c r="F36" s="445">
        <v>0</v>
      </c>
      <c r="G36" s="188">
        <v>0</v>
      </c>
      <c r="H36">
        <v>6</v>
      </c>
      <c r="I36">
        <v>0</v>
      </c>
      <c r="J36">
        <v>7</v>
      </c>
      <c r="K36" s="104"/>
      <c r="L36" s="441">
        <v>7</v>
      </c>
      <c r="M36" s="441"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68"/>
      <c r="R36" s="508"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6" s="179">
        <v>0</v>
      </c>
      <c r="T36" s="469"/>
      <c r="U36" s="492"/>
      <c r="V36" s="193"/>
      <c r="W36" s="22" t="s">
        <v>358</v>
      </c>
      <c r="X36" s="484" t="s">
        <v>358</v>
      </c>
      <c r="Y36" s="484"/>
      <c r="Z36" s="490"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03">
        <f>--(
  ISNUMBER(SEARCH("BASE PARENT", UPPER(CLEAN(TRIM(_xlfn.XLOOKUP(TEXT(Contract_Edits[[#This Row],[Index]],"0"), baseIdxTxt, baseCost, "")))))) +
  ISNUMBER(SEARCH("DEPENDENCY GROUP", UPPER(CLEAN(TRIM(_xlfn.XLOOKUP(TEXT(Contract_Edits[[#This Row],[Index]],"0"), baseIdxTxt, baseCost, ""))))))
)</f>
        <v>1</v>
      </c>
      <c r="AG36" s="503" cm="1">
        <f t="array" ref="AG36">IF(Contract_Edits[[#This Row],[BaseFlag]]=1,
   10*BaseDepthL(TEXT(Contract_Edits[[#This Row],[Index]],"0"),500,editsIdxTxt,editsParentKeyTxt,baseIdxTxt,baseCost)-5,
   ""
)</f>
        <v>65</v>
      </c>
      <c r="AH36" s="503"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03" t="str">
        <f>IF(Contract_Edits[[#This Row],[Dep]]=0,"Root",
   IF(ISNUMBER(MATCH(Contract_Edits[[#This Row],[Dep]],Contract_Edits[Index],0)),"OK","Missing")
)</f>
        <v>OK</v>
      </c>
      <c r="AJ36" s="503" t="str">
        <f>IF(AND(Contract_Edits[[#This Row],[Dep]]&lt;&gt;0,
        ISNUMBER(MATCH(Contract_Edits[[#This Row],[Dep]], Contract_Edits[Index], 0)),
        INDEX(Contract_Edits[Dep], MATCH(Contract_Edits[[#This Row],[Dep]], Contract_Edits[Index], 0))=Contract_Edits[[#This Row],[Index]]),
   "2-cycle","")</f>
        <v/>
      </c>
      <c r="AK36" s="503" cm="1">
        <f t="array" ref="AK36">IF(Contract_Edits[[#This Row],[BaseFlag]]&lt;&gt;1,0,
   IF(TEXT(Contract_Edits[[#This Row],[Dep]],"0")=TEXT(Contract_Edits[[#This Row],[Index]],"0"),
      0,
      MAX(0, SUMPRODUCT(--(Contract_Edits[BaseFlag]=1),
                        --(TEXT(Contract_Edits[Dep],"0")=TEXT(Contract_Edits[[#This Row],[Dep]],"0"))) - 1)
   )
)</f>
        <v>0</v>
      </c>
      <c r="AL36" s="503" t="str" cm="1">
        <f t="array" ref="AL36">IF(Contract_Edits[[#This Row],[BaseFlag]]=1,
   TEXT(Contract_Edits[[#This Row],[Index]],"0"),
   NearestBaseL(TEXT(Contract_Edits[[#This Row],[ParentKey]],"0"),500,editsIdxTxt,editsParentKeyTxt,baseIdxTxt,baseCost)
)</f>
        <v>7</v>
      </c>
      <c r="AM36" s="503" cm="1">
        <f t="array" ref="AM36">1+SUMPRODUCT(
  (Contract_Edits[BaseFlag]=1)*
  (TEXT(Contract_Edits[ParentAnchor],"0")=TEXT(Contract_Edits[[#This Row],[ParentAnchor]],"0"))*
  (VALUE(TEXT(Contract_Edits[Index],"0"))&lt;VALUE(TEXT(Contract_Edits[[#This Row],[Index]],"0")))
)</f>
        <v>1</v>
      </c>
      <c r="AN36" s="503"/>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551</v>
      </c>
      <c r="B37" t="s">
        <v>546</v>
      </c>
      <c r="C37" t="s">
        <v>581</v>
      </c>
      <c r="D37" s="436" t="s">
        <v>582</v>
      </c>
      <c r="E37">
        <v>1</v>
      </c>
      <c r="F37" s="445">
        <v>-310.864125</v>
      </c>
      <c r="G37" s="188">
        <v>-310.864125</v>
      </c>
      <c r="H37">
        <v>7</v>
      </c>
      <c r="I37">
        <v>-310.864125</v>
      </c>
      <c r="J37">
        <v>912</v>
      </c>
      <c r="K37" s="104"/>
      <c r="L37" s="441">
        <v>912</v>
      </c>
      <c r="M37" s="441"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0"/>
      <c r="R37" s="508"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7" s="179">
        <v>0</v>
      </c>
      <c r="T37" s="469"/>
      <c r="U37" s="492" t="s">
        <v>607</v>
      </c>
      <c r="V37" s="193"/>
      <c r="W37" s="22" t="s">
        <v>358</v>
      </c>
      <c r="X37" s="484" t="s">
        <v>358</v>
      </c>
      <c r="Y37" s="484"/>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03">
        <f>--(
  ISNUMBER(SEARCH("BASE PARENT", UPPER(CLEAN(TRIM(_xlfn.XLOOKUP(TEXT(Contract_Edits[[#This Row],[Index]],"0"), baseIdxTxt, baseCost, "")))))) +
  ISNUMBER(SEARCH("DEPENDENCY GROUP", UPPER(CLEAN(TRIM(_xlfn.XLOOKUP(TEXT(Contract_Edits[[#This Row],[Index]],"0"), baseIdxTxt, baseCost, ""))))))
)</f>
        <v>0</v>
      </c>
      <c r="AG37" s="503" t="str" cm="1">
        <f t="array" ref="AG37">IF(Contract_Edits[[#This Row],[BaseFlag]]=1,
   10*BaseDepthL(TEXT(Contract_Edits[[#This Row],[Index]],"0"),500,editsIdxTxt,editsParentKeyTxt,baseIdxTxt,baseCost)-5,
   ""
)</f>
        <v/>
      </c>
      <c r="AH37" s="503"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03" t="str">
        <f>IF(Contract_Edits[[#This Row],[Dep]]=0,"Root",
   IF(ISNUMBER(MATCH(Contract_Edits[[#This Row],[Dep]],Contract_Edits[Index],0)),"OK","Missing")
)</f>
        <v>OK</v>
      </c>
      <c r="AJ37" s="503" t="str">
        <f>IF(AND(Contract_Edits[[#This Row],[Dep]]&lt;&gt;0,
        ISNUMBER(MATCH(Contract_Edits[[#This Row],[Dep]], Contract_Edits[Index], 0)),
        INDEX(Contract_Edits[Dep], MATCH(Contract_Edits[[#This Row],[Dep]], Contract_Edits[Index], 0))=Contract_Edits[[#This Row],[Index]]),
   "2-cycle","")</f>
        <v/>
      </c>
      <c r="AK37" s="503" cm="1">
        <f t="array" ref="AK37">IF(Contract_Edits[[#This Row],[BaseFlag]]&lt;&gt;1,0,
   IF(TEXT(Contract_Edits[[#This Row],[Dep]],"0")=TEXT(Contract_Edits[[#This Row],[Index]],"0"),
      0,
      MAX(0, SUMPRODUCT(--(Contract_Edits[BaseFlag]=1),
                        --(TEXT(Contract_Edits[Dep],"0")=TEXT(Contract_Edits[[#This Row],[Dep]],"0"))) - 1)
   )
)</f>
        <v>0</v>
      </c>
      <c r="AL37" s="503" t="str" cm="1">
        <f t="array" ref="AL37">IF(Contract_Edits[[#This Row],[BaseFlag]]=1,
   TEXT(Contract_Edits[[#This Row],[Index]],"0"),
   NearestBaseL(TEXT(Contract_Edits[[#This Row],[ParentKey]],"0"),500,editsIdxTxt,editsParentKeyTxt,baseIdxTxt,baseCost)
)</f>
        <v>7</v>
      </c>
      <c r="AM37" s="503" cm="1">
        <f t="array" ref="AM37">1+SUMPRODUCT(
  (Contract_Edits[BaseFlag]=1)*
  (TEXT(Contract_Edits[ParentAnchor],"0")=TEXT(Contract_Edits[[#This Row],[ParentAnchor]],"0"))*
  (VALUE(TEXT(Contract_Edits[Index],"0"))&lt;VALUE(TEXT(Contract_Edits[[#This Row],[Index]],"0")))
)</f>
        <v>2</v>
      </c>
      <c r="AN37" s="503"/>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481</v>
      </c>
      <c r="B38" t="s">
        <v>488</v>
      </c>
      <c r="C38" t="s">
        <v>496</v>
      </c>
      <c r="D38" s="436" t="s">
        <v>498</v>
      </c>
      <c r="E38">
        <v>1</v>
      </c>
      <c r="F38" s="445"/>
      <c r="G38" s="188"/>
      <c r="H38">
        <v>0</v>
      </c>
      <c r="I38"/>
      <c r="J38">
        <v>51</v>
      </c>
      <c r="K38" s="104"/>
      <c r="L38" s="441">
        <v>51</v>
      </c>
      <c r="M38" s="441"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68"/>
      <c r="R38" s="508"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8" s="179">
        <v>0</v>
      </c>
      <c r="T38" s="179">
        <v>0</v>
      </c>
      <c r="U38" s="11" t="s">
        <v>607</v>
      </c>
      <c r="V38"/>
      <c r="W38" s="22" t="s">
        <v>358</v>
      </c>
      <c r="X38" s="484" t="s">
        <v>358</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03">
        <f>--(
  ISNUMBER(SEARCH("BASE PARENT", UPPER(CLEAN(TRIM(_xlfn.XLOOKUP(TEXT(Contract_Edits[[#This Row],[Index]],"0"), baseIdxTxt, baseCost, "")))))) +
  ISNUMBER(SEARCH("DEPENDENCY GROUP", UPPER(CLEAN(TRIM(_xlfn.XLOOKUP(TEXT(Contract_Edits[[#This Row],[Index]],"0"), baseIdxTxt, baseCost, ""))))))
)</f>
        <v>0</v>
      </c>
      <c r="AG38" s="503" t="str" cm="1">
        <f t="array" ref="AG38">IF(Contract_Edits[[#This Row],[BaseFlag]]=1,
   10*BaseDepthL(TEXT(Contract_Edits[[#This Row],[Index]],"0"),500,editsIdxTxt,editsParentKeyTxt,baseIdxTxt,baseCost)-5,
   ""
)</f>
        <v/>
      </c>
      <c r="AH38" s="503"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03" t="str">
        <f>IF(Contract_Edits[[#This Row],[Dep]]=0,"Root",
   IF(ISNUMBER(MATCH(Contract_Edits[[#This Row],[Dep]],Contract_Edits[Index],0)),"OK","Missing")
)</f>
        <v>OK</v>
      </c>
      <c r="AJ38" s="503" t="str">
        <f>IF(AND(Contract_Edits[[#This Row],[Dep]]&lt;&gt;0,
        ISNUMBER(MATCH(Contract_Edits[[#This Row],[Dep]], Contract_Edits[Index], 0)),
        INDEX(Contract_Edits[Dep], MATCH(Contract_Edits[[#This Row],[Dep]], Contract_Edits[Index], 0))=Contract_Edits[[#This Row],[Index]]),
   "2-cycle","")</f>
        <v/>
      </c>
      <c r="AK38" s="503" cm="1">
        <f t="array" ref="AK38">IF(Contract_Edits[[#This Row],[BaseFlag]]&lt;&gt;1,0,
   IF(TEXT(Contract_Edits[[#This Row],[Dep]],"0")=TEXT(Contract_Edits[[#This Row],[Index]],"0"),
      0,
      MAX(0, SUMPRODUCT(--(Contract_Edits[BaseFlag]=1),
                        --(TEXT(Contract_Edits[Dep],"0")=TEXT(Contract_Edits[[#This Row],[Dep]],"0"))) - 1)
   )
)</f>
        <v>0</v>
      </c>
      <c r="AL38" s="503" t="str" cm="1">
        <f t="array" ref="AL38">IF(Contract_Edits[[#This Row],[BaseFlag]]=1,
   TEXT(Contract_Edits[[#This Row],[Index]],"0"),
   NearestBaseL(TEXT(Contract_Edits[[#This Row],[ParentKey]],"0"),500,editsIdxTxt,editsParentKeyTxt,baseIdxTxt,baseCost)
)</f>
        <v>7</v>
      </c>
      <c r="AM38" s="503" cm="1">
        <f t="array" ref="AM38">1+SUMPRODUCT(
  (Contract_Edits[BaseFlag]=1)*
  (TEXT(Contract_Edits[ParentAnchor],"0")=TEXT(Contract_Edits[[#This Row],[ParentAnchor]],"0"))*
  (VALUE(TEXT(Contract_Edits[Index],"0"))&lt;VALUE(TEXT(Contract_Edits[[#This Row],[Index]],"0")))
)</f>
        <v>2</v>
      </c>
      <c r="AN38" s="503"/>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481</v>
      </c>
      <c r="B39" t="s">
        <v>502</v>
      </c>
      <c r="C39" t="s">
        <v>505</v>
      </c>
      <c r="D39" s="436" t="s">
        <v>506</v>
      </c>
      <c r="E39">
        <v>1</v>
      </c>
      <c r="F39" s="445"/>
      <c r="G39" s="188"/>
      <c r="H39">
        <v>0</v>
      </c>
      <c r="I39"/>
      <c r="J39">
        <v>56</v>
      </c>
      <c r="K39" s="104"/>
      <c r="L39" s="441">
        <v>56</v>
      </c>
      <c r="M39" s="441"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68"/>
      <c r="R39" s="508"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9" s="179">
        <v>0</v>
      </c>
      <c r="T39" s="179">
        <v>0</v>
      </c>
      <c r="U39" s="11" t="s">
        <v>607</v>
      </c>
      <c r="V39"/>
      <c r="W39" s="22" t="s">
        <v>358</v>
      </c>
      <c r="X39" s="484" t="s">
        <v>358</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03">
        <f>--(
  ISNUMBER(SEARCH("BASE PARENT", UPPER(CLEAN(TRIM(_xlfn.XLOOKUP(TEXT(Contract_Edits[[#This Row],[Index]],"0"), baseIdxTxt, baseCost, "")))))) +
  ISNUMBER(SEARCH("DEPENDENCY GROUP", UPPER(CLEAN(TRIM(_xlfn.XLOOKUP(TEXT(Contract_Edits[[#This Row],[Index]],"0"), baseIdxTxt, baseCost, ""))))))
)</f>
        <v>0</v>
      </c>
      <c r="AG39" s="503" t="str" cm="1">
        <f t="array" ref="AG39">IF(Contract_Edits[[#This Row],[BaseFlag]]=1,
   10*BaseDepthL(TEXT(Contract_Edits[[#This Row],[Index]],"0"),500,editsIdxTxt,editsParentKeyTxt,baseIdxTxt,baseCost)-5,
   ""
)</f>
        <v/>
      </c>
      <c r="AH39" s="503"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03" t="str">
        <f>IF(Contract_Edits[[#This Row],[Dep]]=0,"Root",
   IF(ISNUMBER(MATCH(Contract_Edits[[#This Row],[Dep]],Contract_Edits[Index],0)),"OK","Missing")
)</f>
        <v>OK</v>
      </c>
      <c r="AJ39" s="503" t="str">
        <f>IF(AND(Contract_Edits[[#This Row],[Dep]]&lt;&gt;0,
        ISNUMBER(MATCH(Contract_Edits[[#This Row],[Dep]], Contract_Edits[Index], 0)),
        INDEX(Contract_Edits[Dep], MATCH(Contract_Edits[[#This Row],[Dep]], Contract_Edits[Index], 0))=Contract_Edits[[#This Row],[Index]]),
   "2-cycle","")</f>
        <v/>
      </c>
      <c r="AK39" s="503" cm="1">
        <f t="array" ref="AK39">IF(Contract_Edits[[#This Row],[BaseFlag]]&lt;&gt;1,0,
   IF(TEXT(Contract_Edits[[#This Row],[Dep]],"0")=TEXT(Contract_Edits[[#This Row],[Index]],"0"),
      0,
      MAX(0, SUMPRODUCT(--(Contract_Edits[BaseFlag]=1),
                        --(TEXT(Contract_Edits[Dep],"0")=TEXT(Contract_Edits[[#This Row],[Dep]],"0"))) - 1)
   )
)</f>
        <v>0</v>
      </c>
      <c r="AL39" s="503" t="str" cm="1">
        <f t="array" ref="AL39">IF(Contract_Edits[[#This Row],[BaseFlag]]=1,
   TEXT(Contract_Edits[[#This Row],[Index]],"0"),
   NearestBaseL(TEXT(Contract_Edits[[#This Row],[ParentKey]],"0"),500,editsIdxTxt,editsParentKeyTxt,baseIdxTxt,baseCost)
)</f>
        <v>7</v>
      </c>
      <c r="AM39" s="503" cm="1">
        <f t="array" ref="AM39">1+SUMPRODUCT(
  (Contract_Edits[BaseFlag]=1)*
  (TEXT(Contract_Edits[ParentAnchor],"0")=TEXT(Contract_Edits[[#This Row],[ParentAnchor]],"0"))*
  (VALUE(TEXT(Contract_Edits[Index],"0"))&lt;VALUE(TEXT(Contract_Edits[[#This Row],[Index]],"0")))
)</f>
        <v>2</v>
      </c>
      <c r="AN39" s="503"/>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481</v>
      </c>
      <c r="B40" t="s">
        <v>502</v>
      </c>
      <c r="C40"/>
      <c r="D40" s="436" t="s">
        <v>503</v>
      </c>
      <c r="E40">
        <v>1</v>
      </c>
      <c r="F40" s="445"/>
      <c r="G40" s="188"/>
      <c r="H40">
        <v>0</v>
      </c>
      <c r="I40"/>
      <c r="J40">
        <v>54</v>
      </c>
      <c r="K40" s="104"/>
      <c r="L40" s="441">
        <v>54</v>
      </c>
      <c r="M40" s="441"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68"/>
      <c r="R40" s="508"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0" s="179">
        <v>0</v>
      </c>
      <c r="T40" s="179">
        <v>0</v>
      </c>
      <c r="U40" s="11" t="s">
        <v>607</v>
      </c>
      <c r="V40"/>
      <c r="W40" s="22" t="s">
        <v>358</v>
      </c>
      <c r="X40" s="484" t="s">
        <v>358</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03">
        <f>--(
  ISNUMBER(SEARCH("BASE PARENT", UPPER(CLEAN(TRIM(_xlfn.XLOOKUP(TEXT(Contract_Edits[[#This Row],[Index]],"0"), baseIdxTxt, baseCost, "")))))) +
  ISNUMBER(SEARCH("DEPENDENCY GROUP", UPPER(CLEAN(TRIM(_xlfn.XLOOKUP(TEXT(Contract_Edits[[#This Row],[Index]],"0"), baseIdxTxt, baseCost, ""))))))
)</f>
        <v>0</v>
      </c>
      <c r="AG40" s="503" t="str" cm="1">
        <f t="array" ref="AG40">IF(Contract_Edits[[#This Row],[BaseFlag]]=1,
   10*BaseDepthL(TEXT(Contract_Edits[[#This Row],[Index]],"0"),500,editsIdxTxt,editsParentKeyTxt,baseIdxTxt,baseCost)-5,
   ""
)</f>
        <v/>
      </c>
      <c r="AH40" s="503"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03" t="str">
        <f>IF(Contract_Edits[[#This Row],[Dep]]=0,"Root",
   IF(ISNUMBER(MATCH(Contract_Edits[[#This Row],[Dep]],Contract_Edits[Index],0)),"OK","Missing")
)</f>
        <v>OK</v>
      </c>
      <c r="AJ40" s="503" t="str">
        <f>IF(AND(Contract_Edits[[#This Row],[Dep]]&lt;&gt;0,
        ISNUMBER(MATCH(Contract_Edits[[#This Row],[Dep]], Contract_Edits[Index], 0)),
        INDEX(Contract_Edits[Dep], MATCH(Contract_Edits[[#This Row],[Dep]], Contract_Edits[Index], 0))=Contract_Edits[[#This Row],[Index]]),
   "2-cycle","")</f>
        <v/>
      </c>
      <c r="AK40" s="503" cm="1">
        <f t="array" ref="AK40">IF(Contract_Edits[[#This Row],[BaseFlag]]&lt;&gt;1,0,
   IF(TEXT(Contract_Edits[[#This Row],[Dep]],"0")=TEXT(Contract_Edits[[#This Row],[Index]],"0"),
      0,
      MAX(0, SUMPRODUCT(--(Contract_Edits[BaseFlag]=1),
                        --(TEXT(Contract_Edits[Dep],"0")=TEXT(Contract_Edits[[#This Row],[Dep]],"0"))) - 1)
   )
)</f>
        <v>0</v>
      </c>
      <c r="AL40" s="503" t="str" cm="1">
        <f t="array" ref="AL40">IF(Contract_Edits[[#This Row],[BaseFlag]]=1,
   TEXT(Contract_Edits[[#This Row],[Index]],"0"),
   NearestBaseL(TEXT(Contract_Edits[[#This Row],[ParentKey]],"0"),500,editsIdxTxt,editsParentKeyTxt,baseIdxTxt,baseCost)
)</f>
        <v>7</v>
      </c>
      <c r="AM40" s="503" cm="1">
        <f t="array" ref="AM40">1+SUMPRODUCT(
  (Contract_Edits[BaseFlag]=1)*
  (TEXT(Contract_Edits[ParentAnchor],"0")=TEXT(Contract_Edits[[#This Row],[ParentAnchor]],"0"))*
  (VALUE(TEXT(Contract_Edits[Index],"0"))&lt;VALUE(TEXT(Contract_Edits[[#This Row],[Index]],"0")))
)</f>
        <v>2</v>
      </c>
      <c r="AN40" s="503"/>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438</v>
      </c>
      <c r="B41" t="s">
        <v>435</v>
      </c>
      <c r="C41" t="s">
        <v>450</v>
      </c>
      <c r="D41" s="436" t="s">
        <v>451</v>
      </c>
      <c r="E41">
        <v>1</v>
      </c>
      <c r="F41" s="445">
        <v>0</v>
      </c>
      <c r="G41" s="188">
        <v>0</v>
      </c>
      <c r="H41">
        <v>7</v>
      </c>
      <c r="I41">
        <v>0</v>
      </c>
      <c r="J41">
        <v>8</v>
      </c>
      <c r="K41" s="104"/>
      <c r="L41" s="441">
        <v>8</v>
      </c>
      <c r="M41" s="441"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68"/>
      <c r="R41" s="508"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1" s="179">
        <v>0</v>
      </c>
      <c r="T41" s="469"/>
      <c r="U41" s="492"/>
      <c r="V41" s="193"/>
      <c r="W41" s="22" t="s">
        <v>358</v>
      </c>
      <c r="X41" s="484" t="s">
        <v>358</v>
      </c>
      <c r="Y41" s="484"/>
      <c r="Z41" s="490"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03">
        <f>--(
  ISNUMBER(SEARCH("BASE PARENT", UPPER(CLEAN(TRIM(_xlfn.XLOOKUP(TEXT(Contract_Edits[[#This Row],[Index]],"0"), baseIdxTxt, baseCost, "")))))) +
  ISNUMBER(SEARCH("DEPENDENCY GROUP", UPPER(CLEAN(TRIM(_xlfn.XLOOKUP(TEXT(Contract_Edits[[#This Row],[Index]],"0"), baseIdxTxt, baseCost, ""))))))
)</f>
        <v>1</v>
      </c>
      <c r="AG41" s="503" cm="1">
        <f t="array" ref="AG41">IF(Contract_Edits[[#This Row],[BaseFlag]]=1,
   10*BaseDepthL(TEXT(Contract_Edits[[#This Row],[Index]],"0"),500,editsIdxTxt,editsParentKeyTxt,baseIdxTxt,baseCost)-5,
   ""
)</f>
        <v>75</v>
      </c>
      <c r="AH41" s="503"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03" t="str">
        <f>IF(Contract_Edits[[#This Row],[Dep]]=0,"Root",
   IF(ISNUMBER(MATCH(Contract_Edits[[#This Row],[Dep]],Contract_Edits[Index],0)),"OK","Missing")
)</f>
        <v>OK</v>
      </c>
      <c r="AJ41" s="503" t="str">
        <f>IF(AND(Contract_Edits[[#This Row],[Dep]]&lt;&gt;0,
        ISNUMBER(MATCH(Contract_Edits[[#This Row],[Dep]], Contract_Edits[Index], 0)),
        INDEX(Contract_Edits[Dep], MATCH(Contract_Edits[[#This Row],[Dep]], Contract_Edits[Index], 0))=Contract_Edits[[#This Row],[Index]]),
   "2-cycle","")</f>
        <v/>
      </c>
      <c r="AK41" s="503" cm="1">
        <f t="array" ref="AK41">IF(Contract_Edits[[#This Row],[BaseFlag]]&lt;&gt;1,0,
   IF(TEXT(Contract_Edits[[#This Row],[Dep]],"0")=TEXT(Contract_Edits[[#This Row],[Index]],"0"),
      0,
      MAX(0, SUMPRODUCT(--(Contract_Edits[BaseFlag]=1),
                        --(TEXT(Contract_Edits[Dep],"0")=TEXT(Contract_Edits[[#This Row],[Dep]],"0"))) - 1)
   )
)</f>
        <v>0</v>
      </c>
      <c r="AL41" s="503" t="str" cm="1">
        <f t="array" ref="AL41">IF(Contract_Edits[[#This Row],[BaseFlag]]=1,
   TEXT(Contract_Edits[[#This Row],[Index]],"0"),
   NearestBaseL(TEXT(Contract_Edits[[#This Row],[ParentKey]],"0"),500,editsIdxTxt,editsParentKeyTxt,baseIdxTxt,baseCost)
)</f>
        <v>8</v>
      </c>
      <c r="AM41" s="503" cm="1">
        <f t="array" ref="AM41">1+SUMPRODUCT(
  (Contract_Edits[BaseFlag]=1)*
  (TEXT(Contract_Edits[ParentAnchor],"0")=TEXT(Contract_Edits[[#This Row],[ParentAnchor]],"0"))*
  (VALUE(TEXT(Contract_Edits[Index],"0"))&lt;VALUE(TEXT(Contract_Edits[[#This Row],[Index]],"0")))
)</f>
        <v>1</v>
      </c>
      <c r="AN41" s="503"/>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438</v>
      </c>
      <c r="B42" t="s">
        <v>435</v>
      </c>
      <c r="C42" t="s">
        <v>452</v>
      </c>
      <c r="D42" s="436" t="s">
        <v>453</v>
      </c>
      <c r="E42">
        <v>1</v>
      </c>
      <c r="F42" s="445">
        <v>0</v>
      </c>
      <c r="G42" s="188">
        <v>0</v>
      </c>
      <c r="H42">
        <v>9</v>
      </c>
      <c r="I42">
        <v>0</v>
      </c>
      <c r="J42">
        <v>10</v>
      </c>
      <c r="K42" s="104"/>
      <c r="L42" s="441">
        <v>10</v>
      </c>
      <c r="M42" s="441"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0"/>
      <c r="R42" s="508"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2" s="179">
        <v>0</v>
      </c>
      <c r="T42" s="469"/>
      <c r="U42" s="492"/>
      <c r="V42" s="193"/>
      <c r="W42" s="22" t="s">
        <v>358</v>
      </c>
      <c r="X42" s="484" t="s">
        <v>358</v>
      </c>
      <c r="Y42" s="484"/>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03">
        <f>--(
  ISNUMBER(SEARCH("BASE PARENT", UPPER(CLEAN(TRIM(_xlfn.XLOOKUP(TEXT(Contract_Edits[[#This Row],[Index]],"0"), baseIdxTxt, baseCost, "")))))) +
  ISNUMBER(SEARCH("DEPENDENCY GROUP", UPPER(CLEAN(TRIM(_xlfn.XLOOKUP(TEXT(Contract_Edits[[#This Row],[Index]],"0"), baseIdxTxt, baseCost, ""))))))
)</f>
        <v>1</v>
      </c>
      <c r="AG42" s="503" cm="1">
        <f t="array" ref="AG42">IF(Contract_Edits[[#This Row],[BaseFlag]]=1,
   10*BaseDepthL(TEXT(Contract_Edits[[#This Row],[Index]],"0"),500,editsIdxTxt,editsParentKeyTxt,baseIdxTxt,baseCost)-5,
   ""
)</f>
        <v>95</v>
      </c>
      <c r="AH42" s="503"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03" t="str">
        <f>IF(Contract_Edits[[#This Row],[Dep]]=0,"Root",
   IF(ISNUMBER(MATCH(Contract_Edits[[#This Row],[Dep]],Contract_Edits[Index],0)),"OK","Missing")
)</f>
        <v>OK</v>
      </c>
      <c r="AJ42" s="503" t="str">
        <f>IF(AND(Contract_Edits[[#This Row],[Dep]]&lt;&gt;0,
        ISNUMBER(MATCH(Contract_Edits[[#This Row],[Dep]], Contract_Edits[Index], 0)),
        INDEX(Contract_Edits[Dep], MATCH(Contract_Edits[[#This Row],[Dep]], Contract_Edits[Index], 0))=Contract_Edits[[#This Row],[Index]]),
   "2-cycle","")</f>
        <v/>
      </c>
      <c r="AK42" s="503" cm="1">
        <f t="array" ref="AK42">IF(Contract_Edits[[#This Row],[BaseFlag]]&lt;&gt;1,0,
   IF(TEXT(Contract_Edits[[#This Row],[Dep]],"0")=TEXT(Contract_Edits[[#This Row],[Index]],"0"),
      0,
      MAX(0, SUMPRODUCT(--(Contract_Edits[BaseFlag]=1),
                        --(TEXT(Contract_Edits[Dep],"0")=TEXT(Contract_Edits[[#This Row],[Dep]],"0"))) - 1)
   )
)</f>
        <v>0</v>
      </c>
      <c r="AL42" s="503" t="str" cm="1">
        <f t="array" ref="AL42">IF(Contract_Edits[[#This Row],[BaseFlag]]=1,
   TEXT(Contract_Edits[[#This Row],[Index]],"0"),
   NearestBaseL(TEXT(Contract_Edits[[#This Row],[ParentKey]],"0"),500,editsIdxTxt,editsParentKeyTxt,baseIdxTxt,baseCost)
)</f>
        <v>10</v>
      </c>
      <c r="AM42" s="503" cm="1">
        <f t="array" ref="AM42">1+SUMPRODUCT(
  (Contract_Edits[BaseFlag]=1)*
  (TEXT(Contract_Edits[ParentAnchor],"0")=TEXT(Contract_Edits[[#This Row],[ParentAnchor]],"0"))*
  (VALUE(TEXT(Contract_Edits[Index],"0"))&lt;VALUE(TEXT(Contract_Edits[[#This Row],[Index]],"0")))
)</f>
        <v>1</v>
      </c>
      <c r="AN42" s="503"/>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438</v>
      </c>
      <c r="B43" t="s">
        <v>435</v>
      </c>
      <c r="C43" t="s">
        <v>452</v>
      </c>
      <c r="D43" s="436" t="s">
        <v>454</v>
      </c>
      <c r="E43">
        <v>1</v>
      </c>
      <c r="F43" s="445">
        <v>0</v>
      </c>
      <c r="G43" s="188">
        <v>0</v>
      </c>
      <c r="H43">
        <v>10</v>
      </c>
      <c r="I43">
        <v>0</v>
      </c>
      <c r="J43">
        <v>11</v>
      </c>
      <c r="K43" s="104"/>
      <c r="L43" s="441">
        <v>11</v>
      </c>
      <c r="M43" s="441"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68"/>
      <c r="R43" s="508"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3" s="179">
        <v>0</v>
      </c>
      <c r="T43" s="179">
        <v>0</v>
      </c>
      <c r="U43" s="11"/>
      <c r="V43"/>
      <c r="W43" s="22" t="s">
        <v>358</v>
      </c>
      <c r="X43" s="484" t="s">
        <v>358</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03">
        <f>--(
  ISNUMBER(SEARCH("BASE PARENT", UPPER(CLEAN(TRIM(_xlfn.XLOOKUP(TEXT(Contract_Edits[[#This Row],[Index]],"0"), baseIdxTxt, baseCost, "")))))) +
  ISNUMBER(SEARCH("DEPENDENCY GROUP", UPPER(CLEAN(TRIM(_xlfn.XLOOKUP(TEXT(Contract_Edits[[#This Row],[Index]],"0"), baseIdxTxt, baseCost, ""))))))
)</f>
        <v>1</v>
      </c>
      <c r="AG43" s="503" cm="1">
        <f t="array" ref="AG43">IF(Contract_Edits[[#This Row],[BaseFlag]]=1,
   10*BaseDepthL(TEXT(Contract_Edits[[#This Row],[Index]],"0"),500,editsIdxTxt,editsParentKeyTxt,baseIdxTxt,baseCost)-5,
   ""
)</f>
        <v>105</v>
      </c>
      <c r="AH43" s="503"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03" t="str">
        <f>IF(Contract_Edits[[#This Row],[Dep]]=0,"Root",
   IF(ISNUMBER(MATCH(Contract_Edits[[#This Row],[Dep]],Contract_Edits[Index],0)),"OK","Missing")
)</f>
        <v>OK</v>
      </c>
      <c r="AJ43" s="503" t="str">
        <f>IF(AND(Contract_Edits[[#This Row],[Dep]]&lt;&gt;0,
        ISNUMBER(MATCH(Contract_Edits[[#This Row],[Dep]], Contract_Edits[Index], 0)),
        INDEX(Contract_Edits[Dep], MATCH(Contract_Edits[[#This Row],[Dep]], Contract_Edits[Index], 0))=Contract_Edits[[#This Row],[Index]]),
   "2-cycle","")</f>
        <v/>
      </c>
      <c r="AK43" s="503" cm="1">
        <f t="array" ref="AK43">IF(Contract_Edits[[#This Row],[BaseFlag]]&lt;&gt;1,0,
   IF(TEXT(Contract_Edits[[#This Row],[Dep]],"0")=TEXT(Contract_Edits[[#This Row],[Index]],"0"),
      0,
      MAX(0, SUMPRODUCT(--(Contract_Edits[BaseFlag]=1),
                        --(TEXT(Contract_Edits[Dep],"0")=TEXT(Contract_Edits[[#This Row],[Dep]],"0"))) - 1)
   )
)</f>
        <v>0</v>
      </c>
      <c r="AL43" s="503" t="str" cm="1">
        <f t="array" ref="AL43">IF(Contract_Edits[[#This Row],[BaseFlag]]=1,
   TEXT(Contract_Edits[[#This Row],[Index]],"0"),
   NearestBaseL(TEXT(Contract_Edits[[#This Row],[ParentKey]],"0"),500,editsIdxTxt,editsParentKeyTxt,baseIdxTxt,baseCost)
)</f>
        <v>11</v>
      </c>
      <c r="AM43" s="503" cm="1">
        <f t="array" ref="AM43">1+SUMPRODUCT(
  (Contract_Edits[BaseFlag]=1)*
  (TEXT(Contract_Edits[ParentAnchor],"0")=TEXT(Contract_Edits[[#This Row],[ParentAnchor]],"0"))*
  (VALUE(TEXT(Contract_Edits[Index],"0"))&lt;VALUE(TEXT(Contract_Edits[[#This Row],[Index]],"0")))
)</f>
        <v>1</v>
      </c>
      <c r="AN43" s="503"/>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438</v>
      </c>
      <c r="B44" t="s">
        <v>435</v>
      </c>
      <c r="C44" t="s">
        <v>455</v>
      </c>
      <c r="D44" s="436" t="s">
        <v>456</v>
      </c>
      <c r="E44">
        <v>1</v>
      </c>
      <c r="F44" s="445">
        <v>0</v>
      </c>
      <c r="G44" s="188">
        <v>0</v>
      </c>
      <c r="H44">
        <v>11</v>
      </c>
      <c r="I44">
        <v>0</v>
      </c>
      <c r="J44">
        <v>12</v>
      </c>
      <c r="K44" s="104"/>
      <c r="L44" s="441">
        <v>12</v>
      </c>
      <c r="M44" s="441"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68"/>
      <c r="R44" s="508"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4" s="179">
        <v>0</v>
      </c>
      <c r="T44" s="179">
        <v>0</v>
      </c>
      <c r="U44" s="11"/>
      <c r="V44"/>
      <c r="W44" s="22" t="s">
        <v>358</v>
      </c>
      <c r="X44" s="484" t="s">
        <v>358</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03">
        <f>--(
  ISNUMBER(SEARCH("BASE PARENT", UPPER(CLEAN(TRIM(_xlfn.XLOOKUP(TEXT(Contract_Edits[[#This Row],[Index]],"0"), baseIdxTxt, baseCost, "")))))) +
  ISNUMBER(SEARCH("DEPENDENCY GROUP", UPPER(CLEAN(TRIM(_xlfn.XLOOKUP(TEXT(Contract_Edits[[#This Row],[Index]],"0"), baseIdxTxt, baseCost, ""))))))
)</f>
        <v>1</v>
      </c>
      <c r="AG44" s="503" cm="1">
        <f t="array" ref="AG44">IF(Contract_Edits[[#This Row],[BaseFlag]]=1,
   10*BaseDepthL(TEXT(Contract_Edits[[#This Row],[Index]],"0"),500,editsIdxTxt,editsParentKeyTxt,baseIdxTxt,baseCost)-5,
   ""
)</f>
        <v>115</v>
      </c>
      <c r="AH44" s="503"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03" t="str">
        <f>IF(Contract_Edits[[#This Row],[Dep]]=0,"Root",
   IF(ISNUMBER(MATCH(Contract_Edits[[#This Row],[Dep]],Contract_Edits[Index],0)),"OK","Missing")
)</f>
        <v>OK</v>
      </c>
      <c r="AJ44" s="503" t="str">
        <f>IF(AND(Contract_Edits[[#This Row],[Dep]]&lt;&gt;0,
        ISNUMBER(MATCH(Contract_Edits[[#This Row],[Dep]], Contract_Edits[Index], 0)),
        INDEX(Contract_Edits[Dep], MATCH(Contract_Edits[[#This Row],[Dep]], Contract_Edits[Index], 0))=Contract_Edits[[#This Row],[Index]]),
   "2-cycle","")</f>
        <v/>
      </c>
      <c r="AK44" s="503" cm="1">
        <f t="array" ref="AK44">IF(Contract_Edits[[#This Row],[BaseFlag]]&lt;&gt;1,0,
   IF(TEXT(Contract_Edits[[#This Row],[Dep]],"0")=TEXT(Contract_Edits[[#This Row],[Index]],"0"),
      0,
      MAX(0, SUMPRODUCT(--(Contract_Edits[BaseFlag]=1),
                        --(TEXT(Contract_Edits[Dep],"0")=TEXT(Contract_Edits[[#This Row],[Dep]],"0"))) - 1)
   )
)</f>
        <v>0</v>
      </c>
      <c r="AL44" s="503" t="str" cm="1">
        <f t="array" ref="AL44">IF(Contract_Edits[[#This Row],[BaseFlag]]=1,
   TEXT(Contract_Edits[[#This Row],[Index]],"0"),
   NearestBaseL(TEXT(Contract_Edits[[#This Row],[ParentKey]],"0"),500,editsIdxTxt,editsParentKeyTxt,baseIdxTxt,baseCost)
)</f>
        <v>12</v>
      </c>
      <c r="AM44" s="503" cm="1">
        <f t="array" ref="AM44">1+SUMPRODUCT(
  (Contract_Edits[BaseFlag]=1)*
  (TEXT(Contract_Edits[ParentAnchor],"0")=TEXT(Contract_Edits[[#This Row],[ParentAnchor]],"0"))*
  (VALUE(TEXT(Contract_Edits[Index],"0"))&lt;VALUE(TEXT(Contract_Edits[[#This Row],[Index]],"0")))
)</f>
        <v>1</v>
      </c>
      <c r="AN44" s="503"/>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438</v>
      </c>
      <c r="B45" t="s">
        <v>435</v>
      </c>
      <c r="C45" t="s">
        <v>457</v>
      </c>
      <c r="D45" s="436" t="s">
        <v>458</v>
      </c>
      <c r="E45">
        <v>1</v>
      </c>
      <c r="F45" s="445">
        <v>0</v>
      </c>
      <c r="G45" s="188">
        <v>0</v>
      </c>
      <c r="H45">
        <v>12</v>
      </c>
      <c r="I45">
        <v>0</v>
      </c>
      <c r="J45">
        <v>13</v>
      </c>
      <c r="K45" s="104"/>
      <c r="L45" s="441">
        <v>13</v>
      </c>
      <c r="M45" s="441"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68"/>
      <c r="R45" s="508"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5" s="179">
        <v>0</v>
      </c>
      <c r="T45" s="179">
        <v>0</v>
      </c>
      <c r="U45" s="11"/>
      <c r="V45"/>
      <c r="W45" s="22" t="s">
        <v>358</v>
      </c>
      <c r="X45" s="484" t="s">
        <v>358</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03">
        <f>--(
  ISNUMBER(SEARCH("BASE PARENT", UPPER(CLEAN(TRIM(_xlfn.XLOOKUP(TEXT(Contract_Edits[[#This Row],[Index]],"0"), baseIdxTxt, baseCost, "")))))) +
  ISNUMBER(SEARCH("DEPENDENCY GROUP", UPPER(CLEAN(TRIM(_xlfn.XLOOKUP(TEXT(Contract_Edits[[#This Row],[Index]],"0"), baseIdxTxt, baseCost, ""))))))
)</f>
        <v>1</v>
      </c>
      <c r="AG45" s="503" cm="1">
        <f t="array" ref="AG45">IF(Contract_Edits[[#This Row],[BaseFlag]]=1,
   10*BaseDepthL(TEXT(Contract_Edits[[#This Row],[Index]],"0"),500,editsIdxTxt,editsParentKeyTxt,baseIdxTxt,baseCost)-5,
   ""
)</f>
        <v>125</v>
      </c>
      <c r="AH45" s="503"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03" t="str">
        <f>IF(Contract_Edits[[#This Row],[Dep]]=0,"Root",
   IF(ISNUMBER(MATCH(Contract_Edits[[#This Row],[Dep]],Contract_Edits[Index],0)),"OK","Missing")
)</f>
        <v>OK</v>
      </c>
      <c r="AJ45" s="503" t="str">
        <f>IF(AND(Contract_Edits[[#This Row],[Dep]]&lt;&gt;0,
        ISNUMBER(MATCH(Contract_Edits[[#This Row],[Dep]], Contract_Edits[Index], 0)),
        INDEX(Contract_Edits[Dep], MATCH(Contract_Edits[[#This Row],[Dep]], Contract_Edits[Index], 0))=Contract_Edits[[#This Row],[Index]]),
   "2-cycle","")</f>
        <v/>
      </c>
      <c r="AK45" s="503" cm="1">
        <f t="array" ref="AK45">IF(Contract_Edits[[#This Row],[BaseFlag]]&lt;&gt;1,0,
   IF(TEXT(Contract_Edits[[#This Row],[Dep]],"0")=TEXT(Contract_Edits[[#This Row],[Index]],"0"),
      0,
      MAX(0, SUMPRODUCT(--(Contract_Edits[BaseFlag]=1),
                        --(TEXT(Contract_Edits[Dep],"0")=TEXT(Contract_Edits[[#This Row],[Dep]],"0"))) - 1)
   )
)</f>
        <v>0</v>
      </c>
      <c r="AL45" s="503" t="str" cm="1">
        <f t="array" ref="AL45">IF(Contract_Edits[[#This Row],[BaseFlag]]=1,
   TEXT(Contract_Edits[[#This Row],[Index]],"0"),
   NearestBaseL(TEXT(Contract_Edits[[#This Row],[ParentKey]],"0"),500,editsIdxTxt,editsParentKeyTxt,baseIdxTxt,baseCost)
)</f>
        <v>13</v>
      </c>
      <c r="AM45" s="503" cm="1">
        <f t="array" ref="AM45">1+SUMPRODUCT(
  (Contract_Edits[BaseFlag]=1)*
  (TEXT(Contract_Edits[ParentAnchor],"0")=TEXT(Contract_Edits[[#This Row],[ParentAnchor]],"0"))*
  (VALUE(TEXT(Contract_Edits[Index],"0"))&lt;VALUE(TEXT(Contract_Edits[[#This Row],[Index]],"0")))
)</f>
        <v>1</v>
      </c>
      <c r="AN45" s="503"/>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438</v>
      </c>
      <c r="B46" t="s">
        <v>435</v>
      </c>
      <c r="C46" t="s">
        <v>459</v>
      </c>
      <c r="D46" s="436" t="s">
        <v>460</v>
      </c>
      <c r="E46">
        <v>1</v>
      </c>
      <c r="F46" s="445">
        <v>0</v>
      </c>
      <c r="G46" s="188">
        <v>0</v>
      </c>
      <c r="H46">
        <v>13</v>
      </c>
      <c r="I46">
        <v>0</v>
      </c>
      <c r="J46">
        <v>14</v>
      </c>
      <c r="K46" s="104"/>
      <c r="L46" s="441">
        <v>14</v>
      </c>
      <c r="M46" s="441"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0"/>
      <c r="R46" s="508"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6" s="179">
        <v>0</v>
      </c>
      <c r="T46" s="469"/>
      <c r="U46" s="492"/>
      <c r="V46" s="193"/>
      <c r="W46" s="22" t="s">
        <v>358</v>
      </c>
      <c r="X46" s="484" t="s">
        <v>358</v>
      </c>
      <c r="Y46" s="484"/>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03">
        <f>--(
  ISNUMBER(SEARCH("BASE PARENT", UPPER(CLEAN(TRIM(_xlfn.XLOOKUP(TEXT(Contract_Edits[[#This Row],[Index]],"0"), baseIdxTxt, baseCost, "")))))) +
  ISNUMBER(SEARCH("DEPENDENCY GROUP", UPPER(CLEAN(TRIM(_xlfn.XLOOKUP(TEXT(Contract_Edits[[#This Row],[Index]],"0"), baseIdxTxt, baseCost, ""))))))
)</f>
        <v>1</v>
      </c>
      <c r="AG46" s="503" cm="1">
        <f t="array" ref="AG46">IF(Contract_Edits[[#This Row],[BaseFlag]]=1,
   10*BaseDepthL(TEXT(Contract_Edits[[#This Row],[Index]],"0"),500,editsIdxTxt,editsParentKeyTxt,baseIdxTxt,baseCost)-5,
   ""
)</f>
        <v>135</v>
      </c>
      <c r="AH46" s="503"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03" t="str">
        <f>IF(Contract_Edits[[#This Row],[Dep]]=0,"Root",
   IF(ISNUMBER(MATCH(Contract_Edits[[#This Row],[Dep]],Contract_Edits[Index],0)),"OK","Missing")
)</f>
        <v>OK</v>
      </c>
      <c r="AJ46" s="503" t="str">
        <f>IF(AND(Contract_Edits[[#This Row],[Dep]]&lt;&gt;0,
        ISNUMBER(MATCH(Contract_Edits[[#This Row],[Dep]], Contract_Edits[Index], 0)),
        INDEX(Contract_Edits[Dep], MATCH(Contract_Edits[[#This Row],[Dep]], Contract_Edits[Index], 0))=Contract_Edits[[#This Row],[Index]]),
   "2-cycle","")</f>
        <v/>
      </c>
      <c r="AK46" s="503" cm="1">
        <f t="array" ref="AK46">IF(Contract_Edits[[#This Row],[BaseFlag]]&lt;&gt;1,0,
   IF(TEXT(Contract_Edits[[#This Row],[Dep]],"0")=TEXT(Contract_Edits[[#This Row],[Index]],"0"),
      0,
      MAX(0, SUMPRODUCT(--(Contract_Edits[BaseFlag]=1),
                        --(TEXT(Contract_Edits[Dep],"0")=TEXT(Contract_Edits[[#This Row],[Dep]],"0"))) - 1)
   )
)</f>
        <v>0</v>
      </c>
      <c r="AL46" s="503" t="str" cm="1">
        <f t="array" ref="AL46">IF(Contract_Edits[[#This Row],[BaseFlag]]=1,
   TEXT(Contract_Edits[[#This Row],[Index]],"0"),
   NearestBaseL(TEXT(Contract_Edits[[#This Row],[ParentKey]],"0"),500,editsIdxTxt,editsParentKeyTxt,baseIdxTxt,baseCost)
)</f>
        <v>14</v>
      </c>
      <c r="AM46" s="503" cm="1">
        <f t="array" ref="AM46">1+SUMPRODUCT(
  (Contract_Edits[BaseFlag]=1)*
  (TEXT(Contract_Edits[ParentAnchor],"0")=TEXT(Contract_Edits[[#This Row],[ParentAnchor]],"0"))*
  (VALUE(TEXT(Contract_Edits[Index],"0"))&lt;VALUE(TEXT(Contract_Edits[[#This Row],[Index]],"0")))
)</f>
        <v>1</v>
      </c>
      <c r="AN46" s="503"/>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481</v>
      </c>
      <c r="B47" t="s">
        <v>459</v>
      </c>
      <c r="C47" t="s">
        <v>523</v>
      </c>
      <c r="D47" s="436" t="s">
        <v>1169</v>
      </c>
      <c r="E47">
        <v>2</v>
      </c>
      <c r="F47" s="445">
        <v>62.5</v>
      </c>
      <c r="G47" s="188">
        <v>125</v>
      </c>
      <c r="H47">
        <v>0</v>
      </c>
      <c r="I47">
        <v>125</v>
      </c>
      <c r="J47">
        <v>80</v>
      </c>
      <c r="K47" s="104"/>
      <c r="L47" s="441">
        <v>80</v>
      </c>
      <c r="M47" s="441"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68"/>
      <c r="R47" s="508"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7" s="179">
        <v>0</v>
      </c>
      <c r="T47" s="179">
        <v>0</v>
      </c>
      <c r="U47" s="11" t="s">
        <v>608</v>
      </c>
      <c r="V47"/>
      <c r="W47" s="22" t="s">
        <v>358</v>
      </c>
      <c r="X47" s="22" t="s">
        <v>358</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03">
        <f>--(
  ISNUMBER(SEARCH("BASE PARENT", UPPER(CLEAN(TRIM(_xlfn.XLOOKUP(TEXT(Contract_Edits[[#This Row],[Index]],"0"), baseIdxTxt, baseCost, "")))))) +
  ISNUMBER(SEARCH("DEPENDENCY GROUP", UPPER(CLEAN(TRIM(_xlfn.XLOOKUP(TEXT(Contract_Edits[[#This Row],[Index]],"0"), baseIdxTxt, baseCost, ""))))))
)</f>
        <v>0</v>
      </c>
      <c r="AG47" s="503" t="str" cm="1">
        <f t="array" ref="AG47">IF(Contract_Edits[[#This Row],[BaseFlag]]=1,
   10*BaseDepthL(TEXT(Contract_Edits[[#This Row],[Index]],"0"),500,editsIdxTxt,editsParentKeyTxt,baseIdxTxt,baseCost)-5,
   ""
)</f>
        <v/>
      </c>
      <c r="AH47" s="503"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03" t="str">
        <f>IF(Contract_Edits[[#This Row],[Dep]]=0,"Root",
   IF(ISNUMBER(MATCH(Contract_Edits[[#This Row],[Dep]],Contract_Edits[Index],0)),"OK","Missing")
)</f>
        <v>OK</v>
      </c>
      <c r="AJ47" s="503" t="str">
        <f>IF(AND(Contract_Edits[[#This Row],[Dep]]&lt;&gt;0,
        ISNUMBER(MATCH(Contract_Edits[[#This Row],[Dep]], Contract_Edits[Index], 0)),
        INDEX(Contract_Edits[Dep], MATCH(Contract_Edits[[#This Row],[Dep]], Contract_Edits[Index], 0))=Contract_Edits[[#This Row],[Index]]),
   "2-cycle","")</f>
        <v/>
      </c>
      <c r="AK47" s="503" cm="1">
        <f t="array" ref="AK47">IF(Contract_Edits[[#This Row],[BaseFlag]]&lt;&gt;1,0,
   IF(TEXT(Contract_Edits[[#This Row],[Dep]],"0")=TEXT(Contract_Edits[[#This Row],[Index]],"0"),
      0,
      MAX(0, SUMPRODUCT(--(Contract_Edits[BaseFlag]=1),
                        --(TEXT(Contract_Edits[Dep],"0")=TEXT(Contract_Edits[[#This Row],[Dep]],"0"))) - 1)
   )
)</f>
        <v>0</v>
      </c>
      <c r="AL47" s="503" t="str" cm="1">
        <f t="array" ref="AL47">IF(Contract_Edits[[#This Row],[BaseFlag]]=1,
   TEXT(Contract_Edits[[#This Row],[Index]],"0"),
   NearestBaseL(TEXT(Contract_Edits[[#This Row],[ParentKey]],"0"),500,editsIdxTxt,editsParentKeyTxt,baseIdxTxt,baseCost)
)</f>
        <v>14</v>
      </c>
      <c r="AM47" s="503" cm="1">
        <f t="array" ref="AM47">1+SUMPRODUCT(
  (Contract_Edits[BaseFlag]=1)*
  (TEXT(Contract_Edits[ParentAnchor],"0")=TEXT(Contract_Edits[[#This Row],[ParentAnchor]],"0"))*
  (VALUE(TEXT(Contract_Edits[Index],"0"))&lt;VALUE(TEXT(Contract_Edits[[#This Row],[Index]],"0")))
)</f>
        <v>2</v>
      </c>
      <c r="AN47" s="503"/>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551</v>
      </c>
      <c r="B48" t="s">
        <v>546</v>
      </c>
      <c r="C48" t="s">
        <v>583</v>
      </c>
      <c r="D48" s="436" t="s">
        <v>584</v>
      </c>
      <c r="E48">
        <v>1</v>
      </c>
      <c r="F48" s="445">
        <v>6726.5870099999993</v>
      </c>
      <c r="G48" s="188">
        <v>6726.5870099999993</v>
      </c>
      <c r="H48">
        <v>14</v>
      </c>
      <c r="I48">
        <v>6726.5870099999993</v>
      </c>
      <c r="J48">
        <v>904</v>
      </c>
      <c r="K48" s="104"/>
      <c r="L48" s="441">
        <v>904</v>
      </c>
      <c r="M48" s="441"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0"/>
      <c r="R48" s="508"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8" s="179">
        <v>0</v>
      </c>
      <c r="T48" s="469"/>
      <c r="U48" s="492" t="s">
        <v>608</v>
      </c>
      <c r="V48" s="193"/>
      <c r="W48" s="22" t="s">
        <v>358</v>
      </c>
      <c r="X48" s="484" t="s">
        <v>358</v>
      </c>
      <c r="Y48" s="484"/>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03">
        <f>--(
  ISNUMBER(SEARCH("BASE PARENT", UPPER(CLEAN(TRIM(_xlfn.XLOOKUP(TEXT(Contract_Edits[[#This Row],[Index]],"0"), baseIdxTxt, baseCost, "")))))) +
  ISNUMBER(SEARCH("DEPENDENCY GROUP", UPPER(CLEAN(TRIM(_xlfn.XLOOKUP(TEXT(Contract_Edits[[#This Row],[Index]],"0"), baseIdxTxt, baseCost, ""))))))
)</f>
        <v>0</v>
      </c>
      <c r="AG48" s="503" t="str" cm="1">
        <f t="array" ref="AG48">IF(Contract_Edits[[#This Row],[BaseFlag]]=1,
   10*BaseDepthL(TEXT(Contract_Edits[[#This Row],[Index]],"0"),500,editsIdxTxt,editsParentKeyTxt,baseIdxTxt,baseCost)-5,
   ""
)</f>
        <v/>
      </c>
      <c r="AH48" s="503"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03" t="str">
        <f>IF(Contract_Edits[[#This Row],[Dep]]=0,"Root",
   IF(ISNUMBER(MATCH(Contract_Edits[[#This Row],[Dep]],Contract_Edits[Index],0)),"OK","Missing")
)</f>
        <v>OK</v>
      </c>
      <c r="AJ48" s="503" t="str">
        <f>IF(AND(Contract_Edits[[#This Row],[Dep]]&lt;&gt;0,
        ISNUMBER(MATCH(Contract_Edits[[#This Row],[Dep]], Contract_Edits[Index], 0)),
        INDEX(Contract_Edits[Dep], MATCH(Contract_Edits[[#This Row],[Dep]], Contract_Edits[Index], 0))=Contract_Edits[[#This Row],[Index]]),
   "2-cycle","")</f>
        <v/>
      </c>
      <c r="AK48" s="503" cm="1">
        <f t="array" ref="AK48">IF(Contract_Edits[[#This Row],[BaseFlag]]&lt;&gt;1,0,
   IF(TEXT(Contract_Edits[[#This Row],[Dep]],"0")=TEXT(Contract_Edits[[#This Row],[Index]],"0"),
      0,
      MAX(0, SUMPRODUCT(--(Contract_Edits[BaseFlag]=1),
                        --(TEXT(Contract_Edits[Dep],"0")=TEXT(Contract_Edits[[#This Row],[Dep]],"0"))) - 1)
   )
)</f>
        <v>0</v>
      </c>
      <c r="AL48" s="503" t="str" cm="1">
        <f t="array" ref="AL48">IF(Contract_Edits[[#This Row],[BaseFlag]]=1,
   TEXT(Contract_Edits[[#This Row],[Index]],"0"),
   NearestBaseL(TEXT(Contract_Edits[[#This Row],[ParentKey]],"0"),500,editsIdxTxt,editsParentKeyTxt,baseIdxTxt,baseCost)
)</f>
        <v>14</v>
      </c>
      <c r="AM48" s="503" cm="1">
        <f t="array" ref="AM48">1+SUMPRODUCT(
  (Contract_Edits[BaseFlag]=1)*
  (TEXT(Contract_Edits[ParentAnchor],"0")=TEXT(Contract_Edits[[#This Row],[ParentAnchor]],"0"))*
  (VALUE(TEXT(Contract_Edits[Index],"0"))&lt;VALUE(TEXT(Contract_Edits[[#This Row],[Index]],"0")))
)</f>
        <v>2</v>
      </c>
      <c r="AN48" s="503"/>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481</v>
      </c>
      <c r="B49" t="s">
        <v>459</v>
      </c>
      <c r="C49" t="s">
        <v>459</v>
      </c>
      <c r="D49" s="436" t="s">
        <v>484</v>
      </c>
      <c r="E49">
        <v>1</v>
      </c>
      <c r="F49" s="445"/>
      <c r="G49" s="188"/>
      <c r="H49">
        <v>0</v>
      </c>
      <c r="I49"/>
      <c r="J49">
        <v>34</v>
      </c>
      <c r="K49" s="104"/>
      <c r="L49" s="441">
        <v>34</v>
      </c>
      <c r="M49" s="441"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68"/>
      <c r="R49" s="508"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9" s="179">
        <v>0</v>
      </c>
      <c r="T49" s="179">
        <v>0</v>
      </c>
      <c r="U49" s="11" t="s">
        <v>608</v>
      </c>
      <c r="V49"/>
      <c r="W49" s="22" t="s">
        <v>358</v>
      </c>
      <c r="X49" s="22" t="s">
        <v>358</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03">
        <f>--(
  ISNUMBER(SEARCH("BASE PARENT", UPPER(CLEAN(TRIM(_xlfn.XLOOKUP(TEXT(Contract_Edits[[#This Row],[Index]],"0"), baseIdxTxt, baseCost, "")))))) +
  ISNUMBER(SEARCH("DEPENDENCY GROUP", UPPER(CLEAN(TRIM(_xlfn.XLOOKUP(TEXT(Contract_Edits[[#This Row],[Index]],"0"), baseIdxTxt, baseCost, ""))))))
)</f>
        <v>0</v>
      </c>
      <c r="AG49" s="503" t="str" cm="1">
        <f t="array" ref="AG49">IF(Contract_Edits[[#This Row],[BaseFlag]]=1,
   10*BaseDepthL(TEXT(Contract_Edits[[#This Row],[Index]],"0"),500,editsIdxTxt,editsParentKeyTxt,baseIdxTxt,baseCost)-5,
   ""
)</f>
        <v/>
      </c>
      <c r="AH49" s="503"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03" t="str">
        <f>IF(Contract_Edits[[#This Row],[Dep]]=0,"Root",
   IF(ISNUMBER(MATCH(Contract_Edits[[#This Row],[Dep]],Contract_Edits[Index],0)),"OK","Missing")
)</f>
        <v>OK</v>
      </c>
      <c r="AJ49" s="503" t="str">
        <f>IF(AND(Contract_Edits[[#This Row],[Dep]]&lt;&gt;0,
        ISNUMBER(MATCH(Contract_Edits[[#This Row],[Dep]], Contract_Edits[Index], 0)),
        INDEX(Contract_Edits[Dep], MATCH(Contract_Edits[[#This Row],[Dep]], Contract_Edits[Index], 0))=Contract_Edits[[#This Row],[Index]]),
   "2-cycle","")</f>
        <v/>
      </c>
      <c r="AK49" s="503" cm="1">
        <f t="array" ref="AK49">IF(Contract_Edits[[#This Row],[BaseFlag]]&lt;&gt;1,0,
   IF(TEXT(Contract_Edits[[#This Row],[Dep]],"0")=TEXT(Contract_Edits[[#This Row],[Index]],"0"),
      0,
      MAX(0, SUMPRODUCT(--(Contract_Edits[BaseFlag]=1),
                        --(TEXT(Contract_Edits[Dep],"0")=TEXT(Contract_Edits[[#This Row],[Dep]],"0"))) - 1)
   )
)</f>
        <v>0</v>
      </c>
      <c r="AL49" s="503" t="str" cm="1">
        <f t="array" ref="AL49">IF(Contract_Edits[[#This Row],[BaseFlag]]=1,
   TEXT(Contract_Edits[[#This Row],[Index]],"0"),
   NearestBaseL(TEXT(Contract_Edits[[#This Row],[ParentKey]],"0"),500,editsIdxTxt,editsParentKeyTxt,baseIdxTxt,baseCost)
)</f>
        <v>14</v>
      </c>
      <c r="AM49" s="503" cm="1">
        <f t="array" ref="AM49">1+SUMPRODUCT(
  (Contract_Edits[BaseFlag]=1)*
  (TEXT(Contract_Edits[ParentAnchor],"0")=TEXT(Contract_Edits[[#This Row],[ParentAnchor]],"0"))*
  (VALUE(TEXT(Contract_Edits[Index],"0"))&lt;VALUE(TEXT(Contract_Edits[[#This Row],[Index]],"0")))
)</f>
        <v>2</v>
      </c>
      <c r="AN49" s="503"/>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481</v>
      </c>
      <c r="B50" t="s">
        <v>459</v>
      </c>
      <c r="C50" t="s">
        <v>459</v>
      </c>
      <c r="D50" s="436" t="s">
        <v>482</v>
      </c>
      <c r="E50">
        <v>1</v>
      </c>
      <c r="F50" s="445"/>
      <c r="G50" s="188"/>
      <c r="H50">
        <v>0</v>
      </c>
      <c r="I50"/>
      <c r="J50">
        <v>32</v>
      </c>
      <c r="K50" s="104"/>
      <c r="L50" s="441">
        <v>32</v>
      </c>
      <c r="M50" s="441"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68"/>
      <c r="R50" s="508"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0" s="179">
        <v>0</v>
      </c>
      <c r="T50" s="179">
        <v>0</v>
      </c>
      <c r="U50" s="11" t="s">
        <v>608</v>
      </c>
      <c r="V50"/>
      <c r="W50" s="22" t="s">
        <v>358</v>
      </c>
      <c r="X50" s="22" t="s">
        <v>358</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03">
        <f>--(
  ISNUMBER(SEARCH("BASE PARENT", UPPER(CLEAN(TRIM(_xlfn.XLOOKUP(TEXT(Contract_Edits[[#This Row],[Index]],"0"), baseIdxTxt, baseCost, "")))))) +
  ISNUMBER(SEARCH("DEPENDENCY GROUP", UPPER(CLEAN(TRIM(_xlfn.XLOOKUP(TEXT(Contract_Edits[[#This Row],[Index]],"0"), baseIdxTxt, baseCost, ""))))))
)</f>
        <v>0</v>
      </c>
      <c r="AG50" s="503" t="str" cm="1">
        <f t="array" ref="AG50">IF(Contract_Edits[[#This Row],[BaseFlag]]=1,
   10*BaseDepthL(TEXT(Contract_Edits[[#This Row],[Index]],"0"),500,editsIdxTxt,editsParentKeyTxt,baseIdxTxt,baseCost)-5,
   ""
)</f>
        <v/>
      </c>
      <c r="AH50" s="503"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03" t="str">
        <f>IF(Contract_Edits[[#This Row],[Dep]]=0,"Root",
   IF(ISNUMBER(MATCH(Contract_Edits[[#This Row],[Dep]],Contract_Edits[Index],0)),"OK","Missing")
)</f>
        <v>OK</v>
      </c>
      <c r="AJ50" s="503" t="str">
        <f>IF(AND(Contract_Edits[[#This Row],[Dep]]&lt;&gt;0,
        ISNUMBER(MATCH(Contract_Edits[[#This Row],[Dep]], Contract_Edits[Index], 0)),
        INDEX(Contract_Edits[Dep], MATCH(Contract_Edits[[#This Row],[Dep]], Contract_Edits[Index], 0))=Contract_Edits[[#This Row],[Index]]),
   "2-cycle","")</f>
        <v/>
      </c>
      <c r="AK50" s="503" cm="1">
        <f t="array" ref="AK50">IF(Contract_Edits[[#This Row],[BaseFlag]]&lt;&gt;1,0,
   IF(TEXT(Contract_Edits[[#This Row],[Dep]],"0")=TEXT(Contract_Edits[[#This Row],[Index]],"0"),
      0,
      MAX(0, SUMPRODUCT(--(Contract_Edits[BaseFlag]=1),
                        --(TEXT(Contract_Edits[Dep],"0")=TEXT(Contract_Edits[[#This Row],[Dep]],"0"))) - 1)
   )
)</f>
        <v>0</v>
      </c>
      <c r="AL50" s="503" t="str" cm="1">
        <f t="array" ref="AL50">IF(Contract_Edits[[#This Row],[BaseFlag]]=1,
   TEXT(Contract_Edits[[#This Row],[Index]],"0"),
   NearestBaseL(TEXT(Contract_Edits[[#This Row],[ParentKey]],"0"),500,editsIdxTxt,editsParentKeyTxt,baseIdxTxt,baseCost)
)</f>
        <v>14</v>
      </c>
      <c r="AM50" s="503" cm="1">
        <f t="array" ref="AM50">1+SUMPRODUCT(
  (Contract_Edits[BaseFlag]=1)*
  (TEXT(Contract_Edits[ParentAnchor],"0")=TEXT(Contract_Edits[[#This Row],[ParentAnchor]],"0"))*
  (VALUE(TEXT(Contract_Edits[Index],"0"))&lt;VALUE(TEXT(Contract_Edits[[#This Row],[Index]],"0")))
)</f>
        <v>2</v>
      </c>
      <c r="AN50" s="503"/>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481</v>
      </c>
      <c r="B51" t="s">
        <v>459</v>
      </c>
      <c r="C51" t="s">
        <v>459</v>
      </c>
      <c r="D51" s="436" t="s">
        <v>483</v>
      </c>
      <c r="E51">
        <v>1</v>
      </c>
      <c r="F51" s="445"/>
      <c r="G51" s="188"/>
      <c r="H51">
        <v>0</v>
      </c>
      <c r="I51"/>
      <c r="J51">
        <v>33</v>
      </c>
      <c r="K51" s="104"/>
      <c r="L51" s="441">
        <v>33</v>
      </c>
      <c r="M51" s="441"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68"/>
      <c r="R51" s="508"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1" s="179">
        <v>0</v>
      </c>
      <c r="T51" s="179">
        <v>0</v>
      </c>
      <c r="U51" s="11" t="s">
        <v>608</v>
      </c>
      <c r="V51"/>
      <c r="W51" s="22" t="s">
        <v>358</v>
      </c>
      <c r="X51" s="22" t="s">
        <v>358</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03">
        <f>--(
  ISNUMBER(SEARCH("BASE PARENT", UPPER(CLEAN(TRIM(_xlfn.XLOOKUP(TEXT(Contract_Edits[[#This Row],[Index]],"0"), baseIdxTxt, baseCost, "")))))) +
  ISNUMBER(SEARCH("DEPENDENCY GROUP", UPPER(CLEAN(TRIM(_xlfn.XLOOKUP(TEXT(Contract_Edits[[#This Row],[Index]],"0"), baseIdxTxt, baseCost, ""))))))
)</f>
        <v>0</v>
      </c>
      <c r="AG51" s="503" t="str" cm="1">
        <f t="array" ref="AG51">IF(Contract_Edits[[#This Row],[BaseFlag]]=1,
   10*BaseDepthL(TEXT(Contract_Edits[[#This Row],[Index]],"0"),500,editsIdxTxt,editsParentKeyTxt,baseIdxTxt,baseCost)-5,
   ""
)</f>
        <v/>
      </c>
      <c r="AH51" s="503"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03" t="str">
        <f>IF(Contract_Edits[[#This Row],[Dep]]=0,"Root",
   IF(ISNUMBER(MATCH(Contract_Edits[[#This Row],[Dep]],Contract_Edits[Index],0)),"OK","Missing")
)</f>
        <v>OK</v>
      </c>
      <c r="AJ51" s="503" t="str">
        <f>IF(AND(Contract_Edits[[#This Row],[Dep]]&lt;&gt;0,
        ISNUMBER(MATCH(Contract_Edits[[#This Row],[Dep]], Contract_Edits[Index], 0)),
        INDEX(Contract_Edits[Dep], MATCH(Contract_Edits[[#This Row],[Dep]], Contract_Edits[Index], 0))=Contract_Edits[[#This Row],[Index]]),
   "2-cycle","")</f>
        <v/>
      </c>
      <c r="AK51" s="503" cm="1">
        <f t="array" ref="AK51">IF(Contract_Edits[[#This Row],[BaseFlag]]&lt;&gt;1,0,
   IF(TEXT(Contract_Edits[[#This Row],[Dep]],"0")=TEXT(Contract_Edits[[#This Row],[Index]],"0"),
      0,
      MAX(0, SUMPRODUCT(--(Contract_Edits[BaseFlag]=1),
                        --(TEXT(Contract_Edits[Dep],"0")=TEXT(Contract_Edits[[#This Row],[Dep]],"0"))) - 1)
   )
)</f>
        <v>0</v>
      </c>
      <c r="AL51" s="503" t="str" cm="1">
        <f t="array" ref="AL51">IF(Contract_Edits[[#This Row],[BaseFlag]]=1,
   TEXT(Contract_Edits[[#This Row],[Index]],"0"),
   NearestBaseL(TEXT(Contract_Edits[[#This Row],[ParentKey]],"0"),500,editsIdxTxt,editsParentKeyTxt,baseIdxTxt,baseCost)
)</f>
        <v>14</v>
      </c>
      <c r="AM51" s="503" cm="1">
        <f t="array" ref="AM51">1+SUMPRODUCT(
  (Contract_Edits[BaseFlag]=1)*
  (TEXT(Contract_Edits[ParentAnchor],"0")=TEXT(Contract_Edits[[#This Row],[ParentAnchor]],"0"))*
  (VALUE(TEXT(Contract_Edits[Index],"0"))&lt;VALUE(TEXT(Contract_Edits[[#This Row],[Index]],"0")))
)</f>
        <v>2</v>
      </c>
      <c r="AN51" s="503"/>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481</v>
      </c>
      <c r="B52" t="s">
        <v>459</v>
      </c>
      <c r="C52" t="s">
        <v>459</v>
      </c>
      <c r="D52" s="436" t="s">
        <v>509</v>
      </c>
      <c r="E52">
        <v>2</v>
      </c>
      <c r="F52" s="445"/>
      <c r="G52" s="188"/>
      <c r="H52">
        <v>0</v>
      </c>
      <c r="I52"/>
      <c r="J52">
        <v>61</v>
      </c>
      <c r="K52" s="104"/>
      <c r="L52" s="441">
        <v>61</v>
      </c>
      <c r="M52" s="441"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68"/>
      <c r="R52" s="508"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2" s="179">
        <v>0</v>
      </c>
      <c r="T52" s="179">
        <v>0</v>
      </c>
      <c r="U52" s="11" t="s">
        <v>608</v>
      </c>
      <c r="V52"/>
      <c r="W52" s="22" t="s">
        <v>358</v>
      </c>
      <c r="X52" s="22" t="s">
        <v>358</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03">
        <f>--(
  ISNUMBER(SEARCH("BASE PARENT", UPPER(CLEAN(TRIM(_xlfn.XLOOKUP(TEXT(Contract_Edits[[#This Row],[Index]],"0"), baseIdxTxt, baseCost, "")))))) +
  ISNUMBER(SEARCH("DEPENDENCY GROUP", UPPER(CLEAN(TRIM(_xlfn.XLOOKUP(TEXT(Contract_Edits[[#This Row],[Index]],"0"), baseIdxTxt, baseCost, ""))))))
)</f>
        <v>0</v>
      </c>
      <c r="AG52" s="503" t="str" cm="1">
        <f t="array" ref="AG52">IF(Contract_Edits[[#This Row],[BaseFlag]]=1,
   10*BaseDepthL(TEXT(Contract_Edits[[#This Row],[Index]],"0"),500,editsIdxTxt,editsParentKeyTxt,baseIdxTxt,baseCost)-5,
   ""
)</f>
        <v/>
      </c>
      <c r="AH52" s="503"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03" t="str">
        <f>IF(Contract_Edits[[#This Row],[Dep]]=0,"Root",
   IF(ISNUMBER(MATCH(Contract_Edits[[#This Row],[Dep]],Contract_Edits[Index],0)),"OK","Missing")
)</f>
        <v>OK</v>
      </c>
      <c r="AJ52" s="503" t="str">
        <f>IF(AND(Contract_Edits[[#This Row],[Dep]]&lt;&gt;0,
        ISNUMBER(MATCH(Contract_Edits[[#This Row],[Dep]], Contract_Edits[Index], 0)),
        INDEX(Contract_Edits[Dep], MATCH(Contract_Edits[[#This Row],[Dep]], Contract_Edits[Index], 0))=Contract_Edits[[#This Row],[Index]]),
   "2-cycle","")</f>
        <v/>
      </c>
      <c r="AK52" s="503" cm="1">
        <f t="array" ref="AK52">IF(Contract_Edits[[#This Row],[BaseFlag]]&lt;&gt;1,0,
   IF(TEXT(Contract_Edits[[#This Row],[Dep]],"0")=TEXT(Contract_Edits[[#This Row],[Index]],"0"),
      0,
      MAX(0, SUMPRODUCT(--(Contract_Edits[BaseFlag]=1),
                        --(TEXT(Contract_Edits[Dep],"0")=TEXT(Contract_Edits[[#This Row],[Dep]],"0"))) - 1)
   )
)</f>
        <v>0</v>
      </c>
      <c r="AL52" s="503" t="str" cm="1">
        <f t="array" ref="AL52">IF(Contract_Edits[[#This Row],[BaseFlag]]=1,
   TEXT(Contract_Edits[[#This Row],[Index]],"0"),
   NearestBaseL(TEXT(Contract_Edits[[#This Row],[ParentKey]],"0"),500,editsIdxTxt,editsParentKeyTxt,baseIdxTxt,baseCost)
)</f>
        <v>14</v>
      </c>
      <c r="AM52" s="503" cm="1">
        <f t="array" ref="AM52">1+SUMPRODUCT(
  (Contract_Edits[BaseFlag]=1)*
  (TEXT(Contract_Edits[ParentAnchor],"0")=TEXT(Contract_Edits[[#This Row],[ParentAnchor]],"0"))*
  (VALUE(TEXT(Contract_Edits[Index],"0"))&lt;VALUE(TEXT(Contract_Edits[[#This Row],[Index]],"0")))
)</f>
        <v>2</v>
      </c>
      <c r="AN52" s="503"/>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481</v>
      </c>
      <c r="B53" t="s">
        <v>459</v>
      </c>
      <c r="C53" t="s">
        <v>516</v>
      </c>
      <c r="D53" s="436" t="s">
        <v>525</v>
      </c>
      <c r="E53">
        <v>1</v>
      </c>
      <c r="F53" s="445"/>
      <c r="G53" s="188"/>
      <c r="H53">
        <v>0</v>
      </c>
      <c r="I53"/>
      <c r="J53">
        <v>79</v>
      </c>
      <c r="K53" s="104"/>
      <c r="L53" s="441">
        <v>79</v>
      </c>
      <c r="M53" s="441"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68"/>
      <c r="R53" s="508"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3" s="179">
        <v>0</v>
      </c>
      <c r="T53" s="179">
        <v>0</v>
      </c>
      <c r="U53" s="11" t="s">
        <v>608</v>
      </c>
      <c r="V53"/>
      <c r="W53" s="22" t="s">
        <v>358</v>
      </c>
      <c r="X53" s="22" t="s">
        <v>358</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03">
        <f>--(
  ISNUMBER(SEARCH("BASE PARENT", UPPER(CLEAN(TRIM(_xlfn.XLOOKUP(TEXT(Contract_Edits[[#This Row],[Index]],"0"), baseIdxTxt, baseCost, "")))))) +
  ISNUMBER(SEARCH("DEPENDENCY GROUP", UPPER(CLEAN(TRIM(_xlfn.XLOOKUP(TEXT(Contract_Edits[[#This Row],[Index]],"0"), baseIdxTxt, baseCost, ""))))))
)</f>
        <v>0</v>
      </c>
      <c r="AG53" s="503" t="str" cm="1">
        <f t="array" ref="AG53">IF(Contract_Edits[[#This Row],[BaseFlag]]=1,
   10*BaseDepthL(TEXT(Contract_Edits[[#This Row],[Index]],"0"),500,editsIdxTxt,editsParentKeyTxt,baseIdxTxt,baseCost)-5,
   ""
)</f>
        <v/>
      </c>
      <c r="AH53" s="503"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03" t="str">
        <f>IF(Contract_Edits[[#This Row],[Dep]]=0,"Root",
   IF(ISNUMBER(MATCH(Contract_Edits[[#This Row],[Dep]],Contract_Edits[Index],0)),"OK","Missing")
)</f>
        <v>OK</v>
      </c>
      <c r="AJ53" s="503" t="str">
        <f>IF(AND(Contract_Edits[[#This Row],[Dep]]&lt;&gt;0,
        ISNUMBER(MATCH(Contract_Edits[[#This Row],[Dep]], Contract_Edits[Index], 0)),
        INDEX(Contract_Edits[Dep], MATCH(Contract_Edits[[#This Row],[Dep]], Contract_Edits[Index], 0))=Contract_Edits[[#This Row],[Index]]),
   "2-cycle","")</f>
        <v/>
      </c>
      <c r="AK53" s="503" cm="1">
        <f t="array" ref="AK53">IF(Contract_Edits[[#This Row],[BaseFlag]]&lt;&gt;1,0,
   IF(TEXT(Contract_Edits[[#This Row],[Dep]],"0")=TEXT(Contract_Edits[[#This Row],[Index]],"0"),
      0,
      MAX(0, SUMPRODUCT(--(Contract_Edits[BaseFlag]=1),
                        --(TEXT(Contract_Edits[Dep],"0")=TEXT(Contract_Edits[[#This Row],[Dep]],"0"))) - 1)
   )
)</f>
        <v>0</v>
      </c>
      <c r="AL53" s="503" t="str" cm="1">
        <f t="array" ref="AL53">IF(Contract_Edits[[#This Row],[BaseFlag]]=1,
   TEXT(Contract_Edits[[#This Row],[Index]],"0"),
   NearestBaseL(TEXT(Contract_Edits[[#This Row],[ParentKey]],"0"),500,editsIdxTxt,editsParentKeyTxt,baseIdxTxt,baseCost)
)</f>
        <v>14</v>
      </c>
      <c r="AM53" s="503" cm="1">
        <f t="array" ref="AM53">1+SUMPRODUCT(
  (Contract_Edits[BaseFlag]=1)*
  (TEXT(Contract_Edits[ParentAnchor],"0")=TEXT(Contract_Edits[[#This Row],[ParentAnchor]],"0"))*
  (VALUE(TEXT(Contract_Edits[Index],"0"))&lt;VALUE(TEXT(Contract_Edits[[#This Row],[Index]],"0")))
)</f>
        <v>2</v>
      </c>
      <c r="AN53" s="503"/>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481</v>
      </c>
      <c r="B54" t="s">
        <v>502</v>
      </c>
      <c r="C54" t="s">
        <v>505</v>
      </c>
      <c r="D54" s="436" t="s">
        <v>1174</v>
      </c>
      <c r="E54">
        <v>16</v>
      </c>
      <c r="F54" s="445">
        <v>62.5</v>
      </c>
      <c r="G54" s="188">
        <v>1000</v>
      </c>
      <c r="H54">
        <v>0</v>
      </c>
      <c r="I54">
        <v>1000</v>
      </c>
      <c r="J54">
        <v>81</v>
      </c>
      <c r="K54" s="104"/>
      <c r="L54" s="441">
        <v>81</v>
      </c>
      <c r="M54" s="441"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68"/>
      <c r="R54" s="508"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4" s="179">
        <v>0</v>
      </c>
      <c r="T54" s="179">
        <v>0</v>
      </c>
      <c r="U54" s="11"/>
      <c r="V54"/>
      <c r="W54" s="22" t="s">
        <v>358</v>
      </c>
      <c r="X54" s="22" t="s">
        <v>358</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03">
        <f>--(
  ISNUMBER(SEARCH("BASE PARENT", UPPER(CLEAN(TRIM(_xlfn.XLOOKUP(TEXT(Contract_Edits[[#This Row],[Index]],"0"), baseIdxTxt, baseCost, "")))))) +
  ISNUMBER(SEARCH("DEPENDENCY GROUP", UPPER(CLEAN(TRIM(_xlfn.XLOOKUP(TEXT(Contract_Edits[[#This Row],[Index]],"0"), baseIdxTxt, baseCost, ""))))))
)</f>
        <v>0</v>
      </c>
      <c r="AG54" s="503" t="str" cm="1">
        <f t="array" ref="AG54">IF(Contract_Edits[[#This Row],[BaseFlag]]=1,
   10*BaseDepthL(TEXT(Contract_Edits[[#This Row],[Index]],"0"),500,editsIdxTxt,editsParentKeyTxt,baseIdxTxt,baseCost)-5,
   ""
)</f>
        <v/>
      </c>
      <c r="AH54" s="503"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03" t="str">
        <f>IF(Contract_Edits[[#This Row],[Dep]]=0,"Root",
   IF(ISNUMBER(MATCH(Contract_Edits[[#This Row],[Dep]],Contract_Edits[Index],0)),"OK","Missing")
)</f>
        <v>OK</v>
      </c>
      <c r="AJ54" s="503" t="str">
        <f>IF(AND(Contract_Edits[[#This Row],[Dep]]&lt;&gt;0,
        ISNUMBER(MATCH(Contract_Edits[[#This Row],[Dep]], Contract_Edits[Index], 0)),
        INDEX(Contract_Edits[Dep], MATCH(Contract_Edits[[#This Row],[Dep]], Contract_Edits[Index], 0))=Contract_Edits[[#This Row],[Index]]),
   "2-cycle","")</f>
        <v/>
      </c>
      <c r="AK54" s="503" cm="1">
        <f t="array" ref="AK54">IF(Contract_Edits[[#This Row],[BaseFlag]]&lt;&gt;1,0,
   IF(TEXT(Contract_Edits[[#This Row],[Dep]],"0")=TEXT(Contract_Edits[[#This Row],[Index]],"0"),
      0,
      MAX(0, SUMPRODUCT(--(Contract_Edits[BaseFlag]=1),
                        --(TEXT(Contract_Edits[Dep],"0")=TEXT(Contract_Edits[[#This Row],[Dep]],"0"))) - 1)
   )
)</f>
        <v>0</v>
      </c>
      <c r="AL54" s="503" t="str" cm="1">
        <f t="array" ref="AL54">IF(Contract_Edits[[#This Row],[BaseFlag]]=1,
   TEXT(Contract_Edits[[#This Row],[Index]],"0"),
   NearestBaseL(TEXT(Contract_Edits[[#This Row],[ParentKey]],"0"),500,editsIdxTxt,editsParentKeyTxt,baseIdxTxt,baseCost)
)</f>
        <v>14</v>
      </c>
      <c r="AM54" s="503" cm="1">
        <f t="array" ref="AM54">1+SUMPRODUCT(
  (Contract_Edits[BaseFlag]=1)*
  (TEXT(Contract_Edits[ParentAnchor],"0")=TEXT(Contract_Edits[[#This Row],[ParentAnchor]],"0"))*
  (VALUE(TEXT(Contract_Edits[Index],"0"))&lt;VALUE(TEXT(Contract_Edits[[#This Row],[Index]],"0")))
)</f>
        <v>2</v>
      </c>
      <c r="AN54" s="503"/>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481</v>
      </c>
      <c r="B55" t="s">
        <v>1197</v>
      </c>
      <c r="C55" t="s">
        <v>521</v>
      </c>
      <c r="D55" s="436" t="s">
        <v>1198</v>
      </c>
      <c r="E55">
        <v>11</v>
      </c>
      <c r="F55" s="445">
        <v>62.5</v>
      </c>
      <c r="G55" s="188">
        <v>687.5</v>
      </c>
      <c r="H55">
        <v>0</v>
      </c>
      <c r="I55">
        <v>687.5</v>
      </c>
      <c r="J55">
        <v>83</v>
      </c>
      <c r="K55" s="104"/>
      <c r="L55" s="441">
        <v>83</v>
      </c>
      <c r="M55" s="441"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68"/>
      <c r="R55" s="508"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5" s="179">
        <v>0</v>
      </c>
      <c r="T55" s="179">
        <v>0</v>
      </c>
      <c r="U55" s="11"/>
      <c r="V55"/>
      <c r="W55" s="22" t="s">
        <v>358</v>
      </c>
      <c r="X55" s="22" t="s">
        <v>358</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03">
        <f>--(
  ISNUMBER(SEARCH("BASE PARENT", UPPER(CLEAN(TRIM(_xlfn.XLOOKUP(TEXT(Contract_Edits[[#This Row],[Index]],"0"), baseIdxTxt, baseCost, "")))))) +
  ISNUMBER(SEARCH("DEPENDENCY GROUP", UPPER(CLEAN(TRIM(_xlfn.XLOOKUP(TEXT(Contract_Edits[[#This Row],[Index]],"0"), baseIdxTxt, baseCost, ""))))))
)</f>
        <v>0</v>
      </c>
      <c r="AG55" s="503" t="str" cm="1">
        <f t="array" ref="AG55">IF(Contract_Edits[[#This Row],[BaseFlag]]=1,
   10*BaseDepthL(TEXT(Contract_Edits[[#This Row],[Index]],"0"),500,editsIdxTxt,editsParentKeyTxt,baseIdxTxt,baseCost)-5,
   ""
)</f>
        <v/>
      </c>
      <c r="AH55" s="503"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03" t="str">
        <f>IF(Contract_Edits[[#This Row],[Dep]]=0,"Root",
   IF(ISNUMBER(MATCH(Contract_Edits[[#This Row],[Dep]],Contract_Edits[Index],0)),"OK","Missing")
)</f>
        <v>OK</v>
      </c>
      <c r="AJ55" s="503" t="str">
        <f>IF(AND(Contract_Edits[[#This Row],[Dep]]&lt;&gt;0,
        ISNUMBER(MATCH(Contract_Edits[[#This Row],[Dep]], Contract_Edits[Index], 0)),
        INDEX(Contract_Edits[Dep], MATCH(Contract_Edits[[#This Row],[Dep]], Contract_Edits[Index], 0))=Contract_Edits[[#This Row],[Index]]),
   "2-cycle","")</f>
        <v/>
      </c>
      <c r="AK55" s="503" cm="1">
        <f t="array" ref="AK55">IF(Contract_Edits[[#This Row],[BaseFlag]]&lt;&gt;1,0,
   IF(TEXT(Contract_Edits[[#This Row],[Dep]],"0")=TEXT(Contract_Edits[[#This Row],[Index]],"0"),
      0,
      MAX(0, SUMPRODUCT(--(Contract_Edits[BaseFlag]=1),
                        --(TEXT(Contract_Edits[Dep],"0")=TEXT(Contract_Edits[[#This Row],[Dep]],"0"))) - 1)
   )
)</f>
        <v>0</v>
      </c>
      <c r="AL55" s="503" t="str" cm="1">
        <f t="array" ref="AL55">IF(Contract_Edits[[#This Row],[BaseFlag]]=1,
   TEXT(Contract_Edits[[#This Row],[Index]],"0"),
   NearestBaseL(TEXT(Contract_Edits[[#This Row],[ParentKey]],"0"),500,editsIdxTxt,editsParentKeyTxt,baseIdxTxt,baseCost)
)</f>
        <v>14</v>
      </c>
      <c r="AM55" s="503" cm="1">
        <f t="array" ref="AM55">1+SUMPRODUCT(
  (Contract_Edits[BaseFlag]=1)*
  (TEXT(Contract_Edits[ParentAnchor],"0")=TEXT(Contract_Edits[[#This Row],[ParentAnchor]],"0"))*
  (VALUE(TEXT(Contract_Edits[Index],"0"))&lt;VALUE(TEXT(Contract_Edits[[#This Row],[Index]],"0")))
)</f>
        <v>2</v>
      </c>
      <c r="AN55" s="503"/>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481</v>
      </c>
      <c r="B56" t="s">
        <v>459</v>
      </c>
      <c r="C56" t="s">
        <v>521</v>
      </c>
      <c r="D56" s="436" t="s">
        <v>1173</v>
      </c>
      <c r="E56">
        <v>15</v>
      </c>
      <c r="F56" s="445"/>
      <c r="G56" s="188"/>
      <c r="H56">
        <v>0</v>
      </c>
      <c r="I56"/>
      <c r="J56">
        <v>82</v>
      </c>
      <c r="K56" s="104"/>
      <c r="L56" s="441">
        <v>82</v>
      </c>
      <c r="M56" s="441"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68"/>
      <c r="R56" s="508"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6" s="179">
        <v>0</v>
      </c>
      <c r="T56" s="179">
        <v>0</v>
      </c>
      <c r="U56" s="11"/>
      <c r="V56"/>
      <c r="W56" s="22" t="s">
        <v>358</v>
      </c>
      <c r="X56" s="22" t="s">
        <v>358</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03">
        <f>--(
  ISNUMBER(SEARCH("BASE PARENT", UPPER(CLEAN(TRIM(_xlfn.XLOOKUP(TEXT(Contract_Edits[[#This Row],[Index]],"0"), baseIdxTxt, baseCost, "")))))) +
  ISNUMBER(SEARCH("DEPENDENCY GROUP", UPPER(CLEAN(TRIM(_xlfn.XLOOKUP(TEXT(Contract_Edits[[#This Row],[Index]],"0"), baseIdxTxt, baseCost, ""))))))
)</f>
        <v>0</v>
      </c>
      <c r="AG56" s="503" t="str" cm="1">
        <f t="array" ref="AG56">IF(Contract_Edits[[#This Row],[BaseFlag]]=1,
   10*BaseDepthL(TEXT(Contract_Edits[[#This Row],[Index]],"0"),500,editsIdxTxt,editsParentKeyTxt,baseIdxTxt,baseCost)-5,
   ""
)</f>
        <v/>
      </c>
      <c r="AH56" s="503"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03" t="str">
        <f>IF(Contract_Edits[[#This Row],[Dep]]=0,"Root",
   IF(ISNUMBER(MATCH(Contract_Edits[[#This Row],[Dep]],Contract_Edits[Index],0)),"OK","Missing")
)</f>
        <v>OK</v>
      </c>
      <c r="AJ56" s="503" t="str">
        <f>IF(AND(Contract_Edits[[#This Row],[Dep]]&lt;&gt;0,
        ISNUMBER(MATCH(Contract_Edits[[#This Row],[Dep]], Contract_Edits[Index], 0)),
        INDEX(Contract_Edits[Dep], MATCH(Contract_Edits[[#This Row],[Dep]], Contract_Edits[Index], 0))=Contract_Edits[[#This Row],[Index]]),
   "2-cycle","")</f>
        <v/>
      </c>
      <c r="AK56" s="503" cm="1">
        <f t="array" ref="AK56">IF(Contract_Edits[[#This Row],[BaseFlag]]&lt;&gt;1,0,
   IF(TEXT(Contract_Edits[[#This Row],[Dep]],"0")=TEXT(Contract_Edits[[#This Row],[Index]],"0"),
      0,
      MAX(0, SUMPRODUCT(--(Contract_Edits[BaseFlag]=1),
                        --(TEXT(Contract_Edits[Dep],"0")=TEXT(Contract_Edits[[#This Row],[Dep]],"0"))) - 1)
   )
)</f>
        <v>0</v>
      </c>
      <c r="AL56" s="503" t="str" cm="1">
        <f t="array" ref="AL56">IF(Contract_Edits[[#This Row],[BaseFlag]]=1,
   TEXT(Contract_Edits[[#This Row],[Index]],"0"),
   NearestBaseL(TEXT(Contract_Edits[[#This Row],[ParentKey]],"0"),500,editsIdxTxt,editsParentKeyTxt,baseIdxTxt,baseCost)
)</f>
        <v>14</v>
      </c>
      <c r="AM56" s="503" cm="1">
        <f t="array" ref="AM56">1+SUMPRODUCT(
  (Contract_Edits[BaseFlag]=1)*
  (TEXT(Contract_Edits[ParentAnchor],"0")=TEXT(Contract_Edits[[#This Row],[ParentAnchor]],"0"))*
  (VALUE(TEXT(Contract_Edits[Index],"0"))&lt;VALUE(TEXT(Contract_Edits[[#This Row],[Index]],"0")))
)</f>
        <v>2</v>
      </c>
      <c r="AN56" s="503"/>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438</v>
      </c>
      <c r="B57" t="s">
        <v>435</v>
      </c>
      <c r="C57" t="s">
        <v>461</v>
      </c>
      <c r="D57" s="436" t="s">
        <v>462</v>
      </c>
      <c r="E57">
        <v>1</v>
      </c>
      <c r="F57" s="445">
        <v>0</v>
      </c>
      <c r="G57" s="188">
        <v>0</v>
      </c>
      <c r="H57">
        <v>14</v>
      </c>
      <c r="I57">
        <v>0</v>
      </c>
      <c r="J57">
        <v>15</v>
      </c>
      <c r="K57" s="104"/>
      <c r="L57" s="441">
        <v>15</v>
      </c>
      <c r="M57" s="441"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0"/>
      <c r="R57" s="508"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7" s="179">
        <v>0</v>
      </c>
      <c r="T57" s="469"/>
      <c r="U57" s="492"/>
      <c r="V57" s="193"/>
      <c r="W57" s="22" t="s">
        <v>358</v>
      </c>
      <c r="X57" s="484" t="s">
        <v>358</v>
      </c>
      <c r="Y57" s="484"/>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03">
        <f>--(
  ISNUMBER(SEARCH("BASE PARENT", UPPER(CLEAN(TRIM(_xlfn.XLOOKUP(TEXT(Contract_Edits[[#This Row],[Index]],"0"), baseIdxTxt, baseCost, "")))))) +
  ISNUMBER(SEARCH("DEPENDENCY GROUP", UPPER(CLEAN(TRIM(_xlfn.XLOOKUP(TEXT(Contract_Edits[[#This Row],[Index]],"0"), baseIdxTxt, baseCost, ""))))))
)</f>
        <v>1</v>
      </c>
      <c r="AG57" s="503" cm="1">
        <f t="array" ref="AG57">IF(Contract_Edits[[#This Row],[BaseFlag]]=1,
   10*BaseDepthL(TEXT(Contract_Edits[[#This Row],[Index]],"0"),500,editsIdxTxt,editsParentKeyTxt,baseIdxTxt,baseCost)-5,
   ""
)</f>
        <v>145</v>
      </c>
      <c r="AH57" s="503"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03" t="str">
        <f>IF(Contract_Edits[[#This Row],[Dep]]=0,"Root",
   IF(ISNUMBER(MATCH(Contract_Edits[[#This Row],[Dep]],Contract_Edits[Index],0)),"OK","Missing")
)</f>
        <v>OK</v>
      </c>
      <c r="AJ57" s="503" t="str">
        <f>IF(AND(Contract_Edits[[#This Row],[Dep]]&lt;&gt;0,
        ISNUMBER(MATCH(Contract_Edits[[#This Row],[Dep]], Contract_Edits[Index], 0)),
        INDEX(Contract_Edits[Dep], MATCH(Contract_Edits[[#This Row],[Dep]], Contract_Edits[Index], 0))=Contract_Edits[[#This Row],[Index]]),
   "2-cycle","")</f>
        <v/>
      </c>
      <c r="AK57" s="503" cm="1">
        <f t="array" ref="AK57">IF(Contract_Edits[[#This Row],[BaseFlag]]&lt;&gt;1,0,
   IF(TEXT(Contract_Edits[[#This Row],[Dep]],"0")=TEXT(Contract_Edits[[#This Row],[Index]],"0"),
      0,
      MAX(0, SUMPRODUCT(--(Contract_Edits[BaseFlag]=1),
                        --(TEXT(Contract_Edits[Dep],"0")=TEXT(Contract_Edits[[#This Row],[Dep]],"0"))) - 1)
   )
)</f>
        <v>0</v>
      </c>
      <c r="AL57" s="503" t="str" cm="1">
        <f t="array" ref="AL57">IF(Contract_Edits[[#This Row],[BaseFlag]]=1,
   TEXT(Contract_Edits[[#This Row],[Index]],"0"),
   NearestBaseL(TEXT(Contract_Edits[[#This Row],[ParentKey]],"0"),500,editsIdxTxt,editsParentKeyTxt,baseIdxTxt,baseCost)
)</f>
        <v>15</v>
      </c>
      <c r="AM57" s="503" cm="1">
        <f t="array" ref="AM57">1+SUMPRODUCT(
  (Contract_Edits[BaseFlag]=1)*
  (TEXT(Contract_Edits[ParentAnchor],"0")=TEXT(Contract_Edits[[#This Row],[ParentAnchor]],"0"))*
  (VALUE(TEXT(Contract_Edits[Index],"0"))&lt;VALUE(TEXT(Contract_Edits[[#This Row],[Index]],"0")))
)</f>
        <v>1</v>
      </c>
      <c r="AN57" s="503"/>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551</v>
      </c>
      <c r="B58" t="s">
        <v>546</v>
      </c>
      <c r="C58" t="s">
        <v>463</v>
      </c>
      <c r="D58" s="436" t="s">
        <v>585</v>
      </c>
      <c r="E58">
        <v>1</v>
      </c>
      <c r="F58" s="445">
        <v>210.10060500000003</v>
      </c>
      <c r="G58" s="188">
        <v>210.10060500000003</v>
      </c>
      <c r="H58">
        <v>15</v>
      </c>
      <c r="I58">
        <v>210.10060500000003</v>
      </c>
      <c r="J58">
        <v>903</v>
      </c>
      <c r="K58" s="104"/>
      <c r="L58" s="441">
        <v>903</v>
      </c>
      <c r="M58" s="441"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0"/>
      <c r="R58" s="508"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8" s="179">
        <v>0</v>
      </c>
      <c r="T58" s="469"/>
      <c r="U58" s="492" t="s">
        <v>609</v>
      </c>
      <c r="V58" s="193"/>
      <c r="W58" s="22" t="s">
        <v>358</v>
      </c>
      <c r="X58" s="484" t="s">
        <v>358</v>
      </c>
      <c r="Y58" s="484"/>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03">
        <f>--(
  ISNUMBER(SEARCH("BASE PARENT", UPPER(CLEAN(TRIM(_xlfn.XLOOKUP(TEXT(Contract_Edits[[#This Row],[Index]],"0"), baseIdxTxt, baseCost, "")))))) +
  ISNUMBER(SEARCH("DEPENDENCY GROUP", UPPER(CLEAN(TRIM(_xlfn.XLOOKUP(TEXT(Contract_Edits[[#This Row],[Index]],"0"), baseIdxTxt, baseCost, ""))))))
)</f>
        <v>0</v>
      </c>
      <c r="AG58" s="503" t="str" cm="1">
        <f t="array" ref="AG58">IF(Contract_Edits[[#This Row],[BaseFlag]]=1,
   10*BaseDepthL(TEXT(Contract_Edits[[#This Row],[Index]],"0"),500,editsIdxTxt,editsParentKeyTxt,baseIdxTxt,baseCost)-5,
   ""
)</f>
        <v/>
      </c>
      <c r="AH58" s="503"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03" t="str">
        <f>IF(Contract_Edits[[#This Row],[Dep]]=0,"Root",
   IF(ISNUMBER(MATCH(Contract_Edits[[#This Row],[Dep]],Contract_Edits[Index],0)),"OK","Missing")
)</f>
        <v>OK</v>
      </c>
      <c r="AJ58" s="503" t="str">
        <f>IF(AND(Contract_Edits[[#This Row],[Dep]]&lt;&gt;0,
        ISNUMBER(MATCH(Contract_Edits[[#This Row],[Dep]], Contract_Edits[Index], 0)),
        INDEX(Contract_Edits[Dep], MATCH(Contract_Edits[[#This Row],[Dep]], Contract_Edits[Index], 0))=Contract_Edits[[#This Row],[Index]]),
   "2-cycle","")</f>
        <v/>
      </c>
      <c r="AK58" s="503" cm="1">
        <f t="array" ref="AK58">IF(Contract_Edits[[#This Row],[BaseFlag]]&lt;&gt;1,0,
   IF(TEXT(Contract_Edits[[#This Row],[Dep]],"0")=TEXT(Contract_Edits[[#This Row],[Index]],"0"),
      0,
      MAX(0, SUMPRODUCT(--(Contract_Edits[BaseFlag]=1),
                        --(TEXT(Contract_Edits[Dep],"0")=TEXT(Contract_Edits[[#This Row],[Dep]],"0"))) - 1)
   )
)</f>
        <v>0</v>
      </c>
      <c r="AL58" s="503" t="str" cm="1">
        <f t="array" ref="AL58">IF(Contract_Edits[[#This Row],[BaseFlag]]=1,
   TEXT(Contract_Edits[[#This Row],[Index]],"0"),
   NearestBaseL(TEXT(Contract_Edits[[#This Row],[ParentKey]],"0"),500,editsIdxTxt,editsParentKeyTxt,baseIdxTxt,baseCost)
)</f>
        <v>15</v>
      </c>
      <c r="AM58" s="503" cm="1">
        <f t="array" ref="AM58">1+SUMPRODUCT(
  (Contract_Edits[BaseFlag]=1)*
  (TEXT(Contract_Edits[ParentAnchor],"0")=TEXT(Contract_Edits[[#This Row],[ParentAnchor]],"0"))*
  (VALUE(TEXT(Contract_Edits[Index],"0"))&lt;VALUE(TEXT(Contract_Edits[[#This Row],[Index]],"0")))
)</f>
        <v>2</v>
      </c>
      <c r="AN58" s="503"/>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481</v>
      </c>
      <c r="B59" t="s">
        <v>488</v>
      </c>
      <c r="C59" t="s">
        <v>489</v>
      </c>
      <c r="D59" s="436" t="s">
        <v>490</v>
      </c>
      <c r="E59">
        <v>1</v>
      </c>
      <c r="F59" s="445"/>
      <c r="G59" s="188"/>
      <c r="H59">
        <v>0</v>
      </c>
      <c r="I59"/>
      <c r="J59">
        <v>40</v>
      </c>
      <c r="K59" s="104"/>
      <c r="L59" s="441">
        <v>40</v>
      </c>
      <c r="M59" s="441"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68"/>
      <c r="R59" s="508"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9" s="179">
        <v>0</v>
      </c>
      <c r="T59" s="179">
        <v>0</v>
      </c>
      <c r="U59" s="11" t="s">
        <v>609</v>
      </c>
      <c r="V59"/>
      <c r="W59" s="22" t="s">
        <v>358</v>
      </c>
      <c r="X59" s="22" t="s">
        <v>358</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03">
        <f>--(
  ISNUMBER(SEARCH("BASE PARENT", UPPER(CLEAN(TRIM(_xlfn.XLOOKUP(TEXT(Contract_Edits[[#This Row],[Index]],"0"), baseIdxTxt, baseCost, "")))))) +
  ISNUMBER(SEARCH("DEPENDENCY GROUP", UPPER(CLEAN(TRIM(_xlfn.XLOOKUP(TEXT(Contract_Edits[[#This Row],[Index]],"0"), baseIdxTxt, baseCost, ""))))))
)</f>
        <v>0</v>
      </c>
      <c r="AG59" s="503" t="str" cm="1">
        <f t="array" ref="AG59">IF(Contract_Edits[[#This Row],[BaseFlag]]=1,
   10*BaseDepthL(TEXT(Contract_Edits[[#This Row],[Index]],"0"),500,editsIdxTxt,editsParentKeyTxt,baseIdxTxt,baseCost)-5,
   ""
)</f>
        <v/>
      </c>
      <c r="AH59" s="503"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03" t="str">
        <f>IF(Contract_Edits[[#This Row],[Dep]]=0,"Root",
   IF(ISNUMBER(MATCH(Contract_Edits[[#This Row],[Dep]],Contract_Edits[Index],0)),"OK","Missing")
)</f>
        <v>OK</v>
      </c>
      <c r="AJ59" s="503" t="str">
        <f>IF(AND(Contract_Edits[[#This Row],[Dep]]&lt;&gt;0,
        ISNUMBER(MATCH(Contract_Edits[[#This Row],[Dep]], Contract_Edits[Index], 0)),
        INDEX(Contract_Edits[Dep], MATCH(Contract_Edits[[#This Row],[Dep]], Contract_Edits[Index], 0))=Contract_Edits[[#This Row],[Index]]),
   "2-cycle","")</f>
        <v/>
      </c>
      <c r="AK59" s="503" cm="1">
        <f t="array" ref="AK59">IF(Contract_Edits[[#This Row],[BaseFlag]]&lt;&gt;1,0,
   IF(TEXT(Contract_Edits[[#This Row],[Dep]],"0")=TEXT(Contract_Edits[[#This Row],[Index]],"0"),
      0,
      MAX(0, SUMPRODUCT(--(Contract_Edits[BaseFlag]=1),
                        --(TEXT(Contract_Edits[Dep],"0")=TEXT(Contract_Edits[[#This Row],[Dep]],"0"))) - 1)
   )
)</f>
        <v>0</v>
      </c>
      <c r="AL59" s="503" t="str" cm="1">
        <f t="array" ref="AL59">IF(Contract_Edits[[#This Row],[BaseFlag]]=1,
   TEXT(Contract_Edits[[#This Row],[Index]],"0"),
   NearestBaseL(TEXT(Contract_Edits[[#This Row],[ParentKey]],"0"),500,editsIdxTxt,editsParentKeyTxt,baseIdxTxt,baseCost)
)</f>
        <v>15</v>
      </c>
      <c r="AM59" s="503" cm="1">
        <f t="array" ref="AM59">1+SUMPRODUCT(
  (Contract_Edits[BaseFlag]=1)*
  (TEXT(Contract_Edits[ParentAnchor],"0")=TEXT(Contract_Edits[[#This Row],[ParentAnchor]],"0"))*
  (VALUE(TEXT(Contract_Edits[Index],"0"))&lt;VALUE(TEXT(Contract_Edits[[#This Row],[Index]],"0")))
)</f>
        <v>2</v>
      </c>
      <c r="AN59" s="503"/>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481</v>
      </c>
      <c r="B60" t="s">
        <v>488</v>
      </c>
      <c r="C60" t="s">
        <v>496</v>
      </c>
      <c r="D60" s="436" t="s">
        <v>512</v>
      </c>
      <c r="E60">
        <v>1</v>
      </c>
      <c r="F60" s="445"/>
      <c r="G60" s="188"/>
      <c r="H60">
        <v>0</v>
      </c>
      <c r="I60"/>
      <c r="J60">
        <v>64</v>
      </c>
      <c r="K60" s="104"/>
      <c r="L60" s="441">
        <v>64</v>
      </c>
      <c r="M60" s="441"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68"/>
      <c r="R60" s="508"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0" s="179">
        <v>0</v>
      </c>
      <c r="T60" s="179">
        <v>0</v>
      </c>
      <c r="U60" s="11" t="s">
        <v>609</v>
      </c>
      <c r="V60"/>
      <c r="W60" s="22" t="s">
        <v>358</v>
      </c>
      <c r="X60" s="22" t="s">
        <v>358</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03">
        <f>--(
  ISNUMBER(SEARCH("BASE PARENT", UPPER(CLEAN(TRIM(_xlfn.XLOOKUP(TEXT(Contract_Edits[[#This Row],[Index]],"0"), baseIdxTxt, baseCost, "")))))) +
  ISNUMBER(SEARCH("DEPENDENCY GROUP", UPPER(CLEAN(TRIM(_xlfn.XLOOKUP(TEXT(Contract_Edits[[#This Row],[Index]],"0"), baseIdxTxt, baseCost, ""))))))
)</f>
        <v>0</v>
      </c>
      <c r="AG60" s="503" t="str" cm="1">
        <f t="array" ref="AG60">IF(Contract_Edits[[#This Row],[BaseFlag]]=1,
   10*BaseDepthL(TEXT(Contract_Edits[[#This Row],[Index]],"0"),500,editsIdxTxt,editsParentKeyTxt,baseIdxTxt,baseCost)-5,
   ""
)</f>
        <v/>
      </c>
      <c r="AH60" s="503"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03" t="str">
        <f>IF(Contract_Edits[[#This Row],[Dep]]=0,"Root",
   IF(ISNUMBER(MATCH(Contract_Edits[[#This Row],[Dep]],Contract_Edits[Index],0)),"OK","Missing")
)</f>
        <v>OK</v>
      </c>
      <c r="AJ60" s="503" t="str">
        <f>IF(AND(Contract_Edits[[#This Row],[Dep]]&lt;&gt;0,
        ISNUMBER(MATCH(Contract_Edits[[#This Row],[Dep]], Contract_Edits[Index], 0)),
        INDEX(Contract_Edits[Dep], MATCH(Contract_Edits[[#This Row],[Dep]], Contract_Edits[Index], 0))=Contract_Edits[[#This Row],[Index]]),
   "2-cycle","")</f>
        <v/>
      </c>
      <c r="AK60" s="503" cm="1">
        <f t="array" ref="AK60">IF(Contract_Edits[[#This Row],[BaseFlag]]&lt;&gt;1,0,
   IF(TEXT(Contract_Edits[[#This Row],[Dep]],"0")=TEXT(Contract_Edits[[#This Row],[Index]],"0"),
      0,
      MAX(0, SUMPRODUCT(--(Contract_Edits[BaseFlag]=1),
                        --(TEXT(Contract_Edits[Dep],"0")=TEXT(Contract_Edits[[#This Row],[Dep]],"0"))) - 1)
   )
)</f>
        <v>0</v>
      </c>
      <c r="AL60" s="503" t="str" cm="1">
        <f t="array" ref="AL60">IF(Contract_Edits[[#This Row],[BaseFlag]]=1,
   TEXT(Contract_Edits[[#This Row],[Index]],"0"),
   NearestBaseL(TEXT(Contract_Edits[[#This Row],[ParentKey]],"0"),500,editsIdxTxt,editsParentKeyTxt,baseIdxTxt,baseCost)
)</f>
        <v>15</v>
      </c>
      <c r="AM60" s="503" cm="1">
        <f t="array" ref="AM60">1+SUMPRODUCT(
  (Contract_Edits[BaseFlag]=1)*
  (TEXT(Contract_Edits[ParentAnchor],"0")=TEXT(Contract_Edits[[#This Row],[ParentAnchor]],"0"))*
  (VALUE(TEXT(Contract_Edits[Index],"0"))&lt;VALUE(TEXT(Contract_Edits[[#This Row],[Index]],"0")))
)</f>
        <v>2</v>
      </c>
      <c r="AN60" s="503"/>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481</v>
      </c>
      <c r="B61" t="s">
        <v>488</v>
      </c>
      <c r="C61" t="s">
        <v>496</v>
      </c>
      <c r="D61" s="436" t="s">
        <v>508</v>
      </c>
      <c r="E61">
        <v>1</v>
      </c>
      <c r="F61" s="445"/>
      <c r="G61" s="188"/>
      <c r="H61">
        <v>0</v>
      </c>
      <c r="I61"/>
      <c r="J61">
        <v>60</v>
      </c>
      <c r="K61" s="104"/>
      <c r="L61" s="441">
        <v>60</v>
      </c>
      <c r="M61" s="441"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68"/>
      <c r="R61" s="508"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1" s="179">
        <v>0</v>
      </c>
      <c r="T61" s="179">
        <v>0</v>
      </c>
      <c r="U61" s="11" t="s">
        <v>609</v>
      </c>
      <c r="V61"/>
      <c r="W61" s="22" t="s">
        <v>358</v>
      </c>
      <c r="X61" s="22" t="s">
        <v>358</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03">
        <f>--(
  ISNUMBER(SEARCH("BASE PARENT", UPPER(CLEAN(TRIM(_xlfn.XLOOKUP(TEXT(Contract_Edits[[#This Row],[Index]],"0"), baseIdxTxt, baseCost, "")))))) +
  ISNUMBER(SEARCH("DEPENDENCY GROUP", UPPER(CLEAN(TRIM(_xlfn.XLOOKUP(TEXT(Contract_Edits[[#This Row],[Index]],"0"), baseIdxTxt, baseCost, ""))))))
)</f>
        <v>0</v>
      </c>
      <c r="AG61" s="503" t="str" cm="1">
        <f t="array" ref="AG61">IF(Contract_Edits[[#This Row],[BaseFlag]]=1,
   10*BaseDepthL(TEXT(Contract_Edits[[#This Row],[Index]],"0"),500,editsIdxTxt,editsParentKeyTxt,baseIdxTxt,baseCost)-5,
   ""
)</f>
        <v/>
      </c>
      <c r="AH61" s="503"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03" t="str">
        <f>IF(Contract_Edits[[#This Row],[Dep]]=0,"Root",
   IF(ISNUMBER(MATCH(Contract_Edits[[#This Row],[Dep]],Contract_Edits[Index],0)),"OK","Missing")
)</f>
        <v>OK</v>
      </c>
      <c r="AJ61" s="503" t="str">
        <f>IF(AND(Contract_Edits[[#This Row],[Dep]]&lt;&gt;0,
        ISNUMBER(MATCH(Contract_Edits[[#This Row],[Dep]], Contract_Edits[Index], 0)),
        INDEX(Contract_Edits[Dep], MATCH(Contract_Edits[[#This Row],[Dep]], Contract_Edits[Index], 0))=Contract_Edits[[#This Row],[Index]]),
   "2-cycle","")</f>
        <v/>
      </c>
      <c r="AK61" s="503" cm="1">
        <f t="array" ref="AK61">IF(Contract_Edits[[#This Row],[BaseFlag]]&lt;&gt;1,0,
   IF(TEXT(Contract_Edits[[#This Row],[Dep]],"0")=TEXT(Contract_Edits[[#This Row],[Index]],"0"),
      0,
      MAX(0, SUMPRODUCT(--(Contract_Edits[BaseFlag]=1),
                        --(TEXT(Contract_Edits[Dep],"0")=TEXT(Contract_Edits[[#This Row],[Dep]],"0"))) - 1)
   )
)</f>
        <v>0</v>
      </c>
      <c r="AL61" s="503" t="str" cm="1">
        <f t="array" ref="AL61">IF(Contract_Edits[[#This Row],[BaseFlag]]=1,
   TEXT(Contract_Edits[[#This Row],[Index]],"0"),
   NearestBaseL(TEXT(Contract_Edits[[#This Row],[ParentKey]],"0"),500,editsIdxTxt,editsParentKeyTxt,baseIdxTxt,baseCost)
)</f>
        <v>15</v>
      </c>
      <c r="AM61" s="503" cm="1">
        <f t="array" ref="AM61">1+SUMPRODUCT(
  (Contract_Edits[BaseFlag]=1)*
  (TEXT(Contract_Edits[ParentAnchor],"0")=TEXT(Contract_Edits[[#This Row],[ParentAnchor]],"0"))*
  (VALUE(TEXT(Contract_Edits[Index],"0"))&lt;VALUE(TEXT(Contract_Edits[[#This Row],[Index]],"0")))
)</f>
        <v>2</v>
      </c>
      <c r="AN61" s="503"/>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481</v>
      </c>
      <c r="B62" t="s">
        <v>488</v>
      </c>
      <c r="C62" t="s">
        <v>496</v>
      </c>
      <c r="D62" s="436" t="s">
        <v>510</v>
      </c>
      <c r="E62">
        <v>1</v>
      </c>
      <c r="F62" s="445"/>
      <c r="G62" s="188"/>
      <c r="H62">
        <v>0</v>
      </c>
      <c r="I62"/>
      <c r="J62">
        <v>62</v>
      </c>
      <c r="K62" s="104"/>
      <c r="L62" s="441">
        <v>62</v>
      </c>
      <c r="M62" s="441"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68"/>
      <c r="R62" s="508"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2" s="179">
        <v>0</v>
      </c>
      <c r="T62" s="179">
        <v>0</v>
      </c>
      <c r="U62" s="11" t="s">
        <v>609</v>
      </c>
      <c r="V62"/>
      <c r="W62" s="22" t="s">
        <v>358</v>
      </c>
      <c r="X62" s="22" t="s">
        <v>358</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03">
        <f>--(
  ISNUMBER(SEARCH("BASE PARENT", UPPER(CLEAN(TRIM(_xlfn.XLOOKUP(TEXT(Contract_Edits[[#This Row],[Index]],"0"), baseIdxTxt, baseCost, "")))))) +
  ISNUMBER(SEARCH("DEPENDENCY GROUP", UPPER(CLEAN(TRIM(_xlfn.XLOOKUP(TEXT(Contract_Edits[[#This Row],[Index]],"0"), baseIdxTxt, baseCost, ""))))))
)</f>
        <v>0</v>
      </c>
      <c r="AG62" s="503" t="str" cm="1">
        <f t="array" ref="AG62">IF(Contract_Edits[[#This Row],[BaseFlag]]=1,
   10*BaseDepthL(TEXT(Contract_Edits[[#This Row],[Index]],"0"),500,editsIdxTxt,editsParentKeyTxt,baseIdxTxt,baseCost)-5,
   ""
)</f>
        <v/>
      </c>
      <c r="AH62" s="503"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03" t="str">
        <f>IF(Contract_Edits[[#This Row],[Dep]]=0,"Root",
   IF(ISNUMBER(MATCH(Contract_Edits[[#This Row],[Dep]],Contract_Edits[Index],0)),"OK","Missing")
)</f>
        <v>OK</v>
      </c>
      <c r="AJ62" s="503" t="str">
        <f>IF(AND(Contract_Edits[[#This Row],[Dep]]&lt;&gt;0,
        ISNUMBER(MATCH(Contract_Edits[[#This Row],[Dep]], Contract_Edits[Index], 0)),
        INDEX(Contract_Edits[Dep], MATCH(Contract_Edits[[#This Row],[Dep]], Contract_Edits[Index], 0))=Contract_Edits[[#This Row],[Index]]),
   "2-cycle","")</f>
        <v/>
      </c>
      <c r="AK62" s="503" cm="1">
        <f t="array" ref="AK62">IF(Contract_Edits[[#This Row],[BaseFlag]]&lt;&gt;1,0,
   IF(TEXT(Contract_Edits[[#This Row],[Dep]],"0")=TEXT(Contract_Edits[[#This Row],[Index]],"0"),
      0,
      MAX(0, SUMPRODUCT(--(Contract_Edits[BaseFlag]=1),
                        --(TEXT(Contract_Edits[Dep],"0")=TEXT(Contract_Edits[[#This Row],[Dep]],"0"))) - 1)
   )
)</f>
        <v>0</v>
      </c>
      <c r="AL62" s="503" t="str" cm="1">
        <f t="array" ref="AL62">IF(Contract_Edits[[#This Row],[BaseFlag]]=1,
   TEXT(Contract_Edits[[#This Row],[Index]],"0"),
   NearestBaseL(TEXT(Contract_Edits[[#This Row],[ParentKey]],"0"),500,editsIdxTxt,editsParentKeyTxt,baseIdxTxt,baseCost)
)</f>
        <v>15</v>
      </c>
      <c r="AM62" s="503" cm="1">
        <f t="array" ref="AM62">1+SUMPRODUCT(
  (Contract_Edits[BaseFlag]=1)*
  (TEXT(Contract_Edits[ParentAnchor],"0")=TEXT(Contract_Edits[[#This Row],[ParentAnchor]],"0"))*
  (VALUE(TEXT(Contract_Edits[Index],"0"))&lt;VALUE(TEXT(Contract_Edits[[#This Row],[Index]],"0")))
)</f>
        <v>2</v>
      </c>
      <c r="AN62" s="503"/>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481</v>
      </c>
      <c r="B63" t="s">
        <v>488</v>
      </c>
      <c r="C63" t="s">
        <v>496</v>
      </c>
      <c r="D63" s="436" t="s">
        <v>519</v>
      </c>
      <c r="E63">
        <v>3</v>
      </c>
      <c r="F63" s="445"/>
      <c r="G63" s="188"/>
      <c r="H63">
        <v>0</v>
      </c>
      <c r="I63"/>
      <c r="J63">
        <v>75</v>
      </c>
      <c r="K63" s="104"/>
      <c r="L63" s="441">
        <v>75</v>
      </c>
      <c r="M63" s="441"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0"/>
      <c r="R63" s="508"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3" s="179">
        <v>0</v>
      </c>
      <c r="T63" s="469"/>
      <c r="U63" s="492" t="s">
        <v>609</v>
      </c>
      <c r="V63" s="193"/>
      <c r="W63" s="22" t="s">
        <v>358</v>
      </c>
      <c r="X63" s="22" t="s">
        <v>358</v>
      </c>
      <c r="Y63" s="484"/>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03">
        <f>--(
  ISNUMBER(SEARCH("BASE PARENT", UPPER(CLEAN(TRIM(_xlfn.XLOOKUP(TEXT(Contract_Edits[[#This Row],[Index]],"0"), baseIdxTxt, baseCost, "")))))) +
  ISNUMBER(SEARCH("DEPENDENCY GROUP", UPPER(CLEAN(TRIM(_xlfn.XLOOKUP(TEXT(Contract_Edits[[#This Row],[Index]],"0"), baseIdxTxt, baseCost, ""))))))
)</f>
        <v>0</v>
      </c>
      <c r="AG63" s="503" t="str" cm="1">
        <f t="array" ref="AG63">IF(Contract_Edits[[#This Row],[BaseFlag]]=1,
   10*BaseDepthL(TEXT(Contract_Edits[[#This Row],[Index]],"0"),500,editsIdxTxt,editsParentKeyTxt,baseIdxTxt,baseCost)-5,
   ""
)</f>
        <v/>
      </c>
      <c r="AH63" s="503"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03" t="str">
        <f>IF(Contract_Edits[[#This Row],[Dep]]=0,"Root",
   IF(ISNUMBER(MATCH(Contract_Edits[[#This Row],[Dep]],Contract_Edits[Index],0)),"OK","Missing")
)</f>
        <v>OK</v>
      </c>
      <c r="AJ63" s="503" t="str">
        <f>IF(AND(Contract_Edits[[#This Row],[Dep]]&lt;&gt;0,
        ISNUMBER(MATCH(Contract_Edits[[#This Row],[Dep]], Contract_Edits[Index], 0)),
        INDEX(Contract_Edits[Dep], MATCH(Contract_Edits[[#This Row],[Dep]], Contract_Edits[Index], 0))=Contract_Edits[[#This Row],[Index]]),
   "2-cycle","")</f>
        <v/>
      </c>
      <c r="AK63" s="503" cm="1">
        <f t="array" ref="AK63">IF(Contract_Edits[[#This Row],[BaseFlag]]&lt;&gt;1,0,
   IF(TEXT(Contract_Edits[[#This Row],[Dep]],"0")=TEXT(Contract_Edits[[#This Row],[Index]],"0"),
      0,
      MAX(0, SUMPRODUCT(--(Contract_Edits[BaseFlag]=1),
                        --(TEXT(Contract_Edits[Dep],"0")=TEXT(Contract_Edits[[#This Row],[Dep]],"0"))) - 1)
   )
)</f>
        <v>0</v>
      </c>
      <c r="AL63" s="503" t="str" cm="1">
        <f t="array" ref="AL63">IF(Contract_Edits[[#This Row],[BaseFlag]]=1,
   TEXT(Contract_Edits[[#This Row],[Index]],"0"),
   NearestBaseL(TEXT(Contract_Edits[[#This Row],[ParentKey]],"0"),500,editsIdxTxt,editsParentKeyTxt,baseIdxTxt,baseCost)
)</f>
        <v>15</v>
      </c>
      <c r="AM63" s="503" cm="1">
        <f t="array" ref="AM63">1+SUMPRODUCT(
  (Contract_Edits[BaseFlag]=1)*
  (TEXT(Contract_Edits[ParentAnchor],"0")=TEXT(Contract_Edits[[#This Row],[ParentAnchor]],"0"))*
  (VALUE(TEXT(Contract_Edits[Index],"0"))&lt;VALUE(TEXT(Contract_Edits[[#This Row],[Index]],"0")))
)</f>
        <v>2</v>
      </c>
      <c r="AN63" s="503"/>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481</v>
      </c>
      <c r="B64" t="s">
        <v>488</v>
      </c>
      <c r="C64" t="s">
        <v>496</v>
      </c>
      <c r="D64" s="436" t="s">
        <v>499</v>
      </c>
      <c r="E64">
        <v>1</v>
      </c>
      <c r="F64" s="445"/>
      <c r="G64" s="188"/>
      <c r="H64">
        <v>0</v>
      </c>
      <c r="I64"/>
      <c r="J64">
        <v>52</v>
      </c>
      <c r="K64" s="104"/>
      <c r="L64" s="441">
        <v>52</v>
      </c>
      <c r="M64" s="441"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68"/>
      <c r="R64" s="508"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4" s="179">
        <v>0</v>
      </c>
      <c r="T64" s="179">
        <v>0</v>
      </c>
      <c r="U64" s="11" t="s">
        <v>609</v>
      </c>
      <c r="V64"/>
      <c r="W64" s="22" t="s">
        <v>358</v>
      </c>
      <c r="X64" s="22" t="s">
        <v>358</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03">
        <f>--(
  ISNUMBER(SEARCH("BASE PARENT", UPPER(CLEAN(TRIM(_xlfn.XLOOKUP(TEXT(Contract_Edits[[#This Row],[Index]],"0"), baseIdxTxt, baseCost, "")))))) +
  ISNUMBER(SEARCH("DEPENDENCY GROUP", UPPER(CLEAN(TRIM(_xlfn.XLOOKUP(TEXT(Contract_Edits[[#This Row],[Index]],"0"), baseIdxTxt, baseCost, ""))))))
)</f>
        <v>0</v>
      </c>
      <c r="AG64" s="503" t="str" cm="1">
        <f t="array" ref="AG64">IF(Contract_Edits[[#This Row],[BaseFlag]]=1,
   10*BaseDepthL(TEXT(Contract_Edits[[#This Row],[Index]],"0"),500,editsIdxTxt,editsParentKeyTxt,baseIdxTxt,baseCost)-5,
   ""
)</f>
        <v/>
      </c>
      <c r="AH64" s="503"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03" t="str">
        <f>IF(Contract_Edits[[#This Row],[Dep]]=0,"Root",
   IF(ISNUMBER(MATCH(Contract_Edits[[#This Row],[Dep]],Contract_Edits[Index],0)),"OK","Missing")
)</f>
        <v>OK</v>
      </c>
      <c r="AJ64" s="503" t="str">
        <f>IF(AND(Contract_Edits[[#This Row],[Dep]]&lt;&gt;0,
        ISNUMBER(MATCH(Contract_Edits[[#This Row],[Dep]], Contract_Edits[Index], 0)),
        INDEX(Contract_Edits[Dep], MATCH(Contract_Edits[[#This Row],[Dep]], Contract_Edits[Index], 0))=Contract_Edits[[#This Row],[Index]]),
   "2-cycle","")</f>
        <v/>
      </c>
      <c r="AK64" s="503" cm="1">
        <f t="array" ref="AK64">IF(Contract_Edits[[#This Row],[BaseFlag]]&lt;&gt;1,0,
   IF(TEXT(Contract_Edits[[#This Row],[Dep]],"0")=TEXT(Contract_Edits[[#This Row],[Index]],"0"),
      0,
      MAX(0, SUMPRODUCT(--(Contract_Edits[BaseFlag]=1),
                        --(TEXT(Contract_Edits[Dep],"0")=TEXT(Contract_Edits[[#This Row],[Dep]],"0"))) - 1)
   )
)</f>
        <v>0</v>
      </c>
      <c r="AL64" s="503" t="str" cm="1">
        <f t="array" ref="AL64">IF(Contract_Edits[[#This Row],[BaseFlag]]=1,
   TEXT(Contract_Edits[[#This Row],[Index]],"0"),
   NearestBaseL(TEXT(Contract_Edits[[#This Row],[ParentKey]],"0"),500,editsIdxTxt,editsParentKeyTxt,baseIdxTxt,baseCost)
)</f>
        <v>15</v>
      </c>
      <c r="AM64" s="503" cm="1">
        <f t="array" ref="AM64">1+SUMPRODUCT(
  (Contract_Edits[BaseFlag]=1)*
  (TEXT(Contract_Edits[ParentAnchor],"0")=TEXT(Contract_Edits[[#This Row],[ParentAnchor]],"0"))*
  (VALUE(TEXT(Contract_Edits[Index],"0"))&lt;VALUE(TEXT(Contract_Edits[[#This Row],[Index]],"0")))
)</f>
        <v>2</v>
      </c>
      <c r="AN64" s="503"/>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481</v>
      </c>
      <c r="B65" t="s">
        <v>488</v>
      </c>
      <c r="C65" t="s">
        <v>496</v>
      </c>
      <c r="D65" s="436" t="s">
        <v>497</v>
      </c>
      <c r="E65">
        <v>1</v>
      </c>
      <c r="F65" s="445"/>
      <c r="G65" s="188"/>
      <c r="H65">
        <v>0</v>
      </c>
      <c r="I65"/>
      <c r="J65">
        <v>50</v>
      </c>
      <c r="K65" s="104"/>
      <c r="L65" s="441">
        <v>50</v>
      </c>
      <c r="M65" s="441"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68"/>
      <c r="R65" s="508"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5" s="179">
        <v>0</v>
      </c>
      <c r="T65" s="179">
        <v>0</v>
      </c>
      <c r="U65" s="11" t="s">
        <v>609</v>
      </c>
      <c r="V65"/>
      <c r="W65" s="22" t="s">
        <v>358</v>
      </c>
      <c r="X65" s="22" t="s">
        <v>358</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03">
        <f>--(
  ISNUMBER(SEARCH("BASE PARENT", UPPER(CLEAN(TRIM(_xlfn.XLOOKUP(TEXT(Contract_Edits[[#This Row],[Index]],"0"), baseIdxTxt, baseCost, "")))))) +
  ISNUMBER(SEARCH("DEPENDENCY GROUP", UPPER(CLEAN(TRIM(_xlfn.XLOOKUP(TEXT(Contract_Edits[[#This Row],[Index]],"0"), baseIdxTxt, baseCost, ""))))))
)</f>
        <v>0</v>
      </c>
      <c r="AG65" s="503" t="str" cm="1">
        <f t="array" ref="AG65">IF(Contract_Edits[[#This Row],[BaseFlag]]=1,
   10*BaseDepthL(TEXT(Contract_Edits[[#This Row],[Index]],"0"),500,editsIdxTxt,editsParentKeyTxt,baseIdxTxt,baseCost)-5,
   ""
)</f>
        <v/>
      </c>
      <c r="AH65" s="503"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03" t="str">
        <f>IF(Contract_Edits[[#This Row],[Dep]]=0,"Root",
   IF(ISNUMBER(MATCH(Contract_Edits[[#This Row],[Dep]],Contract_Edits[Index],0)),"OK","Missing")
)</f>
        <v>OK</v>
      </c>
      <c r="AJ65" s="503" t="str">
        <f>IF(AND(Contract_Edits[[#This Row],[Dep]]&lt;&gt;0,
        ISNUMBER(MATCH(Contract_Edits[[#This Row],[Dep]], Contract_Edits[Index], 0)),
        INDEX(Contract_Edits[Dep], MATCH(Contract_Edits[[#This Row],[Dep]], Contract_Edits[Index], 0))=Contract_Edits[[#This Row],[Index]]),
   "2-cycle","")</f>
        <v/>
      </c>
      <c r="AK65" s="503" cm="1">
        <f t="array" ref="AK65">IF(Contract_Edits[[#This Row],[BaseFlag]]&lt;&gt;1,0,
   IF(TEXT(Contract_Edits[[#This Row],[Dep]],"0")=TEXT(Contract_Edits[[#This Row],[Index]],"0"),
      0,
      MAX(0, SUMPRODUCT(--(Contract_Edits[BaseFlag]=1),
                        --(TEXT(Contract_Edits[Dep],"0")=TEXT(Contract_Edits[[#This Row],[Dep]],"0"))) - 1)
   )
)</f>
        <v>0</v>
      </c>
      <c r="AL65" s="503" t="str" cm="1">
        <f t="array" ref="AL65">IF(Contract_Edits[[#This Row],[BaseFlag]]=1,
   TEXT(Contract_Edits[[#This Row],[Index]],"0"),
   NearestBaseL(TEXT(Contract_Edits[[#This Row],[ParentKey]],"0"),500,editsIdxTxt,editsParentKeyTxt,baseIdxTxt,baseCost)
)</f>
        <v>15</v>
      </c>
      <c r="AM65" s="503" cm="1">
        <f t="array" ref="AM65">1+SUMPRODUCT(
  (Contract_Edits[BaseFlag]=1)*
  (TEXT(Contract_Edits[ParentAnchor],"0")=TEXT(Contract_Edits[[#This Row],[ParentAnchor]],"0"))*
  (VALUE(TEXT(Contract_Edits[Index],"0"))&lt;VALUE(TEXT(Contract_Edits[[#This Row],[Index]],"0")))
)</f>
        <v>2</v>
      </c>
      <c r="AN65" s="503"/>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438</v>
      </c>
      <c r="B66" t="s">
        <v>435</v>
      </c>
      <c r="C66" t="s">
        <v>463</v>
      </c>
      <c r="D66" s="436" t="s">
        <v>453</v>
      </c>
      <c r="E66">
        <v>1</v>
      </c>
      <c r="F66" s="445">
        <v>0</v>
      </c>
      <c r="G66" s="188">
        <v>0</v>
      </c>
      <c r="H66">
        <v>15</v>
      </c>
      <c r="I66">
        <v>0</v>
      </c>
      <c r="J66">
        <v>16</v>
      </c>
      <c r="K66" s="104"/>
      <c r="L66" s="441">
        <v>16</v>
      </c>
      <c r="M66" s="441"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68"/>
      <c r="R66" s="508"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6" s="179">
        <v>0</v>
      </c>
      <c r="T66" s="179">
        <v>0</v>
      </c>
      <c r="U66" s="11"/>
      <c r="V66"/>
      <c r="W66" s="22" t="s">
        <v>358</v>
      </c>
      <c r="X66" s="22" t="s">
        <v>358</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03">
        <f>--(
  ISNUMBER(SEARCH("BASE PARENT", UPPER(CLEAN(TRIM(_xlfn.XLOOKUP(TEXT(Contract_Edits[[#This Row],[Index]],"0"), baseIdxTxt, baseCost, "")))))) +
  ISNUMBER(SEARCH("DEPENDENCY GROUP", UPPER(CLEAN(TRIM(_xlfn.XLOOKUP(TEXT(Contract_Edits[[#This Row],[Index]],"0"), baseIdxTxt, baseCost, ""))))))
)</f>
        <v>1</v>
      </c>
      <c r="AG66" s="503" cm="1">
        <f t="array" ref="AG66">IF(Contract_Edits[[#This Row],[BaseFlag]]=1,
   10*BaseDepthL(TEXT(Contract_Edits[[#This Row],[Index]],"0"),500,editsIdxTxt,editsParentKeyTxt,baseIdxTxt,baseCost)-5,
   ""
)</f>
        <v>155</v>
      </c>
      <c r="AH66" s="503"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03" t="str">
        <f>IF(Contract_Edits[[#This Row],[Dep]]=0,"Root",
   IF(ISNUMBER(MATCH(Contract_Edits[[#This Row],[Dep]],Contract_Edits[Index],0)),"OK","Missing")
)</f>
        <v>OK</v>
      </c>
      <c r="AJ66" s="503" t="str">
        <f>IF(AND(Contract_Edits[[#This Row],[Dep]]&lt;&gt;0,
        ISNUMBER(MATCH(Contract_Edits[[#This Row],[Dep]], Contract_Edits[Index], 0)),
        INDEX(Contract_Edits[Dep], MATCH(Contract_Edits[[#This Row],[Dep]], Contract_Edits[Index], 0))=Contract_Edits[[#This Row],[Index]]),
   "2-cycle","")</f>
        <v/>
      </c>
      <c r="AK66" s="503" cm="1">
        <f t="array" ref="AK66">IF(Contract_Edits[[#This Row],[BaseFlag]]&lt;&gt;1,0,
   IF(TEXT(Contract_Edits[[#This Row],[Dep]],"0")=TEXT(Contract_Edits[[#This Row],[Index]],"0"),
      0,
      MAX(0, SUMPRODUCT(--(Contract_Edits[BaseFlag]=1),
                        --(TEXT(Contract_Edits[Dep],"0")=TEXT(Contract_Edits[[#This Row],[Dep]],"0"))) - 1)
   )
)</f>
        <v>0</v>
      </c>
      <c r="AL66" s="503" t="str" cm="1">
        <f t="array" ref="AL66">IF(Contract_Edits[[#This Row],[BaseFlag]]=1,
   TEXT(Contract_Edits[[#This Row],[Index]],"0"),
   NearestBaseL(TEXT(Contract_Edits[[#This Row],[ParentKey]],"0"),500,editsIdxTxt,editsParentKeyTxt,baseIdxTxt,baseCost)
)</f>
        <v>16</v>
      </c>
      <c r="AM66" s="503" cm="1">
        <f t="array" ref="AM66">1+SUMPRODUCT(
  (Contract_Edits[BaseFlag]=1)*
  (TEXT(Contract_Edits[ParentAnchor],"0")=TEXT(Contract_Edits[[#This Row],[ParentAnchor]],"0"))*
  (VALUE(TEXT(Contract_Edits[Index],"0"))&lt;VALUE(TEXT(Contract_Edits[[#This Row],[Index]],"0")))
)</f>
        <v>1</v>
      </c>
      <c r="AN66" s="503"/>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551</v>
      </c>
      <c r="B67" t="s">
        <v>547</v>
      </c>
      <c r="C67" t="s">
        <v>479</v>
      </c>
      <c r="D67" s="436" t="s">
        <v>586</v>
      </c>
      <c r="E67">
        <v>1</v>
      </c>
      <c r="F67" s="445">
        <v>150</v>
      </c>
      <c r="G67" s="188">
        <v>150</v>
      </c>
      <c r="H67">
        <v>16</v>
      </c>
      <c r="I67">
        <v>150</v>
      </c>
      <c r="J67">
        <v>901</v>
      </c>
      <c r="K67" s="104"/>
      <c r="L67" s="441">
        <v>901</v>
      </c>
      <c r="M67" s="441"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68"/>
      <c r="R67" s="508"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7" s="179">
        <v>0</v>
      </c>
      <c r="T67" s="179">
        <v>0</v>
      </c>
      <c r="U67" s="11" t="s">
        <v>610</v>
      </c>
      <c r="V67"/>
      <c r="W67" s="22" t="s">
        <v>358</v>
      </c>
      <c r="X67" s="22" t="s">
        <v>358</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03">
        <f>--(
  ISNUMBER(SEARCH("BASE PARENT", UPPER(CLEAN(TRIM(_xlfn.XLOOKUP(TEXT(Contract_Edits[[#This Row],[Index]],"0"), baseIdxTxt, baseCost, "")))))) +
  ISNUMBER(SEARCH("DEPENDENCY GROUP", UPPER(CLEAN(TRIM(_xlfn.XLOOKUP(TEXT(Contract_Edits[[#This Row],[Index]],"0"), baseIdxTxt, baseCost, ""))))))
)</f>
        <v>0</v>
      </c>
      <c r="AG67" s="503" t="str" cm="1">
        <f t="array" ref="AG67">IF(Contract_Edits[[#This Row],[BaseFlag]]=1,
   10*BaseDepthL(TEXT(Contract_Edits[[#This Row],[Index]],"0"),500,editsIdxTxt,editsParentKeyTxt,baseIdxTxt,baseCost)-5,
   ""
)</f>
        <v/>
      </c>
      <c r="AH67" s="503"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03" t="str">
        <f>IF(Contract_Edits[[#This Row],[Dep]]=0,"Root",
   IF(ISNUMBER(MATCH(Contract_Edits[[#This Row],[Dep]],Contract_Edits[Index],0)),"OK","Missing")
)</f>
        <v>OK</v>
      </c>
      <c r="AJ67" s="503" t="str">
        <f>IF(AND(Contract_Edits[[#This Row],[Dep]]&lt;&gt;0,
        ISNUMBER(MATCH(Contract_Edits[[#This Row],[Dep]], Contract_Edits[Index], 0)),
        INDEX(Contract_Edits[Dep], MATCH(Contract_Edits[[#This Row],[Dep]], Contract_Edits[Index], 0))=Contract_Edits[[#This Row],[Index]]),
   "2-cycle","")</f>
        <v/>
      </c>
      <c r="AK67" s="503" cm="1">
        <f t="array" ref="AK67">IF(Contract_Edits[[#This Row],[BaseFlag]]&lt;&gt;1,0,
   IF(TEXT(Contract_Edits[[#This Row],[Dep]],"0")=TEXT(Contract_Edits[[#This Row],[Index]],"0"),
      0,
      MAX(0, SUMPRODUCT(--(Contract_Edits[BaseFlag]=1),
                        --(TEXT(Contract_Edits[Dep],"0")=TEXT(Contract_Edits[[#This Row],[Dep]],"0"))) - 1)
   )
)</f>
        <v>0</v>
      </c>
      <c r="AL67" s="503" t="str" cm="1">
        <f t="array" ref="AL67">IF(Contract_Edits[[#This Row],[BaseFlag]]=1,
   TEXT(Contract_Edits[[#This Row],[Index]],"0"),
   NearestBaseL(TEXT(Contract_Edits[[#This Row],[ParentKey]],"0"),500,editsIdxTxt,editsParentKeyTxt,baseIdxTxt,baseCost)
)</f>
        <v>16</v>
      </c>
      <c r="AM67" s="503" cm="1">
        <f t="array" ref="AM67">1+SUMPRODUCT(
  (Contract_Edits[BaseFlag]=1)*
  (TEXT(Contract_Edits[ParentAnchor],"0")=TEXT(Contract_Edits[[#This Row],[ParentAnchor]],"0"))*
  (VALUE(TEXT(Contract_Edits[Index],"0"))&lt;VALUE(TEXT(Contract_Edits[[#This Row],[Index]],"0")))
)</f>
        <v>2</v>
      </c>
      <c r="AN67" s="503"/>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551</v>
      </c>
      <c r="B68" t="s">
        <v>546</v>
      </c>
      <c r="C68" t="s">
        <v>453</v>
      </c>
      <c r="D68" s="436" t="s">
        <v>587</v>
      </c>
      <c r="E68">
        <v>1</v>
      </c>
      <c r="F68" s="445">
        <v>0</v>
      </c>
      <c r="G68" s="188">
        <v>0</v>
      </c>
      <c r="H68">
        <v>16</v>
      </c>
      <c r="I68">
        <v>0</v>
      </c>
      <c r="J68">
        <v>907</v>
      </c>
      <c r="K68" s="104"/>
      <c r="L68" s="441">
        <v>907</v>
      </c>
      <c r="M68" s="441"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0"/>
      <c r="R68" s="508"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8" s="179">
        <v>0</v>
      </c>
      <c r="T68" s="469"/>
      <c r="U68" s="492" t="s">
        <v>610</v>
      </c>
      <c r="V68" s="193"/>
      <c r="W68" s="22" t="s">
        <v>358</v>
      </c>
      <c r="X68" s="22" t="s">
        <v>358</v>
      </c>
      <c r="Y68" s="484"/>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03">
        <f>--(
  ISNUMBER(SEARCH("BASE PARENT", UPPER(CLEAN(TRIM(_xlfn.XLOOKUP(TEXT(Contract_Edits[[#This Row],[Index]],"0"), baseIdxTxt, baseCost, "")))))) +
  ISNUMBER(SEARCH("DEPENDENCY GROUP", UPPER(CLEAN(TRIM(_xlfn.XLOOKUP(TEXT(Contract_Edits[[#This Row],[Index]],"0"), baseIdxTxt, baseCost, ""))))))
)</f>
        <v>0</v>
      </c>
      <c r="AG68" s="503" t="str" cm="1">
        <f t="array" ref="AG68">IF(Contract_Edits[[#This Row],[BaseFlag]]=1,
   10*BaseDepthL(TEXT(Contract_Edits[[#This Row],[Index]],"0"),500,editsIdxTxt,editsParentKeyTxt,baseIdxTxt,baseCost)-5,
   ""
)</f>
        <v/>
      </c>
      <c r="AH68" s="503"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03" t="str">
        <f>IF(Contract_Edits[[#This Row],[Dep]]=0,"Root",
   IF(ISNUMBER(MATCH(Contract_Edits[[#This Row],[Dep]],Contract_Edits[Index],0)),"OK","Missing")
)</f>
        <v>OK</v>
      </c>
      <c r="AJ68" s="503" t="str">
        <f>IF(AND(Contract_Edits[[#This Row],[Dep]]&lt;&gt;0,
        ISNUMBER(MATCH(Contract_Edits[[#This Row],[Dep]], Contract_Edits[Index], 0)),
        INDEX(Contract_Edits[Dep], MATCH(Contract_Edits[[#This Row],[Dep]], Contract_Edits[Index], 0))=Contract_Edits[[#This Row],[Index]]),
   "2-cycle","")</f>
        <v/>
      </c>
      <c r="AK68" s="503" cm="1">
        <f t="array" ref="AK68">IF(Contract_Edits[[#This Row],[BaseFlag]]&lt;&gt;1,0,
   IF(TEXT(Contract_Edits[[#This Row],[Dep]],"0")=TEXT(Contract_Edits[[#This Row],[Index]],"0"),
      0,
      MAX(0, SUMPRODUCT(--(Contract_Edits[BaseFlag]=1),
                        --(TEXT(Contract_Edits[Dep],"0")=TEXT(Contract_Edits[[#This Row],[Dep]],"0"))) - 1)
   )
)</f>
        <v>0</v>
      </c>
      <c r="AL68" s="503" t="str" cm="1">
        <f t="array" ref="AL68">IF(Contract_Edits[[#This Row],[BaseFlag]]=1,
   TEXT(Contract_Edits[[#This Row],[Index]],"0"),
   NearestBaseL(TEXT(Contract_Edits[[#This Row],[ParentKey]],"0"),500,editsIdxTxt,editsParentKeyTxt,baseIdxTxt,baseCost)
)</f>
        <v>16</v>
      </c>
      <c r="AM68" s="503" cm="1">
        <f t="array" ref="AM68">1+SUMPRODUCT(
  (Contract_Edits[BaseFlag]=1)*
  (TEXT(Contract_Edits[ParentAnchor],"0")=TEXT(Contract_Edits[[#This Row],[ParentAnchor]],"0"))*
  (VALUE(TEXT(Contract_Edits[Index],"0"))&lt;VALUE(TEXT(Contract_Edits[[#This Row],[Index]],"0")))
)</f>
        <v>2</v>
      </c>
      <c r="AN68" s="503"/>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481</v>
      </c>
      <c r="B69" t="s">
        <v>453</v>
      </c>
      <c r="C69" t="s">
        <v>500</v>
      </c>
      <c r="D69" s="436" t="s">
        <v>501</v>
      </c>
      <c r="E69">
        <v>1</v>
      </c>
      <c r="F69" s="445"/>
      <c r="G69" s="188"/>
      <c r="H69">
        <v>0</v>
      </c>
      <c r="I69"/>
      <c r="J69">
        <v>53</v>
      </c>
      <c r="K69" s="104"/>
      <c r="L69" s="441">
        <v>53</v>
      </c>
      <c r="M69" s="441"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68"/>
      <c r="R69" s="508"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9" s="179">
        <v>0</v>
      </c>
      <c r="T69" s="179">
        <v>0</v>
      </c>
      <c r="U69" s="11" t="s">
        <v>610</v>
      </c>
      <c r="V69"/>
      <c r="W69" s="22" t="s">
        <v>358</v>
      </c>
      <c r="X69" s="22" t="s">
        <v>358</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03">
        <f>--(
  ISNUMBER(SEARCH("BASE PARENT", UPPER(CLEAN(TRIM(_xlfn.XLOOKUP(TEXT(Contract_Edits[[#This Row],[Index]],"0"), baseIdxTxt, baseCost, "")))))) +
  ISNUMBER(SEARCH("DEPENDENCY GROUP", UPPER(CLEAN(TRIM(_xlfn.XLOOKUP(TEXT(Contract_Edits[[#This Row],[Index]],"0"), baseIdxTxt, baseCost, ""))))))
)</f>
        <v>0</v>
      </c>
      <c r="AG69" s="503" t="str" cm="1">
        <f t="array" ref="AG69">IF(Contract_Edits[[#This Row],[BaseFlag]]=1,
   10*BaseDepthL(TEXT(Contract_Edits[[#This Row],[Index]],"0"),500,editsIdxTxt,editsParentKeyTxt,baseIdxTxt,baseCost)-5,
   ""
)</f>
        <v/>
      </c>
      <c r="AH69" s="503"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03" t="str">
        <f>IF(Contract_Edits[[#This Row],[Dep]]=0,"Root",
   IF(ISNUMBER(MATCH(Contract_Edits[[#This Row],[Dep]],Contract_Edits[Index],0)),"OK","Missing")
)</f>
        <v>OK</v>
      </c>
      <c r="AJ69" s="503" t="str">
        <f>IF(AND(Contract_Edits[[#This Row],[Dep]]&lt;&gt;0,
        ISNUMBER(MATCH(Contract_Edits[[#This Row],[Dep]], Contract_Edits[Index], 0)),
        INDEX(Contract_Edits[Dep], MATCH(Contract_Edits[[#This Row],[Dep]], Contract_Edits[Index], 0))=Contract_Edits[[#This Row],[Index]]),
   "2-cycle","")</f>
        <v/>
      </c>
      <c r="AK69" s="503" cm="1">
        <f t="array" ref="AK69">IF(Contract_Edits[[#This Row],[BaseFlag]]&lt;&gt;1,0,
   IF(TEXT(Contract_Edits[[#This Row],[Dep]],"0")=TEXT(Contract_Edits[[#This Row],[Index]],"0"),
      0,
      MAX(0, SUMPRODUCT(--(Contract_Edits[BaseFlag]=1),
                        --(TEXT(Contract_Edits[Dep],"0")=TEXT(Contract_Edits[[#This Row],[Dep]],"0"))) - 1)
   )
)</f>
        <v>0</v>
      </c>
      <c r="AL69" s="503" t="str" cm="1">
        <f t="array" ref="AL69">IF(Contract_Edits[[#This Row],[BaseFlag]]=1,
   TEXT(Contract_Edits[[#This Row],[Index]],"0"),
   NearestBaseL(TEXT(Contract_Edits[[#This Row],[ParentKey]],"0"),500,editsIdxTxt,editsParentKeyTxt,baseIdxTxt,baseCost)
)</f>
        <v>16</v>
      </c>
      <c r="AM69" s="503" cm="1">
        <f t="array" ref="AM69">1+SUMPRODUCT(
  (Contract_Edits[BaseFlag]=1)*
  (TEXT(Contract_Edits[ParentAnchor],"0")=TEXT(Contract_Edits[[#This Row],[ParentAnchor]],"0"))*
  (VALUE(TEXT(Contract_Edits[Index],"0"))&lt;VALUE(TEXT(Contract_Edits[[#This Row],[Index]],"0")))
)</f>
        <v>2</v>
      </c>
      <c r="AN69" s="503"/>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481</v>
      </c>
      <c r="B70" t="s">
        <v>479</v>
      </c>
      <c r="C70" t="s">
        <v>479</v>
      </c>
      <c r="D70" s="436" t="s">
        <v>480</v>
      </c>
      <c r="E70">
        <v>1</v>
      </c>
      <c r="F70" s="445"/>
      <c r="G70" s="188"/>
      <c r="H70">
        <v>0</v>
      </c>
      <c r="I70"/>
      <c r="J70">
        <v>31</v>
      </c>
      <c r="K70" s="104"/>
      <c r="L70" s="441">
        <v>31</v>
      </c>
      <c r="M70" s="441"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68"/>
      <c r="R70" s="508"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0" s="179">
        <v>0</v>
      </c>
      <c r="T70" s="179">
        <v>0</v>
      </c>
      <c r="U70" s="11" t="s">
        <v>610</v>
      </c>
      <c r="V70"/>
      <c r="W70" s="22" t="s">
        <v>358</v>
      </c>
      <c r="X70" s="22" t="s">
        <v>358</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03">
        <f>--(
  ISNUMBER(SEARCH("BASE PARENT", UPPER(CLEAN(TRIM(_xlfn.XLOOKUP(TEXT(Contract_Edits[[#This Row],[Index]],"0"), baseIdxTxt, baseCost, "")))))) +
  ISNUMBER(SEARCH("DEPENDENCY GROUP", UPPER(CLEAN(TRIM(_xlfn.XLOOKUP(TEXT(Contract_Edits[[#This Row],[Index]],"0"), baseIdxTxt, baseCost, ""))))))
)</f>
        <v>0</v>
      </c>
      <c r="AG70" s="503" t="str" cm="1">
        <f t="array" ref="AG70">IF(Contract_Edits[[#This Row],[BaseFlag]]=1,
   10*BaseDepthL(TEXT(Contract_Edits[[#This Row],[Index]],"0"),500,editsIdxTxt,editsParentKeyTxt,baseIdxTxt,baseCost)-5,
   ""
)</f>
        <v/>
      </c>
      <c r="AH70" s="503"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03" t="str">
        <f>IF(Contract_Edits[[#This Row],[Dep]]=0,"Root",
   IF(ISNUMBER(MATCH(Contract_Edits[[#This Row],[Dep]],Contract_Edits[Index],0)),"OK","Missing")
)</f>
        <v>OK</v>
      </c>
      <c r="AJ70" s="503" t="str">
        <f>IF(AND(Contract_Edits[[#This Row],[Dep]]&lt;&gt;0,
        ISNUMBER(MATCH(Contract_Edits[[#This Row],[Dep]], Contract_Edits[Index], 0)),
        INDEX(Contract_Edits[Dep], MATCH(Contract_Edits[[#This Row],[Dep]], Contract_Edits[Index], 0))=Contract_Edits[[#This Row],[Index]]),
   "2-cycle","")</f>
        <v/>
      </c>
      <c r="AK70" s="503" cm="1">
        <f t="array" ref="AK70">IF(Contract_Edits[[#This Row],[BaseFlag]]&lt;&gt;1,0,
   IF(TEXT(Contract_Edits[[#This Row],[Dep]],"0")=TEXT(Contract_Edits[[#This Row],[Index]],"0"),
      0,
      MAX(0, SUMPRODUCT(--(Contract_Edits[BaseFlag]=1),
                        --(TEXT(Contract_Edits[Dep],"0")=TEXT(Contract_Edits[[#This Row],[Dep]],"0"))) - 1)
   )
)</f>
        <v>0</v>
      </c>
      <c r="AL70" s="503" t="str" cm="1">
        <f t="array" ref="AL70">IF(Contract_Edits[[#This Row],[BaseFlag]]=1,
   TEXT(Contract_Edits[[#This Row],[Index]],"0"),
   NearestBaseL(TEXT(Contract_Edits[[#This Row],[ParentKey]],"0"),500,editsIdxTxt,editsParentKeyTxt,baseIdxTxt,baseCost)
)</f>
        <v>16</v>
      </c>
      <c r="AM70" s="503" cm="1">
        <f t="array" ref="AM70">1+SUMPRODUCT(
  (Contract_Edits[BaseFlag]=1)*
  (TEXT(Contract_Edits[ParentAnchor],"0")=TEXT(Contract_Edits[[#This Row],[ParentAnchor]],"0"))*
  (VALUE(TEXT(Contract_Edits[Index],"0"))&lt;VALUE(TEXT(Contract_Edits[[#This Row],[Index]],"0")))
)</f>
        <v>2</v>
      </c>
      <c r="AN70" s="503"/>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481</v>
      </c>
      <c r="B71" t="s">
        <v>453</v>
      </c>
      <c r="C71" t="s">
        <v>516</v>
      </c>
      <c r="D71" s="436" t="s">
        <v>518</v>
      </c>
      <c r="E71">
        <v>1</v>
      </c>
      <c r="F71" s="445"/>
      <c r="G71" s="188"/>
      <c r="H71">
        <v>0</v>
      </c>
      <c r="I71"/>
      <c r="J71">
        <v>71</v>
      </c>
      <c r="K71" s="104"/>
      <c r="L71" s="441">
        <v>71</v>
      </c>
      <c r="M71" s="441"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68"/>
      <c r="R71" s="508"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1" s="179">
        <v>0</v>
      </c>
      <c r="T71" s="179">
        <v>0</v>
      </c>
      <c r="U71" s="11" t="s">
        <v>610</v>
      </c>
      <c r="V71"/>
      <c r="W71" s="22" t="s">
        <v>358</v>
      </c>
      <c r="X71" s="22" t="s">
        <v>358</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03">
        <f>--(
  ISNUMBER(SEARCH("BASE PARENT", UPPER(CLEAN(TRIM(_xlfn.XLOOKUP(TEXT(Contract_Edits[[#This Row],[Index]],"0"), baseIdxTxt, baseCost, "")))))) +
  ISNUMBER(SEARCH("DEPENDENCY GROUP", UPPER(CLEAN(TRIM(_xlfn.XLOOKUP(TEXT(Contract_Edits[[#This Row],[Index]],"0"), baseIdxTxt, baseCost, ""))))))
)</f>
        <v>0</v>
      </c>
      <c r="AG71" s="503" t="str" cm="1">
        <f t="array" ref="AG71">IF(Contract_Edits[[#This Row],[BaseFlag]]=1,
   10*BaseDepthL(TEXT(Contract_Edits[[#This Row],[Index]],"0"),500,editsIdxTxt,editsParentKeyTxt,baseIdxTxt,baseCost)-5,
   ""
)</f>
        <v/>
      </c>
      <c r="AH71" s="503"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03" t="str">
        <f>IF(Contract_Edits[[#This Row],[Dep]]=0,"Root",
   IF(ISNUMBER(MATCH(Contract_Edits[[#This Row],[Dep]],Contract_Edits[Index],0)),"OK","Missing")
)</f>
        <v>OK</v>
      </c>
      <c r="AJ71" s="503" t="str">
        <f>IF(AND(Contract_Edits[[#This Row],[Dep]]&lt;&gt;0,
        ISNUMBER(MATCH(Contract_Edits[[#This Row],[Dep]], Contract_Edits[Index], 0)),
        INDEX(Contract_Edits[Dep], MATCH(Contract_Edits[[#This Row],[Dep]], Contract_Edits[Index], 0))=Contract_Edits[[#This Row],[Index]]),
   "2-cycle","")</f>
        <v/>
      </c>
      <c r="AK71" s="503" cm="1">
        <f t="array" ref="AK71">IF(Contract_Edits[[#This Row],[BaseFlag]]&lt;&gt;1,0,
   IF(TEXT(Contract_Edits[[#This Row],[Dep]],"0")=TEXT(Contract_Edits[[#This Row],[Index]],"0"),
      0,
      MAX(0, SUMPRODUCT(--(Contract_Edits[BaseFlag]=1),
                        --(TEXT(Contract_Edits[Dep],"0")=TEXT(Contract_Edits[[#This Row],[Dep]],"0"))) - 1)
   )
)</f>
        <v>0</v>
      </c>
      <c r="AL71" s="503" t="str" cm="1">
        <f t="array" ref="AL71">IF(Contract_Edits[[#This Row],[BaseFlag]]=1,
   TEXT(Contract_Edits[[#This Row],[Index]],"0"),
   NearestBaseL(TEXT(Contract_Edits[[#This Row],[ParentKey]],"0"),500,editsIdxTxt,editsParentKeyTxt,baseIdxTxt,baseCost)
)</f>
        <v>16</v>
      </c>
      <c r="AM71" s="503" cm="1">
        <f t="array" ref="AM71">1+SUMPRODUCT(
  (Contract_Edits[BaseFlag]=1)*
  (TEXT(Contract_Edits[ParentAnchor],"0")=TEXT(Contract_Edits[[#This Row],[ParentAnchor]],"0"))*
  (VALUE(TEXT(Contract_Edits[Index],"0"))&lt;VALUE(TEXT(Contract_Edits[[#This Row],[Index]],"0")))
)</f>
        <v>2</v>
      </c>
      <c r="AN71" s="503"/>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438</v>
      </c>
      <c r="B72" t="s">
        <v>435</v>
      </c>
      <c r="C72" t="s">
        <v>463</v>
      </c>
      <c r="D72" s="436" t="s">
        <v>442</v>
      </c>
      <c r="E72">
        <v>1</v>
      </c>
      <c r="F72" s="445">
        <v>0</v>
      </c>
      <c r="G72" s="188">
        <v>0</v>
      </c>
      <c r="H72">
        <v>16</v>
      </c>
      <c r="I72">
        <v>0</v>
      </c>
      <c r="J72">
        <v>17</v>
      </c>
      <c r="K72" s="104"/>
      <c r="L72" s="441">
        <v>17</v>
      </c>
      <c r="M72" s="441"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68"/>
      <c r="R72" s="508"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2" s="179">
        <v>0</v>
      </c>
      <c r="T72" s="179">
        <v>0</v>
      </c>
      <c r="U72" s="11"/>
      <c r="V72"/>
      <c r="W72" s="22" t="s">
        <v>358</v>
      </c>
      <c r="X72" s="22" t="s">
        <v>358</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03">
        <f>--(
  ISNUMBER(SEARCH("BASE PARENT", UPPER(CLEAN(TRIM(_xlfn.XLOOKUP(TEXT(Contract_Edits[[#This Row],[Index]],"0"), baseIdxTxt, baseCost, "")))))) +
  ISNUMBER(SEARCH("DEPENDENCY GROUP", UPPER(CLEAN(TRIM(_xlfn.XLOOKUP(TEXT(Contract_Edits[[#This Row],[Index]],"0"), baseIdxTxt, baseCost, ""))))))
)</f>
        <v>1</v>
      </c>
      <c r="AG72" s="503" cm="1">
        <f t="array" ref="AG72">IF(Contract_Edits[[#This Row],[BaseFlag]]=1,
   10*BaseDepthL(TEXT(Contract_Edits[[#This Row],[Index]],"0"),500,editsIdxTxt,editsParentKeyTxt,baseIdxTxt,baseCost)-5,
   ""
)</f>
        <v>165</v>
      </c>
      <c r="AH72" s="503"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03" t="str">
        <f>IF(Contract_Edits[[#This Row],[Dep]]=0,"Root",
   IF(ISNUMBER(MATCH(Contract_Edits[[#This Row],[Dep]],Contract_Edits[Index],0)),"OK","Missing")
)</f>
        <v>OK</v>
      </c>
      <c r="AJ72" s="503" t="str">
        <f>IF(AND(Contract_Edits[[#This Row],[Dep]]&lt;&gt;0,
        ISNUMBER(MATCH(Contract_Edits[[#This Row],[Dep]], Contract_Edits[Index], 0)),
        INDEX(Contract_Edits[Dep], MATCH(Contract_Edits[[#This Row],[Dep]], Contract_Edits[Index], 0))=Contract_Edits[[#This Row],[Index]]),
   "2-cycle","")</f>
        <v/>
      </c>
      <c r="AK72" s="503" cm="1">
        <f t="array" ref="AK72">IF(Contract_Edits[[#This Row],[BaseFlag]]&lt;&gt;1,0,
   IF(TEXT(Contract_Edits[[#This Row],[Dep]],"0")=TEXT(Contract_Edits[[#This Row],[Index]],"0"),
      0,
      MAX(0, SUMPRODUCT(--(Contract_Edits[BaseFlag]=1),
                        --(TEXT(Contract_Edits[Dep],"0")=TEXT(Contract_Edits[[#This Row],[Dep]],"0"))) - 1)
   )
)</f>
        <v>0</v>
      </c>
      <c r="AL72" s="503" t="str" cm="1">
        <f t="array" ref="AL72">IF(Contract_Edits[[#This Row],[BaseFlag]]=1,
   TEXT(Contract_Edits[[#This Row],[Index]],"0"),
   NearestBaseL(TEXT(Contract_Edits[[#This Row],[ParentKey]],"0"),500,editsIdxTxt,editsParentKeyTxt,baseIdxTxt,baseCost)
)</f>
        <v>17</v>
      </c>
      <c r="AM72" s="503" cm="1">
        <f t="array" ref="AM72">1+SUMPRODUCT(
  (Contract_Edits[BaseFlag]=1)*
  (TEXT(Contract_Edits[ParentAnchor],"0")=TEXT(Contract_Edits[[#This Row],[ParentAnchor]],"0"))*
  (VALUE(TEXT(Contract_Edits[Index],"0"))&lt;VALUE(TEXT(Contract_Edits[[#This Row],[Index]],"0")))
)</f>
        <v>1</v>
      </c>
      <c r="AN72" s="503"/>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481</v>
      </c>
      <c r="B73" t="s">
        <v>513</v>
      </c>
      <c r="C73" t="s">
        <v>523</v>
      </c>
      <c r="D73" s="436" t="s">
        <v>524</v>
      </c>
      <c r="E73">
        <v>1</v>
      </c>
      <c r="F73" s="445"/>
      <c r="G73" s="188"/>
      <c r="H73">
        <v>0</v>
      </c>
      <c r="I73"/>
      <c r="J73">
        <v>78</v>
      </c>
      <c r="K73" s="104"/>
      <c r="L73" s="441">
        <v>78</v>
      </c>
      <c r="M73" s="441"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0"/>
      <c r="R73" s="508"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3" s="179">
        <v>0</v>
      </c>
      <c r="T73" s="469"/>
      <c r="U73" s="492" t="s">
        <v>611</v>
      </c>
      <c r="V73" s="193"/>
      <c r="W73" s="22" t="s">
        <v>358</v>
      </c>
      <c r="X73" s="22" t="s">
        <v>358</v>
      </c>
      <c r="Y73" s="484"/>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03">
        <f>--(
  ISNUMBER(SEARCH("BASE PARENT", UPPER(CLEAN(TRIM(_xlfn.XLOOKUP(TEXT(Contract_Edits[[#This Row],[Index]],"0"), baseIdxTxt, baseCost, "")))))) +
  ISNUMBER(SEARCH("DEPENDENCY GROUP", UPPER(CLEAN(TRIM(_xlfn.XLOOKUP(TEXT(Contract_Edits[[#This Row],[Index]],"0"), baseIdxTxt, baseCost, ""))))))
)</f>
        <v>0</v>
      </c>
      <c r="AG73" s="503" t="str" cm="1">
        <f t="array" ref="AG73">IF(Contract_Edits[[#This Row],[BaseFlag]]=1,
   10*BaseDepthL(TEXT(Contract_Edits[[#This Row],[Index]],"0"),500,editsIdxTxt,editsParentKeyTxt,baseIdxTxt,baseCost)-5,
   ""
)</f>
        <v/>
      </c>
      <c r="AH73" s="503"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03" t="str">
        <f>IF(Contract_Edits[[#This Row],[Dep]]=0,"Root",
   IF(ISNUMBER(MATCH(Contract_Edits[[#This Row],[Dep]],Contract_Edits[Index],0)),"OK","Missing")
)</f>
        <v>OK</v>
      </c>
      <c r="AJ73" s="503" t="str">
        <f>IF(AND(Contract_Edits[[#This Row],[Dep]]&lt;&gt;0,
        ISNUMBER(MATCH(Contract_Edits[[#This Row],[Dep]], Contract_Edits[Index], 0)),
        INDEX(Contract_Edits[Dep], MATCH(Contract_Edits[[#This Row],[Dep]], Contract_Edits[Index], 0))=Contract_Edits[[#This Row],[Index]]),
   "2-cycle","")</f>
        <v/>
      </c>
      <c r="AK73" s="503" cm="1">
        <f t="array" ref="AK73">IF(Contract_Edits[[#This Row],[BaseFlag]]&lt;&gt;1,0,
   IF(TEXT(Contract_Edits[[#This Row],[Dep]],"0")=TEXT(Contract_Edits[[#This Row],[Index]],"0"),
      0,
      MAX(0, SUMPRODUCT(--(Contract_Edits[BaseFlag]=1),
                        --(TEXT(Contract_Edits[Dep],"0")=TEXT(Contract_Edits[[#This Row],[Dep]],"0"))) - 1)
   )
)</f>
        <v>0</v>
      </c>
      <c r="AL73" s="503" t="str" cm="1">
        <f t="array" ref="AL73">IF(Contract_Edits[[#This Row],[BaseFlag]]=1,
   TEXT(Contract_Edits[[#This Row],[Index]],"0"),
   NearestBaseL(TEXT(Contract_Edits[[#This Row],[ParentKey]],"0"),500,editsIdxTxt,editsParentKeyTxt,baseIdxTxt,baseCost)
)</f>
        <v>17</v>
      </c>
      <c r="AM73" s="503" cm="1">
        <f t="array" ref="AM73">1+SUMPRODUCT(
  (Contract_Edits[BaseFlag]=1)*
  (TEXT(Contract_Edits[ParentAnchor],"0")=TEXT(Contract_Edits[[#This Row],[ParentAnchor]],"0"))*
  (VALUE(TEXT(Contract_Edits[Index],"0"))&lt;VALUE(TEXT(Contract_Edits[[#This Row],[Index]],"0")))
)</f>
        <v>2</v>
      </c>
      <c r="AN73" s="503"/>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551</v>
      </c>
      <c r="B74" t="s">
        <v>546</v>
      </c>
      <c r="C74" t="s">
        <v>442</v>
      </c>
      <c r="D74" s="436" t="s">
        <v>588</v>
      </c>
      <c r="E74">
        <v>1</v>
      </c>
      <c r="F74" s="445">
        <v>44.58382499999999</v>
      </c>
      <c r="G74" s="188">
        <v>44.58382499999999</v>
      </c>
      <c r="H74">
        <v>17</v>
      </c>
      <c r="I74">
        <v>44.58382499999999</v>
      </c>
      <c r="J74">
        <v>902</v>
      </c>
      <c r="K74" s="104"/>
      <c r="L74" s="441">
        <v>902</v>
      </c>
      <c r="M74" s="441"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0"/>
      <c r="R74" s="508"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4" s="179">
        <v>0</v>
      </c>
      <c r="T74" s="469"/>
      <c r="U74" s="492" t="s">
        <v>611</v>
      </c>
      <c r="V74" s="193"/>
      <c r="W74" s="22" t="s">
        <v>358</v>
      </c>
      <c r="X74" s="22" t="s">
        <v>358</v>
      </c>
      <c r="Y74" s="484"/>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03">
        <f>--(
  ISNUMBER(SEARCH("BASE PARENT", UPPER(CLEAN(TRIM(_xlfn.XLOOKUP(TEXT(Contract_Edits[[#This Row],[Index]],"0"), baseIdxTxt, baseCost, "")))))) +
  ISNUMBER(SEARCH("DEPENDENCY GROUP", UPPER(CLEAN(TRIM(_xlfn.XLOOKUP(TEXT(Contract_Edits[[#This Row],[Index]],"0"), baseIdxTxt, baseCost, ""))))))
)</f>
        <v>0</v>
      </c>
      <c r="AG74" s="503" t="str" cm="1">
        <f t="array" ref="AG74">IF(Contract_Edits[[#This Row],[BaseFlag]]=1,
   10*BaseDepthL(TEXT(Contract_Edits[[#This Row],[Index]],"0"),500,editsIdxTxt,editsParentKeyTxt,baseIdxTxt,baseCost)-5,
   ""
)</f>
        <v/>
      </c>
      <c r="AH74" s="503"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03" t="str">
        <f>IF(Contract_Edits[[#This Row],[Dep]]=0,"Root",
   IF(ISNUMBER(MATCH(Contract_Edits[[#This Row],[Dep]],Contract_Edits[Index],0)),"OK","Missing")
)</f>
        <v>OK</v>
      </c>
      <c r="AJ74" s="503" t="str">
        <f>IF(AND(Contract_Edits[[#This Row],[Dep]]&lt;&gt;0,
        ISNUMBER(MATCH(Contract_Edits[[#This Row],[Dep]], Contract_Edits[Index], 0)),
        INDEX(Contract_Edits[Dep], MATCH(Contract_Edits[[#This Row],[Dep]], Contract_Edits[Index], 0))=Contract_Edits[[#This Row],[Index]]),
   "2-cycle","")</f>
        <v/>
      </c>
      <c r="AK74" s="503" cm="1">
        <f t="array" ref="AK74">IF(Contract_Edits[[#This Row],[BaseFlag]]&lt;&gt;1,0,
   IF(TEXT(Contract_Edits[[#This Row],[Dep]],"0")=TEXT(Contract_Edits[[#This Row],[Index]],"0"),
      0,
      MAX(0, SUMPRODUCT(--(Contract_Edits[BaseFlag]=1),
                        --(TEXT(Contract_Edits[Dep],"0")=TEXT(Contract_Edits[[#This Row],[Dep]],"0"))) - 1)
   )
)</f>
        <v>0</v>
      </c>
      <c r="AL74" s="503" t="str" cm="1">
        <f t="array" ref="AL74">IF(Contract_Edits[[#This Row],[BaseFlag]]=1,
   TEXT(Contract_Edits[[#This Row],[Index]],"0"),
   NearestBaseL(TEXT(Contract_Edits[[#This Row],[ParentKey]],"0"),500,editsIdxTxt,editsParentKeyTxt,baseIdxTxt,baseCost)
)</f>
        <v>17</v>
      </c>
      <c r="AM74" s="503" cm="1">
        <f t="array" ref="AM74">1+SUMPRODUCT(
  (Contract_Edits[BaseFlag]=1)*
  (TEXT(Contract_Edits[ParentAnchor],"0")=TEXT(Contract_Edits[[#This Row],[ParentAnchor]],"0"))*
  (VALUE(TEXT(Contract_Edits[Index],"0"))&lt;VALUE(TEXT(Contract_Edits[[#This Row],[Index]],"0")))
)</f>
        <v>2</v>
      </c>
      <c r="AN74" s="503"/>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481</v>
      </c>
      <c r="B75" t="s">
        <v>513</v>
      </c>
      <c r="C75" t="s">
        <v>514</v>
      </c>
      <c r="D75" s="436" t="s">
        <v>515</v>
      </c>
      <c r="E75">
        <v>1</v>
      </c>
      <c r="F75" s="445"/>
      <c r="G75" s="188"/>
      <c r="H75">
        <v>0</v>
      </c>
      <c r="I75"/>
      <c r="J75">
        <v>67</v>
      </c>
      <c r="K75" s="104"/>
      <c r="L75" s="441">
        <v>67</v>
      </c>
      <c r="M75" s="441"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68"/>
      <c r="R75" s="508"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5" s="179">
        <v>0</v>
      </c>
      <c r="T75" s="179">
        <v>0</v>
      </c>
      <c r="U75" s="11" t="s">
        <v>611</v>
      </c>
      <c r="V75"/>
      <c r="W75" s="22" t="s">
        <v>358</v>
      </c>
      <c r="X75" s="22" t="s">
        <v>358</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03">
        <f>--(
  ISNUMBER(SEARCH("BASE PARENT", UPPER(CLEAN(TRIM(_xlfn.XLOOKUP(TEXT(Contract_Edits[[#This Row],[Index]],"0"), baseIdxTxt, baseCost, "")))))) +
  ISNUMBER(SEARCH("DEPENDENCY GROUP", UPPER(CLEAN(TRIM(_xlfn.XLOOKUP(TEXT(Contract_Edits[[#This Row],[Index]],"0"), baseIdxTxt, baseCost, ""))))))
)</f>
        <v>0</v>
      </c>
      <c r="AG75" s="503" t="str" cm="1">
        <f t="array" ref="AG75">IF(Contract_Edits[[#This Row],[BaseFlag]]=1,
   10*BaseDepthL(TEXT(Contract_Edits[[#This Row],[Index]],"0"),500,editsIdxTxt,editsParentKeyTxt,baseIdxTxt,baseCost)-5,
   ""
)</f>
        <v/>
      </c>
      <c r="AH75" s="503"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03" t="str">
        <f>IF(Contract_Edits[[#This Row],[Dep]]=0,"Root",
   IF(ISNUMBER(MATCH(Contract_Edits[[#This Row],[Dep]],Contract_Edits[Index],0)),"OK","Missing")
)</f>
        <v>OK</v>
      </c>
      <c r="AJ75" s="503" t="str">
        <f>IF(AND(Contract_Edits[[#This Row],[Dep]]&lt;&gt;0,
        ISNUMBER(MATCH(Contract_Edits[[#This Row],[Dep]], Contract_Edits[Index], 0)),
        INDEX(Contract_Edits[Dep], MATCH(Contract_Edits[[#This Row],[Dep]], Contract_Edits[Index], 0))=Contract_Edits[[#This Row],[Index]]),
   "2-cycle","")</f>
        <v/>
      </c>
      <c r="AK75" s="503" cm="1">
        <f t="array" ref="AK75">IF(Contract_Edits[[#This Row],[BaseFlag]]&lt;&gt;1,0,
   IF(TEXT(Contract_Edits[[#This Row],[Dep]],"0")=TEXT(Contract_Edits[[#This Row],[Index]],"0"),
      0,
      MAX(0, SUMPRODUCT(--(Contract_Edits[BaseFlag]=1),
                        --(TEXT(Contract_Edits[Dep],"0")=TEXT(Contract_Edits[[#This Row],[Dep]],"0"))) - 1)
   )
)</f>
        <v>0</v>
      </c>
      <c r="AL75" s="503" t="str" cm="1">
        <f t="array" ref="AL75">IF(Contract_Edits[[#This Row],[BaseFlag]]=1,
   TEXT(Contract_Edits[[#This Row],[Index]],"0"),
   NearestBaseL(TEXT(Contract_Edits[[#This Row],[ParentKey]],"0"),500,editsIdxTxt,editsParentKeyTxt,baseIdxTxt,baseCost)
)</f>
        <v>17</v>
      </c>
      <c r="AM75" s="503" cm="1">
        <f t="array" ref="AM75">1+SUMPRODUCT(
  (Contract_Edits[BaseFlag]=1)*
  (TEXT(Contract_Edits[ParentAnchor],"0")=TEXT(Contract_Edits[[#This Row],[ParentAnchor]],"0"))*
  (VALUE(TEXT(Contract_Edits[Index],"0"))&lt;VALUE(TEXT(Contract_Edits[[#This Row],[Index]],"0")))
)</f>
        <v>2</v>
      </c>
      <c r="AN75" s="503"/>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481</v>
      </c>
      <c r="B76" t="s">
        <v>513</v>
      </c>
      <c r="C76" t="s">
        <v>516</v>
      </c>
      <c r="D76" s="436" t="s">
        <v>517</v>
      </c>
      <c r="E76">
        <v>1</v>
      </c>
      <c r="F76" s="445"/>
      <c r="G76" s="188"/>
      <c r="H76">
        <v>0</v>
      </c>
      <c r="I76"/>
      <c r="J76">
        <v>70</v>
      </c>
      <c r="K76" s="104"/>
      <c r="L76" s="441">
        <v>70</v>
      </c>
      <c r="M76" s="441"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68"/>
      <c r="R76" s="508"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6" s="179">
        <v>0</v>
      </c>
      <c r="T76" s="179">
        <v>0</v>
      </c>
      <c r="U76" s="11" t="s">
        <v>611</v>
      </c>
      <c r="V76"/>
      <c r="W76" s="22" t="s">
        <v>358</v>
      </c>
      <c r="X76" s="22" t="s">
        <v>358</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03">
        <f>--(
  ISNUMBER(SEARCH("BASE PARENT", UPPER(CLEAN(TRIM(_xlfn.XLOOKUP(TEXT(Contract_Edits[[#This Row],[Index]],"0"), baseIdxTxt, baseCost, "")))))) +
  ISNUMBER(SEARCH("DEPENDENCY GROUP", UPPER(CLEAN(TRIM(_xlfn.XLOOKUP(TEXT(Contract_Edits[[#This Row],[Index]],"0"), baseIdxTxt, baseCost, ""))))))
)</f>
        <v>0</v>
      </c>
      <c r="AG76" s="503" t="str" cm="1">
        <f t="array" ref="AG76">IF(Contract_Edits[[#This Row],[BaseFlag]]=1,
   10*BaseDepthL(TEXT(Contract_Edits[[#This Row],[Index]],"0"),500,editsIdxTxt,editsParentKeyTxt,baseIdxTxt,baseCost)-5,
   ""
)</f>
        <v/>
      </c>
      <c r="AH76" s="503"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03" t="str">
        <f>IF(Contract_Edits[[#This Row],[Dep]]=0,"Root",
   IF(ISNUMBER(MATCH(Contract_Edits[[#This Row],[Dep]],Contract_Edits[Index],0)),"OK","Missing")
)</f>
        <v>OK</v>
      </c>
      <c r="AJ76" s="503" t="str">
        <f>IF(AND(Contract_Edits[[#This Row],[Dep]]&lt;&gt;0,
        ISNUMBER(MATCH(Contract_Edits[[#This Row],[Dep]], Contract_Edits[Index], 0)),
        INDEX(Contract_Edits[Dep], MATCH(Contract_Edits[[#This Row],[Dep]], Contract_Edits[Index], 0))=Contract_Edits[[#This Row],[Index]]),
   "2-cycle","")</f>
        <v/>
      </c>
      <c r="AK76" s="503" cm="1">
        <f t="array" ref="AK76">IF(Contract_Edits[[#This Row],[BaseFlag]]&lt;&gt;1,0,
   IF(TEXT(Contract_Edits[[#This Row],[Dep]],"0")=TEXT(Contract_Edits[[#This Row],[Index]],"0"),
      0,
      MAX(0, SUMPRODUCT(--(Contract_Edits[BaseFlag]=1),
                        --(TEXT(Contract_Edits[Dep],"0")=TEXT(Contract_Edits[[#This Row],[Dep]],"0"))) - 1)
   )
)</f>
        <v>0</v>
      </c>
      <c r="AL76" s="503" t="str" cm="1">
        <f t="array" ref="AL76">IF(Contract_Edits[[#This Row],[BaseFlag]]=1,
   TEXT(Contract_Edits[[#This Row],[Index]],"0"),
   NearestBaseL(TEXT(Contract_Edits[[#This Row],[ParentKey]],"0"),500,editsIdxTxt,editsParentKeyTxt,baseIdxTxt,baseCost)
)</f>
        <v>17</v>
      </c>
      <c r="AM76" s="503" cm="1">
        <f t="array" ref="AM76">1+SUMPRODUCT(
  (Contract_Edits[BaseFlag]=1)*
  (TEXT(Contract_Edits[ParentAnchor],"0")=TEXT(Contract_Edits[[#This Row],[ParentAnchor]],"0"))*
  (VALUE(TEXT(Contract_Edits[Index],"0"))&lt;VALUE(TEXT(Contract_Edits[[#This Row],[Index]],"0")))
)</f>
        <v>2</v>
      </c>
      <c r="AN76" s="503"/>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438</v>
      </c>
      <c r="B77" t="s">
        <v>435</v>
      </c>
      <c r="C77" t="s">
        <v>463</v>
      </c>
      <c r="D77" s="436" t="s">
        <v>454</v>
      </c>
      <c r="E77">
        <v>1</v>
      </c>
      <c r="F77" s="445">
        <v>0</v>
      </c>
      <c r="G77" s="188">
        <v>0</v>
      </c>
      <c r="H77">
        <v>17</v>
      </c>
      <c r="I77">
        <v>0</v>
      </c>
      <c r="J77">
        <v>18</v>
      </c>
      <c r="K77" s="104"/>
      <c r="L77" s="441">
        <v>18</v>
      </c>
      <c r="M77" s="441"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68"/>
      <c r="R77" s="508"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7" s="179">
        <v>0</v>
      </c>
      <c r="T77" s="179"/>
      <c r="U77" s="11"/>
      <c r="V77"/>
      <c r="W77" s="22" t="s">
        <v>358</v>
      </c>
      <c r="X77" s="22" t="s">
        <v>358</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03">
        <f>--(
  ISNUMBER(SEARCH("BASE PARENT", UPPER(CLEAN(TRIM(_xlfn.XLOOKUP(TEXT(Contract_Edits[[#This Row],[Index]],"0"), baseIdxTxt, baseCost, "")))))) +
  ISNUMBER(SEARCH("DEPENDENCY GROUP", UPPER(CLEAN(TRIM(_xlfn.XLOOKUP(TEXT(Contract_Edits[[#This Row],[Index]],"0"), baseIdxTxt, baseCost, ""))))))
)</f>
        <v>1</v>
      </c>
      <c r="AG77" s="503" cm="1">
        <f t="array" ref="AG77">IF(Contract_Edits[[#This Row],[BaseFlag]]=1,
   10*BaseDepthL(TEXT(Contract_Edits[[#This Row],[Index]],"0"),500,editsIdxTxt,editsParentKeyTxt,baseIdxTxt,baseCost)-5,
   ""
)</f>
        <v>175</v>
      </c>
      <c r="AH77" s="503"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03" t="str">
        <f>IF(Contract_Edits[[#This Row],[Dep]]=0,"Root",
   IF(ISNUMBER(MATCH(Contract_Edits[[#This Row],[Dep]],Contract_Edits[Index],0)),"OK","Missing")
)</f>
        <v>OK</v>
      </c>
      <c r="AJ77" s="503" t="str">
        <f>IF(AND(Contract_Edits[[#This Row],[Dep]]&lt;&gt;0,
        ISNUMBER(MATCH(Contract_Edits[[#This Row],[Dep]], Contract_Edits[Index], 0)),
        INDEX(Contract_Edits[Dep], MATCH(Contract_Edits[[#This Row],[Dep]], Contract_Edits[Index], 0))=Contract_Edits[[#This Row],[Index]]),
   "2-cycle","")</f>
        <v/>
      </c>
      <c r="AK77" s="503" cm="1">
        <f t="array" ref="AK77">IF(Contract_Edits[[#This Row],[BaseFlag]]&lt;&gt;1,0,
   IF(TEXT(Contract_Edits[[#This Row],[Dep]],"0")=TEXT(Contract_Edits[[#This Row],[Index]],"0"),
      0,
      MAX(0, SUMPRODUCT(--(Contract_Edits[BaseFlag]=1),
                        --(TEXT(Contract_Edits[Dep],"0")=TEXT(Contract_Edits[[#This Row],[Dep]],"0"))) - 1)
   )
)</f>
        <v>0</v>
      </c>
      <c r="AL77" s="503" t="str" cm="1">
        <f t="array" ref="AL77">IF(Contract_Edits[[#This Row],[BaseFlag]]=1,
   TEXT(Contract_Edits[[#This Row],[Index]],"0"),
   NearestBaseL(TEXT(Contract_Edits[[#This Row],[ParentKey]],"0"),500,editsIdxTxt,editsParentKeyTxt,baseIdxTxt,baseCost)
)</f>
        <v>18</v>
      </c>
      <c r="AM77" s="503" cm="1">
        <f t="array" ref="AM77">1+SUMPRODUCT(
  (Contract_Edits[BaseFlag]=1)*
  (TEXT(Contract_Edits[ParentAnchor],"0")=TEXT(Contract_Edits[[#This Row],[ParentAnchor]],"0"))*
  (VALUE(TEXT(Contract_Edits[Index],"0"))&lt;VALUE(TEXT(Contract_Edits[[#This Row],[Index]],"0")))
)</f>
        <v>1</v>
      </c>
      <c r="AN77" s="503"/>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481</v>
      </c>
      <c r="B78" t="s">
        <v>454</v>
      </c>
      <c r="C78" t="s">
        <v>454</v>
      </c>
      <c r="D78" s="436" t="s">
        <v>511</v>
      </c>
      <c r="E78">
        <v>1</v>
      </c>
      <c r="F78" s="445"/>
      <c r="G78" s="188"/>
      <c r="H78">
        <v>0</v>
      </c>
      <c r="I78"/>
      <c r="J78">
        <v>63</v>
      </c>
      <c r="K78" s="104"/>
      <c r="L78" s="441">
        <v>63</v>
      </c>
      <c r="M78" s="441"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0"/>
      <c r="R78" s="508"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8" s="179">
        <v>0</v>
      </c>
      <c r="T78" s="469"/>
      <c r="U78" s="492" t="s">
        <v>612</v>
      </c>
      <c r="V78" s="193"/>
      <c r="W78" s="22" t="s">
        <v>358</v>
      </c>
      <c r="X78" s="484" t="s">
        <v>358</v>
      </c>
      <c r="Y78" s="484"/>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03">
        <f>--(
  ISNUMBER(SEARCH("BASE PARENT", UPPER(CLEAN(TRIM(_xlfn.XLOOKUP(TEXT(Contract_Edits[[#This Row],[Index]],"0"), baseIdxTxt, baseCost, "")))))) +
  ISNUMBER(SEARCH("DEPENDENCY GROUP", UPPER(CLEAN(TRIM(_xlfn.XLOOKUP(TEXT(Contract_Edits[[#This Row],[Index]],"0"), baseIdxTxt, baseCost, ""))))))
)</f>
        <v>0</v>
      </c>
      <c r="AG78" s="503" t="str" cm="1">
        <f t="array" ref="AG78">IF(Contract_Edits[[#This Row],[BaseFlag]]=1,
   10*BaseDepthL(TEXT(Contract_Edits[[#This Row],[Index]],"0"),500,editsIdxTxt,editsParentKeyTxt,baseIdxTxt,baseCost)-5,
   ""
)</f>
        <v/>
      </c>
      <c r="AH78" s="503"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03" t="str">
        <f>IF(Contract_Edits[[#This Row],[Dep]]=0,"Root",
   IF(ISNUMBER(MATCH(Contract_Edits[[#This Row],[Dep]],Contract_Edits[Index],0)),"OK","Missing")
)</f>
        <v>OK</v>
      </c>
      <c r="AJ78" s="503" t="str">
        <f>IF(AND(Contract_Edits[[#This Row],[Dep]]&lt;&gt;0,
        ISNUMBER(MATCH(Contract_Edits[[#This Row],[Dep]], Contract_Edits[Index], 0)),
        INDEX(Contract_Edits[Dep], MATCH(Contract_Edits[[#This Row],[Dep]], Contract_Edits[Index], 0))=Contract_Edits[[#This Row],[Index]]),
   "2-cycle","")</f>
        <v/>
      </c>
      <c r="AK78" s="503" cm="1">
        <f t="array" ref="AK78">IF(Contract_Edits[[#This Row],[BaseFlag]]&lt;&gt;1,0,
   IF(TEXT(Contract_Edits[[#This Row],[Dep]],"0")=TEXT(Contract_Edits[[#This Row],[Index]],"0"),
      0,
      MAX(0, SUMPRODUCT(--(Contract_Edits[BaseFlag]=1),
                        --(TEXT(Contract_Edits[Dep],"0")=TEXT(Contract_Edits[[#This Row],[Dep]],"0"))) - 1)
   )
)</f>
        <v>0</v>
      </c>
      <c r="AL78" s="503" t="str" cm="1">
        <f t="array" ref="AL78">IF(Contract_Edits[[#This Row],[BaseFlag]]=1,
   TEXT(Contract_Edits[[#This Row],[Index]],"0"),
   NearestBaseL(TEXT(Contract_Edits[[#This Row],[ParentKey]],"0"),500,editsIdxTxt,editsParentKeyTxt,baseIdxTxt,baseCost)
)</f>
        <v>18</v>
      </c>
      <c r="AM78" s="503" cm="1">
        <f t="array" ref="AM78">1+SUMPRODUCT(
  (Contract_Edits[BaseFlag]=1)*
  (TEXT(Contract_Edits[ParentAnchor],"0")=TEXT(Contract_Edits[[#This Row],[ParentAnchor]],"0"))*
  (VALUE(TEXT(Contract_Edits[Index],"0"))&lt;VALUE(TEXT(Contract_Edits[[#This Row],[Index]],"0")))
)</f>
        <v>2</v>
      </c>
      <c r="AN78" s="503"/>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438</v>
      </c>
      <c r="B79" t="s">
        <v>435</v>
      </c>
      <c r="C79" t="s">
        <v>454</v>
      </c>
      <c r="D79" s="436" t="s">
        <v>461</v>
      </c>
      <c r="E79">
        <v>1</v>
      </c>
      <c r="F79" s="445">
        <v>0</v>
      </c>
      <c r="G79" s="188">
        <v>0</v>
      </c>
      <c r="H79">
        <v>18</v>
      </c>
      <c r="I79">
        <v>0</v>
      </c>
      <c r="J79">
        <v>19</v>
      </c>
      <c r="K79" s="104"/>
      <c r="L79" s="441">
        <v>19</v>
      </c>
      <c r="M79" s="441"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68"/>
      <c r="R79" s="508"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9" s="179">
        <v>0</v>
      </c>
      <c r="T79" s="179">
        <v>0</v>
      </c>
      <c r="U79" s="11"/>
      <c r="V79"/>
      <c r="W79" s="22" t="s">
        <v>358</v>
      </c>
      <c r="X79" s="22" t="s">
        <v>358</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03">
        <f>--(
  ISNUMBER(SEARCH("BASE PARENT", UPPER(CLEAN(TRIM(_xlfn.XLOOKUP(TEXT(Contract_Edits[[#This Row],[Index]],"0"), baseIdxTxt, baseCost, "")))))) +
  ISNUMBER(SEARCH("DEPENDENCY GROUP", UPPER(CLEAN(TRIM(_xlfn.XLOOKUP(TEXT(Contract_Edits[[#This Row],[Index]],"0"), baseIdxTxt, baseCost, ""))))))
)</f>
        <v>1</v>
      </c>
      <c r="AG79" s="503" cm="1">
        <f t="array" ref="AG79">IF(Contract_Edits[[#This Row],[BaseFlag]]=1,
   10*BaseDepthL(TEXT(Contract_Edits[[#This Row],[Index]],"0"),500,editsIdxTxt,editsParentKeyTxt,baseIdxTxt,baseCost)-5,
   ""
)</f>
        <v>185</v>
      </c>
      <c r="AH79" s="503"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03" t="str">
        <f>IF(Contract_Edits[[#This Row],[Dep]]=0,"Root",
   IF(ISNUMBER(MATCH(Contract_Edits[[#This Row],[Dep]],Contract_Edits[Index],0)),"OK","Missing")
)</f>
        <v>OK</v>
      </c>
      <c r="AJ79" s="503" t="str">
        <f>IF(AND(Contract_Edits[[#This Row],[Dep]]&lt;&gt;0,
        ISNUMBER(MATCH(Contract_Edits[[#This Row],[Dep]], Contract_Edits[Index], 0)),
        INDEX(Contract_Edits[Dep], MATCH(Contract_Edits[[#This Row],[Dep]], Contract_Edits[Index], 0))=Contract_Edits[[#This Row],[Index]]),
   "2-cycle","")</f>
        <v/>
      </c>
      <c r="AK79" s="503" cm="1">
        <f t="array" ref="AK79">IF(Contract_Edits[[#This Row],[BaseFlag]]&lt;&gt;1,0,
   IF(TEXT(Contract_Edits[[#This Row],[Dep]],"0")=TEXT(Contract_Edits[[#This Row],[Index]],"0"),
      0,
      MAX(0, SUMPRODUCT(--(Contract_Edits[BaseFlag]=1),
                        --(TEXT(Contract_Edits[Dep],"0")=TEXT(Contract_Edits[[#This Row],[Dep]],"0"))) - 1)
   )
)</f>
        <v>0</v>
      </c>
      <c r="AL79" s="503" t="str" cm="1">
        <f t="array" ref="AL79">IF(Contract_Edits[[#This Row],[BaseFlag]]=1,
   TEXT(Contract_Edits[[#This Row],[Index]],"0"),
   NearestBaseL(TEXT(Contract_Edits[[#This Row],[ParentKey]],"0"),500,editsIdxTxt,editsParentKeyTxt,baseIdxTxt,baseCost)
)</f>
        <v>19</v>
      </c>
      <c r="AM79" s="503" cm="1">
        <f t="array" ref="AM79">1+SUMPRODUCT(
  (Contract_Edits[BaseFlag]=1)*
  (TEXT(Contract_Edits[ParentAnchor],"0")=TEXT(Contract_Edits[[#This Row],[ParentAnchor]],"0"))*
  (VALUE(TEXT(Contract_Edits[Index],"0"))&lt;VALUE(TEXT(Contract_Edits[[#This Row],[Index]],"0")))
)</f>
        <v>1</v>
      </c>
      <c r="AN79" s="503"/>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551</v>
      </c>
      <c r="B80" t="s">
        <v>546</v>
      </c>
      <c r="C80" t="s">
        <v>454</v>
      </c>
      <c r="D80" s="436" t="s">
        <v>590</v>
      </c>
      <c r="E80">
        <v>1</v>
      </c>
      <c r="F80" s="445">
        <v>8621</v>
      </c>
      <c r="G80" s="188">
        <v>8621</v>
      </c>
      <c r="H80">
        <v>19</v>
      </c>
      <c r="I80">
        <v>8621</v>
      </c>
      <c r="J80">
        <v>911</v>
      </c>
      <c r="K80" s="104"/>
      <c r="L80" s="441">
        <v>911</v>
      </c>
      <c r="M80" s="441"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0"/>
      <c r="R80" s="508"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0" s="179">
        <v>0</v>
      </c>
      <c r="T80" s="469"/>
      <c r="U80" s="492" t="s">
        <v>613</v>
      </c>
      <c r="V80" s="193"/>
      <c r="W80" s="22" t="s">
        <v>358</v>
      </c>
      <c r="X80" s="484" t="s">
        <v>358</v>
      </c>
      <c r="Y80" s="484"/>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03">
        <f>--(
  ISNUMBER(SEARCH("BASE PARENT", UPPER(CLEAN(TRIM(_xlfn.XLOOKUP(TEXT(Contract_Edits[[#This Row],[Index]],"0"), baseIdxTxt, baseCost, "")))))) +
  ISNUMBER(SEARCH("DEPENDENCY GROUP", UPPER(CLEAN(TRIM(_xlfn.XLOOKUP(TEXT(Contract_Edits[[#This Row],[Index]],"0"), baseIdxTxt, baseCost, ""))))))
)</f>
        <v>0</v>
      </c>
      <c r="AG80" s="503" t="str" cm="1">
        <f t="array" ref="AG80">IF(Contract_Edits[[#This Row],[BaseFlag]]=1,
   10*BaseDepthL(TEXT(Contract_Edits[[#This Row],[Index]],"0"),500,editsIdxTxt,editsParentKeyTxt,baseIdxTxt,baseCost)-5,
   ""
)</f>
        <v/>
      </c>
      <c r="AH80" s="503"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03" t="str">
        <f>IF(Contract_Edits[[#This Row],[Dep]]=0,"Root",
   IF(ISNUMBER(MATCH(Contract_Edits[[#This Row],[Dep]],Contract_Edits[Index],0)),"OK","Missing")
)</f>
        <v>OK</v>
      </c>
      <c r="AJ80" s="503" t="str">
        <f>IF(AND(Contract_Edits[[#This Row],[Dep]]&lt;&gt;0,
        ISNUMBER(MATCH(Contract_Edits[[#This Row],[Dep]], Contract_Edits[Index], 0)),
        INDEX(Contract_Edits[Dep], MATCH(Contract_Edits[[#This Row],[Dep]], Contract_Edits[Index], 0))=Contract_Edits[[#This Row],[Index]]),
   "2-cycle","")</f>
        <v/>
      </c>
      <c r="AK80" s="503" cm="1">
        <f t="array" ref="AK80">IF(Contract_Edits[[#This Row],[BaseFlag]]&lt;&gt;1,0,
   IF(TEXT(Contract_Edits[[#This Row],[Dep]],"0")=TEXT(Contract_Edits[[#This Row],[Index]],"0"),
      0,
      MAX(0, SUMPRODUCT(--(Contract_Edits[BaseFlag]=1),
                        --(TEXT(Contract_Edits[Dep],"0")=TEXT(Contract_Edits[[#This Row],[Dep]],"0"))) - 1)
   )
)</f>
        <v>0</v>
      </c>
      <c r="AL80" s="503" t="str" cm="1">
        <f t="array" ref="AL80">IF(Contract_Edits[[#This Row],[BaseFlag]]=1,
   TEXT(Contract_Edits[[#This Row],[Index]],"0"),
   NearestBaseL(TEXT(Contract_Edits[[#This Row],[ParentKey]],"0"),500,editsIdxTxt,editsParentKeyTxt,baseIdxTxt,baseCost)
)</f>
        <v>19</v>
      </c>
      <c r="AM80" s="503" cm="1">
        <f t="array" ref="AM80">1+SUMPRODUCT(
  (Contract_Edits[BaseFlag]=1)*
  (TEXT(Contract_Edits[ParentAnchor],"0")=TEXT(Contract_Edits[[#This Row],[ParentAnchor]],"0"))*
  (VALUE(TEXT(Contract_Edits[Index],"0"))&lt;VALUE(TEXT(Contract_Edits[[#This Row],[Index]],"0")))
)</f>
        <v>2</v>
      </c>
      <c r="AN80" s="503"/>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438</v>
      </c>
      <c r="B81" t="s">
        <v>435</v>
      </c>
      <c r="C81" t="s">
        <v>450</v>
      </c>
      <c r="D81" s="436" t="s">
        <v>464</v>
      </c>
      <c r="E81">
        <v>1</v>
      </c>
      <c r="F81" s="445">
        <v>0</v>
      </c>
      <c r="G81" s="188">
        <v>0</v>
      </c>
      <c r="H81">
        <v>19</v>
      </c>
      <c r="I81">
        <v>0</v>
      </c>
      <c r="J81">
        <v>20</v>
      </c>
      <c r="K81" s="104"/>
      <c r="L81" s="441">
        <v>20</v>
      </c>
      <c r="M81" s="441"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68"/>
      <c r="R81" s="508"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1" s="179">
        <v>0</v>
      </c>
      <c r="T81" s="179">
        <v>0</v>
      </c>
      <c r="U81" s="11"/>
      <c r="V81"/>
      <c r="W81" s="22" t="s">
        <v>358</v>
      </c>
      <c r="X81" s="22" t="s">
        <v>358</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03">
        <f>--(
  ISNUMBER(SEARCH("BASE PARENT", UPPER(CLEAN(TRIM(_xlfn.XLOOKUP(TEXT(Contract_Edits[[#This Row],[Index]],"0"), baseIdxTxt, baseCost, "")))))) +
  ISNUMBER(SEARCH("DEPENDENCY GROUP", UPPER(CLEAN(TRIM(_xlfn.XLOOKUP(TEXT(Contract_Edits[[#This Row],[Index]],"0"), baseIdxTxt, baseCost, ""))))))
)</f>
        <v>1</v>
      </c>
      <c r="AG81" s="503" cm="1">
        <f t="array" ref="AG81">IF(Contract_Edits[[#This Row],[BaseFlag]]=1,
   10*BaseDepthL(TEXT(Contract_Edits[[#This Row],[Index]],"0"),500,editsIdxTxt,editsParentKeyTxt,baseIdxTxt,baseCost)-5,
   ""
)</f>
        <v>195</v>
      </c>
      <c r="AH81" s="503"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03" t="str">
        <f>IF(Contract_Edits[[#This Row],[Dep]]=0,"Root",
   IF(ISNUMBER(MATCH(Contract_Edits[[#This Row],[Dep]],Contract_Edits[Index],0)),"OK","Missing")
)</f>
        <v>OK</v>
      </c>
      <c r="AJ81" s="503" t="str">
        <f>IF(AND(Contract_Edits[[#This Row],[Dep]]&lt;&gt;0,
        ISNUMBER(MATCH(Contract_Edits[[#This Row],[Dep]], Contract_Edits[Index], 0)),
        INDEX(Contract_Edits[Dep], MATCH(Contract_Edits[[#This Row],[Dep]], Contract_Edits[Index], 0))=Contract_Edits[[#This Row],[Index]]),
   "2-cycle","")</f>
        <v/>
      </c>
      <c r="AK81" s="503" cm="1">
        <f t="array" ref="AK81">IF(Contract_Edits[[#This Row],[BaseFlag]]&lt;&gt;1,0,
   IF(TEXT(Contract_Edits[[#This Row],[Dep]],"0")=TEXT(Contract_Edits[[#This Row],[Index]],"0"),
      0,
      MAX(0, SUMPRODUCT(--(Contract_Edits[BaseFlag]=1),
                        --(TEXT(Contract_Edits[Dep],"0")=TEXT(Contract_Edits[[#This Row],[Dep]],"0"))) - 1)
   )
)</f>
        <v>0</v>
      </c>
      <c r="AL81" s="503" t="str" cm="1">
        <f t="array" ref="AL81">IF(Contract_Edits[[#This Row],[BaseFlag]]=1,
   TEXT(Contract_Edits[[#This Row],[Index]],"0"),
   NearestBaseL(TEXT(Contract_Edits[[#This Row],[ParentKey]],"0"),500,editsIdxTxt,editsParentKeyTxt,baseIdxTxt,baseCost)
)</f>
        <v>20</v>
      </c>
      <c r="AM81" s="503" cm="1">
        <f t="array" ref="AM81">1+SUMPRODUCT(
  (Contract_Edits[BaseFlag]=1)*
  (TEXT(Contract_Edits[ParentAnchor],"0")=TEXT(Contract_Edits[[#This Row],[ParentAnchor]],"0"))*
  (VALUE(TEXT(Contract_Edits[Index],"0"))&lt;VALUE(TEXT(Contract_Edits[[#This Row],[Index]],"0")))
)</f>
        <v>1</v>
      </c>
      <c r="AN81" s="503"/>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551</v>
      </c>
      <c r="B82" t="s">
        <v>547</v>
      </c>
      <c r="C82" t="s">
        <v>591</v>
      </c>
      <c r="D82" s="436" t="s">
        <v>592</v>
      </c>
      <c r="E82">
        <v>1</v>
      </c>
      <c r="F82" s="445">
        <v>5905.82</v>
      </c>
      <c r="G82" s="188">
        <v>5905.82</v>
      </c>
      <c r="H82">
        <v>20</v>
      </c>
      <c r="I82">
        <v>5905.82</v>
      </c>
      <c r="J82">
        <v>906</v>
      </c>
      <c r="K82" s="104"/>
      <c r="L82" s="441">
        <v>906</v>
      </c>
      <c r="M82" s="441"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68"/>
      <c r="R82" s="508"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2" s="179">
        <v>0</v>
      </c>
      <c r="T82" s="179">
        <v>0</v>
      </c>
      <c r="U82" s="11" t="s">
        <v>614</v>
      </c>
      <c r="V82"/>
      <c r="W82" s="22" t="s">
        <v>358</v>
      </c>
      <c r="X82" s="22" t="s">
        <v>358</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03">
        <f>--(
  ISNUMBER(SEARCH("BASE PARENT", UPPER(CLEAN(TRIM(_xlfn.XLOOKUP(TEXT(Contract_Edits[[#This Row],[Index]],"0"), baseIdxTxt, baseCost, "")))))) +
  ISNUMBER(SEARCH("DEPENDENCY GROUP", UPPER(CLEAN(TRIM(_xlfn.XLOOKUP(TEXT(Contract_Edits[[#This Row],[Index]],"0"), baseIdxTxt, baseCost, ""))))))
)</f>
        <v>0</v>
      </c>
      <c r="AG82" s="503" t="str" cm="1">
        <f t="array" ref="AG82">IF(Contract_Edits[[#This Row],[BaseFlag]]=1,
   10*BaseDepthL(TEXT(Contract_Edits[[#This Row],[Index]],"0"),500,editsIdxTxt,editsParentKeyTxt,baseIdxTxt,baseCost)-5,
   ""
)</f>
        <v/>
      </c>
      <c r="AH82" s="503"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03" t="str">
        <f>IF(Contract_Edits[[#This Row],[Dep]]=0,"Root",
   IF(ISNUMBER(MATCH(Contract_Edits[[#This Row],[Dep]],Contract_Edits[Index],0)),"OK","Missing")
)</f>
        <v>OK</v>
      </c>
      <c r="AJ82" s="503" t="str">
        <f>IF(AND(Contract_Edits[[#This Row],[Dep]]&lt;&gt;0,
        ISNUMBER(MATCH(Contract_Edits[[#This Row],[Dep]], Contract_Edits[Index], 0)),
        INDEX(Contract_Edits[Dep], MATCH(Contract_Edits[[#This Row],[Dep]], Contract_Edits[Index], 0))=Contract_Edits[[#This Row],[Index]]),
   "2-cycle","")</f>
        <v/>
      </c>
      <c r="AK82" s="503" cm="1">
        <f t="array" ref="AK82">IF(Contract_Edits[[#This Row],[BaseFlag]]&lt;&gt;1,0,
   IF(TEXT(Contract_Edits[[#This Row],[Dep]],"0")=TEXT(Contract_Edits[[#This Row],[Index]],"0"),
      0,
      MAX(0, SUMPRODUCT(--(Contract_Edits[BaseFlag]=1),
                        --(TEXT(Contract_Edits[Dep],"0")=TEXT(Contract_Edits[[#This Row],[Dep]],"0"))) - 1)
   )
)</f>
        <v>0</v>
      </c>
      <c r="AL82" s="503" t="str" cm="1">
        <f t="array" ref="AL82">IF(Contract_Edits[[#This Row],[BaseFlag]]=1,
   TEXT(Contract_Edits[[#This Row],[Index]],"0"),
   NearestBaseL(TEXT(Contract_Edits[[#This Row],[ParentKey]],"0"),500,editsIdxTxt,editsParentKeyTxt,baseIdxTxt,baseCost)
)</f>
        <v>20</v>
      </c>
      <c r="AM82" s="503" cm="1">
        <f t="array" ref="AM82">1+SUMPRODUCT(
  (Contract_Edits[BaseFlag]=1)*
  (TEXT(Contract_Edits[ParentAnchor],"0")=TEXT(Contract_Edits[[#This Row],[ParentAnchor]],"0"))*
  (VALUE(TEXT(Contract_Edits[Index],"0"))&lt;VALUE(TEXT(Contract_Edits[[#This Row],[Index]],"0")))
)</f>
        <v>2</v>
      </c>
      <c r="AN82" s="503"/>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438</v>
      </c>
      <c r="B83" t="s">
        <v>435</v>
      </c>
      <c r="C83" t="s">
        <v>465</v>
      </c>
      <c r="D83" s="436" t="s">
        <v>466</v>
      </c>
      <c r="E83">
        <v>1</v>
      </c>
      <c r="F83" s="445">
        <v>0</v>
      </c>
      <c r="G83" s="188">
        <v>0</v>
      </c>
      <c r="H83">
        <v>20</v>
      </c>
      <c r="I83">
        <v>0</v>
      </c>
      <c r="J83">
        <v>21</v>
      </c>
      <c r="K83" s="104"/>
      <c r="L83" s="441">
        <v>21</v>
      </c>
      <c r="M83" s="441"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0"/>
      <c r="R83" s="508"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3" s="179">
        <v>0</v>
      </c>
      <c r="T83" s="469"/>
      <c r="U83" s="492"/>
      <c r="V83" s="193"/>
      <c r="W83" s="22" t="s">
        <v>358</v>
      </c>
      <c r="X83" s="484" t="s">
        <v>358</v>
      </c>
      <c r="Y83" s="484"/>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03">
        <f>--(
  ISNUMBER(SEARCH("BASE PARENT", UPPER(CLEAN(TRIM(_xlfn.XLOOKUP(TEXT(Contract_Edits[[#This Row],[Index]],"0"), baseIdxTxt, baseCost, "")))))) +
  ISNUMBER(SEARCH("DEPENDENCY GROUP", UPPER(CLEAN(TRIM(_xlfn.XLOOKUP(TEXT(Contract_Edits[[#This Row],[Index]],"0"), baseIdxTxt, baseCost, ""))))))
)</f>
        <v>1</v>
      </c>
      <c r="AG83" s="503" cm="1">
        <f t="array" ref="AG83">IF(Contract_Edits[[#This Row],[BaseFlag]]=1,
   10*BaseDepthL(TEXT(Contract_Edits[[#This Row],[Index]],"0"),500,editsIdxTxt,editsParentKeyTxt,baseIdxTxt,baseCost)-5,
   ""
)</f>
        <v>205</v>
      </c>
      <c r="AH83" s="503"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03" t="str">
        <f>IF(Contract_Edits[[#This Row],[Dep]]=0,"Root",
   IF(ISNUMBER(MATCH(Contract_Edits[[#This Row],[Dep]],Contract_Edits[Index],0)),"OK","Missing")
)</f>
        <v>OK</v>
      </c>
      <c r="AJ83" s="503" t="str">
        <f>IF(AND(Contract_Edits[[#This Row],[Dep]]&lt;&gt;0,
        ISNUMBER(MATCH(Contract_Edits[[#This Row],[Dep]], Contract_Edits[Index], 0)),
        INDEX(Contract_Edits[Dep], MATCH(Contract_Edits[[#This Row],[Dep]], Contract_Edits[Index], 0))=Contract_Edits[[#This Row],[Index]]),
   "2-cycle","")</f>
        <v/>
      </c>
      <c r="AK83" s="503" cm="1">
        <f t="array" ref="AK83">IF(Contract_Edits[[#This Row],[BaseFlag]]&lt;&gt;1,0,
   IF(TEXT(Contract_Edits[[#This Row],[Dep]],"0")=TEXT(Contract_Edits[[#This Row],[Index]],"0"),
      0,
      MAX(0, SUMPRODUCT(--(Contract_Edits[BaseFlag]=1),
                        --(TEXT(Contract_Edits[Dep],"0")=TEXT(Contract_Edits[[#This Row],[Dep]],"0"))) - 1)
   )
)</f>
        <v>0</v>
      </c>
      <c r="AL83" s="503" t="str" cm="1">
        <f t="array" ref="AL83">IF(Contract_Edits[[#This Row],[BaseFlag]]=1,
   TEXT(Contract_Edits[[#This Row],[Index]],"0"),
   NearestBaseL(TEXT(Contract_Edits[[#This Row],[ParentKey]],"0"),500,editsIdxTxt,editsParentKeyTxt,baseIdxTxt,baseCost)
)</f>
        <v>21</v>
      </c>
      <c r="AM83" s="503" cm="1">
        <f t="array" ref="AM83">1+SUMPRODUCT(
  (Contract_Edits[BaseFlag]=1)*
  (TEXT(Contract_Edits[ParentAnchor],"0")=TEXT(Contract_Edits[[#This Row],[ParentAnchor]],"0"))*
  (VALUE(TEXT(Contract_Edits[Index],"0"))&lt;VALUE(TEXT(Contract_Edits[[#This Row],[Index]],"0")))
)</f>
        <v>1</v>
      </c>
      <c r="AN83" s="503"/>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438</v>
      </c>
      <c r="B84" t="s">
        <v>435</v>
      </c>
      <c r="C84" t="s">
        <v>467</v>
      </c>
      <c r="D84" s="436" t="s">
        <v>468</v>
      </c>
      <c r="E84">
        <v>1</v>
      </c>
      <c r="F84" s="445">
        <v>0</v>
      </c>
      <c r="G84" s="188">
        <v>0</v>
      </c>
      <c r="H84">
        <v>21</v>
      </c>
      <c r="I84">
        <v>0</v>
      </c>
      <c r="J84">
        <v>22</v>
      </c>
      <c r="K84" s="104"/>
      <c r="L84" s="441">
        <v>22</v>
      </c>
      <c r="M84" s="441"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68"/>
      <c r="R84" s="508"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4" s="179">
        <v>0</v>
      </c>
      <c r="T84" s="179">
        <v>0</v>
      </c>
      <c r="U84" s="11"/>
      <c r="V84"/>
      <c r="W84" s="22" t="s">
        <v>358</v>
      </c>
      <c r="X84" s="484" t="s">
        <v>358</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03">
        <f>--(
  ISNUMBER(SEARCH("BASE PARENT", UPPER(CLEAN(TRIM(_xlfn.XLOOKUP(TEXT(Contract_Edits[[#This Row],[Index]],"0"), baseIdxTxt, baseCost, "")))))) +
  ISNUMBER(SEARCH("DEPENDENCY GROUP", UPPER(CLEAN(TRIM(_xlfn.XLOOKUP(TEXT(Contract_Edits[[#This Row],[Index]],"0"), baseIdxTxt, baseCost, ""))))))
)</f>
        <v>1</v>
      </c>
      <c r="AG84" s="503" cm="1">
        <f t="array" ref="AG84">IF(Contract_Edits[[#This Row],[BaseFlag]]=1,
   10*BaseDepthL(TEXT(Contract_Edits[[#This Row],[Index]],"0"),500,editsIdxTxt,editsParentKeyTxt,baseIdxTxt,baseCost)-5,
   ""
)</f>
        <v>215</v>
      </c>
      <c r="AH84" s="503"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03" t="str">
        <f>IF(Contract_Edits[[#This Row],[Dep]]=0,"Root",
   IF(ISNUMBER(MATCH(Contract_Edits[[#This Row],[Dep]],Contract_Edits[Index],0)),"OK","Missing")
)</f>
        <v>OK</v>
      </c>
      <c r="AJ84" s="503" t="str">
        <f>IF(AND(Contract_Edits[[#This Row],[Dep]]&lt;&gt;0,
        ISNUMBER(MATCH(Contract_Edits[[#This Row],[Dep]], Contract_Edits[Index], 0)),
        INDEX(Contract_Edits[Dep], MATCH(Contract_Edits[[#This Row],[Dep]], Contract_Edits[Index], 0))=Contract_Edits[[#This Row],[Index]]),
   "2-cycle","")</f>
        <v/>
      </c>
      <c r="AK84" s="503" cm="1">
        <f t="array" ref="AK84">IF(Contract_Edits[[#This Row],[BaseFlag]]&lt;&gt;1,0,
   IF(TEXT(Contract_Edits[[#This Row],[Dep]],"0")=TEXT(Contract_Edits[[#This Row],[Index]],"0"),
      0,
      MAX(0, SUMPRODUCT(--(Contract_Edits[BaseFlag]=1),
                        --(TEXT(Contract_Edits[Dep],"0")=TEXT(Contract_Edits[[#This Row],[Dep]],"0"))) - 1)
   )
)</f>
        <v>0</v>
      </c>
      <c r="AL84" s="503" t="str" cm="1">
        <f t="array" ref="AL84">IF(Contract_Edits[[#This Row],[BaseFlag]]=1,
   TEXT(Contract_Edits[[#This Row],[Index]],"0"),
   NearestBaseL(TEXT(Contract_Edits[[#This Row],[ParentKey]],"0"),500,editsIdxTxt,editsParentKeyTxt,baseIdxTxt,baseCost)
)</f>
        <v>22</v>
      </c>
      <c r="AM84" s="503" cm="1">
        <f t="array" ref="AM84">1+SUMPRODUCT(
  (Contract_Edits[BaseFlag]=1)*
  (TEXT(Contract_Edits[ParentAnchor],"0")=TEXT(Contract_Edits[[#This Row],[ParentAnchor]],"0"))*
  (VALUE(TEXT(Contract_Edits[Index],"0"))&lt;VALUE(TEXT(Contract_Edits[[#This Row],[Index]],"0")))
)</f>
        <v>1</v>
      </c>
      <c r="AN84" s="503"/>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438</v>
      </c>
      <c r="B85" t="s">
        <v>435</v>
      </c>
      <c r="C85" t="s">
        <v>469</v>
      </c>
      <c r="D85" s="436" t="s">
        <v>470</v>
      </c>
      <c r="E85">
        <v>1</v>
      </c>
      <c r="F85" s="445">
        <v>0</v>
      </c>
      <c r="G85" s="188">
        <v>0</v>
      </c>
      <c r="H85">
        <v>22</v>
      </c>
      <c r="I85">
        <v>0</v>
      </c>
      <c r="J85">
        <v>23</v>
      </c>
      <c r="K85" s="104"/>
      <c r="L85" s="441">
        <v>23</v>
      </c>
      <c r="M85" s="441"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68"/>
      <c r="R85" s="508"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5" s="179">
        <v>0</v>
      </c>
      <c r="T85" s="179">
        <v>0</v>
      </c>
      <c r="U85" s="11"/>
      <c r="V85"/>
      <c r="W85" s="22" t="s">
        <v>358</v>
      </c>
      <c r="X85" s="484" t="s">
        <v>358</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03">
        <f>--(
  ISNUMBER(SEARCH("BASE PARENT", UPPER(CLEAN(TRIM(_xlfn.XLOOKUP(TEXT(Contract_Edits[[#This Row],[Index]],"0"), baseIdxTxt, baseCost, "")))))) +
  ISNUMBER(SEARCH("DEPENDENCY GROUP", UPPER(CLEAN(TRIM(_xlfn.XLOOKUP(TEXT(Contract_Edits[[#This Row],[Index]],"0"), baseIdxTxt, baseCost, ""))))))
)</f>
        <v>1</v>
      </c>
      <c r="AG85" s="503" cm="1">
        <f t="array" ref="AG85">IF(Contract_Edits[[#This Row],[BaseFlag]]=1,
   10*BaseDepthL(TEXT(Contract_Edits[[#This Row],[Index]],"0"),500,editsIdxTxt,editsParentKeyTxt,baseIdxTxt,baseCost)-5,
   ""
)</f>
        <v>225</v>
      </c>
      <c r="AH85" s="503"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03" t="str">
        <f>IF(Contract_Edits[[#This Row],[Dep]]=0,"Root",
   IF(ISNUMBER(MATCH(Contract_Edits[[#This Row],[Dep]],Contract_Edits[Index],0)),"OK","Missing")
)</f>
        <v>OK</v>
      </c>
      <c r="AJ85" s="503" t="str">
        <f>IF(AND(Contract_Edits[[#This Row],[Dep]]&lt;&gt;0,
        ISNUMBER(MATCH(Contract_Edits[[#This Row],[Dep]], Contract_Edits[Index], 0)),
        INDEX(Contract_Edits[Dep], MATCH(Contract_Edits[[#This Row],[Dep]], Contract_Edits[Index], 0))=Contract_Edits[[#This Row],[Index]]),
   "2-cycle","")</f>
        <v/>
      </c>
      <c r="AK85" s="503" cm="1">
        <f t="array" ref="AK85">IF(Contract_Edits[[#This Row],[BaseFlag]]&lt;&gt;1,0,
   IF(TEXT(Contract_Edits[[#This Row],[Dep]],"0")=TEXT(Contract_Edits[[#This Row],[Index]],"0"),
      0,
      MAX(0, SUMPRODUCT(--(Contract_Edits[BaseFlag]=1),
                        --(TEXT(Contract_Edits[Dep],"0")=TEXT(Contract_Edits[[#This Row],[Dep]],"0"))) - 1)
   )
)</f>
        <v>0</v>
      </c>
      <c r="AL85" s="503" t="str" cm="1">
        <f t="array" ref="AL85">IF(Contract_Edits[[#This Row],[BaseFlag]]=1,
   TEXT(Contract_Edits[[#This Row],[Index]],"0"),
   NearestBaseL(TEXT(Contract_Edits[[#This Row],[ParentKey]],"0"),500,editsIdxTxt,editsParentKeyTxt,baseIdxTxt,baseCost)
)</f>
        <v>23</v>
      </c>
      <c r="AM85" s="503" cm="1">
        <f t="array" ref="AM85">1+SUMPRODUCT(
  (Contract_Edits[BaseFlag]=1)*
  (TEXT(Contract_Edits[ParentAnchor],"0")=TEXT(Contract_Edits[[#This Row],[ParentAnchor]],"0"))*
  (VALUE(TEXT(Contract_Edits[Index],"0"))&lt;VALUE(TEXT(Contract_Edits[[#This Row],[Index]],"0")))
)</f>
        <v>1</v>
      </c>
      <c r="AN85" s="503"/>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551</v>
      </c>
      <c r="B86" t="s">
        <v>547</v>
      </c>
      <c r="C86" t="s">
        <v>469</v>
      </c>
      <c r="D86" s="436" t="s">
        <v>593</v>
      </c>
      <c r="E86">
        <v>1</v>
      </c>
      <c r="F86" s="445">
        <v>8333.2037</v>
      </c>
      <c r="G86" s="188">
        <v>8333.2037</v>
      </c>
      <c r="H86">
        <v>23</v>
      </c>
      <c r="I86">
        <v>8333.2037</v>
      </c>
      <c r="J86">
        <v>905</v>
      </c>
      <c r="K86" s="104"/>
      <c r="L86" s="441">
        <v>905</v>
      </c>
      <c r="M86" s="441"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68"/>
      <c r="R86" s="508"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6" s="179">
        <v>0</v>
      </c>
      <c r="T86" s="179">
        <v>0</v>
      </c>
      <c r="U86" s="11" t="s">
        <v>615</v>
      </c>
      <c r="V86"/>
      <c r="W86" s="22" t="s">
        <v>358</v>
      </c>
      <c r="X86" s="22" t="s">
        <v>358</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03">
        <f>--(
  ISNUMBER(SEARCH("BASE PARENT", UPPER(CLEAN(TRIM(_xlfn.XLOOKUP(TEXT(Contract_Edits[[#This Row],[Index]],"0"), baseIdxTxt, baseCost, "")))))) +
  ISNUMBER(SEARCH("DEPENDENCY GROUP", UPPER(CLEAN(TRIM(_xlfn.XLOOKUP(TEXT(Contract_Edits[[#This Row],[Index]],"0"), baseIdxTxt, baseCost, ""))))))
)</f>
        <v>0</v>
      </c>
      <c r="AG86" s="503" t="str" cm="1">
        <f t="array" ref="AG86">IF(Contract_Edits[[#This Row],[BaseFlag]]=1,
   10*BaseDepthL(TEXT(Contract_Edits[[#This Row],[Index]],"0"),500,editsIdxTxt,editsParentKeyTxt,baseIdxTxt,baseCost)-5,
   ""
)</f>
        <v/>
      </c>
      <c r="AH86" s="503"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03" t="str">
        <f>IF(Contract_Edits[[#This Row],[Dep]]=0,"Root",
   IF(ISNUMBER(MATCH(Contract_Edits[[#This Row],[Dep]],Contract_Edits[Index],0)),"OK","Missing")
)</f>
        <v>OK</v>
      </c>
      <c r="AJ86" s="503" t="str">
        <f>IF(AND(Contract_Edits[[#This Row],[Dep]]&lt;&gt;0,
        ISNUMBER(MATCH(Contract_Edits[[#This Row],[Dep]], Contract_Edits[Index], 0)),
        INDEX(Contract_Edits[Dep], MATCH(Contract_Edits[[#This Row],[Dep]], Contract_Edits[Index], 0))=Contract_Edits[[#This Row],[Index]]),
   "2-cycle","")</f>
        <v/>
      </c>
      <c r="AK86" s="503" cm="1">
        <f t="array" ref="AK86">IF(Contract_Edits[[#This Row],[BaseFlag]]&lt;&gt;1,0,
   IF(TEXT(Contract_Edits[[#This Row],[Dep]],"0")=TEXT(Contract_Edits[[#This Row],[Index]],"0"),
      0,
      MAX(0, SUMPRODUCT(--(Contract_Edits[BaseFlag]=1),
                        --(TEXT(Contract_Edits[Dep],"0")=TEXT(Contract_Edits[[#This Row],[Dep]],"0"))) - 1)
   )
)</f>
        <v>0</v>
      </c>
      <c r="AL86" s="503" t="str" cm="1">
        <f t="array" ref="AL86">IF(Contract_Edits[[#This Row],[BaseFlag]]=1,
   TEXT(Contract_Edits[[#This Row],[Index]],"0"),
   NearestBaseL(TEXT(Contract_Edits[[#This Row],[ParentKey]],"0"),500,editsIdxTxt,editsParentKeyTxt,baseIdxTxt,baseCost)
)</f>
        <v>23</v>
      </c>
      <c r="AM86" s="503" cm="1">
        <f t="array" ref="AM86">1+SUMPRODUCT(
  (Contract_Edits[BaseFlag]=1)*
  (TEXT(Contract_Edits[ParentAnchor],"0")=TEXT(Contract_Edits[[#This Row],[ParentAnchor]],"0"))*
  (VALUE(TEXT(Contract_Edits[Index],"0"))&lt;VALUE(TEXT(Contract_Edits[[#This Row],[Index]],"0")))
)</f>
        <v>2</v>
      </c>
      <c r="AN86" s="503"/>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481</v>
      </c>
      <c r="B87" t="s">
        <v>492</v>
      </c>
      <c r="C87" t="s">
        <v>493</v>
      </c>
      <c r="D87" s="436" t="s">
        <v>494</v>
      </c>
      <c r="E87">
        <v>1</v>
      </c>
      <c r="F87" s="445"/>
      <c r="G87" s="188"/>
      <c r="H87">
        <v>0</v>
      </c>
      <c r="I87"/>
      <c r="J87">
        <v>48</v>
      </c>
      <c r="K87" s="104"/>
      <c r="L87" s="441">
        <v>48</v>
      </c>
      <c r="M87" s="441"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68"/>
      <c r="R87" s="508"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7" s="179">
        <v>0</v>
      </c>
      <c r="T87" s="179">
        <v>0</v>
      </c>
      <c r="U87" s="11" t="s">
        <v>615</v>
      </c>
      <c r="V87"/>
      <c r="W87" s="22" t="s">
        <v>358</v>
      </c>
      <c r="X87" s="22" t="s">
        <v>358</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03">
        <f>--(
  ISNUMBER(SEARCH("BASE PARENT", UPPER(CLEAN(TRIM(_xlfn.XLOOKUP(TEXT(Contract_Edits[[#This Row],[Index]],"0"), baseIdxTxt, baseCost, "")))))) +
  ISNUMBER(SEARCH("DEPENDENCY GROUP", UPPER(CLEAN(TRIM(_xlfn.XLOOKUP(TEXT(Contract_Edits[[#This Row],[Index]],"0"), baseIdxTxt, baseCost, ""))))))
)</f>
        <v>0</v>
      </c>
      <c r="AG87" s="503" t="str" cm="1">
        <f t="array" ref="AG87">IF(Contract_Edits[[#This Row],[BaseFlag]]=1,
   10*BaseDepthL(TEXT(Contract_Edits[[#This Row],[Index]],"0"),500,editsIdxTxt,editsParentKeyTxt,baseIdxTxt,baseCost)-5,
   ""
)</f>
        <v/>
      </c>
      <c r="AH87" s="503"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53" t="str">
        <f>IF(Contract_Edits[[#This Row],[Dep]]=0,"Root",
   IF(ISNUMBER(MATCH(Contract_Edits[[#This Row],[Dep]],Contract_Edits[Index],0)),"OK","Missing")
)</f>
        <v>OK</v>
      </c>
      <c r="AJ87" s="453" t="str">
        <f>IF(AND(Contract_Edits[[#This Row],[Dep]]&lt;&gt;0,
        ISNUMBER(MATCH(Contract_Edits[[#This Row],[Dep]], Contract_Edits[Index], 0)),
        INDEX(Contract_Edits[Dep], MATCH(Contract_Edits[[#This Row],[Dep]], Contract_Edits[Index], 0))=Contract_Edits[[#This Row],[Index]]),
   "2-cycle","")</f>
        <v/>
      </c>
      <c r="AK87" s="453" cm="1">
        <f t="array" ref="AK87">IF(Contract_Edits[[#This Row],[BaseFlag]]&lt;&gt;1,0,
   IF(TEXT(Contract_Edits[[#This Row],[Dep]],"0")=TEXT(Contract_Edits[[#This Row],[Index]],"0"),
      0,
      MAX(0, SUMPRODUCT(--(Contract_Edits[BaseFlag]=1),
                        --(TEXT(Contract_Edits[Dep],"0")=TEXT(Contract_Edits[[#This Row],[Dep]],"0"))) - 1)
   )
)</f>
        <v>0</v>
      </c>
      <c r="AL87" s="453" t="str" cm="1">
        <f t="array" ref="AL87">IF(Contract_Edits[[#This Row],[BaseFlag]]=1,
   TEXT(Contract_Edits[[#This Row],[Index]],"0"),
   NearestBaseL(TEXT(Contract_Edits[[#This Row],[ParentKey]],"0"),500,editsIdxTxt,editsParentKeyTxt,baseIdxTxt,baseCost)
)</f>
        <v>23</v>
      </c>
      <c r="AM87" s="453" cm="1">
        <f t="array" ref="AM87">1+SUMPRODUCT(
  (Contract_Edits[BaseFlag]=1)*
  (TEXT(Contract_Edits[ParentAnchor],"0")=TEXT(Contract_Edits[[#This Row],[ParentAnchor]],"0"))*
  (VALUE(TEXT(Contract_Edits[Index],"0"))&lt;VALUE(TEXT(Contract_Edits[[#This Row],[Index]],"0")))
)</f>
        <v>2</v>
      </c>
      <c r="AN87" s="453"/>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438</v>
      </c>
      <c r="B88" t="s">
        <v>435</v>
      </c>
      <c r="C88" t="s">
        <v>459</v>
      </c>
      <c r="D88" s="436" t="s">
        <v>471</v>
      </c>
      <c r="E88">
        <v>1</v>
      </c>
      <c r="F88" s="445">
        <v>0</v>
      </c>
      <c r="G88" s="188">
        <v>0</v>
      </c>
      <c r="H88">
        <v>23</v>
      </c>
      <c r="I88">
        <v>0</v>
      </c>
      <c r="J88">
        <v>24</v>
      </c>
      <c r="K88" s="104"/>
      <c r="L88" s="441">
        <v>24</v>
      </c>
      <c r="M88" s="441"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68"/>
      <c r="R88" s="508"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8" s="179">
        <v>0</v>
      </c>
      <c r="T88" s="179">
        <v>0</v>
      </c>
      <c r="U88" s="11"/>
      <c r="V88"/>
      <c r="W88" s="22" t="s">
        <v>358</v>
      </c>
      <c r="X88" s="22" t="s">
        <v>358</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03">
        <f>--(
  ISNUMBER(SEARCH("BASE PARENT", UPPER(CLEAN(TRIM(_xlfn.XLOOKUP(TEXT(Contract_Edits[[#This Row],[Index]],"0"), baseIdxTxt, baseCost, "")))))) +
  ISNUMBER(SEARCH("DEPENDENCY GROUP", UPPER(CLEAN(TRIM(_xlfn.XLOOKUP(TEXT(Contract_Edits[[#This Row],[Index]],"0"), baseIdxTxt, baseCost, ""))))))
)</f>
        <v>1</v>
      </c>
      <c r="AG88" s="503" cm="1">
        <f t="array" ref="AG88">IF(Contract_Edits[[#This Row],[BaseFlag]]=1,
   10*BaseDepthL(TEXT(Contract_Edits[[#This Row],[Index]],"0"),500,editsIdxTxt,editsParentKeyTxt,baseIdxTxt,baseCost)-5,
   ""
)</f>
        <v>235</v>
      </c>
      <c r="AH88" s="503"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03" t="str">
        <f>IF(Contract_Edits[[#This Row],[Dep]]=0,"Root",
   IF(ISNUMBER(MATCH(Contract_Edits[[#This Row],[Dep]],Contract_Edits[Index],0)),"OK","Missing")
)</f>
        <v>OK</v>
      </c>
      <c r="AJ88" s="503" t="str">
        <f>IF(AND(Contract_Edits[[#This Row],[Dep]]&lt;&gt;0,
        ISNUMBER(MATCH(Contract_Edits[[#This Row],[Dep]], Contract_Edits[Index], 0)),
        INDEX(Contract_Edits[Dep], MATCH(Contract_Edits[[#This Row],[Dep]], Contract_Edits[Index], 0))=Contract_Edits[[#This Row],[Index]]),
   "2-cycle","")</f>
        <v/>
      </c>
      <c r="AK88" s="503" cm="1">
        <f t="array" ref="AK88">IF(Contract_Edits[[#This Row],[BaseFlag]]&lt;&gt;1,0,
   IF(TEXT(Contract_Edits[[#This Row],[Dep]],"0")=TEXT(Contract_Edits[[#This Row],[Index]],"0"),
      0,
      MAX(0, SUMPRODUCT(--(Contract_Edits[BaseFlag]=1),
                        --(TEXT(Contract_Edits[Dep],"0")=TEXT(Contract_Edits[[#This Row],[Dep]],"0"))) - 1)
   )
)</f>
        <v>0</v>
      </c>
      <c r="AL88" s="503" t="str" cm="1">
        <f t="array" ref="AL88">IF(Contract_Edits[[#This Row],[BaseFlag]]=1,
   TEXT(Contract_Edits[[#This Row],[Index]],"0"),
   NearestBaseL(TEXT(Contract_Edits[[#This Row],[ParentKey]],"0"),500,editsIdxTxt,editsParentKeyTxt,baseIdxTxt,baseCost)
)</f>
        <v>24</v>
      </c>
      <c r="AM88" s="503" cm="1">
        <f t="array" ref="AM88">1+SUMPRODUCT(
  (Contract_Edits[BaseFlag]=1)*
  (TEXT(Contract_Edits[ParentAnchor],"0")=TEXT(Contract_Edits[[#This Row],[ParentAnchor]],"0"))*
  (VALUE(TEXT(Contract_Edits[Index],"0"))&lt;VALUE(TEXT(Contract_Edits[[#This Row],[Index]],"0")))
)</f>
        <v>1</v>
      </c>
      <c r="AN88" s="503"/>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438</v>
      </c>
      <c r="B89" t="s">
        <v>435</v>
      </c>
      <c r="C89" t="s">
        <v>472</v>
      </c>
      <c r="D89" s="436" t="s">
        <v>473</v>
      </c>
      <c r="E89">
        <v>1</v>
      </c>
      <c r="F89" s="445">
        <v>0</v>
      </c>
      <c r="G89" s="188">
        <v>0</v>
      </c>
      <c r="H89">
        <v>24</v>
      </c>
      <c r="I89">
        <v>0</v>
      </c>
      <c r="J89">
        <v>25</v>
      </c>
      <c r="K89" s="104"/>
      <c r="L89" s="441">
        <v>25</v>
      </c>
      <c r="M89" s="441"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68"/>
      <c r="R89" s="508"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9" s="179">
        <v>0</v>
      </c>
      <c r="T89" s="179">
        <v>0</v>
      </c>
      <c r="U89" s="11"/>
      <c r="V89"/>
      <c r="W89" s="22" t="s">
        <v>358</v>
      </c>
      <c r="X89" s="22" t="s">
        <v>358</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03">
        <f>--(
  ISNUMBER(SEARCH("BASE PARENT", UPPER(CLEAN(TRIM(_xlfn.XLOOKUP(TEXT(Contract_Edits[[#This Row],[Index]],"0"), baseIdxTxt, baseCost, "")))))) +
  ISNUMBER(SEARCH("DEPENDENCY GROUP", UPPER(CLEAN(TRIM(_xlfn.XLOOKUP(TEXT(Contract_Edits[[#This Row],[Index]],"0"), baseIdxTxt, baseCost, ""))))))
)</f>
        <v>1</v>
      </c>
      <c r="AG89" s="503" cm="1">
        <f t="array" ref="AG89">IF(Contract_Edits[[#This Row],[BaseFlag]]=1,
   10*BaseDepthL(TEXT(Contract_Edits[[#This Row],[Index]],"0"),500,editsIdxTxt,editsParentKeyTxt,baseIdxTxt,baseCost)-5,
   ""
)</f>
        <v>245</v>
      </c>
      <c r="AH89" s="503"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03" t="str">
        <f>IF(Contract_Edits[[#This Row],[Dep]]=0,"Root",
   IF(ISNUMBER(MATCH(Contract_Edits[[#This Row],[Dep]],Contract_Edits[Index],0)),"OK","Missing")
)</f>
        <v>OK</v>
      </c>
      <c r="AJ89" s="503" t="str">
        <f>IF(AND(Contract_Edits[[#This Row],[Dep]]&lt;&gt;0,
        ISNUMBER(MATCH(Contract_Edits[[#This Row],[Dep]], Contract_Edits[Index], 0)),
        INDEX(Contract_Edits[Dep], MATCH(Contract_Edits[[#This Row],[Dep]], Contract_Edits[Index], 0))=Contract_Edits[[#This Row],[Index]]),
   "2-cycle","")</f>
        <v/>
      </c>
      <c r="AK89" s="503" cm="1">
        <f t="array" ref="AK89">IF(Contract_Edits[[#This Row],[BaseFlag]]&lt;&gt;1,0,
   IF(TEXT(Contract_Edits[[#This Row],[Dep]],"0")=TEXT(Contract_Edits[[#This Row],[Index]],"0"),
      0,
      MAX(0, SUMPRODUCT(--(Contract_Edits[BaseFlag]=1),
                        --(TEXT(Contract_Edits[Dep],"0")=TEXT(Contract_Edits[[#This Row],[Dep]],"0"))) - 1)
   )
)</f>
        <v>0</v>
      </c>
      <c r="AL89" s="503" t="str" cm="1">
        <f t="array" ref="AL89">IF(Contract_Edits[[#This Row],[BaseFlag]]=1,
   TEXT(Contract_Edits[[#This Row],[Index]],"0"),
   NearestBaseL(TEXT(Contract_Edits[[#This Row],[ParentKey]],"0"),500,editsIdxTxt,editsParentKeyTxt,baseIdxTxt,baseCost)
)</f>
        <v>25</v>
      </c>
      <c r="AM89" s="503" cm="1">
        <f t="array" ref="AM89">1+SUMPRODUCT(
  (Contract_Edits[BaseFlag]=1)*
  (TEXT(Contract_Edits[ParentAnchor],"0")=TEXT(Contract_Edits[[#This Row],[ParentAnchor]],"0"))*
  (VALUE(TEXT(Contract_Edits[Index],"0"))&lt;VALUE(TEXT(Contract_Edits[[#This Row],[Index]],"0")))
)</f>
        <v>1</v>
      </c>
      <c r="AN89" s="503"/>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438</v>
      </c>
      <c r="B90" t="s">
        <v>435</v>
      </c>
      <c r="C90" t="s">
        <v>474</v>
      </c>
      <c r="D90" s="436" t="s">
        <v>472</v>
      </c>
      <c r="E90">
        <v>1</v>
      </c>
      <c r="F90" s="445">
        <v>0</v>
      </c>
      <c r="G90" s="188">
        <v>0</v>
      </c>
      <c r="H90">
        <v>25</v>
      </c>
      <c r="I90">
        <v>0</v>
      </c>
      <c r="J90">
        <v>26</v>
      </c>
      <c r="K90" s="104"/>
      <c r="L90" s="441">
        <v>26</v>
      </c>
      <c r="M90" s="441"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68"/>
      <c r="R90" s="508"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0" s="179">
        <v>0</v>
      </c>
      <c r="T90" s="179">
        <v>0</v>
      </c>
      <c r="U90" s="11"/>
      <c r="V90"/>
      <c r="W90" s="22" t="s">
        <v>358</v>
      </c>
      <c r="X90" s="22" t="s">
        <v>358</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03">
        <f>--(
  ISNUMBER(SEARCH("BASE PARENT", UPPER(CLEAN(TRIM(_xlfn.XLOOKUP(TEXT(Contract_Edits[[#This Row],[Index]],"0"), baseIdxTxt, baseCost, "")))))) +
  ISNUMBER(SEARCH("DEPENDENCY GROUP", UPPER(CLEAN(TRIM(_xlfn.XLOOKUP(TEXT(Contract_Edits[[#This Row],[Index]],"0"), baseIdxTxt, baseCost, ""))))))
)</f>
        <v>1</v>
      </c>
      <c r="AG90" s="503" cm="1">
        <f t="array" ref="AG90">IF(Contract_Edits[[#This Row],[BaseFlag]]=1,
   10*BaseDepthL(TEXT(Contract_Edits[[#This Row],[Index]],"0"),500,editsIdxTxt,editsParentKeyTxt,baseIdxTxt,baseCost)-5,
   ""
)</f>
        <v>255</v>
      </c>
      <c r="AH90" s="503"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03" t="str">
        <f>IF(Contract_Edits[[#This Row],[Dep]]=0,"Root",
   IF(ISNUMBER(MATCH(Contract_Edits[[#This Row],[Dep]],Contract_Edits[Index],0)),"OK","Missing")
)</f>
        <v>OK</v>
      </c>
      <c r="AJ90" s="503" t="str">
        <f>IF(AND(Contract_Edits[[#This Row],[Dep]]&lt;&gt;0,
        ISNUMBER(MATCH(Contract_Edits[[#This Row],[Dep]], Contract_Edits[Index], 0)),
        INDEX(Contract_Edits[Dep], MATCH(Contract_Edits[[#This Row],[Dep]], Contract_Edits[Index], 0))=Contract_Edits[[#This Row],[Index]]),
   "2-cycle","")</f>
        <v/>
      </c>
      <c r="AK90" s="503" cm="1">
        <f t="array" ref="AK90">IF(Contract_Edits[[#This Row],[BaseFlag]]&lt;&gt;1,0,
   IF(TEXT(Contract_Edits[[#This Row],[Dep]],"0")=TEXT(Contract_Edits[[#This Row],[Index]],"0"),
      0,
      MAX(0, SUMPRODUCT(--(Contract_Edits[BaseFlag]=1),
                        --(TEXT(Contract_Edits[Dep],"0")=TEXT(Contract_Edits[[#This Row],[Dep]],"0"))) - 1)
   )
)</f>
        <v>0</v>
      </c>
      <c r="AL90" s="503" t="str" cm="1">
        <f t="array" ref="AL90">IF(Contract_Edits[[#This Row],[BaseFlag]]=1,
   TEXT(Contract_Edits[[#This Row],[Index]],"0"),
   NearestBaseL(TEXT(Contract_Edits[[#This Row],[ParentKey]],"0"),500,editsIdxTxt,editsParentKeyTxt,baseIdxTxt,baseCost)
)</f>
        <v>26</v>
      </c>
      <c r="AM90" s="503" cm="1">
        <f t="array" ref="AM90">1+SUMPRODUCT(
  (Contract_Edits[BaseFlag]=1)*
  (TEXT(Contract_Edits[ParentAnchor],"0")=TEXT(Contract_Edits[[#This Row],[ParentAnchor]],"0"))*
  (VALUE(TEXT(Contract_Edits[Index],"0"))&lt;VALUE(TEXT(Contract_Edits[[#This Row],[Index]],"0")))
)</f>
        <v>1</v>
      </c>
      <c r="AN90" s="503"/>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438</v>
      </c>
      <c r="B91" t="s">
        <v>435</v>
      </c>
      <c r="C91" t="s">
        <v>477</v>
      </c>
      <c r="D91" s="436" t="s">
        <v>478</v>
      </c>
      <c r="E91">
        <v>1</v>
      </c>
      <c r="F91" s="445">
        <v>0</v>
      </c>
      <c r="G91" s="188">
        <v>0</v>
      </c>
      <c r="H91">
        <v>27</v>
      </c>
      <c r="I91">
        <v>0</v>
      </c>
      <c r="J91">
        <v>28</v>
      </c>
      <c r="K91" s="104"/>
      <c r="L91" s="441">
        <v>28</v>
      </c>
      <c r="M91" s="441"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68"/>
      <c r="R91" s="508"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1" s="179">
        <v>0</v>
      </c>
      <c r="T91" s="179">
        <v>0</v>
      </c>
      <c r="U91" s="11"/>
      <c r="V91"/>
      <c r="W91" s="22" t="s">
        <v>358</v>
      </c>
      <c r="X91" s="22" t="s">
        <v>358</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03">
        <f>--(
  ISNUMBER(SEARCH("BASE PARENT", UPPER(CLEAN(TRIM(_xlfn.XLOOKUP(TEXT(Contract_Edits[[#This Row],[Index]],"0"), baseIdxTxt, baseCost, "")))))) +
  ISNUMBER(SEARCH("DEPENDENCY GROUP", UPPER(CLEAN(TRIM(_xlfn.XLOOKUP(TEXT(Contract_Edits[[#This Row],[Index]],"0"), baseIdxTxt, baseCost, ""))))))
)</f>
        <v>1</v>
      </c>
      <c r="AG91" s="503" cm="1">
        <f t="array" ref="AG91">IF(Contract_Edits[[#This Row],[BaseFlag]]=1,
   10*BaseDepthL(TEXT(Contract_Edits[[#This Row],[Index]],"0"),500,editsIdxTxt,editsParentKeyTxt,baseIdxTxt,baseCost)-5,
   ""
)</f>
        <v>275</v>
      </c>
      <c r="AH91" s="503"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03" t="str">
        <f>IF(Contract_Edits[[#This Row],[Dep]]=0,"Root",
   IF(ISNUMBER(MATCH(Contract_Edits[[#This Row],[Dep]],Contract_Edits[Index],0)),"OK","Missing")
)</f>
        <v>OK</v>
      </c>
      <c r="AJ91" s="503" t="str">
        <f>IF(AND(Contract_Edits[[#This Row],[Dep]]&lt;&gt;0,
        ISNUMBER(MATCH(Contract_Edits[[#This Row],[Dep]], Contract_Edits[Index], 0)),
        INDEX(Contract_Edits[Dep], MATCH(Contract_Edits[[#This Row],[Dep]], Contract_Edits[Index], 0))=Contract_Edits[[#This Row],[Index]]),
   "2-cycle","")</f>
        <v/>
      </c>
      <c r="AK91" s="503" cm="1">
        <f t="array" ref="AK91">IF(Contract_Edits[[#This Row],[BaseFlag]]&lt;&gt;1,0,
   IF(TEXT(Contract_Edits[[#This Row],[Dep]],"0")=TEXT(Contract_Edits[[#This Row],[Index]],"0"),
      0,
      MAX(0, SUMPRODUCT(--(Contract_Edits[BaseFlag]=1),
                        --(TEXT(Contract_Edits[Dep],"0")=TEXT(Contract_Edits[[#This Row],[Dep]],"0"))) - 1)
   )
)</f>
        <v>0</v>
      </c>
      <c r="AL91" s="503" t="str" cm="1">
        <f t="array" ref="AL91">IF(Contract_Edits[[#This Row],[BaseFlag]]=1,
   TEXT(Contract_Edits[[#This Row],[Index]],"0"),
   NearestBaseL(TEXT(Contract_Edits[[#This Row],[ParentKey]],"0"),500,editsIdxTxt,editsParentKeyTxt,baseIdxTxt,baseCost)
)</f>
        <v>28</v>
      </c>
      <c r="AM91" s="503" cm="1">
        <f t="array" ref="AM91">1+SUMPRODUCT(
  (Contract_Edits[BaseFlag]=1)*
  (TEXT(Contract_Edits[ParentAnchor],"0")=TEXT(Contract_Edits[[#This Row],[ParentAnchor]],"0"))*
  (VALUE(TEXT(Contract_Edits[Index],"0"))&lt;VALUE(TEXT(Contract_Edits[[#This Row],[Index]],"0")))
)</f>
        <v>1</v>
      </c>
      <c r="AN91" s="503"/>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551</v>
      </c>
      <c r="B92" t="s">
        <v>546</v>
      </c>
      <c r="C92" t="s">
        <v>477</v>
      </c>
      <c r="D92" s="436" t="s">
        <v>594</v>
      </c>
      <c r="E92">
        <v>1</v>
      </c>
      <c r="F92" s="445">
        <v>0</v>
      </c>
      <c r="G92" s="188">
        <v>0</v>
      </c>
      <c r="H92">
        <v>28</v>
      </c>
      <c r="I92">
        <v>0</v>
      </c>
      <c r="J92">
        <v>909</v>
      </c>
      <c r="K92" s="104"/>
      <c r="L92" s="441">
        <v>909</v>
      </c>
      <c r="M92" s="441"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68"/>
      <c r="R92" s="508"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2" s="179">
        <v>0</v>
      </c>
      <c r="T92" s="179">
        <v>0</v>
      </c>
      <c r="U92" s="11" t="s">
        <v>616</v>
      </c>
      <c r="V92"/>
      <c r="W92" s="22" t="s">
        <v>358</v>
      </c>
      <c r="X92" s="22" t="s">
        <v>358</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03">
        <f>--(
  ISNUMBER(SEARCH("BASE PARENT", UPPER(CLEAN(TRIM(_xlfn.XLOOKUP(TEXT(Contract_Edits[[#This Row],[Index]],"0"), baseIdxTxt, baseCost, "")))))) +
  ISNUMBER(SEARCH("DEPENDENCY GROUP", UPPER(CLEAN(TRIM(_xlfn.XLOOKUP(TEXT(Contract_Edits[[#This Row],[Index]],"0"), baseIdxTxt, baseCost, ""))))))
)</f>
        <v>0</v>
      </c>
      <c r="AG92" s="503" t="str" cm="1">
        <f t="array" ref="AG92">IF(Contract_Edits[[#This Row],[BaseFlag]]=1,
   10*BaseDepthL(TEXT(Contract_Edits[[#This Row],[Index]],"0"),500,editsIdxTxt,editsParentKeyTxt,baseIdxTxt,baseCost)-5,
   ""
)</f>
        <v/>
      </c>
      <c r="AH92" s="503"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03" t="str">
        <f>IF(Contract_Edits[[#This Row],[Dep]]=0,"Root",
   IF(ISNUMBER(MATCH(Contract_Edits[[#This Row],[Dep]],Contract_Edits[Index],0)),"OK","Missing")
)</f>
        <v>OK</v>
      </c>
      <c r="AJ92" s="503" t="str">
        <f>IF(AND(Contract_Edits[[#This Row],[Dep]]&lt;&gt;0,
        ISNUMBER(MATCH(Contract_Edits[[#This Row],[Dep]], Contract_Edits[Index], 0)),
        INDEX(Contract_Edits[Dep], MATCH(Contract_Edits[[#This Row],[Dep]], Contract_Edits[Index], 0))=Contract_Edits[[#This Row],[Index]]),
   "2-cycle","")</f>
        <v/>
      </c>
      <c r="AK92" s="503" cm="1">
        <f t="array" ref="AK92">IF(Contract_Edits[[#This Row],[BaseFlag]]&lt;&gt;1,0,
   IF(TEXT(Contract_Edits[[#This Row],[Dep]],"0")=TEXT(Contract_Edits[[#This Row],[Index]],"0"),
      0,
      MAX(0, SUMPRODUCT(--(Contract_Edits[BaseFlag]=1),
                        --(TEXT(Contract_Edits[Dep],"0")=TEXT(Contract_Edits[[#This Row],[Dep]],"0"))) - 1)
   )
)</f>
        <v>0</v>
      </c>
      <c r="AL92" s="503" t="str" cm="1">
        <f t="array" ref="AL92">IF(Contract_Edits[[#This Row],[BaseFlag]]=1,
   TEXT(Contract_Edits[[#This Row],[Index]],"0"),
   NearestBaseL(TEXT(Contract_Edits[[#This Row],[ParentKey]],"0"),500,editsIdxTxt,editsParentKeyTxt,baseIdxTxt,baseCost)
)</f>
        <v>28</v>
      </c>
      <c r="AM92" s="503" cm="1">
        <f t="array" ref="AM92">1+SUMPRODUCT(
  (Contract_Edits[BaseFlag]=1)*
  (TEXT(Contract_Edits[ParentAnchor],"0")=TEXT(Contract_Edits[[#This Row],[ParentAnchor]],"0"))*
  (VALUE(TEXT(Contract_Edits[Index],"0"))&lt;VALUE(TEXT(Contract_Edits[[#This Row],[Index]],"0")))
)</f>
        <v>1</v>
      </c>
      <c r="AN92" s="503"/>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551</v>
      </c>
      <c r="B93" t="s">
        <v>547</v>
      </c>
      <c r="C93" t="s">
        <v>595</v>
      </c>
      <c r="D93" s="436" t="s">
        <v>596</v>
      </c>
      <c r="E93">
        <v>1</v>
      </c>
      <c r="F93" s="445">
        <v>270</v>
      </c>
      <c r="G93" s="188">
        <v>270</v>
      </c>
      <c r="H93">
        <v>28</v>
      </c>
      <c r="I93">
        <v>270</v>
      </c>
      <c r="J93">
        <v>910</v>
      </c>
      <c r="K93" s="104"/>
      <c r="L93" s="441">
        <v>910</v>
      </c>
      <c r="M93" s="441"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0"/>
      <c r="R93" s="508"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3" s="179">
        <v>0</v>
      </c>
      <c r="T93" s="469"/>
      <c r="U93" s="492" t="s">
        <v>616</v>
      </c>
      <c r="V93" s="193"/>
      <c r="W93" s="22" t="s">
        <v>358</v>
      </c>
      <c r="X93" s="22" t="s">
        <v>358</v>
      </c>
      <c r="Y93" s="484"/>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03">
        <f>--(
  ISNUMBER(SEARCH("BASE PARENT", UPPER(CLEAN(TRIM(_xlfn.XLOOKUP(TEXT(Contract_Edits[[#This Row],[Index]],"0"), baseIdxTxt, baseCost, "")))))) +
  ISNUMBER(SEARCH("DEPENDENCY GROUP", UPPER(CLEAN(TRIM(_xlfn.XLOOKUP(TEXT(Contract_Edits[[#This Row],[Index]],"0"), baseIdxTxt, baseCost, ""))))))
)</f>
        <v>0</v>
      </c>
      <c r="AG93" s="503" t="str" cm="1">
        <f t="array" ref="AG93">IF(Contract_Edits[[#This Row],[BaseFlag]]=1,
   10*BaseDepthL(TEXT(Contract_Edits[[#This Row],[Index]],"0"),500,editsIdxTxt,editsParentKeyTxt,baseIdxTxt,baseCost)-5,
   ""
)</f>
        <v/>
      </c>
      <c r="AH93" s="503"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03" t="str">
        <f>IF(Contract_Edits[[#This Row],[Dep]]=0,"Root",
   IF(ISNUMBER(MATCH(Contract_Edits[[#This Row],[Dep]],Contract_Edits[Index],0)),"OK","Missing")
)</f>
        <v>OK</v>
      </c>
      <c r="AJ93" s="503" t="str">
        <f>IF(AND(Contract_Edits[[#This Row],[Dep]]&lt;&gt;0,
        ISNUMBER(MATCH(Contract_Edits[[#This Row],[Dep]], Contract_Edits[Index], 0)),
        INDEX(Contract_Edits[Dep], MATCH(Contract_Edits[[#This Row],[Dep]], Contract_Edits[Index], 0))=Contract_Edits[[#This Row],[Index]]),
   "2-cycle","")</f>
        <v/>
      </c>
      <c r="AK93" s="503" cm="1">
        <f t="array" ref="AK93">IF(Contract_Edits[[#This Row],[BaseFlag]]&lt;&gt;1,0,
   IF(TEXT(Contract_Edits[[#This Row],[Dep]],"0")=TEXT(Contract_Edits[[#This Row],[Index]],"0"),
      0,
      MAX(0, SUMPRODUCT(--(Contract_Edits[BaseFlag]=1),
                        --(TEXT(Contract_Edits[Dep],"0")=TEXT(Contract_Edits[[#This Row],[Dep]],"0"))) - 1)
   )
)</f>
        <v>0</v>
      </c>
      <c r="AL93" s="503" t="str" cm="1">
        <f t="array" ref="AL93">IF(Contract_Edits[[#This Row],[BaseFlag]]=1,
   TEXT(Contract_Edits[[#This Row],[Index]],"0"),
   NearestBaseL(TEXT(Contract_Edits[[#This Row],[ParentKey]],"0"),500,editsIdxTxt,editsParentKeyTxt,baseIdxTxt,baseCost)
)</f>
        <v>28</v>
      </c>
      <c r="AM93" s="503" cm="1">
        <f t="array" ref="AM93">1+SUMPRODUCT(
  (Contract_Edits[BaseFlag]=1)*
  (TEXT(Contract_Edits[ParentAnchor],"0")=TEXT(Contract_Edits[[#This Row],[ParentAnchor]],"0"))*
  (VALUE(TEXT(Contract_Edits[Index],"0"))&lt;VALUE(TEXT(Contract_Edits[[#This Row],[Index]],"0")))
)</f>
        <v>1</v>
      </c>
      <c r="AN93" s="503"/>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438</v>
      </c>
      <c r="B94" t="s">
        <v>435</v>
      </c>
      <c r="C94" t="s">
        <v>475</v>
      </c>
      <c r="D94" s="436" t="s">
        <v>476</v>
      </c>
      <c r="E94">
        <v>1</v>
      </c>
      <c r="F94" s="445">
        <v>0</v>
      </c>
      <c r="G94" s="188">
        <v>0</v>
      </c>
      <c r="H94">
        <v>26</v>
      </c>
      <c r="I94">
        <v>0</v>
      </c>
      <c r="J94">
        <v>27</v>
      </c>
      <c r="K94" s="104"/>
      <c r="L94" s="441">
        <v>27</v>
      </c>
      <c r="M94" s="441"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68"/>
      <c r="R94" s="508"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4" s="179">
        <v>0</v>
      </c>
      <c r="T94" s="179">
        <v>0</v>
      </c>
      <c r="U94" s="11"/>
      <c r="V94"/>
      <c r="W94" s="22" t="s">
        <v>358</v>
      </c>
      <c r="X94" s="22" t="s">
        <v>358</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03">
        <f>--(
  ISNUMBER(SEARCH("BASE PARENT", UPPER(CLEAN(TRIM(_xlfn.XLOOKUP(TEXT(Contract_Edits[[#This Row],[Index]],"0"), baseIdxTxt, baseCost, "")))))) +
  ISNUMBER(SEARCH("DEPENDENCY GROUP", UPPER(CLEAN(TRIM(_xlfn.XLOOKUP(TEXT(Contract_Edits[[#This Row],[Index]],"0"), baseIdxTxt, baseCost, ""))))))
)</f>
        <v>1</v>
      </c>
      <c r="AG94" s="503" cm="1">
        <f t="array" ref="AG94">IF(Contract_Edits[[#This Row],[BaseFlag]]=1,
   10*BaseDepthL(TEXT(Contract_Edits[[#This Row],[Index]],"0"),500,editsIdxTxt,editsParentKeyTxt,baseIdxTxt,baseCost)-5,
   ""
)</f>
        <v>265</v>
      </c>
      <c r="AH94" s="503"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03" t="str">
        <f>IF(Contract_Edits[[#This Row],[Dep]]=0,"Root",
   IF(ISNUMBER(MATCH(Contract_Edits[[#This Row],[Dep]],Contract_Edits[Index],0)),"OK","Missing")
)</f>
        <v>OK</v>
      </c>
      <c r="AJ94" s="503" t="str">
        <f>IF(AND(Contract_Edits[[#This Row],[Dep]]&lt;&gt;0,
        ISNUMBER(MATCH(Contract_Edits[[#This Row],[Dep]], Contract_Edits[Index], 0)),
        INDEX(Contract_Edits[Dep], MATCH(Contract_Edits[[#This Row],[Dep]], Contract_Edits[Index], 0))=Contract_Edits[[#This Row],[Index]]),
   "2-cycle","")</f>
        <v/>
      </c>
      <c r="AK94" s="503" cm="1">
        <f t="array" ref="AK94">IF(Contract_Edits[[#This Row],[BaseFlag]]&lt;&gt;1,0,
   IF(TEXT(Contract_Edits[[#This Row],[Dep]],"0")=TEXT(Contract_Edits[[#This Row],[Index]],"0"),
      0,
      MAX(0, SUMPRODUCT(--(Contract_Edits[BaseFlag]=1),
                        --(TEXT(Contract_Edits[Dep],"0")=TEXT(Contract_Edits[[#This Row],[Dep]],"0"))) - 1)
   )
)</f>
        <v>0</v>
      </c>
      <c r="AL94" s="503" t="str" cm="1">
        <f t="array" ref="AL94">IF(Contract_Edits[[#This Row],[BaseFlag]]=1,
   TEXT(Contract_Edits[[#This Row],[Index]],"0"),
   NearestBaseL(TEXT(Contract_Edits[[#This Row],[ParentKey]],"0"),500,editsIdxTxt,editsParentKeyTxt,baseIdxTxt,baseCost)
)</f>
        <v>27</v>
      </c>
      <c r="AM94" s="503" cm="1">
        <f t="array" ref="AM94">1+SUMPRODUCT(
  (Contract_Edits[BaseFlag]=1)*
  (TEXT(Contract_Edits[ParentAnchor],"0")=TEXT(Contract_Edits[[#This Row],[ParentAnchor]],"0"))*
  (VALUE(TEXT(Contract_Edits[Index],"0"))&lt;VALUE(TEXT(Contract_Edits[[#This Row],[Index]],"0")))
)</f>
        <v>1</v>
      </c>
      <c r="AN94" s="503"/>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438</v>
      </c>
      <c r="B95" t="s">
        <v>435</v>
      </c>
      <c r="C95" t="s">
        <v>452</v>
      </c>
      <c r="D95" s="436" t="s">
        <v>442</v>
      </c>
      <c r="E95">
        <v>1</v>
      </c>
      <c r="F95" s="445">
        <v>0</v>
      </c>
      <c r="G95" s="188">
        <v>0</v>
      </c>
      <c r="H95">
        <v>8</v>
      </c>
      <c r="I95">
        <v>0</v>
      </c>
      <c r="J95">
        <v>9</v>
      </c>
      <c r="K95" s="104"/>
      <c r="L95" s="441">
        <v>9</v>
      </c>
      <c r="M95" s="441"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68"/>
      <c r="R95" s="508"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5" s="179">
        <v>0</v>
      </c>
      <c r="T95" s="469"/>
      <c r="U95" s="492"/>
      <c r="V95" s="193"/>
      <c r="W95" s="22" t="s">
        <v>358</v>
      </c>
      <c r="X95" s="484" t="s">
        <v>358</v>
      </c>
      <c r="Y95" s="484"/>
      <c r="Z95" s="490"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03">
        <f>--(
  ISNUMBER(SEARCH("BASE PARENT", UPPER(CLEAN(TRIM(_xlfn.XLOOKUP(TEXT(Contract_Edits[[#This Row],[Index]],"0"), baseIdxTxt, baseCost, "")))))) +
  ISNUMBER(SEARCH("DEPENDENCY GROUP", UPPER(CLEAN(TRIM(_xlfn.XLOOKUP(TEXT(Contract_Edits[[#This Row],[Index]],"0"), baseIdxTxt, baseCost, ""))))))
)</f>
        <v>1</v>
      </c>
      <c r="AG95" s="503" cm="1">
        <f t="array" ref="AG95">IF(Contract_Edits[[#This Row],[BaseFlag]]=1,
   10*BaseDepthL(TEXT(Contract_Edits[[#This Row],[Index]],"0"),500,editsIdxTxt,editsParentKeyTxt,baseIdxTxt,baseCost)-5,
   ""
)</f>
        <v>85</v>
      </c>
      <c r="AH95" s="503"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03" t="str">
        <f>IF(Contract_Edits[[#This Row],[Dep]]=0,"Root",
   IF(ISNUMBER(MATCH(Contract_Edits[[#This Row],[Dep]],Contract_Edits[Index],0)),"OK","Missing")
)</f>
        <v>OK</v>
      </c>
      <c r="AJ95" s="503" t="str">
        <f>IF(AND(Contract_Edits[[#This Row],[Dep]]&lt;&gt;0,
        ISNUMBER(MATCH(Contract_Edits[[#This Row],[Dep]], Contract_Edits[Index], 0)),
        INDEX(Contract_Edits[Dep], MATCH(Contract_Edits[[#This Row],[Dep]], Contract_Edits[Index], 0))=Contract_Edits[[#This Row],[Index]]),
   "2-cycle","")</f>
        <v/>
      </c>
      <c r="AK95" s="503" cm="1">
        <f t="array" ref="AK95">IF(Contract_Edits[[#This Row],[BaseFlag]]&lt;&gt;1,0,
   IF(TEXT(Contract_Edits[[#This Row],[Dep]],"0")=TEXT(Contract_Edits[[#This Row],[Index]],"0"),
      0,
      MAX(0, SUMPRODUCT(--(Contract_Edits[BaseFlag]=1),
                        --(TEXT(Contract_Edits[Dep],"0")=TEXT(Contract_Edits[[#This Row],[Dep]],"0"))) - 1)
   )
)</f>
        <v>0</v>
      </c>
      <c r="AL95" s="503" t="str" cm="1">
        <f t="array" ref="AL95">IF(Contract_Edits[[#This Row],[BaseFlag]]=1,
   TEXT(Contract_Edits[[#This Row],[Index]],"0"),
   NearestBaseL(TEXT(Contract_Edits[[#This Row],[ParentKey]],"0"),500,editsIdxTxt,editsParentKeyTxt,baseIdxTxt,baseCost)
)</f>
        <v>9</v>
      </c>
      <c r="AM95" s="503" cm="1">
        <f t="array" ref="AM95">1+SUMPRODUCT(
  (Contract_Edits[BaseFlag]=1)*
  (TEXT(Contract_Edits[ParentAnchor],"0")=TEXT(Contract_Edits[[#This Row],[ParentAnchor]],"0"))*
  (VALUE(TEXT(Contract_Edits[Index],"0"))&lt;VALUE(TEXT(Contract_Edits[[#This Row],[Index]],"0")))
)</f>
        <v>1</v>
      </c>
      <c r="AN95" s="503"/>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1">
        <v>65</v>
      </c>
      <c r="M96" s="441"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68"/>
      <c r="R96" s="508"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6" s="179">
        <v>0</v>
      </c>
      <c r="T96" s="179">
        <v>0</v>
      </c>
      <c r="U96" s="11" t="s">
        <v>606</v>
      </c>
      <c r="V96"/>
      <c r="W96" s="22" t="s">
        <v>358</v>
      </c>
      <c r="X96" s="22" t="s">
        <v>604</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03">
        <f>--(
  ISNUMBER(SEARCH("BASE PARENT", UPPER(CLEAN(TRIM(_xlfn.XLOOKUP(TEXT(Contract_Edits[[#This Row],[Index]],"0"), baseIdxTxt, baseCost, "")))))) +
  ISNUMBER(SEARCH("DEPENDENCY GROUP", UPPER(CLEAN(TRIM(_xlfn.XLOOKUP(TEXT(Contract_Edits[[#This Row],[Index]],"0"), baseIdxTxt, baseCost, ""))))))
)</f>
        <v>0</v>
      </c>
      <c r="AG96" s="503" t="str" cm="1">
        <f t="array" ref="AG96">IF(Contract_Edits[[#This Row],[BaseFlag]]=1,
   10*BaseDepthL(TEXT(Contract_Edits[[#This Row],[Index]],"0"),500,editsIdxTxt,editsParentKeyTxt,baseIdxTxt,baseCost)-5,
   ""
)</f>
        <v/>
      </c>
      <c r="AH96" s="503"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03" t="str">
        <f>IF(Contract_Edits[[#This Row],[Dep]]=0,"Root",
   IF(ISNUMBER(MATCH(Contract_Edits[[#This Row],[Dep]],Contract_Edits[Index],0)),"OK","Missing")
)</f>
        <v>OK</v>
      </c>
      <c r="AJ96" s="503" t="str">
        <f>IF(AND(Contract_Edits[[#This Row],[Dep]]&lt;&gt;0,
        ISNUMBER(MATCH(Contract_Edits[[#This Row],[Dep]], Contract_Edits[Index], 0)),
        INDEX(Contract_Edits[Dep], MATCH(Contract_Edits[[#This Row],[Dep]], Contract_Edits[Index], 0))=Contract_Edits[[#This Row],[Index]]),
   "2-cycle","")</f>
        <v/>
      </c>
      <c r="AK96" s="503" cm="1">
        <f t="array" ref="AK96">IF(Contract_Edits[[#This Row],[BaseFlag]]&lt;&gt;1,0,
   IF(TEXT(Contract_Edits[[#This Row],[Dep]],"0")=TEXT(Contract_Edits[[#This Row],[Index]],"0"),
      0,
      MAX(0, SUMPRODUCT(--(Contract_Edits[BaseFlag]=1),
                        --(TEXT(Contract_Edits[Dep],"0")=TEXT(Contract_Edits[[#This Row],[Dep]],"0"))) - 1)
   )
)</f>
        <v>0</v>
      </c>
      <c r="AL96" s="503" t="str" cm="1">
        <f t="array" ref="AL96">IF(Contract_Edits[[#This Row],[BaseFlag]]=1,
   TEXT(Contract_Edits[[#This Row],[Index]],"0"),
   NearestBaseL(TEXT(Contract_Edits[[#This Row],[ParentKey]],"0"),500,editsIdxTxt,editsParentKeyTxt,baseIdxTxt,baseCost)
)</f>
        <v>2</v>
      </c>
      <c r="AM96" s="503" cm="1">
        <f t="array" ref="AM96">1+SUMPRODUCT(
  (Contract_Edits[BaseFlag]=1)*
  (TEXT(Contract_Edits[ParentAnchor],"0")=TEXT(Contract_Edits[[#This Row],[ParentAnchor]],"0"))*
  (VALUE(TEXT(Contract_Edits[Index],"0"))&lt;VALUE(TEXT(Contract_Edits[[#This Row],[Index]],"0")))
)</f>
        <v>2</v>
      </c>
      <c r="AN96" s="503"/>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1">
        <v>58</v>
      </c>
      <c r="M97" s="441"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68"/>
      <c r="R97" s="508"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7" s="179">
        <v>0</v>
      </c>
      <c r="T97" s="179">
        <v>0</v>
      </c>
      <c r="U97" s="11" t="s">
        <v>606</v>
      </c>
      <c r="W97" s="22" t="s">
        <v>358</v>
      </c>
      <c r="X97" s="22" t="s">
        <v>604</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03">
        <f>--(
  ISNUMBER(SEARCH("BASE PARENT", UPPER(CLEAN(TRIM(_xlfn.XLOOKUP(TEXT(Contract_Edits[[#This Row],[Index]],"0"), baseIdxTxt, baseCost, "")))))) +
  ISNUMBER(SEARCH("DEPENDENCY GROUP", UPPER(CLEAN(TRIM(_xlfn.XLOOKUP(TEXT(Contract_Edits[[#This Row],[Index]],"0"), baseIdxTxt, baseCost, ""))))))
)</f>
        <v>0</v>
      </c>
      <c r="AG97" s="503" t="str" cm="1">
        <f t="array" ref="AG97">IF(Contract_Edits[[#This Row],[BaseFlag]]=1,
   10*BaseDepthL(TEXT(Contract_Edits[[#This Row],[Index]],"0"),500,editsIdxTxt,editsParentKeyTxt,baseIdxTxt,baseCost)-5,
   ""
)</f>
        <v/>
      </c>
      <c r="AH97" s="503"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03" t="str">
        <f>IF(Contract_Edits[[#This Row],[Dep]]=0,"Root",
   IF(ISNUMBER(MATCH(Contract_Edits[[#This Row],[Dep]],Contract_Edits[Index],0)),"OK","Missing")
)</f>
        <v>OK</v>
      </c>
      <c r="AJ97" s="503" t="str">
        <f>IF(AND(Contract_Edits[[#This Row],[Dep]]&lt;&gt;0,
        ISNUMBER(MATCH(Contract_Edits[[#This Row],[Dep]], Contract_Edits[Index], 0)),
        INDEX(Contract_Edits[Dep], MATCH(Contract_Edits[[#This Row],[Dep]], Contract_Edits[Index], 0))=Contract_Edits[[#This Row],[Index]]),
   "2-cycle","")</f>
        <v/>
      </c>
      <c r="AK97" s="503" cm="1">
        <f t="array" ref="AK97">IF(Contract_Edits[[#This Row],[BaseFlag]]&lt;&gt;1,0,
   IF(TEXT(Contract_Edits[[#This Row],[Dep]],"0")=TEXT(Contract_Edits[[#This Row],[Index]],"0"),
      0,
      MAX(0, SUMPRODUCT(--(Contract_Edits[BaseFlag]=1),
                        --(TEXT(Contract_Edits[Dep],"0")=TEXT(Contract_Edits[[#This Row],[Dep]],"0"))) - 1)
   )
)</f>
        <v>0</v>
      </c>
      <c r="AL97" s="503" t="str" cm="1">
        <f t="array" ref="AL97">IF(Contract_Edits[[#This Row],[BaseFlag]]=1,
   TEXT(Contract_Edits[[#This Row],[Index]],"0"),
   NearestBaseL(TEXT(Contract_Edits[[#This Row],[ParentKey]],"0"),500,editsIdxTxt,editsParentKeyTxt,baseIdxTxt,baseCost)
)</f>
        <v>2</v>
      </c>
      <c r="AM97" s="503" cm="1">
        <f t="array" ref="AM97">1+SUMPRODUCT(
  (Contract_Edits[BaseFlag]=1)*
  (TEXT(Contract_Edits[ParentAnchor],"0")=TEXT(Contract_Edits[[#This Row],[ParentAnchor]],"0"))*
  (VALUE(TEXT(Contract_Edits[Index],"0"))&lt;VALUE(TEXT(Contract_Edits[[#This Row],[Index]],"0")))
)</f>
        <v>2</v>
      </c>
      <c r="AN97" s="503"/>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1">
        <v>69</v>
      </c>
      <c r="M98" s="441"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68"/>
      <c r="R98" s="508"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8" s="179">
        <v>0</v>
      </c>
      <c r="T98" s="179">
        <v>0</v>
      </c>
      <c r="U98" s="11" t="s">
        <v>606</v>
      </c>
      <c r="W98" s="22" t="s">
        <v>358</v>
      </c>
      <c r="X98" s="22" t="s">
        <v>604</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03">
        <f>--(
  ISNUMBER(SEARCH("BASE PARENT", UPPER(CLEAN(TRIM(_xlfn.XLOOKUP(TEXT(Contract_Edits[[#This Row],[Index]],"0"), baseIdxTxt, baseCost, "")))))) +
  ISNUMBER(SEARCH("DEPENDENCY GROUP", UPPER(CLEAN(TRIM(_xlfn.XLOOKUP(TEXT(Contract_Edits[[#This Row],[Index]],"0"), baseIdxTxt, baseCost, ""))))))
)</f>
        <v>0</v>
      </c>
      <c r="AG98" s="503" t="str" cm="1">
        <f t="array" ref="AG98">IF(Contract_Edits[[#This Row],[BaseFlag]]=1,
   10*BaseDepthL(TEXT(Contract_Edits[[#This Row],[Index]],"0"),500,editsIdxTxt,editsParentKeyTxt,baseIdxTxt,baseCost)-5,
   ""
)</f>
        <v/>
      </c>
      <c r="AH98" s="503"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03" t="str">
        <f>IF(Contract_Edits[[#This Row],[Dep]]=0,"Root",
   IF(ISNUMBER(MATCH(Contract_Edits[[#This Row],[Dep]],Contract_Edits[Index],0)),"OK","Missing")
)</f>
        <v>OK</v>
      </c>
      <c r="AJ98" s="503" t="str">
        <f>IF(AND(Contract_Edits[[#This Row],[Dep]]&lt;&gt;0,
        ISNUMBER(MATCH(Contract_Edits[[#This Row],[Dep]], Contract_Edits[Index], 0)),
        INDEX(Contract_Edits[Dep], MATCH(Contract_Edits[[#This Row],[Dep]], Contract_Edits[Index], 0))=Contract_Edits[[#This Row],[Index]]),
   "2-cycle","")</f>
        <v/>
      </c>
      <c r="AK98" s="503" cm="1">
        <f t="array" ref="AK98">IF(Contract_Edits[[#This Row],[BaseFlag]]&lt;&gt;1,0,
   IF(TEXT(Contract_Edits[[#This Row],[Dep]],"0")=TEXT(Contract_Edits[[#This Row],[Index]],"0"),
      0,
      MAX(0, SUMPRODUCT(--(Contract_Edits[BaseFlag]=1),
                        --(TEXT(Contract_Edits[Dep],"0")=TEXT(Contract_Edits[[#This Row],[Dep]],"0"))) - 1)
   )
)</f>
        <v>0</v>
      </c>
      <c r="AL98" s="503" t="str" cm="1">
        <f t="array" ref="AL98">IF(Contract_Edits[[#This Row],[BaseFlag]]=1,
   TEXT(Contract_Edits[[#This Row],[Index]],"0"),
   NearestBaseL(TEXT(Contract_Edits[[#This Row],[ParentKey]],"0"),500,editsIdxTxt,editsParentKeyTxt,baseIdxTxt,baseCost)
)</f>
        <v>2</v>
      </c>
      <c r="AM98" s="503" cm="1">
        <f t="array" ref="AM98">1+SUMPRODUCT(
  (Contract_Edits[BaseFlag]=1)*
  (TEXT(Contract_Edits[ParentAnchor],"0")=TEXT(Contract_Edits[[#This Row],[ParentAnchor]],"0"))*
  (VALUE(TEXT(Contract_Edits[Index],"0"))&lt;VALUE(TEXT(Contract_Edits[[#This Row],[Index]],"0")))
)</f>
        <v>2</v>
      </c>
      <c r="AN98" s="503"/>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1">
        <v>43</v>
      </c>
      <c r="M99" s="441"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68"/>
      <c r="R99" s="508"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9" s="179">
        <v>0</v>
      </c>
      <c r="T99" s="179">
        <v>0</v>
      </c>
      <c r="U99" s="11" t="s">
        <v>606</v>
      </c>
      <c r="W99" s="22" t="s">
        <v>358</v>
      </c>
      <c r="X99" s="22" t="s">
        <v>604</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03">
        <f>--(
  ISNUMBER(SEARCH("BASE PARENT", UPPER(CLEAN(TRIM(_xlfn.XLOOKUP(TEXT(Contract_Edits[[#This Row],[Index]],"0"), baseIdxTxt, baseCost, "")))))) +
  ISNUMBER(SEARCH("DEPENDENCY GROUP", UPPER(CLEAN(TRIM(_xlfn.XLOOKUP(TEXT(Contract_Edits[[#This Row],[Index]],"0"), baseIdxTxt, baseCost, ""))))))
)</f>
        <v>0</v>
      </c>
      <c r="AG99" s="503" t="str" cm="1">
        <f t="array" ref="AG99">IF(Contract_Edits[[#This Row],[BaseFlag]]=1,
   10*BaseDepthL(TEXT(Contract_Edits[[#This Row],[Index]],"0"),500,editsIdxTxt,editsParentKeyTxt,baseIdxTxt,baseCost)-5,
   ""
)</f>
        <v/>
      </c>
      <c r="AH99" s="503"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03" t="str">
        <f>IF(Contract_Edits[[#This Row],[Dep]]=0,"Root",
   IF(ISNUMBER(MATCH(Contract_Edits[[#This Row],[Dep]],Contract_Edits[Index],0)),"OK","Missing")
)</f>
        <v>OK</v>
      </c>
      <c r="AJ99" s="503" t="str">
        <f>IF(AND(Contract_Edits[[#This Row],[Dep]]&lt;&gt;0,
        ISNUMBER(MATCH(Contract_Edits[[#This Row],[Dep]], Contract_Edits[Index], 0)),
        INDEX(Contract_Edits[Dep], MATCH(Contract_Edits[[#This Row],[Dep]], Contract_Edits[Index], 0))=Contract_Edits[[#This Row],[Index]]),
   "2-cycle","")</f>
        <v/>
      </c>
      <c r="AK99" s="503" cm="1">
        <f t="array" ref="AK99">IF(Contract_Edits[[#This Row],[BaseFlag]]&lt;&gt;1,0,
   IF(TEXT(Contract_Edits[[#This Row],[Dep]],"0")=TEXT(Contract_Edits[[#This Row],[Index]],"0"),
      0,
      MAX(0, SUMPRODUCT(--(Contract_Edits[BaseFlag]=1),
                        --(TEXT(Contract_Edits[Dep],"0")=TEXT(Contract_Edits[[#This Row],[Dep]],"0"))) - 1)
   )
)</f>
        <v>0</v>
      </c>
      <c r="AL99" s="503" t="str" cm="1">
        <f t="array" ref="AL99">IF(Contract_Edits[[#This Row],[BaseFlag]]=1,
   TEXT(Contract_Edits[[#This Row],[Index]],"0"),
   NearestBaseL(TEXT(Contract_Edits[[#This Row],[ParentKey]],"0"),500,editsIdxTxt,editsParentKeyTxt,baseIdxTxt,baseCost)
)</f>
        <v>2</v>
      </c>
      <c r="AM99" s="503" cm="1">
        <f t="array" ref="AM99">1+SUMPRODUCT(
  (Contract_Edits[BaseFlag]=1)*
  (TEXT(Contract_Edits[ParentAnchor],"0")=TEXT(Contract_Edits[[#This Row],[ParentAnchor]],"0"))*
  (VALUE(TEXT(Contract_Edits[Index],"0"))&lt;VALUE(TEXT(Contract_Edits[[#This Row],[Index]],"0")))
)</f>
        <v>2</v>
      </c>
      <c r="AN99" s="503"/>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1">
        <v>29</v>
      </c>
      <c r="M100" s="441"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68"/>
      <c r="R100" s="508"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0" s="179">
        <v>0</v>
      </c>
      <c r="T100" s="179">
        <v>0</v>
      </c>
      <c r="U100" s="11" t="s">
        <v>606</v>
      </c>
      <c r="W100" s="22" t="s">
        <v>358</v>
      </c>
      <c r="X100" s="22" t="s">
        <v>604</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03">
        <f>--(
  ISNUMBER(SEARCH("BASE PARENT", UPPER(CLEAN(TRIM(_xlfn.XLOOKUP(TEXT(Contract_Edits[[#This Row],[Index]],"0"), baseIdxTxt, baseCost, "")))))) +
  ISNUMBER(SEARCH("DEPENDENCY GROUP", UPPER(CLEAN(TRIM(_xlfn.XLOOKUP(TEXT(Contract_Edits[[#This Row],[Index]],"0"), baseIdxTxt, baseCost, ""))))))
)</f>
        <v>0</v>
      </c>
      <c r="AG100" s="503" t="str" cm="1">
        <f t="array" ref="AG100">IF(Contract_Edits[[#This Row],[BaseFlag]]=1,
   10*BaseDepthL(TEXT(Contract_Edits[[#This Row],[Index]],"0"),500,editsIdxTxt,editsParentKeyTxt,baseIdxTxt,baseCost)-5,
   ""
)</f>
        <v/>
      </c>
      <c r="AH100" s="503"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03" t="str">
        <f>IF(Contract_Edits[[#This Row],[Dep]]=0,"Root",
   IF(ISNUMBER(MATCH(Contract_Edits[[#This Row],[Dep]],Contract_Edits[Index],0)),"OK","Missing")
)</f>
        <v>OK</v>
      </c>
      <c r="AJ100" s="503" t="str">
        <f>IF(AND(Contract_Edits[[#This Row],[Dep]]&lt;&gt;0,
        ISNUMBER(MATCH(Contract_Edits[[#This Row],[Dep]], Contract_Edits[Index], 0)),
        INDEX(Contract_Edits[Dep], MATCH(Contract_Edits[[#This Row],[Dep]], Contract_Edits[Index], 0))=Contract_Edits[[#This Row],[Index]]),
   "2-cycle","")</f>
        <v/>
      </c>
      <c r="AK100" s="503" cm="1">
        <f t="array" ref="AK100">IF(Contract_Edits[[#This Row],[BaseFlag]]&lt;&gt;1,0,
   IF(TEXT(Contract_Edits[[#This Row],[Dep]],"0")=TEXT(Contract_Edits[[#This Row],[Index]],"0"),
      0,
      MAX(0, SUMPRODUCT(--(Contract_Edits[BaseFlag]=1),
                        --(TEXT(Contract_Edits[Dep],"0")=TEXT(Contract_Edits[[#This Row],[Dep]],"0"))) - 1)
   )
)</f>
        <v>0</v>
      </c>
      <c r="AL100" s="503" t="str" cm="1">
        <f t="array" ref="AL100">IF(Contract_Edits[[#This Row],[BaseFlag]]=1,
   TEXT(Contract_Edits[[#This Row],[Index]],"0"),
   NearestBaseL(TEXT(Contract_Edits[[#This Row],[ParentKey]],"0"),500,editsIdxTxt,editsParentKeyTxt,baseIdxTxt,baseCost)
)</f>
        <v>2</v>
      </c>
      <c r="AM100" s="503" cm="1">
        <f t="array" ref="AM100">1+SUMPRODUCT(
  (Contract_Edits[BaseFlag]=1)*
  (TEXT(Contract_Edits[ParentAnchor],"0")=TEXT(Contract_Edits[[#This Row],[ParentAnchor]],"0"))*
  (VALUE(TEXT(Contract_Edits[Index],"0"))&lt;VALUE(TEXT(Contract_Edits[[#This Row],[Index]],"0")))
)</f>
        <v>2</v>
      </c>
      <c r="AN100" s="503"/>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1">
        <v>46</v>
      </c>
      <c r="M101" s="441"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68"/>
      <c r="R101" s="508"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1" s="179">
        <v>0</v>
      </c>
      <c r="T101" s="179">
        <v>0</v>
      </c>
      <c r="U101" s="11" t="s">
        <v>606</v>
      </c>
      <c r="W101" s="22" t="s">
        <v>358</v>
      </c>
      <c r="X101" s="22" t="s">
        <v>604</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03">
        <f>--(
  ISNUMBER(SEARCH("BASE PARENT", UPPER(CLEAN(TRIM(_xlfn.XLOOKUP(TEXT(Contract_Edits[[#This Row],[Index]],"0"), baseIdxTxt, baseCost, "")))))) +
  ISNUMBER(SEARCH("DEPENDENCY GROUP", UPPER(CLEAN(TRIM(_xlfn.XLOOKUP(TEXT(Contract_Edits[[#This Row],[Index]],"0"), baseIdxTxt, baseCost, ""))))))
)</f>
        <v>0</v>
      </c>
      <c r="AG101" s="503" t="str" cm="1">
        <f t="array" ref="AG101">IF(Contract_Edits[[#This Row],[BaseFlag]]=1,
   10*BaseDepthL(TEXT(Contract_Edits[[#This Row],[Index]],"0"),500,editsIdxTxt,editsParentKeyTxt,baseIdxTxt,baseCost)-5,
   ""
)</f>
        <v/>
      </c>
      <c r="AH101" s="503"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03" t="str">
        <f>IF(Contract_Edits[[#This Row],[Dep]]=0,"Root",
   IF(ISNUMBER(MATCH(Contract_Edits[[#This Row],[Dep]],Contract_Edits[Index],0)),"OK","Missing")
)</f>
        <v>OK</v>
      </c>
      <c r="AJ101" s="503" t="str">
        <f>IF(AND(Contract_Edits[[#This Row],[Dep]]&lt;&gt;0,
        ISNUMBER(MATCH(Contract_Edits[[#This Row],[Dep]], Contract_Edits[Index], 0)),
        INDEX(Contract_Edits[Dep], MATCH(Contract_Edits[[#This Row],[Dep]], Contract_Edits[Index], 0))=Contract_Edits[[#This Row],[Index]]),
   "2-cycle","")</f>
        <v/>
      </c>
      <c r="AK101" s="503" cm="1">
        <f t="array" ref="AK101">IF(Contract_Edits[[#This Row],[BaseFlag]]&lt;&gt;1,0,
   IF(TEXT(Contract_Edits[[#This Row],[Dep]],"0")=TEXT(Contract_Edits[[#This Row],[Index]],"0"),
      0,
      MAX(0, SUMPRODUCT(--(Contract_Edits[BaseFlag]=1),
                        --(TEXT(Contract_Edits[Dep],"0")=TEXT(Contract_Edits[[#This Row],[Dep]],"0"))) - 1)
   )
)</f>
        <v>0</v>
      </c>
      <c r="AL101" s="503" t="str" cm="1">
        <f t="array" ref="AL101">IF(Contract_Edits[[#This Row],[BaseFlag]]=1,
   TEXT(Contract_Edits[[#This Row],[Index]],"0"),
   NearestBaseL(TEXT(Contract_Edits[[#This Row],[ParentKey]],"0"),500,editsIdxTxt,editsParentKeyTxt,baseIdxTxt,baseCost)
)</f>
        <v>2</v>
      </c>
      <c r="AM101" s="503" cm="1">
        <f t="array" ref="AM101">1+SUMPRODUCT(
  (Contract_Edits[BaseFlag]=1)*
  (TEXT(Contract_Edits[ParentAnchor],"0")=TEXT(Contract_Edits[[#This Row],[ParentAnchor]],"0"))*
  (VALUE(TEXT(Contract_Edits[Index],"0"))&lt;VALUE(TEXT(Contract_Edits[[#This Row],[Index]],"0")))
)</f>
        <v>2</v>
      </c>
      <c r="AN101" s="503"/>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1">
        <v>42</v>
      </c>
      <c r="M102" s="441"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68"/>
      <c r="R102" s="508"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2" s="179">
        <v>0</v>
      </c>
      <c r="T102" s="179">
        <v>0</v>
      </c>
      <c r="U102" s="11" t="s">
        <v>606</v>
      </c>
      <c r="W102" s="22" t="s">
        <v>358</v>
      </c>
      <c r="X102" s="22" t="s">
        <v>604</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03">
        <f>--(
  ISNUMBER(SEARCH("BASE PARENT", UPPER(CLEAN(TRIM(_xlfn.XLOOKUP(TEXT(Contract_Edits[[#This Row],[Index]],"0"), baseIdxTxt, baseCost, "")))))) +
  ISNUMBER(SEARCH("DEPENDENCY GROUP", UPPER(CLEAN(TRIM(_xlfn.XLOOKUP(TEXT(Contract_Edits[[#This Row],[Index]],"0"), baseIdxTxt, baseCost, ""))))))
)</f>
        <v>0</v>
      </c>
      <c r="AG102" s="503" t="str" cm="1">
        <f t="array" ref="AG102">IF(Contract_Edits[[#This Row],[BaseFlag]]=1,
   10*BaseDepthL(TEXT(Contract_Edits[[#This Row],[Index]],"0"),500,editsIdxTxt,editsParentKeyTxt,baseIdxTxt,baseCost)-5,
   ""
)</f>
        <v/>
      </c>
      <c r="AH102" s="503"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03" t="str">
        <f>IF(Contract_Edits[[#This Row],[Dep]]=0,"Root",
   IF(ISNUMBER(MATCH(Contract_Edits[[#This Row],[Dep]],Contract_Edits[Index],0)),"OK","Missing")
)</f>
        <v>OK</v>
      </c>
      <c r="AJ102" s="503" t="str">
        <f>IF(AND(Contract_Edits[[#This Row],[Dep]]&lt;&gt;0,
        ISNUMBER(MATCH(Contract_Edits[[#This Row],[Dep]], Contract_Edits[Index], 0)),
        INDEX(Contract_Edits[Dep], MATCH(Contract_Edits[[#This Row],[Dep]], Contract_Edits[Index], 0))=Contract_Edits[[#This Row],[Index]]),
   "2-cycle","")</f>
        <v/>
      </c>
      <c r="AK102" s="503" cm="1">
        <f t="array" ref="AK102">IF(Contract_Edits[[#This Row],[BaseFlag]]&lt;&gt;1,0,
   IF(TEXT(Contract_Edits[[#This Row],[Dep]],"0")=TEXT(Contract_Edits[[#This Row],[Index]],"0"),
      0,
      MAX(0, SUMPRODUCT(--(Contract_Edits[BaseFlag]=1),
                        --(TEXT(Contract_Edits[Dep],"0")=TEXT(Contract_Edits[[#This Row],[Dep]],"0"))) - 1)
   )
)</f>
        <v>0</v>
      </c>
      <c r="AL102" s="503" t="str" cm="1">
        <f t="array" ref="AL102">IF(Contract_Edits[[#This Row],[BaseFlag]]=1,
   TEXT(Contract_Edits[[#This Row],[Index]],"0"),
   NearestBaseL(TEXT(Contract_Edits[[#This Row],[ParentKey]],"0"),500,editsIdxTxt,editsParentKeyTxt,baseIdxTxt,baseCost)
)</f>
        <v>2</v>
      </c>
      <c r="AM102" s="503" cm="1">
        <f t="array" ref="AM102">1+SUMPRODUCT(
  (Contract_Edits[BaseFlag]=1)*
  (TEXT(Contract_Edits[ParentAnchor],"0")=TEXT(Contract_Edits[[#This Row],[ParentAnchor]],"0"))*
  (VALUE(TEXT(Contract_Edits[Index],"0"))&lt;VALUE(TEXT(Contract_Edits[[#This Row],[Index]],"0")))
)</f>
        <v>2</v>
      </c>
      <c r="AN102" s="503"/>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1">
        <v>66</v>
      </c>
      <c r="M103" s="441"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68"/>
      <c r="R103" s="508"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3" s="179">
        <v>0</v>
      </c>
      <c r="T103" s="179">
        <v>0</v>
      </c>
      <c r="U103" s="11" t="s">
        <v>617</v>
      </c>
      <c r="W103" s="22" t="s">
        <v>358</v>
      </c>
      <c r="X103" s="22" t="s">
        <v>604</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03">
        <f>--(
  ISNUMBER(SEARCH("BASE PARENT", UPPER(CLEAN(TRIM(_xlfn.XLOOKUP(TEXT(Contract_Edits[[#This Row],[Index]],"0"), baseIdxTxt, baseCost, "")))))) +
  ISNUMBER(SEARCH("DEPENDENCY GROUP", UPPER(CLEAN(TRIM(_xlfn.XLOOKUP(TEXT(Contract_Edits[[#This Row],[Index]],"0"), baseIdxTxt, baseCost, ""))))))
)</f>
        <v>0</v>
      </c>
      <c r="AG103" s="503" t="str" cm="1">
        <f t="array" ref="AG103">IF(Contract_Edits[[#This Row],[BaseFlag]]=1,
   10*BaseDepthL(TEXT(Contract_Edits[[#This Row],[Index]],"0"),500,editsIdxTxt,editsParentKeyTxt,baseIdxTxt,baseCost)-5,
   ""
)</f>
        <v/>
      </c>
      <c r="AH103" s="503"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03" t="str">
        <f>IF(Contract_Edits[[#This Row],[Dep]]=0,"Root",
   IF(ISNUMBER(MATCH(Contract_Edits[[#This Row],[Dep]],Contract_Edits[Index],0)),"OK","Missing")
)</f>
        <v>OK</v>
      </c>
      <c r="AJ103" s="503" t="str">
        <f>IF(AND(Contract_Edits[[#This Row],[Dep]]&lt;&gt;0,
        ISNUMBER(MATCH(Contract_Edits[[#This Row],[Dep]], Contract_Edits[Index], 0)),
        INDEX(Contract_Edits[Dep], MATCH(Contract_Edits[[#This Row],[Dep]], Contract_Edits[Index], 0))=Contract_Edits[[#This Row],[Index]]),
   "2-cycle","")</f>
        <v/>
      </c>
      <c r="AK103" s="503" cm="1">
        <f t="array" ref="AK103">IF(Contract_Edits[[#This Row],[BaseFlag]]&lt;&gt;1,0,
   IF(TEXT(Contract_Edits[[#This Row],[Dep]],"0")=TEXT(Contract_Edits[[#This Row],[Index]],"0"),
      0,
      MAX(0, SUMPRODUCT(--(Contract_Edits[BaseFlag]=1),
                        --(TEXT(Contract_Edits[Dep],"0")=TEXT(Contract_Edits[[#This Row],[Dep]],"0"))) - 1)
   )
)</f>
        <v>0</v>
      </c>
      <c r="AL103" s="503" t="str" cm="1">
        <f t="array" ref="AL103">IF(Contract_Edits[[#This Row],[BaseFlag]]=1,
   TEXT(Contract_Edits[[#This Row],[Index]],"0"),
   NearestBaseL(TEXT(Contract_Edits[[#This Row],[ParentKey]],"0"),500,editsIdxTxt,editsParentKeyTxt,baseIdxTxt,baseCost)
)</f>
        <v>11</v>
      </c>
      <c r="AM103" s="503" cm="1">
        <f t="array" ref="AM103">1+SUMPRODUCT(
  (Contract_Edits[BaseFlag]=1)*
  (TEXT(Contract_Edits[ParentAnchor],"0")=TEXT(Contract_Edits[[#This Row],[ParentAnchor]],"0"))*
  (VALUE(TEXT(Contract_Edits[Index],"0"))&lt;VALUE(TEXT(Contract_Edits[[#This Row],[Index]],"0")))
)</f>
        <v>2</v>
      </c>
      <c r="AN103" s="503"/>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1">
        <v>30</v>
      </c>
      <c r="M104" s="441"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68"/>
      <c r="R104" s="508"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4" s="179">
        <v>0</v>
      </c>
      <c r="T104" s="179">
        <v>0</v>
      </c>
      <c r="U104" s="11" t="s">
        <v>608</v>
      </c>
      <c r="W104" s="22" t="s">
        <v>358</v>
      </c>
      <c r="X104" s="22" t="s">
        <v>604</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03">
        <f>--(
  ISNUMBER(SEARCH("BASE PARENT", UPPER(CLEAN(TRIM(_xlfn.XLOOKUP(TEXT(Contract_Edits[[#This Row],[Index]],"0"), baseIdxTxt, baseCost, "")))))) +
  ISNUMBER(SEARCH("DEPENDENCY GROUP", UPPER(CLEAN(TRIM(_xlfn.XLOOKUP(TEXT(Contract_Edits[[#This Row],[Index]],"0"), baseIdxTxt, baseCost, ""))))))
)</f>
        <v>0</v>
      </c>
      <c r="AG104" s="503" t="str" cm="1">
        <f t="array" ref="AG104">IF(Contract_Edits[[#This Row],[BaseFlag]]=1,
   10*BaseDepthL(TEXT(Contract_Edits[[#This Row],[Index]],"0"),500,editsIdxTxt,editsParentKeyTxt,baseIdxTxt,baseCost)-5,
   ""
)</f>
        <v/>
      </c>
      <c r="AH104" s="503"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03" t="str">
        <f>IF(Contract_Edits[[#This Row],[Dep]]=0,"Root",
   IF(ISNUMBER(MATCH(Contract_Edits[[#This Row],[Dep]],Contract_Edits[Index],0)),"OK","Missing")
)</f>
        <v>OK</v>
      </c>
      <c r="AJ104" s="503" t="str">
        <f>IF(AND(Contract_Edits[[#This Row],[Dep]]&lt;&gt;0,
        ISNUMBER(MATCH(Contract_Edits[[#This Row],[Dep]], Contract_Edits[Index], 0)),
        INDEX(Contract_Edits[Dep], MATCH(Contract_Edits[[#This Row],[Dep]], Contract_Edits[Index], 0))=Contract_Edits[[#This Row],[Index]]),
   "2-cycle","")</f>
        <v/>
      </c>
      <c r="AK104" s="503" cm="1">
        <f t="array" ref="AK104">IF(Contract_Edits[[#This Row],[BaseFlag]]&lt;&gt;1,0,
   IF(TEXT(Contract_Edits[[#This Row],[Dep]],"0")=TEXT(Contract_Edits[[#This Row],[Index]],"0"),
      0,
      MAX(0, SUMPRODUCT(--(Contract_Edits[BaseFlag]=1),
                        --(TEXT(Contract_Edits[Dep],"0")=TEXT(Contract_Edits[[#This Row],[Dep]],"0"))) - 1)
   )
)</f>
        <v>0</v>
      </c>
      <c r="AL104" s="503" t="str" cm="1">
        <f t="array" ref="AL104">IF(Contract_Edits[[#This Row],[BaseFlag]]=1,
   TEXT(Contract_Edits[[#This Row],[Index]],"0"),
   NearestBaseL(TEXT(Contract_Edits[[#This Row],[ParentKey]],"0"),500,editsIdxTxt,editsParentKeyTxt,baseIdxTxt,baseCost)
)</f>
        <v>14</v>
      </c>
      <c r="AM104" s="503" cm="1">
        <f t="array" ref="AM104">1+SUMPRODUCT(
  (Contract_Edits[BaseFlag]=1)*
  (TEXT(Contract_Edits[ParentAnchor],"0")=TEXT(Contract_Edits[[#This Row],[ParentAnchor]],"0"))*
  (VALUE(TEXT(Contract_Edits[Index],"0"))&lt;VALUE(TEXT(Contract_Edits[[#This Row],[Index]],"0")))
)</f>
        <v>2</v>
      </c>
      <c r="AN104" s="503"/>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1">
        <v>68</v>
      </c>
      <c r="M105" s="441"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68"/>
      <c r="R105" s="508"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5" s="179">
        <v>0</v>
      </c>
      <c r="T105" s="179">
        <v>0</v>
      </c>
      <c r="U105" s="11" t="s">
        <v>609</v>
      </c>
      <c r="W105" s="22" t="s">
        <v>358</v>
      </c>
      <c r="X105" s="22" t="s">
        <v>604</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03">
        <f>--(
  ISNUMBER(SEARCH("BASE PARENT", UPPER(CLEAN(TRIM(_xlfn.XLOOKUP(TEXT(Contract_Edits[[#This Row],[Index]],"0"), baseIdxTxt, baseCost, "")))))) +
  ISNUMBER(SEARCH("DEPENDENCY GROUP", UPPER(CLEAN(TRIM(_xlfn.XLOOKUP(TEXT(Contract_Edits[[#This Row],[Index]],"0"), baseIdxTxt, baseCost, ""))))))
)</f>
        <v>0</v>
      </c>
      <c r="AG105" s="503" t="str" cm="1">
        <f t="array" ref="AG105">IF(Contract_Edits[[#This Row],[BaseFlag]]=1,
   10*BaseDepthL(TEXT(Contract_Edits[[#This Row],[Index]],"0"),500,editsIdxTxt,editsParentKeyTxt,baseIdxTxt,baseCost)-5,
   ""
)</f>
        <v/>
      </c>
      <c r="AH105" s="503"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03" t="str">
        <f>IF(Contract_Edits[[#This Row],[Dep]]=0,"Root",
   IF(ISNUMBER(MATCH(Contract_Edits[[#This Row],[Dep]],Contract_Edits[Index],0)),"OK","Missing")
)</f>
        <v>OK</v>
      </c>
      <c r="AJ105" s="503" t="str">
        <f>IF(AND(Contract_Edits[[#This Row],[Dep]]&lt;&gt;0,
        ISNUMBER(MATCH(Contract_Edits[[#This Row],[Dep]], Contract_Edits[Index], 0)),
        INDEX(Contract_Edits[Dep], MATCH(Contract_Edits[[#This Row],[Dep]], Contract_Edits[Index], 0))=Contract_Edits[[#This Row],[Index]]),
   "2-cycle","")</f>
        <v/>
      </c>
      <c r="AK105" s="503" cm="1">
        <f t="array" ref="AK105">IF(Contract_Edits[[#This Row],[BaseFlag]]&lt;&gt;1,0,
   IF(TEXT(Contract_Edits[[#This Row],[Dep]],"0")=TEXT(Contract_Edits[[#This Row],[Index]],"0"),
      0,
      MAX(0, SUMPRODUCT(--(Contract_Edits[BaseFlag]=1),
                        --(TEXT(Contract_Edits[Dep],"0")=TEXT(Contract_Edits[[#This Row],[Dep]],"0"))) - 1)
   )
)</f>
        <v>0</v>
      </c>
      <c r="AL105" s="503" t="str" cm="1">
        <f t="array" ref="AL105">IF(Contract_Edits[[#This Row],[BaseFlag]]=1,
   TEXT(Contract_Edits[[#This Row],[Index]],"0"),
   NearestBaseL(TEXT(Contract_Edits[[#This Row],[ParentKey]],"0"),500,editsIdxTxt,editsParentKeyTxt,baseIdxTxt,baseCost)
)</f>
        <v>15</v>
      </c>
      <c r="AM105" s="503" cm="1">
        <f t="array" ref="AM105">1+SUMPRODUCT(
  (Contract_Edits[BaseFlag]=1)*
  (TEXT(Contract_Edits[ParentAnchor],"0")=TEXT(Contract_Edits[[#This Row],[ParentAnchor]],"0"))*
  (VALUE(TEXT(Contract_Edits[Index],"0"))&lt;VALUE(TEXT(Contract_Edits[[#This Row],[Index]],"0")))
)</f>
        <v>2</v>
      </c>
      <c r="AN105" s="503"/>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1">
        <v>57</v>
      </c>
      <c r="M106" s="441"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68"/>
      <c r="R106" s="508"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6" s="179">
        <v>0</v>
      </c>
      <c r="T106" s="179">
        <v>0</v>
      </c>
      <c r="U106" s="11" t="s">
        <v>609</v>
      </c>
      <c r="W106" s="22" t="s">
        <v>358</v>
      </c>
      <c r="X106" s="22" t="s">
        <v>604</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03">
        <f>--(
  ISNUMBER(SEARCH("BASE PARENT", UPPER(CLEAN(TRIM(_xlfn.XLOOKUP(TEXT(Contract_Edits[[#This Row],[Index]],"0"), baseIdxTxt, baseCost, "")))))) +
  ISNUMBER(SEARCH("DEPENDENCY GROUP", UPPER(CLEAN(TRIM(_xlfn.XLOOKUP(TEXT(Contract_Edits[[#This Row],[Index]],"0"), baseIdxTxt, baseCost, ""))))))
)</f>
        <v>0</v>
      </c>
      <c r="AG106" s="503" t="str" cm="1">
        <f t="array" ref="AG106">IF(Contract_Edits[[#This Row],[BaseFlag]]=1,
   10*BaseDepthL(TEXT(Contract_Edits[[#This Row],[Index]],"0"),500,editsIdxTxt,editsParentKeyTxt,baseIdxTxt,baseCost)-5,
   ""
)</f>
        <v/>
      </c>
      <c r="AH106" s="503"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03" t="str">
        <f>IF(Contract_Edits[[#This Row],[Dep]]=0,"Root",
   IF(ISNUMBER(MATCH(Contract_Edits[[#This Row],[Dep]],Contract_Edits[Index],0)),"OK","Missing")
)</f>
        <v>OK</v>
      </c>
      <c r="AJ106" s="503" t="str">
        <f>IF(AND(Contract_Edits[[#This Row],[Dep]]&lt;&gt;0,
        ISNUMBER(MATCH(Contract_Edits[[#This Row],[Dep]], Contract_Edits[Index], 0)),
        INDEX(Contract_Edits[Dep], MATCH(Contract_Edits[[#This Row],[Dep]], Contract_Edits[Index], 0))=Contract_Edits[[#This Row],[Index]]),
   "2-cycle","")</f>
        <v/>
      </c>
      <c r="AK106" s="503" cm="1">
        <f t="array" ref="AK106">IF(Contract_Edits[[#This Row],[BaseFlag]]&lt;&gt;1,0,
   IF(TEXT(Contract_Edits[[#This Row],[Dep]],"0")=TEXT(Contract_Edits[[#This Row],[Index]],"0"),
      0,
      MAX(0, SUMPRODUCT(--(Contract_Edits[BaseFlag]=1),
                        --(TEXT(Contract_Edits[Dep],"0")=TEXT(Contract_Edits[[#This Row],[Dep]],"0"))) - 1)
   )
)</f>
        <v>0</v>
      </c>
      <c r="AL106" s="503" t="str" cm="1">
        <f t="array" ref="AL106">IF(Contract_Edits[[#This Row],[BaseFlag]]=1,
   TEXT(Contract_Edits[[#This Row],[Index]],"0"),
   NearestBaseL(TEXT(Contract_Edits[[#This Row],[ParentKey]],"0"),500,editsIdxTxt,editsParentKeyTxt,baseIdxTxt,baseCost)
)</f>
        <v>15</v>
      </c>
      <c r="AM106" s="503" cm="1">
        <f t="array" ref="AM106">1+SUMPRODUCT(
  (Contract_Edits[BaseFlag]=1)*
  (TEXT(Contract_Edits[ParentAnchor],"0")=TEXT(Contract_Edits[[#This Row],[ParentAnchor]],"0"))*
  (VALUE(TEXT(Contract_Edits[Index],"0"))&lt;VALUE(TEXT(Contract_Edits[[#This Row],[Index]],"0")))
)</f>
        <v>2</v>
      </c>
      <c r="AN106" s="503"/>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1">
        <v>45</v>
      </c>
      <c r="M107" s="441"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68"/>
      <c r="R107" s="508"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7" s="179">
        <v>0</v>
      </c>
      <c r="T107" s="179">
        <v>0</v>
      </c>
      <c r="U107" s="11" t="s">
        <v>610</v>
      </c>
      <c r="W107" s="22" t="s">
        <v>358</v>
      </c>
      <c r="X107" s="22" t="s">
        <v>604</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03">
        <f>--(
  ISNUMBER(SEARCH("BASE PARENT", UPPER(CLEAN(TRIM(_xlfn.XLOOKUP(TEXT(Contract_Edits[[#This Row],[Index]],"0"), baseIdxTxt, baseCost, "")))))) +
  ISNUMBER(SEARCH("DEPENDENCY GROUP", UPPER(CLEAN(TRIM(_xlfn.XLOOKUP(TEXT(Contract_Edits[[#This Row],[Index]],"0"), baseIdxTxt, baseCost, ""))))))
)</f>
        <v>0</v>
      </c>
      <c r="AG107" s="503" t="str" cm="1">
        <f t="array" ref="AG107">IF(Contract_Edits[[#This Row],[BaseFlag]]=1,
   10*BaseDepthL(TEXT(Contract_Edits[[#This Row],[Index]],"0"),500,editsIdxTxt,editsParentKeyTxt,baseIdxTxt,baseCost)-5,
   ""
)</f>
        <v/>
      </c>
      <c r="AH107" s="503"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03" t="str">
        <f>IF(Contract_Edits[[#This Row],[Dep]]=0,"Root",
   IF(ISNUMBER(MATCH(Contract_Edits[[#This Row],[Dep]],Contract_Edits[Index],0)),"OK","Missing")
)</f>
        <v>OK</v>
      </c>
      <c r="AJ107" s="503" t="str">
        <f>IF(AND(Contract_Edits[[#This Row],[Dep]]&lt;&gt;0,
        ISNUMBER(MATCH(Contract_Edits[[#This Row],[Dep]], Contract_Edits[Index], 0)),
        INDEX(Contract_Edits[Dep], MATCH(Contract_Edits[[#This Row],[Dep]], Contract_Edits[Index], 0))=Contract_Edits[[#This Row],[Index]]),
   "2-cycle","")</f>
        <v/>
      </c>
      <c r="AK107" s="503" cm="1">
        <f t="array" ref="AK107">IF(Contract_Edits[[#This Row],[BaseFlag]]&lt;&gt;1,0,
   IF(TEXT(Contract_Edits[[#This Row],[Dep]],"0")=TEXT(Contract_Edits[[#This Row],[Index]],"0"),
      0,
      MAX(0, SUMPRODUCT(--(Contract_Edits[BaseFlag]=1),
                        --(TEXT(Contract_Edits[Dep],"0")=TEXT(Contract_Edits[[#This Row],[Dep]],"0"))) - 1)
   )
)</f>
        <v>0</v>
      </c>
      <c r="AL107" s="503" t="str" cm="1">
        <f t="array" ref="AL107">IF(Contract_Edits[[#This Row],[BaseFlag]]=1,
   TEXT(Contract_Edits[[#This Row],[Index]],"0"),
   NearestBaseL(TEXT(Contract_Edits[[#This Row],[ParentKey]],"0"),500,editsIdxTxt,editsParentKeyTxt,baseIdxTxt,baseCost)
)</f>
        <v>16</v>
      </c>
      <c r="AM107" s="503" cm="1">
        <f t="array" ref="AM107">1+SUMPRODUCT(
  (Contract_Edits[BaseFlag]=1)*
  (TEXT(Contract_Edits[ParentAnchor],"0")=TEXT(Contract_Edits[[#This Row],[ParentAnchor]],"0"))*
  (VALUE(TEXT(Contract_Edits[Index],"0"))&lt;VALUE(TEXT(Contract_Edits[[#This Row],[Index]],"0")))
)</f>
        <v>2</v>
      </c>
      <c r="AN107" s="503"/>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1">
        <v>47</v>
      </c>
      <c r="M108" s="441"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68"/>
      <c r="R108" s="508"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8" s="179">
        <v>0</v>
      </c>
      <c r="T108" s="179">
        <v>0</v>
      </c>
      <c r="U108" s="11" t="s">
        <v>610</v>
      </c>
      <c r="W108" s="22" t="s">
        <v>358</v>
      </c>
      <c r="X108" s="22" t="s">
        <v>604</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03">
        <f>--(
  ISNUMBER(SEARCH("BASE PARENT", UPPER(CLEAN(TRIM(_xlfn.XLOOKUP(TEXT(Contract_Edits[[#This Row],[Index]],"0"), baseIdxTxt, baseCost, "")))))) +
  ISNUMBER(SEARCH("DEPENDENCY GROUP", UPPER(CLEAN(TRIM(_xlfn.XLOOKUP(TEXT(Contract_Edits[[#This Row],[Index]],"0"), baseIdxTxt, baseCost, ""))))))
)</f>
        <v>0</v>
      </c>
      <c r="AG108" s="503" t="str" cm="1">
        <f t="array" ref="AG108">IF(Contract_Edits[[#This Row],[BaseFlag]]=1,
   10*BaseDepthL(TEXT(Contract_Edits[[#This Row],[Index]],"0"),500,editsIdxTxt,editsParentKeyTxt,baseIdxTxt,baseCost)-5,
   ""
)</f>
        <v/>
      </c>
      <c r="AH108" s="503"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03" t="str">
        <f>IF(Contract_Edits[[#This Row],[Dep]]=0,"Root",
   IF(ISNUMBER(MATCH(Contract_Edits[[#This Row],[Dep]],Contract_Edits[Index],0)),"OK","Missing")
)</f>
        <v>OK</v>
      </c>
      <c r="AJ108" s="503" t="str">
        <f>IF(AND(Contract_Edits[[#This Row],[Dep]]&lt;&gt;0,
        ISNUMBER(MATCH(Contract_Edits[[#This Row],[Dep]], Contract_Edits[Index], 0)),
        INDEX(Contract_Edits[Dep], MATCH(Contract_Edits[[#This Row],[Dep]], Contract_Edits[Index], 0))=Contract_Edits[[#This Row],[Index]]),
   "2-cycle","")</f>
        <v/>
      </c>
      <c r="AK108" s="503" cm="1">
        <f t="array" ref="AK108">IF(Contract_Edits[[#This Row],[BaseFlag]]&lt;&gt;1,0,
   IF(TEXT(Contract_Edits[[#This Row],[Dep]],"0")=TEXT(Contract_Edits[[#This Row],[Index]],"0"),
      0,
      MAX(0, SUMPRODUCT(--(Contract_Edits[BaseFlag]=1),
                        --(TEXT(Contract_Edits[Dep],"0")=TEXT(Contract_Edits[[#This Row],[Dep]],"0"))) - 1)
   )
)</f>
        <v>0</v>
      </c>
      <c r="AL108" s="503" t="str" cm="1">
        <f t="array" ref="AL108">IF(Contract_Edits[[#This Row],[BaseFlag]]=1,
   TEXT(Contract_Edits[[#This Row],[Index]],"0"),
   NearestBaseL(TEXT(Contract_Edits[[#This Row],[ParentKey]],"0"),500,editsIdxTxt,editsParentKeyTxt,baseIdxTxt,baseCost)
)</f>
        <v>16</v>
      </c>
      <c r="AM108" s="503" cm="1">
        <f t="array" ref="AM108">1+SUMPRODUCT(
  (Contract_Edits[BaseFlag]=1)*
  (TEXT(Contract_Edits[ParentAnchor],"0")=TEXT(Contract_Edits[[#This Row],[ParentAnchor]],"0"))*
  (VALUE(TEXT(Contract_Edits[Index],"0"))&lt;VALUE(TEXT(Contract_Edits[[#This Row],[Index]],"0")))
)</f>
        <v>2</v>
      </c>
      <c r="AN108" s="503"/>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1">
        <v>72</v>
      </c>
      <c r="M109" s="441"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68"/>
      <c r="R109" s="508"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9" s="179">
        <v>0</v>
      </c>
      <c r="T109" s="179">
        <v>0</v>
      </c>
      <c r="U109" s="11" t="s">
        <v>611</v>
      </c>
      <c r="W109" s="22" t="s">
        <v>358</v>
      </c>
      <c r="X109" s="22" t="s">
        <v>604</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03">
        <f>--(
  ISNUMBER(SEARCH("BASE PARENT", UPPER(CLEAN(TRIM(_xlfn.XLOOKUP(TEXT(Contract_Edits[[#This Row],[Index]],"0"), baseIdxTxt, baseCost, "")))))) +
  ISNUMBER(SEARCH("DEPENDENCY GROUP", UPPER(CLEAN(TRIM(_xlfn.XLOOKUP(TEXT(Contract_Edits[[#This Row],[Index]],"0"), baseIdxTxt, baseCost, ""))))))
)</f>
        <v>0</v>
      </c>
      <c r="AG109" s="503" t="str" cm="1">
        <f t="array" ref="AG109">IF(Contract_Edits[[#This Row],[BaseFlag]]=1,
   10*BaseDepthL(TEXT(Contract_Edits[[#This Row],[Index]],"0"),500,editsIdxTxt,editsParentKeyTxt,baseIdxTxt,baseCost)-5,
   ""
)</f>
        <v/>
      </c>
      <c r="AH109" s="503"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03" t="str">
        <f>IF(Contract_Edits[[#This Row],[Dep]]=0,"Root",
   IF(ISNUMBER(MATCH(Contract_Edits[[#This Row],[Dep]],Contract_Edits[Index],0)),"OK","Missing")
)</f>
        <v>OK</v>
      </c>
      <c r="AJ109" s="503" t="str">
        <f>IF(AND(Contract_Edits[[#This Row],[Dep]]&lt;&gt;0,
        ISNUMBER(MATCH(Contract_Edits[[#This Row],[Dep]], Contract_Edits[Index], 0)),
        INDEX(Contract_Edits[Dep], MATCH(Contract_Edits[[#This Row],[Dep]], Contract_Edits[Index], 0))=Contract_Edits[[#This Row],[Index]]),
   "2-cycle","")</f>
        <v/>
      </c>
      <c r="AK109" s="503" cm="1">
        <f t="array" ref="AK109">IF(Contract_Edits[[#This Row],[BaseFlag]]&lt;&gt;1,0,
   IF(TEXT(Contract_Edits[[#This Row],[Dep]],"0")=TEXT(Contract_Edits[[#This Row],[Index]],"0"),
      0,
      MAX(0, SUMPRODUCT(--(Contract_Edits[BaseFlag]=1),
                        --(TEXT(Contract_Edits[Dep],"0")=TEXT(Contract_Edits[[#This Row],[Dep]],"0"))) - 1)
   )
)</f>
        <v>0</v>
      </c>
      <c r="AL109" s="503" t="str" cm="1">
        <f t="array" ref="AL109">IF(Contract_Edits[[#This Row],[BaseFlag]]=1,
   TEXT(Contract_Edits[[#This Row],[Index]],"0"),
   NearestBaseL(TEXT(Contract_Edits[[#This Row],[ParentKey]],"0"),500,editsIdxTxt,editsParentKeyTxt,baseIdxTxt,baseCost)
)</f>
        <v>17</v>
      </c>
      <c r="AM109" s="503" cm="1">
        <f t="array" ref="AM109">1+SUMPRODUCT(
  (Contract_Edits[BaseFlag]=1)*
  (TEXT(Contract_Edits[ParentAnchor],"0")=TEXT(Contract_Edits[[#This Row],[ParentAnchor]],"0"))*
  (VALUE(TEXT(Contract_Edits[Index],"0"))&lt;VALUE(TEXT(Contract_Edits[[#This Row],[Index]],"0")))
)</f>
        <v>2</v>
      </c>
      <c r="AN109" s="503"/>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1">
        <v>37</v>
      </c>
      <c r="M110" s="441"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0"/>
      <c r="R110" s="508"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0" s="179">
        <v>0</v>
      </c>
      <c r="T110" s="469"/>
      <c r="U110" s="492" t="s">
        <v>611</v>
      </c>
      <c r="V110" s="193"/>
      <c r="W110" s="22" t="s">
        <v>358</v>
      </c>
      <c r="X110" s="484" t="s">
        <v>604</v>
      </c>
      <c r="Y110" s="484"/>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03">
        <f>--(
  ISNUMBER(SEARCH("BASE PARENT", UPPER(CLEAN(TRIM(_xlfn.XLOOKUP(TEXT(Contract_Edits[[#This Row],[Index]],"0"), baseIdxTxt, baseCost, "")))))) +
  ISNUMBER(SEARCH("DEPENDENCY GROUP", UPPER(CLEAN(TRIM(_xlfn.XLOOKUP(TEXT(Contract_Edits[[#This Row],[Index]],"0"), baseIdxTxt, baseCost, ""))))))
)</f>
        <v>0</v>
      </c>
      <c r="AG110" s="503" t="str" cm="1">
        <f t="array" ref="AG110">IF(Contract_Edits[[#This Row],[BaseFlag]]=1,
   10*BaseDepthL(TEXT(Contract_Edits[[#This Row],[Index]],"0"),500,editsIdxTxt,editsParentKeyTxt,baseIdxTxt,baseCost)-5,
   ""
)</f>
        <v/>
      </c>
      <c r="AH110" s="503"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03" t="str">
        <f>IF(Contract_Edits[[#This Row],[Dep]]=0,"Root",
   IF(ISNUMBER(MATCH(Contract_Edits[[#This Row],[Dep]],Contract_Edits[Index],0)),"OK","Missing")
)</f>
        <v>OK</v>
      </c>
      <c r="AJ110" s="503" t="str">
        <f>IF(AND(Contract_Edits[[#This Row],[Dep]]&lt;&gt;0,
        ISNUMBER(MATCH(Contract_Edits[[#This Row],[Dep]], Contract_Edits[Index], 0)),
        INDEX(Contract_Edits[Dep], MATCH(Contract_Edits[[#This Row],[Dep]], Contract_Edits[Index], 0))=Contract_Edits[[#This Row],[Index]]),
   "2-cycle","")</f>
        <v/>
      </c>
      <c r="AK110" s="503" cm="1">
        <f t="array" ref="AK110">IF(Contract_Edits[[#This Row],[BaseFlag]]&lt;&gt;1,0,
   IF(TEXT(Contract_Edits[[#This Row],[Dep]],"0")=TEXT(Contract_Edits[[#This Row],[Index]],"0"),
      0,
      MAX(0, SUMPRODUCT(--(Contract_Edits[BaseFlag]=1),
                        --(TEXT(Contract_Edits[Dep],"0")=TEXT(Contract_Edits[[#This Row],[Dep]],"0"))) - 1)
   )
)</f>
        <v>0</v>
      </c>
      <c r="AL110" s="503" t="str" cm="1">
        <f t="array" ref="AL110">IF(Contract_Edits[[#This Row],[BaseFlag]]=1,
   TEXT(Contract_Edits[[#This Row],[Index]],"0"),
   NearestBaseL(TEXT(Contract_Edits[[#This Row],[ParentKey]],"0"),500,editsIdxTxt,editsParentKeyTxt,baseIdxTxt,baseCost)
)</f>
        <v>17</v>
      </c>
      <c r="AM110" s="503" cm="1">
        <f t="array" ref="AM110">1+SUMPRODUCT(
  (Contract_Edits[BaseFlag]=1)*
  (TEXT(Contract_Edits[ParentAnchor],"0")=TEXT(Contract_Edits[[#This Row],[ParentAnchor]],"0"))*
  (VALUE(TEXT(Contract_Edits[Index],"0"))&lt;VALUE(TEXT(Contract_Edits[[#This Row],[Index]],"0")))
)</f>
        <v>2</v>
      </c>
      <c r="AN110" s="503"/>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1">
        <v>35</v>
      </c>
      <c r="M111" s="441"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68"/>
      <c r="R111" s="508"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1" s="179">
        <v>0</v>
      </c>
      <c r="T111" s="179">
        <v>0</v>
      </c>
      <c r="U111" s="11" t="s">
        <v>618</v>
      </c>
      <c r="W111" s="22" t="s">
        <v>358</v>
      </c>
      <c r="X111" s="22" t="s">
        <v>604</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03">
        <f>--(
  ISNUMBER(SEARCH("BASE PARENT", UPPER(CLEAN(TRIM(_xlfn.XLOOKUP(TEXT(Contract_Edits[[#This Row],[Index]],"0"), baseIdxTxt, baseCost, "")))))) +
  ISNUMBER(SEARCH("DEPENDENCY GROUP", UPPER(CLEAN(TRIM(_xlfn.XLOOKUP(TEXT(Contract_Edits[[#This Row],[Index]],"0"), baseIdxTxt, baseCost, ""))))))
)</f>
        <v>0</v>
      </c>
      <c r="AG111" s="503" t="str" cm="1">
        <f t="array" ref="AG111">IF(Contract_Edits[[#This Row],[BaseFlag]]=1,
   10*BaseDepthL(TEXT(Contract_Edits[[#This Row],[Index]],"0"),500,editsIdxTxt,editsParentKeyTxt,baseIdxTxt,baseCost)-5,
   ""
)</f>
        <v/>
      </c>
      <c r="AH111" s="503"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03" t="str">
        <f>IF(Contract_Edits[[#This Row],[Dep]]=0,"Root",
   IF(ISNUMBER(MATCH(Contract_Edits[[#This Row],[Dep]],Contract_Edits[Index],0)),"OK","Missing")
)</f>
        <v>OK</v>
      </c>
      <c r="AJ111" s="503" t="str">
        <f>IF(AND(Contract_Edits[[#This Row],[Dep]]&lt;&gt;0,
        ISNUMBER(MATCH(Contract_Edits[[#This Row],[Dep]], Contract_Edits[Index], 0)),
        INDEX(Contract_Edits[Dep], MATCH(Contract_Edits[[#This Row],[Dep]], Contract_Edits[Index], 0))=Contract_Edits[[#This Row],[Index]]),
   "2-cycle","")</f>
        <v/>
      </c>
      <c r="AK111" s="503" cm="1">
        <f t="array" ref="AK111">IF(Contract_Edits[[#This Row],[BaseFlag]]&lt;&gt;1,0,
   IF(TEXT(Contract_Edits[[#This Row],[Dep]],"0")=TEXT(Contract_Edits[[#This Row],[Index]],"0"),
      0,
      MAX(0, SUMPRODUCT(--(Contract_Edits[BaseFlag]=1),
                        --(TEXT(Contract_Edits[Dep],"0")=TEXT(Contract_Edits[[#This Row],[Dep]],"0"))) - 1)
   )
)</f>
        <v>0</v>
      </c>
      <c r="AL111" s="503" t="str" cm="1">
        <f t="array" ref="AL111">IF(Contract_Edits[[#This Row],[BaseFlag]]=1,
   TEXT(Contract_Edits[[#This Row],[Index]],"0"),
   NearestBaseL(TEXT(Contract_Edits[[#This Row],[ParentKey]],"0"),500,editsIdxTxt,editsParentKeyTxt,baseIdxTxt,baseCost)
)</f>
        <v>24</v>
      </c>
      <c r="AM111" s="503" cm="1">
        <f t="array" ref="AM111">1+SUMPRODUCT(
  (Contract_Edits[BaseFlag]=1)*
  (TEXT(Contract_Edits[ParentAnchor],"0")=TEXT(Contract_Edits[[#This Row],[ParentAnchor]],"0"))*
  (VALUE(TEXT(Contract_Edits[Index],"0"))&lt;VALUE(TEXT(Contract_Edits[[#This Row],[Index]],"0")))
)</f>
        <v>2</v>
      </c>
      <c r="AN111" s="503"/>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1">
        <v>36</v>
      </c>
      <c r="M112" s="441"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0"/>
      <c r="R112" s="508"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2" s="179">
        <v>0</v>
      </c>
      <c r="T112" s="469"/>
      <c r="U112" s="492" t="s">
        <v>618</v>
      </c>
      <c r="V112" s="193"/>
      <c r="W112" s="22" t="s">
        <v>358</v>
      </c>
      <c r="X112" s="484" t="s">
        <v>604</v>
      </c>
      <c r="Y112" s="484"/>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03">
        <f>--(
  ISNUMBER(SEARCH("BASE PARENT", UPPER(CLEAN(TRIM(_xlfn.XLOOKUP(TEXT(Contract_Edits[[#This Row],[Index]],"0"), baseIdxTxt, baseCost, "")))))) +
  ISNUMBER(SEARCH("DEPENDENCY GROUP", UPPER(CLEAN(TRIM(_xlfn.XLOOKUP(TEXT(Contract_Edits[[#This Row],[Index]],"0"), baseIdxTxt, baseCost, ""))))))
)</f>
        <v>0</v>
      </c>
      <c r="AG112" s="503" t="str" cm="1">
        <f t="array" ref="AG112">IF(Contract_Edits[[#This Row],[BaseFlag]]=1,
   10*BaseDepthL(TEXT(Contract_Edits[[#This Row],[Index]],"0"),500,editsIdxTxt,editsParentKeyTxt,baseIdxTxt,baseCost)-5,
   ""
)</f>
        <v/>
      </c>
      <c r="AH112" s="503"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03" t="str">
        <f>IF(Contract_Edits[[#This Row],[Dep]]=0,"Root",
   IF(ISNUMBER(MATCH(Contract_Edits[[#This Row],[Dep]],Contract_Edits[Index],0)),"OK","Missing")
)</f>
        <v>OK</v>
      </c>
      <c r="AJ112" s="503" t="str">
        <f>IF(AND(Contract_Edits[[#This Row],[Dep]]&lt;&gt;0,
        ISNUMBER(MATCH(Contract_Edits[[#This Row],[Dep]], Contract_Edits[Index], 0)),
        INDEX(Contract_Edits[Dep], MATCH(Contract_Edits[[#This Row],[Dep]], Contract_Edits[Index], 0))=Contract_Edits[[#This Row],[Index]]),
   "2-cycle","")</f>
        <v/>
      </c>
      <c r="AK112" s="503" cm="1">
        <f t="array" ref="AK112">IF(Contract_Edits[[#This Row],[BaseFlag]]&lt;&gt;1,0,
   IF(TEXT(Contract_Edits[[#This Row],[Dep]],"0")=TEXT(Contract_Edits[[#This Row],[Index]],"0"),
      0,
      MAX(0, SUMPRODUCT(--(Contract_Edits[BaseFlag]=1),
                        --(TEXT(Contract_Edits[Dep],"0")=TEXT(Contract_Edits[[#This Row],[Dep]],"0"))) - 1)
   )
)</f>
        <v>0</v>
      </c>
      <c r="AL112" s="503" t="str" cm="1">
        <f t="array" ref="AL112">IF(Contract_Edits[[#This Row],[BaseFlag]]=1,
   TEXT(Contract_Edits[[#This Row],[Index]],"0"),
   NearestBaseL(TEXT(Contract_Edits[[#This Row],[ParentKey]],"0"),500,editsIdxTxt,editsParentKeyTxt,baseIdxTxt,baseCost)
)</f>
        <v>24</v>
      </c>
      <c r="AM112" s="503" cm="1">
        <f t="array" ref="AM112">1+SUMPRODUCT(
  (Contract_Edits[BaseFlag]=1)*
  (TEXT(Contract_Edits[ParentAnchor],"0")=TEXT(Contract_Edits[[#This Row],[ParentAnchor]],"0"))*
  (VALUE(TEXT(Contract_Edits[Index],"0"))&lt;VALUE(TEXT(Contract_Edits[[#This Row],[Index]],"0")))
)</f>
        <v>2</v>
      </c>
      <c r="AN112" s="503"/>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1">
        <v>74</v>
      </c>
      <c r="M113" s="441"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0"/>
      <c r="R113" s="508"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3" s="179">
        <v>0</v>
      </c>
      <c r="T113" s="469"/>
      <c r="U113" s="492" t="s">
        <v>616</v>
      </c>
      <c r="V113" s="193"/>
      <c r="W113" s="22" t="s">
        <v>358</v>
      </c>
      <c r="X113" s="484" t="s">
        <v>604</v>
      </c>
      <c r="Y113" s="484"/>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03">
        <f>--(
  ISNUMBER(SEARCH("BASE PARENT", UPPER(CLEAN(TRIM(_xlfn.XLOOKUP(TEXT(Contract_Edits[[#This Row],[Index]],"0"), baseIdxTxt, baseCost, "")))))) +
  ISNUMBER(SEARCH("DEPENDENCY GROUP", UPPER(CLEAN(TRIM(_xlfn.XLOOKUP(TEXT(Contract_Edits[[#This Row],[Index]],"0"), baseIdxTxt, baseCost, ""))))))
)</f>
        <v>0</v>
      </c>
      <c r="AG113" s="503" t="str" cm="1">
        <f t="array" ref="AG113">IF(Contract_Edits[[#This Row],[BaseFlag]]=1,
   10*BaseDepthL(TEXT(Contract_Edits[[#This Row],[Index]],"0"),500,editsIdxTxt,editsParentKeyTxt,baseIdxTxt,baseCost)-5,
   ""
)</f>
        <v/>
      </c>
      <c r="AH113" s="503"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03" t="str">
        <f>IF(Contract_Edits[[#This Row],[Dep]]=0,"Root",
   IF(ISNUMBER(MATCH(Contract_Edits[[#This Row],[Dep]],Contract_Edits[Index],0)),"OK","Missing")
)</f>
        <v>OK</v>
      </c>
      <c r="AJ113" s="503" t="str">
        <f>IF(AND(Contract_Edits[[#This Row],[Dep]]&lt;&gt;0,
        ISNUMBER(MATCH(Contract_Edits[[#This Row],[Dep]], Contract_Edits[Index], 0)),
        INDEX(Contract_Edits[Dep], MATCH(Contract_Edits[[#This Row],[Dep]], Contract_Edits[Index], 0))=Contract_Edits[[#This Row],[Index]]),
   "2-cycle","")</f>
        <v/>
      </c>
      <c r="AK113" s="503" cm="1">
        <f t="array" ref="AK113">IF(Contract_Edits[[#This Row],[BaseFlag]]&lt;&gt;1,0,
   IF(TEXT(Contract_Edits[[#This Row],[Dep]],"0")=TEXT(Contract_Edits[[#This Row],[Index]],"0"),
      0,
      MAX(0, SUMPRODUCT(--(Contract_Edits[BaseFlag]=1),
                        --(TEXT(Contract_Edits[Dep],"0")=TEXT(Contract_Edits[[#This Row],[Dep]],"0"))) - 1)
   )
)</f>
        <v>0</v>
      </c>
      <c r="AL113" s="503" t="str" cm="1">
        <f t="array" ref="AL113">IF(Contract_Edits[[#This Row],[BaseFlag]]=1,
   TEXT(Contract_Edits[[#This Row],[Index]],"0"),
   NearestBaseL(TEXT(Contract_Edits[[#This Row],[ParentKey]],"0"),500,editsIdxTxt,editsParentKeyTxt,baseIdxTxt,baseCost)
)</f>
        <v>28</v>
      </c>
      <c r="AM113" s="503" cm="1">
        <f t="array" ref="AM113">1+SUMPRODUCT(
  (Contract_Edits[BaseFlag]=1)*
  (TEXT(Contract_Edits[ParentAnchor],"0")=TEXT(Contract_Edits[[#This Row],[ParentAnchor]],"0"))*
  (VALUE(TEXT(Contract_Edits[Index],"0"))&lt;VALUE(TEXT(Contract_Edits[[#This Row],[Index]],"0")))
)</f>
        <v>1</v>
      </c>
      <c r="AN113" s="503"/>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1">
        <v>73</v>
      </c>
      <c r="M114" s="441"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0"/>
      <c r="R114" s="508"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4" s="179">
        <v>0</v>
      </c>
      <c r="T114" s="469"/>
      <c r="U114" s="492" t="s">
        <v>616</v>
      </c>
      <c r="V114" s="193"/>
      <c r="W114" s="22" t="s">
        <v>358</v>
      </c>
      <c r="X114" s="484" t="s">
        <v>604</v>
      </c>
      <c r="Y114" s="484"/>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03">
        <f>--(
  ISNUMBER(SEARCH("BASE PARENT", UPPER(CLEAN(TRIM(_xlfn.XLOOKUP(TEXT(Contract_Edits[[#This Row],[Index]],"0"), baseIdxTxt, baseCost, "")))))) +
  ISNUMBER(SEARCH("DEPENDENCY GROUP", UPPER(CLEAN(TRIM(_xlfn.XLOOKUP(TEXT(Contract_Edits[[#This Row],[Index]],"0"), baseIdxTxt, baseCost, ""))))))
)</f>
        <v>0</v>
      </c>
      <c r="AG114" s="503" t="str" cm="1">
        <f t="array" ref="AG114">IF(Contract_Edits[[#This Row],[BaseFlag]]=1,
   10*BaseDepthL(TEXT(Contract_Edits[[#This Row],[Index]],"0"),500,editsIdxTxt,editsParentKeyTxt,baseIdxTxt,baseCost)-5,
   ""
)</f>
        <v/>
      </c>
      <c r="AH114" s="503"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03" t="str">
        <f>IF(Contract_Edits[[#This Row],[Dep]]=0,"Root",
   IF(ISNUMBER(MATCH(Contract_Edits[[#This Row],[Dep]],Contract_Edits[Index],0)),"OK","Missing")
)</f>
        <v>OK</v>
      </c>
      <c r="AJ114" s="503" t="str">
        <f>IF(AND(Contract_Edits[[#This Row],[Dep]]&lt;&gt;0,
        ISNUMBER(MATCH(Contract_Edits[[#This Row],[Dep]], Contract_Edits[Index], 0)),
        INDEX(Contract_Edits[Dep], MATCH(Contract_Edits[[#This Row],[Dep]], Contract_Edits[Index], 0))=Contract_Edits[[#This Row],[Index]]),
   "2-cycle","")</f>
        <v/>
      </c>
      <c r="AK114" s="503" cm="1">
        <f t="array" ref="AK114">IF(Contract_Edits[[#This Row],[BaseFlag]]&lt;&gt;1,0,
   IF(TEXT(Contract_Edits[[#This Row],[Dep]],"0")=TEXT(Contract_Edits[[#This Row],[Index]],"0"),
      0,
      MAX(0, SUMPRODUCT(--(Contract_Edits[BaseFlag]=1),
                        --(TEXT(Contract_Edits[Dep],"0")=TEXT(Contract_Edits[[#This Row],[Dep]],"0"))) - 1)
   )
)</f>
        <v>0</v>
      </c>
      <c r="AL114" s="503" t="str" cm="1">
        <f t="array" ref="AL114">IF(Contract_Edits[[#This Row],[BaseFlag]]=1,
   TEXT(Contract_Edits[[#This Row],[Index]],"0"),
   NearestBaseL(TEXT(Contract_Edits[[#This Row],[ParentKey]],"0"),500,editsIdxTxt,editsParentKeyTxt,baseIdxTxt,baseCost)
)</f>
        <v>28</v>
      </c>
      <c r="AM114" s="503" cm="1">
        <f t="array" ref="AM114">1+SUMPRODUCT(
  (Contract_Edits[BaseFlag]=1)*
  (TEXT(Contract_Edits[ParentAnchor],"0")=TEXT(Contract_Edits[[#This Row],[ParentAnchor]],"0"))*
  (VALUE(TEXT(Contract_Edits[Index],"0"))&lt;VALUE(TEXT(Contract_Edits[[#This Row],[Index]],"0")))
)</f>
        <v>1</v>
      </c>
      <c r="AN114" s="503"/>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1">
        <v>44</v>
      </c>
      <c r="M115" s="441"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68"/>
      <c r="R115" s="508"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5" s="179">
        <v>0</v>
      </c>
      <c r="T115" s="179">
        <v>0</v>
      </c>
      <c r="U115" s="11"/>
      <c r="W115" s="22" t="s">
        <v>358</v>
      </c>
      <c r="X115" s="22" t="s">
        <v>604</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03">
        <f>--(
  ISNUMBER(SEARCH("BASE PARENT", UPPER(CLEAN(TRIM(_xlfn.XLOOKUP(TEXT(Contract_Edits[[#This Row],[Index]],"0"), baseIdxTxt, baseCost, "")))))) +
  ISNUMBER(SEARCH("DEPENDENCY GROUP", UPPER(CLEAN(TRIM(_xlfn.XLOOKUP(TEXT(Contract_Edits[[#This Row],[Index]],"0"), baseIdxTxt, baseCost, ""))))))
)</f>
        <v>0</v>
      </c>
      <c r="AG115" s="503" t="str" cm="1">
        <f t="array" ref="AG115">IF(Contract_Edits[[#This Row],[BaseFlag]]=1,
   10*BaseDepthL(TEXT(Contract_Edits[[#This Row],[Index]],"0"),500,editsIdxTxt,editsParentKeyTxt,baseIdxTxt,baseCost)-5,
   ""
)</f>
        <v/>
      </c>
      <c r="AH115" s="503"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03" t="str">
        <f>IF(Contract_Edits[[#This Row],[Dep]]=0,"Root",
   IF(ISNUMBER(MATCH(Contract_Edits[[#This Row],[Dep]],Contract_Edits[Index],0)),"OK","Missing")
)</f>
        <v>Root</v>
      </c>
      <c r="AJ115" s="503" t="e">
        <f>IF(AND(Contract_Edits[[#This Row],[Dep]]&lt;&gt;0,
        ISNUMBER(MATCH(Contract_Edits[[#This Row],[Dep]], Contract_Edits[Index], 0)),
        INDEX(Contract_Edits[Dep], MATCH(Contract_Edits[[#This Row],[Dep]], Contract_Edits[Index], 0))=Contract_Edits[[#This Row],[Index]]),
   "2-cycle","")</f>
        <v>#N/A</v>
      </c>
      <c r="AK115" s="503" cm="1">
        <f t="array" ref="AK115">IF(Contract_Edits[[#This Row],[BaseFlag]]&lt;&gt;1,0,
   IF(TEXT(Contract_Edits[[#This Row],[Dep]],"0")=TEXT(Contract_Edits[[#This Row],[Index]],"0"),
      0,
      MAX(0, SUMPRODUCT(--(Contract_Edits[BaseFlag]=1),
                        --(TEXT(Contract_Edits[Dep],"0")=TEXT(Contract_Edits[[#This Row],[Dep]],"0"))) - 1)
   )
)</f>
        <v>0</v>
      </c>
      <c r="AL115" s="503" t="str" cm="1">
        <f t="array" ref="AL115">IF(Contract_Edits[[#This Row],[BaseFlag]]=1,
   TEXT(Contract_Edits[[#This Row],[Index]],"0"),
   NearestBaseL(TEXT(Contract_Edits[[#This Row],[ParentKey]],"0"),500,editsIdxTxt,editsParentKeyTxt,baseIdxTxt,baseCost)
)</f>
        <v>0</v>
      </c>
      <c r="AM115" s="503" cm="1">
        <f t="array" ref="AM115">1+SUMPRODUCT(
  (Contract_Edits[BaseFlag]=1)*
  (TEXT(Contract_Edits[ParentAnchor],"0")=TEXT(Contract_Edits[[#This Row],[ParentAnchor]],"0"))*
  (VALUE(TEXT(Contract_Edits[Index],"0"))&lt;VALUE(TEXT(Contract_Edits[[#This Row],[Index]],"0")))
)</f>
        <v>1</v>
      </c>
      <c r="AN115" s="503"/>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1">
        <v>4</v>
      </c>
      <c r="M116" s="441"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68"/>
      <c r="R116" s="508"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6" s="179">
        <v>0</v>
      </c>
      <c r="T116" s="179">
        <v>0</v>
      </c>
      <c r="U116" s="11"/>
      <c r="W116" s="22" t="s">
        <v>604</v>
      </c>
      <c r="X116" s="22" t="s">
        <v>604</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03">
        <f>--(
  ISNUMBER(SEARCH("BASE PARENT", UPPER(CLEAN(TRIM(_xlfn.XLOOKUP(TEXT(Contract_Edits[[#This Row],[Index]],"0"), baseIdxTxt, baseCost, "")))))) +
  ISNUMBER(SEARCH("DEPENDENCY GROUP", UPPER(CLEAN(TRIM(_xlfn.XLOOKUP(TEXT(Contract_Edits[[#This Row],[Index]],"0"), baseIdxTxt, baseCost, ""))))))
)</f>
        <v>1</v>
      </c>
      <c r="AG116" s="503" cm="1">
        <f t="array" ref="AG116">IF(Contract_Edits[[#This Row],[BaseFlag]]=1,
   10*BaseDepthL(TEXT(Contract_Edits[[#This Row],[Index]],"0"),500,editsIdxTxt,editsParentKeyTxt,baseIdxTxt,baseCost)-5,
   ""
)</f>
        <v>35</v>
      </c>
      <c r="AH116" s="503"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03" t="str">
        <f>IF(Contract_Edits[[#This Row],[Dep]]=0,"Root",
   IF(ISNUMBER(MATCH(Contract_Edits[[#This Row],[Dep]],Contract_Edits[Index],0)),"OK","Missing")
)</f>
        <v>OK</v>
      </c>
      <c r="AJ116" s="503" t="str">
        <f>IF(AND(Contract_Edits[[#This Row],[Dep]]&lt;&gt;0,
        ISNUMBER(MATCH(Contract_Edits[[#This Row],[Dep]], Contract_Edits[Index], 0)),
        INDEX(Contract_Edits[Dep], MATCH(Contract_Edits[[#This Row],[Dep]], Contract_Edits[Index], 0))=Contract_Edits[[#This Row],[Index]]),
   "2-cycle","")</f>
        <v/>
      </c>
      <c r="AK116" s="503" cm="1">
        <f t="array" ref="AK116">IF(Contract_Edits[[#This Row],[BaseFlag]]&lt;&gt;1,0,
   IF(TEXT(Contract_Edits[[#This Row],[Dep]],"0")=TEXT(Contract_Edits[[#This Row],[Index]],"0"),
      0,
      MAX(0, SUMPRODUCT(--(Contract_Edits[BaseFlag]=1),
                        --(TEXT(Contract_Edits[Dep],"0")=TEXT(Contract_Edits[[#This Row],[Dep]],"0"))) - 1)
   )
)</f>
        <v>0</v>
      </c>
      <c r="AL116" s="503" t="str" cm="1">
        <f t="array" ref="AL116">IF(Contract_Edits[[#This Row],[BaseFlag]]=1,
   TEXT(Contract_Edits[[#This Row],[Index]],"0"),
   NearestBaseL(TEXT(Contract_Edits[[#This Row],[ParentKey]],"0"),500,editsIdxTxt,editsParentKeyTxt,baseIdxTxt,baseCost)
)</f>
        <v>4</v>
      </c>
      <c r="AM116" s="503" cm="1">
        <f t="array" ref="AM116">1+SUMPRODUCT(
  (Contract_Edits[BaseFlag]=1)*
  (TEXT(Contract_Edits[ParentAnchor],"0")=TEXT(Contract_Edits[[#This Row],[ParentAnchor]],"0"))*
  (VALUE(TEXT(Contract_Edits[Index],"0"))&lt;VALUE(TEXT(Contract_Edits[[#This Row],[Index]],"0")))
)</f>
        <v>1</v>
      </c>
      <c r="AN116" s="503"/>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1">
        <v>5</v>
      </c>
      <c r="M117" s="441"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0"/>
      <c r="R117" s="508"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7" s="179">
        <v>0</v>
      </c>
      <c r="T117" s="469"/>
      <c r="U117" s="492"/>
      <c r="V117" s="193"/>
      <c r="W117" s="22" t="s">
        <v>604</v>
      </c>
      <c r="X117" s="484" t="s">
        <v>604</v>
      </c>
      <c r="Y117" s="484"/>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03">
        <f>--(
  ISNUMBER(SEARCH("BASE PARENT", UPPER(CLEAN(TRIM(_xlfn.XLOOKUP(TEXT(Contract_Edits[[#This Row],[Index]],"0"), baseIdxTxt, baseCost, "")))))) +
  ISNUMBER(SEARCH("DEPENDENCY GROUP", UPPER(CLEAN(TRIM(_xlfn.XLOOKUP(TEXT(Contract_Edits[[#This Row],[Index]],"0"), baseIdxTxt, baseCost, ""))))))
)</f>
        <v>1</v>
      </c>
      <c r="AG117" s="503" cm="1">
        <f t="array" ref="AG117">IF(Contract_Edits[[#This Row],[BaseFlag]]=1,
   10*BaseDepthL(TEXT(Contract_Edits[[#This Row],[Index]],"0"),500,editsIdxTxt,editsParentKeyTxt,baseIdxTxt,baseCost)-5,
   ""
)</f>
        <v>45</v>
      </c>
      <c r="AH117" s="503"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03" t="str">
        <f>IF(Contract_Edits[[#This Row],[Dep]]=0,"Root",
   IF(ISNUMBER(MATCH(Contract_Edits[[#This Row],[Dep]],Contract_Edits[Index],0)),"OK","Missing")
)</f>
        <v>OK</v>
      </c>
      <c r="AJ117" s="503" t="str">
        <f>IF(AND(Contract_Edits[[#This Row],[Dep]]&lt;&gt;0,
        ISNUMBER(MATCH(Contract_Edits[[#This Row],[Dep]], Contract_Edits[Index], 0)),
        INDEX(Contract_Edits[Dep], MATCH(Contract_Edits[[#This Row],[Dep]], Contract_Edits[Index], 0))=Contract_Edits[[#This Row],[Index]]),
   "2-cycle","")</f>
        <v/>
      </c>
      <c r="AK117" s="503" cm="1">
        <f t="array" ref="AK117">IF(Contract_Edits[[#This Row],[BaseFlag]]&lt;&gt;1,0,
   IF(TEXT(Contract_Edits[[#This Row],[Dep]],"0")=TEXT(Contract_Edits[[#This Row],[Index]],"0"),
      0,
      MAX(0, SUMPRODUCT(--(Contract_Edits[BaseFlag]=1),
                        --(TEXT(Contract_Edits[Dep],"0")=TEXT(Contract_Edits[[#This Row],[Dep]],"0"))) - 1)
   )
)</f>
        <v>0</v>
      </c>
      <c r="AL117" s="503" t="str" cm="1">
        <f t="array" ref="AL117">IF(Contract_Edits[[#This Row],[BaseFlag]]=1,
   TEXT(Contract_Edits[[#This Row],[Index]],"0"),
   NearestBaseL(TEXT(Contract_Edits[[#This Row],[ParentKey]],"0"),500,editsIdxTxt,editsParentKeyTxt,baseIdxTxt,baseCost)
)</f>
        <v>5</v>
      </c>
      <c r="AM117" s="503" cm="1">
        <f t="array" ref="AM117">1+SUMPRODUCT(
  (Contract_Edits[BaseFlag]=1)*
  (TEXT(Contract_Edits[ParentAnchor],"0")=TEXT(Contract_Edits[[#This Row],[ParentAnchor]],"0"))*
  (VALUE(TEXT(Contract_Edits[Index],"0"))&lt;VALUE(TEXT(Contract_Edits[[#This Row],[Index]],"0")))
)</f>
        <v>1</v>
      </c>
      <c r="AN117" s="503"/>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1">
        <v>6</v>
      </c>
      <c r="M118" s="441"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68"/>
      <c r="R118" s="508"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8" s="179">
        <v>0</v>
      </c>
      <c r="T118" s="469"/>
      <c r="U118" s="492"/>
      <c r="V118" s="193"/>
      <c r="W118" s="22" t="s">
        <v>604</v>
      </c>
      <c r="X118" s="484"/>
      <c r="Y118" s="484"/>
      <c r="Z118" s="490"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03">
        <f>--(
  ISNUMBER(SEARCH("BASE PARENT", UPPER(CLEAN(TRIM(_xlfn.XLOOKUP(TEXT(Contract_Edits[[#This Row],[Index]],"0"), baseIdxTxt, baseCost, "")))))) +
  ISNUMBER(SEARCH("DEPENDENCY GROUP", UPPER(CLEAN(TRIM(_xlfn.XLOOKUP(TEXT(Contract_Edits[[#This Row],[Index]],"0"), baseIdxTxt, baseCost, ""))))))
)</f>
        <v>1</v>
      </c>
      <c r="AG118" s="503" cm="1">
        <f t="array" ref="AG118">IF(Contract_Edits[[#This Row],[BaseFlag]]=1,
   10*BaseDepthL(TEXT(Contract_Edits[[#This Row],[Index]],"0"),500,editsIdxTxt,editsParentKeyTxt,baseIdxTxt,baseCost)-5,
   ""
)</f>
        <v>55</v>
      </c>
      <c r="AH118" s="503"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03" t="str">
        <f>IF(Contract_Edits[[#This Row],[Dep]]=0,"Root",
   IF(ISNUMBER(MATCH(Contract_Edits[[#This Row],[Dep]],Contract_Edits[Index],0)),"OK","Missing")
)</f>
        <v>OK</v>
      </c>
      <c r="AJ118" s="503" t="str">
        <f>IF(AND(Contract_Edits[[#This Row],[Dep]]&lt;&gt;0,
        ISNUMBER(MATCH(Contract_Edits[[#This Row],[Dep]], Contract_Edits[Index], 0)),
        INDEX(Contract_Edits[Dep], MATCH(Contract_Edits[[#This Row],[Dep]], Contract_Edits[Index], 0))=Contract_Edits[[#This Row],[Index]]),
   "2-cycle","")</f>
        <v/>
      </c>
      <c r="AK118" s="503" cm="1">
        <f t="array" ref="AK118">IF(Contract_Edits[[#This Row],[BaseFlag]]&lt;&gt;1,0,
   IF(TEXT(Contract_Edits[[#This Row],[Dep]],"0")=TEXT(Contract_Edits[[#This Row],[Index]],"0"),
      0,
      MAX(0, SUMPRODUCT(--(Contract_Edits[BaseFlag]=1),
                        --(TEXT(Contract_Edits[Dep],"0")=TEXT(Contract_Edits[[#This Row],[Dep]],"0"))) - 1)
   )
)</f>
        <v>0</v>
      </c>
      <c r="AL118" s="503" t="str" cm="1">
        <f t="array" ref="AL118">IF(Contract_Edits[[#This Row],[BaseFlag]]=1,
   TEXT(Contract_Edits[[#This Row],[Index]],"0"),
   NearestBaseL(TEXT(Contract_Edits[[#This Row],[ParentKey]],"0"),500,editsIdxTxt,editsParentKeyTxt,baseIdxTxt,baseCost)
)</f>
        <v>6</v>
      </c>
      <c r="AM118" s="503" cm="1">
        <f t="array" ref="AM118">1+SUMPRODUCT(
  (Contract_Edits[BaseFlag]=1)*
  (TEXT(Contract_Edits[ParentAnchor],"0")=TEXT(Contract_Edits[[#This Row],[ParentAnchor]],"0"))*
  (VALUE(TEXT(Contract_Edits[Index],"0"))&lt;VALUE(TEXT(Contract_Edits[[#This Row],[Index]],"0")))
)</f>
        <v>1</v>
      </c>
      <c r="AN118" s="503"/>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1">
        <v>3</v>
      </c>
      <c r="M119" s="441"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0"/>
      <c r="R119" s="508"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9" s="179">
        <v>0</v>
      </c>
      <c r="T119" s="469"/>
      <c r="U119" s="492"/>
      <c r="V119" s="193"/>
      <c r="W119" s="22" t="s">
        <v>604</v>
      </c>
      <c r="X119" s="484"/>
      <c r="Y119" s="484"/>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03">
        <f>--(
  ISNUMBER(SEARCH("BASE PARENT", UPPER(CLEAN(TRIM(_xlfn.XLOOKUP(TEXT(Contract_Edits[[#This Row],[Index]],"0"), baseIdxTxt, baseCost, "")))))) +
  ISNUMBER(SEARCH("DEPENDENCY GROUP", UPPER(CLEAN(TRIM(_xlfn.XLOOKUP(TEXT(Contract_Edits[[#This Row],[Index]],"0"), baseIdxTxt, baseCost, ""))))))
)</f>
        <v>1</v>
      </c>
      <c r="AG119" s="503" cm="1">
        <f t="array" ref="AG119">IF(Contract_Edits[[#This Row],[BaseFlag]]=1,
   10*BaseDepthL(TEXT(Contract_Edits[[#This Row],[Index]],"0"),500,editsIdxTxt,editsParentKeyTxt,baseIdxTxt,baseCost)-5,
   ""
)</f>
        <v>25</v>
      </c>
      <c r="AH119" s="503"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03" t="str">
        <f>IF(Contract_Edits[[#This Row],[Dep]]=0,"Root",
   IF(ISNUMBER(MATCH(Contract_Edits[[#This Row],[Dep]],Contract_Edits[Index],0)),"OK","Missing")
)</f>
        <v>OK</v>
      </c>
      <c r="AJ119" s="503" t="str">
        <f>IF(AND(Contract_Edits[[#This Row],[Dep]]&lt;&gt;0,
        ISNUMBER(MATCH(Contract_Edits[[#This Row],[Dep]], Contract_Edits[Index], 0)),
        INDEX(Contract_Edits[Dep], MATCH(Contract_Edits[[#This Row],[Dep]], Contract_Edits[Index], 0))=Contract_Edits[[#This Row],[Index]]),
   "2-cycle","")</f>
        <v/>
      </c>
      <c r="AK119" s="503" cm="1">
        <f t="array" ref="AK119">IF(Contract_Edits[[#This Row],[BaseFlag]]&lt;&gt;1,0,
   IF(TEXT(Contract_Edits[[#This Row],[Dep]],"0")=TEXT(Contract_Edits[[#This Row],[Index]],"0"),
      0,
      MAX(0, SUMPRODUCT(--(Contract_Edits[BaseFlag]=1),
                        --(TEXT(Contract_Edits[Dep],"0")=TEXT(Contract_Edits[[#This Row],[Dep]],"0"))) - 1)
   )
)</f>
        <v>0</v>
      </c>
      <c r="AL119" s="503" t="str" cm="1">
        <f t="array" ref="AL119">IF(Contract_Edits[[#This Row],[BaseFlag]]=1,
   TEXT(Contract_Edits[[#This Row],[Index]],"0"),
   NearestBaseL(TEXT(Contract_Edits[[#This Row],[ParentKey]],"0"),500,editsIdxTxt,editsParentKeyTxt,baseIdxTxt,baseCost)
)</f>
        <v>3</v>
      </c>
      <c r="AM119" s="503" cm="1">
        <f t="array" ref="AM119">1+SUMPRODUCT(
  (Contract_Edits[BaseFlag]=1)*
  (TEXT(Contract_Edits[ParentAnchor],"0")=TEXT(Contract_Edits[[#This Row],[ParentAnchor]],"0"))*
  (VALUE(TEXT(Contract_Edits[Index],"0"))&lt;VALUE(TEXT(Contract_Edits[[#This Row],[Index]],"0")))
)</f>
        <v>1</v>
      </c>
      <c r="AN119" s="503"/>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1">
        <v>913</v>
      </c>
      <c r="M120" s="441"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68"/>
      <c r="R120" s="508"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0" s="179">
        <v>0</v>
      </c>
      <c r="T120" s="179">
        <v>0</v>
      </c>
      <c r="U120" s="11"/>
      <c r="W120" s="22" t="s">
        <v>358</v>
      </c>
      <c r="X120" s="22" t="s">
        <v>604</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03">
        <f>--(
  ISNUMBER(SEARCH("BASE PARENT", UPPER(CLEAN(TRIM(_xlfn.XLOOKUP(TEXT(Contract_Edits[[#This Row],[Index]],"0"), baseIdxTxt, baseCost, "")))))) +
  ISNUMBER(SEARCH("DEPENDENCY GROUP", UPPER(CLEAN(TRIM(_xlfn.XLOOKUP(TEXT(Contract_Edits[[#This Row],[Index]],"0"), baseIdxTxt, baseCost, ""))))))
)</f>
        <v>0</v>
      </c>
      <c r="AG120" s="503" t="str" cm="1">
        <f t="array" ref="AG120">IF(Contract_Edits[[#This Row],[BaseFlag]]=1,
   10*BaseDepthL(TEXT(Contract_Edits[[#This Row],[Index]],"0"),500,editsIdxTxt,editsParentKeyTxt,baseIdxTxt,baseCost)-5,
   ""
)</f>
        <v/>
      </c>
      <c r="AH120" s="503"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03" t="str">
        <f>IF(Contract_Edits[[#This Row],[Dep]]=0,"Root",
   IF(ISNUMBER(MATCH(Contract_Edits[[#This Row],[Dep]],Contract_Edits[Index],0)),"OK","Missing")
)</f>
        <v>Root</v>
      </c>
      <c r="AJ120" s="503" t="e">
        <f>IF(AND(Contract_Edits[[#This Row],[Dep]]&lt;&gt;0,
        ISNUMBER(MATCH(Contract_Edits[[#This Row],[Dep]], Contract_Edits[Index], 0)),
        INDEX(Contract_Edits[Dep], MATCH(Contract_Edits[[#This Row],[Dep]], Contract_Edits[Index], 0))=Contract_Edits[[#This Row],[Index]]),
   "2-cycle","")</f>
        <v>#N/A</v>
      </c>
      <c r="AK120" s="503" cm="1">
        <f t="array" ref="AK120">IF(Contract_Edits[[#This Row],[BaseFlag]]&lt;&gt;1,0,
   IF(TEXT(Contract_Edits[[#This Row],[Dep]],"0")=TEXT(Contract_Edits[[#This Row],[Index]],"0"),
      0,
      MAX(0, SUMPRODUCT(--(Contract_Edits[BaseFlag]=1),
                        --(TEXT(Contract_Edits[Dep],"0")=TEXT(Contract_Edits[[#This Row],[Dep]],"0"))) - 1)
   )
)</f>
        <v>0</v>
      </c>
      <c r="AL120" s="503" t="str" cm="1">
        <f t="array" ref="AL120">IF(Contract_Edits[[#This Row],[BaseFlag]]=1,
   TEXT(Contract_Edits[[#This Row],[Index]],"0"),
   NearestBaseL(TEXT(Contract_Edits[[#This Row],[ParentKey]],"0"),500,editsIdxTxt,editsParentKeyTxt,baseIdxTxt,baseCost)
)</f>
        <v>0</v>
      </c>
      <c r="AM120" s="503" cm="1">
        <f t="array" ref="AM120">1+SUMPRODUCT(
  (Contract_Edits[BaseFlag]=1)*
  (TEXT(Contract_Edits[ParentAnchor],"0")=TEXT(Contract_Edits[[#This Row],[ParentAnchor]],"0"))*
  (VALUE(TEXT(Contract_Edits[Index],"0"))&lt;VALUE(TEXT(Contract_Edits[[#This Row],[Index]],"0")))
)</f>
        <v>1</v>
      </c>
      <c r="AN120" s="503"/>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1">
        <v>149</v>
      </c>
      <c r="M121" s="441"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68"/>
      <c r="R121" s="508"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1" s="179">
        <v>0</v>
      </c>
      <c r="T121" s="179">
        <v>0</v>
      </c>
      <c r="U121" s="11"/>
      <c r="W121" s="22" t="s">
        <v>358</v>
      </c>
      <c r="X121" s="22" t="s">
        <v>604</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03">
        <f>--(
  ISNUMBER(SEARCH("BASE PARENT", UPPER(CLEAN(TRIM(_xlfn.XLOOKUP(TEXT(Contract_Edits[[#This Row],[Index]],"0"), baseIdxTxt, baseCost, "")))))) +
  ISNUMBER(SEARCH("DEPENDENCY GROUP", UPPER(CLEAN(TRIM(_xlfn.XLOOKUP(TEXT(Contract_Edits[[#This Row],[Index]],"0"), baseIdxTxt, baseCost, ""))))))
)</f>
        <v>0</v>
      </c>
      <c r="AG121" s="503" t="str" cm="1">
        <f t="array" ref="AG121">IF(Contract_Edits[[#This Row],[BaseFlag]]=1,
   10*BaseDepthL(TEXT(Contract_Edits[[#This Row],[Index]],"0"),500,editsIdxTxt,editsParentKeyTxt,baseIdxTxt,baseCost)-5,
   ""
)</f>
        <v/>
      </c>
      <c r="AH121" s="503"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03" t="str">
        <f>IF(Contract_Edits[[#This Row],[Dep]]=0,"Root",
   IF(ISNUMBER(MATCH(Contract_Edits[[#This Row],[Dep]],Contract_Edits[Index],0)),"OK","Missing")
)</f>
        <v>Root</v>
      </c>
      <c r="AJ121" s="503" t="e">
        <f>IF(AND(Contract_Edits[[#This Row],[Dep]]&lt;&gt;0,
        ISNUMBER(MATCH(Contract_Edits[[#This Row],[Dep]], Contract_Edits[Index], 0)),
        INDEX(Contract_Edits[Dep], MATCH(Contract_Edits[[#This Row],[Dep]], Contract_Edits[Index], 0))=Contract_Edits[[#This Row],[Index]]),
   "2-cycle","")</f>
        <v>#N/A</v>
      </c>
      <c r="AK121" s="503" cm="1">
        <f t="array" ref="AK121">IF(Contract_Edits[[#This Row],[BaseFlag]]&lt;&gt;1,0,
   IF(TEXT(Contract_Edits[[#This Row],[Dep]],"0")=TEXT(Contract_Edits[[#This Row],[Index]],"0"),
      0,
      MAX(0, SUMPRODUCT(--(Contract_Edits[BaseFlag]=1),
                        --(TEXT(Contract_Edits[Dep],"0")=TEXT(Contract_Edits[[#This Row],[Dep]],"0"))) - 1)
   )
)</f>
        <v>0</v>
      </c>
      <c r="AL121" s="503" t="str" cm="1">
        <f t="array" ref="AL121">IF(Contract_Edits[[#This Row],[BaseFlag]]=1,
   TEXT(Contract_Edits[[#This Row],[Index]],"0"),
   NearestBaseL(TEXT(Contract_Edits[[#This Row],[ParentKey]],"0"),500,editsIdxTxt,editsParentKeyTxt,baseIdxTxt,baseCost)
)</f>
        <v>0</v>
      </c>
      <c r="AM121" s="503" cm="1">
        <f t="array" ref="AM121">1+SUMPRODUCT(
  (Contract_Edits[BaseFlag]=1)*
  (TEXT(Contract_Edits[ParentAnchor],"0")=TEXT(Contract_Edits[[#This Row],[ParentAnchor]],"0"))*
  (VALUE(TEXT(Contract_Edits[Index],"0"))&lt;VALUE(TEXT(Contract_Edits[[#This Row],[Index]],"0")))
)</f>
        <v>1</v>
      </c>
      <c r="AN121" s="503"/>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1">
        <v>100</v>
      </c>
      <c r="M122" s="441"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0"/>
      <c r="R122" s="508"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2" s="179">
        <v>0</v>
      </c>
      <c r="T122" s="469"/>
      <c r="U122" s="492"/>
      <c r="V122" s="193"/>
      <c r="W122" s="22" t="s">
        <v>358</v>
      </c>
      <c r="X122" s="484" t="s">
        <v>604</v>
      </c>
      <c r="Y122" s="484"/>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03">
        <f>--(
  ISNUMBER(SEARCH("BASE PARENT", UPPER(CLEAN(TRIM(_xlfn.XLOOKUP(TEXT(Contract_Edits[[#This Row],[Index]],"0"), baseIdxTxt, baseCost, "")))))) +
  ISNUMBER(SEARCH("DEPENDENCY GROUP", UPPER(CLEAN(TRIM(_xlfn.XLOOKUP(TEXT(Contract_Edits[[#This Row],[Index]],"0"), baseIdxTxt, baseCost, ""))))))
)</f>
        <v>0</v>
      </c>
      <c r="AG122" s="503" t="str" cm="1">
        <f t="array" ref="AG122">IF(Contract_Edits[[#This Row],[BaseFlag]]=1,
   10*BaseDepthL(TEXT(Contract_Edits[[#This Row],[Index]],"0"),500,editsIdxTxt,editsParentKeyTxt,baseIdxTxt,baseCost)-5,
   ""
)</f>
        <v/>
      </c>
      <c r="AH122" s="503"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03" t="str">
        <f>IF(Contract_Edits[[#This Row],[Dep]]=0,"Root",
   IF(ISNUMBER(MATCH(Contract_Edits[[#This Row],[Dep]],Contract_Edits[Index],0)),"OK","Missing")
)</f>
        <v>Root</v>
      </c>
      <c r="AJ122" s="503" t="e">
        <f>IF(AND(Contract_Edits[[#This Row],[Dep]]&lt;&gt;0,
        ISNUMBER(MATCH(Contract_Edits[[#This Row],[Dep]], Contract_Edits[Index], 0)),
        INDEX(Contract_Edits[Dep], MATCH(Contract_Edits[[#This Row],[Dep]], Contract_Edits[Index], 0))=Contract_Edits[[#This Row],[Index]]),
   "2-cycle","")</f>
        <v>#N/A</v>
      </c>
      <c r="AK122" s="503" cm="1">
        <f t="array" ref="AK122">IF(Contract_Edits[[#This Row],[BaseFlag]]&lt;&gt;1,0,
   IF(TEXT(Contract_Edits[[#This Row],[Dep]],"0")=TEXT(Contract_Edits[[#This Row],[Index]],"0"),
      0,
      MAX(0, SUMPRODUCT(--(Contract_Edits[BaseFlag]=1),
                        --(TEXT(Contract_Edits[Dep],"0")=TEXT(Contract_Edits[[#This Row],[Dep]],"0"))) - 1)
   )
)</f>
        <v>0</v>
      </c>
      <c r="AL122" s="503" t="str" cm="1">
        <f t="array" ref="AL122">IF(Contract_Edits[[#This Row],[BaseFlag]]=1,
   TEXT(Contract_Edits[[#This Row],[Index]],"0"),
   NearestBaseL(TEXT(Contract_Edits[[#This Row],[ParentKey]],"0"),500,editsIdxTxt,editsParentKeyTxt,baseIdxTxt,baseCost)
)</f>
        <v>0</v>
      </c>
      <c r="AM122" s="503" cm="1">
        <f t="array" ref="AM122">1+SUMPRODUCT(
  (Contract_Edits[BaseFlag]=1)*
  (TEXT(Contract_Edits[ParentAnchor],"0")=TEXT(Contract_Edits[[#This Row],[ParentAnchor]],"0"))*
  (VALUE(TEXT(Contract_Edits[Index],"0"))&lt;VALUE(TEXT(Contract_Edits[[#This Row],[Index]],"0")))
)</f>
        <v>1</v>
      </c>
      <c r="AN122" s="503"/>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1">
        <v>146</v>
      </c>
      <c r="M123" s="441"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0"/>
      <c r="R123" s="508"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3" s="179">
        <v>0</v>
      </c>
      <c r="T123" s="469"/>
      <c r="U123" s="492"/>
      <c r="V123" s="193"/>
      <c r="W123" s="22" t="s">
        <v>358</v>
      </c>
      <c r="X123" s="484" t="s">
        <v>604</v>
      </c>
      <c r="Y123" s="484"/>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03">
        <f>--(
  ISNUMBER(SEARCH("BASE PARENT", UPPER(CLEAN(TRIM(_xlfn.XLOOKUP(TEXT(Contract_Edits[[#This Row],[Index]],"0"), baseIdxTxt, baseCost, "")))))) +
  ISNUMBER(SEARCH("DEPENDENCY GROUP", UPPER(CLEAN(TRIM(_xlfn.XLOOKUP(TEXT(Contract_Edits[[#This Row],[Index]],"0"), baseIdxTxt, baseCost, ""))))))
)</f>
        <v>0</v>
      </c>
      <c r="AG123" s="503" t="str" cm="1">
        <f t="array" ref="AG123">IF(Contract_Edits[[#This Row],[BaseFlag]]=1,
   10*BaseDepthL(TEXT(Contract_Edits[[#This Row],[Index]],"0"),500,editsIdxTxt,editsParentKeyTxt,baseIdxTxt,baseCost)-5,
   ""
)</f>
        <v/>
      </c>
      <c r="AH123" s="503"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03" t="str">
        <f>IF(Contract_Edits[[#This Row],[Dep]]=0,"Root",
   IF(ISNUMBER(MATCH(Contract_Edits[[#This Row],[Dep]],Contract_Edits[Index],0)),"OK","Missing")
)</f>
        <v>Root</v>
      </c>
      <c r="AJ123" s="503" t="e">
        <f>IF(AND(Contract_Edits[[#This Row],[Dep]]&lt;&gt;0,
        ISNUMBER(MATCH(Contract_Edits[[#This Row],[Dep]], Contract_Edits[Index], 0)),
        INDEX(Contract_Edits[Dep], MATCH(Contract_Edits[[#This Row],[Dep]], Contract_Edits[Index], 0))=Contract_Edits[[#This Row],[Index]]),
   "2-cycle","")</f>
        <v>#N/A</v>
      </c>
      <c r="AK123" s="503" cm="1">
        <f t="array" ref="AK123">IF(Contract_Edits[[#This Row],[BaseFlag]]&lt;&gt;1,0,
   IF(TEXT(Contract_Edits[[#This Row],[Dep]],"0")=TEXT(Contract_Edits[[#This Row],[Index]],"0"),
      0,
      MAX(0, SUMPRODUCT(--(Contract_Edits[BaseFlag]=1),
                        --(TEXT(Contract_Edits[Dep],"0")=TEXT(Contract_Edits[[#This Row],[Dep]],"0"))) - 1)
   )
)</f>
        <v>0</v>
      </c>
      <c r="AL123" s="503" t="str" cm="1">
        <f t="array" ref="AL123">IF(Contract_Edits[[#This Row],[BaseFlag]]=1,
   TEXT(Contract_Edits[[#This Row],[Index]],"0"),
   NearestBaseL(TEXT(Contract_Edits[[#This Row],[ParentKey]],"0"),500,editsIdxTxt,editsParentKeyTxt,baseIdxTxt,baseCost)
)</f>
        <v>0</v>
      </c>
      <c r="AM123" s="503" cm="1">
        <f t="array" ref="AM123">1+SUMPRODUCT(
  (Contract_Edits[BaseFlag]=1)*
  (TEXT(Contract_Edits[ParentAnchor],"0")=TEXT(Contract_Edits[[#This Row],[ParentAnchor]],"0"))*
  (VALUE(TEXT(Contract_Edits[Index],"0"))&lt;VALUE(TEXT(Contract_Edits[[#This Row],[Index]],"0")))
)</f>
        <v>1</v>
      </c>
      <c r="AN123" s="503"/>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1">
        <v>176</v>
      </c>
      <c r="M124" s="441"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0"/>
      <c r="R124" s="508"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4" s="179">
        <v>0</v>
      </c>
      <c r="T124" s="469"/>
      <c r="U124" s="492"/>
      <c r="V124" s="193"/>
      <c r="W124" s="22" t="s">
        <v>358</v>
      </c>
      <c r="X124" s="484" t="s">
        <v>604</v>
      </c>
      <c r="Y124" s="484"/>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03">
        <f>--(
  ISNUMBER(SEARCH("BASE PARENT", UPPER(CLEAN(TRIM(_xlfn.XLOOKUP(TEXT(Contract_Edits[[#This Row],[Index]],"0"), baseIdxTxt, baseCost, "")))))) +
  ISNUMBER(SEARCH("DEPENDENCY GROUP", UPPER(CLEAN(TRIM(_xlfn.XLOOKUP(TEXT(Contract_Edits[[#This Row],[Index]],"0"), baseIdxTxt, baseCost, ""))))))
)</f>
        <v>0</v>
      </c>
      <c r="AG124" s="503" t="str" cm="1">
        <f t="array" ref="AG124">IF(Contract_Edits[[#This Row],[BaseFlag]]=1,
   10*BaseDepthL(TEXT(Contract_Edits[[#This Row],[Index]],"0"),500,editsIdxTxt,editsParentKeyTxt,baseIdxTxt,baseCost)-5,
   ""
)</f>
        <v/>
      </c>
      <c r="AH124" s="503"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03" t="str">
        <f>IF(Contract_Edits[[#This Row],[Dep]]=0,"Root",
   IF(ISNUMBER(MATCH(Contract_Edits[[#This Row],[Dep]],Contract_Edits[Index],0)),"OK","Missing")
)</f>
        <v>Root</v>
      </c>
      <c r="AJ124" s="503" t="e">
        <f>IF(AND(Contract_Edits[[#This Row],[Dep]]&lt;&gt;0,
        ISNUMBER(MATCH(Contract_Edits[[#This Row],[Dep]], Contract_Edits[Index], 0)),
        INDEX(Contract_Edits[Dep], MATCH(Contract_Edits[[#This Row],[Dep]], Contract_Edits[Index], 0))=Contract_Edits[[#This Row],[Index]]),
   "2-cycle","")</f>
        <v>#N/A</v>
      </c>
      <c r="AK124" s="503" cm="1">
        <f t="array" ref="AK124">IF(Contract_Edits[[#This Row],[BaseFlag]]&lt;&gt;1,0,
   IF(TEXT(Contract_Edits[[#This Row],[Dep]],"0")=TEXT(Contract_Edits[[#This Row],[Index]],"0"),
      0,
      MAX(0, SUMPRODUCT(--(Contract_Edits[BaseFlag]=1),
                        --(TEXT(Contract_Edits[Dep],"0")=TEXT(Contract_Edits[[#This Row],[Dep]],"0"))) - 1)
   )
)</f>
        <v>0</v>
      </c>
      <c r="AL124" s="503" t="str" cm="1">
        <f t="array" ref="AL124">IF(Contract_Edits[[#This Row],[BaseFlag]]=1,
   TEXT(Contract_Edits[[#This Row],[Index]],"0"),
   NearestBaseL(TEXT(Contract_Edits[[#This Row],[ParentKey]],"0"),500,editsIdxTxt,editsParentKeyTxt,baseIdxTxt,baseCost)
)</f>
        <v>0</v>
      </c>
      <c r="AM124" s="503" cm="1">
        <f t="array" ref="AM124">1+SUMPRODUCT(
  (Contract_Edits[BaseFlag]=1)*
  (TEXT(Contract_Edits[ParentAnchor],"0")=TEXT(Contract_Edits[[#This Row],[ParentAnchor]],"0"))*
  (VALUE(TEXT(Contract_Edits[Index],"0"))&lt;VALUE(TEXT(Contract_Edits[[#This Row],[Index]],"0")))
)</f>
        <v>1</v>
      </c>
      <c r="AN124" s="503"/>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1">
        <v>150</v>
      </c>
      <c r="M125" s="441"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68"/>
      <c r="R125" s="508"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5" s="179">
        <v>0</v>
      </c>
      <c r="T125" s="179">
        <v>0</v>
      </c>
      <c r="U125" s="11"/>
      <c r="W125" s="22" t="s">
        <v>358</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03">
        <f>--(
  ISNUMBER(SEARCH("BASE PARENT", UPPER(CLEAN(TRIM(_xlfn.XLOOKUP(TEXT(Contract_Edits[[#This Row],[Index]],"0"), baseIdxTxt, baseCost, "")))))) +
  ISNUMBER(SEARCH("DEPENDENCY GROUP", UPPER(CLEAN(TRIM(_xlfn.XLOOKUP(TEXT(Contract_Edits[[#This Row],[Index]],"0"), baseIdxTxt, baseCost, ""))))))
)</f>
        <v>0</v>
      </c>
      <c r="AG125" s="503" t="str" cm="1">
        <f t="array" ref="AG125">IF(Contract_Edits[[#This Row],[BaseFlag]]=1,
   10*BaseDepthL(TEXT(Contract_Edits[[#This Row],[Index]],"0"),500,editsIdxTxt,editsParentKeyTxt,baseIdxTxt,baseCost)-5,
   ""
)</f>
        <v/>
      </c>
      <c r="AH125" s="503"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03" t="str">
        <f>IF(Contract_Edits[[#This Row],[Dep]]=0,"Root",
   IF(ISNUMBER(MATCH(Contract_Edits[[#This Row],[Dep]],Contract_Edits[Index],0)),"OK","Missing")
)</f>
        <v>Root</v>
      </c>
      <c r="AJ125" s="503" t="e">
        <f>IF(AND(Contract_Edits[[#This Row],[Dep]]&lt;&gt;0,
        ISNUMBER(MATCH(Contract_Edits[[#This Row],[Dep]], Contract_Edits[Index], 0)),
        INDEX(Contract_Edits[Dep], MATCH(Contract_Edits[[#This Row],[Dep]], Contract_Edits[Index], 0))=Contract_Edits[[#This Row],[Index]]),
   "2-cycle","")</f>
        <v>#N/A</v>
      </c>
      <c r="AK125" s="503" cm="1">
        <f t="array" ref="AK125">IF(Contract_Edits[[#This Row],[BaseFlag]]&lt;&gt;1,0,
   IF(TEXT(Contract_Edits[[#This Row],[Dep]],"0")=TEXT(Contract_Edits[[#This Row],[Index]],"0"),
      0,
      MAX(0, SUMPRODUCT(--(Contract_Edits[BaseFlag]=1),
                        --(TEXT(Contract_Edits[Dep],"0")=TEXT(Contract_Edits[[#This Row],[Dep]],"0"))) - 1)
   )
)</f>
        <v>0</v>
      </c>
      <c r="AL125" s="503" t="str" cm="1">
        <f t="array" ref="AL125">IF(Contract_Edits[[#This Row],[BaseFlag]]=1,
   TEXT(Contract_Edits[[#This Row],[Index]],"0"),
   NearestBaseL(TEXT(Contract_Edits[[#This Row],[ParentKey]],"0"),500,editsIdxTxt,editsParentKeyTxt,baseIdxTxt,baseCost)
)</f>
        <v>0</v>
      </c>
      <c r="AM125" s="503" cm="1">
        <f t="array" ref="AM125">1+SUMPRODUCT(
  (Contract_Edits[BaseFlag]=1)*
  (TEXT(Contract_Edits[ParentAnchor],"0")=TEXT(Contract_Edits[[#This Row],[ParentAnchor]],"0"))*
  (VALUE(TEXT(Contract_Edits[Index],"0"))&lt;VALUE(TEXT(Contract_Edits[[#This Row],[Index]],"0")))
)</f>
        <v>1</v>
      </c>
      <c r="AN125" s="503"/>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1">
        <v>98</v>
      </c>
      <c r="M126" s="441"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0"/>
      <c r="R126" s="508"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6" s="179">
        <v>0</v>
      </c>
      <c r="T126" s="469"/>
      <c r="U126" s="492"/>
      <c r="V126" s="193"/>
      <c r="W126" s="22" t="s">
        <v>358</v>
      </c>
      <c r="X126" s="484" t="s">
        <v>604</v>
      </c>
      <c r="Y126" s="484"/>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03">
        <f>--(
  ISNUMBER(SEARCH("BASE PARENT", UPPER(CLEAN(TRIM(_xlfn.XLOOKUP(TEXT(Contract_Edits[[#This Row],[Index]],"0"), baseIdxTxt, baseCost, "")))))) +
  ISNUMBER(SEARCH("DEPENDENCY GROUP", UPPER(CLEAN(TRIM(_xlfn.XLOOKUP(TEXT(Contract_Edits[[#This Row],[Index]],"0"), baseIdxTxt, baseCost, ""))))))
)</f>
        <v>0</v>
      </c>
      <c r="AG126" s="503" t="str" cm="1">
        <f t="array" ref="AG126">IF(Contract_Edits[[#This Row],[BaseFlag]]=1,
   10*BaseDepthL(TEXT(Contract_Edits[[#This Row],[Index]],"0"),500,editsIdxTxt,editsParentKeyTxt,baseIdxTxt,baseCost)-5,
   ""
)</f>
        <v/>
      </c>
      <c r="AH126" s="503"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03" t="str">
        <f>IF(Contract_Edits[[#This Row],[Dep]]=0,"Root",
   IF(ISNUMBER(MATCH(Contract_Edits[[#This Row],[Dep]],Contract_Edits[Index],0)),"OK","Missing")
)</f>
        <v>Root</v>
      </c>
      <c r="AJ126" s="503" t="e">
        <f>IF(AND(Contract_Edits[[#This Row],[Dep]]&lt;&gt;0,
        ISNUMBER(MATCH(Contract_Edits[[#This Row],[Dep]], Contract_Edits[Index], 0)),
        INDEX(Contract_Edits[Dep], MATCH(Contract_Edits[[#This Row],[Dep]], Contract_Edits[Index], 0))=Contract_Edits[[#This Row],[Index]]),
   "2-cycle","")</f>
        <v>#N/A</v>
      </c>
      <c r="AK126" s="503" cm="1">
        <f t="array" ref="AK126">IF(Contract_Edits[[#This Row],[BaseFlag]]&lt;&gt;1,0,
   IF(TEXT(Contract_Edits[[#This Row],[Dep]],"0")=TEXT(Contract_Edits[[#This Row],[Index]],"0"),
      0,
      MAX(0, SUMPRODUCT(--(Contract_Edits[BaseFlag]=1),
                        --(TEXT(Contract_Edits[Dep],"0")=TEXT(Contract_Edits[[#This Row],[Dep]],"0"))) - 1)
   )
)</f>
        <v>0</v>
      </c>
      <c r="AL126" s="503" t="str" cm="1">
        <f t="array" ref="AL126">IF(Contract_Edits[[#This Row],[BaseFlag]]=1,
   TEXT(Contract_Edits[[#This Row],[Index]],"0"),
   NearestBaseL(TEXT(Contract_Edits[[#This Row],[ParentKey]],"0"),500,editsIdxTxt,editsParentKeyTxt,baseIdxTxt,baseCost)
)</f>
        <v>0</v>
      </c>
      <c r="AM126" s="503" cm="1">
        <f t="array" ref="AM126">1+SUMPRODUCT(
  (Contract_Edits[BaseFlag]=1)*
  (TEXT(Contract_Edits[ParentAnchor],"0")=TEXT(Contract_Edits[[#This Row],[ParentAnchor]],"0"))*
  (VALUE(TEXT(Contract_Edits[Index],"0"))&lt;VALUE(TEXT(Contract_Edits[[#This Row],[Index]],"0")))
)</f>
        <v>1</v>
      </c>
      <c r="AN126" s="503"/>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1">
        <v>143</v>
      </c>
      <c r="M127" s="441"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68"/>
      <c r="R127" s="508"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7" s="179">
        <v>0</v>
      </c>
      <c r="T127" s="179">
        <v>0</v>
      </c>
      <c r="U127" s="11"/>
      <c r="W127" s="22" t="s">
        <v>358</v>
      </c>
      <c r="X127" s="22" t="s">
        <v>604</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03">
        <f>--(
  ISNUMBER(SEARCH("BASE PARENT", UPPER(CLEAN(TRIM(_xlfn.XLOOKUP(TEXT(Contract_Edits[[#This Row],[Index]],"0"), baseIdxTxt, baseCost, "")))))) +
  ISNUMBER(SEARCH("DEPENDENCY GROUP", UPPER(CLEAN(TRIM(_xlfn.XLOOKUP(TEXT(Contract_Edits[[#This Row],[Index]],"0"), baseIdxTxt, baseCost, ""))))))
)</f>
        <v>0</v>
      </c>
      <c r="AG127" s="503" t="str" cm="1">
        <f t="array" ref="AG127">IF(Contract_Edits[[#This Row],[BaseFlag]]=1,
   10*BaseDepthL(TEXT(Contract_Edits[[#This Row],[Index]],"0"),500,editsIdxTxt,editsParentKeyTxt,baseIdxTxt,baseCost)-5,
   ""
)</f>
        <v/>
      </c>
      <c r="AH127" s="503"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03" t="str">
        <f>IF(Contract_Edits[[#This Row],[Dep]]=0,"Root",
   IF(ISNUMBER(MATCH(Contract_Edits[[#This Row],[Dep]],Contract_Edits[Index],0)),"OK","Missing")
)</f>
        <v>Root</v>
      </c>
      <c r="AJ127" s="503" t="e">
        <f>IF(AND(Contract_Edits[[#This Row],[Dep]]&lt;&gt;0,
        ISNUMBER(MATCH(Contract_Edits[[#This Row],[Dep]], Contract_Edits[Index], 0)),
        INDEX(Contract_Edits[Dep], MATCH(Contract_Edits[[#This Row],[Dep]], Contract_Edits[Index], 0))=Contract_Edits[[#This Row],[Index]]),
   "2-cycle","")</f>
        <v>#N/A</v>
      </c>
      <c r="AK127" s="503" cm="1">
        <f t="array" ref="AK127">IF(Contract_Edits[[#This Row],[BaseFlag]]&lt;&gt;1,0,
   IF(TEXT(Contract_Edits[[#This Row],[Dep]],"0")=TEXT(Contract_Edits[[#This Row],[Index]],"0"),
      0,
      MAX(0, SUMPRODUCT(--(Contract_Edits[BaseFlag]=1),
                        --(TEXT(Contract_Edits[Dep],"0")=TEXT(Contract_Edits[[#This Row],[Dep]],"0"))) - 1)
   )
)</f>
        <v>0</v>
      </c>
      <c r="AL127" s="503" t="str" cm="1">
        <f t="array" ref="AL127">IF(Contract_Edits[[#This Row],[BaseFlag]]=1,
   TEXT(Contract_Edits[[#This Row],[Index]],"0"),
   NearestBaseL(TEXT(Contract_Edits[[#This Row],[ParentKey]],"0"),500,editsIdxTxt,editsParentKeyTxt,baseIdxTxt,baseCost)
)</f>
        <v>0</v>
      </c>
      <c r="AM127" s="503" cm="1">
        <f t="array" ref="AM127">1+SUMPRODUCT(
  (Contract_Edits[BaseFlag]=1)*
  (TEXT(Contract_Edits[ParentAnchor],"0")=TEXT(Contract_Edits[[#This Row],[ParentAnchor]],"0"))*
  (VALUE(TEXT(Contract_Edits[Index],"0"))&lt;VALUE(TEXT(Contract_Edits[[#This Row],[Index]],"0")))
)</f>
        <v>1</v>
      </c>
      <c r="AN127" s="503"/>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1">
        <v>151</v>
      </c>
      <c r="M128" s="441"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0"/>
      <c r="R128" s="508"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8" s="179">
        <v>0</v>
      </c>
      <c r="T128" s="469"/>
      <c r="U128" s="492"/>
      <c r="V128" s="193"/>
      <c r="W128" s="22" t="s">
        <v>358</v>
      </c>
      <c r="X128" s="484"/>
      <c r="Y128" s="484"/>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03">
        <f>--(
  ISNUMBER(SEARCH("BASE PARENT", UPPER(CLEAN(TRIM(_xlfn.XLOOKUP(TEXT(Contract_Edits[[#This Row],[Index]],"0"), baseIdxTxt, baseCost, "")))))) +
  ISNUMBER(SEARCH("DEPENDENCY GROUP", UPPER(CLEAN(TRIM(_xlfn.XLOOKUP(TEXT(Contract_Edits[[#This Row],[Index]],"0"), baseIdxTxt, baseCost, ""))))))
)</f>
        <v>0</v>
      </c>
      <c r="AG128" s="503" t="str" cm="1">
        <f t="array" ref="AG128">IF(Contract_Edits[[#This Row],[BaseFlag]]=1,
   10*BaseDepthL(TEXT(Contract_Edits[[#This Row],[Index]],"0"),500,editsIdxTxt,editsParentKeyTxt,baseIdxTxt,baseCost)-5,
   ""
)</f>
        <v/>
      </c>
      <c r="AH128" s="503"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03" t="str">
        <f>IF(Contract_Edits[[#This Row],[Dep]]=0,"Root",
   IF(ISNUMBER(MATCH(Contract_Edits[[#This Row],[Dep]],Contract_Edits[Index],0)),"OK","Missing")
)</f>
        <v>Root</v>
      </c>
      <c r="AJ128" s="503" t="e">
        <f>IF(AND(Contract_Edits[[#This Row],[Dep]]&lt;&gt;0,
        ISNUMBER(MATCH(Contract_Edits[[#This Row],[Dep]], Contract_Edits[Index], 0)),
        INDEX(Contract_Edits[Dep], MATCH(Contract_Edits[[#This Row],[Dep]], Contract_Edits[Index], 0))=Contract_Edits[[#This Row],[Index]]),
   "2-cycle","")</f>
        <v>#N/A</v>
      </c>
      <c r="AK128" s="503" cm="1">
        <f t="array" ref="AK128">IF(Contract_Edits[[#This Row],[BaseFlag]]&lt;&gt;1,0,
   IF(TEXT(Contract_Edits[[#This Row],[Dep]],"0")=TEXT(Contract_Edits[[#This Row],[Index]],"0"),
      0,
      MAX(0, SUMPRODUCT(--(Contract_Edits[BaseFlag]=1),
                        --(TEXT(Contract_Edits[Dep],"0")=TEXT(Contract_Edits[[#This Row],[Dep]],"0"))) - 1)
   )
)</f>
        <v>0</v>
      </c>
      <c r="AL128" s="503" t="str" cm="1">
        <f t="array" ref="AL128">IF(Contract_Edits[[#This Row],[BaseFlag]]=1,
   TEXT(Contract_Edits[[#This Row],[Index]],"0"),
   NearestBaseL(TEXT(Contract_Edits[[#This Row],[ParentKey]],"0"),500,editsIdxTxt,editsParentKeyTxt,baseIdxTxt,baseCost)
)</f>
        <v>0</v>
      </c>
      <c r="AM128" s="503" cm="1">
        <f t="array" ref="AM128">1+SUMPRODUCT(
  (Contract_Edits[BaseFlag]=1)*
  (TEXT(Contract_Edits[ParentAnchor],"0")=TEXT(Contract_Edits[[#This Row],[ParentAnchor]],"0"))*
  (VALUE(TEXT(Contract_Edits[Index],"0"))&lt;VALUE(TEXT(Contract_Edits[[#This Row],[Index]],"0")))
)</f>
        <v>1</v>
      </c>
      <c r="AN128" s="503"/>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1">
        <v>101</v>
      </c>
      <c r="M129" s="441"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68"/>
      <c r="R129" s="508"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9" s="179">
        <v>0</v>
      </c>
      <c r="T129" s="179">
        <v>0</v>
      </c>
      <c r="U129" s="11"/>
      <c r="V129"/>
      <c r="W129" s="22" t="s">
        <v>358</v>
      </c>
      <c r="X129" s="22" t="s">
        <v>604</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03">
        <f>--(
  ISNUMBER(SEARCH("BASE PARENT", UPPER(CLEAN(TRIM(_xlfn.XLOOKUP(TEXT(Contract_Edits[[#This Row],[Index]],"0"), baseIdxTxt, baseCost, "")))))) +
  ISNUMBER(SEARCH("DEPENDENCY GROUP", UPPER(CLEAN(TRIM(_xlfn.XLOOKUP(TEXT(Contract_Edits[[#This Row],[Index]],"0"), baseIdxTxt, baseCost, ""))))))
)</f>
        <v>0</v>
      </c>
      <c r="AG129" s="503" t="str" cm="1">
        <f t="array" ref="AG129">IF(Contract_Edits[[#This Row],[BaseFlag]]=1,
   10*BaseDepthL(TEXT(Contract_Edits[[#This Row],[Index]],"0"),500,editsIdxTxt,editsParentKeyTxt,baseIdxTxt,baseCost)-5,
   ""
)</f>
        <v/>
      </c>
      <c r="AH129" s="503"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03" t="str">
        <f>IF(Contract_Edits[[#This Row],[Dep]]=0,"Root",
   IF(ISNUMBER(MATCH(Contract_Edits[[#This Row],[Dep]],Contract_Edits[Index],0)),"OK","Missing")
)</f>
        <v>Root</v>
      </c>
      <c r="AJ129" s="503" t="e">
        <f>IF(AND(Contract_Edits[[#This Row],[Dep]]&lt;&gt;0,
        ISNUMBER(MATCH(Contract_Edits[[#This Row],[Dep]], Contract_Edits[Index], 0)),
        INDEX(Contract_Edits[Dep], MATCH(Contract_Edits[[#This Row],[Dep]], Contract_Edits[Index], 0))=Contract_Edits[[#This Row],[Index]]),
   "2-cycle","")</f>
        <v>#N/A</v>
      </c>
      <c r="AK129" s="503" cm="1">
        <f t="array" ref="AK129">IF(Contract_Edits[[#This Row],[BaseFlag]]&lt;&gt;1,0,
   IF(TEXT(Contract_Edits[[#This Row],[Dep]],"0")=TEXT(Contract_Edits[[#This Row],[Index]],"0"),
      0,
      MAX(0, SUMPRODUCT(--(Contract_Edits[BaseFlag]=1),
                        --(TEXT(Contract_Edits[Dep],"0")=TEXT(Contract_Edits[[#This Row],[Dep]],"0"))) - 1)
   )
)</f>
        <v>0</v>
      </c>
      <c r="AL129" s="503" t="str" cm="1">
        <f t="array" ref="AL129">IF(Contract_Edits[[#This Row],[BaseFlag]]=1,
   TEXT(Contract_Edits[[#This Row],[Index]],"0"),
   NearestBaseL(TEXT(Contract_Edits[[#This Row],[ParentKey]],"0"),500,editsIdxTxt,editsParentKeyTxt,baseIdxTxt,baseCost)
)</f>
        <v>0</v>
      </c>
      <c r="AM129" s="503" cm="1">
        <f t="array" ref="AM129">1+SUMPRODUCT(
  (Contract_Edits[BaseFlag]=1)*
  (TEXT(Contract_Edits[ParentAnchor],"0")=TEXT(Contract_Edits[[#This Row],[ParentAnchor]],"0"))*
  (VALUE(TEXT(Contract_Edits[Index],"0"))&lt;VALUE(TEXT(Contract_Edits[[#This Row],[Index]],"0")))
)</f>
        <v>1</v>
      </c>
      <c r="AN129" s="503"/>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1">
        <v>137</v>
      </c>
      <c r="M130" s="441"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68"/>
      <c r="R130" s="508"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0" s="179">
        <v>0</v>
      </c>
      <c r="T130" s="179">
        <v>0</v>
      </c>
      <c r="U130" s="11"/>
      <c r="V130"/>
      <c r="W130" s="22" t="s">
        <v>358</v>
      </c>
      <c r="X130" s="22" t="s">
        <v>604</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03">
        <f>--(
  ISNUMBER(SEARCH("BASE PARENT", UPPER(CLEAN(TRIM(_xlfn.XLOOKUP(TEXT(Contract_Edits[[#This Row],[Index]],"0"), baseIdxTxt, baseCost, "")))))) +
  ISNUMBER(SEARCH("DEPENDENCY GROUP", UPPER(CLEAN(TRIM(_xlfn.XLOOKUP(TEXT(Contract_Edits[[#This Row],[Index]],"0"), baseIdxTxt, baseCost, ""))))))
)</f>
        <v>0</v>
      </c>
      <c r="AG130" s="503" t="str" cm="1">
        <f t="array" ref="AG130">IF(Contract_Edits[[#This Row],[BaseFlag]]=1,
   10*BaseDepthL(TEXT(Contract_Edits[[#This Row],[Index]],"0"),500,editsIdxTxt,editsParentKeyTxt,baseIdxTxt,baseCost)-5,
   ""
)</f>
        <v/>
      </c>
      <c r="AH130" s="503"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03" t="str">
        <f>IF(Contract_Edits[[#This Row],[Dep]]=0,"Root",
   IF(ISNUMBER(MATCH(Contract_Edits[[#This Row],[Dep]],Contract_Edits[Index],0)),"OK","Missing")
)</f>
        <v>Root</v>
      </c>
      <c r="AJ130" s="503" t="e">
        <f>IF(AND(Contract_Edits[[#This Row],[Dep]]&lt;&gt;0,
        ISNUMBER(MATCH(Contract_Edits[[#This Row],[Dep]], Contract_Edits[Index], 0)),
        INDEX(Contract_Edits[Dep], MATCH(Contract_Edits[[#This Row],[Dep]], Contract_Edits[Index], 0))=Contract_Edits[[#This Row],[Index]]),
   "2-cycle","")</f>
        <v>#N/A</v>
      </c>
      <c r="AK130" s="503" cm="1">
        <f t="array" ref="AK130">IF(Contract_Edits[[#This Row],[BaseFlag]]&lt;&gt;1,0,
   IF(TEXT(Contract_Edits[[#This Row],[Dep]],"0")=TEXT(Contract_Edits[[#This Row],[Index]],"0"),
      0,
      MAX(0, SUMPRODUCT(--(Contract_Edits[BaseFlag]=1),
                        --(TEXT(Contract_Edits[Dep],"0")=TEXT(Contract_Edits[[#This Row],[Dep]],"0"))) - 1)
   )
)</f>
        <v>0</v>
      </c>
      <c r="AL130" s="503" t="str" cm="1">
        <f t="array" ref="AL130">IF(Contract_Edits[[#This Row],[BaseFlag]]=1,
   TEXT(Contract_Edits[[#This Row],[Index]],"0"),
   NearestBaseL(TEXT(Contract_Edits[[#This Row],[ParentKey]],"0"),500,editsIdxTxt,editsParentKeyTxt,baseIdxTxt,baseCost)
)</f>
        <v>0</v>
      </c>
      <c r="AM130" s="503" cm="1">
        <f t="array" ref="AM130">1+SUMPRODUCT(
  (Contract_Edits[BaseFlag]=1)*
  (TEXT(Contract_Edits[ParentAnchor],"0")=TEXT(Contract_Edits[[#This Row],[ParentAnchor]],"0"))*
  (VALUE(TEXT(Contract_Edits[Index],"0"))&lt;VALUE(TEXT(Contract_Edits[[#This Row],[Index]],"0")))
)</f>
        <v>1</v>
      </c>
      <c r="AN130" s="503"/>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1">
        <v>148</v>
      </c>
      <c r="M131" s="441"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68"/>
      <c r="R131" s="508"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1" s="179">
        <v>0</v>
      </c>
      <c r="T131" s="179">
        <v>0</v>
      </c>
      <c r="U131" s="11"/>
      <c r="V131"/>
      <c r="W131" s="22" t="s">
        <v>358</v>
      </c>
      <c r="X131" s="22" t="s">
        <v>604</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03">
        <f>--(
  ISNUMBER(SEARCH("BASE PARENT", UPPER(CLEAN(TRIM(_xlfn.XLOOKUP(TEXT(Contract_Edits[[#This Row],[Index]],"0"), baseIdxTxt, baseCost, "")))))) +
  ISNUMBER(SEARCH("DEPENDENCY GROUP", UPPER(CLEAN(TRIM(_xlfn.XLOOKUP(TEXT(Contract_Edits[[#This Row],[Index]],"0"), baseIdxTxt, baseCost, ""))))))
)</f>
        <v>0</v>
      </c>
      <c r="AG131" s="503" t="str" cm="1">
        <f t="array" ref="AG131">IF(Contract_Edits[[#This Row],[BaseFlag]]=1,
   10*BaseDepthL(TEXT(Contract_Edits[[#This Row],[Index]],"0"),500,editsIdxTxt,editsParentKeyTxt,baseIdxTxt,baseCost)-5,
   ""
)</f>
        <v/>
      </c>
      <c r="AH131" s="503"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03" t="str">
        <f>IF(Contract_Edits[[#This Row],[Dep]]=0,"Root",
   IF(ISNUMBER(MATCH(Contract_Edits[[#This Row],[Dep]],Contract_Edits[Index],0)),"OK","Missing")
)</f>
        <v>Root</v>
      </c>
      <c r="AJ131" s="503" t="e">
        <f>IF(AND(Contract_Edits[[#This Row],[Dep]]&lt;&gt;0,
        ISNUMBER(MATCH(Contract_Edits[[#This Row],[Dep]], Contract_Edits[Index], 0)),
        INDEX(Contract_Edits[Dep], MATCH(Contract_Edits[[#This Row],[Dep]], Contract_Edits[Index], 0))=Contract_Edits[[#This Row],[Index]]),
   "2-cycle","")</f>
        <v>#N/A</v>
      </c>
      <c r="AK131" s="503" cm="1">
        <f t="array" ref="AK131">IF(Contract_Edits[[#This Row],[BaseFlag]]&lt;&gt;1,0,
   IF(TEXT(Contract_Edits[[#This Row],[Dep]],"0")=TEXT(Contract_Edits[[#This Row],[Index]],"0"),
      0,
      MAX(0, SUMPRODUCT(--(Contract_Edits[BaseFlag]=1),
                        --(TEXT(Contract_Edits[Dep],"0")=TEXT(Contract_Edits[[#This Row],[Dep]],"0"))) - 1)
   )
)</f>
        <v>0</v>
      </c>
      <c r="AL131" s="503" t="str" cm="1">
        <f t="array" ref="AL131">IF(Contract_Edits[[#This Row],[BaseFlag]]=1,
   TEXT(Contract_Edits[[#This Row],[Index]],"0"),
   NearestBaseL(TEXT(Contract_Edits[[#This Row],[ParentKey]],"0"),500,editsIdxTxt,editsParentKeyTxt,baseIdxTxt,baseCost)
)</f>
        <v>0</v>
      </c>
      <c r="AM131" s="503" cm="1">
        <f t="array" ref="AM131">1+SUMPRODUCT(
  (Contract_Edits[BaseFlag]=1)*
  (TEXT(Contract_Edits[ParentAnchor],"0")=TEXT(Contract_Edits[[#This Row],[ParentAnchor]],"0"))*
  (VALUE(TEXT(Contract_Edits[Index],"0"))&lt;VALUE(TEXT(Contract_Edits[[#This Row],[Index]],"0")))
)</f>
        <v>1</v>
      </c>
      <c r="AN131" s="503"/>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1">
        <v>128</v>
      </c>
      <c r="M132" s="441"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0"/>
      <c r="R132" s="508"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2" s="179">
        <v>0</v>
      </c>
      <c r="T132" s="469"/>
      <c r="U132" s="492"/>
      <c r="V132" s="193"/>
      <c r="W132" s="22" t="s">
        <v>358</v>
      </c>
      <c r="X132" s="484" t="s">
        <v>604</v>
      </c>
      <c r="Y132" s="484"/>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03">
        <f>--(
  ISNUMBER(SEARCH("BASE PARENT", UPPER(CLEAN(TRIM(_xlfn.XLOOKUP(TEXT(Contract_Edits[[#This Row],[Index]],"0"), baseIdxTxt, baseCost, "")))))) +
  ISNUMBER(SEARCH("DEPENDENCY GROUP", UPPER(CLEAN(TRIM(_xlfn.XLOOKUP(TEXT(Contract_Edits[[#This Row],[Index]],"0"), baseIdxTxt, baseCost, ""))))))
)</f>
        <v>0</v>
      </c>
      <c r="AG132" s="503" t="str" cm="1">
        <f t="array" ref="AG132">IF(Contract_Edits[[#This Row],[BaseFlag]]=1,
   10*BaseDepthL(TEXT(Contract_Edits[[#This Row],[Index]],"0"),500,editsIdxTxt,editsParentKeyTxt,baseIdxTxt,baseCost)-5,
   ""
)</f>
        <v/>
      </c>
      <c r="AH132" s="503"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03" t="str">
        <f>IF(Contract_Edits[[#This Row],[Dep]]=0,"Root",
   IF(ISNUMBER(MATCH(Contract_Edits[[#This Row],[Dep]],Contract_Edits[Index],0)),"OK","Missing")
)</f>
        <v>Root</v>
      </c>
      <c r="AJ132" s="503" t="e">
        <f>IF(AND(Contract_Edits[[#This Row],[Dep]]&lt;&gt;0,
        ISNUMBER(MATCH(Contract_Edits[[#This Row],[Dep]], Contract_Edits[Index], 0)),
        INDEX(Contract_Edits[Dep], MATCH(Contract_Edits[[#This Row],[Dep]], Contract_Edits[Index], 0))=Contract_Edits[[#This Row],[Index]]),
   "2-cycle","")</f>
        <v>#N/A</v>
      </c>
      <c r="AK132" s="503" cm="1">
        <f t="array" ref="AK132">IF(Contract_Edits[[#This Row],[BaseFlag]]&lt;&gt;1,0,
   IF(TEXT(Contract_Edits[[#This Row],[Dep]],"0")=TEXT(Contract_Edits[[#This Row],[Index]],"0"),
      0,
      MAX(0, SUMPRODUCT(--(Contract_Edits[BaseFlag]=1),
                        --(TEXT(Contract_Edits[Dep],"0")=TEXT(Contract_Edits[[#This Row],[Dep]],"0"))) - 1)
   )
)</f>
        <v>0</v>
      </c>
      <c r="AL132" s="503" t="str" cm="1">
        <f t="array" ref="AL132">IF(Contract_Edits[[#This Row],[BaseFlag]]=1,
   TEXT(Contract_Edits[[#This Row],[Index]],"0"),
   NearestBaseL(TEXT(Contract_Edits[[#This Row],[ParentKey]],"0"),500,editsIdxTxt,editsParentKeyTxt,baseIdxTxt,baseCost)
)</f>
        <v>0</v>
      </c>
      <c r="AM132" s="503" cm="1">
        <f t="array" ref="AM132">1+SUMPRODUCT(
  (Contract_Edits[BaseFlag]=1)*
  (TEXT(Contract_Edits[ParentAnchor],"0")=TEXT(Contract_Edits[[#This Row],[ParentAnchor]],"0"))*
  (VALUE(TEXT(Contract_Edits[Index],"0"))&lt;VALUE(TEXT(Contract_Edits[[#This Row],[Index]],"0")))
)</f>
        <v>1</v>
      </c>
      <c r="AN132" s="503"/>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04">
        <v>152</v>
      </c>
      <c r="M133" s="441"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0"/>
      <c r="R133" s="508"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3" s="179">
        <v>0</v>
      </c>
      <c r="T133" s="469"/>
      <c r="U133" s="492"/>
      <c r="V133" s="193"/>
      <c r="W133" s="22" t="s">
        <v>358</v>
      </c>
      <c r="Y133" s="484"/>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03">
        <f>--(
  ISNUMBER(SEARCH("BASE PARENT", UPPER(CLEAN(TRIM(_xlfn.XLOOKUP(TEXT(Contract_Edits[[#This Row],[Index]],"0"), baseIdxTxt, baseCost, "")))))) +
  ISNUMBER(SEARCH("DEPENDENCY GROUP", UPPER(CLEAN(TRIM(_xlfn.XLOOKUP(TEXT(Contract_Edits[[#This Row],[Index]],"0"), baseIdxTxt, baseCost, ""))))))
)</f>
        <v>0</v>
      </c>
      <c r="AG133" s="503" t="str" cm="1">
        <f t="array" ref="AG133">IF(Contract_Edits[[#This Row],[BaseFlag]]=1,
   10*BaseDepthL(TEXT(Contract_Edits[[#This Row],[Index]],"0"),500,editsIdxTxt,editsParentKeyTxt,baseIdxTxt,baseCost)-5,
   ""
)</f>
        <v/>
      </c>
      <c r="AH133" s="503"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03" t="str">
        <f>IF(Contract_Edits[[#This Row],[Dep]]=0,"Root",
   IF(ISNUMBER(MATCH(Contract_Edits[[#This Row],[Dep]],Contract_Edits[Index],0)),"OK","Missing")
)</f>
        <v>Root</v>
      </c>
      <c r="AJ133" s="503" t="e">
        <f>IF(AND(Contract_Edits[[#This Row],[Dep]]&lt;&gt;0,
        ISNUMBER(MATCH(Contract_Edits[[#This Row],[Dep]], Contract_Edits[Index], 0)),
        INDEX(Contract_Edits[Dep], MATCH(Contract_Edits[[#This Row],[Dep]], Contract_Edits[Index], 0))=Contract_Edits[[#This Row],[Index]]),
   "2-cycle","")</f>
        <v>#N/A</v>
      </c>
      <c r="AK133" s="503" cm="1">
        <f t="array" ref="AK133">IF(Contract_Edits[[#This Row],[BaseFlag]]&lt;&gt;1,0,
   IF(TEXT(Contract_Edits[[#This Row],[Dep]],"0")=TEXT(Contract_Edits[[#This Row],[Index]],"0"),
      0,
      MAX(0, SUMPRODUCT(--(Contract_Edits[BaseFlag]=1),
                        --(TEXT(Contract_Edits[Dep],"0")=TEXT(Contract_Edits[[#This Row],[Dep]],"0"))) - 1)
   )
)</f>
        <v>0</v>
      </c>
      <c r="AL133" s="503" t="str" cm="1">
        <f t="array" ref="AL133">IF(Contract_Edits[[#This Row],[BaseFlag]]=1,
   TEXT(Contract_Edits[[#This Row],[Index]],"0"),
   NearestBaseL(TEXT(Contract_Edits[[#This Row],[ParentKey]],"0"),500,editsIdxTxt,editsParentKeyTxt,baseIdxTxt,baseCost)
)</f>
        <v>0</v>
      </c>
      <c r="AM133" s="503" cm="1">
        <f t="array" ref="AM133">1+SUMPRODUCT(
  (Contract_Edits[BaseFlag]=1)*
  (TEXT(Contract_Edits[ParentAnchor],"0")=TEXT(Contract_Edits[[#This Row],[ParentAnchor]],"0"))*
  (VALUE(TEXT(Contract_Edits[Index],"0"))&lt;VALUE(TEXT(Contract_Edits[[#This Row],[Index]],"0")))
)</f>
        <v>1</v>
      </c>
      <c r="AN133" s="503"/>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1">
        <v>153</v>
      </c>
      <c r="M134" s="441"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0"/>
      <c r="R134" s="508"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4" s="179">
        <v>0</v>
      </c>
      <c r="T134" s="469"/>
      <c r="U134" s="492"/>
      <c r="V134" s="193"/>
      <c r="W134" s="22" t="s">
        <v>358</v>
      </c>
      <c r="Y134" s="484"/>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03">
        <f>--(
  ISNUMBER(SEARCH("BASE PARENT", UPPER(CLEAN(TRIM(_xlfn.XLOOKUP(TEXT(Contract_Edits[[#This Row],[Index]],"0"), baseIdxTxt, baseCost, "")))))) +
  ISNUMBER(SEARCH("DEPENDENCY GROUP", UPPER(CLEAN(TRIM(_xlfn.XLOOKUP(TEXT(Contract_Edits[[#This Row],[Index]],"0"), baseIdxTxt, baseCost, ""))))))
)</f>
        <v>0</v>
      </c>
      <c r="AG134" s="503" t="str" cm="1">
        <f t="array" ref="AG134">IF(Contract_Edits[[#This Row],[BaseFlag]]=1,
   10*BaseDepthL(TEXT(Contract_Edits[[#This Row],[Index]],"0"),500,editsIdxTxt,editsParentKeyTxt,baseIdxTxt,baseCost)-5,
   ""
)</f>
        <v/>
      </c>
      <c r="AH134" s="503"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03" t="str">
        <f>IF(Contract_Edits[[#This Row],[Dep]]=0,"Root",
   IF(ISNUMBER(MATCH(Contract_Edits[[#This Row],[Dep]],Contract_Edits[Index],0)),"OK","Missing")
)</f>
        <v>Root</v>
      </c>
      <c r="AJ134" s="503" t="e">
        <f>IF(AND(Contract_Edits[[#This Row],[Dep]]&lt;&gt;0,
        ISNUMBER(MATCH(Contract_Edits[[#This Row],[Dep]], Contract_Edits[Index], 0)),
        INDEX(Contract_Edits[Dep], MATCH(Contract_Edits[[#This Row],[Dep]], Contract_Edits[Index], 0))=Contract_Edits[[#This Row],[Index]]),
   "2-cycle","")</f>
        <v>#N/A</v>
      </c>
      <c r="AK134" s="503" cm="1">
        <f t="array" ref="AK134">IF(Contract_Edits[[#This Row],[BaseFlag]]&lt;&gt;1,0,
   IF(TEXT(Contract_Edits[[#This Row],[Dep]],"0")=TEXT(Contract_Edits[[#This Row],[Index]],"0"),
      0,
      MAX(0, SUMPRODUCT(--(Contract_Edits[BaseFlag]=1),
                        --(TEXT(Contract_Edits[Dep],"0")=TEXT(Contract_Edits[[#This Row],[Dep]],"0"))) - 1)
   )
)</f>
        <v>0</v>
      </c>
      <c r="AL134" s="503" t="str" cm="1">
        <f t="array" ref="AL134">IF(Contract_Edits[[#This Row],[BaseFlag]]=1,
   TEXT(Contract_Edits[[#This Row],[Index]],"0"),
   NearestBaseL(TEXT(Contract_Edits[[#This Row],[ParentKey]],"0"),500,editsIdxTxt,editsParentKeyTxt,baseIdxTxt,baseCost)
)</f>
        <v>0</v>
      </c>
      <c r="AM134" s="503" cm="1">
        <f t="array" ref="AM134">1+SUMPRODUCT(
  (Contract_Edits[BaseFlag]=1)*
  (TEXT(Contract_Edits[ParentAnchor],"0")=TEXT(Contract_Edits[[#This Row],[ParentAnchor]],"0"))*
  (VALUE(TEXT(Contract_Edits[Index],"0"))&lt;VALUE(TEXT(Contract_Edits[[#This Row],[Index]],"0")))
)</f>
        <v>1</v>
      </c>
      <c r="AN134" s="503"/>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1">
        <v>129</v>
      </c>
      <c r="M135" s="441"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68"/>
      <c r="R135" s="508"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5" s="179">
        <v>0</v>
      </c>
      <c r="T135" s="179">
        <v>0</v>
      </c>
      <c r="U135" s="11"/>
      <c r="V135"/>
      <c r="W135" s="22" t="s">
        <v>358</v>
      </c>
      <c r="X135" s="22" t="s">
        <v>604</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03">
        <f>--(
  ISNUMBER(SEARCH("BASE PARENT", UPPER(CLEAN(TRIM(_xlfn.XLOOKUP(TEXT(Contract_Edits[[#This Row],[Index]],"0"), baseIdxTxt, baseCost, "")))))) +
  ISNUMBER(SEARCH("DEPENDENCY GROUP", UPPER(CLEAN(TRIM(_xlfn.XLOOKUP(TEXT(Contract_Edits[[#This Row],[Index]],"0"), baseIdxTxt, baseCost, ""))))))
)</f>
        <v>0</v>
      </c>
      <c r="AG135" s="503" t="str" cm="1">
        <f t="array" ref="AG135">IF(Contract_Edits[[#This Row],[BaseFlag]]=1,
   10*BaseDepthL(TEXT(Contract_Edits[[#This Row],[Index]],"0"),500,editsIdxTxt,editsParentKeyTxt,baseIdxTxt,baseCost)-5,
   ""
)</f>
        <v/>
      </c>
      <c r="AH135" s="503"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03" t="str">
        <f>IF(Contract_Edits[[#This Row],[Dep]]=0,"Root",
   IF(ISNUMBER(MATCH(Contract_Edits[[#This Row],[Dep]],Contract_Edits[Index],0)),"OK","Missing")
)</f>
        <v>Root</v>
      </c>
      <c r="AJ135" s="503" t="e">
        <f>IF(AND(Contract_Edits[[#This Row],[Dep]]&lt;&gt;0,
        ISNUMBER(MATCH(Contract_Edits[[#This Row],[Dep]], Contract_Edits[Index], 0)),
        INDEX(Contract_Edits[Dep], MATCH(Contract_Edits[[#This Row],[Dep]], Contract_Edits[Index], 0))=Contract_Edits[[#This Row],[Index]]),
   "2-cycle","")</f>
        <v>#N/A</v>
      </c>
      <c r="AK135" s="503" cm="1">
        <f t="array" ref="AK135">IF(Contract_Edits[[#This Row],[BaseFlag]]&lt;&gt;1,0,
   IF(TEXT(Contract_Edits[[#This Row],[Dep]],"0")=TEXT(Contract_Edits[[#This Row],[Index]],"0"),
      0,
      MAX(0, SUMPRODUCT(--(Contract_Edits[BaseFlag]=1),
                        --(TEXT(Contract_Edits[Dep],"0")=TEXT(Contract_Edits[[#This Row],[Dep]],"0"))) - 1)
   )
)</f>
        <v>0</v>
      </c>
      <c r="AL135" s="503" t="str" cm="1">
        <f t="array" ref="AL135">IF(Contract_Edits[[#This Row],[BaseFlag]]=1,
   TEXT(Contract_Edits[[#This Row],[Index]],"0"),
   NearestBaseL(TEXT(Contract_Edits[[#This Row],[ParentKey]],"0"),500,editsIdxTxt,editsParentKeyTxt,baseIdxTxt,baseCost)
)</f>
        <v>0</v>
      </c>
      <c r="AM135" s="503" cm="1">
        <f t="array" ref="AM135">1+SUMPRODUCT(
  (Contract_Edits[BaseFlag]=1)*
  (TEXT(Contract_Edits[ParentAnchor],"0")=TEXT(Contract_Edits[[#This Row],[ParentAnchor]],"0"))*
  (VALUE(TEXT(Contract_Edits[Index],"0"))&lt;VALUE(TEXT(Contract_Edits[[#This Row],[Index]],"0")))
)</f>
        <v>1</v>
      </c>
      <c r="AN135" s="503"/>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1">
        <v>154</v>
      </c>
      <c r="M136" s="441"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0"/>
      <c r="R136" s="508"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6" s="179">
        <v>0</v>
      </c>
      <c r="T136" s="469"/>
      <c r="U136" s="492"/>
      <c r="V136" s="193"/>
      <c r="W136" s="22" t="s">
        <v>358</v>
      </c>
      <c r="Y136" s="484"/>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03">
        <f>--(
  ISNUMBER(SEARCH("BASE PARENT", UPPER(CLEAN(TRIM(_xlfn.XLOOKUP(TEXT(Contract_Edits[[#This Row],[Index]],"0"), baseIdxTxt, baseCost, "")))))) +
  ISNUMBER(SEARCH("DEPENDENCY GROUP", UPPER(CLEAN(TRIM(_xlfn.XLOOKUP(TEXT(Contract_Edits[[#This Row],[Index]],"0"), baseIdxTxt, baseCost, ""))))))
)</f>
        <v>0</v>
      </c>
      <c r="AG136" s="503" t="str" cm="1">
        <f t="array" ref="AG136">IF(Contract_Edits[[#This Row],[BaseFlag]]=1,
   10*BaseDepthL(TEXT(Contract_Edits[[#This Row],[Index]],"0"),500,editsIdxTxt,editsParentKeyTxt,baseIdxTxt,baseCost)-5,
   ""
)</f>
        <v/>
      </c>
      <c r="AH136" s="503"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03" t="str">
        <f>IF(Contract_Edits[[#This Row],[Dep]]=0,"Root",
   IF(ISNUMBER(MATCH(Contract_Edits[[#This Row],[Dep]],Contract_Edits[Index],0)),"OK","Missing")
)</f>
        <v>Root</v>
      </c>
      <c r="AJ136" s="503" t="e">
        <f>IF(AND(Contract_Edits[[#This Row],[Dep]]&lt;&gt;0,
        ISNUMBER(MATCH(Contract_Edits[[#This Row],[Dep]], Contract_Edits[Index], 0)),
        INDEX(Contract_Edits[Dep], MATCH(Contract_Edits[[#This Row],[Dep]], Contract_Edits[Index], 0))=Contract_Edits[[#This Row],[Index]]),
   "2-cycle","")</f>
        <v>#N/A</v>
      </c>
      <c r="AK136" s="503" cm="1">
        <f t="array" ref="AK136">IF(Contract_Edits[[#This Row],[BaseFlag]]&lt;&gt;1,0,
   IF(TEXT(Contract_Edits[[#This Row],[Dep]],"0")=TEXT(Contract_Edits[[#This Row],[Index]],"0"),
      0,
      MAX(0, SUMPRODUCT(--(Contract_Edits[BaseFlag]=1),
                        --(TEXT(Contract_Edits[Dep],"0")=TEXT(Contract_Edits[[#This Row],[Dep]],"0"))) - 1)
   )
)</f>
        <v>0</v>
      </c>
      <c r="AL136" s="503" t="str" cm="1">
        <f t="array" ref="AL136">IF(Contract_Edits[[#This Row],[BaseFlag]]=1,
   TEXT(Contract_Edits[[#This Row],[Index]],"0"),
   NearestBaseL(TEXT(Contract_Edits[[#This Row],[ParentKey]],"0"),500,editsIdxTxt,editsParentKeyTxt,baseIdxTxt,baseCost)
)</f>
        <v>0</v>
      </c>
      <c r="AM136" s="503" cm="1">
        <f t="array" ref="AM136">1+SUMPRODUCT(
  (Contract_Edits[BaseFlag]=1)*
  (TEXT(Contract_Edits[ParentAnchor],"0")=TEXT(Contract_Edits[[#This Row],[ParentAnchor]],"0"))*
  (VALUE(TEXT(Contract_Edits[Index],"0"))&lt;VALUE(TEXT(Contract_Edits[[#This Row],[Index]],"0")))
)</f>
        <v>1</v>
      </c>
      <c r="AN136" s="503"/>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1">
        <v>107</v>
      </c>
      <c r="M137" s="441"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68"/>
      <c r="R137" s="508"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7" s="179">
        <v>0</v>
      </c>
      <c r="T137" s="179">
        <v>0</v>
      </c>
      <c r="U137" s="11"/>
      <c r="V137"/>
      <c r="W137" s="22" t="s">
        <v>358</v>
      </c>
      <c r="X137" s="22" t="s">
        <v>604</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03">
        <f>--(
  ISNUMBER(SEARCH("BASE PARENT", UPPER(CLEAN(TRIM(_xlfn.XLOOKUP(TEXT(Contract_Edits[[#This Row],[Index]],"0"), baseIdxTxt, baseCost, "")))))) +
  ISNUMBER(SEARCH("DEPENDENCY GROUP", UPPER(CLEAN(TRIM(_xlfn.XLOOKUP(TEXT(Contract_Edits[[#This Row],[Index]],"0"), baseIdxTxt, baseCost, ""))))))
)</f>
        <v>0</v>
      </c>
      <c r="AG137" s="503" t="str" cm="1">
        <f t="array" ref="AG137">IF(Contract_Edits[[#This Row],[BaseFlag]]=1,
   10*BaseDepthL(TEXT(Contract_Edits[[#This Row],[Index]],"0"),500,editsIdxTxt,editsParentKeyTxt,baseIdxTxt,baseCost)-5,
   ""
)</f>
        <v/>
      </c>
      <c r="AH137" s="503"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03" t="str">
        <f>IF(Contract_Edits[[#This Row],[Dep]]=0,"Root",
   IF(ISNUMBER(MATCH(Contract_Edits[[#This Row],[Dep]],Contract_Edits[Index],0)),"OK","Missing")
)</f>
        <v>Root</v>
      </c>
      <c r="AJ137" s="503" t="e">
        <f>IF(AND(Contract_Edits[[#This Row],[Dep]]&lt;&gt;0,
        ISNUMBER(MATCH(Contract_Edits[[#This Row],[Dep]], Contract_Edits[Index], 0)),
        INDEX(Contract_Edits[Dep], MATCH(Contract_Edits[[#This Row],[Dep]], Contract_Edits[Index], 0))=Contract_Edits[[#This Row],[Index]]),
   "2-cycle","")</f>
        <v>#N/A</v>
      </c>
      <c r="AK137" s="503" cm="1">
        <f t="array" ref="AK137">IF(Contract_Edits[[#This Row],[BaseFlag]]&lt;&gt;1,0,
   IF(TEXT(Contract_Edits[[#This Row],[Dep]],"0")=TEXT(Contract_Edits[[#This Row],[Index]],"0"),
      0,
      MAX(0, SUMPRODUCT(--(Contract_Edits[BaseFlag]=1),
                        --(TEXT(Contract_Edits[Dep],"0")=TEXT(Contract_Edits[[#This Row],[Dep]],"0"))) - 1)
   )
)</f>
        <v>0</v>
      </c>
      <c r="AL137" s="503" t="str" cm="1">
        <f t="array" ref="AL137">IF(Contract_Edits[[#This Row],[BaseFlag]]=1,
   TEXT(Contract_Edits[[#This Row],[Index]],"0"),
   NearestBaseL(TEXT(Contract_Edits[[#This Row],[ParentKey]],"0"),500,editsIdxTxt,editsParentKeyTxt,baseIdxTxt,baseCost)
)</f>
        <v>0</v>
      </c>
      <c r="AM137" s="503" cm="1">
        <f t="array" ref="AM137">1+SUMPRODUCT(
  (Contract_Edits[BaseFlag]=1)*
  (TEXT(Contract_Edits[ParentAnchor],"0")=TEXT(Contract_Edits[[#This Row],[ParentAnchor]],"0"))*
  (VALUE(TEXT(Contract_Edits[Index],"0"))&lt;VALUE(TEXT(Contract_Edits[[#This Row],[Index]],"0")))
)</f>
        <v>1</v>
      </c>
      <c r="AN137" s="503"/>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1">
        <v>130</v>
      </c>
      <c r="M138" s="441"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68"/>
      <c r="R138" s="508"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8" s="179">
        <v>0</v>
      </c>
      <c r="T138" s="179">
        <v>0</v>
      </c>
      <c r="U138" s="11"/>
      <c r="V138"/>
      <c r="W138" s="22" t="s">
        <v>358</v>
      </c>
      <c r="X138" s="22" t="s">
        <v>604</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03">
        <f>--(
  ISNUMBER(SEARCH("BASE PARENT", UPPER(CLEAN(TRIM(_xlfn.XLOOKUP(TEXT(Contract_Edits[[#This Row],[Index]],"0"), baseIdxTxt, baseCost, "")))))) +
  ISNUMBER(SEARCH("DEPENDENCY GROUP", UPPER(CLEAN(TRIM(_xlfn.XLOOKUP(TEXT(Contract_Edits[[#This Row],[Index]],"0"), baseIdxTxt, baseCost, ""))))))
)</f>
        <v>0</v>
      </c>
      <c r="AG138" s="503" t="str" cm="1">
        <f t="array" ref="AG138">IF(Contract_Edits[[#This Row],[BaseFlag]]=1,
   10*BaseDepthL(TEXT(Contract_Edits[[#This Row],[Index]],"0"),500,editsIdxTxt,editsParentKeyTxt,baseIdxTxt,baseCost)-5,
   ""
)</f>
        <v/>
      </c>
      <c r="AH138" s="503"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03" t="str">
        <f>IF(Contract_Edits[[#This Row],[Dep]]=0,"Root",
   IF(ISNUMBER(MATCH(Contract_Edits[[#This Row],[Dep]],Contract_Edits[Index],0)),"OK","Missing")
)</f>
        <v>Root</v>
      </c>
      <c r="AJ138" s="503" t="e">
        <f>IF(AND(Contract_Edits[[#This Row],[Dep]]&lt;&gt;0,
        ISNUMBER(MATCH(Contract_Edits[[#This Row],[Dep]], Contract_Edits[Index], 0)),
        INDEX(Contract_Edits[Dep], MATCH(Contract_Edits[[#This Row],[Dep]], Contract_Edits[Index], 0))=Contract_Edits[[#This Row],[Index]]),
   "2-cycle","")</f>
        <v>#N/A</v>
      </c>
      <c r="AK138" s="503" cm="1">
        <f t="array" ref="AK138">IF(Contract_Edits[[#This Row],[BaseFlag]]&lt;&gt;1,0,
   IF(TEXT(Contract_Edits[[#This Row],[Dep]],"0")=TEXT(Contract_Edits[[#This Row],[Index]],"0"),
      0,
      MAX(0, SUMPRODUCT(--(Contract_Edits[BaseFlag]=1),
                        --(TEXT(Contract_Edits[Dep],"0")=TEXT(Contract_Edits[[#This Row],[Dep]],"0"))) - 1)
   )
)</f>
        <v>0</v>
      </c>
      <c r="AL138" s="503" t="str" cm="1">
        <f t="array" ref="AL138">IF(Contract_Edits[[#This Row],[BaseFlag]]=1,
   TEXT(Contract_Edits[[#This Row],[Index]],"0"),
   NearestBaseL(TEXT(Contract_Edits[[#This Row],[ParentKey]],"0"),500,editsIdxTxt,editsParentKeyTxt,baseIdxTxt,baseCost)
)</f>
        <v>0</v>
      </c>
      <c r="AM138" s="503" cm="1">
        <f t="array" ref="AM138">1+SUMPRODUCT(
  (Contract_Edits[BaseFlag]=1)*
  (TEXT(Contract_Edits[ParentAnchor],"0")=TEXT(Contract_Edits[[#This Row],[ParentAnchor]],"0"))*
  (VALUE(TEXT(Contract_Edits[Index],"0"))&lt;VALUE(TEXT(Contract_Edits[[#This Row],[Index]],"0")))
)</f>
        <v>1</v>
      </c>
      <c r="AN138" s="503"/>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1">
        <v>109</v>
      </c>
      <c r="M139" s="441"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68"/>
      <c r="R139" s="508"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9" s="179">
        <v>0</v>
      </c>
      <c r="T139" s="179">
        <v>0</v>
      </c>
      <c r="U139" s="11"/>
      <c r="V139"/>
      <c r="W139" s="22" t="s">
        <v>358</v>
      </c>
      <c r="X139" s="22" t="s">
        <v>604</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03">
        <f>--(
  ISNUMBER(SEARCH("BASE PARENT", UPPER(CLEAN(TRIM(_xlfn.XLOOKUP(TEXT(Contract_Edits[[#This Row],[Index]],"0"), baseIdxTxt, baseCost, "")))))) +
  ISNUMBER(SEARCH("DEPENDENCY GROUP", UPPER(CLEAN(TRIM(_xlfn.XLOOKUP(TEXT(Contract_Edits[[#This Row],[Index]],"0"), baseIdxTxt, baseCost, ""))))))
)</f>
        <v>0</v>
      </c>
      <c r="AG139" s="503" t="str" cm="1">
        <f t="array" ref="AG139">IF(Contract_Edits[[#This Row],[BaseFlag]]=1,
   10*BaseDepthL(TEXT(Contract_Edits[[#This Row],[Index]],"0"),500,editsIdxTxt,editsParentKeyTxt,baseIdxTxt,baseCost)-5,
   ""
)</f>
        <v/>
      </c>
      <c r="AH139" s="503"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03" t="str">
        <f>IF(Contract_Edits[[#This Row],[Dep]]=0,"Root",
   IF(ISNUMBER(MATCH(Contract_Edits[[#This Row],[Dep]],Contract_Edits[Index],0)),"OK","Missing")
)</f>
        <v>Root</v>
      </c>
      <c r="AJ139" s="503" t="e">
        <f>IF(AND(Contract_Edits[[#This Row],[Dep]]&lt;&gt;0,
        ISNUMBER(MATCH(Contract_Edits[[#This Row],[Dep]], Contract_Edits[Index], 0)),
        INDEX(Contract_Edits[Dep], MATCH(Contract_Edits[[#This Row],[Dep]], Contract_Edits[Index], 0))=Contract_Edits[[#This Row],[Index]]),
   "2-cycle","")</f>
        <v>#N/A</v>
      </c>
      <c r="AK139" s="503" cm="1">
        <f t="array" ref="AK139">IF(Contract_Edits[[#This Row],[BaseFlag]]&lt;&gt;1,0,
   IF(TEXT(Contract_Edits[[#This Row],[Dep]],"0")=TEXT(Contract_Edits[[#This Row],[Index]],"0"),
      0,
      MAX(0, SUMPRODUCT(--(Contract_Edits[BaseFlag]=1),
                        --(TEXT(Contract_Edits[Dep],"0")=TEXT(Contract_Edits[[#This Row],[Dep]],"0"))) - 1)
   )
)</f>
        <v>0</v>
      </c>
      <c r="AL139" s="503" t="str" cm="1">
        <f t="array" ref="AL139">IF(Contract_Edits[[#This Row],[BaseFlag]]=1,
   TEXT(Contract_Edits[[#This Row],[Index]],"0"),
   NearestBaseL(TEXT(Contract_Edits[[#This Row],[ParentKey]],"0"),500,editsIdxTxt,editsParentKeyTxt,baseIdxTxt,baseCost)
)</f>
        <v>0</v>
      </c>
      <c r="AM139" s="503" cm="1">
        <f t="array" ref="AM139">1+SUMPRODUCT(
  (Contract_Edits[BaseFlag]=1)*
  (TEXT(Contract_Edits[ParentAnchor],"0")=TEXT(Contract_Edits[[#This Row],[ParentAnchor]],"0"))*
  (VALUE(TEXT(Contract_Edits[Index],"0"))&lt;VALUE(TEXT(Contract_Edits[[#This Row],[Index]],"0")))
)</f>
        <v>1</v>
      </c>
      <c r="AN139" s="503"/>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1">
        <v>155</v>
      </c>
      <c r="M140" s="441"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0"/>
      <c r="R140" s="508"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0" s="179">
        <v>0</v>
      </c>
      <c r="T140" s="469"/>
      <c r="U140" s="492"/>
      <c r="V140" s="193"/>
      <c r="W140" s="22" t="s">
        <v>358</v>
      </c>
      <c r="Y140" s="484"/>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03">
        <f>--(
  ISNUMBER(SEARCH("BASE PARENT", UPPER(CLEAN(TRIM(_xlfn.XLOOKUP(TEXT(Contract_Edits[[#This Row],[Index]],"0"), baseIdxTxt, baseCost, "")))))) +
  ISNUMBER(SEARCH("DEPENDENCY GROUP", UPPER(CLEAN(TRIM(_xlfn.XLOOKUP(TEXT(Contract_Edits[[#This Row],[Index]],"0"), baseIdxTxt, baseCost, ""))))))
)</f>
        <v>0</v>
      </c>
      <c r="AG140" s="503" t="str" cm="1">
        <f t="array" ref="AG140">IF(Contract_Edits[[#This Row],[BaseFlag]]=1,
   10*BaseDepthL(TEXT(Contract_Edits[[#This Row],[Index]],"0"),500,editsIdxTxt,editsParentKeyTxt,baseIdxTxt,baseCost)-5,
   ""
)</f>
        <v/>
      </c>
      <c r="AH140" s="503"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03" t="str">
        <f>IF(Contract_Edits[[#This Row],[Dep]]=0,"Root",
   IF(ISNUMBER(MATCH(Contract_Edits[[#This Row],[Dep]],Contract_Edits[Index],0)),"OK","Missing")
)</f>
        <v>Root</v>
      </c>
      <c r="AJ140" s="503" t="e">
        <f>IF(AND(Contract_Edits[[#This Row],[Dep]]&lt;&gt;0,
        ISNUMBER(MATCH(Contract_Edits[[#This Row],[Dep]], Contract_Edits[Index], 0)),
        INDEX(Contract_Edits[Dep], MATCH(Contract_Edits[[#This Row],[Dep]], Contract_Edits[Index], 0))=Contract_Edits[[#This Row],[Index]]),
   "2-cycle","")</f>
        <v>#N/A</v>
      </c>
      <c r="AK140" s="503" cm="1">
        <f t="array" ref="AK140">IF(Contract_Edits[[#This Row],[BaseFlag]]&lt;&gt;1,0,
   IF(TEXT(Contract_Edits[[#This Row],[Dep]],"0")=TEXT(Contract_Edits[[#This Row],[Index]],"0"),
      0,
      MAX(0, SUMPRODUCT(--(Contract_Edits[BaseFlag]=1),
                        --(TEXT(Contract_Edits[Dep],"0")=TEXT(Contract_Edits[[#This Row],[Dep]],"0"))) - 1)
   )
)</f>
        <v>0</v>
      </c>
      <c r="AL140" s="503" t="str" cm="1">
        <f t="array" ref="AL140">IF(Contract_Edits[[#This Row],[BaseFlag]]=1,
   TEXT(Contract_Edits[[#This Row],[Index]],"0"),
   NearestBaseL(TEXT(Contract_Edits[[#This Row],[ParentKey]],"0"),500,editsIdxTxt,editsParentKeyTxt,baseIdxTxt,baseCost)
)</f>
        <v>0</v>
      </c>
      <c r="AM140" s="503" cm="1">
        <f t="array" ref="AM140">1+SUMPRODUCT(
  (Contract_Edits[BaseFlag]=1)*
  (TEXT(Contract_Edits[ParentAnchor],"0")=TEXT(Contract_Edits[[#This Row],[ParentAnchor]],"0"))*
  (VALUE(TEXT(Contract_Edits[Index],"0"))&lt;VALUE(TEXT(Contract_Edits[[#This Row],[Index]],"0")))
)</f>
        <v>1</v>
      </c>
      <c r="AN140" s="503"/>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1">
        <v>103</v>
      </c>
      <c r="M141" s="441"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0"/>
      <c r="R141" s="508"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1" s="179">
        <v>0</v>
      </c>
      <c r="T141" s="469"/>
      <c r="U141" s="492"/>
      <c r="V141" s="193"/>
      <c r="W141" s="22" t="s">
        <v>358</v>
      </c>
      <c r="X141" s="484" t="s">
        <v>604</v>
      </c>
      <c r="Y141" s="484"/>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03">
        <f>--(
  ISNUMBER(SEARCH("BASE PARENT", UPPER(CLEAN(TRIM(_xlfn.XLOOKUP(TEXT(Contract_Edits[[#This Row],[Index]],"0"), baseIdxTxt, baseCost, "")))))) +
  ISNUMBER(SEARCH("DEPENDENCY GROUP", UPPER(CLEAN(TRIM(_xlfn.XLOOKUP(TEXT(Contract_Edits[[#This Row],[Index]],"0"), baseIdxTxt, baseCost, ""))))))
)</f>
        <v>0</v>
      </c>
      <c r="AG141" s="503" t="str" cm="1">
        <f t="array" ref="AG141">IF(Contract_Edits[[#This Row],[BaseFlag]]=1,
   10*BaseDepthL(TEXT(Contract_Edits[[#This Row],[Index]],"0"),500,editsIdxTxt,editsParentKeyTxt,baseIdxTxt,baseCost)-5,
   ""
)</f>
        <v/>
      </c>
      <c r="AH141" s="503"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03" t="str">
        <f>IF(Contract_Edits[[#This Row],[Dep]]=0,"Root",
   IF(ISNUMBER(MATCH(Contract_Edits[[#This Row],[Dep]],Contract_Edits[Index],0)),"OK","Missing")
)</f>
        <v>Root</v>
      </c>
      <c r="AJ141" s="503" t="e">
        <f>IF(AND(Contract_Edits[[#This Row],[Dep]]&lt;&gt;0,
        ISNUMBER(MATCH(Contract_Edits[[#This Row],[Dep]], Contract_Edits[Index], 0)),
        INDEX(Contract_Edits[Dep], MATCH(Contract_Edits[[#This Row],[Dep]], Contract_Edits[Index], 0))=Contract_Edits[[#This Row],[Index]]),
   "2-cycle","")</f>
        <v>#N/A</v>
      </c>
      <c r="AK141" s="503" cm="1">
        <f t="array" ref="AK141">IF(Contract_Edits[[#This Row],[BaseFlag]]&lt;&gt;1,0,
   IF(TEXT(Contract_Edits[[#This Row],[Dep]],"0")=TEXT(Contract_Edits[[#This Row],[Index]],"0"),
      0,
      MAX(0, SUMPRODUCT(--(Contract_Edits[BaseFlag]=1),
                        --(TEXT(Contract_Edits[Dep],"0")=TEXT(Contract_Edits[[#This Row],[Dep]],"0"))) - 1)
   )
)</f>
        <v>0</v>
      </c>
      <c r="AL141" s="503" t="str" cm="1">
        <f t="array" ref="AL141">IF(Contract_Edits[[#This Row],[BaseFlag]]=1,
   TEXT(Contract_Edits[[#This Row],[Index]],"0"),
   NearestBaseL(TEXT(Contract_Edits[[#This Row],[ParentKey]],"0"),500,editsIdxTxt,editsParentKeyTxt,baseIdxTxt,baseCost)
)</f>
        <v>0</v>
      </c>
      <c r="AM141" s="503" cm="1">
        <f t="array" ref="AM141">1+SUMPRODUCT(
  (Contract_Edits[BaseFlag]=1)*
  (TEXT(Contract_Edits[ParentAnchor],"0")=TEXT(Contract_Edits[[#This Row],[ParentAnchor]],"0"))*
  (VALUE(TEXT(Contract_Edits[Index],"0"))&lt;VALUE(TEXT(Contract_Edits[[#This Row],[Index]],"0")))
)</f>
        <v>1</v>
      </c>
      <c r="AN141" s="503"/>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1">
        <v>131</v>
      </c>
      <c r="M142" s="441"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0"/>
      <c r="R142" s="508"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2" s="179">
        <v>0</v>
      </c>
      <c r="T142" s="469"/>
      <c r="U142" s="492"/>
      <c r="V142" s="193"/>
      <c r="W142" s="22" t="s">
        <v>358</v>
      </c>
      <c r="X142" s="484" t="s">
        <v>604</v>
      </c>
      <c r="Y142" s="484"/>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03">
        <f>--(
  ISNUMBER(SEARCH("BASE PARENT", UPPER(CLEAN(TRIM(_xlfn.XLOOKUP(TEXT(Contract_Edits[[#This Row],[Index]],"0"), baseIdxTxt, baseCost, "")))))) +
  ISNUMBER(SEARCH("DEPENDENCY GROUP", UPPER(CLEAN(TRIM(_xlfn.XLOOKUP(TEXT(Contract_Edits[[#This Row],[Index]],"0"), baseIdxTxt, baseCost, ""))))))
)</f>
        <v>0</v>
      </c>
      <c r="AG142" s="503" t="str" cm="1">
        <f t="array" ref="AG142">IF(Contract_Edits[[#This Row],[BaseFlag]]=1,
   10*BaseDepthL(TEXT(Contract_Edits[[#This Row],[Index]],"0"),500,editsIdxTxt,editsParentKeyTxt,baseIdxTxt,baseCost)-5,
   ""
)</f>
        <v/>
      </c>
      <c r="AH142" s="503"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03" t="str">
        <f>IF(Contract_Edits[[#This Row],[Dep]]=0,"Root",
   IF(ISNUMBER(MATCH(Contract_Edits[[#This Row],[Dep]],Contract_Edits[Index],0)),"OK","Missing")
)</f>
        <v>Root</v>
      </c>
      <c r="AJ142" s="503" t="e">
        <f>IF(AND(Contract_Edits[[#This Row],[Dep]]&lt;&gt;0,
        ISNUMBER(MATCH(Contract_Edits[[#This Row],[Dep]], Contract_Edits[Index], 0)),
        INDEX(Contract_Edits[Dep], MATCH(Contract_Edits[[#This Row],[Dep]], Contract_Edits[Index], 0))=Contract_Edits[[#This Row],[Index]]),
   "2-cycle","")</f>
        <v>#N/A</v>
      </c>
      <c r="AK142" s="503" cm="1">
        <f t="array" ref="AK142">IF(Contract_Edits[[#This Row],[BaseFlag]]&lt;&gt;1,0,
   IF(TEXT(Contract_Edits[[#This Row],[Dep]],"0")=TEXT(Contract_Edits[[#This Row],[Index]],"0"),
      0,
      MAX(0, SUMPRODUCT(--(Contract_Edits[BaseFlag]=1),
                        --(TEXT(Contract_Edits[Dep],"0")=TEXT(Contract_Edits[[#This Row],[Dep]],"0"))) - 1)
   )
)</f>
        <v>0</v>
      </c>
      <c r="AL142" s="503" t="str" cm="1">
        <f t="array" ref="AL142">IF(Contract_Edits[[#This Row],[BaseFlag]]=1,
   TEXT(Contract_Edits[[#This Row],[Index]],"0"),
   NearestBaseL(TEXT(Contract_Edits[[#This Row],[ParentKey]],"0"),500,editsIdxTxt,editsParentKeyTxt,baseIdxTxt,baseCost)
)</f>
        <v>0</v>
      </c>
      <c r="AM142" s="503" cm="1">
        <f t="array" ref="AM142">1+SUMPRODUCT(
  (Contract_Edits[BaseFlag]=1)*
  (TEXT(Contract_Edits[ParentAnchor],"0")=TEXT(Contract_Edits[[#This Row],[ParentAnchor]],"0"))*
  (VALUE(TEXT(Contract_Edits[Index],"0"))&lt;VALUE(TEXT(Contract_Edits[[#This Row],[Index]],"0")))
)</f>
        <v>1</v>
      </c>
      <c r="AN142" s="503"/>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1">
        <v>132</v>
      </c>
      <c r="M143" s="441"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68"/>
      <c r="R143" s="508"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3" s="179">
        <v>0</v>
      </c>
      <c r="T143" s="179">
        <v>0</v>
      </c>
      <c r="U143" s="11"/>
      <c r="V143"/>
      <c r="W143" s="22" t="s">
        <v>358</v>
      </c>
      <c r="X143" s="22" t="s">
        <v>604</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03">
        <f>--(
  ISNUMBER(SEARCH("BASE PARENT", UPPER(CLEAN(TRIM(_xlfn.XLOOKUP(TEXT(Contract_Edits[[#This Row],[Index]],"0"), baseIdxTxt, baseCost, "")))))) +
  ISNUMBER(SEARCH("DEPENDENCY GROUP", UPPER(CLEAN(TRIM(_xlfn.XLOOKUP(TEXT(Contract_Edits[[#This Row],[Index]],"0"), baseIdxTxt, baseCost, ""))))))
)</f>
        <v>0</v>
      </c>
      <c r="AG143" s="503" t="str" cm="1">
        <f t="array" ref="AG143">IF(Contract_Edits[[#This Row],[BaseFlag]]=1,
   10*BaseDepthL(TEXT(Contract_Edits[[#This Row],[Index]],"0"),500,editsIdxTxt,editsParentKeyTxt,baseIdxTxt,baseCost)-5,
   ""
)</f>
        <v/>
      </c>
      <c r="AH143" s="503"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03" t="str">
        <f>IF(Contract_Edits[[#This Row],[Dep]]=0,"Root",
   IF(ISNUMBER(MATCH(Contract_Edits[[#This Row],[Dep]],Contract_Edits[Index],0)),"OK","Missing")
)</f>
        <v>Root</v>
      </c>
      <c r="AJ143" s="503" t="e">
        <f>IF(AND(Contract_Edits[[#This Row],[Dep]]&lt;&gt;0,
        ISNUMBER(MATCH(Contract_Edits[[#This Row],[Dep]], Contract_Edits[Index], 0)),
        INDEX(Contract_Edits[Dep], MATCH(Contract_Edits[[#This Row],[Dep]], Contract_Edits[Index], 0))=Contract_Edits[[#This Row],[Index]]),
   "2-cycle","")</f>
        <v>#N/A</v>
      </c>
      <c r="AK143" s="503" cm="1">
        <f t="array" ref="AK143">IF(Contract_Edits[[#This Row],[BaseFlag]]&lt;&gt;1,0,
   IF(TEXT(Contract_Edits[[#This Row],[Dep]],"0")=TEXT(Contract_Edits[[#This Row],[Index]],"0"),
      0,
      MAX(0, SUMPRODUCT(--(Contract_Edits[BaseFlag]=1),
                        --(TEXT(Contract_Edits[Dep],"0")=TEXT(Contract_Edits[[#This Row],[Dep]],"0"))) - 1)
   )
)</f>
        <v>0</v>
      </c>
      <c r="AL143" s="503" t="str" cm="1">
        <f t="array" ref="AL143">IF(Contract_Edits[[#This Row],[BaseFlag]]=1,
   TEXT(Contract_Edits[[#This Row],[Index]],"0"),
   NearestBaseL(TEXT(Contract_Edits[[#This Row],[ParentKey]],"0"),500,editsIdxTxt,editsParentKeyTxt,baseIdxTxt,baseCost)
)</f>
        <v>0</v>
      </c>
      <c r="AM143" s="503" cm="1">
        <f t="array" ref="AM143">1+SUMPRODUCT(
  (Contract_Edits[BaseFlag]=1)*
  (TEXT(Contract_Edits[ParentAnchor],"0")=TEXT(Contract_Edits[[#This Row],[ParentAnchor]],"0"))*
  (VALUE(TEXT(Contract_Edits[Index],"0"))&lt;VALUE(TEXT(Contract_Edits[[#This Row],[Index]],"0")))
)</f>
        <v>1</v>
      </c>
      <c r="AN143" s="503"/>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1">
        <v>102</v>
      </c>
      <c r="M144" s="441"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68"/>
      <c r="R144" s="508"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4" s="179">
        <v>0</v>
      </c>
      <c r="T144" s="179">
        <v>0</v>
      </c>
      <c r="U144" s="11"/>
      <c r="V144"/>
      <c r="W144" s="22" t="s">
        <v>358</v>
      </c>
      <c r="X144" s="22" t="s">
        <v>604</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03">
        <f>--(
  ISNUMBER(SEARCH("BASE PARENT", UPPER(CLEAN(TRIM(_xlfn.XLOOKUP(TEXT(Contract_Edits[[#This Row],[Index]],"0"), baseIdxTxt, baseCost, "")))))) +
  ISNUMBER(SEARCH("DEPENDENCY GROUP", UPPER(CLEAN(TRIM(_xlfn.XLOOKUP(TEXT(Contract_Edits[[#This Row],[Index]],"0"), baseIdxTxt, baseCost, ""))))))
)</f>
        <v>0</v>
      </c>
      <c r="AG144" s="503" t="str" cm="1">
        <f t="array" ref="AG144">IF(Contract_Edits[[#This Row],[BaseFlag]]=1,
   10*BaseDepthL(TEXT(Contract_Edits[[#This Row],[Index]],"0"),500,editsIdxTxt,editsParentKeyTxt,baseIdxTxt,baseCost)-5,
   ""
)</f>
        <v/>
      </c>
      <c r="AH144" s="503"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03" t="str">
        <f>IF(Contract_Edits[[#This Row],[Dep]]=0,"Root",
   IF(ISNUMBER(MATCH(Contract_Edits[[#This Row],[Dep]],Contract_Edits[Index],0)),"OK","Missing")
)</f>
        <v>Root</v>
      </c>
      <c r="AJ144" s="503" t="e">
        <f>IF(AND(Contract_Edits[[#This Row],[Dep]]&lt;&gt;0,
        ISNUMBER(MATCH(Contract_Edits[[#This Row],[Dep]], Contract_Edits[Index], 0)),
        INDEX(Contract_Edits[Dep], MATCH(Contract_Edits[[#This Row],[Dep]], Contract_Edits[Index], 0))=Contract_Edits[[#This Row],[Index]]),
   "2-cycle","")</f>
        <v>#N/A</v>
      </c>
      <c r="AK144" s="503" cm="1">
        <f t="array" ref="AK144">IF(Contract_Edits[[#This Row],[BaseFlag]]&lt;&gt;1,0,
   IF(TEXT(Contract_Edits[[#This Row],[Dep]],"0")=TEXT(Contract_Edits[[#This Row],[Index]],"0"),
      0,
      MAX(0, SUMPRODUCT(--(Contract_Edits[BaseFlag]=1),
                        --(TEXT(Contract_Edits[Dep],"0")=TEXT(Contract_Edits[[#This Row],[Dep]],"0"))) - 1)
   )
)</f>
        <v>0</v>
      </c>
      <c r="AL144" s="503" t="str" cm="1">
        <f t="array" ref="AL144">IF(Contract_Edits[[#This Row],[BaseFlag]]=1,
   TEXT(Contract_Edits[[#This Row],[Index]],"0"),
   NearestBaseL(TEXT(Contract_Edits[[#This Row],[ParentKey]],"0"),500,editsIdxTxt,editsParentKeyTxt,baseIdxTxt,baseCost)
)</f>
        <v>0</v>
      </c>
      <c r="AM144" s="503" cm="1">
        <f t="array" ref="AM144">1+SUMPRODUCT(
  (Contract_Edits[BaseFlag]=1)*
  (TEXT(Contract_Edits[ParentAnchor],"0")=TEXT(Contract_Edits[[#This Row],[ParentAnchor]],"0"))*
  (VALUE(TEXT(Contract_Edits[Index],"0"))&lt;VALUE(TEXT(Contract_Edits[[#This Row],[Index]],"0")))
)</f>
        <v>1</v>
      </c>
      <c r="AN144" s="503"/>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04">
        <v>156</v>
      </c>
      <c r="M145" s="441"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0"/>
      <c r="R145" s="508"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5" s="179">
        <v>0</v>
      </c>
      <c r="T145" s="469"/>
      <c r="U145" s="492"/>
      <c r="V145" s="193"/>
      <c r="W145" s="22" t="s">
        <v>358</v>
      </c>
      <c r="Y145" s="484"/>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03">
        <f>--(
  ISNUMBER(SEARCH("BASE PARENT", UPPER(CLEAN(TRIM(_xlfn.XLOOKUP(TEXT(Contract_Edits[[#This Row],[Index]],"0"), baseIdxTxt, baseCost, "")))))) +
  ISNUMBER(SEARCH("DEPENDENCY GROUP", UPPER(CLEAN(TRIM(_xlfn.XLOOKUP(TEXT(Contract_Edits[[#This Row],[Index]],"0"), baseIdxTxt, baseCost, ""))))))
)</f>
        <v>0</v>
      </c>
      <c r="AG145" s="503" t="str" cm="1">
        <f t="array" ref="AG145">IF(Contract_Edits[[#This Row],[BaseFlag]]=1,
   10*BaseDepthL(TEXT(Contract_Edits[[#This Row],[Index]],"0"),500,editsIdxTxt,editsParentKeyTxt,baseIdxTxt,baseCost)-5,
   ""
)</f>
        <v/>
      </c>
      <c r="AH145" s="503"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03" t="str">
        <f>IF(Contract_Edits[[#This Row],[Dep]]=0,"Root",
   IF(ISNUMBER(MATCH(Contract_Edits[[#This Row],[Dep]],Contract_Edits[Index],0)),"OK","Missing")
)</f>
        <v>Root</v>
      </c>
      <c r="AJ145" s="503" t="e">
        <f>IF(AND(Contract_Edits[[#This Row],[Dep]]&lt;&gt;0,
        ISNUMBER(MATCH(Contract_Edits[[#This Row],[Dep]], Contract_Edits[Index], 0)),
        INDEX(Contract_Edits[Dep], MATCH(Contract_Edits[[#This Row],[Dep]], Contract_Edits[Index], 0))=Contract_Edits[[#This Row],[Index]]),
   "2-cycle","")</f>
        <v>#N/A</v>
      </c>
      <c r="AK145" s="503" cm="1">
        <f t="array" ref="AK145">IF(Contract_Edits[[#This Row],[BaseFlag]]&lt;&gt;1,0,
   IF(TEXT(Contract_Edits[[#This Row],[Dep]],"0")=TEXT(Contract_Edits[[#This Row],[Index]],"0"),
      0,
      MAX(0, SUMPRODUCT(--(Contract_Edits[BaseFlag]=1),
                        --(TEXT(Contract_Edits[Dep],"0")=TEXT(Contract_Edits[[#This Row],[Dep]],"0"))) - 1)
   )
)</f>
        <v>0</v>
      </c>
      <c r="AL145" s="503" t="str" cm="1">
        <f t="array" ref="AL145">IF(Contract_Edits[[#This Row],[BaseFlag]]=1,
   TEXT(Contract_Edits[[#This Row],[Index]],"0"),
   NearestBaseL(TEXT(Contract_Edits[[#This Row],[ParentKey]],"0"),500,editsIdxTxt,editsParentKeyTxt,baseIdxTxt,baseCost)
)</f>
        <v>0</v>
      </c>
      <c r="AM145" s="503" cm="1">
        <f t="array" ref="AM145">1+SUMPRODUCT(
  (Contract_Edits[BaseFlag]=1)*
  (TEXT(Contract_Edits[ParentAnchor],"0")=TEXT(Contract_Edits[[#This Row],[ParentAnchor]],"0"))*
  (VALUE(TEXT(Contract_Edits[Index],"0"))&lt;VALUE(TEXT(Contract_Edits[[#This Row],[Index]],"0")))
)</f>
        <v>1</v>
      </c>
      <c r="AN145" s="503"/>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1">
        <v>157</v>
      </c>
      <c r="M146" s="441"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0"/>
      <c r="R146" s="508"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6" s="179">
        <v>0</v>
      </c>
      <c r="T146" s="469"/>
      <c r="U146" s="492"/>
      <c r="V146" s="193"/>
      <c r="W146" s="22" t="s">
        <v>358</v>
      </c>
      <c r="Y146" s="484"/>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03">
        <f>--(
  ISNUMBER(SEARCH("BASE PARENT", UPPER(CLEAN(TRIM(_xlfn.XLOOKUP(TEXT(Contract_Edits[[#This Row],[Index]],"0"), baseIdxTxt, baseCost, "")))))) +
  ISNUMBER(SEARCH("DEPENDENCY GROUP", UPPER(CLEAN(TRIM(_xlfn.XLOOKUP(TEXT(Contract_Edits[[#This Row],[Index]],"0"), baseIdxTxt, baseCost, ""))))))
)</f>
        <v>0</v>
      </c>
      <c r="AG146" s="503" t="str" cm="1">
        <f t="array" ref="AG146">IF(Contract_Edits[[#This Row],[BaseFlag]]=1,
   10*BaseDepthL(TEXT(Contract_Edits[[#This Row],[Index]],"0"),500,editsIdxTxt,editsParentKeyTxt,baseIdxTxt,baseCost)-5,
   ""
)</f>
        <v/>
      </c>
      <c r="AH146" s="503"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03" t="str">
        <f>IF(Contract_Edits[[#This Row],[Dep]]=0,"Root",
   IF(ISNUMBER(MATCH(Contract_Edits[[#This Row],[Dep]],Contract_Edits[Index],0)),"OK","Missing")
)</f>
        <v>Root</v>
      </c>
      <c r="AJ146" s="503" t="e">
        <f>IF(AND(Contract_Edits[[#This Row],[Dep]]&lt;&gt;0,
        ISNUMBER(MATCH(Contract_Edits[[#This Row],[Dep]], Contract_Edits[Index], 0)),
        INDEX(Contract_Edits[Dep], MATCH(Contract_Edits[[#This Row],[Dep]], Contract_Edits[Index], 0))=Contract_Edits[[#This Row],[Index]]),
   "2-cycle","")</f>
        <v>#N/A</v>
      </c>
      <c r="AK146" s="503" cm="1">
        <f t="array" ref="AK146">IF(Contract_Edits[[#This Row],[BaseFlag]]&lt;&gt;1,0,
   IF(TEXT(Contract_Edits[[#This Row],[Dep]],"0")=TEXT(Contract_Edits[[#This Row],[Index]],"0"),
      0,
      MAX(0, SUMPRODUCT(--(Contract_Edits[BaseFlag]=1),
                        --(TEXT(Contract_Edits[Dep],"0")=TEXT(Contract_Edits[[#This Row],[Dep]],"0"))) - 1)
   )
)</f>
        <v>0</v>
      </c>
      <c r="AL146" s="503" t="str" cm="1">
        <f t="array" ref="AL146">IF(Contract_Edits[[#This Row],[BaseFlag]]=1,
   TEXT(Contract_Edits[[#This Row],[Index]],"0"),
   NearestBaseL(TEXT(Contract_Edits[[#This Row],[ParentKey]],"0"),500,editsIdxTxt,editsParentKeyTxt,baseIdxTxt,baseCost)
)</f>
        <v>0</v>
      </c>
      <c r="AM146" s="503" cm="1">
        <f t="array" ref="AM146">1+SUMPRODUCT(
  (Contract_Edits[BaseFlag]=1)*
  (TEXT(Contract_Edits[ParentAnchor],"0")=TEXT(Contract_Edits[[#This Row],[ParentAnchor]],"0"))*
  (VALUE(TEXT(Contract_Edits[Index],"0"))&lt;VALUE(TEXT(Contract_Edits[[#This Row],[Index]],"0")))
)</f>
        <v>1</v>
      </c>
      <c r="AN146" s="503"/>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1">
        <v>110</v>
      </c>
      <c r="M147" s="441"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68"/>
      <c r="R147" s="508"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7" s="179">
        <v>0</v>
      </c>
      <c r="T147" s="179">
        <v>0</v>
      </c>
      <c r="U147" s="11"/>
      <c r="V147"/>
      <c r="W147" s="22" t="s">
        <v>358</v>
      </c>
      <c r="X147" s="22" t="s">
        <v>604</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03">
        <f>--(
  ISNUMBER(SEARCH("BASE PARENT", UPPER(CLEAN(TRIM(_xlfn.XLOOKUP(TEXT(Contract_Edits[[#This Row],[Index]],"0"), baseIdxTxt, baseCost, "")))))) +
  ISNUMBER(SEARCH("DEPENDENCY GROUP", UPPER(CLEAN(TRIM(_xlfn.XLOOKUP(TEXT(Contract_Edits[[#This Row],[Index]],"0"), baseIdxTxt, baseCost, ""))))))
)</f>
        <v>0</v>
      </c>
      <c r="AG147" s="503" t="str" cm="1">
        <f t="array" ref="AG147">IF(Contract_Edits[[#This Row],[BaseFlag]]=1,
   10*BaseDepthL(TEXT(Contract_Edits[[#This Row],[Index]],"0"),500,editsIdxTxt,editsParentKeyTxt,baseIdxTxt,baseCost)-5,
   ""
)</f>
        <v/>
      </c>
      <c r="AH147" s="503"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03" t="str">
        <f>IF(Contract_Edits[[#This Row],[Dep]]=0,"Root",
   IF(ISNUMBER(MATCH(Contract_Edits[[#This Row],[Dep]],Contract_Edits[Index],0)),"OK","Missing")
)</f>
        <v>Root</v>
      </c>
      <c r="AJ147" s="503" t="e">
        <f>IF(AND(Contract_Edits[[#This Row],[Dep]]&lt;&gt;0,
        ISNUMBER(MATCH(Contract_Edits[[#This Row],[Dep]], Contract_Edits[Index], 0)),
        INDEX(Contract_Edits[Dep], MATCH(Contract_Edits[[#This Row],[Dep]], Contract_Edits[Index], 0))=Contract_Edits[[#This Row],[Index]]),
   "2-cycle","")</f>
        <v>#N/A</v>
      </c>
      <c r="AK147" s="503" cm="1">
        <f t="array" ref="AK147">IF(Contract_Edits[[#This Row],[BaseFlag]]&lt;&gt;1,0,
   IF(TEXT(Contract_Edits[[#This Row],[Dep]],"0")=TEXT(Contract_Edits[[#This Row],[Index]],"0"),
      0,
      MAX(0, SUMPRODUCT(--(Contract_Edits[BaseFlag]=1),
                        --(TEXT(Contract_Edits[Dep],"0")=TEXT(Contract_Edits[[#This Row],[Dep]],"0"))) - 1)
   )
)</f>
        <v>0</v>
      </c>
      <c r="AL147" s="503" t="str" cm="1">
        <f t="array" ref="AL147">IF(Contract_Edits[[#This Row],[BaseFlag]]=1,
   TEXT(Contract_Edits[[#This Row],[Index]],"0"),
   NearestBaseL(TEXT(Contract_Edits[[#This Row],[ParentKey]],"0"),500,editsIdxTxt,editsParentKeyTxt,baseIdxTxt,baseCost)
)</f>
        <v>0</v>
      </c>
      <c r="AM147" s="503" cm="1">
        <f t="array" ref="AM147">1+SUMPRODUCT(
  (Contract_Edits[BaseFlag]=1)*
  (TEXT(Contract_Edits[ParentAnchor],"0")=TEXT(Contract_Edits[[#This Row],[ParentAnchor]],"0"))*
  (VALUE(TEXT(Contract_Edits[Index],"0"))&lt;VALUE(TEXT(Contract_Edits[[#This Row],[Index]],"0")))
)</f>
        <v>1</v>
      </c>
      <c r="AN147" s="503"/>
      <c r="AO147" s="35"/>
      <c r="AP147" s="35" t="str">
        <f ca="1">IFERROR(+IF(AP$23=#REF!,Milestone_Marker,IF(AND(AP$23&gt;#REF!,AP$23&lt;#REF!+#REF!),#REF!,"")),"")</f>
        <v/>
      </c>
      <c r="AQ147" s="35" t="str">
        <f ca="1">IFERROR(+IF(AQ$23=#REF!,Milestone_Marker,IF(AND(AQ$23&gt;#REF!,AQ$23&lt;#REF!+#REF!),#REF!,"")),"")</f>
        <v/>
      </c>
      <c r="AS147" s="469"/>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1">
        <v>158</v>
      </c>
      <c r="M148" s="441"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0"/>
      <c r="R148" s="508"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8" s="179">
        <v>0</v>
      </c>
      <c r="T148" s="469"/>
      <c r="U148" s="492"/>
      <c r="V148" s="193"/>
      <c r="W148" s="22" t="s">
        <v>358</v>
      </c>
      <c r="Y148" s="484"/>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03">
        <f>--(
  ISNUMBER(SEARCH("BASE PARENT", UPPER(CLEAN(TRIM(_xlfn.XLOOKUP(TEXT(Contract_Edits[[#This Row],[Index]],"0"), baseIdxTxt, baseCost, "")))))) +
  ISNUMBER(SEARCH("DEPENDENCY GROUP", UPPER(CLEAN(TRIM(_xlfn.XLOOKUP(TEXT(Contract_Edits[[#This Row],[Index]],"0"), baseIdxTxt, baseCost, ""))))))
)</f>
        <v>0</v>
      </c>
      <c r="AG148" s="503" t="str" cm="1">
        <f t="array" ref="AG148">IF(Contract_Edits[[#This Row],[BaseFlag]]=1,
   10*BaseDepthL(TEXT(Contract_Edits[[#This Row],[Index]],"0"),500,editsIdxTxt,editsParentKeyTxt,baseIdxTxt,baseCost)-5,
   ""
)</f>
        <v/>
      </c>
      <c r="AH148" s="503"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03" t="str">
        <f>IF(Contract_Edits[[#This Row],[Dep]]=0,"Root",
   IF(ISNUMBER(MATCH(Contract_Edits[[#This Row],[Dep]],Contract_Edits[Index],0)),"OK","Missing")
)</f>
        <v>Root</v>
      </c>
      <c r="AJ148" s="503" t="e">
        <f>IF(AND(Contract_Edits[[#This Row],[Dep]]&lt;&gt;0,
        ISNUMBER(MATCH(Contract_Edits[[#This Row],[Dep]], Contract_Edits[Index], 0)),
        INDEX(Contract_Edits[Dep], MATCH(Contract_Edits[[#This Row],[Dep]], Contract_Edits[Index], 0))=Contract_Edits[[#This Row],[Index]]),
   "2-cycle","")</f>
        <v>#N/A</v>
      </c>
      <c r="AK148" s="503" cm="1">
        <f t="array" ref="AK148">IF(Contract_Edits[[#This Row],[BaseFlag]]&lt;&gt;1,0,
   IF(TEXT(Contract_Edits[[#This Row],[Dep]],"0")=TEXT(Contract_Edits[[#This Row],[Index]],"0"),
      0,
      MAX(0, SUMPRODUCT(--(Contract_Edits[BaseFlag]=1),
                        --(TEXT(Contract_Edits[Dep],"0")=TEXT(Contract_Edits[[#This Row],[Dep]],"0"))) - 1)
   )
)</f>
        <v>0</v>
      </c>
      <c r="AL148" s="503" t="str" cm="1">
        <f t="array" ref="AL148">IF(Contract_Edits[[#This Row],[BaseFlag]]=1,
   TEXT(Contract_Edits[[#This Row],[Index]],"0"),
   NearestBaseL(TEXT(Contract_Edits[[#This Row],[ParentKey]],"0"),500,editsIdxTxt,editsParentKeyTxt,baseIdxTxt,baseCost)
)</f>
        <v>0</v>
      </c>
      <c r="AM148" s="503" cm="1">
        <f t="array" ref="AM148">1+SUMPRODUCT(
  (Contract_Edits[BaseFlag]=1)*
  (TEXT(Contract_Edits[ParentAnchor],"0")=TEXT(Contract_Edits[[#This Row],[ParentAnchor]],"0"))*
  (VALUE(TEXT(Contract_Edits[Index],"0"))&lt;VALUE(TEXT(Contract_Edits[[#This Row],[Index]],"0")))
)</f>
        <v>1</v>
      </c>
      <c r="AN148" s="503"/>
      <c r="AO148" s="35"/>
      <c r="AP148" s="35" t="str">
        <f ca="1">IFERROR(+IF(AP$23=#REF!,Milestone_Marker,IF(AND(AP$23&gt;#REF!,AP$23&lt;#REF!+#REF!),#REF!,"")),"")</f>
        <v/>
      </c>
      <c r="AQ148" s="35" t="str">
        <f ca="1">IFERROR(+IF(AQ$23=#REF!,Milestone_Marker,IF(AND(AQ$23&gt;#REF!,AQ$23&lt;#REF!+#REF!),#REF!,"")),"")</f>
        <v/>
      </c>
      <c r="AR148" s="469"/>
      <c r="AS148" s="469"/>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1">
        <v>112</v>
      </c>
      <c r="M149" s="441"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68"/>
      <c r="R149" s="508"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9" s="179">
        <v>0</v>
      </c>
      <c r="T149" s="179">
        <v>0</v>
      </c>
      <c r="U149" s="11"/>
      <c r="V149"/>
      <c r="W149" s="22" t="s">
        <v>358</v>
      </c>
      <c r="X149" s="22" t="s">
        <v>604</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03">
        <f>--(
  ISNUMBER(SEARCH("BASE PARENT", UPPER(CLEAN(TRIM(_xlfn.XLOOKUP(TEXT(Contract_Edits[[#This Row],[Index]],"0"), baseIdxTxt, baseCost, "")))))) +
  ISNUMBER(SEARCH("DEPENDENCY GROUP", UPPER(CLEAN(TRIM(_xlfn.XLOOKUP(TEXT(Contract_Edits[[#This Row],[Index]],"0"), baseIdxTxt, baseCost, ""))))))
)</f>
        <v>0</v>
      </c>
      <c r="AG149" s="503" t="str" cm="1">
        <f t="array" ref="AG149">IF(Contract_Edits[[#This Row],[BaseFlag]]=1,
   10*BaseDepthL(TEXT(Contract_Edits[[#This Row],[Index]],"0"),500,editsIdxTxt,editsParentKeyTxt,baseIdxTxt,baseCost)-5,
   ""
)</f>
        <v/>
      </c>
      <c r="AH149" s="503"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03" t="str">
        <f>IF(Contract_Edits[[#This Row],[Dep]]=0,"Root",
   IF(ISNUMBER(MATCH(Contract_Edits[[#This Row],[Dep]],Contract_Edits[Index],0)),"OK","Missing")
)</f>
        <v>Root</v>
      </c>
      <c r="AJ149" s="503" t="e">
        <f>IF(AND(Contract_Edits[[#This Row],[Dep]]&lt;&gt;0,
        ISNUMBER(MATCH(Contract_Edits[[#This Row],[Dep]], Contract_Edits[Index], 0)),
        INDEX(Contract_Edits[Dep], MATCH(Contract_Edits[[#This Row],[Dep]], Contract_Edits[Index], 0))=Contract_Edits[[#This Row],[Index]]),
   "2-cycle","")</f>
        <v>#N/A</v>
      </c>
      <c r="AK149" s="503" cm="1">
        <f t="array" ref="AK149">IF(Contract_Edits[[#This Row],[BaseFlag]]&lt;&gt;1,0,
   IF(TEXT(Contract_Edits[[#This Row],[Dep]],"0")=TEXT(Contract_Edits[[#This Row],[Index]],"0"),
      0,
      MAX(0, SUMPRODUCT(--(Contract_Edits[BaseFlag]=1),
                        --(TEXT(Contract_Edits[Dep],"0")=TEXT(Contract_Edits[[#This Row],[Dep]],"0"))) - 1)
   )
)</f>
        <v>0</v>
      </c>
      <c r="AL149" s="503" t="str" cm="1">
        <f t="array" ref="AL149">IF(Contract_Edits[[#This Row],[BaseFlag]]=1,
   TEXT(Contract_Edits[[#This Row],[Index]],"0"),
   NearestBaseL(TEXT(Contract_Edits[[#This Row],[ParentKey]],"0"),500,editsIdxTxt,editsParentKeyTxt,baseIdxTxt,baseCost)
)</f>
        <v>0</v>
      </c>
      <c r="AM149" s="503" cm="1">
        <f t="array" ref="AM149">1+SUMPRODUCT(
  (Contract_Edits[BaseFlag]=1)*
  (TEXT(Contract_Edits[ParentAnchor],"0")=TEXT(Contract_Edits[[#This Row],[ParentAnchor]],"0"))*
  (VALUE(TEXT(Contract_Edits[Index],"0"))&lt;VALUE(TEXT(Contract_Edits[[#This Row],[Index]],"0")))
)</f>
        <v>1</v>
      </c>
      <c r="AN149" s="503"/>
      <c r="AO149" s="35"/>
      <c r="AP149" s="35" t="str">
        <f ca="1">IFERROR(+IF(AP$23=#REF!,Milestone_Marker,IF(AND(AP$23&gt;#REF!,AP$23&lt;#REF!+#REF!),#REF!,"")),"")</f>
        <v/>
      </c>
      <c r="AQ149" s="35" t="str">
        <f ca="1">IFERROR(+IF(AQ$23=#REF!,Milestone_Marker,IF(AND(AQ$23&gt;#REF!,AQ$23&lt;#REF!+#REF!),#REF!,"")),"")</f>
        <v/>
      </c>
      <c r="AR149" s="469"/>
      <c r="AS149" s="469"/>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1">
        <v>159</v>
      </c>
      <c r="M150" s="441"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0"/>
      <c r="R150" s="508"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0" s="179">
        <v>0</v>
      </c>
      <c r="T150" s="469"/>
      <c r="U150" s="492"/>
      <c r="V150" s="193"/>
      <c r="W150" s="22" t="s">
        <v>358</v>
      </c>
      <c r="Y150" s="484"/>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03">
        <f>--(
  ISNUMBER(SEARCH("BASE PARENT", UPPER(CLEAN(TRIM(_xlfn.XLOOKUP(TEXT(Contract_Edits[[#This Row],[Index]],"0"), baseIdxTxt, baseCost, "")))))) +
  ISNUMBER(SEARCH("DEPENDENCY GROUP", UPPER(CLEAN(TRIM(_xlfn.XLOOKUP(TEXT(Contract_Edits[[#This Row],[Index]],"0"), baseIdxTxt, baseCost, ""))))))
)</f>
        <v>0</v>
      </c>
      <c r="AG150" s="503" t="str" cm="1">
        <f t="array" ref="AG150">IF(Contract_Edits[[#This Row],[BaseFlag]]=1,
   10*BaseDepthL(TEXT(Contract_Edits[[#This Row],[Index]],"0"),500,editsIdxTxt,editsParentKeyTxt,baseIdxTxt,baseCost)-5,
   ""
)</f>
        <v/>
      </c>
      <c r="AH150" s="503"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03" t="str">
        <f>IF(Contract_Edits[[#This Row],[Dep]]=0,"Root",
   IF(ISNUMBER(MATCH(Contract_Edits[[#This Row],[Dep]],Contract_Edits[Index],0)),"OK","Missing")
)</f>
        <v>Root</v>
      </c>
      <c r="AJ150" s="503" t="e">
        <f>IF(AND(Contract_Edits[[#This Row],[Dep]]&lt;&gt;0,
        ISNUMBER(MATCH(Contract_Edits[[#This Row],[Dep]], Contract_Edits[Index], 0)),
        INDEX(Contract_Edits[Dep], MATCH(Contract_Edits[[#This Row],[Dep]], Contract_Edits[Index], 0))=Contract_Edits[[#This Row],[Index]]),
   "2-cycle","")</f>
        <v>#N/A</v>
      </c>
      <c r="AK150" s="503" cm="1">
        <f t="array" ref="AK150">IF(Contract_Edits[[#This Row],[BaseFlag]]&lt;&gt;1,0,
   IF(TEXT(Contract_Edits[[#This Row],[Dep]],"0")=TEXT(Contract_Edits[[#This Row],[Index]],"0"),
      0,
      MAX(0, SUMPRODUCT(--(Contract_Edits[BaseFlag]=1),
                        --(TEXT(Contract_Edits[Dep],"0")=TEXT(Contract_Edits[[#This Row],[Dep]],"0"))) - 1)
   )
)</f>
        <v>0</v>
      </c>
      <c r="AL150" s="503" t="str" cm="1">
        <f t="array" ref="AL150">IF(Contract_Edits[[#This Row],[BaseFlag]]=1,
   TEXT(Contract_Edits[[#This Row],[Index]],"0"),
   NearestBaseL(TEXT(Contract_Edits[[#This Row],[ParentKey]],"0"),500,editsIdxTxt,editsParentKeyTxt,baseIdxTxt,baseCost)
)</f>
        <v>0</v>
      </c>
      <c r="AM150" s="503" cm="1">
        <f t="array" ref="AM150">1+SUMPRODUCT(
  (Contract_Edits[BaseFlag]=1)*
  (TEXT(Contract_Edits[ParentAnchor],"0")=TEXT(Contract_Edits[[#This Row],[ParentAnchor]],"0"))*
  (VALUE(TEXT(Contract_Edits[Index],"0"))&lt;VALUE(TEXT(Contract_Edits[[#This Row],[Index]],"0")))
)</f>
        <v>1</v>
      </c>
      <c r="AN150" s="503"/>
      <c r="AO150" s="35"/>
      <c r="AP150" s="35" t="str">
        <f ca="1">IFERROR(+IF(AP$23=#REF!,Milestone_Marker,IF(AND(AP$23&gt;#REF!,AP$23&lt;#REF!+#REF!),#REF!,"")),"")</f>
        <v/>
      </c>
      <c r="AQ150" s="35" t="str">
        <f ca="1">IFERROR(+IF(AQ$23=#REF!,Milestone_Marker,IF(AND(AQ$23&gt;#REF!,AQ$23&lt;#REF!+#REF!),#REF!,"")),"")</f>
        <v/>
      </c>
      <c r="AR150" s="469"/>
      <c r="AS150" s="469"/>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1">
        <v>111</v>
      </c>
      <c r="M151" s="441"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68"/>
      <c r="R151" s="508"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1" s="179">
        <v>0</v>
      </c>
      <c r="T151" s="179">
        <v>0</v>
      </c>
      <c r="U151" s="11"/>
      <c r="V151"/>
      <c r="W151" s="22" t="s">
        <v>358</v>
      </c>
      <c r="X151" s="22" t="s">
        <v>604</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03">
        <f>--(
  ISNUMBER(SEARCH("BASE PARENT", UPPER(CLEAN(TRIM(_xlfn.XLOOKUP(TEXT(Contract_Edits[[#This Row],[Index]],"0"), baseIdxTxt, baseCost, "")))))) +
  ISNUMBER(SEARCH("DEPENDENCY GROUP", UPPER(CLEAN(TRIM(_xlfn.XLOOKUP(TEXT(Contract_Edits[[#This Row],[Index]],"0"), baseIdxTxt, baseCost, ""))))))
)</f>
        <v>0</v>
      </c>
      <c r="AG151" s="503" t="str" cm="1">
        <f t="array" ref="AG151">IF(Contract_Edits[[#This Row],[BaseFlag]]=1,
   10*BaseDepthL(TEXT(Contract_Edits[[#This Row],[Index]],"0"),500,editsIdxTxt,editsParentKeyTxt,baseIdxTxt,baseCost)-5,
   ""
)</f>
        <v/>
      </c>
      <c r="AH151" s="503"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03" t="str">
        <f>IF(Contract_Edits[[#This Row],[Dep]]=0,"Root",
   IF(ISNUMBER(MATCH(Contract_Edits[[#This Row],[Dep]],Contract_Edits[Index],0)),"OK","Missing")
)</f>
        <v>Root</v>
      </c>
      <c r="AJ151" s="503" t="e">
        <f>IF(AND(Contract_Edits[[#This Row],[Dep]]&lt;&gt;0,
        ISNUMBER(MATCH(Contract_Edits[[#This Row],[Dep]], Contract_Edits[Index], 0)),
        INDEX(Contract_Edits[Dep], MATCH(Contract_Edits[[#This Row],[Dep]], Contract_Edits[Index], 0))=Contract_Edits[[#This Row],[Index]]),
   "2-cycle","")</f>
        <v>#N/A</v>
      </c>
      <c r="AK151" s="503" cm="1">
        <f t="array" ref="AK151">IF(Contract_Edits[[#This Row],[BaseFlag]]&lt;&gt;1,0,
   IF(TEXT(Contract_Edits[[#This Row],[Dep]],"0")=TEXT(Contract_Edits[[#This Row],[Index]],"0"),
      0,
      MAX(0, SUMPRODUCT(--(Contract_Edits[BaseFlag]=1),
                        --(TEXT(Contract_Edits[Dep],"0")=TEXT(Contract_Edits[[#This Row],[Dep]],"0"))) - 1)
   )
)</f>
        <v>0</v>
      </c>
      <c r="AL151" s="503" t="str" cm="1">
        <f t="array" ref="AL151">IF(Contract_Edits[[#This Row],[BaseFlag]]=1,
   TEXT(Contract_Edits[[#This Row],[Index]],"0"),
   NearestBaseL(TEXT(Contract_Edits[[#This Row],[ParentKey]],"0"),500,editsIdxTxt,editsParentKeyTxt,baseIdxTxt,baseCost)
)</f>
        <v>0</v>
      </c>
      <c r="AM151" s="503" cm="1">
        <f t="array" ref="AM151">1+SUMPRODUCT(
  (Contract_Edits[BaseFlag]=1)*
  (TEXT(Contract_Edits[ParentAnchor],"0")=TEXT(Contract_Edits[[#This Row],[ParentAnchor]],"0"))*
  (VALUE(TEXT(Contract_Edits[Index],"0"))&lt;VALUE(TEXT(Contract_Edits[[#This Row],[Index]],"0")))
)</f>
        <v>1</v>
      </c>
      <c r="AN151" s="503"/>
      <c r="AO151" s="35"/>
      <c r="AP151" s="35" t="str">
        <f ca="1">IFERROR(+IF(AP$23=#REF!,Milestone_Marker,IF(AND(AP$23&gt;#REF!,AP$23&lt;#REF!+#REF!),#REF!,"")),"")</f>
        <v/>
      </c>
      <c r="AQ151" s="35" t="str">
        <f ca="1">IFERROR(+IF(AQ$23=#REF!,Milestone_Marker,IF(AND(AQ$23&gt;#REF!,AQ$23&lt;#REF!+#REF!),#REF!,"")),"")</f>
        <v/>
      </c>
      <c r="AR151" s="469"/>
      <c r="AS151" s="469"/>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1">
        <v>160</v>
      </c>
      <c r="M152" s="441"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0"/>
      <c r="R152" s="508"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2" s="179">
        <v>0</v>
      </c>
      <c r="T152" s="469"/>
      <c r="U152" s="492"/>
      <c r="V152" s="193"/>
      <c r="W152" s="22" t="s">
        <v>358</v>
      </c>
      <c r="Y152" s="484"/>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03">
        <f>--(
  ISNUMBER(SEARCH("BASE PARENT", UPPER(CLEAN(TRIM(_xlfn.XLOOKUP(TEXT(Contract_Edits[[#This Row],[Index]],"0"), baseIdxTxt, baseCost, "")))))) +
  ISNUMBER(SEARCH("DEPENDENCY GROUP", UPPER(CLEAN(TRIM(_xlfn.XLOOKUP(TEXT(Contract_Edits[[#This Row],[Index]],"0"), baseIdxTxt, baseCost, ""))))))
)</f>
        <v>0</v>
      </c>
      <c r="AG152" s="503" t="str" cm="1">
        <f t="array" ref="AG152">IF(Contract_Edits[[#This Row],[BaseFlag]]=1,
   10*BaseDepthL(TEXT(Contract_Edits[[#This Row],[Index]],"0"),500,editsIdxTxt,editsParentKeyTxt,baseIdxTxt,baseCost)-5,
   ""
)</f>
        <v/>
      </c>
      <c r="AH152" s="503"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53" t="str">
        <f>IF(Contract_Edits[[#This Row],[Dep]]=0,"Root",
   IF(ISNUMBER(MATCH(Contract_Edits[[#This Row],[Dep]],Contract_Edits[Index],0)),"OK","Missing")
)</f>
        <v>Root</v>
      </c>
      <c r="AJ152" s="453" t="e">
        <f>IF(AND(Contract_Edits[[#This Row],[Dep]]&lt;&gt;0,
        ISNUMBER(MATCH(Contract_Edits[[#This Row],[Dep]], Contract_Edits[Index], 0)),
        INDEX(Contract_Edits[Dep], MATCH(Contract_Edits[[#This Row],[Dep]], Contract_Edits[Index], 0))=Contract_Edits[[#This Row],[Index]]),
   "2-cycle","")</f>
        <v>#N/A</v>
      </c>
      <c r="AK152" s="453" cm="1">
        <f t="array" ref="AK152">IF(Contract_Edits[[#This Row],[BaseFlag]]&lt;&gt;1,0,
   IF(TEXT(Contract_Edits[[#This Row],[Dep]],"0")=TEXT(Contract_Edits[[#This Row],[Index]],"0"),
      0,
      MAX(0, SUMPRODUCT(--(Contract_Edits[BaseFlag]=1),
                        --(TEXT(Contract_Edits[Dep],"0")=TEXT(Contract_Edits[[#This Row],[Dep]],"0"))) - 1)
   )
)</f>
        <v>0</v>
      </c>
      <c r="AL152" s="453" t="str" cm="1">
        <f t="array" ref="AL152">IF(Contract_Edits[[#This Row],[BaseFlag]]=1,
   TEXT(Contract_Edits[[#This Row],[Index]],"0"),
   NearestBaseL(TEXT(Contract_Edits[[#This Row],[ParentKey]],"0"),500,editsIdxTxt,editsParentKeyTxt,baseIdxTxt,baseCost)
)</f>
        <v>0</v>
      </c>
      <c r="AM152" s="453" cm="1">
        <f t="array" ref="AM152">1+SUMPRODUCT(
  (Contract_Edits[BaseFlag]=1)*
  (TEXT(Contract_Edits[ParentAnchor],"0")=TEXT(Contract_Edits[[#This Row],[ParentAnchor]],"0"))*
  (VALUE(TEXT(Contract_Edits[Index],"0"))&lt;VALUE(TEXT(Contract_Edits[[#This Row],[Index]],"0")))
)</f>
        <v>1</v>
      </c>
      <c r="AN152" s="453"/>
      <c r="AO152" s="193"/>
      <c r="AP152" s="193"/>
      <c r="AQ152" s="193"/>
      <c r="AR152" s="469"/>
      <c r="AS152" s="469"/>
      <c r="BB152" s="34"/>
      <c r="BC152" s="34"/>
      <c r="BD152" s="34"/>
      <c r="BE152" s="34"/>
      <c r="BY152"/>
      <c r="BZ152"/>
      <c r="CA152"/>
      <c r="CB152"/>
    </row>
    <row r="153" spans="11:80" ht="15">
      <c r="K153" s="104"/>
      <c r="L153" s="441">
        <v>113</v>
      </c>
      <c r="M153" s="441"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68"/>
      <c r="R153" s="508"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3" s="179">
        <v>0</v>
      </c>
      <c r="T153" s="179">
        <v>0</v>
      </c>
      <c r="U153" s="11"/>
      <c r="V153"/>
      <c r="W153" s="22" t="s">
        <v>358</v>
      </c>
      <c r="X153" s="22" t="s">
        <v>604</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03">
        <f>--(
  ISNUMBER(SEARCH("BASE PARENT", UPPER(CLEAN(TRIM(_xlfn.XLOOKUP(TEXT(Contract_Edits[[#This Row],[Index]],"0"), baseIdxTxt, baseCost, "")))))) +
  ISNUMBER(SEARCH("DEPENDENCY GROUP", UPPER(CLEAN(TRIM(_xlfn.XLOOKUP(TEXT(Contract_Edits[[#This Row],[Index]],"0"), baseIdxTxt, baseCost, ""))))))
)</f>
        <v>0</v>
      </c>
      <c r="AG153" s="503" t="str" cm="1">
        <f t="array" ref="AG153">IF(Contract_Edits[[#This Row],[BaseFlag]]=1,
   10*BaseDepthL(TEXT(Contract_Edits[[#This Row],[Index]],"0"),500,editsIdxTxt,editsParentKeyTxt,baseIdxTxt,baseCost)-5,
   ""
)</f>
        <v/>
      </c>
      <c r="AH153" s="503"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53" t="str">
        <f>IF(Contract_Edits[[#This Row],[Dep]]=0,"Root",
   IF(ISNUMBER(MATCH(Contract_Edits[[#This Row],[Dep]],Contract_Edits[Index],0)),"OK","Missing")
)</f>
        <v>Root</v>
      </c>
      <c r="AJ153" s="453" t="e">
        <f>IF(AND(Contract_Edits[[#This Row],[Dep]]&lt;&gt;0,
        ISNUMBER(MATCH(Contract_Edits[[#This Row],[Dep]], Contract_Edits[Index], 0)),
        INDEX(Contract_Edits[Dep], MATCH(Contract_Edits[[#This Row],[Dep]], Contract_Edits[Index], 0))=Contract_Edits[[#This Row],[Index]]),
   "2-cycle","")</f>
        <v>#N/A</v>
      </c>
      <c r="AK153" s="453" cm="1">
        <f t="array" ref="AK153">IF(Contract_Edits[[#This Row],[BaseFlag]]&lt;&gt;1,0,
   IF(TEXT(Contract_Edits[[#This Row],[Dep]],"0")=TEXT(Contract_Edits[[#This Row],[Index]],"0"),
      0,
      MAX(0, SUMPRODUCT(--(Contract_Edits[BaseFlag]=1),
                        --(TEXT(Contract_Edits[Dep],"0")=TEXT(Contract_Edits[[#This Row],[Dep]],"0"))) - 1)
   )
)</f>
        <v>0</v>
      </c>
      <c r="AL153" s="453" t="str" cm="1">
        <f t="array" ref="AL153">IF(Contract_Edits[[#This Row],[BaseFlag]]=1,
   TEXT(Contract_Edits[[#This Row],[Index]],"0"),
   NearestBaseL(TEXT(Contract_Edits[[#This Row],[ParentKey]],"0"),500,editsIdxTxt,editsParentKeyTxt,baseIdxTxt,baseCost)
)</f>
        <v>0</v>
      </c>
      <c r="AM153" s="453" cm="1">
        <f t="array" ref="AM153">1+SUMPRODUCT(
  (Contract_Edits[BaseFlag]=1)*
  (TEXT(Contract_Edits[ParentAnchor],"0")=TEXT(Contract_Edits[[#This Row],[ParentAnchor]],"0"))*
  (VALUE(TEXT(Contract_Edits[Index],"0"))&lt;VALUE(TEXT(Contract_Edits[[#This Row],[Index]],"0")))
)</f>
        <v>1</v>
      </c>
      <c r="AN153" s="453"/>
      <c r="AO153" s="193"/>
      <c r="AP153" s="193"/>
      <c r="AQ153" s="193"/>
      <c r="AR153" s="469"/>
      <c r="AS153" s="469"/>
      <c r="AW153" s="787"/>
      <c r="AX153" s="787"/>
      <c r="AY153" s="787"/>
      <c r="AZ153" s="787"/>
      <c r="BB153" s="34"/>
      <c r="BC153" s="34"/>
      <c r="BD153" s="34"/>
      <c r="BE153" s="34"/>
      <c r="BY153"/>
      <c r="BZ153"/>
      <c r="CA153"/>
      <c r="CB153"/>
    </row>
    <row r="154" spans="11:80" ht="15">
      <c r="K154" s="104"/>
      <c r="L154" s="441">
        <v>161</v>
      </c>
      <c r="M154" s="441"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0"/>
      <c r="R154" s="508"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4" s="179">
        <v>0</v>
      </c>
      <c r="T154" s="469"/>
      <c r="U154" s="492"/>
      <c r="V154" s="193"/>
      <c r="W154" s="22" t="s">
        <v>358</v>
      </c>
      <c r="Y154" s="484"/>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03">
        <f>--(
  ISNUMBER(SEARCH("BASE PARENT", UPPER(CLEAN(TRIM(_xlfn.XLOOKUP(TEXT(Contract_Edits[[#This Row],[Index]],"0"), baseIdxTxt, baseCost, "")))))) +
  ISNUMBER(SEARCH("DEPENDENCY GROUP", UPPER(CLEAN(TRIM(_xlfn.XLOOKUP(TEXT(Contract_Edits[[#This Row],[Index]],"0"), baseIdxTxt, baseCost, ""))))))
)</f>
        <v>0</v>
      </c>
      <c r="AG154" s="503" t="str" cm="1">
        <f t="array" ref="AG154">IF(Contract_Edits[[#This Row],[BaseFlag]]=1,
   10*BaseDepthL(TEXT(Contract_Edits[[#This Row],[Index]],"0"),500,editsIdxTxt,editsParentKeyTxt,baseIdxTxt,baseCost)-5,
   ""
)</f>
        <v/>
      </c>
      <c r="AH154" s="503"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53" t="str">
        <f>IF(Contract_Edits[[#This Row],[Dep]]=0,"Root",
   IF(ISNUMBER(MATCH(Contract_Edits[[#This Row],[Dep]],Contract_Edits[Index],0)),"OK","Missing")
)</f>
        <v>Root</v>
      </c>
      <c r="AJ154" s="453" t="e">
        <f>IF(AND(Contract_Edits[[#This Row],[Dep]]&lt;&gt;0,
        ISNUMBER(MATCH(Contract_Edits[[#This Row],[Dep]], Contract_Edits[Index], 0)),
        INDEX(Contract_Edits[Dep], MATCH(Contract_Edits[[#This Row],[Dep]], Contract_Edits[Index], 0))=Contract_Edits[[#This Row],[Index]]),
   "2-cycle","")</f>
        <v>#N/A</v>
      </c>
      <c r="AK154" s="453" cm="1">
        <f t="array" ref="AK154">IF(Contract_Edits[[#This Row],[BaseFlag]]&lt;&gt;1,0,
   IF(TEXT(Contract_Edits[[#This Row],[Dep]],"0")=TEXT(Contract_Edits[[#This Row],[Index]],"0"),
      0,
      MAX(0, SUMPRODUCT(--(Contract_Edits[BaseFlag]=1),
                        --(TEXT(Contract_Edits[Dep],"0")=TEXT(Contract_Edits[[#This Row],[Dep]],"0"))) - 1)
   )
)</f>
        <v>0</v>
      </c>
      <c r="AL154" s="453" t="str" cm="1">
        <f t="array" ref="AL154">IF(Contract_Edits[[#This Row],[BaseFlag]]=1,
   TEXT(Contract_Edits[[#This Row],[Index]],"0"),
   NearestBaseL(TEXT(Contract_Edits[[#This Row],[ParentKey]],"0"),500,editsIdxTxt,editsParentKeyTxt,baseIdxTxt,baseCost)
)</f>
        <v>0</v>
      </c>
      <c r="AM154" s="453" cm="1">
        <f t="array" ref="AM154">1+SUMPRODUCT(
  (Contract_Edits[BaseFlag]=1)*
  (TEXT(Contract_Edits[ParentAnchor],"0")=TEXT(Contract_Edits[[#This Row],[ParentAnchor]],"0"))*
  (VALUE(TEXT(Contract_Edits[Index],"0"))&lt;VALUE(TEXT(Contract_Edits[[#This Row],[Index]],"0")))
)</f>
        <v>1</v>
      </c>
      <c r="AN154" s="453"/>
      <c r="AO154" s="193"/>
      <c r="AP154" s="193"/>
      <c r="AQ154" s="193"/>
      <c r="AR154" s="469"/>
      <c r="AS154" s="469"/>
      <c r="BC154" s="34"/>
      <c r="BD154" s="34"/>
      <c r="BE154" s="34"/>
      <c r="BZ154"/>
      <c r="CA154"/>
      <c r="CB154"/>
    </row>
    <row r="155" spans="11:80" ht="15">
      <c r="K155" s="104"/>
      <c r="L155" s="441">
        <v>85</v>
      </c>
      <c r="M155" s="441"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68"/>
      <c r="R155" s="508"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5" s="179">
        <v>0</v>
      </c>
      <c r="T155" s="179">
        <v>0</v>
      </c>
      <c r="U155" s="11"/>
      <c r="V155"/>
      <c r="W155" s="22" t="s">
        <v>358</v>
      </c>
      <c r="X155" s="22" t="s">
        <v>604</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03">
        <f>--(
  ISNUMBER(SEARCH("BASE PARENT", UPPER(CLEAN(TRIM(_xlfn.XLOOKUP(TEXT(Contract_Edits[[#This Row],[Index]],"0"), baseIdxTxt, baseCost, "")))))) +
  ISNUMBER(SEARCH("DEPENDENCY GROUP", UPPER(CLEAN(TRIM(_xlfn.XLOOKUP(TEXT(Contract_Edits[[#This Row],[Index]],"0"), baseIdxTxt, baseCost, ""))))))
)</f>
        <v>0</v>
      </c>
      <c r="AG155" s="503" t="str" cm="1">
        <f t="array" ref="AG155">IF(Contract_Edits[[#This Row],[BaseFlag]]=1,
   10*BaseDepthL(TEXT(Contract_Edits[[#This Row],[Index]],"0"),500,editsIdxTxt,editsParentKeyTxt,baseIdxTxt,baseCost)-5,
   ""
)</f>
        <v/>
      </c>
      <c r="AH155" s="503"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53" t="str">
        <f>IF(Contract_Edits[[#This Row],[Dep]]=0,"Root",
   IF(ISNUMBER(MATCH(Contract_Edits[[#This Row],[Dep]],Contract_Edits[Index],0)),"OK","Missing")
)</f>
        <v>Root</v>
      </c>
      <c r="AJ155" s="453" t="e">
        <f>IF(AND(Contract_Edits[[#This Row],[Dep]]&lt;&gt;0,
        ISNUMBER(MATCH(Contract_Edits[[#This Row],[Dep]], Contract_Edits[Index], 0)),
        INDEX(Contract_Edits[Dep], MATCH(Contract_Edits[[#This Row],[Dep]], Contract_Edits[Index], 0))=Contract_Edits[[#This Row],[Index]]),
   "2-cycle","")</f>
        <v>#N/A</v>
      </c>
      <c r="AK155" s="453" cm="1">
        <f t="array" ref="AK155">IF(Contract_Edits[[#This Row],[BaseFlag]]&lt;&gt;1,0,
   IF(TEXT(Contract_Edits[[#This Row],[Dep]],"0")=TEXT(Contract_Edits[[#This Row],[Index]],"0"),
      0,
      MAX(0, SUMPRODUCT(--(Contract_Edits[BaseFlag]=1),
                        --(TEXT(Contract_Edits[Dep],"0")=TEXT(Contract_Edits[[#This Row],[Dep]],"0"))) - 1)
   )
)</f>
        <v>0</v>
      </c>
      <c r="AL155" s="453" t="str" cm="1">
        <f t="array" ref="AL155">IF(Contract_Edits[[#This Row],[BaseFlag]]=1,
   TEXT(Contract_Edits[[#This Row],[Index]],"0"),
   NearestBaseL(TEXT(Contract_Edits[[#This Row],[ParentKey]],"0"),500,editsIdxTxt,editsParentKeyTxt,baseIdxTxt,baseCost)
)</f>
        <v>0</v>
      </c>
      <c r="AM155" s="453" cm="1">
        <f t="array" ref="AM155">1+SUMPRODUCT(
  (Contract_Edits[BaseFlag]=1)*
  (TEXT(Contract_Edits[ParentAnchor],"0")=TEXT(Contract_Edits[[#This Row],[ParentAnchor]],"0"))*
  (VALUE(TEXT(Contract_Edits[Index],"0"))&lt;VALUE(TEXT(Contract_Edits[[#This Row],[Index]],"0")))
)</f>
        <v>1</v>
      </c>
      <c r="AN155" s="453"/>
      <c r="AO155" s="193"/>
      <c r="AP155" s="193"/>
      <c r="AQ155" s="193"/>
      <c r="AR155" s="469"/>
      <c r="AS155" s="469"/>
      <c r="BC155" s="34"/>
      <c r="BD155" s="34"/>
      <c r="BE155" s="34"/>
      <c r="BZ155"/>
      <c r="CA155"/>
      <c r="CB155"/>
    </row>
    <row r="156" spans="11:80" ht="15">
      <c r="K156" s="104"/>
      <c r="L156" s="441">
        <v>84</v>
      </c>
      <c r="M156" s="441"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68"/>
      <c r="R156" s="508"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6" s="179">
        <v>0</v>
      </c>
      <c r="T156" s="179">
        <v>0</v>
      </c>
      <c r="U156" s="11"/>
      <c r="V156"/>
      <c r="W156" s="22" t="s">
        <v>358</v>
      </c>
      <c r="X156" s="22" t="s">
        <v>604</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03">
        <f>--(
  ISNUMBER(SEARCH("BASE PARENT", UPPER(CLEAN(TRIM(_xlfn.XLOOKUP(TEXT(Contract_Edits[[#This Row],[Index]],"0"), baseIdxTxt, baseCost, "")))))) +
  ISNUMBER(SEARCH("DEPENDENCY GROUP", UPPER(CLEAN(TRIM(_xlfn.XLOOKUP(TEXT(Contract_Edits[[#This Row],[Index]],"0"), baseIdxTxt, baseCost, ""))))))
)</f>
        <v>0</v>
      </c>
      <c r="AG156" s="503" t="str" cm="1">
        <f t="array" ref="AG156">IF(Contract_Edits[[#This Row],[BaseFlag]]=1,
   10*BaseDepthL(TEXT(Contract_Edits[[#This Row],[Index]],"0"),500,editsIdxTxt,editsParentKeyTxt,baseIdxTxt,baseCost)-5,
   ""
)</f>
        <v/>
      </c>
      <c r="AH156" s="503"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53" t="str">
        <f>IF(Contract_Edits[[#This Row],[Dep]]=0,"Root",
   IF(ISNUMBER(MATCH(Contract_Edits[[#This Row],[Dep]],Contract_Edits[Index],0)),"OK","Missing")
)</f>
        <v>Root</v>
      </c>
      <c r="AJ156" s="453" t="e">
        <f>IF(AND(Contract_Edits[[#This Row],[Dep]]&lt;&gt;0,
        ISNUMBER(MATCH(Contract_Edits[[#This Row],[Dep]], Contract_Edits[Index], 0)),
        INDEX(Contract_Edits[Dep], MATCH(Contract_Edits[[#This Row],[Dep]], Contract_Edits[Index], 0))=Contract_Edits[[#This Row],[Index]]),
   "2-cycle","")</f>
        <v>#N/A</v>
      </c>
      <c r="AK156" s="453" cm="1">
        <f t="array" ref="AK156">IF(Contract_Edits[[#This Row],[BaseFlag]]&lt;&gt;1,0,
   IF(TEXT(Contract_Edits[[#This Row],[Dep]],"0")=TEXT(Contract_Edits[[#This Row],[Index]],"0"),
      0,
      MAX(0, SUMPRODUCT(--(Contract_Edits[BaseFlag]=1),
                        --(TEXT(Contract_Edits[Dep],"0")=TEXT(Contract_Edits[[#This Row],[Dep]],"0"))) - 1)
   )
)</f>
        <v>0</v>
      </c>
      <c r="AL156" s="453" t="str" cm="1">
        <f t="array" ref="AL156">IF(Contract_Edits[[#This Row],[BaseFlag]]=1,
   TEXT(Contract_Edits[[#This Row],[Index]],"0"),
   NearestBaseL(TEXT(Contract_Edits[[#This Row],[ParentKey]],"0"),500,editsIdxTxt,editsParentKeyTxt,baseIdxTxt,baseCost)
)</f>
        <v>0</v>
      </c>
      <c r="AM156" s="453" cm="1">
        <f t="array" ref="AM156">1+SUMPRODUCT(
  (Contract_Edits[BaseFlag]=1)*
  (TEXT(Contract_Edits[ParentAnchor],"0")=TEXT(Contract_Edits[[#This Row],[ParentAnchor]],"0"))*
  (VALUE(TEXT(Contract_Edits[Index],"0"))&lt;VALUE(TEXT(Contract_Edits[[#This Row],[Index]],"0")))
)</f>
        <v>1</v>
      </c>
      <c r="AN156" s="453"/>
      <c r="AO156" s="193"/>
      <c r="AP156" s="193"/>
      <c r="AQ156" s="193"/>
      <c r="BC156" s="34"/>
      <c r="BD156" s="34"/>
      <c r="BE156" s="34"/>
      <c r="BZ156"/>
      <c r="CA156"/>
      <c r="CB156"/>
    </row>
    <row r="157" spans="11:80" ht="15">
      <c r="K157" s="104"/>
      <c r="L157" s="441">
        <v>114</v>
      </c>
      <c r="M157" s="441"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68"/>
      <c r="R157" s="508"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7" s="179">
        <v>0</v>
      </c>
      <c r="T157" s="179">
        <v>0</v>
      </c>
      <c r="U157" s="11"/>
      <c r="V157"/>
      <c r="W157" s="22" t="s">
        <v>358</v>
      </c>
      <c r="X157" s="22" t="s">
        <v>604</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03">
        <f>--(
  ISNUMBER(SEARCH("BASE PARENT", UPPER(CLEAN(TRIM(_xlfn.XLOOKUP(TEXT(Contract_Edits[[#This Row],[Index]],"0"), baseIdxTxt, baseCost, "")))))) +
  ISNUMBER(SEARCH("DEPENDENCY GROUP", UPPER(CLEAN(TRIM(_xlfn.XLOOKUP(TEXT(Contract_Edits[[#This Row],[Index]],"0"), baseIdxTxt, baseCost, ""))))))
)</f>
        <v>0</v>
      </c>
      <c r="AG157" s="503" t="str" cm="1">
        <f t="array" ref="AG157">IF(Contract_Edits[[#This Row],[BaseFlag]]=1,
   10*BaseDepthL(TEXT(Contract_Edits[[#This Row],[Index]],"0"),500,editsIdxTxt,editsParentKeyTxt,baseIdxTxt,baseCost)-5,
   ""
)</f>
        <v/>
      </c>
      <c r="AH157" s="503"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53" t="str">
        <f>IF(Contract_Edits[[#This Row],[Dep]]=0,"Root",
   IF(ISNUMBER(MATCH(Contract_Edits[[#This Row],[Dep]],Contract_Edits[Index],0)),"OK","Missing")
)</f>
        <v>Root</v>
      </c>
      <c r="AJ157" s="453" t="e">
        <f>IF(AND(Contract_Edits[[#This Row],[Dep]]&lt;&gt;0,
        ISNUMBER(MATCH(Contract_Edits[[#This Row],[Dep]], Contract_Edits[Index], 0)),
        INDEX(Contract_Edits[Dep], MATCH(Contract_Edits[[#This Row],[Dep]], Contract_Edits[Index], 0))=Contract_Edits[[#This Row],[Index]]),
   "2-cycle","")</f>
        <v>#N/A</v>
      </c>
      <c r="AK157" s="453" cm="1">
        <f t="array" ref="AK157">IF(Contract_Edits[[#This Row],[BaseFlag]]&lt;&gt;1,0,
   IF(TEXT(Contract_Edits[[#This Row],[Dep]],"0")=TEXT(Contract_Edits[[#This Row],[Index]],"0"),
      0,
      MAX(0, SUMPRODUCT(--(Contract_Edits[BaseFlag]=1),
                        --(TEXT(Contract_Edits[Dep],"0")=TEXT(Contract_Edits[[#This Row],[Dep]],"0"))) - 1)
   )
)</f>
        <v>0</v>
      </c>
      <c r="AL157" s="453" t="str" cm="1">
        <f t="array" ref="AL157">IF(Contract_Edits[[#This Row],[BaseFlag]]=1,
   TEXT(Contract_Edits[[#This Row],[Index]],"0"),
   NearestBaseL(TEXT(Contract_Edits[[#This Row],[ParentKey]],"0"),500,editsIdxTxt,editsParentKeyTxt,baseIdxTxt,baseCost)
)</f>
        <v>0</v>
      </c>
      <c r="AM157" s="453" cm="1">
        <f t="array" ref="AM157">1+SUMPRODUCT(
  (Contract_Edits[BaseFlag]=1)*
  (TEXT(Contract_Edits[ParentAnchor],"0")=TEXT(Contract_Edits[[#This Row],[ParentAnchor]],"0"))*
  (VALUE(TEXT(Contract_Edits[Index],"0"))&lt;VALUE(TEXT(Contract_Edits[[#This Row],[Index]],"0")))
)</f>
        <v>1</v>
      </c>
      <c r="AN157" s="453"/>
      <c r="AO157" s="193"/>
      <c r="AP157" s="193"/>
      <c r="AQ157" s="193"/>
      <c r="BC157" s="34"/>
      <c r="BD157" s="34"/>
      <c r="BE157" s="34"/>
      <c r="BZ157"/>
      <c r="CA157"/>
      <c r="CB157"/>
    </row>
    <row r="158" spans="11:80" ht="15">
      <c r="K158" s="104"/>
      <c r="L158" s="441">
        <v>115</v>
      </c>
      <c r="M158" s="441"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68"/>
      <c r="R158" s="508"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8" s="179">
        <v>0</v>
      </c>
      <c r="T158" s="179">
        <v>0</v>
      </c>
      <c r="U158" s="11"/>
      <c r="V158"/>
      <c r="W158" s="22" t="s">
        <v>358</v>
      </c>
      <c r="X158" s="22" t="s">
        <v>604</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03">
        <f>--(
  ISNUMBER(SEARCH("BASE PARENT", UPPER(CLEAN(TRIM(_xlfn.XLOOKUP(TEXT(Contract_Edits[[#This Row],[Index]],"0"), baseIdxTxt, baseCost, "")))))) +
  ISNUMBER(SEARCH("DEPENDENCY GROUP", UPPER(CLEAN(TRIM(_xlfn.XLOOKUP(TEXT(Contract_Edits[[#This Row],[Index]],"0"), baseIdxTxt, baseCost, ""))))))
)</f>
        <v>0</v>
      </c>
      <c r="AG158" s="503" t="str" cm="1">
        <f t="array" ref="AG158">IF(Contract_Edits[[#This Row],[BaseFlag]]=1,
   10*BaseDepthL(TEXT(Contract_Edits[[#This Row],[Index]],"0"),500,editsIdxTxt,editsParentKeyTxt,baseIdxTxt,baseCost)-5,
   ""
)</f>
        <v/>
      </c>
      <c r="AH158" s="503"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53" t="str">
        <f>IF(Contract_Edits[[#This Row],[Dep]]=0,"Root",
   IF(ISNUMBER(MATCH(Contract_Edits[[#This Row],[Dep]],Contract_Edits[Index],0)),"OK","Missing")
)</f>
        <v>Root</v>
      </c>
      <c r="AJ158" s="453" t="e">
        <f>IF(AND(Contract_Edits[[#This Row],[Dep]]&lt;&gt;0,
        ISNUMBER(MATCH(Contract_Edits[[#This Row],[Dep]], Contract_Edits[Index], 0)),
        INDEX(Contract_Edits[Dep], MATCH(Contract_Edits[[#This Row],[Dep]], Contract_Edits[Index], 0))=Contract_Edits[[#This Row],[Index]]),
   "2-cycle","")</f>
        <v>#N/A</v>
      </c>
      <c r="AK158" s="453" cm="1">
        <f t="array" ref="AK158">IF(Contract_Edits[[#This Row],[BaseFlag]]&lt;&gt;1,0,
   IF(TEXT(Contract_Edits[[#This Row],[Dep]],"0")=TEXT(Contract_Edits[[#This Row],[Index]],"0"),
      0,
      MAX(0, SUMPRODUCT(--(Contract_Edits[BaseFlag]=1),
                        --(TEXT(Contract_Edits[Dep],"0")=TEXT(Contract_Edits[[#This Row],[Dep]],"0"))) - 1)
   )
)</f>
        <v>0</v>
      </c>
      <c r="AL158" s="453" t="str" cm="1">
        <f t="array" ref="AL158">IF(Contract_Edits[[#This Row],[BaseFlag]]=1,
   TEXT(Contract_Edits[[#This Row],[Index]],"0"),
   NearestBaseL(TEXT(Contract_Edits[[#This Row],[ParentKey]],"0"),500,editsIdxTxt,editsParentKeyTxt,baseIdxTxt,baseCost)
)</f>
        <v>0</v>
      </c>
      <c r="AM158" s="453" cm="1">
        <f t="array" ref="AM158">1+SUMPRODUCT(
  (Contract_Edits[BaseFlag]=1)*
  (TEXT(Contract_Edits[ParentAnchor],"0")=TEXT(Contract_Edits[[#This Row],[ParentAnchor]],"0"))*
  (VALUE(TEXT(Contract_Edits[Index],"0"))&lt;VALUE(TEXT(Contract_Edits[[#This Row],[Index]],"0")))
)</f>
        <v>1</v>
      </c>
      <c r="AN158" s="453"/>
      <c r="AO158" s="193"/>
      <c r="AP158" s="193"/>
      <c r="AQ158" s="193"/>
      <c r="BC158" s="34"/>
      <c r="BD158" s="34"/>
      <c r="BE158" s="34"/>
      <c r="BZ158"/>
      <c r="CA158"/>
      <c r="CB158"/>
    </row>
    <row r="159" spans="11:80" ht="15">
      <c r="K159" s="104"/>
      <c r="L159" s="441">
        <v>162</v>
      </c>
      <c r="M159" s="441"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0"/>
      <c r="R159" s="508"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9" s="179">
        <v>0</v>
      </c>
      <c r="T159" s="469"/>
      <c r="U159" s="492"/>
      <c r="V159" s="193"/>
      <c r="W159" s="22" t="s">
        <v>358</v>
      </c>
      <c r="Y159" s="484"/>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03">
        <f>--(
  ISNUMBER(SEARCH("BASE PARENT", UPPER(CLEAN(TRIM(_xlfn.XLOOKUP(TEXT(Contract_Edits[[#This Row],[Index]],"0"), baseIdxTxt, baseCost, "")))))) +
  ISNUMBER(SEARCH("DEPENDENCY GROUP", UPPER(CLEAN(TRIM(_xlfn.XLOOKUP(TEXT(Contract_Edits[[#This Row],[Index]],"0"), baseIdxTxt, baseCost, ""))))))
)</f>
        <v>0</v>
      </c>
      <c r="AG159" s="503" t="str" cm="1">
        <f t="array" ref="AG159">IF(Contract_Edits[[#This Row],[BaseFlag]]=1,
   10*BaseDepthL(TEXT(Contract_Edits[[#This Row],[Index]],"0"),500,editsIdxTxt,editsParentKeyTxt,baseIdxTxt,baseCost)-5,
   ""
)</f>
        <v/>
      </c>
      <c r="AH159" s="503"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53" t="str">
        <f>IF(Contract_Edits[[#This Row],[Dep]]=0,"Root",
   IF(ISNUMBER(MATCH(Contract_Edits[[#This Row],[Dep]],Contract_Edits[Index],0)),"OK","Missing")
)</f>
        <v>Root</v>
      </c>
      <c r="AJ159" s="453" t="e">
        <f>IF(AND(Contract_Edits[[#This Row],[Dep]]&lt;&gt;0,
        ISNUMBER(MATCH(Contract_Edits[[#This Row],[Dep]], Contract_Edits[Index], 0)),
        INDEX(Contract_Edits[Dep], MATCH(Contract_Edits[[#This Row],[Dep]], Contract_Edits[Index], 0))=Contract_Edits[[#This Row],[Index]]),
   "2-cycle","")</f>
        <v>#N/A</v>
      </c>
      <c r="AK159" s="453" cm="1">
        <f t="array" ref="AK159">IF(Contract_Edits[[#This Row],[BaseFlag]]&lt;&gt;1,0,
   IF(TEXT(Contract_Edits[[#This Row],[Dep]],"0")=TEXT(Contract_Edits[[#This Row],[Index]],"0"),
      0,
      MAX(0, SUMPRODUCT(--(Contract_Edits[BaseFlag]=1),
                        --(TEXT(Contract_Edits[Dep],"0")=TEXT(Contract_Edits[[#This Row],[Dep]],"0"))) - 1)
   )
)</f>
        <v>0</v>
      </c>
      <c r="AL159" s="453" t="str" cm="1">
        <f t="array" ref="AL159">IF(Contract_Edits[[#This Row],[BaseFlag]]=1,
   TEXT(Contract_Edits[[#This Row],[Index]],"0"),
   NearestBaseL(TEXT(Contract_Edits[[#This Row],[ParentKey]],"0"),500,editsIdxTxt,editsParentKeyTxt,baseIdxTxt,baseCost)
)</f>
        <v>0</v>
      </c>
      <c r="AM159" s="453" cm="1">
        <f t="array" ref="AM159">1+SUMPRODUCT(
  (Contract_Edits[BaseFlag]=1)*
  (TEXT(Contract_Edits[ParentAnchor],"0")=TEXT(Contract_Edits[[#This Row],[ParentAnchor]],"0"))*
  (VALUE(TEXT(Contract_Edits[Index],"0"))&lt;VALUE(TEXT(Contract_Edits[[#This Row],[Index]],"0")))
)</f>
        <v>1</v>
      </c>
      <c r="AN159" s="453"/>
      <c r="AO159" s="193"/>
      <c r="AP159" s="193"/>
      <c r="AQ159" s="193"/>
      <c r="BC159" s="34"/>
      <c r="BD159" s="34"/>
      <c r="BE159" s="34"/>
      <c r="BZ159"/>
      <c r="CA159"/>
      <c r="CB159"/>
    </row>
    <row r="160" spans="11:80" ht="15">
      <c r="K160" s="104"/>
      <c r="L160" s="441">
        <v>135</v>
      </c>
      <c r="M160" s="441"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0"/>
      <c r="R160" s="508"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0" s="179">
        <v>0</v>
      </c>
      <c r="T160" s="469">
        <v>0</v>
      </c>
      <c r="U160" s="492"/>
      <c r="V160" s="193"/>
      <c r="W160" s="22" t="s">
        <v>358</v>
      </c>
      <c r="X160" s="484" t="s">
        <v>604</v>
      </c>
      <c r="Y160" s="484"/>
      <c r="Z160" s="490"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03">
        <f>--(
  ISNUMBER(SEARCH("BASE PARENT", UPPER(CLEAN(TRIM(_xlfn.XLOOKUP(TEXT(Contract_Edits[[#This Row],[Index]],"0"), baseIdxTxt, baseCost, "")))))) +
  ISNUMBER(SEARCH("DEPENDENCY GROUP", UPPER(CLEAN(TRIM(_xlfn.XLOOKUP(TEXT(Contract_Edits[[#This Row],[Index]],"0"), baseIdxTxt, baseCost, ""))))))
)</f>
        <v>0</v>
      </c>
      <c r="AG160" s="503" t="str" cm="1">
        <f t="array" ref="AG160">IF(Contract_Edits[[#This Row],[BaseFlag]]=1,
   10*BaseDepthL(TEXT(Contract_Edits[[#This Row],[Index]],"0"),500,editsIdxTxt,editsParentKeyTxt,baseIdxTxt,baseCost)-5,
   ""
)</f>
        <v/>
      </c>
      <c r="AH160" s="503"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53" t="str">
        <f>IF(Contract_Edits[[#This Row],[Dep]]=0,"Root",
   IF(ISNUMBER(MATCH(Contract_Edits[[#This Row],[Dep]],Contract_Edits[Index],0)),"OK","Missing")
)</f>
        <v>Root</v>
      </c>
      <c r="AJ160" s="453" t="e">
        <f>IF(AND(Contract_Edits[[#This Row],[Dep]]&lt;&gt;0,
        ISNUMBER(MATCH(Contract_Edits[[#This Row],[Dep]], Contract_Edits[Index], 0)),
        INDEX(Contract_Edits[Dep], MATCH(Contract_Edits[[#This Row],[Dep]], Contract_Edits[Index], 0))=Contract_Edits[[#This Row],[Index]]),
   "2-cycle","")</f>
        <v>#N/A</v>
      </c>
      <c r="AK160" s="453" cm="1">
        <f t="array" ref="AK160">IF(Contract_Edits[[#This Row],[BaseFlag]]&lt;&gt;1,0,
   IF(TEXT(Contract_Edits[[#This Row],[Dep]],"0")=TEXT(Contract_Edits[[#This Row],[Index]],"0"),
      0,
      MAX(0, SUMPRODUCT(--(Contract_Edits[BaseFlag]=1),
                        --(TEXT(Contract_Edits[Dep],"0")=TEXT(Contract_Edits[[#This Row],[Dep]],"0"))) - 1)
   )
)</f>
        <v>0</v>
      </c>
      <c r="AL160" s="453" t="str" cm="1">
        <f t="array" ref="AL160">IF(Contract_Edits[[#This Row],[BaseFlag]]=1,
   TEXT(Contract_Edits[[#This Row],[Index]],"0"),
   NearestBaseL(TEXT(Contract_Edits[[#This Row],[ParentKey]],"0"),500,editsIdxTxt,editsParentKeyTxt,baseIdxTxt,baseCost)
)</f>
        <v>0</v>
      </c>
      <c r="AM160" s="453" cm="1">
        <f t="array" ref="AM160">1+SUMPRODUCT(
  (Contract_Edits[BaseFlag]=1)*
  (TEXT(Contract_Edits[ParentAnchor],"0")=TEXT(Contract_Edits[[#This Row],[ParentAnchor]],"0"))*
  (VALUE(TEXT(Contract_Edits[Index],"0"))&lt;VALUE(TEXT(Contract_Edits[[#This Row],[Index]],"0")))
)</f>
        <v>1</v>
      </c>
      <c r="AN160" s="453"/>
      <c r="AO160" s="193"/>
      <c r="AP160" s="193"/>
      <c r="AQ160" s="193"/>
      <c r="BC160" s="34"/>
      <c r="BD160" s="34"/>
      <c r="BE160" s="34"/>
      <c r="BZ160"/>
      <c r="CA160"/>
      <c r="CB160"/>
    </row>
    <row r="161" spans="11:80" ht="15">
      <c r="K161" s="104"/>
      <c r="L161" s="441">
        <v>88</v>
      </c>
      <c r="M161" s="441"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68"/>
      <c r="R161" s="508"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1" s="179">
        <v>0</v>
      </c>
      <c r="T161" s="179">
        <v>0</v>
      </c>
      <c r="U161" s="11"/>
      <c r="V161"/>
      <c r="W161" s="22" t="s">
        <v>358</v>
      </c>
      <c r="X161" s="22" t="s">
        <v>604</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03">
        <f>--(
  ISNUMBER(SEARCH("BASE PARENT", UPPER(CLEAN(TRIM(_xlfn.XLOOKUP(TEXT(Contract_Edits[[#This Row],[Index]],"0"), baseIdxTxt, baseCost, "")))))) +
  ISNUMBER(SEARCH("DEPENDENCY GROUP", UPPER(CLEAN(TRIM(_xlfn.XLOOKUP(TEXT(Contract_Edits[[#This Row],[Index]],"0"), baseIdxTxt, baseCost, ""))))))
)</f>
        <v>0</v>
      </c>
      <c r="AG161" s="503" t="str" cm="1">
        <f t="array" ref="AG161">IF(Contract_Edits[[#This Row],[BaseFlag]]=1,
   10*BaseDepthL(TEXT(Contract_Edits[[#This Row],[Index]],"0"),500,editsIdxTxt,editsParentKeyTxt,baseIdxTxt,baseCost)-5,
   ""
)</f>
        <v/>
      </c>
      <c r="AH161" s="503"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53" t="str">
        <f>IF(Contract_Edits[[#This Row],[Dep]]=0,"Root",
   IF(ISNUMBER(MATCH(Contract_Edits[[#This Row],[Dep]],Contract_Edits[Index],0)),"OK","Missing")
)</f>
        <v>Root</v>
      </c>
      <c r="AJ161" s="453" t="e">
        <f>IF(AND(Contract_Edits[[#This Row],[Dep]]&lt;&gt;0,
        ISNUMBER(MATCH(Contract_Edits[[#This Row],[Dep]], Contract_Edits[Index], 0)),
        INDEX(Contract_Edits[Dep], MATCH(Contract_Edits[[#This Row],[Dep]], Contract_Edits[Index], 0))=Contract_Edits[[#This Row],[Index]]),
   "2-cycle","")</f>
        <v>#N/A</v>
      </c>
      <c r="AK161" s="453" cm="1">
        <f t="array" ref="AK161">IF(Contract_Edits[[#This Row],[BaseFlag]]&lt;&gt;1,0,
   IF(TEXT(Contract_Edits[[#This Row],[Dep]],"0")=TEXT(Contract_Edits[[#This Row],[Index]],"0"),
      0,
      MAX(0, SUMPRODUCT(--(Contract_Edits[BaseFlag]=1),
                        --(TEXT(Contract_Edits[Dep],"0")=TEXT(Contract_Edits[[#This Row],[Dep]],"0"))) - 1)
   )
)</f>
        <v>0</v>
      </c>
      <c r="AL161" s="453" t="str" cm="1">
        <f t="array" ref="AL161">IF(Contract_Edits[[#This Row],[BaseFlag]]=1,
   TEXT(Contract_Edits[[#This Row],[Index]],"0"),
   NearestBaseL(TEXT(Contract_Edits[[#This Row],[ParentKey]],"0"),500,editsIdxTxt,editsParentKeyTxt,baseIdxTxt,baseCost)
)</f>
        <v>0</v>
      </c>
      <c r="AM161" s="453" cm="1">
        <f t="array" ref="AM161">1+SUMPRODUCT(
  (Contract_Edits[BaseFlag]=1)*
  (TEXT(Contract_Edits[ParentAnchor],"0")=TEXT(Contract_Edits[[#This Row],[ParentAnchor]],"0"))*
  (VALUE(TEXT(Contract_Edits[Index],"0"))&lt;VALUE(TEXT(Contract_Edits[[#This Row],[Index]],"0")))
)</f>
        <v>1</v>
      </c>
      <c r="AN161" s="453"/>
      <c r="AO161" s="193"/>
      <c r="AP161" s="193"/>
      <c r="AQ161" s="193"/>
      <c r="BC161" s="34"/>
      <c r="BD161" s="34"/>
      <c r="BE161" s="34"/>
      <c r="BZ161"/>
      <c r="CA161"/>
      <c r="CB161"/>
    </row>
    <row r="162" spans="11:80" ht="15">
      <c r="K162" s="104"/>
      <c r="L162" s="441">
        <v>99</v>
      </c>
      <c r="M162" s="441"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68"/>
      <c r="R162" s="508"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2" s="179">
        <v>0</v>
      </c>
      <c r="T162" s="179">
        <v>0</v>
      </c>
      <c r="U162" s="11"/>
      <c r="V162"/>
      <c r="W162" s="22" t="s">
        <v>358</v>
      </c>
      <c r="X162" s="22" t="s">
        <v>604</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03">
        <f>--(
  ISNUMBER(SEARCH("BASE PARENT", UPPER(CLEAN(TRIM(_xlfn.XLOOKUP(TEXT(Contract_Edits[[#This Row],[Index]],"0"), baseIdxTxt, baseCost, "")))))) +
  ISNUMBER(SEARCH("DEPENDENCY GROUP", UPPER(CLEAN(TRIM(_xlfn.XLOOKUP(TEXT(Contract_Edits[[#This Row],[Index]],"0"), baseIdxTxt, baseCost, ""))))))
)</f>
        <v>0</v>
      </c>
      <c r="AG162" s="503" t="str" cm="1">
        <f t="array" ref="AG162">IF(Contract_Edits[[#This Row],[BaseFlag]]=1,
   10*BaseDepthL(TEXT(Contract_Edits[[#This Row],[Index]],"0"),500,editsIdxTxt,editsParentKeyTxt,baseIdxTxt,baseCost)-5,
   ""
)</f>
        <v/>
      </c>
      <c r="AH162" s="503"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53" t="str">
        <f>IF(Contract_Edits[[#This Row],[Dep]]=0,"Root",
   IF(ISNUMBER(MATCH(Contract_Edits[[#This Row],[Dep]],Contract_Edits[Index],0)),"OK","Missing")
)</f>
        <v>Root</v>
      </c>
      <c r="AJ162" s="453" t="e">
        <f>IF(AND(Contract_Edits[[#This Row],[Dep]]&lt;&gt;0,
        ISNUMBER(MATCH(Contract_Edits[[#This Row],[Dep]], Contract_Edits[Index], 0)),
        INDEX(Contract_Edits[Dep], MATCH(Contract_Edits[[#This Row],[Dep]], Contract_Edits[Index], 0))=Contract_Edits[[#This Row],[Index]]),
   "2-cycle","")</f>
        <v>#N/A</v>
      </c>
      <c r="AK162" s="453" cm="1">
        <f t="array" ref="AK162">IF(Contract_Edits[[#This Row],[BaseFlag]]&lt;&gt;1,0,
   IF(TEXT(Contract_Edits[[#This Row],[Dep]],"0")=TEXT(Contract_Edits[[#This Row],[Index]],"0"),
      0,
      MAX(0, SUMPRODUCT(--(Contract_Edits[BaseFlag]=1),
                        --(TEXT(Contract_Edits[Dep],"0")=TEXT(Contract_Edits[[#This Row],[Dep]],"0"))) - 1)
   )
)</f>
        <v>0</v>
      </c>
      <c r="AL162" s="453" t="str" cm="1">
        <f t="array" ref="AL162">IF(Contract_Edits[[#This Row],[BaseFlag]]=1,
   TEXT(Contract_Edits[[#This Row],[Index]],"0"),
   NearestBaseL(TEXT(Contract_Edits[[#This Row],[ParentKey]],"0"),500,editsIdxTxt,editsParentKeyTxt,baseIdxTxt,baseCost)
)</f>
        <v>0</v>
      </c>
      <c r="AM162" s="453" cm="1">
        <f t="array" ref="AM162">1+SUMPRODUCT(
  (Contract_Edits[BaseFlag]=1)*
  (TEXT(Contract_Edits[ParentAnchor],"0")=TEXT(Contract_Edits[[#This Row],[ParentAnchor]],"0"))*
  (VALUE(TEXT(Contract_Edits[Index],"0"))&lt;VALUE(TEXT(Contract_Edits[[#This Row],[Index]],"0")))
)</f>
        <v>1</v>
      </c>
      <c r="AN162" s="453"/>
      <c r="AO162" s="193"/>
      <c r="AP162" s="193"/>
      <c r="AQ162" s="193"/>
      <c r="BC162" s="34"/>
      <c r="BD162" s="34"/>
      <c r="BE162" s="34"/>
      <c r="BZ162"/>
      <c r="CA162"/>
      <c r="CB162"/>
    </row>
    <row r="163" spans="11:80" ht="15">
      <c r="K163" s="104"/>
      <c r="L163" s="441">
        <v>116</v>
      </c>
      <c r="M163" s="441"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0"/>
      <c r="R163" s="508"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3" s="179">
        <v>0</v>
      </c>
      <c r="T163" s="469"/>
      <c r="U163" s="492"/>
      <c r="V163" s="193"/>
      <c r="W163" s="22" t="s">
        <v>358</v>
      </c>
      <c r="X163" s="484" t="s">
        <v>604</v>
      </c>
      <c r="Y163" s="484"/>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03">
        <f>--(
  ISNUMBER(SEARCH("BASE PARENT", UPPER(CLEAN(TRIM(_xlfn.XLOOKUP(TEXT(Contract_Edits[[#This Row],[Index]],"0"), baseIdxTxt, baseCost, "")))))) +
  ISNUMBER(SEARCH("DEPENDENCY GROUP", UPPER(CLEAN(TRIM(_xlfn.XLOOKUP(TEXT(Contract_Edits[[#This Row],[Index]],"0"), baseIdxTxt, baseCost, ""))))))
)</f>
        <v>0</v>
      </c>
      <c r="AG163" s="503" t="str" cm="1">
        <f t="array" ref="AG163">IF(Contract_Edits[[#This Row],[BaseFlag]]=1,
   10*BaseDepthL(TEXT(Contract_Edits[[#This Row],[Index]],"0"),500,editsIdxTxt,editsParentKeyTxt,baseIdxTxt,baseCost)-5,
   ""
)</f>
        <v/>
      </c>
      <c r="AH163" s="503"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53" t="str">
        <f>IF(Contract_Edits[[#This Row],[Dep]]=0,"Root",
   IF(ISNUMBER(MATCH(Contract_Edits[[#This Row],[Dep]],Contract_Edits[Index],0)),"OK","Missing")
)</f>
        <v>Root</v>
      </c>
      <c r="AJ163" s="453" t="e">
        <f>IF(AND(Contract_Edits[[#This Row],[Dep]]&lt;&gt;0,
        ISNUMBER(MATCH(Contract_Edits[[#This Row],[Dep]], Contract_Edits[Index], 0)),
        INDEX(Contract_Edits[Dep], MATCH(Contract_Edits[[#This Row],[Dep]], Contract_Edits[Index], 0))=Contract_Edits[[#This Row],[Index]]),
   "2-cycle","")</f>
        <v>#N/A</v>
      </c>
      <c r="AK163" s="453" cm="1">
        <f t="array" ref="AK163">IF(Contract_Edits[[#This Row],[BaseFlag]]&lt;&gt;1,0,
   IF(TEXT(Contract_Edits[[#This Row],[Dep]],"0")=TEXT(Contract_Edits[[#This Row],[Index]],"0"),
      0,
      MAX(0, SUMPRODUCT(--(Contract_Edits[BaseFlag]=1),
                        --(TEXT(Contract_Edits[Dep],"0")=TEXT(Contract_Edits[[#This Row],[Dep]],"0"))) - 1)
   )
)</f>
        <v>0</v>
      </c>
      <c r="AL163" s="453" t="str" cm="1">
        <f t="array" ref="AL163">IF(Contract_Edits[[#This Row],[BaseFlag]]=1,
   TEXT(Contract_Edits[[#This Row],[Index]],"0"),
   NearestBaseL(TEXT(Contract_Edits[[#This Row],[ParentKey]],"0"),500,editsIdxTxt,editsParentKeyTxt,baseIdxTxt,baseCost)
)</f>
        <v>0</v>
      </c>
      <c r="AM163" s="453" cm="1">
        <f t="array" ref="AM163">1+SUMPRODUCT(
  (Contract_Edits[BaseFlag]=1)*
  (TEXT(Contract_Edits[ParentAnchor],"0")=TEXT(Contract_Edits[[#This Row],[ParentAnchor]],"0"))*
  (VALUE(TEXT(Contract_Edits[Index],"0"))&lt;VALUE(TEXT(Contract_Edits[[#This Row],[Index]],"0")))
)</f>
        <v>1</v>
      </c>
      <c r="AN163" s="453"/>
      <c r="AO163" s="193"/>
      <c r="AP163" s="193"/>
      <c r="AQ163" s="193"/>
      <c r="BC163" s="34"/>
      <c r="BD163" s="34"/>
      <c r="BE163" s="34"/>
      <c r="BZ163"/>
      <c r="CA163"/>
      <c r="CB163"/>
    </row>
    <row r="164" spans="11:80" ht="15">
      <c r="K164" s="104"/>
      <c r="L164" s="441">
        <v>163</v>
      </c>
      <c r="M164" s="441"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0"/>
      <c r="R164" s="508"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4" s="179">
        <v>0</v>
      </c>
      <c r="T164" s="469"/>
      <c r="U164" s="492"/>
      <c r="V164" s="193"/>
      <c r="W164" s="22" t="s">
        <v>358</v>
      </c>
      <c r="Y164" s="484"/>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03">
        <f>--(
  ISNUMBER(SEARCH("BASE PARENT", UPPER(CLEAN(TRIM(_xlfn.XLOOKUP(TEXT(Contract_Edits[[#This Row],[Index]],"0"), baseIdxTxt, baseCost, "")))))) +
  ISNUMBER(SEARCH("DEPENDENCY GROUP", UPPER(CLEAN(TRIM(_xlfn.XLOOKUP(TEXT(Contract_Edits[[#This Row],[Index]],"0"), baseIdxTxt, baseCost, ""))))))
)</f>
        <v>0</v>
      </c>
      <c r="AG164" s="503" t="str" cm="1">
        <f t="array" ref="AG164">IF(Contract_Edits[[#This Row],[BaseFlag]]=1,
   10*BaseDepthL(TEXT(Contract_Edits[[#This Row],[Index]],"0"),500,editsIdxTxt,editsParentKeyTxt,baseIdxTxt,baseCost)-5,
   ""
)</f>
        <v/>
      </c>
      <c r="AH164" s="503"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53" t="str">
        <f>IF(Contract_Edits[[#This Row],[Dep]]=0,"Root",
   IF(ISNUMBER(MATCH(Contract_Edits[[#This Row],[Dep]],Contract_Edits[Index],0)),"OK","Missing")
)</f>
        <v>Root</v>
      </c>
      <c r="AJ164" s="453" t="e">
        <f>IF(AND(Contract_Edits[[#This Row],[Dep]]&lt;&gt;0,
        ISNUMBER(MATCH(Contract_Edits[[#This Row],[Dep]], Contract_Edits[Index], 0)),
        INDEX(Contract_Edits[Dep], MATCH(Contract_Edits[[#This Row],[Dep]], Contract_Edits[Index], 0))=Contract_Edits[[#This Row],[Index]]),
   "2-cycle","")</f>
        <v>#N/A</v>
      </c>
      <c r="AK164" s="453" cm="1">
        <f t="array" ref="AK164">IF(Contract_Edits[[#This Row],[BaseFlag]]&lt;&gt;1,0,
   IF(TEXT(Contract_Edits[[#This Row],[Dep]],"0")=TEXT(Contract_Edits[[#This Row],[Index]],"0"),
      0,
      MAX(0, SUMPRODUCT(--(Contract_Edits[BaseFlag]=1),
                        --(TEXT(Contract_Edits[Dep],"0")=TEXT(Contract_Edits[[#This Row],[Dep]],"0"))) - 1)
   )
)</f>
        <v>0</v>
      </c>
      <c r="AL164" s="453" t="str" cm="1">
        <f t="array" ref="AL164">IF(Contract_Edits[[#This Row],[BaseFlag]]=1,
   TEXT(Contract_Edits[[#This Row],[Index]],"0"),
   NearestBaseL(TEXT(Contract_Edits[[#This Row],[ParentKey]],"0"),500,editsIdxTxt,editsParentKeyTxt,baseIdxTxt,baseCost)
)</f>
        <v>0</v>
      </c>
      <c r="AM164" s="453" cm="1">
        <f t="array" ref="AM164">1+SUMPRODUCT(
  (Contract_Edits[BaseFlag]=1)*
  (TEXT(Contract_Edits[ParentAnchor],"0")=TEXT(Contract_Edits[[#This Row],[ParentAnchor]],"0"))*
  (VALUE(TEXT(Contract_Edits[Index],"0"))&lt;VALUE(TEXT(Contract_Edits[[#This Row],[Index]],"0")))
)</f>
        <v>1</v>
      </c>
      <c r="AN164" s="453"/>
      <c r="AO164" s="193"/>
      <c r="AP164" s="193"/>
      <c r="AQ164" s="193"/>
      <c r="BC164" s="34"/>
      <c r="BD164" s="34"/>
      <c r="BE164" s="34"/>
      <c r="BZ164"/>
      <c r="CA164"/>
      <c r="CB164"/>
    </row>
    <row r="165" spans="11:80" ht="15">
      <c r="K165" s="104"/>
      <c r="L165" s="441">
        <v>104</v>
      </c>
      <c r="M165" s="441"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68"/>
      <c r="R165" s="508"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5" s="179">
        <v>0</v>
      </c>
      <c r="T165" s="179">
        <v>0</v>
      </c>
      <c r="U165" s="11"/>
      <c r="V165"/>
      <c r="W165" s="22" t="s">
        <v>358</v>
      </c>
      <c r="X165" s="22" t="s">
        <v>604</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03">
        <f>--(
  ISNUMBER(SEARCH("BASE PARENT", UPPER(CLEAN(TRIM(_xlfn.XLOOKUP(TEXT(Contract_Edits[[#This Row],[Index]],"0"), baseIdxTxt, baseCost, "")))))) +
  ISNUMBER(SEARCH("DEPENDENCY GROUP", UPPER(CLEAN(TRIM(_xlfn.XLOOKUP(TEXT(Contract_Edits[[#This Row],[Index]],"0"), baseIdxTxt, baseCost, ""))))))
)</f>
        <v>0</v>
      </c>
      <c r="AG165" s="503" t="str" cm="1">
        <f t="array" ref="AG165">IF(Contract_Edits[[#This Row],[BaseFlag]]=1,
   10*BaseDepthL(TEXT(Contract_Edits[[#This Row],[Index]],"0"),500,editsIdxTxt,editsParentKeyTxt,baseIdxTxt,baseCost)-5,
   ""
)</f>
        <v/>
      </c>
      <c r="AH165" s="503"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53" t="str">
        <f>IF(Contract_Edits[[#This Row],[Dep]]=0,"Root",
   IF(ISNUMBER(MATCH(Contract_Edits[[#This Row],[Dep]],Contract_Edits[Index],0)),"OK","Missing")
)</f>
        <v>Root</v>
      </c>
      <c r="AJ165" s="453" t="e">
        <f>IF(AND(Contract_Edits[[#This Row],[Dep]]&lt;&gt;0,
        ISNUMBER(MATCH(Contract_Edits[[#This Row],[Dep]], Contract_Edits[Index], 0)),
        INDEX(Contract_Edits[Dep], MATCH(Contract_Edits[[#This Row],[Dep]], Contract_Edits[Index], 0))=Contract_Edits[[#This Row],[Index]]),
   "2-cycle","")</f>
        <v>#N/A</v>
      </c>
      <c r="AK165" s="453" cm="1">
        <f t="array" ref="AK165">IF(Contract_Edits[[#This Row],[BaseFlag]]&lt;&gt;1,0,
   IF(TEXT(Contract_Edits[[#This Row],[Dep]],"0")=TEXT(Contract_Edits[[#This Row],[Index]],"0"),
      0,
      MAX(0, SUMPRODUCT(--(Contract_Edits[BaseFlag]=1),
                        --(TEXT(Contract_Edits[Dep],"0")=TEXT(Contract_Edits[[#This Row],[Dep]],"0"))) - 1)
   )
)</f>
        <v>0</v>
      </c>
      <c r="AL165" s="453" t="str" cm="1">
        <f t="array" ref="AL165">IF(Contract_Edits[[#This Row],[BaseFlag]]=1,
   TEXT(Contract_Edits[[#This Row],[Index]],"0"),
   NearestBaseL(TEXT(Contract_Edits[[#This Row],[ParentKey]],"0"),500,editsIdxTxt,editsParentKeyTxt,baseIdxTxt,baseCost)
)</f>
        <v>0</v>
      </c>
      <c r="AM165" s="453" cm="1">
        <f t="array" ref="AM165">1+SUMPRODUCT(
  (Contract_Edits[BaseFlag]=1)*
  (TEXT(Contract_Edits[ParentAnchor],"0")=TEXT(Contract_Edits[[#This Row],[ParentAnchor]],"0"))*
  (VALUE(TEXT(Contract_Edits[Index],"0"))&lt;VALUE(TEXT(Contract_Edits[[#This Row],[Index]],"0")))
)</f>
        <v>1</v>
      </c>
      <c r="AN165" s="453"/>
      <c r="AO165" s="193"/>
      <c r="AP165" s="193"/>
      <c r="AQ165" s="193"/>
      <c r="BC165" s="34"/>
      <c r="BD165" s="34"/>
      <c r="BE165" s="34"/>
      <c r="BZ165"/>
      <c r="CA165"/>
      <c r="CB165"/>
    </row>
    <row r="166" spans="11:80" ht="15">
      <c r="K166" s="104"/>
      <c r="L166" s="441">
        <v>86</v>
      </c>
      <c r="M166" s="441"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68"/>
      <c r="R166" s="508"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6" s="179">
        <v>0</v>
      </c>
      <c r="T166" s="179">
        <v>0</v>
      </c>
      <c r="U166" s="11"/>
      <c r="V166"/>
      <c r="W166" s="22" t="s">
        <v>358</v>
      </c>
      <c r="X166" s="22" t="s">
        <v>604</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03">
        <f>--(
  ISNUMBER(SEARCH("BASE PARENT", UPPER(CLEAN(TRIM(_xlfn.XLOOKUP(TEXT(Contract_Edits[[#This Row],[Index]],"0"), baseIdxTxt, baseCost, "")))))) +
  ISNUMBER(SEARCH("DEPENDENCY GROUP", UPPER(CLEAN(TRIM(_xlfn.XLOOKUP(TEXT(Contract_Edits[[#This Row],[Index]],"0"), baseIdxTxt, baseCost, ""))))))
)</f>
        <v>0</v>
      </c>
      <c r="AG166" s="503" t="str" cm="1">
        <f t="array" ref="AG166">IF(Contract_Edits[[#This Row],[BaseFlag]]=1,
   10*BaseDepthL(TEXT(Contract_Edits[[#This Row],[Index]],"0"),500,editsIdxTxt,editsParentKeyTxt,baseIdxTxt,baseCost)-5,
   ""
)</f>
        <v/>
      </c>
      <c r="AH166" s="503"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53" t="str">
        <f>IF(Contract_Edits[[#This Row],[Dep]]=0,"Root",
   IF(ISNUMBER(MATCH(Contract_Edits[[#This Row],[Dep]],Contract_Edits[Index],0)),"OK","Missing")
)</f>
        <v>Root</v>
      </c>
      <c r="AJ166" s="453" t="e">
        <f>IF(AND(Contract_Edits[[#This Row],[Dep]]&lt;&gt;0,
        ISNUMBER(MATCH(Contract_Edits[[#This Row],[Dep]], Contract_Edits[Index], 0)),
        INDEX(Contract_Edits[Dep], MATCH(Contract_Edits[[#This Row],[Dep]], Contract_Edits[Index], 0))=Contract_Edits[[#This Row],[Index]]),
   "2-cycle","")</f>
        <v>#N/A</v>
      </c>
      <c r="AK166" s="453" cm="1">
        <f t="array" ref="AK166">IF(Contract_Edits[[#This Row],[BaseFlag]]&lt;&gt;1,0,
   IF(TEXT(Contract_Edits[[#This Row],[Dep]],"0")=TEXT(Contract_Edits[[#This Row],[Index]],"0"),
      0,
      MAX(0, SUMPRODUCT(--(Contract_Edits[BaseFlag]=1),
                        --(TEXT(Contract_Edits[Dep],"0")=TEXT(Contract_Edits[[#This Row],[Dep]],"0"))) - 1)
   )
)</f>
        <v>0</v>
      </c>
      <c r="AL166" s="453" t="str" cm="1">
        <f t="array" ref="AL166">IF(Contract_Edits[[#This Row],[BaseFlag]]=1,
   TEXT(Contract_Edits[[#This Row],[Index]],"0"),
   NearestBaseL(TEXT(Contract_Edits[[#This Row],[ParentKey]],"0"),500,editsIdxTxt,editsParentKeyTxt,baseIdxTxt,baseCost)
)</f>
        <v>0</v>
      </c>
      <c r="AM166" s="453" cm="1">
        <f t="array" ref="AM166">1+SUMPRODUCT(
  (Contract_Edits[BaseFlag]=1)*
  (TEXT(Contract_Edits[ParentAnchor],"0")=TEXT(Contract_Edits[[#This Row],[ParentAnchor]],"0"))*
  (VALUE(TEXT(Contract_Edits[Index],"0"))&lt;VALUE(TEXT(Contract_Edits[[#This Row],[Index]],"0")))
)</f>
        <v>1</v>
      </c>
      <c r="AN166" s="453"/>
      <c r="AO166" s="193"/>
      <c r="AP166" s="193"/>
      <c r="AQ166" s="193"/>
      <c r="BC166" s="34"/>
      <c r="BD166" s="34"/>
      <c r="BE166" s="34"/>
      <c r="BZ166"/>
      <c r="CA166"/>
      <c r="CB166"/>
    </row>
    <row r="167" spans="11:80" ht="15">
      <c r="K167" s="104"/>
      <c r="L167" s="441">
        <v>96</v>
      </c>
      <c r="M167" s="441"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68"/>
      <c r="R167" s="508"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7" s="179">
        <v>0</v>
      </c>
      <c r="T167" s="179">
        <v>0</v>
      </c>
      <c r="U167" s="11"/>
      <c r="V167"/>
      <c r="W167" s="22" t="s">
        <v>358</v>
      </c>
      <c r="X167" s="22" t="s">
        <v>604</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03">
        <f>--(
  ISNUMBER(SEARCH("BASE PARENT", UPPER(CLEAN(TRIM(_xlfn.XLOOKUP(TEXT(Contract_Edits[[#This Row],[Index]],"0"), baseIdxTxt, baseCost, "")))))) +
  ISNUMBER(SEARCH("DEPENDENCY GROUP", UPPER(CLEAN(TRIM(_xlfn.XLOOKUP(TEXT(Contract_Edits[[#This Row],[Index]],"0"), baseIdxTxt, baseCost, ""))))))
)</f>
        <v>0</v>
      </c>
      <c r="AG167" s="503" t="str" cm="1">
        <f t="array" ref="AG167">IF(Contract_Edits[[#This Row],[BaseFlag]]=1,
   10*BaseDepthL(TEXT(Contract_Edits[[#This Row],[Index]],"0"),500,editsIdxTxt,editsParentKeyTxt,baseIdxTxt,baseCost)-5,
   ""
)</f>
        <v/>
      </c>
      <c r="AH167" s="503"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53" t="str">
        <f>IF(Contract_Edits[[#This Row],[Dep]]=0,"Root",
   IF(ISNUMBER(MATCH(Contract_Edits[[#This Row],[Dep]],Contract_Edits[Index],0)),"OK","Missing")
)</f>
        <v>Root</v>
      </c>
      <c r="AJ167" s="453" t="e">
        <f>IF(AND(Contract_Edits[[#This Row],[Dep]]&lt;&gt;0,
        ISNUMBER(MATCH(Contract_Edits[[#This Row],[Dep]], Contract_Edits[Index], 0)),
        INDEX(Contract_Edits[Dep], MATCH(Contract_Edits[[#This Row],[Dep]], Contract_Edits[Index], 0))=Contract_Edits[[#This Row],[Index]]),
   "2-cycle","")</f>
        <v>#N/A</v>
      </c>
      <c r="AK167" s="453" cm="1">
        <f t="array" ref="AK167">IF(Contract_Edits[[#This Row],[BaseFlag]]&lt;&gt;1,0,
   IF(TEXT(Contract_Edits[[#This Row],[Dep]],"0")=TEXT(Contract_Edits[[#This Row],[Index]],"0"),
      0,
      MAX(0, SUMPRODUCT(--(Contract_Edits[BaseFlag]=1),
                        --(TEXT(Contract_Edits[Dep],"0")=TEXT(Contract_Edits[[#This Row],[Dep]],"0"))) - 1)
   )
)</f>
        <v>0</v>
      </c>
      <c r="AL167" s="453" t="str" cm="1">
        <f t="array" ref="AL167">IF(Contract_Edits[[#This Row],[BaseFlag]]=1,
   TEXT(Contract_Edits[[#This Row],[Index]],"0"),
   NearestBaseL(TEXT(Contract_Edits[[#This Row],[ParentKey]],"0"),500,editsIdxTxt,editsParentKeyTxt,baseIdxTxt,baseCost)
)</f>
        <v>0</v>
      </c>
      <c r="AM167" s="453" cm="1">
        <f t="array" ref="AM167">1+SUMPRODUCT(
  (Contract_Edits[BaseFlag]=1)*
  (TEXT(Contract_Edits[ParentAnchor],"0")=TEXT(Contract_Edits[[#This Row],[ParentAnchor]],"0"))*
  (VALUE(TEXT(Contract_Edits[Index],"0"))&lt;VALUE(TEXT(Contract_Edits[[#This Row],[Index]],"0")))
)</f>
        <v>1</v>
      </c>
      <c r="AN167" s="453"/>
      <c r="AO167" s="193"/>
      <c r="AP167" s="193"/>
      <c r="AQ167" s="193"/>
      <c r="BC167" s="34"/>
      <c r="BD167" s="34"/>
      <c r="BE167" s="34"/>
      <c r="BZ167"/>
      <c r="CA167"/>
      <c r="CB167"/>
    </row>
    <row r="168" spans="11:80" ht="15">
      <c r="K168" s="104"/>
      <c r="L168" s="441">
        <v>117</v>
      </c>
      <c r="M168" s="441"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68"/>
      <c r="R168" s="508"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8" s="179">
        <v>0</v>
      </c>
      <c r="T168" s="179">
        <v>0</v>
      </c>
      <c r="U168" s="11"/>
      <c r="V168"/>
      <c r="W168" s="22" t="s">
        <v>358</v>
      </c>
      <c r="X168" s="22" t="s">
        <v>604</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03">
        <f>--(
  ISNUMBER(SEARCH("BASE PARENT", UPPER(CLEAN(TRIM(_xlfn.XLOOKUP(TEXT(Contract_Edits[[#This Row],[Index]],"0"), baseIdxTxt, baseCost, "")))))) +
  ISNUMBER(SEARCH("DEPENDENCY GROUP", UPPER(CLEAN(TRIM(_xlfn.XLOOKUP(TEXT(Contract_Edits[[#This Row],[Index]],"0"), baseIdxTxt, baseCost, ""))))))
)</f>
        <v>0</v>
      </c>
      <c r="AG168" s="503" t="str" cm="1">
        <f t="array" ref="AG168">IF(Contract_Edits[[#This Row],[BaseFlag]]=1,
   10*BaseDepthL(TEXT(Contract_Edits[[#This Row],[Index]],"0"),500,editsIdxTxt,editsParentKeyTxt,baseIdxTxt,baseCost)-5,
   ""
)</f>
        <v/>
      </c>
      <c r="AH168" s="503"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53" t="str">
        <f>IF(Contract_Edits[[#This Row],[Dep]]=0,"Root",
   IF(ISNUMBER(MATCH(Contract_Edits[[#This Row],[Dep]],Contract_Edits[Index],0)),"OK","Missing")
)</f>
        <v>Root</v>
      </c>
      <c r="AJ168" s="453" t="e">
        <f>IF(AND(Contract_Edits[[#This Row],[Dep]]&lt;&gt;0,
        ISNUMBER(MATCH(Contract_Edits[[#This Row],[Dep]], Contract_Edits[Index], 0)),
        INDEX(Contract_Edits[Dep], MATCH(Contract_Edits[[#This Row],[Dep]], Contract_Edits[Index], 0))=Contract_Edits[[#This Row],[Index]]),
   "2-cycle","")</f>
        <v>#N/A</v>
      </c>
      <c r="AK168" s="453" cm="1">
        <f t="array" ref="AK168">IF(Contract_Edits[[#This Row],[BaseFlag]]&lt;&gt;1,0,
   IF(TEXT(Contract_Edits[[#This Row],[Dep]],"0")=TEXT(Contract_Edits[[#This Row],[Index]],"0"),
      0,
      MAX(0, SUMPRODUCT(--(Contract_Edits[BaseFlag]=1),
                        --(TEXT(Contract_Edits[Dep],"0")=TEXT(Contract_Edits[[#This Row],[Dep]],"0"))) - 1)
   )
)</f>
        <v>0</v>
      </c>
      <c r="AL168" s="453" t="str" cm="1">
        <f t="array" ref="AL168">IF(Contract_Edits[[#This Row],[BaseFlag]]=1,
   TEXT(Contract_Edits[[#This Row],[Index]],"0"),
   NearestBaseL(TEXT(Contract_Edits[[#This Row],[ParentKey]],"0"),500,editsIdxTxt,editsParentKeyTxt,baseIdxTxt,baseCost)
)</f>
        <v>0</v>
      </c>
      <c r="AM168" s="453" cm="1">
        <f t="array" ref="AM168">1+SUMPRODUCT(
  (Contract_Edits[BaseFlag]=1)*
  (TEXT(Contract_Edits[ParentAnchor],"0")=TEXT(Contract_Edits[[#This Row],[ParentAnchor]],"0"))*
  (VALUE(TEXT(Contract_Edits[Index],"0"))&lt;VALUE(TEXT(Contract_Edits[[#This Row],[Index]],"0")))
)</f>
        <v>1</v>
      </c>
      <c r="AN168" s="453"/>
      <c r="AO168" s="193"/>
      <c r="AP168" s="193"/>
      <c r="AQ168" s="193"/>
      <c r="BC168" s="34"/>
      <c r="BD168" s="34"/>
      <c r="BE168" s="34"/>
      <c r="BZ168"/>
      <c r="CA168"/>
      <c r="CB168"/>
    </row>
    <row r="169" spans="11:80" ht="15">
      <c r="K169" s="104"/>
      <c r="L169" s="441">
        <v>118</v>
      </c>
      <c r="M169" s="441"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68"/>
      <c r="R169" s="508"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9" s="179">
        <v>0</v>
      </c>
      <c r="T169" s="179">
        <v>0</v>
      </c>
      <c r="U169" s="11"/>
      <c r="V169"/>
      <c r="W169" s="22" t="s">
        <v>358</v>
      </c>
      <c r="X169" s="22" t="s">
        <v>604</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03">
        <f>--(
  ISNUMBER(SEARCH("BASE PARENT", UPPER(CLEAN(TRIM(_xlfn.XLOOKUP(TEXT(Contract_Edits[[#This Row],[Index]],"0"), baseIdxTxt, baseCost, "")))))) +
  ISNUMBER(SEARCH("DEPENDENCY GROUP", UPPER(CLEAN(TRIM(_xlfn.XLOOKUP(TEXT(Contract_Edits[[#This Row],[Index]],"0"), baseIdxTxt, baseCost, ""))))))
)</f>
        <v>0</v>
      </c>
      <c r="AG169" s="503" t="str" cm="1">
        <f t="array" ref="AG169">IF(Contract_Edits[[#This Row],[BaseFlag]]=1,
   10*BaseDepthL(TEXT(Contract_Edits[[#This Row],[Index]],"0"),500,editsIdxTxt,editsParentKeyTxt,baseIdxTxt,baseCost)-5,
   ""
)</f>
        <v/>
      </c>
      <c r="AH169" s="503"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53" t="str">
        <f>IF(Contract_Edits[[#This Row],[Dep]]=0,"Root",
   IF(ISNUMBER(MATCH(Contract_Edits[[#This Row],[Dep]],Contract_Edits[Index],0)),"OK","Missing")
)</f>
        <v>Root</v>
      </c>
      <c r="AJ169" s="453" t="e">
        <f>IF(AND(Contract_Edits[[#This Row],[Dep]]&lt;&gt;0,
        ISNUMBER(MATCH(Contract_Edits[[#This Row],[Dep]], Contract_Edits[Index], 0)),
        INDEX(Contract_Edits[Dep], MATCH(Contract_Edits[[#This Row],[Dep]], Contract_Edits[Index], 0))=Contract_Edits[[#This Row],[Index]]),
   "2-cycle","")</f>
        <v>#N/A</v>
      </c>
      <c r="AK169" s="453" cm="1">
        <f t="array" ref="AK169">IF(Contract_Edits[[#This Row],[BaseFlag]]&lt;&gt;1,0,
   IF(TEXT(Contract_Edits[[#This Row],[Dep]],"0")=TEXT(Contract_Edits[[#This Row],[Index]],"0"),
      0,
      MAX(0, SUMPRODUCT(--(Contract_Edits[BaseFlag]=1),
                        --(TEXT(Contract_Edits[Dep],"0")=TEXT(Contract_Edits[[#This Row],[Dep]],"0"))) - 1)
   )
)</f>
        <v>0</v>
      </c>
      <c r="AL169" s="453" t="str" cm="1">
        <f t="array" ref="AL169">IF(Contract_Edits[[#This Row],[BaseFlag]]=1,
   TEXT(Contract_Edits[[#This Row],[Index]],"0"),
   NearestBaseL(TEXT(Contract_Edits[[#This Row],[ParentKey]],"0"),500,editsIdxTxt,editsParentKeyTxt,baseIdxTxt,baseCost)
)</f>
        <v>0</v>
      </c>
      <c r="AM169" s="453" cm="1">
        <f t="array" ref="AM169">1+SUMPRODUCT(
  (Contract_Edits[BaseFlag]=1)*
  (TEXT(Contract_Edits[ParentAnchor],"0")=TEXT(Contract_Edits[[#This Row],[ParentAnchor]],"0"))*
  (VALUE(TEXT(Contract_Edits[Index],"0"))&lt;VALUE(TEXT(Contract_Edits[[#This Row],[Index]],"0")))
)</f>
        <v>1</v>
      </c>
      <c r="AN169" s="453"/>
      <c r="AO169" s="193"/>
      <c r="AP169" s="193"/>
      <c r="AQ169" s="193"/>
      <c r="BC169" s="34"/>
      <c r="BD169" s="34"/>
      <c r="BE169" s="34"/>
      <c r="BZ169"/>
      <c r="CA169"/>
      <c r="CB169"/>
    </row>
    <row r="170" spans="11:80" ht="15">
      <c r="K170" s="104"/>
      <c r="L170" s="441">
        <v>120</v>
      </c>
      <c r="M170" s="441"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68"/>
      <c r="R170" s="508"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0" s="179">
        <v>0</v>
      </c>
      <c r="T170" s="179">
        <v>0</v>
      </c>
      <c r="U170" s="11"/>
      <c r="V170"/>
      <c r="W170" s="22" t="s">
        <v>358</v>
      </c>
      <c r="X170" s="22" t="s">
        <v>604</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03">
        <f>--(
  ISNUMBER(SEARCH("BASE PARENT", UPPER(CLEAN(TRIM(_xlfn.XLOOKUP(TEXT(Contract_Edits[[#This Row],[Index]],"0"), baseIdxTxt, baseCost, "")))))) +
  ISNUMBER(SEARCH("DEPENDENCY GROUP", UPPER(CLEAN(TRIM(_xlfn.XLOOKUP(TEXT(Contract_Edits[[#This Row],[Index]],"0"), baseIdxTxt, baseCost, ""))))))
)</f>
        <v>0</v>
      </c>
      <c r="AG170" s="503" t="str" cm="1">
        <f t="array" ref="AG170">IF(Contract_Edits[[#This Row],[BaseFlag]]=1,
   10*BaseDepthL(TEXT(Contract_Edits[[#This Row],[Index]],"0"),500,editsIdxTxt,editsParentKeyTxt,baseIdxTxt,baseCost)-5,
   ""
)</f>
        <v/>
      </c>
      <c r="AH170" s="503"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53" t="str">
        <f>IF(Contract_Edits[[#This Row],[Dep]]=0,"Root",
   IF(ISNUMBER(MATCH(Contract_Edits[[#This Row],[Dep]],Contract_Edits[Index],0)),"OK","Missing")
)</f>
        <v>Root</v>
      </c>
      <c r="AJ170" s="453" t="e">
        <f>IF(AND(Contract_Edits[[#This Row],[Dep]]&lt;&gt;0,
        ISNUMBER(MATCH(Contract_Edits[[#This Row],[Dep]], Contract_Edits[Index], 0)),
        INDEX(Contract_Edits[Dep], MATCH(Contract_Edits[[#This Row],[Dep]], Contract_Edits[Index], 0))=Contract_Edits[[#This Row],[Index]]),
   "2-cycle","")</f>
        <v>#N/A</v>
      </c>
      <c r="AK170" s="453" cm="1">
        <f t="array" ref="AK170">IF(Contract_Edits[[#This Row],[BaseFlag]]&lt;&gt;1,0,
   IF(TEXT(Contract_Edits[[#This Row],[Dep]],"0")=TEXT(Contract_Edits[[#This Row],[Index]],"0"),
      0,
      MAX(0, SUMPRODUCT(--(Contract_Edits[BaseFlag]=1),
                        --(TEXT(Contract_Edits[Dep],"0")=TEXT(Contract_Edits[[#This Row],[Dep]],"0"))) - 1)
   )
)</f>
        <v>0</v>
      </c>
      <c r="AL170" s="453" t="str" cm="1">
        <f t="array" ref="AL170">IF(Contract_Edits[[#This Row],[BaseFlag]]=1,
   TEXT(Contract_Edits[[#This Row],[Index]],"0"),
   NearestBaseL(TEXT(Contract_Edits[[#This Row],[ParentKey]],"0"),500,editsIdxTxt,editsParentKeyTxt,baseIdxTxt,baseCost)
)</f>
        <v>0</v>
      </c>
      <c r="AM170" s="453" cm="1">
        <f t="array" ref="AM170">1+SUMPRODUCT(
  (Contract_Edits[BaseFlag]=1)*
  (TEXT(Contract_Edits[ParentAnchor],"0")=TEXT(Contract_Edits[[#This Row],[ParentAnchor]],"0"))*
  (VALUE(TEXT(Contract_Edits[Index],"0"))&lt;VALUE(TEXT(Contract_Edits[[#This Row],[Index]],"0")))
)</f>
        <v>1</v>
      </c>
      <c r="AN170" s="453"/>
      <c r="AO170" s="193"/>
      <c r="AP170" s="193"/>
      <c r="AQ170" s="193"/>
      <c r="BC170" s="34"/>
      <c r="BD170" s="34"/>
      <c r="BE170" s="34"/>
      <c r="BZ170"/>
      <c r="CA170"/>
      <c r="CB170"/>
    </row>
    <row r="171" spans="11:80" ht="15">
      <c r="K171" s="104"/>
      <c r="L171" s="441">
        <v>164</v>
      </c>
      <c r="M171" s="441"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0"/>
      <c r="R171" s="508"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1" s="179">
        <v>0</v>
      </c>
      <c r="T171" s="469"/>
      <c r="U171" s="492"/>
      <c r="V171" s="193"/>
      <c r="W171" s="22" t="s">
        <v>358</v>
      </c>
      <c r="X171" s="484" t="s">
        <v>604</v>
      </c>
      <c r="Y171" s="484"/>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03">
        <f>--(
  ISNUMBER(SEARCH("BASE PARENT", UPPER(CLEAN(TRIM(_xlfn.XLOOKUP(TEXT(Contract_Edits[[#This Row],[Index]],"0"), baseIdxTxt, baseCost, "")))))) +
  ISNUMBER(SEARCH("DEPENDENCY GROUP", UPPER(CLEAN(TRIM(_xlfn.XLOOKUP(TEXT(Contract_Edits[[#This Row],[Index]],"0"), baseIdxTxt, baseCost, ""))))))
)</f>
        <v>0</v>
      </c>
      <c r="AG171" s="503" t="str" cm="1">
        <f t="array" ref="AG171">IF(Contract_Edits[[#This Row],[BaseFlag]]=1,
   10*BaseDepthL(TEXT(Contract_Edits[[#This Row],[Index]],"0"),500,editsIdxTxt,editsParentKeyTxt,baseIdxTxt,baseCost)-5,
   ""
)</f>
        <v/>
      </c>
      <c r="AH171" s="503"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53" t="str">
        <f>IF(Contract_Edits[[#This Row],[Dep]]=0,"Root",
   IF(ISNUMBER(MATCH(Contract_Edits[[#This Row],[Dep]],Contract_Edits[Index],0)),"OK","Missing")
)</f>
        <v>Root</v>
      </c>
      <c r="AJ171" s="453" t="e">
        <f>IF(AND(Contract_Edits[[#This Row],[Dep]]&lt;&gt;0,
        ISNUMBER(MATCH(Contract_Edits[[#This Row],[Dep]], Contract_Edits[Index], 0)),
        INDEX(Contract_Edits[Dep], MATCH(Contract_Edits[[#This Row],[Dep]], Contract_Edits[Index], 0))=Contract_Edits[[#This Row],[Index]]),
   "2-cycle","")</f>
        <v>#N/A</v>
      </c>
      <c r="AK171" s="453" cm="1">
        <f t="array" ref="AK171">IF(Contract_Edits[[#This Row],[BaseFlag]]&lt;&gt;1,0,
   IF(TEXT(Contract_Edits[[#This Row],[Dep]],"0")=TEXT(Contract_Edits[[#This Row],[Index]],"0"),
      0,
      MAX(0, SUMPRODUCT(--(Contract_Edits[BaseFlag]=1),
                        --(TEXT(Contract_Edits[Dep],"0")=TEXT(Contract_Edits[[#This Row],[Dep]],"0"))) - 1)
   )
)</f>
        <v>0</v>
      </c>
      <c r="AL171" s="453" t="str" cm="1">
        <f t="array" ref="AL171">IF(Contract_Edits[[#This Row],[BaseFlag]]=1,
   TEXT(Contract_Edits[[#This Row],[Index]],"0"),
   NearestBaseL(TEXT(Contract_Edits[[#This Row],[ParentKey]],"0"),500,editsIdxTxt,editsParentKeyTxt,baseIdxTxt,baseCost)
)</f>
        <v>0</v>
      </c>
      <c r="AM171" s="453" cm="1">
        <f t="array" ref="AM171">1+SUMPRODUCT(
  (Contract_Edits[BaseFlag]=1)*
  (TEXT(Contract_Edits[ParentAnchor],"0")=TEXT(Contract_Edits[[#This Row],[ParentAnchor]],"0"))*
  (VALUE(TEXT(Contract_Edits[Index],"0"))&lt;VALUE(TEXT(Contract_Edits[[#This Row],[Index]],"0")))
)</f>
        <v>1</v>
      </c>
      <c r="AN171" s="453"/>
      <c r="AO171" s="193"/>
      <c r="AP171" s="193"/>
      <c r="AQ171" s="193"/>
      <c r="BC171" s="34"/>
      <c r="BD171" s="34"/>
      <c r="BE171" s="34"/>
      <c r="BZ171"/>
      <c r="CA171"/>
      <c r="CB171"/>
    </row>
    <row r="172" spans="11:80" ht="15">
      <c r="K172" s="104"/>
      <c r="L172" s="441">
        <v>123</v>
      </c>
      <c r="M172" s="441"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68"/>
      <c r="R172" s="508"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2" s="179">
        <v>0</v>
      </c>
      <c r="T172" s="179">
        <v>0</v>
      </c>
      <c r="U172" s="11"/>
      <c r="V172"/>
      <c r="W172" s="22" t="s">
        <v>358</v>
      </c>
      <c r="X172" s="22" t="s">
        <v>604</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03">
        <f>--(
  ISNUMBER(SEARCH("BASE PARENT", UPPER(CLEAN(TRIM(_xlfn.XLOOKUP(TEXT(Contract_Edits[[#This Row],[Index]],"0"), baseIdxTxt, baseCost, "")))))) +
  ISNUMBER(SEARCH("DEPENDENCY GROUP", UPPER(CLEAN(TRIM(_xlfn.XLOOKUP(TEXT(Contract_Edits[[#This Row],[Index]],"0"), baseIdxTxt, baseCost, ""))))))
)</f>
        <v>0</v>
      </c>
      <c r="AG172" s="503" t="str" cm="1">
        <f t="array" ref="AG172">IF(Contract_Edits[[#This Row],[BaseFlag]]=1,
   10*BaseDepthL(TEXT(Contract_Edits[[#This Row],[Index]],"0"),500,editsIdxTxt,editsParentKeyTxt,baseIdxTxt,baseCost)-5,
   ""
)</f>
        <v/>
      </c>
      <c r="AH172" s="503"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53" t="str">
        <f>IF(Contract_Edits[[#This Row],[Dep]]=0,"Root",
   IF(ISNUMBER(MATCH(Contract_Edits[[#This Row],[Dep]],Contract_Edits[Index],0)),"OK","Missing")
)</f>
        <v>Root</v>
      </c>
      <c r="AJ172" s="453" t="e">
        <f>IF(AND(Contract_Edits[[#This Row],[Dep]]&lt;&gt;0,
        ISNUMBER(MATCH(Contract_Edits[[#This Row],[Dep]], Contract_Edits[Index], 0)),
        INDEX(Contract_Edits[Dep], MATCH(Contract_Edits[[#This Row],[Dep]], Contract_Edits[Index], 0))=Contract_Edits[[#This Row],[Index]]),
   "2-cycle","")</f>
        <v>#N/A</v>
      </c>
      <c r="AK172" s="453" cm="1">
        <f t="array" ref="AK172">IF(Contract_Edits[[#This Row],[BaseFlag]]&lt;&gt;1,0,
   IF(TEXT(Contract_Edits[[#This Row],[Dep]],"0")=TEXT(Contract_Edits[[#This Row],[Index]],"0"),
      0,
      MAX(0, SUMPRODUCT(--(Contract_Edits[BaseFlag]=1),
                        --(TEXT(Contract_Edits[Dep],"0")=TEXT(Contract_Edits[[#This Row],[Dep]],"0"))) - 1)
   )
)</f>
        <v>0</v>
      </c>
      <c r="AL172" s="453" t="str" cm="1">
        <f t="array" ref="AL172">IF(Contract_Edits[[#This Row],[BaseFlag]]=1,
   TEXT(Contract_Edits[[#This Row],[Index]],"0"),
   NearestBaseL(TEXT(Contract_Edits[[#This Row],[ParentKey]],"0"),500,editsIdxTxt,editsParentKeyTxt,baseIdxTxt,baseCost)
)</f>
        <v>0</v>
      </c>
      <c r="AM172" s="453" cm="1">
        <f t="array" ref="AM172">1+SUMPRODUCT(
  (Contract_Edits[BaseFlag]=1)*
  (TEXT(Contract_Edits[ParentAnchor],"0")=TEXT(Contract_Edits[[#This Row],[ParentAnchor]],"0"))*
  (VALUE(TEXT(Contract_Edits[Index],"0"))&lt;VALUE(TEXT(Contract_Edits[[#This Row],[Index]],"0")))
)</f>
        <v>1</v>
      </c>
      <c r="AN172" s="453"/>
      <c r="AO172" s="193"/>
      <c r="AP172" s="193"/>
      <c r="AQ172" s="193"/>
      <c r="BC172" s="34"/>
      <c r="BD172" s="34"/>
      <c r="BE172" s="34"/>
      <c r="BZ172"/>
      <c r="CA172"/>
      <c r="CB172"/>
    </row>
    <row r="173" spans="11:80" ht="15">
      <c r="K173" s="104"/>
      <c r="L173" s="441">
        <v>136</v>
      </c>
      <c r="M173" s="441"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0"/>
      <c r="R173" s="508"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3" s="179">
        <v>0</v>
      </c>
      <c r="T173" s="469"/>
      <c r="U173" s="492"/>
      <c r="V173" s="193"/>
      <c r="W173" s="22" t="s">
        <v>358</v>
      </c>
      <c r="X173" s="484" t="s">
        <v>604</v>
      </c>
      <c r="Y173" s="484"/>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03">
        <f>--(
  ISNUMBER(SEARCH("BASE PARENT", UPPER(CLEAN(TRIM(_xlfn.XLOOKUP(TEXT(Contract_Edits[[#This Row],[Index]],"0"), baseIdxTxt, baseCost, "")))))) +
  ISNUMBER(SEARCH("DEPENDENCY GROUP", UPPER(CLEAN(TRIM(_xlfn.XLOOKUP(TEXT(Contract_Edits[[#This Row],[Index]],"0"), baseIdxTxt, baseCost, ""))))))
)</f>
        <v>0</v>
      </c>
      <c r="AG173" s="503" t="str" cm="1">
        <f t="array" ref="AG173">IF(Contract_Edits[[#This Row],[BaseFlag]]=1,
   10*BaseDepthL(TEXT(Contract_Edits[[#This Row],[Index]],"0"),500,editsIdxTxt,editsParentKeyTxt,baseIdxTxt,baseCost)-5,
   ""
)</f>
        <v/>
      </c>
      <c r="AH173" s="503"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53" t="str">
        <f>IF(Contract_Edits[[#This Row],[Dep]]=0,"Root",
   IF(ISNUMBER(MATCH(Contract_Edits[[#This Row],[Dep]],Contract_Edits[Index],0)),"OK","Missing")
)</f>
        <v>Root</v>
      </c>
      <c r="AJ173" s="453" t="e">
        <f>IF(AND(Contract_Edits[[#This Row],[Dep]]&lt;&gt;0,
        ISNUMBER(MATCH(Contract_Edits[[#This Row],[Dep]], Contract_Edits[Index], 0)),
        INDEX(Contract_Edits[Dep], MATCH(Contract_Edits[[#This Row],[Dep]], Contract_Edits[Index], 0))=Contract_Edits[[#This Row],[Index]]),
   "2-cycle","")</f>
        <v>#N/A</v>
      </c>
      <c r="AK173" s="453" cm="1">
        <f t="array" ref="AK173">IF(Contract_Edits[[#This Row],[BaseFlag]]&lt;&gt;1,0,
   IF(TEXT(Contract_Edits[[#This Row],[Dep]],"0")=TEXT(Contract_Edits[[#This Row],[Index]],"0"),
      0,
      MAX(0, SUMPRODUCT(--(Contract_Edits[BaseFlag]=1),
                        --(TEXT(Contract_Edits[Dep],"0")=TEXT(Contract_Edits[[#This Row],[Dep]],"0"))) - 1)
   )
)</f>
        <v>0</v>
      </c>
      <c r="AL173" s="453" t="str" cm="1">
        <f t="array" ref="AL173">IF(Contract_Edits[[#This Row],[BaseFlag]]=1,
   TEXT(Contract_Edits[[#This Row],[Index]],"0"),
   NearestBaseL(TEXT(Contract_Edits[[#This Row],[ParentKey]],"0"),500,editsIdxTxt,editsParentKeyTxt,baseIdxTxt,baseCost)
)</f>
        <v>0</v>
      </c>
      <c r="AM173" s="453" cm="1">
        <f t="array" ref="AM173">1+SUMPRODUCT(
  (Contract_Edits[BaseFlag]=1)*
  (TEXT(Contract_Edits[ParentAnchor],"0")=TEXT(Contract_Edits[[#This Row],[ParentAnchor]],"0"))*
  (VALUE(TEXT(Contract_Edits[Index],"0"))&lt;VALUE(TEXT(Contract_Edits[[#This Row],[Index]],"0")))
)</f>
        <v>1</v>
      </c>
      <c r="AN173" s="453"/>
      <c r="AO173" s="193"/>
      <c r="AP173" s="193"/>
      <c r="AQ173" s="193"/>
      <c r="BC173" s="34"/>
      <c r="BD173" s="34"/>
      <c r="BE173" s="34"/>
      <c r="BZ173"/>
      <c r="CA173"/>
      <c r="CB173"/>
    </row>
    <row r="174" spans="11:80" ht="15">
      <c r="K174" s="104"/>
      <c r="L174" s="441">
        <v>93</v>
      </c>
      <c r="M174" s="441"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68"/>
      <c r="R174" s="508"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4" s="179">
        <v>0</v>
      </c>
      <c r="T174" s="179">
        <v>0</v>
      </c>
      <c r="U174" s="11"/>
      <c r="V174"/>
      <c r="W174" s="22" t="s">
        <v>358</v>
      </c>
      <c r="X174" s="22" t="s">
        <v>604</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03">
        <f>--(
  ISNUMBER(SEARCH("BASE PARENT", UPPER(CLEAN(TRIM(_xlfn.XLOOKUP(TEXT(Contract_Edits[[#This Row],[Index]],"0"), baseIdxTxt, baseCost, "")))))) +
  ISNUMBER(SEARCH("DEPENDENCY GROUP", UPPER(CLEAN(TRIM(_xlfn.XLOOKUP(TEXT(Contract_Edits[[#This Row],[Index]],"0"), baseIdxTxt, baseCost, ""))))))
)</f>
        <v>0</v>
      </c>
      <c r="AG174" s="503" t="str" cm="1">
        <f t="array" ref="AG174">IF(Contract_Edits[[#This Row],[BaseFlag]]=1,
   10*BaseDepthL(TEXT(Contract_Edits[[#This Row],[Index]],"0"),500,editsIdxTxt,editsParentKeyTxt,baseIdxTxt,baseCost)-5,
   ""
)</f>
        <v/>
      </c>
      <c r="AH174" s="503"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53" t="str">
        <f>IF(Contract_Edits[[#This Row],[Dep]]=0,"Root",
   IF(ISNUMBER(MATCH(Contract_Edits[[#This Row],[Dep]],Contract_Edits[Index],0)),"OK","Missing")
)</f>
        <v>Root</v>
      </c>
      <c r="AJ174" s="453" t="e">
        <f>IF(AND(Contract_Edits[[#This Row],[Dep]]&lt;&gt;0,
        ISNUMBER(MATCH(Contract_Edits[[#This Row],[Dep]], Contract_Edits[Index], 0)),
        INDEX(Contract_Edits[Dep], MATCH(Contract_Edits[[#This Row],[Dep]], Contract_Edits[Index], 0))=Contract_Edits[[#This Row],[Index]]),
   "2-cycle","")</f>
        <v>#N/A</v>
      </c>
      <c r="AK174" s="453" cm="1">
        <f t="array" ref="AK174">IF(Contract_Edits[[#This Row],[BaseFlag]]&lt;&gt;1,0,
   IF(TEXT(Contract_Edits[[#This Row],[Dep]],"0")=TEXT(Contract_Edits[[#This Row],[Index]],"0"),
      0,
      MAX(0, SUMPRODUCT(--(Contract_Edits[BaseFlag]=1),
                        --(TEXT(Contract_Edits[Dep],"0")=TEXT(Contract_Edits[[#This Row],[Dep]],"0"))) - 1)
   )
)</f>
        <v>0</v>
      </c>
      <c r="AL174" s="453" t="str" cm="1">
        <f t="array" ref="AL174">IF(Contract_Edits[[#This Row],[BaseFlag]]=1,
   TEXT(Contract_Edits[[#This Row],[Index]],"0"),
   NearestBaseL(TEXT(Contract_Edits[[#This Row],[ParentKey]],"0"),500,editsIdxTxt,editsParentKeyTxt,baseIdxTxt,baseCost)
)</f>
        <v>0</v>
      </c>
      <c r="AM174" s="453" cm="1">
        <f t="array" ref="AM174">1+SUMPRODUCT(
  (Contract_Edits[BaseFlag]=1)*
  (TEXT(Contract_Edits[ParentAnchor],"0")=TEXT(Contract_Edits[[#This Row],[ParentAnchor]],"0"))*
  (VALUE(TEXT(Contract_Edits[Index],"0"))&lt;VALUE(TEXT(Contract_Edits[[#This Row],[Index]],"0")))
)</f>
        <v>1</v>
      </c>
      <c r="AN174" s="453"/>
      <c r="AO174" s="193"/>
      <c r="AP174" s="193"/>
      <c r="AQ174" s="193"/>
      <c r="AR174" s="478"/>
      <c r="BC174" s="34"/>
      <c r="BD174" s="34"/>
      <c r="BE174" s="34"/>
      <c r="BZ174"/>
      <c r="CA174"/>
      <c r="CB174"/>
    </row>
    <row r="175" spans="11:80" ht="15">
      <c r="K175" s="104"/>
      <c r="L175" s="441">
        <v>122</v>
      </c>
      <c r="M175" s="441"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68"/>
      <c r="R175" s="508"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5" s="179">
        <v>0</v>
      </c>
      <c r="T175" s="179">
        <v>0</v>
      </c>
      <c r="U175" s="11"/>
      <c r="V175"/>
      <c r="W175" s="22" t="s">
        <v>358</v>
      </c>
      <c r="X175" s="22" t="s">
        <v>604</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03">
        <f>--(
  ISNUMBER(SEARCH("BASE PARENT", UPPER(CLEAN(TRIM(_xlfn.XLOOKUP(TEXT(Contract_Edits[[#This Row],[Index]],"0"), baseIdxTxt, baseCost, "")))))) +
  ISNUMBER(SEARCH("DEPENDENCY GROUP", UPPER(CLEAN(TRIM(_xlfn.XLOOKUP(TEXT(Contract_Edits[[#This Row],[Index]],"0"), baseIdxTxt, baseCost, ""))))))
)</f>
        <v>0</v>
      </c>
      <c r="AG175" s="503" t="str" cm="1">
        <f t="array" ref="AG175">IF(Contract_Edits[[#This Row],[BaseFlag]]=1,
   10*BaseDepthL(TEXT(Contract_Edits[[#This Row],[Index]],"0"),500,editsIdxTxt,editsParentKeyTxt,baseIdxTxt,baseCost)-5,
   ""
)</f>
        <v/>
      </c>
      <c r="AH175" s="503"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53" t="str">
        <f>IF(Contract_Edits[[#This Row],[Dep]]=0,"Root",
   IF(ISNUMBER(MATCH(Contract_Edits[[#This Row],[Dep]],Contract_Edits[Index],0)),"OK","Missing")
)</f>
        <v>Root</v>
      </c>
      <c r="AJ175" s="453" t="e">
        <f>IF(AND(Contract_Edits[[#This Row],[Dep]]&lt;&gt;0,
        ISNUMBER(MATCH(Contract_Edits[[#This Row],[Dep]], Contract_Edits[Index], 0)),
        INDEX(Contract_Edits[Dep], MATCH(Contract_Edits[[#This Row],[Dep]], Contract_Edits[Index], 0))=Contract_Edits[[#This Row],[Index]]),
   "2-cycle","")</f>
        <v>#N/A</v>
      </c>
      <c r="AK175" s="453" cm="1">
        <f t="array" ref="AK175">IF(Contract_Edits[[#This Row],[BaseFlag]]&lt;&gt;1,0,
   IF(TEXT(Contract_Edits[[#This Row],[Dep]],"0")=TEXT(Contract_Edits[[#This Row],[Index]],"0"),
      0,
      MAX(0, SUMPRODUCT(--(Contract_Edits[BaseFlag]=1),
                        --(TEXT(Contract_Edits[Dep],"0")=TEXT(Contract_Edits[[#This Row],[Dep]],"0"))) - 1)
   )
)</f>
        <v>0</v>
      </c>
      <c r="AL175" s="453" t="str" cm="1">
        <f t="array" ref="AL175">IF(Contract_Edits[[#This Row],[BaseFlag]]=1,
   TEXT(Contract_Edits[[#This Row],[Index]],"0"),
   NearestBaseL(TEXT(Contract_Edits[[#This Row],[ParentKey]],"0"),500,editsIdxTxt,editsParentKeyTxt,baseIdxTxt,baseCost)
)</f>
        <v>0</v>
      </c>
      <c r="AM175" s="453" cm="1">
        <f t="array" ref="AM175">1+SUMPRODUCT(
  (Contract_Edits[BaseFlag]=1)*
  (TEXT(Contract_Edits[ParentAnchor],"0")=TEXT(Contract_Edits[[#This Row],[ParentAnchor]],"0"))*
  (VALUE(TEXT(Contract_Edits[Index],"0"))&lt;VALUE(TEXT(Contract_Edits[[#This Row],[Index]],"0")))
)</f>
        <v>1</v>
      </c>
      <c r="AN175" s="453"/>
      <c r="AP175" s="193"/>
      <c r="AQ175" s="193"/>
      <c r="BC175" s="34"/>
      <c r="BD175" s="34"/>
      <c r="BE175" s="34"/>
      <c r="BZ175"/>
      <c r="CA175"/>
      <c r="CB175"/>
    </row>
    <row r="176" spans="11:80" ht="15">
      <c r="K176" s="104"/>
      <c r="L176" s="441">
        <v>165</v>
      </c>
      <c r="M176" s="441"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0"/>
      <c r="R176" s="508"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6" s="179">
        <v>0</v>
      </c>
      <c r="T176" s="469"/>
      <c r="U176" s="492"/>
      <c r="V176" s="193"/>
      <c r="W176" s="22" t="s">
        <v>358</v>
      </c>
      <c r="Y176" s="484"/>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03">
        <f>--(
  ISNUMBER(SEARCH("BASE PARENT", UPPER(CLEAN(TRIM(_xlfn.XLOOKUP(TEXT(Contract_Edits[[#This Row],[Index]],"0"), baseIdxTxt, baseCost, "")))))) +
  ISNUMBER(SEARCH("DEPENDENCY GROUP", UPPER(CLEAN(TRIM(_xlfn.XLOOKUP(TEXT(Contract_Edits[[#This Row],[Index]],"0"), baseIdxTxt, baseCost, ""))))))
)</f>
        <v>0</v>
      </c>
      <c r="AG176" s="503" t="str" cm="1">
        <f t="array" ref="AG176">IF(Contract_Edits[[#This Row],[BaseFlag]]=1,
   10*BaseDepthL(TEXT(Contract_Edits[[#This Row],[Index]],"0"),500,editsIdxTxt,editsParentKeyTxt,baseIdxTxt,baseCost)-5,
   ""
)</f>
        <v/>
      </c>
      <c r="AH176" s="503"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53" t="str">
        <f>IF(Contract_Edits[[#This Row],[Dep]]=0,"Root",
   IF(ISNUMBER(MATCH(Contract_Edits[[#This Row],[Dep]],Contract_Edits[Index],0)),"OK","Missing")
)</f>
        <v>Root</v>
      </c>
      <c r="AJ176" s="453" t="e">
        <f>IF(AND(Contract_Edits[[#This Row],[Dep]]&lt;&gt;0,
        ISNUMBER(MATCH(Contract_Edits[[#This Row],[Dep]], Contract_Edits[Index], 0)),
        INDEX(Contract_Edits[Dep], MATCH(Contract_Edits[[#This Row],[Dep]], Contract_Edits[Index], 0))=Contract_Edits[[#This Row],[Index]]),
   "2-cycle","")</f>
        <v>#N/A</v>
      </c>
      <c r="AK176" s="453" cm="1">
        <f t="array" ref="AK176">IF(Contract_Edits[[#This Row],[BaseFlag]]&lt;&gt;1,0,
   IF(TEXT(Contract_Edits[[#This Row],[Dep]],"0")=TEXT(Contract_Edits[[#This Row],[Index]],"0"),
      0,
      MAX(0, SUMPRODUCT(--(Contract_Edits[BaseFlag]=1),
                        --(TEXT(Contract_Edits[Dep],"0")=TEXT(Contract_Edits[[#This Row],[Dep]],"0"))) - 1)
   )
)</f>
        <v>0</v>
      </c>
      <c r="AL176" s="453" t="str" cm="1">
        <f t="array" ref="AL176">IF(Contract_Edits[[#This Row],[BaseFlag]]=1,
   TEXT(Contract_Edits[[#This Row],[Index]],"0"),
   NearestBaseL(TEXT(Contract_Edits[[#This Row],[ParentKey]],"0"),500,editsIdxTxt,editsParentKeyTxt,baseIdxTxt,baseCost)
)</f>
        <v>0</v>
      </c>
      <c r="AM176" s="453" cm="1">
        <f t="array" ref="AM176">1+SUMPRODUCT(
  (Contract_Edits[BaseFlag]=1)*
  (TEXT(Contract_Edits[ParentAnchor],"0")=TEXT(Contract_Edits[[#This Row],[ParentAnchor]],"0"))*
  (VALUE(TEXT(Contract_Edits[Index],"0"))&lt;VALUE(TEXT(Contract_Edits[[#This Row],[Index]],"0")))
)</f>
        <v>1</v>
      </c>
      <c r="AN176" s="453"/>
      <c r="AP176" s="193"/>
      <c r="AQ176" s="193"/>
      <c r="BC176" s="34"/>
      <c r="BD176" s="34"/>
      <c r="BE176" s="34"/>
      <c r="BZ176"/>
      <c r="CA176"/>
      <c r="CB176"/>
    </row>
    <row r="177" spans="11:80" ht="15">
      <c r="K177" s="104"/>
      <c r="L177" s="441">
        <v>91</v>
      </c>
      <c r="M177" s="441"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68"/>
      <c r="R177" s="508"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7" s="179">
        <v>0</v>
      </c>
      <c r="T177" s="179">
        <v>0</v>
      </c>
      <c r="U177" s="11"/>
      <c r="V177"/>
      <c r="W177" s="22" t="s">
        <v>358</v>
      </c>
      <c r="X177" s="22" t="s">
        <v>604</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03">
        <f>--(
  ISNUMBER(SEARCH("BASE PARENT", UPPER(CLEAN(TRIM(_xlfn.XLOOKUP(TEXT(Contract_Edits[[#This Row],[Index]],"0"), baseIdxTxt, baseCost, "")))))) +
  ISNUMBER(SEARCH("DEPENDENCY GROUP", UPPER(CLEAN(TRIM(_xlfn.XLOOKUP(TEXT(Contract_Edits[[#This Row],[Index]],"0"), baseIdxTxt, baseCost, ""))))))
)</f>
        <v>0</v>
      </c>
      <c r="AG177" s="503" t="str" cm="1">
        <f t="array" ref="AG177">IF(Contract_Edits[[#This Row],[BaseFlag]]=1,
   10*BaseDepthL(TEXT(Contract_Edits[[#This Row],[Index]],"0"),500,editsIdxTxt,editsParentKeyTxt,baseIdxTxt,baseCost)-5,
   ""
)</f>
        <v/>
      </c>
      <c r="AH177" s="503"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53" t="str">
        <f>IF(Contract_Edits[[#This Row],[Dep]]=0,"Root",
   IF(ISNUMBER(MATCH(Contract_Edits[[#This Row],[Dep]],Contract_Edits[Index],0)),"OK","Missing")
)</f>
        <v>Root</v>
      </c>
      <c r="AJ177" s="453" t="e">
        <f>IF(AND(Contract_Edits[[#This Row],[Dep]]&lt;&gt;0,
        ISNUMBER(MATCH(Contract_Edits[[#This Row],[Dep]], Contract_Edits[Index], 0)),
        INDEX(Contract_Edits[Dep], MATCH(Contract_Edits[[#This Row],[Dep]], Contract_Edits[Index], 0))=Contract_Edits[[#This Row],[Index]]),
   "2-cycle","")</f>
        <v>#N/A</v>
      </c>
      <c r="AK177" s="453" cm="1">
        <f t="array" ref="AK177">IF(Contract_Edits[[#This Row],[BaseFlag]]&lt;&gt;1,0,
   IF(TEXT(Contract_Edits[[#This Row],[Dep]],"0")=TEXT(Contract_Edits[[#This Row],[Index]],"0"),
      0,
      MAX(0, SUMPRODUCT(--(Contract_Edits[BaseFlag]=1),
                        --(TEXT(Contract_Edits[Dep],"0")=TEXT(Contract_Edits[[#This Row],[Dep]],"0"))) - 1)
   )
)</f>
        <v>0</v>
      </c>
      <c r="AL177" s="453" t="str" cm="1">
        <f t="array" ref="AL177">IF(Contract_Edits[[#This Row],[BaseFlag]]=1,
   TEXT(Contract_Edits[[#This Row],[Index]],"0"),
   NearestBaseL(TEXT(Contract_Edits[[#This Row],[ParentKey]],"0"),500,editsIdxTxt,editsParentKeyTxt,baseIdxTxt,baseCost)
)</f>
        <v>0</v>
      </c>
      <c r="AM177" s="453" cm="1">
        <f t="array" ref="AM177">1+SUMPRODUCT(
  (Contract_Edits[BaseFlag]=1)*
  (TEXT(Contract_Edits[ParentAnchor],"0")=TEXT(Contract_Edits[[#This Row],[ParentAnchor]],"0"))*
  (VALUE(TEXT(Contract_Edits[Index],"0"))&lt;VALUE(TEXT(Contract_Edits[[#This Row],[Index]],"0")))
)</f>
        <v>1</v>
      </c>
      <c r="AN177" s="453"/>
      <c r="AP177" s="193"/>
      <c r="AQ177" s="193"/>
      <c r="BC177" s="34"/>
      <c r="BD177" s="34"/>
      <c r="BE177" s="34"/>
      <c r="BZ177"/>
      <c r="CA177"/>
      <c r="CB177"/>
    </row>
    <row r="178" spans="11:80" ht="15">
      <c r="K178" s="104"/>
      <c r="L178" s="441">
        <v>166</v>
      </c>
      <c r="M178" s="441"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0"/>
      <c r="R178" s="508"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8" s="179">
        <v>0</v>
      </c>
      <c r="T178" s="469"/>
      <c r="U178" s="492"/>
      <c r="V178" s="193"/>
      <c r="W178" s="22" t="s">
        <v>358</v>
      </c>
      <c r="Y178" s="484"/>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03">
        <f>--(
  ISNUMBER(SEARCH("BASE PARENT", UPPER(CLEAN(TRIM(_xlfn.XLOOKUP(TEXT(Contract_Edits[[#This Row],[Index]],"0"), baseIdxTxt, baseCost, "")))))) +
  ISNUMBER(SEARCH("DEPENDENCY GROUP", UPPER(CLEAN(TRIM(_xlfn.XLOOKUP(TEXT(Contract_Edits[[#This Row],[Index]],"0"), baseIdxTxt, baseCost, ""))))))
)</f>
        <v>0</v>
      </c>
      <c r="AG178" s="503" t="str" cm="1">
        <f t="array" ref="AG178">IF(Contract_Edits[[#This Row],[BaseFlag]]=1,
   10*BaseDepthL(TEXT(Contract_Edits[[#This Row],[Index]],"0"),500,editsIdxTxt,editsParentKeyTxt,baseIdxTxt,baseCost)-5,
   ""
)</f>
        <v/>
      </c>
      <c r="AH178" s="503"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53" t="str">
        <f>IF(Contract_Edits[[#This Row],[Dep]]=0,"Root",
   IF(ISNUMBER(MATCH(Contract_Edits[[#This Row],[Dep]],Contract_Edits[Index],0)),"OK","Missing")
)</f>
        <v>Root</v>
      </c>
      <c r="AJ178" s="453" t="e">
        <f>IF(AND(Contract_Edits[[#This Row],[Dep]]&lt;&gt;0,
        ISNUMBER(MATCH(Contract_Edits[[#This Row],[Dep]], Contract_Edits[Index], 0)),
        INDEX(Contract_Edits[Dep], MATCH(Contract_Edits[[#This Row],[Dep]], Contract_Edits[Index], 0))=Contract_Edits[[#This Row],[Index]]),
   "2-cycle","")</f>
        <v>#N/A</v>
      </c>
      <c r="AK178" s="453" cm="1">
        <f t="array" ref="AK178">IF(Contract_Edits[[#This Row],[BaseFlag]]&lt;&gt;1,0,
   IF(TEXT(Contract_Edits[[#This Row],[Dep]],"0")=TEXT(Contract_Edits[[#This Row],[Index]],"0"),
      0,
      MAX(0, SUMPRODUCT(--(Contract_Edits[BaseFlag]=1),
                        --(TEXT(Contract_Edits[Dep],"0")=TEXT(Contract_Edits[[#This Row],[Dep]],"0"))) - 1)
   )
)</f>
        <v>0</v>
      </c>
      <c r="AL178" s="453" t="str" cm="1">
        <f t="array" ref="AL178">IF(Contract_Edits[[#This Row],[BaseFlag]]=1,
   TEXT(Contract_Edits[[#This Row],[Index]],"0"),
   NearestBaseL(TEXT(Contract_Edits[[#This Row],[ParentKey]],"0"),500,editsIdxTxt,editsParentKeyTxt,baseIdxTxt,baseCost)
)</f>
        <v>0</v>
      </c>
      <c r="AM178" s="453" cm="1">
        <f t="array" ref="AM178">1+SUMPRODUCT(
  (Contract_Edits[BaseFlag]=1)*
  (TEXT(Contract_Edits[ParentAnchor],"0")=TEXT(Contract_Edits[[#This Row],[ParentAnchor]],"0"))*
  (VALUE(TEXT(Contract_Edits[Index],"0"))&lt;VALUE(TEXT(Contract_Edits[[#This Row],[Index]],"0")))
)</f>
        <v>1</v>
      </c>
      <c r="AN178" s="453"/>
      <c r="AP178" s="193"/>
      <c r="AQ178" s="193"/>
      <c r="BC178" s="34"/>
      <c r="BD178" s="34"/>
      <c r="BE178" s="34"/>
      <c r="BZ178"/>
      <c r="CA178"/>
      <c r="CB178"/>
    </row>
    <row r="179" spans="11:80" ht="15">
      <c r="K179" s="104"/>
      <c r="L179" s="441">
        <v>145</v>
      </c>
      <c r="M179" s="441"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68"/>
      <c r="R179" s="508"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9" s="179">
        <v>0</v>
      </c>
      <c r="T179" s="179">
        <v>0</v>
      </c>
      <c r="U179" s="11"/>
      <c r="V179"/>
      <c r="W179" s="22" t="s">
        <v>358</v>
      </c>
      <c r="X179" s="22" t="s">
        <v>604</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03">
        <f>--(
  ISNUMBER(SEARCH("BASE PARENT", UPPER(CLEAN(TRIM(_xlfn.XLOOKUP(TEXT(Contract_Edits[[#This Row],[Index]],"0"), baseIdxTxt, baseCost, "")))))) +
  ISNUMBER(SEARCH("DEPENDENCY GROUP", UPPER(CLEAN(TRIM(_xlfn.XLOOKUP(TEXT(Contract_Edits[[#This Row],[Index]],"0"), baseIdxTxt, baseCost, ""))))))
)</f>
        <v>0</v>
      </c>
      <c r="AG179" s="503" t="str" cm="1">
        <f t="array" ref="AG179">IF(Contract_Edits[[#This Row],[BaseFlag]]=1,
   10*BaseDepthL(TEXT(Contract_Edits[[#This Row],[Index]],"0"),500,editsIdxTxt,editsParentKeyTxt,baseIdxTxt,baseCost)-5,
   ""
)</f>
        <v/>
      </c>
      <c r="AH179" s="503"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53" t="str">
        <f>IF(Contract_Edits[[#This Row],[Dep]]=0,"Root",
   IF(ISNUMBER(MATCH(Contract_Edits[[#This Row],[Dep]],Contract_Edits[Index],0)),"OK","Missing")
)</f>
        <v>Root</v>
      </c>
      <c r="AJ179" s="453" t="e">
        <f>IF(AND(Contract_Edits[[#This Row],[Dep]]&lt;&gt;0,
        ISNUMBER(MATCH(Contract_Edits[[#This Row],[Dep]], Contract_Edits[Index], 0)),
        INDEX(Contract_Edits[Dep], MATCH(Contract_Edits[[#This Row],[Dep]], Contract_Edits[Index], 0))=Contract_Edits[[#This Row],[Index]]),
   "2-cycle","")</f>
        <v>#N/A</v>
      </c>
      <c r="AK179" s="453" cm="1">
        <f t="array" ref="AK179">IF(Contract_Edits[[#This Row],[BaseFlag]]&lt;&gt;1,0,
   IF(TEXT(Contract_Edits[[#This Row],[Dep]],"0")=TEXT(Contract_Edits[[#This Row],[Index]],"0"),
      0,
      MAX(0, SUMPRODUCT(--(Contract_Edits[BaseFlag]=1),
                        --(TEXT(Contract_Edits[Dep],"0")=TEXT(Contract_Edits[[#This Row],[Dep]],"0"))) - 1)
   )
)</f>
        <v>0</v>
      </c>
      <c r="AL179" s="453" t="str" cm="1">
        <f t="array" ref="AL179">IF(Contract_Edits[[#This Row],[BaseFlag]]=1,
   TEXT(Contract_Edits[[#This Row],[Index]],"0"),
   NearestBaseL(TEXT(Contract_Edits[[#This Row],[ParentKey]],"0"),500,editsIdxTxt,editsParentKeyTxt,baseIdxTxt,baseCost)
)</f>
        <v>0</v>
      </c>
      <c r="AM179" s="453" cm="1">
        <f t="array" ref="AM179">1+SUMPRODUCT(
  (Contract_Edits[BaseFlag]=1)*
  (TEXT(Contract_Edits[ParentAnchor],"0")=TEXT(Contract_Edits[[#This Row],[ParentAnchor]],"0"))*
  (VALUE(TEXT(Contract_Edits[Index],"0"))&lt;VALUE(TEXT(Contract_Edits[[#This Row],[Index]],"0")))
)</f>
        <v>1</v>
      </c>
      <c r="AN179" s="453"/>
      <c r="AP179" s="193"/>
      <c r="AQ179" s="193"/>
      <c r="BC179" s="34"/>
      <c r="BD179" s="34"/>
      <c r="BE179" s="34"/>
      <c r="BZ179"/>
      <c r="CA179"/>
      <c r="CB179"/>
    </row>
    <row r="180" spans="11:80" ht="15">
      <c r="K180" s="104"/>
      <c r="L180" s="441">
        <v>92</v>
      </c>
      <c r="M180" s="441"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68"/>
      <c r="R180" s="508"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0" s="179">
        <v>0</v>
      </c>
      <c r="T180" s="179">
        <v>0</v>
      </c>
      <c r="U180" s="11"/>
      <c r="V180"/>
      <c r="W180" s="22" t="s">
        <v>358</v>
      </c>
      <c r="X180" s="22" t="s">
        <v>604</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03">
        <f>--(
  ISNUMBER(SEARCH("BASE PARENT", UPPER(CLEAN(TRIM(_xlfn.XLOOKUP(TEXT(Contract_Edits[[#This Row],[Index]],"0"), baseIdxTxt, baseCost, "")))))) +
  ISNUMBER(SEARCH("DEPENDENCY GROUP", UPPER(CLEAN(TRIM(_xlfn.XLOOKUP(TEXT(Contract_Edits[[#This Row],[Index]],"0"), baseIdxTxt, baseCost, ""))))))
)</f>
        <v>0</v>
      </c>
      <c r="AG180" s="503" t="str" cm="1">
        <f t="array" ref="AG180">IF(Contract_Edits[[#This Row],[BaseFlag]]=1,
   10*BaseDepthL(TEXT(Contract_Edits[[#This Row],[Index]],"0"),500,editsIdxTxt,editsParentKeyTxt,baseIdxTxt,baseCost)-5,
   ""
)</f>
        <v/>
      </c>
      <c r="AH180" s="503"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53" t="str">
        <f>IF(Contract_Edits[[#This Row],[Dep]]=0,"Root",
   IF(ISNUMBER(MATCH(Contract_Edits[[#This Row],[Dep]],Contract_Edits[Index],0)),"OK","Missing")
)</f>
        <v>Root</v>
      </c>
      <c r="AJ180" s="453" t="e">
        <f>IF(AND(Contract_Edits[[#This Row],[Dep]]&lt;&gt;0,
        ISNUMBER(MATCH(Contract_Edits[[#This Row],[Dep]], Contract_Edits[Index], 0)),
        INDEX(Contract_Edits[Dep], MATCH(Contract_Edits[[#This Row],[Dep]], Contract_Edits[Index], 0))=Contract_Edits[[#This Row],[Index]]),
   "2-cycle","")</f>
        <v>#N/A</v>
      </c>
      <c r="AK180" s="453" cm="1">
        <f t="array" ref="AK180">IF(Contract_Edits[[#This Row],[BaseFlag]]&lt;&gt;1,0,
   IF(TEXT(Contract_Edits[[#This Row],[Dep]],"0")=TEXT(Contract_Edits[[#This Row],[Index]],"0"),
      0,
      MAX(0, SUMPRODUCT(--(Contract_Edits[BaseFlag]=1),
                        --(TEXT(Contract_Edits[Dep],"0")=TEXT(Contract_Edits[[#This Row],[Dep]],"0"))) - 1)
   )
)</f>
        <v>0</v>
      </c>
      <c r="AL180" s="453" t="str" cm="1">
        <f t="array" ref="AL180">IF(Contract_Edits[[#This Row],[BaseFlag]]=1,
   TEXT(Contract_Edits[[#This Row],[Index]],"0"),
   NearestBaseL(TEXT(Contract_Edits[[#This Row],[ParentKey]],"0"),500,editsIdxTxt,editsParentKeyTxt,baseIdxTxt,baseCost)
)</f>
        <v>0</v>
      </c>
      <c r="AM180" s="453" cm="1">
        <f t="array" ref="AM180">1+SUMPRODUCT(
  (Contract_Edits[BaseFlag]=1)*
  (TEXT(Contract_Edits[ParentAnchor],"0")=TEXT(Contract_Edits[[#This Row],[ParentAnchor]],"0"))*
  (VALUE(TEXT(Contract_Edits[Index],"0"))&lt;VALUE(TEXT(Contract_Edits[[#This Row],[Index]],"0")))
)</f>
        <v>1</v>
      </c>
      <c r="AN180" s="453"/>
      <c r="AP180" s="193"/>
      <c r="AQ180" s="193"/>
      <c r="BC180" s="34"/>
      <c r="BD180" s="34"/>
      <c r="BE180" s="34"/>
      <c r="BZ180"/>
      <c r="CA180"/>
      <c r="CB180"/>
    </row>
    <row r="181" spans="11:80" ht="15">
      <c r="K181" s="104"/>
      <c r="L181" s="441">
        <v>167</v>
      </c>
      <c r="M181" s="441"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0"/>
      <c r="R181" s="508"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1" s="179">
        <v>0</v>
      </c>
      <c r="T181" s="469"/>
      <c r="U181" s="492"/>
      <c r="V181" s="193"/>
      <c r="W181" s="22" t="s">
        <v>358</v>
      </c>
      <c r="Y181" s="484"/>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03">
        <f>--(
  ISNUMBER(SEARCH("BASE PARENT", UPPER(CLEAN(TRIM(_xlfn.XLOOKUP(TEXT(Contract_Edits[[#This Row],[Index]],"0"), baseIdxTxt, baseCost, "")))))) +
  ISNUMBER(SEARCH("DEPENDENCY GROUP", UPPER(CLEAN(TRIM(_xlfn.XLOOKUP(TEXT(Contract_Edits[[#This Row],[Index]],"0"), baseIdxTxt, baseCost, ""))))))
)</f>
        <v>0</v>
      </c>
      <c r="AG181" s="503" t="str" cm="1">
        <f t="array" ref="AG181">IF(Contract_Edits[[#This Row],[BaseFlag]]=1,
   10*BaseDepthL(TEXT(Contract_Edits[[#This Row],[Index]],"0"),500,editsIdxTxt,editsParentKeyTxt,baseIdxTxt,baseCost)-5,
   ""
)</f>
        <v/>
      </c>
      <c r="AH181" s="503"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53" t="str">
        <f>IF(Contract_Edits[[#This Row],[Dep]]=0,"Root",
   IF(ISNUMBER(MATCH(Contract_Edits[[#This Row],[Dep]],Contract_Edits[Index],0)),"OK","Missing")
)</f>
        <v>Root</v>
      </c>
      <c r="AJ181" s="453" t="e">
        <f>IF(AND(Contract_Edits[[#This Row],[Dep]]&lt;&gt;0,
        ISNUMBER(MATCH(Contract_Edits[[#This Row],[Dep]], Contract_Edits[Index], 0)),
        INDEX(Contract_Edits[Dep], MATCH(Contract_Edits[[#This Row],[Dep]], Contract_Edits[Index], 0))=Contract_Edits[[#This Row],[Index]]),
   "2-cycle","")</f>
        <v>#N/A</v>
      </c>
      <c r="AK181" s="453" cm="1">
        <f t="array" ref="AK181">IF(Contract_Edits[[#This Row],[BaseFlag]]&lt;&gt;1,0,
   IF(TEXT(Contract_Edits[[#This Row],[Dep]],"0")=TEXT(Contract_Edits[[#This Row],[Index]],"0"),
      0,
      MAX(0, SUMPRODUCT(--(Contract_Edits[BaseFlag]=1),
                        --(TEXT(Contract_Edits[Dep],"0")=TEXT(Contract_Edits[[#This Row],[Dep]],"0"))) - 1)
   )
)</f>
        <v>0</v>
      </c>
      <c r="AL181" s="453" t="str" cm="1">
        <f t="array" ref="AL181">IF(Contract_Edits[[#This Row],[BaseFlag]]=1,
   TEXT(Contract_Edits[[#This Row],[Index]],"0"),
   NearestBaseL(TEXT(Contract_Edits[[#This Row],[ParentKey]],"0"),500,editsIdxTxt,editsParentKeyTxt,baseIdxTxt,baseCost)
)</f>
        <v>0</v>
      </c>
      <c r="AM181" s="453" cm="1">
        <f t="array" ref="AM181">1+SUMPRODUCT(
  (Contract_Edits[BaseFlag]=1)*
  (TEXT(Contract_Edits[ParentAnchor],"0")=TEXT(Contract_Edits[[#This Row],[ParentAnchor]],"0"))*
  (VALUE(TEXT(Contract_Edits[Index],"0"))&lt;VALUE(TEXT(Contract_Edits[[#This Row],[Index]],"0")))
)</f>
        <v>1</v>
      </c>
      <c r="AN181" s="453"/>
      <c r="AP181" s="193"/>
      <c r="AQ181" s="193"/>
      <c r="BC181" s="34"/>
      <c r="BD181" s="34"/>
      <c r="BE181" s="34"/>
      <c r="BZ181"/>
      <c r="CA181"/>
      <c r="CB181"/>
    </row>
    <row r="182" spans="11:80" ht="15">
      <c r="K182" s="104"/>
      <c r="L182" s="441">
        <v>168</v>
      </c>
      <c r="M182" s="441"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0"/>
      <c r="R182" s="508"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2" s="179">
        <v>0</v>
      </c>
      <c r="T182" s="469"/>
      <c r="U182" s="492"/>
      <c r="V182" s="193"/>
      <c r="W182" s="22" t="s">
        <v>358</v>
      </c>
      <c r="Y182" s="484"/>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03">
        <f>--(
  ISNUMBER(SEARCH("BASE PARENT", UPPER(CLEAN(TRIM(_xlfn.XLOOKUP(TEXT(Contract_Edits[[#This Row],[Index]],"0"), baseIdxTxt, baseCost, "")))))) +
  ISNUMBER(SEARCH("DEPENDENCY GROUP", UPPER(CLEAN(TRIM(_xlfn.XLOOKUP(TEXT(Contract_Edits[[#This Row],[Index]],"0"), baseIdxTxt, baseCost, ""))))))
)</f>
        <v>0</v>
      </c>
      <c r="AG182" s="503" t="str" cm="1">
        <f t="array" ref="AG182">IF(Contract_Edits[[#This Row],[BaseFlag]]=1,
   10*BaseDepthL(TEXT(Contract_Edits[[#This Row],[Index]],"0"),500,editsIdxTxt,editsParentKeyTxt,baseIdxTxt,baseCost)-5,
   ""
)</f>
        <v/>
      </c>
      <c r="AH182" s="503"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53" t="str">
        <f>IF(Contract_Edits[[#This Row],[Dep]]=0,"Root",
   IF(ISNUMBER(MATCH(Contract_Edits[[#This Row],[Dep]],Contract_Edits[Index],0)),"OK","Missing")
)</f>
        <v>Root</v>
      </c>
      <c r="AJ182" s="453" t="e">
        <f>IF(AND(Contract_Edits[[#This Row],[Dep]]&lt;&gt;0,
        ISNUMBER(MATCH(Contract_Edits[[#This Row],[Dep]], Contract_Edits[Index], 0)),
        INDEX(Contract_Edits[Dep], MATCH(Contract_Edits[[#This Row],[Dep]], Contract_Edits[Index], 0))=Contract_Edits[[#This Row],[Index]]),
   "2-cycle","")</f>
        <v>#N/A</v>
      </c>
      <c r="AK182" s="453" cm="1">
        <f t="array" ref="AK182">IF(Contract_Edits[[#This Row],[BaseFlag]]&lt;&gt;1,0,
   IF(TEXT(Contract_Edits[[#This Row],[Dep]],"0")=TEXT(Contract_Edits[[#This Row],[Index]],"0"),
      0,
      MAX(0, SUMPRODUCT(--(Contract_Edits[BaseFlag]=1),
                        --(TEXT(Contract_Edits[Dep],"0")=TEXT(Contract_Edits[[#This Row],[Dep]],"0"))) - 1)
   )
)</f>
        <v>0</v>
      </c>
      <c r="AL182" s="453" t="str" cm="1">
        <f t="array" ref="AL182">IF(Contract_Edits[[#This Row],[BaseFlag]]=1,
   TEXT(Contract_Edits[[#This Row],[Index]],"0"),
   NearestBaseL(TEXT(Contract_Edits[[#This Row],[ParentKey]],"0"),500,editsIdxTxt,editsParentKeyTxt,baseIdxTxt,baseCost)
)</f>
        <v>0</v>
      </c>
      <c r="AM182" s="453" cm="1">
        <f t="array" ref="AM182">1+SUMPRODUCT(
  (Contract_Edits[BaseFlag]=1)*
  (TEXT(Contract_Edits[ParentAnchor],"0")=TEXT(Contract_Edits[[#This Row],[ParentAnchor]],"0"))*
  (VALUE(TEXT(Contract_Edits[Index],"0"))&lt;VALUE(TEXT(Contract_Edits[[#This Row],[Index]],"0")))
)</f>
        <v>1</v>
      </c>
      <c r="AN182" s="453"/>
      <c r="AP182" s="193"/>
      <c r="AQ182" s="193"/>
      <c r="BC182" s="34"/>
      <c r="BD182" s="34"/>
      <c r="BE182" s="34"/>
      <c r="BZ182"/>
      <c r="CA182"/>
      <c r="CB182"/>
    </row>
    <row r="183" spans="11:80" ht="15">
      <c r="K183" s="104"/>
      <c r="L183" s="441">
        <v>121</v>
      </c>
      <c r="M183" s="441"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68"/>
      <c r="R183" s="508"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3" s="179">
        <v>0</v>
      </c>
      <c r="T183" s="179">
        <v>0</v>
      </c>
      <c r="U183" s="11"/>
      <c r="V183"/>
      <c r="W183" s="22" t="s">
        <v>358</v>
      </c>
      <c r="X183" s="22" t="s">
        <v>604</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03">
        <f>--(
  ISNUMBER(SEARCH("BASE PARENT", UPPER(CLEAN(TRIM(_xlfn.XLOOKUP(TEXT(Contract_Edits[[#This Row],[Index]],"0"), baseIdxTxt, baseCost, "")))))) +
  ISNUMBER(SEARCH("DEPENDENCY GROUP", UPPER(CLEAN(TRIM(_xlfn.XLOOKUP(TEXT(Contract_Edits[[#This Row],[Index]],"0"), baseIdxTxt, baseCost, ""))))))
)</f>
        <v>0</v>
      </c>
      <c r="AG183" s="503" t="str" cm="1">
        <f t="array" ref="AG183">IF(Contract_Edits[[#This Row],[BaseFlag]]=1,
   10*BaseDepthL(TEXT(Contract_Edits[[#This Row],[Index]],"0"),500,editsIdxTxt,editsParentKeyTxt,baseIdxTxt,baseCost)-5,
   ""
)</f>
        <v/>
      </c>
      <c r="AH183" s="503"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53" t="str">
        <f>IF(Contract_Edits[[#This Row],[Dep]]=0,"Root",
   IF(ISNUMBER(MATCH(Contract_Edits[[#This Row],[Dep]],Contract_Edits[Index],0)),"OK","Missing")
)</f>
        <v>Root</v>
      </c>
      <c r="AJ183" s="453" t="e">
        <f>IF(AND(Contract_Edits[[#This Row],[Dep]]&lt;&gt;0,
        ISNUMBER(MATCH(Contract_Edits[[#This Row],[Dep]], Contract_Edits[Index], 0)),
        INDEX(Contract_Edits[Dep], MATCH(Contract_Edits[[#This Row],[Dep]], Contract_Edits[Index], 0))=Contract_Edits[[#This Row],[Index]]),
   "2-cycle","")</f>
        <v>#N/A</v>
      </c>
      <c r="AK183" s="453" cm="1">
        <f t="array" ref="AK183">IF(Contract_Edits[[#This Row],[BaseFlag]]&lt;&gt;1,0,
   IF(TEXT(Contract_Edits[[#This Row],[Dep]],"0")=TEXT(Contract_Edits[[#This Row],[Index]],"0"),
      0,
      MAX(0, SUMPRODUCT(--(Contract_Edits[BaseFlag]=1),
                        --(TEXT(Contract_Edits[Dep],"0")=TEXT(Contract_Edits[[#This Row],[Dep]],"0"))) - 1)
   )
)</f>
        <v>0</v>
      </c>
      <c r="AL183" s="453" t="str" cm="1">
        <f t="array" ref="AL183">IF(Contract_Edits[[#This Row],[BaseFlag]]=1,
   TEXT(Contract_Edits[[#This Row],[Index]],"0"),
   NearestBaseL(TEXT(Contract_Edits[[#This Row],[ParentKey]],"0"),500,editsIdxTxt,editsParentKeyTxt,baseIdxTxt,baseCost)
)</f>
        <v>0</v>
      </c>
      <c r="AM183" s="453" cm="1">
        <f t="array" ref="AM183">1+SUMPRODUCT(
  (Contract_Edits[BaseFlag]=1)*
  (TEXT(Contract_Edits[ParentAnchor],"0")=TEXT(Contract_Edits[[#This Row],[ParentAnchor]],"0"))*
  (VALUE(TEXT(Contract_Edits[Index],"0"))&lt;VALUE(TEXT(Contract_Edits[[#This Row],[Index]],"0")))
)</f>
        <v>1</v>
      </c>
      <c r="AN183" s="453"/>
      <c r="AP183" s="193"/>
      <c r="AQ183" s="193"/>
      <c r="BC183" s="34"/>
      <c r="BD183" s="34"/>
      <c r="BE183" s="34"/>
      <c r="BZ183"/>
      <c r="CA183"/>
      <c r="CB183"/>
    </row>
    <row r="184" spans="11:80" ht="15">
      <c r="K184" s="104"/>
      <c r="L184" s="441">
        <v>89</v>
      </c>
      <c r="M184" s="441"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68"/>
      <c r="R184" s="508"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4" s="179">
        <v>0</v>
      </c>
      <c r="T184" s="179">
        <v>0</v>
      </c>
      <c r="U184" s="11"/>
      <c r="V184"/>
      <c r="W184" s="22" t="s">
        <v>358</v>
      </c>
      <c r="X184" s="22" t="s">
        <v>604</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03">
        <f>--(
  ISNUMBER(SEARCH("BASE PARENT", UPPER(CLEAN(TRIM(_xlfn.XLOOKUP(TEXT(Contract_Edits[[#This Row],[Index]],"0"), baseIdxTxt, baseCost, "")))))) +
  ISNUMBER(SEARCH("DEPENDENCY GROUP", UPPER(CLEAN(TRIM(_xlfn.XLOOKUP(TEXT(Contract_Edits[[#This Row],[Index]],"0"), baseIdxTxt, baseCost, ""))))))
)</f>
        <v>0</v>
      </c>
      <c r="AG184" s="503" t="str" cm="1">
        <f t="array" ref="AG184">IF(Contract_Edits[[#This Row],[BaseFlag]]=1,
   10*BaseDepthL(TEXT(Contract_Edits[[#This Row],[Index]],"0"),500,editsIdxTxt,editsParentKeyTxt,baseIdxTxt,baseCost)-5,
   ""
)</f>
        <v/>
      </c>
      <c r="AH184" s="503"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53" t="str">
        <f>IF(Contract_Edits[[#This Row],[Dep]]=0,"Root",
   IF(ISNUMBER(MATCH(Contract_Edits[[#This Row],[Dep]],Contract_Edits[Index],0)),"OK","Missing")
)</f>
        <v>Root</v>
      </c>
      <c r="AJ184" s="453" t="e">
        <f>IF(AND(Contract_Edits[[#This Row],[Dep]]&lt;&gt;0,
        ISNUMBER(MATCH(Contract_Edits[[#This Row],[Dep]], Contract_Edits[Index], 0)),
        INDEX(Contract_Edits[Dep], MATCH(Contract_Edits[[#This Row],[Dep]], Contract_Edits[Index], 0))=Contract_Edits[[#This Row],[Index]]),
   "2-cycle","")</f>
        <v>#N/A</v>
      </c>
      <c r="AK184" s="453" cm="1">
        <f t="array" ref="AK184">IF(Contract_Edits[[#This Row],[BaseFlag]]&lt;&gt;1,0,
   IF(TEXT(Contract_Edits[[#This Row],[Dep]],"0")=TEXT(Contract_Edits[[#This Row],[Index]],"0"),
      0,
      MAX(0, SUMPRODUCT(--(Contract_Edits[BaseFlag]=1),
                        --(TEXT(Contract_Edits[Dep],"0")=TEXT(Contract_Edits[[#This Row],[Dep]],"0"))) - 1)
   )
)</f>
        <v>0</v>
      </c>
      <c r="AL184" s="453" t="str" cm="1">
        <f t="array" ref="AL184">IF(Contract_Edits[[#This Row],[BaseFlag]]=1,
   TEXT(Contract_Edits[[#This Row],[Index]],"0"),
   NearestBaseL(TEXT(Contract_Edits[[#This Row],[ParentKey]],"0"),500,editsIdxTxt,editsParentKeyTxt,baseIdxTxt,baseCost)
)</f>
        <v>0</v>
      </c>
      <c r="AM184" s="453" cm="1">
        <f t="array" ref="AM184">1+SUMPRODUCT(
  (Contract_Edits[BaseFlag]=1)*
  (TEXT(Contract_Edits[ParentAnchor],"0")=TEXT(Contract_Edits[[#This Row],[ParentAnchor]],"0"))*
  (VALUE(TEXT(Contract_Edits[Index],"0"))&lt;VALUE(TEXT(Contract_Edits[[#This Row],[Index]],"0")))
)</f>
        <v>1</v>
      </c>
      <c r="AN184" s="453"/>
      <c r="AP184" s="193"/>
      <c r="AQ184" s="193"/>
      <c r="BC184" s="34"/>
      <c r="BD184" s="34"/>
      <c r="BE184" s="34"/>
      <c r="BZ184"/>
      <c r="CA184"/>
      <c r="CB184"/>
    </row>
    <row r="185" spans="11:80" ht="15">
      <c r="K185" s="104"/>
      <c r="L185" s="441">
        <v>169</v>
      </c>
      <c r="M185" s="441"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0"/>
      <c r="R185" s="508"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5" s="179">
        <v>0</v>
      </c>
      <c r="T185" s="469"/>
      <c r="U185" s="492"/>
      <c r="V185" s="193"/>
      <c r="W185" s="22" t="s">
        <v>358</v>
      </c>
      <c r="Y185" s="484"/>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03">
        <f>--(
  ISNUMBER(SEARCH("BASE PARENT", UPPER(CLEAN(TRIM(_xlfn.XLOOKUP(TEXT(Contract_Edits[[#This Row],[Index]],"0"), baseIdxTxt, baseCost, "")))))) +
  ISNUMBER(SEARCH("DEPENDENCY GROUP", UPPER(CLEAN(TRIM(_xlfn.XLOOKUP(TEXT(Contract_Edits[[#This Row],[Index]],"0"), baseIdxTxt, baseCost, ""))))))
)</f>
        <v>0</v>
      </c>
      <c r="AG185" s="503" t="str" cm="1">
        <f t="array" ref="AG185">IF(Contract_Edits[[#This Row],[BaseFlag]]=1,
   10*BaseDepthL(TEXT(Contract_Edits[[#This Row],[Index]],"0"),500,editsIdxTxt,editsParentKeyTxt,baseIdxTxt,baseCost)-5,
   ""
)</f>
        <v/>
      </c>
      <c r="AH185" s="503"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53" t="str">
        <f>IF(Contract_Edits[[#This Row],[Dep]]=0,"Root",
   IF(ISNUMBER(MATCH(Contract_Edits[[#This Row],[Dep]],Contract_Edits[Index],0)),"OK","Missing")
)</f>
        <v>Root</v>
      </c>
      <c r="AJ185" s="453" t="e">
        <f>IF(AND(Contract_Edits[[#This Row],[Dep]]&lt;&gt;0,
        ISNUMBER(MATCH(Contract_Edits[[#This Row],[Dep]], Contract_Edits[Index], 0)),
        INDEX(Contract_Edits[Dep], MATCH(Contract_Edits[[#This Row],[Dep]], Contract_Edits[Index], 0))=Contract_Edits[[#This Row],[Index]]),
   "2-cycle","")</f>
        <v>#N/A</v>
      </c>
      <c r="AK185" s="453" cm="1">
        <f t="array" ref="AK185">IF(Contract_Edits[[#This Row],[BaseFlag]]&lt;&gt;1,0,
   IF(TEXT(Contract_Edits[[#This Row],[Dep]],"0")=TEXT(Contract_Edits[[#This Row],[Index]],"0"),
      0,
      MAX(0, SUMPRODUCT(--(Contract_Edits[BaseFlag]=1),
                        --(TEXT(Contract_Edits[Dep],"0")=TEXT(Contract_Edits[[#This Row],[Dep]],"0"))) - 1)
   )
)</f>
        <v>0</v>
      </c>
      <c r="AL185" s="453" t="str" cm="1">
        <f t="array" ref="AL185">IF(Contract_Edits[[#This Row],[BaseFlag]]=1,
   TEXT(Contract_Edits[[#This Row],[Index]],"0"),
   NearestBaseL(TEXT(Contract_Edits[[#This Row],[ParentKey]],"0"),500,editsIdxTxt,editsParentKeyTxt,baseIdxTxt,baseCost)
)</f>
        <v>0</v>
      </c>
      <c r="AM185" s="453" cm="1">
        <f t="array" ref="AM185">1+SUMPRODUCT(
  (Contract_Edits[BaseFlag]=1)*
  (TEXT(Contract_Edits[ParentAnchor],"0")=TEXT(Contract_Edits[[#This Row],[ParentAnchor]],"0"))*
  (VALUE(TEXT(Contract_Edits[Index],"0"))&lt;VALUE(TEXT(Contract_Edits[[#This Row],[Index]],"0")))
)</f>
        <v>1</v>
      </c>
      <c r="AN185" s="453"/>
      <c r="AP185" s="193"/>
      <c r="AQ185" s="193"/>
      <c r="BC185" s="34"/>
      <c r="BD185" s="34"/>
      <c r="BE185" s="34"/>
      <c r="BZ185"/>
      <c r="CA185"/>
      <c r="CB185"/>
    </row>
    <row r="186" spans="11:80" ht="15">
      <c r="K186" s="104"/>
      <c r="L186" s="441">
        <v>108</v>
      </c>
      <c r="M186" s="441"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68"/>
      <c r="R186" s="508"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6" s="179">
        <v>0</v>
      </c>
      <c r="T186" s="179">
        <v>0</v>
      </c>
      <c r="U186" s="11"/>
      <c r="V186"/>
      <c r="W186" s="22" t="s">
        <v>358</v>
      </c>
      <c r="X186" s="22" t="s">
        <v>604</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03">
        <f>--(
  ISNUMBER(SEARCH("BASE PARENT", UPPER(CLEAN(TRIM(_xlfn.XLOOKUP(TEXT(Contract_Edits[[#This Row],[Index]],"0"), baseIdxTxt, baseCost, "")))))) +
  ISNUMBER(SEARCH("DEPENDENCY GROUP", UPPER(CLEAN(TRIM(_xlfn.XLOOKUP(TEXT(Contract_Edits[[#This Row],[Index]],"0"), baseIdxTxt, baseCost, ""))))))
)</f>
        <v>0</v>
      </c>
      <c r="AG186" s="503" t="str" cm="1">
        <f t="array" ref="AG186">IF(Contract_Edits[[#This Row],[BaseFlag]]=1,
   10*BaseDepthL(TEXT(Contract_Edits[[#This Row],[Index]],"0"),500,editsIdxTxt,editsParentKeyTxt,baseIdxTxt,baseCost)-5,
   ""
)</f>
        <v/>
      </c>
      <c r="AH186" s="503"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53" t="str">
        <f>IF(Contract_Edits[[#This Row],[Dep]]=0,"Root",
   IF(ISNUMBER(MATCH(Contract_Edits[[#This Row],[Dep]],Contract_Edits[Index],0)),"OK","Missing")
)</f>
        <v>Root</v>
      </c>
      <c r="AJ186" s="453" t="e">
        <f>IF(AND(Contract_Edits[[#This Row],[Dep]]&lt;&gt;0,
        ISNUMBER(MATCH(Contract_Edits[[#This Row],[Dep]], Contract_Edits[Index], 0)),
        INDEX(Contract_Edits[Dep], MATCH(Contract_Edits[[#This Row],[Dep]], Contract_Edits[Index], 0))=Contract_Edits[[#This Row],[Index]]),
   "2-cycle","")</f>
        <v>#N/A</v>
      </c>
      <c r="AK186" s="453" cm="1">
        <f t="array" ref="AK186">IF(Contract_Edits[[#This Row],[BaseFlag]]&lt;&gt;1,0,
   IF(TEXT(Contract_Edits[[#This Row],[Dep]],"0")=TEXT(Contract_Edits[[#This Row],[Index]],"0"),
      0,
      MAX(0, SUMPRODUCT(--(Contract_Edits[BaseFlag]=1),
                        --(TEXT(Contract_Edits[Dep],"0")=TEXT(Contract_Edits[[#This Row],[Dep]],"0"))) - 1)
   )
)</f>
        <v>0</v>
      </c>
      <c r="AL186" s="453" t="str" cm="1">
        <f t="array" ref="AL186">IF(Contract_Edits[[#This Row],[BaseFlag]]=1,
   TEXT(Contract_Edits[[#This Row],[Index]],"0"),
   NearestBaseL(TEXT(Contract_Edits[[#This Row],[ParentKey]],"0"),500,editsIdxTxt,editsParentKeyTxt,baseIdxTxt,baseCost)
)</f>
        <v>0</v>
      </c>
      <c r="AM186" s="453" cm="1">
        <f t="array" ref="AM186">1+SUMPRODUCT(
  (Contract_Edits[BaseFlag]=1)*
  (TEXT(Contract_Edits[ParentAnchor],"0")=TEXT(Contract_Edits[[#This Row],[ParentAnchor]],"0"))*
  (VALUE(TEXT(Contract_Edits[Index],"0"))&lt;VALUE(TEXT(Contract_Edits[[#This Row],[Index]],"0")))
)</f>
        <v>1</v>
      </c>
      <c r="AN186" s="453"/>
      <c r="AP186" s="193"/>
      <c r="AQ186" s="193"/>
      <c r="BC186" s="34"/>
      <c r="BD186" s="34"/>
      <c r="BE186" s="34"/>
      <c r="BZ186"/>
      <c r="CA186"/>
      <c r="CB186"/>
    </row>
    <row r="187" spans="11:80" ht="15">
      <c r="K187" s="104"/>
      <c r="L187" s="441">
        <v>170</v>
      </c>
      <c r="M187" s="441"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0"/>
      <c r="R187" s="508"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7" s="179">
        <v>0</v>
      </c>
      <c r="T187" s="469"/>
      <c r="U187" s="492"/>
      <c r="V187" s="193"/>
      <c r="W187" s="22" t="s">
        <v>358</v>
      </c>
      <c r="Y187" s="484"/>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03">
        <f>--(
  ISNUMBER(SEARCH("BASE PARENT", UPPER(CLEAN(TRIM(_xlfn.XLOOKUP(TEXT(Contract_Edits[[#This Row],[Index]],"0"), baseIdxTxt, baseCost, "")))))) +
  ISNUMBER(SEARCH("DEPENDENCY GROUP", UPPER(CLEAN(TRIM(_xlfn.XLOOKUP(TEXT(Contract_Edits[[#This Row],[Index]],"0"), baseIdxTxt, baseCost, ""))))))
)</f>
        <v>0</v>
      </c>
      <c r="AG187" s="503" t="str" cm="1">
        <f t="array" ref="AG187">IF(Contract_Edits[[#This Row],[BaseFlag]]=1,
   10*BaseDepthL(TEXT(Contract_Edits[[#This Row],[Index]],"0"),500,editsIdxTxt,editsParentKeyTxt,baseIdxTxt,baseCost)-5,
   ""
)</f>
        <v/>
      </c>
      <c r="AH187" s="503"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53" t="str">
        <f>IF(Contract_Edits[[#This Row],[Dep]]=0,"Root",
   IF(ISNUMBER(MATCH(Contract_Edits[[#This Row],[Dep]],Contract_Edits[Index],0)),"OK","Missing")
)</f>
        <v>Root</v>
      </c>
      <c r="AJ187" s="453" t="e">
        <f>IF(AND(Contract_Edits[[#This Row],[Dep]]&lt;&gt;0,
        ISNUMBER(MATCH(Contract_Edits[[#This Row],[Dep]], Contract_Edits[Index], 0)),
        INDEX(Contract_Edits[Dep], MATCH(Contract_Edits[[#This Row],[Dep]], Contract_Edits[Index], 0))=Contract_Edits[[#This Row],[Index]]),
   "2-cycle","")</f>
        <v>#N/A</v>
      </c>
      <c r="AK187" s="453" cm="1">
        <f t="array" ref="AK187">IF(Contract_Edits[[#This Row],[BaseFlag]]&lt;&gt;1,0,
   IF(TEXT(Contract_Edits[[#This Row],[Dep]],"0")=TEXT(Contract_Edits[[#This Row],[Index]],"0"),
      0,
      MAX(0, SUMPRODUCT(--(Contract_Edits[BaseFlag]=1),
                        --(TEXT(Contract_Edits[Dep],"0")=TEXT(Contract_Edits[[#This Row],[Dep]],"0"))) - 1)
   )
)</f>
        <v>0</v>
      </c>
      <c r="AL187" s="453" t="str" cm="1">
        <f t="array" ref="AL187">IF(Contract_Edits[[#This Row],[BaseFlag]]=1,
   TEXT(Contract_Edits[[#This Row],[Index]],"0"),
   NearestBaseL(TEXT(Contract_Edits[[#This Row],[ParentKey]],"0"),500,editsIdxTxt,editsParentKeyTxt,baseIdxTxt,baseCost)
)</f>
        <v>0</v>
      </c>
      <c r="AM187" s="453" cm="1">
        <f t="array" ref="AM187">1+SUMPRODUCT(
  (Contract_Edits[BaseFlag]=1)*
  (TEXT(Contract_Edits[ParentAnchor],"0")=TEXT(Contract_Edits[[#This Row],[ParentAnchor]],"0"))*
  (VALUE(TEXT(Contract_Edits[Index],"0"))&lt;VALUE(TEXT(Contract_Edits[[#This Row],[Index]],"0")))
)</f>
        <v>1</v>
      </c>
      <c r="AN187" s="453"/>
      <c r="AP187" s="193"/>
      <c r="AQ187" s="193"/>
      <c r="BC187" s="34"/>
      <c r="BD187" s="34"/>
      <c r="BE187" s="34"/>
      <c r="BZ187"/>
      <c r="CA187"/>
      <c r="CB187"/>
    </row>
    <row r="188" spans="11:80" ht="15">
      <c r="K188" s="104"/>
      <c r="L188" s="441">
        <v>95</v>
      </c>
      <c r="M188" s="441"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68"/>
      <c r="R188" s="508"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8" s="179">
        <v>0</v>
      </c>
      <c r="T188" s="179">
        <v>0</v>
      </c>
      <c r="U188" s="11"/>
      <c r="V188"/>
      <c r="W188" s="22" t="s">
        <v>358</v>
      </c>
      <c r="X188" s="22" t="s">
        <v>604</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03">
        <f>--(
  ISNUMBER(SEARCH("BASE PARENT", UPPER(CLEAN(TRIM(_xlfn.XLOOKUP(TEXT(Contract_Edits[[#This Row],[Index]],"0"), baseIdxTxt, baseCost, "")))))) +
  ISNUMBER(SEARCH("DEPENDENCY GROUP", UPPER(CLEAN(TRIM(_xlfn.XLOOKUP(TEXT(Contract_Edits[[#This Row],[Index]],"0"), baseIdxTxt, baseCost, ""))))))
)</f>
        <v>0</v>
      </c>
      <c r="AG188" s="503" t="str" cm="1">
        <f t="array" ref="AG188">IF(Contract_Edits[[#This Row],[BaseFlag]]=1,
   10*BaseDepthL(TEXT(Contract_Edits[[#This Row],[Index]],"0"),500,editsIdxTxt,editsParentKeyTxt,baseIdxTxt,baseCost)-5,
   ""
)</f>
        <v/>
      </c>
      <c r="AH188" s="503"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53" t="str">
        <f>IF(Contract_Edits[[#This Row],[Dep]]=0,"Root",
   IF(ISNUMBER(MATCH(Contract_Edits[[#This Row],[Dep]],Contract_Edits[Index],0)),"OK","Missing")
)</f>
        <v>Root</v>
      </c>
      <c r="AJ188" s="453" t="e">
        <f>IF(AND(Contract_Edits[[#This Row],[Dep]]&lt;&gt;0,
        ISNUMBER(MATCH(Contract_Edits[[#This Row],[Dep]], Contract_Edits[Index], 0)),
        INDEX(Contract_Edits[Dep], MATCH(Contract_Edits[[#This Row],[Dep]], Contract_Edits[Index], 0))=Contract_Edits[[#This Row],[Index]]),
   "2-cycle","")</f>
        <v>#N/A</v>
      </c>
      <c r="AK188" s="453" cm="1">
        <f t="array" ref="AK188">IF(Contract_Edits[[#This Row],[BaseFlag]]&lt;&gt;1,0,
   IF(TEXT(Contract_Edits[[#This Row],[Dep]],"0")=TEXT(Contract_Edits[[#This Row],[Index]],"0"),
      0,
      MAX(0, SUMPRODUCT(--(Contract_Edits[BaseFlag]=1),
                        --(TEXT(Contract_Edits[Dep],"0")=TEXT(Contract_Edits[[#This Row],[Dep]],"0"))) - 1)
   )
)</f>
        <v>0</v>
      </c>
      <c r="AL188" s="453" t="str" cm="1">
        <f t="array" ref="AL188">IF(Contract_Edits[[#This Row],[BaseFlag]]=1,
   TEXT(Contract_Edits[[#This Row],[Index]],"0"),
   NearestBaseL(TEXT(Contract_Edits[[#This Row],[ParentKey]],"0"),500,editsIdxTxt,editsParentKeyTxt,baseIdxTxt,baseCost)
)</f>
        <v>0</v>
      </c>
      <c r="AM188" s="453" cm="1">
        <f t="array" ref="AM188">1+SUMPRODUCT(
  (Contract_Edits[BaseFlag]=1)*
  (TEXT(Contract_Edits[ParentAnchor],"0")=TEXT(Contract_Edits[[#This Row],[ParentAnchor]],"0"))*
  (VALUE(TEXT(Contract_Edits[Index],"0"))&lt;VALUE(TEXT(Contract_Edits[[#This Row],[Index]],"0")))
)</f>
        <v>1</v>
      </c>
      <c r="AN188" s="453"/>
      <c r="AP188" s="193"/>
      <c r="AQ188" s="193"/>
      <c r="BC188" s="34"/>
      <c r="BD188" s="34"/>
      <c r="BE188" s="34"/>
      <c r="BZ188"/>
      <c r="CA188"/>
      <c r="CB188"/>
    </row>
    <row r="189" spans="11:80" ht="15.75" thickBot="1">
      <c r="K189" s="104"/>
      <c r="L189" s="441">
        <v>171</v>
      </c>
      <c r="M189" s="441"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0"/>
      <c r="R189" s="508"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9" s="179">
        <v>0</v>
      </c>
      <c r="T189" s="469"/>
      <c r="U189" s="492"/>
      <c r="V189" s="193"/>
      <c r="W189" s="22" t="s">
        <v>358</v>
      </c>
      <c r="Y189" s="484"/>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03">
        <f>--(
  ISNUMBER(SEARCH("BASE PARENT", UPPER(CLEAN(TRIM(_xlfn.XLOOKUP(TEXT(Contract_Edits[[#This Row],[Index]],"0"), baseIdxTxt, baseCost, "")))))) +
  ISNUMBER(SEARCH("DEPENDENCY GROUP", UPPER(CLEAN(TRIM(_xlfn.XLOOKUP(TEXT(Contract_Edits[[#This Row],[Index]],"0"), baseIdxTxt, baseCost, ""))))))
)</f>
        <v>0</v>
      </c>
      <c r="AG189" s="503" t="str" cm="1">
        <f t="array" ref="AG189">IF(Contract_Edits[[#This Row],[BaseFlag]]=1,
   10*BaseDepthL(TEXT(Contract_Edits[[#This Row],[Index]],"0"),500,editsIdxTxt,editsParentKeyTxt,baseIdxTxt,baseCost)-5,
   ""
)</f>
        <v/>
      </c>
      <c r="AH189" s="503"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53" t="str">
        <f>IF(Contract_Edits[[#This Row],[Dep]]=0,"Root",
   IF(ISNUMBER(MATCH(Contract_Edits[[#This Row],[Dep]],Contract_Edits[Index],0)),"OK","Missing")
)</f>
        <v>Root</v>
      </c>
      <c r="AJ189" s="453" t="e">
        <f>IF(AND(Contract_Edits[[#This Row],[Dep]]&lt;&gt;0,
        ISNUMBER(MATCH(Contract_Edits[[#This Row],[Dep]], Contract_Edits[Index], 0)),
        INDEX(Contract_Edits[Dep], MATCH(Contract_Edits[[#This Row],[Dep]], Contract_Edits[Index], 0))=Contract_Edits[[#This Row],[Index]]),
   "2-cycle","")</f>
        <v>#N/A</v>
      </c>
      <c r="AK189" s="453" cm="1">
        <f t="array" ref="AK189">IF(Contract_Edits[[#This Row],[BaseFlag]]&lt;&gt;1,0,
   IF(TEXT(Contract_Edits[[#This Row],[Dep]],"0")=TEXT(Contract_Edits[[#This Row],[Index]],"0"),
      0,
      MAX(0, SUMPRODUCT(--(Contract_Edits[BaseFlag]=1),
                        --(TEXT(Contract_Edits[Dep],"0")=TEXT(Contract_Edits[[#This Row],[Dep]],"0"))) - 1)
   )
)</f>
        <v>0</v>
      </c>
      <c r="AL189" s="453" t="str" cm="1">
        <f t="array" ref="AL189">IF(Contract_Edits[[#This Row],[BaseFlag]]=1,
   TEXT(Contract_Edits[[#This Row],[Index]],"0"),
   NearestBaseL(TEXT(Contract_Edits[[#This Row],[ParentKey]],"0"),500,editsIdxTxt,editsParentKeyTxt,baseIdxTxt,baseCost)
)</f>
        <v>0</v>
      </c>
      <c r="AM189" s="453" cm="1">
        <f t="array" ref="AM189">1+SUMPRODUCT(
  (Contract_Edits[BaseFlag]=1)*
  (TEXT(Contract_Edits[ParentAnchor],"0")=TEXT(Contract_Edits[[#This Row],[ParentAnchor]],"0"))*
  (VALUE(TEXT(Contract_Edits[Index],"0"))&lt;VALUE(TEXT(Contract_Edits[[#This Row],[Index]],"0")))
)</f>
        <v>1</v>
      </c>
      <c r="AN189" s="453"/>
    </row>
    <row r="190" spans="11:80" ht="16.5" thickTop="1" thickBot="1">
      <c r="K190" s="104"/>
      <c r="L190" s="505">
        <v>119</v>
      </c>
      <c r="M190" s="441"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68"/>
      <c r="R190" s="508"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0" s="179">
        <v>0</v>
      </c>
      <c r="T190" s="179">
        <v>0</v>
      </c>
      <c r="U190" s="11"/>
      <c r="V190"/>
      <c r="W190" s="22" t="s">
        <v>358</v>
      </c>
      <c r="X190" s="22" t="s">
        <v>604</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03">
        <f>--(
  ISNUMBER(SEARCH("BASE PARENT", UPPER(CLEAN(TRIM(_xlfn.XLOOKUP(TEXT(Contract_Edits[[#This Row],[Index]],"0"), baseIdxTxt, baseCost, "")))))) +
  ISNUMBER(SEARCH("DEPENDENCY GROUP", UPPER(CLEAN(TRIM(_xlfn.XLOOKUP(TEXT(Contract_Edits[[#This Row],[Index]],"0"), baseIdxTxt, baseCost, ""))))))
)</f>
        <v>0</v>
      </c>
      <c r="AG190" s="503" t="str" cm="1">
        <f t="array" ref="AG190">IF(Contract_Edits[[#This Row],[BaseFlag]]=1,
   10*BaseDepthL(TEXT(Contract_Edits[[#This Row],[Index]],"0"),500,editsIdxTxt,editsParentKeyTxt,baseIdxTxt,baseCost)-5,
   ""
)</f>
        <v/>
      </c>
      <c r="AH190" s="503"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53" t="str">
        <f>IF(Contract_Edits[[#This Row],[Dep]]=0,"Root",
   IF(ISNUMBER(MATCH(Contract_Edits[[#This Row],[Dep]],Contract_Edits[Index],0)),"OK","Missing")
)</f>
        <v>Root</v>
      </c>
      <c r="AJ190" s="453" t="e">
        <f>IF(AND(Contract_Edits[[#This Row],[Dep]]&lt;&gt;0,
        ISNUMBER(MATCH(Contract_Edits[[#This Row],[Dep]], Contract_Edits[Index], 0)),
        INDEX(Contract_Edits[Dep], MATCH(Contract_Edits[[#This Row],[Dep]], Contract_Edits[Index], 0))=Contract_Edits[[#This Row],[Index]]),
   "2-cycle","")</f>
        <v>#N/A</v>
      </c>
      <c r="AK190" s="453" cm="1">
        <f t="array" ref="AK190">IF(Contract_Edits[[#This Row],[BaseFlag]]&lt;&gt;1,0,
   IF(TEXT(Contract_Edits[[#This Row],[Dep]],"0")=TEXT(Contract_Edits[[#This Row],[Index]],"0"),
      0,
      MAX(0, SUMPRODUCT(--(Contract_Edits[BaseFlag]=1),
                        --(TEXT(Contract_Edits[Dep],"0")=TEXT(Contract_Edits[[#This Row],[Dep]],"0"))) - 1)
   )
)</f>
        <v>0</v>
      </c>
      <c r="AL190" s="453" t="str" cm="1">
        <f t="array" ref="AL190">IF(Contract_Edits[[#This Row],[BaseFlag]]=1,
   TEXT(Contract_Edits[[#This Row],[Index]],"0"),
   NearestBaseL(TEXT(Contract_Edits[[#This Row],[ParentKey]],"0"),500,editsIdxTxt,editsParentKeyTxt,baseIdxTxt,baseCost)
)</f>
        <v>0</v>
      </c>
      <c r="AM190" s="453" cm="1">
        <f t="array" ref="AM190">1+SUMPRODUCT(
  (Contract_Edits[BaseFlag]=1)*
  (TEXT(Contract_Edits[ParentAnchor],"0")=TEXT(Contract_Edits[[#This Row],[ParentAnchor]],"0"))*
  (VALUE(TEXT(Contract_Edits[Index],"0"))&lt;VALUE(TEXT(Contract_Edits[[#This Row],[Index]],"0")))
)</f>
        <v>1</v>
      </c>
      <c r="AN190" s="453"/>
    </row>
    <row r="191" spans="11:80" ht="16.5" thickTop="1" thickBot="1">
      <c r="K191" s="104"/>
      <c r="L191" s="505">
        <v>90</v>
      </c>
      <c r="M191" s="441"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68"/>
      <c r="R191" s="508"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1" s="179">
        <v>0</v>
      </c>
      <c r="T191" s="179">
        <v>0</v>
      </c>
      <c r="U191" s="11"/>
      <c r="V191"/>
      <c r="W191" s="22" t="s">
        <v>358</v>
      </c>
      <c r="X191" s="22" t="s">
        <v>604</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03">
        <f>--(
  ISNUMBER(SEARCH("BASE PARENT", UPPER(CLEAN(TRIM(_xlfn.XLOOKUP(TEXT(Contract_Edits[[#This Row],[Index]],"0"), baseIdxTxt, baseCost, "")))))) +
  ISNUMBER(SEARCH("DEPENDENCY GROUP", UPPER(CLEAN(TRIM(_xlfn.XLOOKUP(TEXT(Contract_Edits[[#This Row],[Index]],"0"), baseIdxTxt, baseCost, ""))))))
)</f>
        <v>0</v>
      </c>
      <c r="AG191" s="503" t="str" cm="1">
        <f t="array" ref="AG191">IF(Contract_Edits[[#This Row],[BaseFlag]]=1,
   10*BaseDepthL(TEXT(Contract_Edits[[#This Row],[Index]],"0"),500,editsIdxTxt,editsParentKeyTxt,baseIdxTxt,baseCost)-5,
   ""
)</f>
        <v/>
      </c>
      <c r="AH191" s="503"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53" t="str">
        <f>IF(Contract_Edits[[#This Row],[Dep]]=0,"Root",
   IF(ISNUMBER(MATCH(Contract_Edits[[#This Row],[Dep]],Contract_Edits[Index],0)),"OK","Missing")
)</f>
        <v>Root</v>
      </c>
      <c r="AJ191" s="453" t="e">
        <f>IF(AND(Contract_Edits[[#This Row],[Dep]]&lt;&gt;0,
        ISNUMBER(MATCH(Contract_Edits[[#This Row],[Dep]], Contract_Edits[Index], 0)),
        INDEX(Contract_Edits[Dep], MATCH(Contract_Edits[[#This Row],[Dep]], Contract_Edits[Index], 0))=Contract_Edits[[#This Row],[Index]]),
   "2-cycle","")</f>
        <v>#N/A</v>
      </c>
      <c r="AK191" s="453" cm="1">
        <f t="array" ref="AK191">IF(Contract_Edits[[#This Row],[BaseFlag]]&lt;&gt;1,0,
   IF(TEXT(Contract_Edits[[#This Row],[Dep]],"0")=TEXT(Contract_Edits[[#This Row],[Index]],"0"),
      0,
      MAX(0, SUMPRODUCT(--(Contract_Edits[BaseFlag]=1),
                        --(TEXT(Contract_Edits[Dep],"0")=TEXT(Contract_Edits[[#This Row],[Dep]],"0"))) - 1)
   )
)</f>
        <v>0</v>
      </c>
      <c r="AL191" s="453" t="str" cm="1">
        <f t="array" ref="AL191">IF(Contract_Edits[[#This Row],[BaseFlag]]=1,
   TEXT(Contract_Edits[[#This Row],[Index]],"0"),
   NearestBaseL(TEXT(Contract_Edits[[#This Row],[ParentKey]],"0"),500,editsIdxTxt,editsParentKeyTxt,baseIdxTxt,baseCost)
)</f>
        <v>0</v>
      </c>
      <c r="AM191" s="453" cm="1">
        <f t="array" ref="AM191">1+SUMPRODUCT(
  (Contract_Edits[BaseFlag]=1)*
  (TEXT(Contract_Edits[ParentAnchor],"0")=TEXT(Contract_Edits[[#This Row],[ParentAnchor]],"0"))*
  (VALUE(TEXT(Contract_Edits[Index],"0"))&lt;VALUE(TEXT(Contract_Edits[[#This Row],[Index]],"0")))
)</f>
        <v>1</v>
      </c>
      <c r="AN191" s="453"/>
    </row>
    <row r="192" spans="11:80" ht="16.5" thickTop="1" thickBot="1">
      <c r="K192" s="104"/>
      <c r="L192" s="505">
        <v>94</v>
      </c>
      <c r="M192" s="441"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68"/>
      <c r="R192" s="508"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2" s="179">
        <v>0</v>
      </c>
      <c r="T192" s="179">
        <v>0</v>
      </c>
      <c r="U192" s="11"/>
      <c r="V192"/>
      <c r="W192" s="22" t="s">
        <v>358</v>
      </c>
      <c r="X192" s="22" t="s">
        <v>604</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03">
        <f>--(
  ISNUMBER(SEARCH("BASE PARENT", UPPER(CLEAN(TRIM(_xlfn.XLOOKUP(TEXT(Contract_Edits[[#This Row],[Index]],"0"), baseIdxTxt, baseCost, "")))))) +
  ISNUMBER(SEARCH("DEPENDENCY GROUP", UPPER(CLEAN(TRIM(_xlfn.XLOOKUP(TEXT(Contract_Edits[[#This Row],[Index]],"0"), baseIdxTxt, baseCost, ""))))))
)</f>
        <v>0</v>
      </c>
      <c r="AG192" s="503" t="str" cm="1">
        <f t="array" ref="AG192">IF(Contract_Edits[[#This Row],[BaseFlag]]=1,
   10*BaseDepthL(TEXT(Contract_Edits[[#This Row],[Index]],"0"),500,editsIdxTxt,editsParentKeyTxt,baseIdxTxt,baseCost)-5,
   ""
)</f>
        <v/>
      </c>
      <c r="AH192" s="503"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53" t="str">
        <f>IF(Contract_Edits[[#This Row],[Dep]]=0,"Root",
   IF(ISNUMBER(MATCH(Contract_Edits[[#This Row],[Dep]],Contract_Edits[Index],0)),"OK","Missing")
)</f>
        <v>Root</v>
      </c>
      <c r="AJ192" s="453" t="e">
        <f>IF(AND(Contract_Edits[[#This Row],[Dep]]&lt;&gt;0,
        ISNUMBER(MATCH(Contract_Edits[[#This Row],[Dep]], Contract_Edits[Index], 0)),
        INDEX(Contract_Edits[Dep], MATCH(Contract_Edits[[#This Row],[Dep]], Contract_Edits[Index], 0))=Contract_Edits[[#This Row],[Index]]),
   "2-cycle","")</f>
        <v>#N/A</v>
      </c>
      <c r="AK192" s="453" cm="1">
        <f t="array" ref="AK192">IF(Contract_Edits[[#This Row],[BaseFlag]]&lt;&gt;1,0,
   IF(TEXT(Contract_Edits[[#This Row],[Dep]],"0")=TEXT(Contract_Edits[[#This Row],[Index]],"0"),
      0,
      MAX(0, SUMPRODUCT(--(Contract_Edits[BaseFlag]=1),
                        --(TEXT(Contract_Edits[Dep],"0")=TEXT(Contract_Edits[[#This Row],[Dep]],"0"))) - 1)
   )
)</f>
        <v>0</v>
      </c>
      <c r="AL192" s="453" t="str" cm="1">
        <f t="array" ref="AL192">IF(Contract_Edits[[#This Row],[BaseFlag]]=1,
   TEXT(Contract_Edits[[#This Row],[Index]],"0"),
   NearestBaseL(TEXT(Contract_Edits[[#This Row],[ParentKey]],"0"),500,editsIdxTxt,editsParentKeyTxt,baseIdxTxt,baseCost)
)</f>
        <v>0</v>
      </c>
      <c r="AM192" s="453" cm="1">
        <f t="array" ref="AM192">1+SUMPRODUCT(
  (Contract_Edits[BaseFlag]=1)*
  (TEXT(Contract_Edits[ParentAnchor],"0")=TEXT(Contract_Edits[[#This Row],[ParentAnchor]],"0"))*
  (VALUE(TEXT(Contract_Edits[Index],"0"))&lt;VALUE(TEXT(Contract_Edits[[#This Row],[Index]],"0")))
)</f>
        <v>1</v>
      </c>
      <c r="AN192" s="453"/>
    </row>
    <row r="193" spans="11:40" ht="16.5" thickTop="1" thickBot="1">
      <c r="K193" s="509"/>
      <c r="L193" s="505">
        <v>87</v>
      </c>
      <c r="M193" s="441"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68"/>
      <c r="R193" s="508"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3" s="179">
        <v>0</v>
      </c>
      <c r="T193" s="179">
        <v>0</v>
      </c>
      <c r="U193" s="11"/>
      <c r="V193"/>
      <c r="W193" s="22" t="s">
        <v>358</v>
      </c>
      <c r="X193" s="22" t="s">
        <v>604</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03">
        <f>--(
  ISNUMBER(SEARCH("BASE PARENT", UPPER(CLEAN(TRIM(_xlfn.XLOOKUP(TEXT(Contract_Edits[[#This Row],[Index]],"0"), baseIdxTxt, baseCost, "")))))) +
  ISNUMBER(SEARCH("DEPENDENCY GROUP", UPPER(CLEAN(TRIM(_xlfn.XLOOKUP(TEXT(Contract_Edits[[#This Row],[Index]],"0"), baseIdxTxt, baseCost, ""))))))
)</f>
        <v>0</v>
      </c>
      <c r="AG193" s="503" t="str" cm="1">
        <f t="array" ref="AG193">IF(Contract_Edits[[#This Row],[BaseFlag]]=1,
   10*BaseDepthL(TEXT(Contract_Edits[[#This Row],[Index]],"0"),500,editsIdxTxt,editsParentKeyTxt,baseIdxTxt,baseCost)-5,
   ""
)</f>
        <v/>
      </c>
      <c r="AH193" s="503"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53" t="str">
        <f>IF(Contract_Edits[[#This Row],[Dep]]=0,"Root",
   IF(ISNUMBER(MATCH(Contract_Edits[[#This Row],[Dep]],Contract_Edits[Index],0)),"OK","Missing")
)</f>
        <v>Root</v>
      </c>
      <c r="AJ193" s="453" t="e">
        <f>IF(AND(Contract_Edits[[#This Row],[Dep]]&lt;&gt;0,
        ISNUMBER(MATCH(Contract_Edits[[#This Row],[Dep]], Contract_Edits[Index], 0)),
        INDEX(Contract_Edits[Dep], MATCH(Contract_Edits[[#This Row],[Dep]], Contract_Edits[Index], 0))=Contract_Edits[[#This Row],[Index]]),
   "2-cycle","")</f>
        <v>#N/A</v>
      </c>
      <c r="AK193" s="453" cm="1">
        <f t="array" ref="AK193">IF(Contract_Edits[[#This Row],[BaseFlag]]&lt;&gt;1,0,
   IF(TEXT(Contract_Edits[[#This Row],[Dep]],"0")=TEXT(Contract_Edits[[#This Row],[Index]],"0"),
      0,
      MAX(0, SUMPRODUCT(--(Contract_Edits[BaseFlag]=1),
                        --(TEXT(Contract_Edits[Dep],"0")=TEXT(Contract_Edits[[#This Row],[Dep]],"0"))) - 1)
   )
)</f>
        <v>0</v>
      </c>
      <c r="AL193" s="453" t="str" cm="1">
        <f t="array" ref="AL193">IF(Contract_Edits[[#This Row],[BaseFlag]]=1,
   TEXT(Contract_Edits[[#This Row],[Index]],"0"),
   NearestBaseL(TEXT(Contract_Edits[[#This Row],[ParentKey]],"0"),500,editsIdxTxt,editsParentKeyTxt,baseIdxTxt,baseCost)
)</f>
        <v>0</v>
      </c>
      <c r="AM193" s="453" cm="1">
        <f t="array" ref="AM193">1+SUMPRODUCT(
  (Contract_Edits[BaseFlag]=1)*
  (TEXT(Contract_Edits[ParentAnchor],"0")=TEXT(Contract_Edits[[#This Row],[ParentAnchor]],"0"))*
  (VALUE(TEXT(Contract_Edits[Index],"0"))&lt;VALUE(TEXT(Contract_Edits[[#This Row],[Index]],"0")))
)</f>
        <v>1</v>
      </c>
      <c r="AN193" s="453"/>
    </row>
    <row r="194" spans="11:40" ht="16.5" thickTop="1" thickBot="1">
      <c r="K194" s="104"/>
      <c r="L194" s="505">
        <v>172</v>
      </c>
      <c r="M194" s="441"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0"/>
      <c r="R194" s="508"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4" s="179">
        <v>0</v>
      </c>
      <c r="T194" s="469"/>
      <c r="U194" s="492"/>
      <c r="V194" s="193"/>
      <c r="W194" s="22" t="s">
        <v>358</v>
      </c>
      <c r="Y194" s="484"/>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03">
        <f>--(
  ISNUMBER(SEARCH("BASE PARENT", UPPER(CLEAN(TRIM(_xlfn.XLOOKUP(TEXT(Contract_Edits[[#This Row],[Index]],"0"), baseIdxTxt, baseCost, "")))))) +
  ISNUMBER(SEARCH("DEPENDENCY GROUP", UPPER(CLEAN(TRIM(_xlfn.XLOOKUP(TEXT(Contract_Edits[[#This Row],[Index]],"0"), baseIdxTxt, baseCost, ""))))))
)</f>
        <v>0</v>
      </c>
      <c r="AG194" s="503" t="str" cm="1">
        <f t="array" ref="AG194">IF(Contract_Edits[[#This Row],[BaseFlag]]=1,
   10*BaseDepthL(TEXT(Contract_Edits[[#This Row],[Index]],"0"),500,editsIdxTxt,editsParentKeyTxt,baseIdxTxt,baseCost)-5,
   ""
)</f>
        <v/>
      </c>
      <c r="AH194" s="503"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53" t="str">
        <f>IF(Contract_Edits[[#This Row],[Dep]]=0,"Root",
   IF(ISNUMBER(MATCH(Contract_Edits[[#This Row],[Dep]],Contract_Edits[Index],0)),"OK","Missing")
)</f>
        <v>Root</v>
      </c>
      <c r="AJ194" s="453" t="e">
        <f>IF(AND(Contract_Edits[[#This Row],[Dep]]&lt;&gt;0,
        ISNUMBER(MATCH(Contract_Edits[[#This Row],[Dep]], Contract_Edits[Index], 0)),
        INDEX(Contract_Edits[Dep], MATCH(Contract_Edits[[#This Row],[Dep]], Contract_Edits[Index], 0))=Contract_Edits[[#This Row],[Index]]),
   "2-cycle","")</f>
        <v>#N/A</v>
      </c>
      <c r="AK194" s="453" cm="1">
        <f t="array" ref="AK194">IF(Contract_Edits[[#This Row],[BaseFlag]]&lt;&gt;1,0,
   IF(TEXT(Contract_Edits[[#This Row],[Dep]],"0")=TEXT(Contract_Edits[[#This Row],[Index]],"0"),
      0,
      MAX(0, SUMPRODUCT(--(Contract_Edits[BaseFlag]=1),
                        --(TEXT(Contract_Edits[Dep],"0")=TEXT(Contract_Edits[[#This Row],[Dep]],"0"))) - 1)
   )
)</f>
        <v>0</v>
      </c>
      <c r="AL194" s="453" t="str" cm="1">
        <f t="array" ref="AL194">IF(Contract_Edits[[#This Row],[BaseFlag]]=1,
   TEXT(Contract_Edits[[#This Row],[Index]],"0"),
   NearestBaseL(TEXT(Contract_Edits[[#This Row],[ParentKey]],"0"),500,editsIdxTxt,editsParentKeyTxt,baseIdxTxt,baseCost)
)</f>
        <v>0</v>
      </c>
      <c r="AM194" s="453" cm="1">
        <f t="array" ref="AM194">1+SUMPRODUCT(
  (Contract_Edits[BaseFlag]=1)*
  (TEXT(Contract_Edits[ParentAnchor],"0")=TEXT(Contract_Edits[[#This Row],[ParentAnchor]],"0"))*
  (VALUE(TEXT(Contract_Edits[Index],"0"))&lt;VALUE(TEXT(Contract_Edits[[#This Row],[Index]],"0")))
)</f>
        <v>1</v>
      </c>
      <c r="AN194" s="453"/>
    </row>
    <row r="195" spans="11:40" ht="16.5" thickTop="1" thickBot="1">
      <c r="K195" s="104"/>
      <c r="L195" s="505">
        <v>142</v>
      </c>
      <c r="M195" s="441"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0"/>
      <c r="R195" s="508"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5" s="179">
        <v>0</v>
      </c>
      <c r="T195" s="469"/>
      <c r="U195" s="492"/>
      <c r="V195" s="193"/>
      <c r="W195" s="22" t="s">
        <v>358</v>
      </c>
      <c r="X195" s="484" t="s">
        <v>604</v>
      </c>
      <c r="Y195" s="484"/>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03">
        <f>--(
  ISNUMBER(SEARCH("BASE PARENT", UPPER(CLEAN(TRIM(_xlfn.XLOOKUP(TEXT(Contract_Edits[[#This Row],[Index]],"0"), baseIdxTxt, baseCost, "")))))) +
  ISNUMBER(SEARCH("DEPENDENCY GROUP", UPPER(CLEAN(TRIM(_xlfn.XLOOKUP(TEXT(Contract_Edits[[#This Row],[Index]],"0"), baseIdxTxt, baseCost, ""))))))
)</f>
        <v>0</v>
      </c>
      <c r="AG195" s="503" t="str" cm="1">
        <f t="array" ref="AG195">IF(Contract_Edits[[#This Row],[BaseFlag]]=1,
   10*BaseDepthL(TEXT(Contract_Edits[[#This Row],[Index]],"0"),500,editsIdxTxt,editsParentKeyTxt,baseIdxTxt,baseCost)-5,
   ""
)</f>
        <v/>
      </c>
      <c r="AH195" s="503"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53" t="str">
        <f>IF(Contract_Edits[[#This Row],[Dep]]=0,"Root",
   IF(ISNUMBER(MATCH(Contract_Edits[[#This Row],[Dep]],Contract_Edits[Index],0)),"OK","Missing")
)</f>
        <v>Root</v>
      </c>
      <c r="AJ195" s="453" t="e">
        <f>IF(AND(Contract_Edits[[#This Row],[Dep]]&lt;&gt;0,
        ISNUMBER(MATCH(Contract_Edits[[#This Row],[Dep]], Contract_Edits[Index], 0)),
        INDEX(Contract_Edits[Dep], MATCH(Contract_Edits[[#This Row],[Dep]], Contract_Edits[Index], 0))=Contract_Edits[[#This Row],[Index]]),
   "2-cycle","")</f>
        <v>#N/A</v>
      </c>
      <c r="AK195" s="453" cm="1">
        <f t="array" ref="AK195">IF(Contract_Edits[[#This Row],[BaseFlag]]&lt;&gt;1,0,
   IF(TEXT(Contract_Edits[[#This Row],[Dep]],"0")=TEXT(Contract_Edits[[#This Row],[Index]],"0"),
      0,
      MAX(0, SUMPRODUCT(--(Contract_Edits[BaseFlag]=1),
                        --(TEXT(Contract_Edits[Dep],"0")=TEXT(Contract_Edits[[#This Row],[Dep]],"0"))) - 1)
   )
)</f>
        <v>0</v>
      </c>
      <c r="AL195" s="453" t="str" cm="1">
        <f t="array" ref="AL195">IF(Contract_Edits[[#This Row],[BaseFlag]]=1,
   TEXT(Contract_Edits[[#This Row],[Index]],"0"),
   NearestBaseL(TEXT(Contract_Edits[[#This Row],[ParentKey]],"0"),500,editsIdxTxt,editsParentKeyTxt,baseIdxTxt,baseCost)
)</f>
        <v>0</v>
      </c>
      <c r="AM195" s="453" cm="1">
        <f t="array" ref="AM195">1+SUMPRODUCT(
  (Contract_Edits[BaseFlag]=1)*
  (TEXT(Contract_Edits[ParentAnchor],"0")=TEXT(Contract_Edits[[#This Row],[ParentAnchor]],"0"))*
  (VALUE(TEXT(Contract_Edits[Index],"0"))&lt;VALUE(TEXT(Contract_Edits[[#This Row],[Index]],"0")))
)</f>
        <v>1</v>
      </c>
      <c r="AN195" s="453"/>
    </row>
    <row r="196" spans="11:40" ht="16.5" thickTop="1" thickBot="1">
      <c r="K196" s="104"/>
      <c r="L196" s="505">
        <v>138</v>
      </c>
      <c r="M196" s="441"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68"/>
      <c r="R196" s="508"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6" s="179">
        <v>0</v>
      </c>
      <c r="T196" s="179">
        <v>0</v>
      </c>
      <c r="U196" s="11"/>
      <c r="V196"/>
      <c r="W196" s="22" t="s">
        <v>358</v>
      </c>
      <c r="X196" s="22" t="s">
        <v>604</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03">
        <f>--(
  ISNUMBER(SEARCH("BASE PARENT", UPPER(CLEAN(TRIM(_xlfn.XLOOKUP(TEXT(Contract_Edits[[#This Row],[Index]],"0"), baseIdxTxt, baseCost, "")))))) +
  ISNUMBER(SEARCH("DEPENDENCY GROUP", UPPER(CLEAN(TRIM(_xlfn.XLOOKUP(TEXT(Contract_Edits[[#This Row],[Index]],"0"), baseIdxTxt, baseCost, ""))))))
)</f>
        <v>0</v>
      </c>
      <c r="AG196" s="503" t="str" cm="1">
        <f t="array" ref="AG196">IF(Contract_Edits[[#This Row],[BaseFlag]]=1,
   10*BaseDepthL(TEXT(Contract_Edits[[#This Row],[Index]],"0"),500,editsIdxTxt,editsParentKeyTxt,baseIdxTxt,baseCost)-5,
   ""
)</f>
        <v/>
      </c>
      <c r="AH196" s="503"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53" t="str">
        <f>IF(Contract_Edits[[#This Row],[Dep]]=0,"Root",
   IF(ISNUMBER(MATCH(Contract_Edits[[#This Row],[Dep]],Contract_Edits[Index],0)),"OK","Missing")
)</f>
        <v>Root</v>
      </c>
      <c r="AJ196" s="453" t="e">
        <f>IF(AND(Contract_Edits[[#This Row],[Dep]]&lt;&gt;0,
        ISNUMBER(MATCH(Contract_Edits[[#This Row],[Dep]], Contract_Edits[Index], 0)),
        INDEX(Contract_Edits[Dep], MATCH(Contract_Edits[[#This Row],[Dep]], Contract_Edits[Index], 0))=Contract_Edits[[#This Row],[Index]]),
   "2-cycle","")</f>
        <v>#N/A</v>
      </c>
      <c r="AK196" s="453" cm="1">
        <f t="array" ref="AK196">IF(Contract_Edits[[#This Row],[BaseFlag]]&lt;&gt;1,0,
   IF(TEXT(Contract_Edits[[#This Row],[Dep]],"0")=TEXT(Contract_Edits[[#This Row],[Index]],"0"),
      0,
      MAX(0, SUMPRODUCT(--(Contract_Edits[BaseFlag]=1),
                        --(TEXT(Contract_Edits[Dep],"0")=TEXT(Contract_Edits[[#This Row],[Dep]],"0"))) - 1)
   )
)</f>
        <v>0</v>
      </c>
      <c r="AL196" s="453" t="str" cm="1">
        <f t="array" ref="AL196">IF(Contract_Edits[[#This Row],[BaseFlag]]=1,
   TEXT(Contract_Edits[[#This Row],[Index]],"0"),
   NearestBaseL(TEXT(Contract_Edits[[#This Row],[ParentKey]],"0"),500,editsIdxTxt,editsParentKeyTxt,baseIdxTxt,baseCost)
)</f>
        <v>0</v>
      </c>
      <c r="AM196" s="453" cm="1">
        <f t="array" ref="AM196">1+SUMPRODUCT(
  (Contract_Edits[BaseFlag]=1)*
  (TEXT(Contract_Edits[ParentAnchor],"0")=TEXT(Contract_Edits[[#This Row],[ParentAnchor]],"0"))*
  (VALUE(TEXT(Contract_Edits[Index],"0"))&lt;VALUE(TEXT(Contract_Edits[[#This Row],[Index]],"0")))
)</f>
        <v>1</v>
      </c>
      <c r="AN196" s="453"/>
    </row>
    <row r="197" spans="11:40" ht="16.5" thickTop="1" thickBot="1">
      <c r="K197" s="104"/>
      <c r="L197" s="505">
        <v>139</v>
      </c>
      <c r="M197" s="441"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68"/>
      <c r="R197" s="508"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7" s="179">
        <v>0</v>
      </c>
      <c r="T197" s="179">
        <v>0</v>
      </c>
      <c r="U197" s="11"/>
      <c r="V197"/>
      <c r="W197" s="22" t="s">
        <v>358</v>
      </c>
      <c r="X197" s="22" t="s">
        <v>604</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03">
        <f>--(
  ISNUMBER(SEARCH("BASE PARENT", UPPER(CLEAN(TRIM(_xlfn.XLOOKUP(TEXT(Contract_Edits[[#This Row],[Index]],"0"), baseIdxTxt, baseCost, "")))))) +
  ISNUMBER(SEARCH("DEPENDENCY GROUP", UPPER(CLEAN(TRIM(_xlfn.XLOOKUP(TEXT(Contract_Edits[[#This Row],[Index]],"0"), baseIdxTxt, baseCost, ""))))))
)</f>
        <v>0</v>
      </c>
      <c r="AG197" s="503" t="str" cm="1">
        <f t="array" ref="AG197">IF(Contract_Edits[[#This Row],[BaseFlag]]=1,
   10*BaseDepthL(TEXT(Contract_Edits[[#This Row],[Index]],"0"),500,editsIdxTxt,editsParentKeyTxt,baseIdxTxt,baseCost)-5,
   ""
)</f>
        <v/>
      </c>
      <c r="AH197" s="503"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53" t="str">
        <f>IF(Contract_Edits[[#This Row],[Dep]]=0,"Root",
   IF(ISNUMBER(MATCH(Contract_Edits[[#This Row],[Dep]],Contract_Edits[Index],0)),"OK","Missing")
)</f>
        <v>Root</v>
      </c>
      <c r="AJ197" s="453" t="e">
        <f>IF(AND(Contract_Edits[[#This Row],[Dep]]&lt;&gt;0,
        ISNUMBER(MATCH(Contract_Edits[[#This Row],[Dep]], Contract_Edits[Index], 0)),
        INDEX(Contract_Edits[Dep], MATCH(Contract_Edits[[#This Row],[Dep]], Contract_Edits[Index], 0))=Contract_Edits[[#This Row],[Index]]),
   "2-cycle","")</f>
        <v>#N/A</v>
      </c>
      <c r="AK197" s="453" cm="1">
        <f t="array" ref="AK197">IF(Contract_Edits[[#This Row],[BaseFlag]]&lt;&gt;1,0,
   IF(TEXT(Contract_Edits[[#This Row],[Dep]],"0")=TEXT(Contract_Edits[[#This Row],[Index]],"0"),
      0,
      MAX(0, SUMPRODUCT(--(Contract_Edits[BaseFlag]=1),
                        --(TEXT(Contract_Edits[Dep],"0")=TEXT(Contract_Edits[[#This Row],[Dep]],"0"))) - 1)
   )
)</f>
        <v>0</v>
      </c>
      <c r="AL197" s="453" t="str" cm="1">
        <f t="array" ref="AL197">IF(Contract_Edits[[#This Row],[BaseFlag]]=1,
   TEXT(Contract_Edits[[#This Row],[Index]],"0"),
   NearestBaseL(TEXT(Contract_Edits[[#This Row],[ParentKey]],"0"),500,editsIdxTxt,editsParentKeyTxt,baseIdxTxt,baseCost)
)</f>
        <v>0</v>
      </c>
      <c r="AM197" s="453" cm="1">
        <f t="array" ref="AM197">1+SUMPRODUCT(
  (Contract_Edits[BaseFlag]=1)*
  (TEXT(Contract_Edits[ParentAnchor],"0")=TEXT(Contract_Edits[[#This Row],[ParentAnchor]],"0"))*
  (VALUE(TEXT(Contract_Edits[Index],"0"))&lt;VALUE(TEXT(Contract_Edits[[#This Row],[Index]],"0")))
)</f>
        <v>1</v>
      </c>
      <c r="AN197" s="453"/>
    </row>
    <row r="198" spans="11:40" ht="16.5" thickTop="1" thickBot="1">
      <c r="K198" s="104"/>
      <c r="L198" s="505">
        <v>140</v>
      </c>
      <c r="M198" s="441"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68"/>
      <c r="R198" s="508"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8" s="179">
        <v>0</v>
      </c>
      <c r="T198" s="469"/>
      <c r="U198" s="492"/>
      <c r="V198" s="193"/>
      <c r="W198" s="22" t="s">
        <v>358</v>
      </c>
      <c r="X198" s="484" t="s">
        <v>604</v>
      </c>
      <c r="Y198" s="484"/>
      <c r="Z198" s="490"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03">
        <f>--(
  ISNUMBER(SEARCH("BASE PARENT", UPPER(CLEAN(TRIM(_xlfn.XLOOKUP(TEXT(Contract_Edits[[#This Row],[Index]],"0"), baseIdxTxt, baseCost, "")))))) +
  ISNUMBER(SEARCH("DEPENDENCY GROUP", UPPER(CLEAN(TRIM(_xlfn.XLOOKUP(TEXT(Contract_Edits[[#This Row],[Index]],"0"), baseIdxTxt, baseCost, ""))))))
)</f>
        <v>0</v>
      </c>
      <c r="AG198" s="503" t="str" cm="1">
        <f t="array" ref="AG198">IF(Contract_Edits[[#This Row],[BaseFlag]]=1,
   10*BaseDepthL(TEXT(Contract_Edits[[#This Row],[Index]],"0"),500,editsIdxTxt,editsParentKeyTxt,baseIdxTxt,baseCost)-5,
   ""
)</f>
        <v/>
      </c>
      <c r="AH198" s="503"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53" t="str">
        <f>IF(Contract_Edits[[#This Row],[Dep]]=0,"Root",
   IF(ISNUMBER(MATCH(Contract_Edits[[#This Row],[Dep]],Contract_Edits[Index],0)),"OK","Missing")
)</f>
        <v>Root</v>
      </c>
      <c r="AJ198" s="453" t="e">
        <f>IF(AND(Contract_Edits[[#This Row],[Dep]]&lt;&gt;0,
        ISNUMBER(MATCH(Contract_Edits[[#This Row],[Dep]], Contract_Edits[Index], 0)),
        INDEX(Contract_Edits[Dep], MATCH(Contract_Edits[[#This Row],[Dep]], Contract_Edits[Index], 0))=Contract_Edits[[#This Row],[Index]]),
   "2-cycle","")</f>
        <v>#N/A</v>
      </c>
      <c r="AK198" s="453" cm="1">
        <f t="array" ref="AK198">IF(Contract_Edits[[#This Row],[BaseFlag]]&lt;&gt;1,0,
   IF(TEXT(Contract_Edits[[#This Row],[Dep]],"0")=TEXT(Contract_Edits[[#This Row],[Index]],"0"),
      0,
      MAX(0, SUMPRODUCT(--(Contract_Edits[BaseFlag]=1),
                        --(TEXT(Contract_Edits[Dep],"0")=TEXT(Contract_Edits[[#This Row],[Dep]],"0"))) - 1)
   )
)</f>
        <v>0</v>
      </c>
      <c r="AL198" s="453" t="str" cm="1">
        <f t="array" ref="AL198">IF(Contract_Edits[[#This Row],[BaseFlag]]=1,
   TEXT(Contract_Edits[[#This Row],[Index]],"0"),
   NearestBaseL(TEXT(Contract_Edits[[#This Row],[ParentKey]],"0"),500,editsIdxTxt,editsParentKeyTxt,baseIdxTxt,baseCost)
)</f>
        <v>0</v>
      </c>
      <c r="AM198" s="453" cm="1">
        <f t="array" ref="AM198">1+SUMPRODUCT(
  (Contract_Edits[BaseFlag]=1)*
  (TEXT(Contract_Edits[ParentAnchor],"0")=TEXT(Contract_Edits[[#This Row],[ParentAnchor]],"0"))*
  (VALUE(TEXT(Contract_Edits[Index],"0"))&lt;VALUE(TEXT(Contract_Edits[[#This Row],[Index]],"0")))
)</f>
        <v>1</v>
      </c>
      <c r="AN198" s="453"/>
    </row>
    <row r="199" spans="11:40" ht="16.5" thickTop="1" thickBot="1">
      <c r="K199" s="104"/>
      <c r="L199" s="505">
        <v>127</v>
      </c>
      <c r="M199" s="441"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68"/>
      <c r="R199" s="508"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9" s="179">
        <v>0</v>
      </c>
      <c r="T199" s="179">
        <v>0</v>
      </c>
      <c r="U199" s="11"/>
      <c r="V199"/>
      <c r="W199" s="22" t="s">
        <v>358</v>
      </c>
      <c r="X199" s="22" t="s">
        <v>604</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03">
        <f>--(
  ISNUMBER(SEARCH("BASE PARENT", UPPER(CLEAN(TRIM(_xlfn.XLOOKUP(TEXT(Contract_Edits[[#This Row],[Index]],"0"), baseIdxTxt, baseCost, "")))))) +
  ISNUMBER(SEARCH("DEPENDENCY GROUP", UPPER(CLEAN(TRIM(_xlfn.XLOOKUP(TEXT(Contract_Edits[[#This Row],[Index]],"0"), baseIdxTxt, baseCost, ""))))))
)</f>
        <v>0</v>
      </c>
      <c r="AG199" s="503" t="str" cm="1">
        <f t="array" ref="AG199">IF(Contract_Edits[[#This Row],[BaseFlag]]=1,
   10*BaseDepthL(TEXT(Contract_Edits[[#This Row],[Index]],"0"),500,editsIdxTxt,editsParentKeyTxt,baseIdxTxt,baseCost)-5,
   ""
)</f>
        <v/>
      </c>
      <c r="AH199" s="503"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53" t="str">
        <f>IF(Contract_Edits[[#This Row],[Dep]]=0,"Root",
   IF(ISNUMBER(MATCH(Contract_Edits[[#This Row],[Dep]],Contract_Edits[Index],0)),"OK","Missing")
)</f>
        <v>Root</v>
      </c>
      <c r="AJ199" s="453" t="e">
        <f>IF(AND(Contract_Edits[[#This Row],[Dep]]&lt;&gt;0,
        ISNUMBER(MATCH(Contract_Edits[[#This Row],[Dep]], Contract_Edits[Index], 0)),
        INDEX(Contract_Edits[Dep], MATCH(Contract_Edits[[#This Row],[Dep]], Contract_Edits[Index], 0))=Contract_Edits[[#This Row],[Index]]),
   "2-cycle","")</f>
        <v>#N/A</v>
      </c>
      <c r="AK199" s="453" cm="1">
        <f t="array" ref="AK199">IF(Contract_Edits[[#This Row],[BaseFlag]]&lt;&gt;1,0,
   IF(TEXT(Contract_Edits[[#This Row],[Dep]],"0")=TEXT(Contract_Edits[[#This Row],[Index]],"0"),
      0,
      MAX(0, SUMPRODUCT(--(Contract_Edits[BaseFlag]=1),
                        --(TEXT(Contract_Edits[Dep],"0")=TEXT(Contract_Edits[[#This Row],[Dep]],"0"))) - 1)
   )
)</f>
        <v>0</v>
      </c>
      <c r="AL199" s="453" t="str" cm="1">
        <f t="array" ref="AL199">IF(Contract_Edits[[#This Row],[BaseFlag]]=1,
   TEXT(Contract_Edits[[#This Row],[Index]],"0"),
   NearestBaseL(TEXT(Contract_Edits[[#This Row],[ParentKey]],"0"),500,editsIdxTxt,editsParentKeyTxt,baseIdxTxt,baseCost)
)</f>
        <v>0</v>
      </c>
      <c r="AM199" s="453" cm="1">
        <f t="array" ref="AM199">1+SUMPRODUCT(
  (Contract_Edits[BaseFlag]=1)*
  (TEXT(Contract_Edits[ParentAnchor],"0")=TEXT(Contract_Edits[[#This Row],[ParentAnchor]],"0"))*
  (VALUE(TEXT(Contract_Edits[Index],"0"))&lt;VALUE(TEXT(Contract_Edits[[#This Row],[Index]],"0")))
)</f>
        <v>1</v>
      </c>
      <c r="AN199" s="453"/>
    </row>
    <row r="200" spans="11:40" ht="16.5" thickTop="1" thickBot="1">
      <c r="K200" s="104"/>
      <c r="L200" s="505">
        <v>141</v>
      </c>
      <c r="M200" s="441"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68"/>
      <c r="R200" s="508"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0" s="179">
        <v>0</v>
      </c>
      <c r="T200" s="469"/>
      <c r="U200" s="492"/>
      <c r="V200" s="193"/>
      <c r="W200" s="22" t="s">
        <v>358</v>
      </c>
      <c r="X200" s="484" t="s">
        <v>604</v>
      </c>
      <c r="Y200" s="484"/>
      <c r="Z200" s="490"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03">
        <f>--(
  ISNUMBER(SEARCH("BASE PARENT", UPPER(CLEAN(TRIM(_xlfn.XLOOKUP(TEXT(Contract_Edits[[#This Row],[Index]],"0"), baseIdxTxt, baseCost, "")))))) +
  ISNUMBER(SEARCH("DEPENDENCY GROUP", UPPER(CLEAN(TRIM(_xlfn.XLOOKUP(TEXT(Contract_Edits[[#This Row],[Index]],"0"), baseIdxTxt, baseCost, ""))))))
)</f>
        <v>0</v>
      </c>
      <c r="AG200" s="503" t="str" cm="1">
        <f t="array" ref="AG200">IF(Contract_Edits[[#This Row],[BaseFlag]]=1,
   10*BaseDepthL(TEXT(Contract_Edits[[#This Row],[Index]],"0"),500,editsIdxTxt,editsParentKeyTxt,baseIdxTxt,baseCost)-5,
   ""
)</f>
        <v/>
      </c>
      <c r="AH200" s="503"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53" t="str">
        <f>IF(Contract_Edits[[#This Row],[Dep]]=0,"Root",
   IF(ISNUMBER(MATCH(Contract_Edits[[#This Row],[Dep]],Contract_Edits[Index],0)),"OK","Missing")
)</f>
        <v>Root</v>
      </c>
      <c r="AJ200" s="453" t="e">
        <f>IF(AND(Contract_Edits[[#This Row],[Dep]]&lt;&gt;0,
        ISNUMBER(MATCH(Contract_Edits[[#This Row],[Dep]], Contract_Edits[Index], 0)),
        INDEX(Contract_Edits[Dep], MATCH(Contract_Edits[[#This Row],[Dep]], Contract_Edits[Index], 0))=Contract_Edits[[#This Row],[Index]]),
   "2-cycle","")</f>
        <v>#N/A</v>
      </c>
      <c r="AK200" s="453" cm="1">
        <f t="array" ref="AK200">IF(Contract_Edits[[#This Row],[BaseFlag]]&lt;&gt;1,0,
   IF(TEXT(Contract_Edits[[#This Row],[Dep]],"0")=TEXT(Contract_Edits[[#This Row],[Index]],"0"),
      0,
      MAX(0, SUMPRODUCT(--(Contract_Edits[BaseFlag]=1),
                        --(TEXT(Contract_Edits[Dep],"0")=TEXT(Contract_Edits[[#This Row],[Dep]],"0"))) - 1)
   )
)</f>
        <v>0</v>
      </c>
      <c r="AL200" s="453" t="str" cm="1">
        <f t="array" ref="AL200">IF(Contract_Edits[[#This Row],[BaseFlag]]=1,
   TEXT(Contract_Edits[[#This Row],[Index]],"0"),
   NearestBaseL(TEXT(Contract_Edits[[#This Row],[ParentKey]],"0"),500,editsIdxTxt,editsParentKeyTxt,baseIdxTxt,baseCost)
)</f>
        <v>0</v>
      </c>
      <c r="AM200" s="453" cm="1">
        <f t="array" ref="AM200">1+SUMPRODUCT(
  (Contract_Edits[BaseFlag]=1)*
  (TEXT(Contract_Edits[ParentAnchor],"0")=TEXT(Contract_Edits[[#This Row],[ParentAnchor]],"0"))*
  (VALUE(TEXT(Contract_Edits[Index],"0"))&lt;VALUE(TEXT(Contract_Edits[[#This Row],[Index]],"0")))
)</f>
        <v>1</v>
      </c>
      <c r="AN200" s="453"/>
    </row>
    <row r="201" spans="11:40" ht="16.5" thickTop="1" thickBot="1">
      <c r="K201" s="104"/>
      <c r="L201" s="505">
        <v>134</v>
      </c>
      <c r="M201" s="441"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68"/>
      <c r="R201" s="508"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1" s="179">
        <v>0</v>
      </c>
      <c r="T201" s="179">
        <v>0</v>
      </c>
      <c r="U201" s="11"/>
      <c r="V201"/>
      <c r="W201" s="22" t="s">
        <v>358</v>
      </c>
      <c r="X201" s="22" t="s">
        <v>604</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03">
        <f>--(
  ISNUMBER(SEARCH("BASE PARENT", UPPER(CLEAN(TRIM(_xlfn.XLOOKUP(TEXT(Contract_Edits[[#This Row],[Index]],"0"), baseIdxTxt, baseCost, "")))))) +
  ISNUMBER(SEARCH("DEPENDENCY GROUP", UPPER(CLEAN(TRIM(_xlfn.XLOOKUP(TEXT(Contract_Edits[[#This Row],[Index]],"0"), baseIdxTxt, baseCost, ""))))))
)</f>
        <v>0</v>
      </c>
      <c r="AG201" s="503" t="str" cm="1">
        <f t="array" ref="AG201">IF(Contract_Edits[[#This Row],[BaseFlag]]=1,
   10*BaseDepthL(TEXT(Contract_Edits[[#This Row],[Index]],"0"),500,editsIdxTxt,editsParentKeyTxt,baseIdxTxt,baseCost)-5,
   ""
)</f>
        <v/>
      </c>
      <c r="AH201" s="503"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53" t="str">
        <f>IF(Contract_Edits[[#This Row],[Dep]]=0,"Root",
   IF(ISNUMBER(MATCH(Contract_Edits[[#This Row],[Dep]],Contract_Edits[Index],0)),"OK","Missing")
)</f>
        <v>Root</v>
      </c>
      <c r="AJ201" s="453" t="e">
        <f>IF(AND(Contract_Edits[[#This Row],[Dep]]&lt;&gt;0,
        ISNUMBER(MATCH(Contract_Edits[[#This Row],[Dep]], Contract_Edits[Index], 0)),
        INDEX(Contract_Edits[Dep], MATCH(Contract_Edits[[#This Row],[Dep]], Contract_Edits[Index], 0))=Contract_Edits[[#This Row],[Index]]),
   "2-cycle","")</f>
        <v>#N/A</v>
      </c>
      <c r="AK201" s="453" cm="1">
        <f t="array" ref="AK201">IF(Contract_Edits[[#This Row],[BaseFlag]]&lt;&gt;1,0,
   IF(TEXT(Contract_Edits[[#This Row],[Dep]],"0")=TEXT(Contract_Edits[[#This Row],[Index]],"0"),
      0,
      MAX(0, SUMPRODUCT(--(Contract_Edits[BaseFlag]=1),
                        --(TEXT(Contract_Edits[Dep],"0")=TEXT(Contract_Edits[[#This Row],[Dep]],"0"))) - 1)
   )
)</f>
        <v>0</v>
      </c>
      <c r="AL201" s="453" t="str" cm="1">
        <f t="array" ref="AL201">IF(Contract_Edits[[#This Row],[BaseFlag]]=1,
   TEXT(Contract_Edits[[#This Row],[Index]],"0"),
   NearestBaseL(TEXT(Contract_Edits[[#This Row],[ParentKey]],"0"),500,editsIdxTxt,editsParentKeyTxt,baseIdxTxt,baseCost)
)</f>
        <v>0</v>
      </c>
      <c r="AM201" s="453" cm="1">
        <f t="array" ref="AM201">1+SUMPRODUCT(
  (Contract_Edits[BaseFlag]=1)*
  (TEXT(Contract_Edits[ParentAnchor],"0")=TEXT(Contract_Edits[[#This Row],[ParentAnchor]],"0"))*
  (VALUE(TEXT(Contract_Edits[Index],"0"))&lt;VALUE(TEXT(Contract_Edits[[#This Row],[Index]],"0")))
)</f>
        <v>1</v>
      </c>
      <c r="AN201" s="453"/>
    </row>
    <row r="202" spans="11:40" ht="16.5" thickTop="1" thickBot="1">
      <c r="K202" s="104"/>
      <c r="L202" s="505">
        <v>173</v>
      </c>
      <c r="M202" s="441"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0"/>
      <c r="R202" s="508"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2" s="179">
        <v>0</v>
      </c>
      <c r="T202" s="469"/>
      <c r="U202" s="492"/>
      <c r="V202" s="193"/>
      <c r="W202" s="22" t="s">
        <v>358</v>
      </c>
      <c r="Y202" s="484"/>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03">
        <f>--(
  ISNUMBER(SEARCH("BASE PARENT", UPPER(CLEAN(TRIM(_xlfn.XLOOKUP(TEXT(Contract_Edits[[#This Row],[Index]],"0"), baseIdxTxt, baseCost, "")))))) +
  ISNUMBER(SEARCH("DEPENDENCY GROUP", UPPER(CLEAN(TRIM(_xlfn.XLOOKUP(TEXT(Contract_Edits[[#This Row],[Index]],"0"), baseIdxTxt, baseCost, ""))))))
)</f>
        <v>0</v>
      </c>
      <c r="AG202" s="503" t="str" cm="1">
        <f t="array" ref="AG202">IF(Contract_Edits[[#This Row],[BaseFlag]]=1,
   10*BaseDepthL(TEXT(Contract_Edits[[#This Row],[Index]],"0"),500,editsIdxTxt,editsParentKeyTxt,baseIdxTxt,baseCost)-5,
   ""
)</f>
        <v/>
      </c>
      <c r="AH202" s="503"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53" t="str">
        <f>IF(Contract_Edits[[#This Row],[Dep]]=0,"Root",
   IF(ISNUMBER(MATCH(Contract_Edits[[#This Row],[Dep]],Contract_Edits[Index],0)),"OK","Missing")
)</f>
        <v>Root</v>
      </c>
      <c r="AJ202" s="453" t="e">
        <f>IF(AND(Contract_Edits[[#This Row],[Dep]]&lt;&gt;0,
        ISNUMBER(MATCH(Contract_Edits[[#This Row],[Dep]], Contract_Edits[Index], 0)),
        INDEX(Contract_Edits[Dep], MATCH(Contract_Edits[[#This Row],[Dep]], Contract_Edits[Index], 0))=Contract_Edits[[#This Row],[Index]]),
   "2-cycle","")</f>
        <v>#N/A</v>
      </c>
      <c r="AK202" s="453" cm="1">
        <f t="array" ref="AK202">IF(Contract_Edits[[#This Row],[BaseFlag]]&lt;&gt;1,0,
   IF(TEXT(Contract_Edits[[#This Row],[Dep]],"0")=TEXT(Contract_Edits[[#This Row],[Index]],"0"),
      0,
      MAX(0, SUMPRODUCT(--(Contract_Edits[BaseFlag]=1),
                        --(TEXT(Contract_Edits[Dep],"0")=TEXT(Contract_Edits[[#This Row],[Dep]],"0"))) - 1)
   )
)</f>
        <v>0</v>
      </c>
      <c r="AL202" s="453" t="str" cm="1">
        <f t="array" ref="AL202">IF(Contract_Edits[[#This Row],[BaseFlag]]=1,
   TEXT(Contract_Edits[[#This Row],[Index]],"0"),
   NearestBaseL(TEXT(Contract_Edits[[#This Row],[ParentKey]],"0"),500,editsIdxTxt,editsParentKeyTxt,baseIdxTxt,baseCost)
)</f>
        <v>0</v>
      </c>
      <c r="AM202" s="453" cm="1">
        <f t="array" ref="AM202">1+SUMPRODUCT(
  (Contract_Edits[BaseFlag]=1)*
  (TEXT(Contract_Edits[ParentAnchor],"0")=TEXT(Contract_Edits[[#This Row],[ParentAnchor]],"0"))*
  (VALUE(TEXT(Contract_Edits[Index],"0"))&lt;VALUE(TEXT(Contract_Edits[[#This Row],[Index]],"0")))
)</f>
        <v>1</v>
      </c>
      <c r="AN202" s="453"/>
    </row>
    <row r="203" spans="11:40" ht="16.5" thickTop="1" thickBot="1">
      <c r="K203" s="104"/>
      <c r="L203" s="520">
        <v>174</v>
      </c>
      <c r="M203" s="441"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0"/>
      <c r="R203" s="508"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3" s="179">
        <v>0</v>
      </c>
      <c r="T203" s="469"/>
      <c r="U203" s="492"/>
      <c r="V203" s="193"/>
      <c r="W203" s="22" t="s">
        <v>358</v>
      </c>
      <c r="X203" s="484" t="s">
        <v>604</v>
      </c>
      <c r="Y203" s="484"/>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03">
        <f>--(
  ISNUMBER(SEARCH("BASE PARENT", UPPER(CLEAN(TRIM(_xlfn.XLOOKUP(TEXT(Contract_Edits[[#This Row],[Index]],"0"), baseIdxTxt, baseCost, "")))))) +
  ISNUMBER(SEARCH("DEPENDENCY GROUP", UPPER(CLEAN(TRIM(_xlfn.XLOOKUP(TEXT(Contract_Edits[[#This Row],[Index]],"0"), baseIdxTxt, baseCost, ""))))))
)</f>
        <v>0</v>
      </c>
      <c r="AG203" s="503" t="str" cm="1">
        <f t="array" ref="AG203">IF(Contract_Edits[[#This Row],[BaseFlag]]=1,
   10*BaseDepthL(TEXT(Contract_Edits[[#This Row],[Index]],"0"),500,editsIdxTxt,editsParentKeyTxt,baseIdxTxt,baseCost)-5,
   ""
)</f>
        <v/>
      </c>
      <c r="AH203" s="503"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53" t="str">
        <f>IF(Contract_Edits[[#This Row],[Dep]]=0,"Root",
   IF(ISNUMBER(MATCH(Contract_Edits[[#This Row],[Dep]],Contract_Edits[Index],0)),"OK","Missing")
)</f>
        <v>Root</v>
      </c>
      <c r="AJ203" s="453" t="e">
        <f>IF(AND(Contract_Edits[[#This Row],[Dep]]&lt;&gt;0,
        ISNUMBER(MATCH(Contract_Edits[[#This Row],[Dep]], Contract_Edits[Index], 0)),
        INDEX(Contract_Edits[Dep], MATCH(Contract_Edits[[#This Row],[Dep]], Contract_Edits[Index], 0))=Contract_Edits[[#This Row],[Index]]),
   "2-cycle","")</f>
        <v>#N/A</v>
      </c>
      <c r="AK203" s="453" cm="1">
        <f t="array" ref="AK203">IF(Contract_Edits[[#This Row],[BaseFlag]]&lt;&gt;1,0,
   IF(TEXT(Contract_Edits[[#This Row],[Dep]],"0")=TEXT(Contract_Edits[[#This Row],[Index]],"0"),
      0,
      MAX(0, SUMPRODUCT(--(Contract_Edits[BaseFlag]=1),
                        --(TEXT(Contract_Edits[Dep],"0")=TEXT(Contract_Edits[[#This Row],[Dep]],"0"))) - 1)
   )
)</f>
        <v>0</v>
      </c>
      <c r="AL203" s="453" t="str" cm="1">
        <f t="array" ref="AL203">IF(Contract_Edits[[#This Row],[BaseFlag]]=1,
   TEXT(Contract_Edits[[#This Row],[Index]],"0"),
   NearestBaseL(TEXT(Contract_Edits[[#This Row],[ParentKey]],"0"),500,editsIdxTxt,editsParentKeyTxt,baseIdxTxt,baseCost)
)</f>
        <v>0</v>
      </c>
      <c r="AM203" s="453" cm="1">
        <f t="array" ref="AM203">1+SUMPRODUCT(
  (Contract_Edits[BaseFlag]=1)*
  (TEXT(Contract_Edits[ParentAnchor],"0")=TEXT(Contract_Edits[[#This Row],[ParentAnchor]],"0"))*
  (VALUE(TEXT(Contract_Edits[Index],"0"))&lt;VALUE(TEXT(Contract_Edits[[#This Row],[Index]],"0")))
)</f>
        <v>1</v>
      </c>
      <c r="AN203" s="453"/>
    </row>
    <row r="204" spans="11:40" ht="16.5" thickTop="1" thickBot="1">
      <c r="K204" s="104"/>
      <c r="L204" s="505">
        <v>125</v>
      </c>
      <c r="M204" s="441"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68"/>
      <c r="R204" s="508"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4" s="179">
        <v>0</v>
      </c>
      <c r="T204" s="179">
        <v>0</v>
      </c>
      <c r="U204" s="11"/>
      <c r="V204"/>
      <c r="W204" s="22" t="s">
        <v>358</v>
      </c>
      <c r="X204" s="22" t="s">
        <v>604</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03">
        <f>--(
  ISNUMBER(SEARCH("BASE PARENT", UPPER(CLEAN(TRIM(_xlfn.XLOOKUP(TEXT(Contract_Edits[[#This Row],[Index]],"0"), baseIdxTxt, baseCost, "")))))) +
  ISNUMBER(SEARCH("DEPENDENCY GROUP", UPPER(CLEAN(TRIM(_xlfn.XLOOKUP(TEXT(Contract_Edits[[#This Row],[Index]],"0"), baseIdxTxt, baseCost, ""))))))
)</f>
        <v>0</v>
      </c>
      <c r="AG204" s="503" t="str" cm="1">
        <f t="array" ref="AG204">IF(Contract_Edits[[#This Row],[BaseFlag]]=1,
   10*BaseDepthL(TEXT(Contract_Edits[[#This Row],[Index]],"0"),500,editsIdxTxt,editsParentKeyTxt,baseIdxTxt,baseCost)-5,
   ""
)</f>
        <v/>
      </c>
      <c r="AH204" s="503"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53" t="str">
        <f>IF(Contract_Edits[[#This Row],[Dep]]=0,"Root",
   IF(ISNUMBER(MATCH(Contract_Edits[[#This Row],[Dep]],Contract_Edits[Index],0)),"OK","Missing")
)</f>
        <v>Root</v>
      </c>
      <c r="AJ204" s="453" t="e">
        <f>IF(AND(Contract_Edits[[#This Row],[Dep]]&lt;&gt;0,
        ISNUMBER(MATCH(Contract_Edits[[#This Row],[Dep]], Contract_Edits[Index], 0)),
        INDEX(Contract_Edits[Dep], MATCH(Contract_Edits[[#This Row],[Dep]], Contract_Edits[Index], 0))=Contract_Edits[[#This Row],[Index]]),
   "2-cycle","")</f>
        <v>#N/A</v>
      </c>
      <c r="AK204" s="453" cm="1">
        <f t="array" ref="AK204">IF(Contract_Edits[[#This Row],[BaseFlag]]&lt;&gt;1,0,
   IF(TEXT(Contract_Edits[[#This Row],[Dep]],"0")=TEXT(Contract_Edits[[#This Row],[Index]],"0"),
      0,
      MAX(0, SUMPRODUCT(--(Contract_Edits[BaseFlag]=1),
                        --(TEXT(Contract_Edits[Dep],"0")=TEXT(Contract_Edits[[#This Row],[Dep]],"0"))) - 1)
   )
)</f>
        <v>0</v>
      </c>
      <c r="AL204" s="453" t="str" cm="1">
        <f t="array" ref="AL204">IF(Contract_Edits[[#This Row],[BaseFlag]]=1,
   TEXT(Contract_Edits[[#This Row],[Index]],"0"),
   NearestBaseL(TEXT(Contract_Edits[[#This Row],[ParentKey]],"0"),500,editsIdxTxt,editsParentKeyTxt,baseIdxTxt,baseCost)
)</f>
        <v>0</v>
      </c>
      <c r="AM204" s="453" cm="1">
        <f t="array" ref="AM204">1+SUMPRODUCT(
  (Contract_Edits[BaseFlag]=1)*
  (TEXT(Contract_Edits[ParentAnchor],"0")=TEXT(Contract_Edits[[#This Row],[ParentAnchor]],"0"))*
  (VALUE(TEXT(Contract_Edits[Index],"0"))&lt;VALUE(TEXT(Contract_Edits[[#This Row],[Index]],"0")))
)</f>
        <v>1</v>
      </c>
      <c r="AN204" s="453"/>
    </row>
    <row r="205" spans="11:40" ht="16.5" thickTop="1" thickBot="1">
      <c r="K205" s="104"/>
      <c r="L205" s="505">
        <v>97</v>
      </c>
      <c r="M205" s="441"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68"/>
      <c r="R205" s="508"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5" s="179">
        <v>0</v>
      </c>
      <c r="T205" s="179">
        <v>0</v>
      </c>
      <c r="U205" s="11"/>
      <c r="V205"/>
      <c r="W205" s="22" t="s">
        <v>358</v>
      </c>
      <c r="X205" s="22" t="s">
        <v>604</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03">
        <f>--(
  ISNUMBER(SEARCH("BASE PARENT", UPPER(CLEAN(TRIM(_xlfn.XLOOKUP(TEXT(Contract_Edits[[#This Row],[Index]],"0"), baseIdxTxt, baseCost, "")))))) +
  ISNUMBER(SEARCH("DEPENDENCY GROUP", UPPER(CLEAN(TRIM(_xlfn.XLOOKUP(TEXT(Contract_Edits[[#This Row],[Index]],"0"), baseIdxTxt, baseCost, ""))))))
)</f>
        <v>0</v>
      </c>
      <c r="AG205" s="503" t="str" cm="1">
        <f t="array" ref="AG205">IF(Contract_Edits[[#This Row],[BaseFlag]]=1,
   10*BaseDepthL(TEXT(Contract_Edits[[#This Row],[Index]],"0"),500,editsIdxTxt,editsParentKeyTxt,baseIdxTxt,baseCost)-5,
   ""
)</f>
        <v/>
      </c>
      <c r="AH205" s="503"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53" t="str">
        <f>IF(Contract_Edits[[#This Row],[Dep]]=0,"Root",
   IF(ISNUMBER(MATCH(Contract_Edits[[#This Row],[Dep]],Contract_Edits[Index],0)),"OK","Missing")
)</f>
        <v>Root</v>
      </c>
      <c r="AJ205" s="453" t="e">
        <f>IF(AND(Contract_Edits[[#This Row],[Dep]]&lt;&gt;0,
        ISNUMBER(MATCH(Contract_Edits[[#This Row],[Dep]], Contract_Edits[Index], 0)),
        INDEX(Contract_Edits[Dep], MATCH(Contract_Edits[[#This Row],[Dep]], Contract_Edits[Index], 0))=Contract_Edits[[#This Row],[Index]]),
   "2-cycle","")</f>
        <v>#N/A</v>
      </c>
      <c r="AK205" s="453" cm="1">
        <f t="array" ref="AK205">IF(Contract_Edits[[#This Row],[BaseFlag]]&lt;&gt;1,0,
   IF(TEXT(Contract_Edits[[#This Row],[Dep]],"0")=TEXT(Contract_Edits[[#This Row],[Index]],"0"),
      0,
      MAX(0, SUMPRODUCT(--(Contract_Edits[BaseFlag]=1),
                        --(TEXT(Contract_Edits[Dep],"0")=TEXT(Contract_Edits[[#This Row],[Dep]],"0"))) - 1)
   )
)</f>
        <v>0</v>
      </c>
      <c r="AL205" s="453" t="str" cm="1">
        <f t="array" ref="AL205">IF(Contract_Edits[[#This Row],[BaseFlag]]=1,
   TEXT(Contract_Edits[[#This Row],[Index]],"0"),
   NearestBaseL(TEXT(Contract_Edits[[#This Row],[ParentKey]],"0"),500,editsIdxTxt,editsParentKeyTxt,baseIdxTxt,baseCost)
)</f>
        <v>0</v>
      </c>
      <c r="AM205" s="453" cm="1">
        <f t="array" ref="AM205">1+SUMPRODUCT(
  (Contract_Edits[BaseFlag]=1)*
  (TEXT(Contract_Edits[ParentAnchor],"0")=TEXT(Contract_Edits[[#This Row],[ParentAnchor]],"0"))*
  (VALUE(TEXT(Contract_Edits[Index],"0"))&lt;VALUE(TEXT(Contract_Edits[[#This Row],[Index]],"0")))
)</f>
        <v>1</v>
      </c>
      <c r="AN205" s="453"/>
    </row>
    <row r="206" spans="11:40" ht="16.5" thickTop="1" thickBot="1">
      <c r="K206" s="104"/>
      <c r="L206" s="505">
        <v>175</v>
      </c>
      <c r="M206" s="441"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0"/>
      <c r="R206" s="508"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6" s="179">
        <v>0</v>
      </c>
      <c r="T206" s="469"/>
      <c r="U206" s="492"/>
      <c r="V206" s="193"/>
      <c r="W206" s="22" t="s">
        <v>358</v>
      </c>
      <c r="X206" s="484" t="s">
        <v>604</v>
      </c>
      <c r="Y206" s="484"/>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03">
        <f>--(
  ISNUMBER(SEARCH("BASE PARENT", UPPER(CLEAN(TRIM(_xlfn.XLOOKUP(TEXT(Contract_Edits[[#This Row],[Index]],"0"), baseIdxTxt, baseCost, "")))))) +
  ISNUMBER(SEARCH("DEPENDENCY GROUP", UPPER(CLEAN(TRIM(_xlfn.XLOOKUP(TEXT(Contract_Edits[[#This Row],[Index]],"0"), baseIdxTxt, baseCost, ""))))))
)</f>
        <v>0</v>
      </c>
      <c r="AG206" s="503" t="str" cm="1">
        <f t="array" ref="AG206">IF(Contract_Edits[[#This Row],[BaseFlag]]=1,
   10*BaseDepthL(TEXT(Contract_Edits[[#This Row],[Index]],"0"),500,editsIdxTxt,editsParentKeyTxt,baseIdxTxt,baseCost)-5,
   ""
)</f>
        <v/>
      </c>
      <c r="AH206" s="503"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53" t="str">
        <f>IF(Contract_Edits[[#This Row],[Dep]]=0,"Root",
   IF(ISNUMBER(MATCH(Contract_Edits[[#This Row],[Dep]],Contract_Edits[Index],0)),"OK","Missing")
)</f>
        <v>Root</v>
      </c>
      <c r="AJ206" s="453" t="e">
        <f>IF(AND(Contract_Edits[[#This Row],[Dep]]&lt;&gt;0,
        ISNUMBER(MATCH(Contract_Edits[[#This Row],[Dep]], Contract_Edits[Index], 0)),
        INDEX(Contract_Edits[Dep], MATCH(Contract_Edits[[#This Row],[Dep]], Contract_Edits[Index], 0))=Contract_Edits[[#This Row],[Index]]),
   "2-cycle","")</f>
        <v>#N/A</v>
      </c>
      <c r="AK206" s="453" cm="1">
        <f t="array" ref="AK206">IF(Contract_Edits[[#This Row],[BaseFlag]]&lt;&gt;1,0,
   IF(TEXT(Contract_Edits[[#This Row],[Dep]],"0")=TEXT(Contract_Edits[[#This Row],[Index]],"0"),
      0,
      MAX(0, SUMPRODUCT(--(Contract_Edits[BaseFlag]=1),
                        --(TEXT(Contract_Edits[Dep],"0")=TEXT(Contract_Edits[[#This Row],[Dep]],"0"))) - 1)
   )
)</f>
        <v>0</v>
      </c>
      <c r="AL206" s="453" t="str" cm="1">
        <f t="array" ref="AL206">IF(Contract_Edits[[#This Row],[BaseFlag]]=1,
   TEXT(Contract_Edits[[#This Row],[Index]],"0"),
   NearestBaseL(TEXT(Contract_Edits[[#This Row],[ParentKey]],"0"),500,editsIdxTxt,editsParentKeyTxt,baseIdxTxt,baseCost)
)</f>
        <v>0</v>
      </c>
      <c r="AM206" s="453" cm="1">
        <f t="array" ref="AM206">1+SUMPRODUCT(
  (Contract_Edits[BaseFlag]=1)*
  (TEXT(Contract_Edits[ParentAnchor],"0")=TEXT(Contract_Edits[[#This Row],[ParentAnchor]],"0"))*
  (VALUE(TEXT(Contract_Edits[Index],"0"))&lt;VALUE(TEXT(Contract_Edits[[#This Row],[Index]],"0")))
)</f>
        <v>1</v>
      </c>
      <c r="AN206" s="453"/>
    </row>
    <row r="207" spans="11:40" ht="16.5" thickTop="1" thickBot="1">
      <c r="K207" s="104"/>
      <c r="L207" s="505">
        <v>133</v>
      </c>
      <c r="M207" s="441"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68"/>
      <c r="R207" s="508"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7" s="179">
        <v>0</v>
      </c>
      <c r="T207" s="179">
        <v>0</v>
      </c>
      <c r="U207" s="11"/>
      <c r="V207"/>
      <c r="W207" s="22" t="s">
        <v>358</v>
      </c>
      <c r="X207" s="22" t="s">
        <v>604</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03">
        <f>--(
  ISNUMBER(SEARCH("BASE PARENT", UPPER(CLEAN(TRIM(_xlfn.XLOOKUP(TEXT(Contract_Edits[[#This Row],[Index]],"0"), baseIdxTxt, baseCost, "")))))) +
  ISNUMBER(SEARCH("DEPENDENCY GROUP", UPPER(CLEAN(TRIM(_xlfn.XLOOKUP(TEXT(Contract_Edits[[#This Row],[Index]],"0"), baseIdxTxt, baseCost, ""))))))
)</f>
        <v>0</v>
      </c>
      <c r="AG207" s="503" t="str" cm="1">
        <f t="array" ref="AG207">IF(Contract_Edits[[#This Row],[BaseFlag]]=1,
   10*BaseDepthL(TEXT(Contract_Edits[[#This Row],[Index]],"0"),500,editsIdxTxt,editsParentKeyTxt,baseIdxTxt,baseCost)-5,
   ""
)</f>
        <v/>
      </c>
      <c r="AH207" s="503"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53" t="str">
        <f>IF(Contract_Edits[[#This Row],[Dep]]=0,"Root",
   IF(ISNUMBER(MATCH(Contract_Edits[[#This Row],[Dep]],Contract_Edits[Index],0)),"OK","Missing")
)</f>
        <v>Root</v>
      </c>
      <c r="AJ207" s="453" t="e">
        <f>IF(AND(Contract_Edits[[#This Row],[Dep]]&lt;&gt;0,
        ISNUMBER(MATCH(Contract_Edits[[#This Row],[Dep]], Contract_Edits[Index], 0)),
        INDEX(Contract_Edits[Dep], MATCH(Contract_Edits[[#This Row],[Dep]], Contract_Edits[Index], 0))=Contract_Edits[[#This Row],[Index]]),
   "2-cycle","")</f>
        <v>#N/A</v>
      </c>
      <c r="AK207" s="453" cm="1">
        <f t="array" ref="AK207">IF(Contract_Edits[[#This Row],[BaseFlag]]&lt;&gt;1,0,
   IF(TEXT(Contract_Edits[[#This Row],[Dep]],"0")=TEXT(Contract_Edits[[#This Row],[Index]],"0"),
      0,
      MAX(0, SUMPRODUCT(--(Contract_Edits[BaseFlag]=1),
                        --(TEXT(Contract_Edits[Dep],"0")=TEXT(Contract_Edits[[#This Row],[Dep]],"0"))) - 1)
   )
)</f>
        <v>0</v>
      </c>
      <c r="AL207" s="453" t="str" cm="1">
        <f t="array" ref="AL207">IF(Contract_Edits[[#This Row],[BaseFlag]]=1,
   TEXT(Contract_Edits[[#This Row],[Index]],"0"),
   NearestBaseL(TEXT(Contract_Edits[[#This Row],[ParentKey]],"0"),500,editsIdxTxt,editsParentKeyTxt,baseIdxTxt,baseCost)
)</f>
        <v>0</v>
      </c>
      <c r="AM207" s="453" cm="1">
        <f t="array" ref="AM207">1+SUMPRODUCT(
  (Contract_Edits[BaseFlag]=1)*
  (TEXT(Contract_Edits[ParentAnchor],"0")=TEXT(Contract_Edits[[#This Row],[ParentAnchor]],"0"))*
  (VALUE(TEXT(Contract_Edits[Index],"0"))&lt;VALUE(TEXT(Contract_Edits[[#This Row],[Index]],"0")))
)</f>
        <v>1</v>
      </c>
      <c r="AN207" s="453"/>
    </row>
    <row r="208" spans="11:40" ht="16.5" thickTop="1" thickBot="1">
      <c r="K208" s="104"/>
      <c r="L208" s="505">
        <v>105</v>
      </c>
      <c r="M208" s="441"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68"/>
      <c r="R208" s="508"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8" s="179">
        <v>0</v>
      </c>
      <c r="T208" s="179">
        <v>0</v>
      </c>
      <c r="U208" s="11"/>
      <c r="V208"/>
      <c r="W208" s="22" t="s">
        <v>358</v>
      </c>
      <c r="X208" s="22" t="s">
        <v>604</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03">
        <f>--(
  ISNUMBER(SEARCH("BASE PARENT", UPPER(CLEAN(TRIM(_xlfn.XLOOKUP(TEXT(Contract_Edits[[#This Row],[Index]],"0"), baseIdxTxt, baseCost, "")))))) +
  ISNUMBER(SEARCH("DEPENDENCY GROUP", UPPER(CLEAN(TRIM(_xlfn.XLOOKUP(TEXT(Contract_Edits[[#This Row],[Index]],"0"), baseIdxTxt, baseCost, ""))))))
)</f>
        <v>0</v>
      </c>
      <c r="AG208" s="503" t="str" cm="1">
        <f t="array" ref="AG208">IF(Contract_Edits[[#This Row],[BaseFlag]]=1,
   10*BaseDepthL(TEXT(Contract_Edits[[#This Row],[Index]],"0"),500,editsIdxTxt,editsParentKeyTxt,baseIdxTxt,baseCost)-5,
   ""
)</f>
        <v/>
      </c>
      <c r="AH208" s="503"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53" t="str">
        <f>IF(Contract_Edits[[#This Row],[Dep]]=0,"Root",
   IF(ISNUMBER(MATCH(Contract_Edits[[#This Row],[Dep]],Contract_Edits[Index],0)),"OK","Missing")
)</f>
        <v>Root</v>
      </c>
      <c r="AJ208" s="453" t="e">
        <f>IF(AND(Contract_Edits[[#This Row],[Dep]]&lt;&gt;0,
        ISNUMBER(MATCH(Contract_Edits[[#This Row],[Dep]], Contract_Edits[Index], 0)),
        INDEX(Contract_Edits[Dep], MATCH(Contract_Edits[[#This Row],[Dep]], Contract_Edits[Index], 0))=Contract_Edits[[#This Row],[Index]]),
   "2-cycle","")</f>
        <v>#N/A</v>
      </c>
      <c r="AK208" s="453" cm="1">
        <f t="array" ref="AK208">IF(Contract_Edits[[#This Row],[BaseFlag]]&lt;&gt;1,0,
   IF(TEXT(Contract_Edits[[#This Row],[Dep]],"0")=TEXT(Contract_Edits[[#This Row],[Index]],"0"),
      0,
      MAX(0, SUMPRODUCT(--(Contract_Edits[BaseFlag]=1),
                        --(TEXT(Contract_Edits[Dep],"0")=TEXT(Contract_Edits[[#This Row],[Dep]],"0"))) - 1)
   )
)</f>
        <v>0</v>
      </c>
      <c r="AL208" s="453" t="str" cm="1">
        <f t="array" ref="AL208">IF(Contract_Edits[[#This Row],[BaseFlag]]=1,
   TEXT(Contract_Edits[[#This Row],[Index]],"0"),
   NearestBaseL(TEXT(Contract_Edits[[#This Row],[ParentKey]],"0"),500,editsIdxTxt,editsParentKeyTxt,baseIdxTxt,baseCost)
)</f>
        <v>0</v>
      </c>
      <c r="AM208" s="453" cm="1">
        <f t="array" ref="AM208">1+SUMPRODUCT(
  (Contract_Edits[BaseFlag]=1)*
  (TEXT(Contract_Edits[ParentAnchor],"0")=TEXT(Contract_Edits[[#This Row],[ParentAnchor]],"0"))*
  (VALUE(TEXT(Contract_Edits[Index],"0"))&lt;VALUE(TEXT(Contract_Edits[[#This Row],[Index]],"0")))
)</f>
        <v>1</v>
      </c>
      <c r="AN208" s="453"/>
    </row>
    <row r="209" spans="11:80" ht="15.75" thickTop="1">
      <c r="K209" s="104"/>
      <c r="L209" s="506">
        <v>106</v>
      </c>
      <c r="M209" s="441"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68"/>
      <c r="R209" s="508"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9" s="179">
        <v>0</v>
      </c>
      <c r="T209" s="179">
        <v>0</v>
      </c>
      <c r="U209" s="11"/>
      <c r="V209"/>
      <c r="W209" s="22" t="s">
        <v>358</v>
      </c>
      <c r="X209" s="22" t="s">
        <v>604</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03">
        <f>--(
  ISNUMBER(SEARCH("BASE PARENT", UPPER(CLEAN(TRIM(_xlfn.XLOOKUP(TEXT(Contract_Edits[[#This Row],[Index]],"0"), baseIdxTxt, baseCost, "")))))) +
  ISNUMBER(SEARCH("DEPENDENCY GROUP", UPPER(CLEAN(TRIM(_xlfn.XLOOKUP(TEXT(Contract_Edits[[#This Row],[Index]],"0"), baseIdxTxt, baseCost, ""))))))
)</f>
        <v>0</v>
      </c>
      <c r="AG209" s="503" t="str" cm="1">
        <f t="array" ref="AG209">IF(Contract_Edits[[#This Row],[BaseFlag]]=1,
   10*BaseDepthL(TEXT(Contract_Edits[[#This Row],[Index]],"0"),500,editsIdxTxt,editsParentKeyTxt,baseIdxTxt,baseCost)-5,
   ""
)</f>
        <v/>
      </c>
      <c r="AH209" s="503"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53" t="str">
        <f>IF(Contract_Edits[[#This Row],[Dep]]=0,"Root",
   IF(ISNUMBER(MATCH(Contract_Edits[[#This Row],[Dep]],Contract_Edits[Index],0)),"OK","Missing")
)</f>
        <v>Root</v>
      </c>
      <c r="AJ209" s="453" t="e">
        <f>IF(AND(Contract_Edits[[#This Row],[Dep]]&lt;&gt;0,
        ISNUMBER(MATCH(Contract_Edits[[#This Row],[Dep]], Contract_Edits[Index], 0)),
        INDEX(Contract_Edits[Dep], MATCH(Contract_Edits[[#This Row],[Dep]], Contract_Edits[Index], 0))=Contract_Edits[[#This Row],[Index]]),
   "2-cycle","")</f>
        <v>#N/A</v>
      </c>
      <c r="AK209" s="453" cm="1">
        <f t="array" ref="AK209">IF(Contract_Edits[[#This Row],[BaseFlag]]&lt;&gt;1,0,
   IF(TEXT(Contract_Edits[[#This Row],[Dep]],"0")=TEXT(Contract_Edits[[#This Row],[Index]],"0"),
      0,
      MAX(0, SUMPRODUCT(--(Contract_Edits[BaseFlag]=1),
                        --(TEXT(Contract_Edits[Dep],"0")=TEXT(Contract_Edits[[#This Row],[Dep]],"0"))) - 1)
   )
)</f>
        <v>0</v>
      </c>
      <c r="AL209" s="453" t="str" cm="1">
        <f t="array" ref="AL209">IF(Contract_Edits[[#This Row],[BaseFlag]]=1,
   TEXT(Contract_Edits[[#This Row],[Index]],"0"),
   NearestBaseL(TEXT(Contract_Edits[[#This Row],[ParentKey]],"0"),500,editsIdxTxt,editsParentKeyTxt,baseIdxTxt,baseCost)
)</f>
        <v>0</v>
      </c>
      <c r="AM209" s="453" cm="1">
        <f t="array" ref="AM209">1+SUMPRODUCT(
  (Contract_Edits[BaseFlag]=1)*
  (TEXT(Contract_Edits[ParentAnchor],"0")=TEXT(Contract_Edits[[#This Row],[ParentAnchor]],"0"))*
  (VALUE(TEXT(Contract_Edits[Index],"0"))&lt;VALUE(TEXT(Contract_Edits[[#This Row],[Index]],"0")))
)</f>
        <v>1</v>
      </c>
      <c r="AN209" s="453"/>
    </row>
    <row r="210" spans="11:80" ht="15">
      <c r="K210" s="104"/>
      <c r="L210" s="441">
        <v>126</v>
      </c>
      <c r="M210" s="441"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68"/>
      <c r="R210" s="508"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0" s="179">
        <v>0</v>
      </c>
      <c r="T210" s="179">
        <v>0</v>
      </c>
      <c r="U210" s="11"/>
      <c r="V210"/>
      <c r="W210" s="22" t="s">
        <v>358</v>
      </c>
      <c r="X210" s="22" t="s">
        <v>604</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03">
        <f>--(
  ISNUMBER(SEARCH("BASE PARENT", UPPER(CLEAN(TRIM(_xlfn.XLOOKUP(TEXT(Contract_Edits[[#This Row],[Index]],"0"), baseIdxTxt, baseCost, "")))))) +
  ISNUMBER(SEARCH("DEPENDENCY GROUP", UPPER(CLEAN(TRIM(_xlfn.XLOOKUP(TEXT(Contract_Edits[[#This Row],[Index]],"0"), baseIdxTxt, baseCost, ""))))))
)</f>
        <v>0</v>
      </c>
      <c r="AG210" s="503" t="str" cm="1">
        <f t="array" ref="AG210">IF(Contract_Edits[[#This Row],[BaseFlag]]=1,
   10*BaseDepthL(TEXT(Contract_Edits[[#This Row],[Index]],"0"),500,editsIdxTxt,editsParentKeyTxt,baseIdxTxt,baseCost)-5,
   ""
)</f>
        <v/>
      </c>
      <c r="AH210" s="503"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53" t="str">
        <f>IF(Contract_Edits[[#This Row],[Dep]]=0,"Root",
   IF(ISNUMBER(MATCH(Contract_Edits[[#This Row],[Dep]],Contract_Edits[Index],0)),"OK","Missing")
)</f>
        <v>Root</v>
      </c>
      <c r="AJ210" s="453" t="e">
        <f>IF(AND(Contract_Edits[[#This Row],[Dep]]&lt;&gt;0,
        ISNUMBER(MATCH(Contract_Edits[[#This Row],[Dep]], Contract_Edits[Index], 0)),
        INDEX(Contract_Edits[Dep], MATCH(Contract_Edits[[#This Row],[Dep]], Contract_Edits[Index], 0))=Contract_Edits[[#This Row],[Index]]),
   "2-cycle","")</f>
        <v>#N/A</v>
      </c>
      <c r="AK210" s="453" cm="1">
        <f t="array" ref="AK210">IF(Contract_Edits[[#This Row],[BaseFlag]]&lt;&gt;1,0,
   IF(TEXT(Contract_Edits[[#This Row],[Dep]],"0")=TEXT(Contract_Edits[[#This Row],[Index]],"0"),
      0,
      MAX(0, SUMPRODUCT(--(Contract_Edits[BaseFlag]=1),
                        --(TEXT(Contract_Edits[Dep],"0")=TEXT(Contract_Edits[[#This Row],[Dep]],"0"))) - 1)
   )
)</f>
        <v>0</v>
      </c>
      <c r="AL210" s="453" t="str" cm="1">
        <f t="array" ref="AL210">IF(Contract_Edits[[#This Row],[BaseFlag]]=1,
   TEXT(Contract_Edits[[#This Row],[Index]],"0"),
   NearestBaseL(TEXT(Contract_Edits[[#This Row],[ParentKey]],"0"),500,editsIdxTxt,editsParentKeyTxt,baseIdxTxt,baseCost)
)</f>
        <v>0</v>
      </c>
      <c r="AM210" s="453" cm="1">
        <f t="array" ref="AM210">1+SUMPRODUCT(
  (Contract_Edits[BaseFlag]=1)*
  (TEXT(Contract_Edits[ParentAnchor],"0")=TEXT(Contract_Edits[[#This Row],[ParentAnchor]],"0"))*
  (VALUE(TEXT(Contract_Edits[Index],"0"))&lt;VALUE(TEXT(Contract_Edits[[#This Row],[Index]],"0")))
)</f>
        <v>1</v>
      </c>
      <c r="AN210" s="453"/>
    </row>
    <row r="211" spans="11:80" ht="15">
      <c r="K211" s="104"/>
      <c r="L211" s="441">
        <v>144</v>
      </c>
      <c r="M211" s="441"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68"/>
      <c r="R211" s="508"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1" s="179">
        <v>0</v>
      </c>
      <c r="T211" s="179">
        <v>0</v>
      </c>
      <c r="U211" s="11"/>
      <c r="V211"/>
      <c r="W211" s="22" t="s">
        <v>358</v>
      </c>
      <c r="X211" s="22" t="s">
        <v>604</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03">
        <f>--(
  ISNUMBER(SEARCH("BASE PARENT", UPPER(CLEAN(TRIM(_xlfn.XLOOKUP(TEXT(Contract_Edits[[#This Row],[Index]],"0"), baseIdxTxt, baseCost, "")))))) +
  ISNUMBER(SEARCH("DEPENDENCY GROUP", UPPER(CLEAN(TRIM(_xlfn.XLOOKUP(TEXT(Contract_Edits[[#This Row],[Index]],"0"), baseIdxTxt, baseCost, ""))))))
)</f>
        <v>0</v>
      </c>
      <c r="AG211" s="503" t="str" cm="1">
        <f t="array" ref="AG211">IF(Contract_Edits[[#This Row],[BaseFlag]]=1,
   10*BaseDepthL(TEXT(Contract_Edits[[#This Row],[Index]],"0"),500,editsIdxTxt,editsParentKeyTxt,baseIdxTxt,baseCost)-5,
   ""
)</f>
        <v/>
      </c>
      <c r="AH211" s="503"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53" t="str">
        <f>IF(Contract_Edits[[#This Row],[Dep]]=0,"Root",
   IF(ISNUMBER(MATCH(Contract_Edits[[#This Row],[Dep]],Contract_Edits[Index],0)),"OK","Missing")
)</f>
        <v>Root</v>
      </c>
      <c r="AJ211" s="453" t="e">
        <f>IF(AND(Contract_Edits[[#This Row],[Dep]]&lt;&gt;0,
        ISNUMBER(MATCH(Contract_Edits[[#This Row],[Dep]], Contract_Edits[Index], 0)),
        INDEX(Contract_Edits[Dep], MATCH(Contract_Edits[[#This Row],[Dep]], Contract_Edits[Index], 0))=Contract_Edits[[#This Row],[Index]]),
   "2-cycle","")</f>
        <v>#N/A</v>
      </c>
      <c r="AK211" s="453" cm="1">
        <f t="array" ref="AK211">IF(Contract_Edits[[#This Row],[BaseFlag]]&lt;&gt;1,0,
   IF(TEXT(Contract_Edits[[#This Row],[Dep]],"0")=TEXT(Contract_Edits[[#This Row],[Index]],"0"),
      0,
      MAX(0, SUMPRODUCT(--(Contract_Edits[BaseFlag]=1),
                        --(TEXT(Contract_Edits[Dep],"0")=TEXT(Contract_Edits[[#This Row],[Dep]],"0"))) - 1)
   )
)</f>
        <v>0</v>
      </c>
      <c r="AL211" s="453" t="str" cm="1">
        <f t="array" ref="AL211">IF(Contract_Edits[[#This Row],[BaseFlag]]=1,
   TEXT(Contract_Edits[[#This Row],[Index]],"0"),
   NearestBaseL(TEXT(Contract_Edits[[#This Row],[ParentKey]],"0"),500,editsIdxTxt,editsParentKeyTxt,baseIdxTxt,baseCost)
)</f>
        <v>0</v>
      </c>
      <c r="AM211" s="453" cm="1">
        <f t="array" ref="AM211">1+SUMPRODUCT(
  (Contract_Edits[BaseFlag]=1)*
  (TEXT(Contract_Edits[ParentAnchor],"0")=TEXT(Contract_Edits[[#This Row],[ParentAnchor]],"0"))*
  (VALUE(TEXT(Contract_Edits[Index],"0"))&lt;VALUE(TEXT(Contract_Edits[[#This Row],[Index]],"0")))
)</f>
        <v>1</v>
      </c>
      <c r="AN211" s="453"/>
    </row>
    <row r="212" spans="11:80" ht="15">
      <c r="L212" s="441">
        <v>147</v>
      </c>
      <c r="M212" s="441"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0"/>
      <c r="R212" s="508"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2" s="179">
        <v>0</v>
      </c>
      <c r="T212" s="469"/>
      <c r="U212" s="492"/>
      <c r="V212" s="193"/>
      <c r="W212" s="22" t="s">
        <v>358</v>
      </c>
      <c r="X212" s="484" t="s">
        <v>604</v>
      </c>
      <c r="Y212" s="484"/>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03">
        <f>--(
  ISNUMBER(SEARCH("BASE PARENT", UPPER(CLEAN(TRIM(_xlfn.XLOOKUP(TEXT(Contract_Edits[[#This Row],[Index]],"0"), baseIdxTxt, baseCost, "")))))) +
  ISNUMBER(SEARCH("DEPENDENCY GROUP", UPPER(CLEAN(TRIM(_xlfn.XLOOKUP(TEXT(Contract_Edits[[#This Row],[Index]],"0"), baseIdxTxt, baseCost, ""))))))
)</f>
        <v>0</v>
      </c>
      <c r="AG212" s="503" t="str" cm="1">
        <f t="array" ref="AG212">IF(Contract_Edits[[#This Row],[BaseFlag]]=1,
   10*BaseDepthL(TEXT(Contract_Edits[[#This Row],[Index]],"0"),500,editsIdxTxt,editsParentKeyTxt,baseIdxTxt,baseCost)-5,
   ""
)</f>
        <v/>
      </c>
      <c r="AH212" s="503"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53" t="str">
        <f>IF(Contract_Edits[[#This Row],[Dep]]=0,"Root",
   IF(ISNUMBER(MATCH(Contract_Edits[[#This Row],[Dep]],Contract_Edits[Index],0)),"OK","Missing")
)</f>
        <v>Root</v>
      </c>
      <c r="AJ212" s="453" t="e">
        <f>IF(AND(Contract_Edits[[#This Row],[Dep]]&lt;&gt;0,
        ISNUMBER(MATCH(Contract_Edits[[#This Row],[Dep]], Contract_Edits[Index], 0)),
        INDEX(Contract_Edits[Dep], MATCH(Contract_Edits[[#This Row],[Dep]], Contract_Edits[Index], 0))=Contract_Edits[[#This Row],[Index]]),
   "2-cycle","")</f>
        <v>#N/A</v>
      </c>
      <c r="AK212" s="453" cm="1">
        <f t="array" ref="AK212">IF(Contract_Edits[[#This Row],[BaseFlag]]&lt;&gt;1,0,
   IF(TEXT(Contract_Edits[[#This Row],[Dep]],"0")=TEXT(Contract_Edits[[#This Row],[Index]],"0"),
      0,
      MAX(0, SUMPRODUCT(--(Contract_Edits[BaseFlag]=1),
                        --(TEXT(Contract_Edits[Dep],"0")=TEXT(Contract_Edits[[#This Row],[Dep]],"0"))) - 1)
   )
)</f>
        <v>0</v>
      </c>
      <c r="AL212" s="453" t="str" cm="1">
        <f t="array" ref="AL212">IF(Contract_Edits[[#This Row],[BaseFlag]]=1,
   TEXT(Contract_Edits[[#This Row],[Index]],"0"),
   NearestBaseL(TEXT(Contract_Edits[[#This Row],[ParentKey]],"0"),500,editsIdxTxt,editsParentKeyTxt,baseIdxTxt,baseCost)
)</f>
        <v>0</v>
      </c>
      <c r="AM212" s="453" cm="1">
        <f t="array" ref="AM212">1+SUMPRODUCT(
  (Contract_Edits[BaseFlag]=1)*
  (TEXT(Contract_Edits[ParentAnchor],"0")=TEXT(Contract_Edits[[#This Row],[ParentAnchor]],"0"))*
  (VALUE(TEXT(Contract_Edits[Index],"0"))&lt;VALUE(TEXT(Contract_Edits[[#This Row],[Index]],"0")))
)</f>
        <v>1</v>
      </c>
      <c r="AN212" s="453"/>
      <c r="AO212" s="469" t="e" cm="1" vm="1">
        <f t="array" ref="AO212">_xlfn._xlws.FILTER(
   tblContractBase[Index],
   ISNA(MATCH(tblContractBase[Index], Contract_Edits[Index], 0))
)</f>
        <v>#VALUE!</v>
      </c>
      <c r="AP212" s="478" t="str" cm="1">
        <f t="array" ref="AP212">_xlfn.LET(
  _xlpm.bIdx, TEXT(tblContractBase[Index],"0"),
  _xlpm.eIdx, TEXT(Contract_Edits[Index],"0"),
  _xlpm.isBP, ISNUMBER(SEARCH("BASE PARENT", UPPER(tblContractBase[Cost Code]))),
  _xlfn._xlws.FILTER(tblContractBase[Index], _xlpm.isBP*ISNA(MATCH(_xlpm.bIdx, _xlpm.eIdx, 0)), "None")
)</f>
        <v>None</v>
      </c>
      <c r="AQ212" s="478" t="str" cm="1">
        <f t="array" ref="AQ212">_xlfn.LET(
  _xlpm.bIdx, TEXT(tblContractBase[Index],"0"),
  _xlpm.eIdx, TEXT(Contract_Edits[Index],"0"),
  _xlfn._xlws.FILTER(tblContractBase[Index], ISNA(MATCH(_xlpm.bIdx, _xlpm.eIdx, 0)), "None")
)</f>
        <v>None</v>
      </c>
    </row>
    <row r="213" spans="11:80" ht="15">
      <c r="L213" s="441">
        <v>124</v>
      </c>
      <c r="M213" s="441"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07">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0"/>
      <c r="R213" s="508"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3" s="179">
        <v>0</v>
      </c>
      <c r="T213" s="469"/>
      <c r="U213" s="492"/>
      <c r="V213" s="193"/>
      <c r="W213" s="22" t="s">
        <v>358</v>
      </c>
      <c r="X213" s="484" t="s">
        <v>604</v>
      </c>
      <c r="Y213" s="484"/>
      <c r="Z213" s="490"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03">
        <f>--(
  ISNUMBER(SEARCH("BASE PARENT", UPPER(CLEAN(TRIM(_xlfn.XLOOKUP(TEXT(Contract_Edits[[#This Row],[Index]],"0"), baseIdxTxt, baseCost, "")))))) +
  ISNUMBER(SEARCH("DEPENDENCY GROUP", UPPER(CLEAN(TRIM(_xlfn.XLOOKUP(TEXT(Contract_Edits[[#This Row],[Index]],"0"), baseIdxTxt, baseCost, ""))))))
)</f>
        <v>0</v>
      </c>
      <c r="AG213" s="503" t="str" cm="1">
        <f t="array" ref="AG213">IF(Contract_Edits[[#This Row],[BaseFlag]]=1,
   10*BaseDepthL(TEXT(Contract_Edits[[#This Row],[Index]],"0"),500,editsIdxTxt,editsParentKeyTxt,baseIdxTxt,baseCost)-5,
   ""
)</f>
        <v/>
      </c>
      <c r="AH213" s="503"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53" t="str">
        <f>IF(Contract_Edits[[#This Row],[Dep]]=0,"Root",
   IF(ISNUMBER(MATCH(Contract_Edits[[#This Row],[Dep]],Contract_Edits[Index],0)),"OK","Missing")
)</f>
        <v>Root</v>
      </c>
      <c r="AJ213" s="453" t="e">
        <f>IF(AND(Contract_Edits[[#This Row],[Dep]]&lt;&gt;0,
        ISNUMBER(MATCH(Contract_Edits[[#This Row],[Dep]], Contract_Edits[Index], 0)),
        INDEX(Contract_Edits[Dep], MATCH(Contract_Edits[[#This Row],[Dep]], Contract_Edits[Index], 0))=Contract_Edits[[#This Row],[Index]]),
   "2-cycle","")</f>
        <v>#N/A</v>
      </c>
      <c r="AK213" s="453" cm="1">
        <f t="array" ref="AK213">IF(Contract_Edits[[#This Row],[BaseFlag]]&lt;&gt;1,0,
   IF(TEXT(Contract_Edits[[#This Row],[Dep]],"0")=TEXT(Contract_Edits[[#This Row],[Index]],"0"),
      0,
      MAX(0, SUMPRODUCT(--(Contract_Edits[BaseFlag]=1),
                        --(TEXT(Contract_Edits[Dep],"0")=TEXT(Contract_Edits[[#This Row],[Dep]],"0"))) - 1)
   )
)</f>
        <v>0</v>
      </c>
      <c r="AL213" s="453" t="str" cm="1">
        <f t="array" ref="AL213">IF(Contract_Edits[[#This Row],[BaseFlag]]=1,
   TEXT(Contract_Edits[[#This Row],[Index]],"0"),
   NearestBaseL(TEXT(Contract_Edits[[#This Row],[ParentKey]],"0"),500,editsIdxTxt,editsParentKeyTxt,baseIdxTxt,baseCost)
)</f>
        <v>0</v>
      </c>
      <c r="AM213" s="453" cm="1">
        <f t="array" ref="AM213">1+SUMPRODUCT(
  (Contract_Edits[BaseFlag]=1)*
  (TEXT(Contract_Edits[ParentAnchor],"0")=TEXT(Contract_Edits[[#This Row],[ParentAnchor]],"0"))*
  (VALUE(TEXT(Contract_Edits[Index],"0"))&lt;VALUE(TEXT(Contract_Edits[[#This Row],[Index]],"0")))
)</f>
        <v>1</v>
      </c>
      <c r="AN213" s="453"/>
    </row>
    <row r="214" spans="11:80" ht="15">
      <c r="M214"/>
      <c r="T214" s="34"/>
      <c r="V214" s="193"/>
      <c r="Y214" s="484"/>
      <c r="AD214" s="193"/>
      <c r="AI214" s="34"/>
      <c r="AJ214" s="34"/>
      <c r="AK214" s="34"/>
      <c r="AL214" s="34"/>
      <c r="AM214" s="34"/>
      <c r="AN214" s="34"/>
      <c r="AO214" s="469"/>
    </row>
    <row r="215" spans="11:80" ht="15">
      <c r="AK215" s="469"/>
      <c r="AL215" s="469"/>
      <c r="AM215" s="469"/>
      <c r="AN215" s="469"/>
      <c r="AQ215" s="193"/>
      <c r="BE215" s="34"/>
      <c r="CB215"/>
    </row>
    <row r="216" spans="11:80" ht="15">
      <c r="AK216" s="469"/>
      <c r="AL216" s="469"/>
      <c r="AM216" s="469"/>
      <c r="AN216" s="469"/>
      <c r="AQ216" s="193"/>
      <c r="BE216" s="34"/>
      <c r="CB216"/>
    </row>
    <row r="217" spans="11:80" ht="15">
      <c r="AK217" s="469"/>
      <c r="AL217" s="469"/>
      <c r="AM217" s="469"/>
      <c r="AN217" s="469"/>
      <c r="AQ217" s="193"/>
      <c r="BE217" s="34"/>
      <c r="CB217"/>
    </row>
    <row r="218" spans="11:80" ht="15">
      <c r="AK218" s="469"/>
      <c r="AL218" s="469"/>
      <c r="AM218" s="469"/>
      <c r="AN218" s="469"/>
      <c r="AQ218" s="193"/>
      <c r="BE218" s="34"/>
      <c r="CB218"/>
    </row>
    <row r="219" spans="11:80" ht="15">
      <c r="AK219" s="469"/>
      <c r="AL219" s="469"/>
      <c r="AM219" s="469"/>
      <c r="AN219" s="469"/>
      <c r="AQ219" s="193"/>
      <c r="BE219" s="34"/>
      <c r="CB219"/>
    </row>
    <row r="220" spans="11:80" ht="15">
      <c r="AK220" s="469"/>
      <c r="AL220" s="469"/>
      <c r="AM220" s="469"/>
      <c r="AN220" s="469"/>
      <c r="AQ220" s="193"/>
      <c r="BE220" s="34"/>
      <c r="CB220"/>
    </row>
    <row r="221" spans="11:80" ht="15">
      <c r="AK221" s="469"/>
      <c r="AL221" s="469"/>
      <c r="AM221" s="469"/>
      <c r="AN221" s="469"/>
      <c r="AQ221" s="193"/>
      <c r="BE221" s="34"/>
      <c r="CB221"/>
    </row>
    <row r="222" spans="11:80" ht="15">
      <c r="AK222" s="469"/>
      <c r="AL222" s="469"/>
      <c r="AM222" s="469"/>
      <c r="AN222" s="469"/>
      <c r="AQ222" s="193"/>
      <c r="BE222" s="34"/>
      <c r="CB222"/>
    </row>
    <row r="223" spans="11:80" ht="15">
      <c r="AK223" s="469"/>
      <c r="AL223" s="469"/>
      <c r="AM223" s="469"/>
      <c r="AN223" s="469"/>
      <c r="AQ223" s="193"/>
      <c r="BE223" s="34"/>
      <c r="CB223"/>
    </row>
    <row r="224" spans="11:80" ht="15">
      <c r="AK224" s="469"/>
      <c r="AL224" s="469"/>
      <c r="AM224" s="469"/>
      <c r="AN224" s="469"/>
      <c r="AQ224" s="193"/>
      <c r="BE224" s="34"/>
      <c r="CB224"/>
    </row>
    <row r="225" spans="37:80" ht="15">
      <c r="AK225" s="469"/>
      <c r="AL225" s="469"/>
      <c r="AM225" s="469"/>
      <c r="AN225" s="469"/>
      <c r="AQ225" s="193"/>
      <c r="BE225" s="34"/>
      <c r="CB225"/>
    </row>
    <row r="226" spans="37:80" ht="15">
      <c r="AK226" s="469"/>
      <c r="AL226" s="469"/>
      <c r="AM226" s="469"/>
      <c r="AN226" s="469"/>
      <c r="AQ226" s="193"/>
      <c r="BE226" s="34"/>
      <c r="CB226"/>
    </row>
    <row r="227" spans="37:80" ht="15">
      <c r="AK227" s="469"/>
      <c r="AL227" s="469"/>
      <c r="AM227" s="469"/>
      <c r="AN227" s="469"/>
      <c r="AQ227" s="193"/>
      <c r="BE227" s="34"/>
      <c r="CB227"/>
    </row>
    <row r="228" spans="37:80" ht="15">
      <c r="AK228" s="469"/>
      <c r="AL228" s="469"/>
      <c r="AM228" s="469"/>
      <c r="AN228" s="469"/>
      <c r="AQ228" s="193"/>
      <c r="BE228" s="34"/>
      <c r="CB228"/>
    </row>
    <row r="229" spans="37:80" ht="15">
      <c r="AK229" s="469"/>
      <c r="AL229" s="469"/>
      <c r="AM229" s="469"/>
      <c r="AN229" s="469"/>
      <c r="AQ229" s="193"/>
      <c r="BE229" s="34"/>
      <c r="CB229"/>
    </row>
    <row r="230" spans="37:80" ht="15">
      <c r="AK230" s="469"/>
      <c r="AL230" s="469"/>
      <c r="AM230" s="469"/>
      <c r="AN230" s="469"/>
      <c r="AQ230" s="193"/>
      <c r="BE230" s="34"/>
      <c r="CB230"/>
    </row>
    <row r="231" spans="37:80" ht="15">
      <c r="AK231" s="469"/>
      <c r="AL231" s="469"/>
      <c r="AM231" s="469"/>
      <c r="AN231" s="469"/>
      <c r="AQ231" s="193"/>
      <c r="BE231" s="34"/>
      <c r="CB231"/>
    </row>
    <row r="232" spans="37:80" ht="15">
      <c r="AK232" s="469"/>
      <c r="AL232" s="469"/>
      <c r="AM232" s="469"/>
      <c r="AN232" s="469"/>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AW153:AZ153"/>
    <mergeCell ref="I6:K6"/>
    <mergeCell ref="I5:K5"/>
    <mergeCell ref="F5:H5"/>
    <mergeCell ref="L4:N4"/>
    <mergeCell ref="L5:N5"/>
    <mergeCell ref="L6:N6"/>
    <mergeCell ref="O6:R6"/>
    <mergeCell ref="O4:R4"/>
    <mergeCell ref="O5:R5"/>
    <mergeCell ref="B1:C1"/>
    <mergeCell ref="B2:C2"/>
    <mergeCell ref="I1:K1"/>
    <mergeCell ref="I2:K2"/>
    <mergeCell ref="I3:K3"/>
    <mergeCell ref="F2:H2"/>
    <mergeCell ref="F3:H3"/>
    <mergeCell ref="F1:H1"/>
    <mergeCell ref="D2:E2"/>
    <mergeCell ref="D3:E3"/>
    <mergeCell ref="L2:N2"/>
    <mergeCell ref="L3:N3"/>
    <mergeCell ref="L1:N1"/>
    <mergeCell ref="O2:R2"/>
    <mergeCell ref="O1:R1"/>
    <mergeCell ref="O3:R3"/>
    <mergeCell ref="D5:E5"/>
    <mergeCell ref="F6:H6"/>
    <mergeCell ref="I4:K4"/>
    <mergeCell ref="F4:H4"/>
    <mergeCell ref="D4:E4"/>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0" t="s">
        <v>619</v>
      </c>
    </row>
    <row r="4" spans="2:5">
      <c r="B4" t="str">
        <v>2 - Demolition - Demolition - 19 Base Parent</v>
      </c>
      <c r="E4" s="511"/>
    </row>
    <row r="5" spans="2:5">
      <c r="B5" t="str">
        <v>3 - Excavation - Equipment, Trenching, Bac - 19 Base Parent</v>
      </c>
      <c r="E5" s="512" t="s">
        <v>620</v>
      </c>
    </row>
    <row r="6" spans="2:5">
      <c r="B6" t="str">
        <v>4 - Plumbing - Groundwork - 19 Base Parent</v>
      </c>
      <c r="E6" s="511" t="s">
        <v>621</v>
      </c>
    </row>
    <row r="7" spans="2:5">
      <c r="B7" t="str">
        <v>5 - Concrete - Slabs, driveways, Foundat - 19 Base Parent</v>
      </c>
      <c r="E7" s="511"/>
    </row>
    <row r="8" spans="2:5">
      <c r="B8" t="str">
        <v>6 - Roofing - Repair, Dry-in, Shingles - 19 Base Parent</v>
      </c>
      <c r="E8" s="512" t="s">
        <v>622</v>
      </c>
    </row>
    <row r="9" spans="2:5">
      <c r="B9" t="str">
        <v>7 - Framing - Walls, Floors, etc - 19 Base Parent</v>
      </c>
      <c r="E9" s="511" t="s">
        <v>623</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0" t="s">
        <v>624</v>
      </c>
    </row>
    <row r="14" spans="2:5">
      <c r="B14" t="str">
        <v>12 - Insulation - Walls, Roofs, etc - 19 Base Parent</v>
      </c>
      <c r="E14" s="511"/>
    </row>
    <row r="15" spans="2:5">
      <c r="B15" t="str">
        <v>13 - Drywall - sheetrock, tape, mud, san - 19 Base Parent</v>
      </c>
      <c r="E15" s="512" t="s">
        <v>625</v>
      </c>
    </row>
    <row r="16" spans="2:5">
      <c r="B16" t="str">
        <v>14 - Cabinetry - Cabinets,  Shelving - 19 Base Parent</v>
      </c>
      <c r="E16" s="514" t="s">
        <v>626</v>
      </c>
    </row>
    <row r="17" spans="2:5">
      <c r="B17" t="str">
        <v>15 - Installation - Doors &amp; Windows - 19 Base Parent</v>
      </c>
      <c r="E17" s="513"/>
    </row>
    <row r="18" spans="2:5">
      <c r="B18" t="str">
        <v>16 - Trim - Electrical - 19 Base Parent</v>
      </c>
      <c r="E18" s="513" t="s">
        <v>627</v>
      </c>
    </row>
    <row r="19" spans="2:5">
      <c r="B19" t="str">
        <v>17 - Trim - Plumbing - 19 Base Parent</v>
      </c>
    </row>
    <row r="20" spans="2:5">
      <c r="B20" t="str">
        <v>18 - Trim - HVAC - 19 Base Parent</v>
      </c>
      <c r="E20" t="s">
        <v>628</v>
      </c>
    </row>
    <row r="21" spans="2:5">
      <c r="B21" t="str">
        <v>19 - HVAC - Installation - 19 Base Parent</v>
      </c>
    </row>
    <row r="22" spans="2:5" ht="23.25">
      <c r="B22" t="str">
        <v>20 - Flooring - Floor covering - 19 Base Parent</v>
      </c>
      <c r="E22" s="510" t="s">
        <v>629</v>
      </c>
    </row>
    <row r="23" spans="2:5">
      <c r="B23" t="str">
        <v>21 - Siding - Exterior walls - 19 Base Parent</v>
      </c>
      <c r="E23" s="511"/>
    </row>
    <row r="24" spans="2:5">
      <c r="B24" t="str">
        <v>22 - Tile - Backsplash, Shower Enclos - 19 Base Parent</v>
      </c>
      <c r="E24" s="512" t="s">
        <v>630</v>
      </c>
    </row>
    <row r="25" spans="2:5">
      <c r="B25" t="str">
        <v>23 - Paint - Prime, Finish, Trim, bath - 19 Base Parent</v>
      </c>
      <c r="E25" s="513" t="s">
        <v>631</v>
      </c>
    </row>
    <row r="26" spans="2:5">
      <c r="B26" t="str">
        <v>24 - Cabinetry - Template, Install Counter - 19 Base Parent</v>
      </c>
      <c r="E26" s="513"/>
    </row>
    <row r="27" spans="2:5">
      <c r="B27" t="str">
        <v>25 - Final - Final Details to prepare  - 19 Base Parent</v>
      </c>
      <c r="E27" s="513" t="s">
        <v>632</v>
      </c>
    </row>
    <row r="28" spans="2:5">
      <c r="B28" t="str">
        <v>26 - Cleaning - Final - 19 Base Parent</v>
      </c>
    </row>
    <row r="29" spans="2:5">
      <c r="B29" t="str">
        <v>27 - Draws - Deposits, Draws, Contract - 19 Base Parent</v>
      </c>
      <c r="E29" s="512" t="s">
        <v>633</v>
      </c>
    </row>
    <row r="30" spans="2:5">
      <c r="B30" t="str">
        <v>28 - Exterior - Landscaping, Fence, Sod,  - 19 Base Parent</v>
      </c>
      <c r="E30" s="513" t="s">
        <v>634</v>
      </c>
    </row>
    <row r="31" spans="2:5">
      <c r="E31" s="513"/>
    </row>
    <row r="32" spans="2:5">
      <c r="E32" s="513" t="s">
        <v>635</v>
      </c>
    </row>
    <row r="33" spans="5:5">
      <c r="E33" s="513"/>
    </row>
    <row r="34" spans="5:5">
      <c r="E34" s="513" t="s">
        <v>636</v>
      </c>
    </row>
    <row r="36" spans="5:5" ht="23.25">
      <c r="E36" s="510" t="s">
        <v>637</v>
      </c>
    </row>
    <row r="37" spans="5:5">
      <c r="E37" s="511"/>
    </row>
    <row r="38" spans="5:5">
      <c r="E38" s="512" t="s">
        <v>638</v>
      </c>
    </row>
    <row r="39" spans="5:5">
      <c r="E39" s="513" t="s">
        <v>639</v>
      </c>
    </row>
    <row r="40" spans="5:5">
      <c r="E40" s="513"/>
    </row>
    <row r="41" spans="5:5">
      <c r="E41" s="513" t="s">
        <v>640</v>
      </c>
    </row>
    <row r="42" spans="5:5">
      <c r="E42" s="513"/>
    </row>
    <row r="43" spans="5:5">
      <c r="E43" s="513" t="s">
        <v>641</v>
      </c>
    </row>
    <row r="44" spans="5:5">
      <c r="E44" s="513"/>
    </row>
    <row r="45" spans="5:5">
      <c r="E45" s="513" t="s">
        <v>642</v>
      </c>
    </row>
    <row r="46" spans="5:5">
      <c r="E46" s="515" t="s">
        <v>643</v>
      </c>
    </row>
    <row r="47" spans="5:5">
      <c r="E47" s="515"/>
    </row>
    <row r="48" spans="5:5">
      <c r="E48" s="515" t="s">
        <v>644</v>
      </c>
    </row>
    <row r="49" spans="5:5">
      <c r="E49" s="513"/>
    </row>
    <row r="50" spans="5:5">
      <c r="E50" s="513" t="s">
        <v>645</v>
      </c>
    </row>
    <row r="52" spans="5:5" ht="23.25">
      <c r="E52" s="510" t="s">
        <v>646</v>
      </c>
    </row>
    <row r="53" spans="5:5">
      <c r="E53" s="511"/>
    </row>
    <row r="54" spans="5:5">
      <c r="E54" s="512" t="s">
        <v>647</v>
      </c>
    </row>
    <row r="55" spans="5:5">
      <c r="E55" s="513" t="s">
        <v>648</v>
      </c>
    </row>
    <row r="56" spans="5:5">
      <c r="E56" s="513"/>
    </row>
    <row r="57" spans="5:5">
      <c r="E57" s="513" t="s">
        <v>649</v>
      </c>
    </row>
    <row r="59" spans="5:5" ht="23.25">
      <c r="E59" s="510" t="s">
        <v>650</v>
      </c>
    </row>
    <row r="60" spans="5:5">
      <c r="E60" s="511"/>
    </row>
    <row r="61" spans="5:5">
      <c r="E61" s="512" t="s">
        <v>651</v>
      </c>
    </row>
    <row r="62" spans="5:5">
      <c r="E62" s="513" t="s">
        <v>652</v>
      </c>
    </row>
    <row r="63" spans="5:5">
      <c r="E63" s="513"/>
    </row>
    <row r="64" spans="5:5">
      <c r="E64" s="513" t="s">
        <v>653</v>
      </c>
    </row>
    <row r="65" spans="5:5">
      <c r="E65" s="515" t="s">
        <v>654</v>
      </c>
    </row>
    <row r="66" spans="5:5">
      <c r="E66" s="513"/>
    </row>
    <row r="67" spans="5:5">
      <c r="E67" s="513" t="s">
        <v>655</v>
      </c>
    </row>
    <row r="68" spans="5:5">
      <c r="E68" s="515"/>
    </row>
    <row r="69" spans="5:5">
      <c r="E69" s="515" t="s">
        <v>656</v>
      </c>
    </row>
    <row r="70" spans="5:5">
      <c r="E70" s="515"/>
    </row>
    <row r="71" spans="5:5">
      <c r="E71" s="515" t="s">
        <v>657</v>
      </c>
    </row>
    <row r="72" spans="5:5">
      <c r="E72" s="515"/>
    </row>
    <row r="73" spans="5:5">
      <c r="E73" s="515" t="s">
        <v>658</v>
      </c>
    </row>
    <row r="75" spans="5:5" ht="23.25">
      <c r="E75" s="510" t="s">
        <v>659</v>
      </c>
    </row>
    <row r="76" spans="5:5">
      <c r="E76" s="511"/>
    </row>
    <row r="77" spans="5:5">
      <c r="E77" s="511" t="s">
        <v>660</v>
      </c>
    </row>
    <row r="78" spans="5:5">
      <c r="E78" s="511"/>
    </row>
    <row r="79" spans="5:5">
      <c r="E79" s="511" t="s">
        <v>661</v>
      </c>
    </row>
    <row r="82" spans="5:5" ht="23.25">
      <c r="E82" s="510" t="s">
        <v>662</v>
      </c>
    </row>
    <row r="83" spans="5:5">
      <c r="E83" s="511"/>
    </row>
    <row r="84" spans="5:5">
      <c r="E84" s="512" t="s">
        <v>663</v>
      </c>
    </row>
    <row r="85" spans="5:5">
      <c r="E85" s="511"/>
    </row>
    <row r="86" spans="5:5">
      <c r="E86" s="511" t="s">
        <v>664</v>
      </c>
    </row>
    <row r="87" spans="5:5">
      <c r="E87" s="511"/>
    </row>
    <row r="88" spans="5:5">
      <c r="E88" s="511" t="s">
        <v>665</v>
      </c>
    </row>
    <row r="89" spans="5:5">
      <c r="E89" s="511"/>
    </row>
    <row r="90" spans="5:5">
      <c r="E90" s="511" t="s">
        <v>666</v>
      </c>
    </row>
    <row r="91" spans="5:5">
      <c r="E91" s="511"/>
    </row>
    <row r="92" spans="5:5">
      <c r="E92" s="511" t="s">
        <v>667</v>
      </c>
    </row>
    <row r="93" spans="5:5">
      <c r="E93" s="511"/>
    </row>
    <row r="94" spans="5:5">
      <c r="E94" s="512" t="s">
        <v>668</v>
      </c>
    </row>
    <row r="95" spans="5:5">
      <c r="E95" s="511"/>
    </row>
    <row r="96" spans="5:5">
      <c r="E96" s="512" t="s">
        <v>669</v>
      </c>
    </row>
    <row r="97" spans="5:5">
      <c r="E97" s="511"/>
    </row>
    <row r="98" spans="5:5">
      <c r="E98" s="511" t="s">
        <v>670</v>
      </c>
    </row>
    <row r="99" spans="5:5">
      <c r="E99" s="511"/>
    </row>
    <row r="100" spans="5:5">
      <c r="E100" s="511" t="s">
        <v>671</v>
      </c>
    </row>
    <row r="101" spans="5:5">
      <c r="E101" s="511"/>
    </row>
    <row r="102" spans="5:5">
      <c r="E102" s="512" t="s">
        <v>672</v>
      </c>
    </row>
    <row r="103" spans="5:5">
      <c r="E103" s="511"/>
    </row>
    <row r="104" spans="5:5">
      <c r="E104" s="511" t="s">
        <v>673</v>
      </c>
    </row>
    <row r="105" spans="5:5">
      <c r="E105" s="511"/>
    </row>
    <row r="106" spans="5:5">
      <c r="E106" s="511" t="s">
        <v>674</v>
      </c>
    </row>
    <row r="110" spans="5:5" ht="23.25">
      <c r="E110" s="510" t="s">
        <v>675</v>
      </c>
    </row>
    <row r="111" spans="5:5">
      <c r="E111" s="511"/>
    </row>
    <row r="112" spans="5:5">
      <c r="E112" s="512" t="s">
        <v>676</v>
      </c>
    </row>
    <row r="113" spans="5:5">
      <c r="E113" s="511"/>
    </row>
    <row r="114" spans="5:5">
      <c r="E114" s="511" t="s">
        <v>677</v>
      </c>
    </row>
    <row r="118" spans="5:5">
      <c r="E118" t="s">
        <v>678</v>
      </c>
    </row>
    <row r="119" spans="5:5">
      <c r="E119" s="511"/>
    </row>
    <row r="120" spans="5:5">
      <c r="E120" s="512" t="s">
        <v>679</v>
      </c>
    </row>
    <row r="121" spans="5:5">
      <c r="E121" s="511"/>
    </row>
    <row r="122" spans="5:5">
      <c r="E122" s="512" t="s">
        <v>680</v>
      </c>
    </row>
    <row r="123" spans="5:5">
      <c r="E123" s="511"/>
    </row>
    <row r="124" spans="5:5">
      <c r="E124" s="512" t="s">
        <v>681</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1"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427</v>
      </c>
      <c r="B1" s="22" t="s">
        <v>428</v>
      </c>
      <c r="C1" s="22" t="s">
        <v>429</v>
      </c>
      <c r="D1" s="22" t="s">
        <v>430</v>
      </c>
      <c r="E1" s="483" t="s">
        <v>541</v>
      </c>
      <c r="F1" t="s">
        <v>563</v>
      </c>
      <c r="G1" t="s">
        <v>564</v>
      </c>
      <c r="H1" s="482" t="s">
        <v>109</v>
      </c>
      <c r="I1" s="22" t="s">
        <v>531</v>
      </c>
      <c r="J1" s="22" t="s">
        <v>682</v>
      </c>
      <c r="K1" s="22" t="s">
        <v>475</v>
      </c>
      <c r="L1" s="22" t="s">
        <v>683</v>
      </c>
      <c r="M1" s="22" t="s">
        <v>684</v>
      </c>
    </row>
    <row r="2" spans="1:13">
      <c r="A2">
        <v>908</v>
      </c>
      <c r="B2" t="s">
        <v>546</v>
      </c>
      <c r="C2" t="s">
        <v>578</v>
      </c>
      <c r="D2" t="s">
        <v>578</v>
      </c>
      <c r="E2" s="188">
        <v>2615</v>
      </c>
      <c r="F2"/>
      <c r="G2"/>
      <c r="H2" s="481">
        <f ca="1">+'Gnatt Chart'!R24</f>
        <v>46185</v>
      </c>
      <c r="I2">
        <f ca="1">_xlfn.DAYS(qryGnattToDraws[[#This Row],[Date]],$H$2)</f>
        <v>0</v>
      </c>
      <c r="J2" s="532">
        <f>IF(ROW()=2,+qryGnattToDraws[[#This Row],[Price]],+qryGnattToDraws[[#This Row],[Price]]+J1)</f>
        <v>2615</v>
      </c>
      <c r="L2" s="188">
        <f>IF(qryGnattToDraws[[#This Row],[Draws]]&gt;0,+K2*Profit!$B$43/24,0)</f>
        <v>0</v>
      </c>
      <c r="M2" s="188"/>
    </row>
    <row r="3" spans="1:13">
      <c r="A3">
        <v>900</v>
      </c>
      <c r="B3" t="s">
        <v>546</v>
      </c>
      <c r="C3" t="s">
        <v>579</v>
      </c>
      <c r="D3" t="s">
        <v>580</v>
      </c>
      <c r="E3" s="188">
        <v>505</v>
      </c>
      <c r="F3"/>
      <c r="G3"/>
      <c r="H3" s="481">
        <f ca="1">+'Gnatt Chart'!R25</f>
        <v>46188</v>
      </c>
      <c r="I3">
        <f ca="1">_xlfn.DAYS(qryGnattToDraws[[#This Row],[Date]],$H$2)</f>
        <v>3</v>
      </c>
      <c r="J3" s="531">
        <f>IF(ROW()=2,+qryGnattToDraws[[#This Row],[Price]],+qryGnattToDraws[[#This Row],[Price]]+J2)</f>
        <v>3120</v>
      </c>
      <c r="L3" s="188">
        <f>IF(qryGnattToDraws[[#This Row],[Draws]]&gt;0,+K3*Profit!$B$43/24,0)</f>
        <v>0</v>
      </c>
      <c r="M3" s="188">
        <f>+qryGnattToDraws[[#This Row],[Interest]]+M2</f>
        <v>0</v>
      </c>
    </row>
    <row r="4" spans="1:13">
      <c r="A4">
        <v>59</v>
      </c>
      <c r="B4" t="s">
        <v>485</v>
      </c>
      <c r="C4" t="s">
        <v>439</v>
      </c>
      <c r="D4" t="s">
        <v>507</v>
      </c>
      <c r="F4"/>
      <c r="G4"/>
      <c r="H4" s="481">
        <f ca="1">+'Gnatt Chart'!R26</f>
        <v>46188</v>
      </c>
      <c r="I4">
        <f ca="1">_xlfn.DAYS(qryGnattToDraws[[#This Row],[Date]],$H$2)</f>
        <v>3</v>
      </c>
      <c r="J4" s="531">
        <f>IF(ROW()=2,+qryGnattToDraws[[#This Row],[Price]],+qryGnattToDraws[[#This Row],[Price]]+J3)</f>
        <v>3120</v>
      </c>
      <c r="L4" s="188">
        <f>IF(qryGnattToDraws[[#This Row],[Draws]]&gt;0,+K4*Profit!$B$43/24,0)</f>
        <v>0</v>
      </c>
      <c r="M4" s="188">
        <f>+qryGnattToDraws[[#This Row],[Interest]]+M3</f>
        <v>0</v>
      </c>
    </row>
    <row r="5" spans="1:13">
      <c r="A5">
        <v>55</v>
      </c>
      <c r="B5" t="s">
        <v>485</v>
      </c>
      <c r="C5" t="s">
        <v>439</v>
      </c>
      <c r="D5" t="s">
        <v>504</v>
      </c>
      <c r="F5"/>
      <c r="G5"/>
      <c r="H5" s="481">
        <f ca="1">+'Gnatt Chart'!R27</f>
        <v>46188</v>
      </c>
      <c r="I5">
        <f ca="1">_xlfn.DAYS(qryGnattToDraws[[#This Row],[Date]],$H$2)</f>
        <v>3</v>
      </c>
      <c r="J5" s="531">
        <f>IF(ROW()=2,+qryGnattToDraws[[#This Row],[Price]],+qryGnattToDraws[[#This Row],[Price]]+J4)</f>
        <v>3120</v>
      </c>
      <c r="L5" s="188">
        <f>IF(qryGnattToDraws[[#This Row],[Draws]]&gt;0,+K5*Profit!$B$43/24,0)</f>
        <v>0</v>
      </c>
      <c r="M5" s="188">
        <f>+qryGnattToDraws[[#This Row],[Interest]]+M4</f>
        <v>0</v>
      </c>
    </row>
    <row r="6" spans="1:13">
      <c r="A6">
        <v>41</v>
      </c>
      <c r="B6" t="s">
        <v>485</v>
      </c>
      <c r="C6" t="s">
        <v>489</v>
      </c>
      <c r="D6" t="s">
        <v>491</v>
      </c>
      <c r="F6"/>
      <c r="G6"/>
      <c r="H6" s="481">
        <f ca="1">+'Gnatt Chart'!R28</f>
        <v>46188</v>
      </c>
      <c r="I6">
        <f ca="1">_xlfn.DAYS(qryGnattToDraws[[#This Row],[Date]],$H$2)</f>
        <v>3</v>
      </c>
      <c r="J6" s="531">
        <f>IF(ROW()=2,+qryGnattToDraws[[#This Row],[Price]],+qryGnattToDraws[[#This Row],[Price]]+J5)</f>
        <v>3120</v>
      </c>
      <c r="L6" s="188">
        <f>IF(qryGnattToDraws[[#This Row],[Draws]]&gt;0,+K6*Profit!$B$43/24,0)</f>
        <v>0</v>
      </c>
      <c r="M6" s="188">
        <f>+qryGnattToDraws[[#This Row],[Interest]]+M5</f>
        <v>0</v>
      </c>
    </row>
    <row r="7" spans="1:13">
      <c r="A7">
        <v>49</v>
      </c>
      <c r="B7" t="s">
        <v>485</v>
      </c>
      <c r="C7" t="s">
        <v>439</v>
      </c>
      <c r="D7" t="s">
        <v>495</v>
      </c>
      <c r="F7"/>
      <c r="G7"/>
      <c r="H7" s="481">
        <f ca="1">+'Gnatt Chart'!R29</f>
        <v>46188</v>
      </c>
      <c r="I7">
        <f ca="1">_xlfn.DAYS(qryGnattToDraws[[#This Row],[Date]],$H$2)</f>
        <v>3</v>
      </c>
      <c r="J7" s="531">
        <f>IF(ROW()=2,+qryGnattToDraws[[#This Row],[Price]],+qryGnattToDraws[[#This Row],[Price]]+J6)</f>
        <v>3120</v>
      </c>
      <c r="L7" s="188">
        <f>IF(qryGnattToDraws[[#This Row],[Draws]]&gt;0,+K7*Profit!$B$43/24,0)</f>
        <v>0</v>
      </c>
      <c r="M7" s="188">
        <f>+qryGnattToDraws[[#This Row],[Interest]]+M6</f>
        <v>0</v>
      </c>
    </row>
    <row r="8" spans="1:13">
      <c r="A8">
        <v>38</v>
      </c>
      <c r="B8" t="s">
        <v>485</v>
      </c>
      <c r="C8" t="s">
        <v>439</v>
      </c>
      <c r="D8" t="s">
        <v>486</v>
      </c>
      <c r="F8"/>
      <c r="G8"/>
      <c r="H8" s="481">
        <f ca="1">+'Gnatt Chart'!R30</f>
        <v>46188</v>
      </c>
      <c r="I8">
        <f ca="1">_xlfn.DAYS(qryGnattToDraws[[#This Row],[Date]],$H$2)</f>
        <v>3</v>
      </c>
      <c r="J8" s="531">
        <f>IF(ROW()=2,+qryGnattToDraws[[#This Row],[Price]],+qryGnattToDraws[[#This Row],[Price]]+J7)</f>
        <v>3120</v>
      </c>
      <c r="L8" s="188">
        <f>IF(qryGnattToDraws[[#This Row],[Draws]]&gt;0,+K8*Profit!$B$43/24,0)</f>
        <v>0</v>
      </c>
      <c r="M8" s="188">
        <f>+qryGnattToDraws[[#This Row],[Interest]]+M7</f>
        <v>0</v>
      </c>
    </row>
    <row r="9" spans="1:13">
      <c r="A9">
        <v>39</v>
      </c>
      <c r="B9" t="s">
        <v>485</v>
      </c>
      <c r="D9" t="s">
        <v>487</v>
      </c>
      <c r="F9"/>
      <c r="G9"/>
      <c r="H9" s="481">
        <f ca="1">+'Gnatt Chart'!R31</f>
        <v>46188</v>
      </c>
      <c r="I9">
        <f ca="1">_xlfn.DAYS(qryGnattToDraws[[#This Row],[Date]],$H$2)</f>
        <v>3</v>
      </c>
      <c r="J9" s="531">
        <f>IF(ROW()=2,+qryGnattToDraws[[#This Row],[Price]],+qryGnattToDraws[[#This Row],[Price]]+J8)</f>
        <v>3120</v>
      </c>
      <c r="L9" s="188">
        <f>IF(qryGnattToDraws[[#This Row],[Draws]]&gt;0,+K9*Profit!$B$43/24,0)</f>
        <v>0</v>
      </c>
      <c r="M9" s="188">
        <f>+qryGnattToDraws[[#This Row],[Interest]]+M8</f>
        <v>0</v>
      </c>
    </row>
    <row r="10" spans="1:13">
      <c r="A10">
        <v>77</v>
      </c>
      <c r="B10" t="s">
        <v>485</v>
      </c>
      <c r="C10" t="s">
        <v>521</v>
      </c>
      <c r="D10" t="s">
        <v>522</v>
      </c>
      <c r="F10"/>
      <c r="G10"/>
      <c r="H10" s="481">
        <f ca="1">+'Gnatt Chart'!R32</f>
        <v>46188</v>
      </c>
      <c r="I10">
        <f ca="1">_xlfn.DAYS(qryGnattToDraws[[#This Row],[Date]],$H$2)</f>
        <v>3</v>
      </c>
      <c r="J10" s="531">
        <f>IF(ROW()=2,+qryGnattToDraws[[#This Row],[Price]],+qryGnattToDraws[[#This Row],[Price]]+J9)</f>
        <v>3120</v>
      </c>
      <c r="L10" s="188">
        <f>IF(qryGnattToDraws[[#This Row],[Draws]]&gt;0,+K10*Profit!$B$43/24,0)</f>
        <v>0</v>
      </c>
      <c r="M10" s="188">
        <f>+qryGnattToDraws[[#This Row],[Interest]]+M9</f>
        <v>0</v>
      </c>
    </row>
    <row r="11" spans="1:13">
      <c r="A11">
        <v>76</v>
      </c>
      <c r="B11" t="s">
        <v>485</v>
      </c>
      <c r="C11" t="s">
        <v>459</v>
      </c>
      <c r="D11" t="s">
        <v>520</v>
      </c>
      <c r="F11"/>
      <c r="G11"/>
      <c r="H11" s="481">
        <f ca="1">+'Gnatt Chart'!R33</f>
        <v>46188</v>
      </c>
      <c r="I11">
        <f ca="1">_xlfn.DAYS(qryGnattToDraws[[#This Row],[Date]],$H$2)</f>
        <v>3</v>
      </c>
      <c r="J11" s="531">
        <f>IF(ROW()=2,+qryGnattToDraws[[#This Row],[Price]],+qryGnattToDraws[[#This Row],[Price]]+J10)</f>
        <v>3120</v>
      </c>
      <c r="L11" s="188">
        <f>IF(qryGnattToDraws[[#This Row],[Draws]]&gt;0,+K11*Profit!$B$43/24,0)</f>
        <v>0</v>
      </c>
      <c r="M11" s="188">
        <f>+qryGnattToDraws[[#This Row],[Interest]]+M10</f>
        <v>0</v>
      </c>
    </row>
    <row r="12" spans="1:13">
      <c r="A12">
        <v>912</v>
      </c>
      <c r="B12" t="s">
        <v>546</v>
      </c>
      <c r="C12" t="s">
        <v>581</v>
      </c>
      <c r="D12" t="s">
        <v>582</v>
      </c>
      <c r="E12" s="188">
        <v>-310.864125</v>
      </c>
      <c r="F12"/>
      <c r="G12"/>
      <c r="H12" s="481">
        <f ca="1">+'Gnatt Chart'!R34</f>
        <v>46188</v>
      </c>
      <c r="I12">
        <f ca="1">_xlfn.DAYS(qryGnattToDraws[[#This Row],[Date]],$H$2)</f>
        <v>3</v>
      </c>
      <c r="J12" s="531">
        <f>IF(ROW()=2,+qryGnattToDraws[[#This Row],[Price]],+qryGnattToDraws[[#This Row],[Price]]+J11)</f>
        <v>2809.1358749999999</v>
      </c>
      <c r="L12" s="188">
        <f>IF(qryGnattToDraws[[#This Row],[Draws]]&gt;0,+K12*Profit!$B$43/24,0)</f>
        <v>0</v>
      </c>
      <c r="M12" s="188">
        <f>+qryGnattToDraws[[#This Row],[Interest]]+M11</f>
        <v>0</v>
      </c>
    </row>
    <row r="13" spans="1:13">
      <c r="A13">
        <v>51</v>
      </c>
      <c r="B13" t="s">
        <v>488</v>
      </c>
      <c r="C13" t="s">
        <v>496</v>
      </c>
      <c r="D13" t="s">
        <v>498</v>
      </c>
      <c r="F13"/>
      <c r="G13"/>
      <c r="H13" s="481">
        <f ca="1">+'Gnatt Chart'!R35</f>
        <v>46188</v>
      </c>
      <c r="I13">
        <f ca="1">_xlfn.DAYS(qryGnattToDraws[[#This Row],[Date]],$H$2)</f>
        <v>3</v>
      </c>
      <c r="J13" s="531">
        <f>IF(ROW()=2,+qryGnattToDraws[[#This Row],[Price]],+qryGnattToDraws[[#This Row],[Price]]+J12)</f>
        <v>2809.1358749999999</v>
      </c>
      <c r="L13" s="188">
        <f>IF(qryGnattToDraws[[#This Row],[Draws]]&gt;0,+K13*Profit!$B$43/24,0)</f>
        <v>0</v>
      </c>
      <c r="M13" s="188">
        <f>+qryGnattToDraws[[#This Row],[Interest]]+M12</f>
        <v>0</v>
      </c>
    </row>
    <row r="14" spans="1:13">
      <c r="A14">
        <v>56</v>
      </c>
      <c r="B14" t="s">
        <v>502</v>
      </c>
      <c r="C14" t="s">
        <v>505</v>
      </c>
      <c r="D14" t="s">
        <v>506</v>
      </c>
      <c r="F14"/>
      <c r="G14"/>
      <c r="H14" s="481">
        <f ca="1">+'Gnatt Chart'!R36</f>
        <v>46188</v>
      </c>
      <c r="I14">
        <f ca="1">_xlfn.DAYS(qryGnattToDraws[[#This Row],[Date]],$H$2)</f>
        <v>3</v>
      </c>
      <c r="J14" s="531">
        <f>IF(ROW()=2,+qryGnattToDraws[[#This Row],[Price]],+qryGnattToDraws[[#This Row],[Price]]+J13)</f>
        <v>2809.1358749999999</v>
      </c>
      <c r="L14" s="188">
        <f>IF(qryGnattToDraws[[#This Row],[Draws]]&gt;0,+K14*Profit!$B$43/24,0)</f>
        <v>0</v>
      </c>
      <c r="M14" s="188">
        <f>+qryGnattToDraws[[#This Row],[Interest]]+M13</f>
        <v>0</v>
      </c>
    </row>
    <row r="15" spans="1:13">
      <c r="A15">
        <v>54</v>
      </c>
      <c r="B15" t="s">
        <v>502</v>
      </c>
      <c r="D15" t="s">
        <v>503</v>
      </c>
      <c r="F15"/>
      <c r="G15"/>
      <c r="H15" s="481">
        <f ca="1">+'Gnatt Chart'!R37</f>
        <v>46188</v>
      </c>
      <c r="I15">
        <f ca="1">_xlfn.DAYS(qryGnattToDraws[[#This Row],[Date]],$H$2)</f>
        <v>3</v>
      </c>
      <c r="J15" s="531">
        <f>IF(ROW()=2,+qryGnattToDraws[[#This Row],[Price]],+qryGnattToDraws[[#This Row],[Price]]+J14)</f>
        <v>2809.1358749999999</v>
      </c>
      <c r="L15" s="188">
        <f>IF(qryGnattToDraws[[#This Row],[Draws]]&gt;0,+K15*Profit!$B$43/24,0)</f>
        <v>0</v>
      </c>
      <c r="M15" s="188">
        <f>+qryGnattToDraws[[#This Row],[Interest]]+M14</f>
        <v>0</v>
      </c>
    </row>
    <row r="16" spans="1:13">
      <c r="A16">
        <v>80</v>
      </c>
      <c r="B16" t="s">
        <v>459</v>
      </c>
      <c r="C16" t="s">
        <v>523</v>
      </c>
      <c r="D16" t="s">
        <v>1169</v>
      </c>
      <c r="E16" s="188">
        <v>125</v>
      </c>
      <c r="F16"/>
      <c r="G16"/>
      <c r="H16" s="481">
        <f ca="1">+'Gnatt Chart'!R38</f>
        <v>46188</v>
      </c>
      <c r="I16">
        <f ca="1">_xlfn.DAYS(qryGnattToDraws[[#This Row],[Date]],$H$2)</f>
        <v>3</v>
      </c>
      <c r="J16" s="531">
        <f>IF(ROW()=2,+qryGnattToDraws[[#This Row],[Price]],+qryGnattToDraws[[#This Row],[Price]]+J15)</f>
        <v>2934.1358749999999</v>
      </c>
      <c r="K16" s="188"/>
      <c r="L16" s="188">
        <f>IF(qryGnattToDraws[[#This Row],[Draws]]&gt;0,+K16*Profit!$B$43/24,0)</f>
        <v>0</v>
      </c>
      <c r="M16" s="188">
        <f>+qryGnattToDraws[[#This Row],[Interest]]+M15</f>
        <v>0</v>
      </c>
    </row>
    <row r="17" spans="1:13">
      <c r="A17">
        <v>904</v>
      </c>
      <c r="B17" t="s">
        <v>546</v>
      </c>
      <c r="C17" t="s">
        <v>583</v>
      </c>
      <c r="D17" t="s">
        <v>584</v>
      </c>
      <c r="E17" s="188">
        <v>6726.5870099999993</v>
      </c>
      <c r="F17"/>
      <c r="G17"/>
      <c r="H17" s="481">
        <f ca="1">+'Gnatt Chart'!R39</f>
        <v>46188</v>
      </c>
      <c r="I17">
        <f ca="1">_xlfn.DAYS(qryGnattToDraws[[#This Row],[Date]],$H$2)</f>
        <v>3</v>
      </c>
      <c r="J17" s="531">
        <f>IF(ROW()=2,+qryGnattToDraws[[#This Row],[Price]],+qryGnattToDraws[[#This Row],[Price]]+J16)</f>
        <v>9660.7228849999992</v>
      </c>
      <c r="K17" s="188"/>
      <c r="L17" s="188">
        <f>IF(qryGnattToDraws[[#This Row],[Draws]]&gt;0,+K17*Profit!$B$43/24,0)</f>
        <v>0</v>
      </c>
      <c r="M17" s="188">
        <f>+qryGnattToDraws[[#This Row],[Interest]]+M16</f>
        <v>0</v>
      </c>
    </row>
    <row r="18" spans="1:13">
      <c r="A18">
        <v>34</v>
      </c>
      <c r="B18" t="s">
        <v>459</v>
      </c>
      <c r="C18" t="s">
        <v>459</v>
      </c>
      <c r="D18" t="s">
        <v>484</v>
      </c>
      <c r="F18"/>
      <c r="G18"/>
      <c r="H18" s="481">
        <f ca="1">+'Gnatt Chart'!R40</f>
        <v>46188</v>
      </c>
      <c r="I18">
        <f ca="1">_xlfn.DAYS(qryGnattToDraws[[#This Row],[Date]],$H$2)</f>
        <v>3</v>
      </c>
      <c r="J18" s="531">
        <f>IF(ROW()=2,+qryGnattToDraws[[#This Row],[Price]],+qryGnattToDraws[[#This Row],[Price]]+J17)</f>
        <v>9660.7228849999992</v>
      </c>
      <c r="K18" s="188"/>
      <c r="L18" s="188">
        <f>IF(qryGnattToDraws[[#This Row],[Draws]]&gt;0,+K18*Profit!$B$43/24,0)</f>
        <v>0</v>
      </c>
      <c r="M18" s="188">
        <f>+qryGnattToDraws[[#This Row],[Interest]]+M17</f>
        <v>0</v>
      </c>
    </row>
    <row r="19" spans="1:13">
      <c r="A19">
        <v>32</v>
      </c>
      <c r="B19" t="s">
        <v>459</v>
      </c>
      <c r="C19" t="s">
        <v>459</v>
      </c>
      <c r="D19" t="s">
        <v>482</v>
      </c>
      <c r="F19"/>
      <c r="G19"/>
      <c r="H19" s="481">
        <f ca="1">+'Gnatt Chart'!R41</f>
        <v>46188</v>
      </c>
      <c r="I19">
        <f ca="1">_xlfn.DAYS(qryGnattToDraws[[#This Row],[Date]],$H$2)</f>
        <v>3</v>
      </c>
      <c r="J19" s="531">
        <f>IF(ROW()=2,+qryGnattToDraws[[#This Row],[Price]],+qryGnattToDraws[[#This Row],[Price]]+J18)</f>
        <v>9660.7228849999992</v>
      </c>
      <c r="L19" s="188">
        <f>IF(qryGnattToDraws[[#This Row],[Draws]]&gt;0,+K19*Profit!$B$43/24,0)</f>
        <v>0</v>
      </c>
      <c r="M19" s="188">
        <f>+qryGnattToDraws[[#This Row],[Interest]]+M18</f>
        <v>0</v>
      </c>
    </row>
    <row r="20" spans="1:13">
      <c r="A20">
        <v>33</v>
      </c>
      <c r="B20" t="s">
        <v>459</v>
      </c>
      <c r="C20" t="s">
        <v>459</v>
      </c>
      <c r="D20" t="s">
        <v>483</v>
      </c>
      <c r="F20"/>
      <c r="G20"/>
      <c r="H20" s="481">
        <f ca="1">+'Gnatt Chart'!R42</f>
        <v>46188</v>
      </c>
      <c r="I20">
        <f ca="1">_xlfn.DAYS(qryGnattToDraws[[#This Row],[Date]],$H$2)</f>
        <v>3</v>
      </c>
      <c r="J20" s="531">
        <f>IF(ROW()=2,+qryGnattToDraws[[#This Row],[Price]],+qryGnattToDraws[[#This Row],[Price]]+J19)</f>
        <v>9660.7228849999992</v>
      </c>
      <c r="L20" s="188">
        <f>IF(qryGnattToDraws[[#This Row],[Draws]]&gt;0,+K20*Profit!$B$43/24,0)</f>
        <v>0</v>
      </c>
      <c r="M20" s="188">
        <f>+qryGnattToDraws[[#This Row],[Interest]]+M19</f>
        <v>0</v>
      </c>
    </row>
    <row r="21" spans="1:13">
      <c r="A21">
        <v>61</v>
      </c>
      <c r="B21" t="s">
        <v>459</v>
      </c>
      <c r="C21" t="s">
        <v>459</v>
      </c>
      <c r="D21" t="s">
        <v>509</v>
      </c>
      <c r="F21"/>
      <c r="G21"/>
      <c r="H21" s="481">
        <f ca="1">+'Gnatt Chart'!R43</f>
        <v>46188</v>
      </c>
      <c r="I21">
        <f ca="1">_xlfn.DAYS(qryGnattToDraws[[#This Row],[Date]],$H$2)</f>
        <v>3</v>
      </c>
      <c r="J21" s="531">
        <f>IF(ROW()=2,+qryGnattToDraws[[#This Row],[Price]],+qryGnattToDraws[[#This Row],[Price]]+J20)</f>
        <v>9660.7228849999992</v>
      </c>
      <c r="K21" s="188"/>
      <c r="L21" s="188">
        <f>IF(qryGnattToDraws[[#This Row],[Draws]]&gt;0,+K21*Profit!$B$43/24,0)</f>
        <v>0</v>
      </c>
      <c r="M21" s="188">
        <f>+qryGnattToDraws[[#This Row],[Interest]]+M20</f>
        <v>0</v>
      </c>
    </row>
    <row r="22" spans="1:13">
      <c r="A22">
        <v>79</v>
      </c>
      <c r="B22" t="s">
        <v>459</v>
      </c>
      <c r="C22" t="s">
        <v>516</v>
      </c>
      <c r="D22" t="s">
        <v>525</v>
      </c>
      <c r="F22"/>
      <c r="G22"/>
      <c r="H22" s="481">
        <f ca="1">+'Gnatt Chart'!R44</f>
        <v>46188</v>
      </c>
      <c r="I22">
        <f ca="1">_xlfn.DAYS(qryGnattToDraws[[#This Row],[Date]],$H$2)</f>
        <v>3</v>
      </c>
      <c r="J22" s="531">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502</v>
      </c>
      <c r="C23" t="s">
        <v>505</v>
      </c>
      <c r="D23" t="s">
        <v>1174</v>
      </c>
      <c r="E23" s="188">
        <v>1000</v>
      </c>
      <c r="F23"/>
      <c r="G23"/>
      <c r="H23" s="481">
        <f ca="1">+'Gnatt Chart'!R45</f>
        <v>46188</v>
      </c>
      <c r="I23">
        <f ca="1">_xlfn.DAYS(qryGnattToDraws[[#This Row],[Date]],$H$2)</f>
        <v>3</v>
      </c>
      <c r="J23" s="531">
        <f>IF(ROW()=2,+qryGnattToDraws[[#This Row],[Price]],+qryGnattToDraws[[#This Row],[Price]]+J22)</f>
        <v>10660.722884999999</v>
      </c>
      <c r="L23" s="188">
        <f>IF(qryGnattToDraws[[#This Row],[Draws]]&gt;0,+K23*Profit!$B$43/24,0)</f>
        <v>0</v>
      </c>
      <c r="M23" s="188">
        <f>+qryGnattToDraws[[#This Row],[Interest]]+M22</f>
        <v>41.500855393479164</v>
      </c>
    </row>
    <row r="24" spans="1:13">
      <c r="A24">
        <v>83</v>
      </c>
      <c r="B24" t="s">
        <v>1197</v>
      </c>
      <c r="C24" t="s">
        <v>521</v>
      </c>
      <c r="D24" t="s">
        <v>1198</v>
      </c>
      <c r="E24" s="188">
        <v>687.5</v>
      </c>
      <c r="F24"/>
      <c r="G24"/>
      <c r="H24" s="481">
        <f ca="1">+'Gnatt Chart'!R46</f>
        <v>46188</v>
      </c>
      <c r="I24">
        <f ca="1">_xlfn.DAYS(qryGnattToDraws[[#This Row],[Date]],$H$2)</f>
        <v>3</v>
      </c>
      <c r="J24" s="531">
        <f>IF(ROW()=2,+qryGnattToDraws[[#This Row],[Price]],+qryGnattToDraws[[#This Row],[Price]]+J23)</f>
        <v>11348.222884999999</v>
      </c>
      <c r="L24" s="188">
        <f>IF(qryGnattToDraws[[#This Row],[Draws]]&gt;0,+K24*Profit!$B$43/24,0)</f>
        <v>0</v>
      </c>
      <c r="M24" s="188">
        <f>+qryGnattToDraws[[#This Row],[Interest]]+M23</f>
        <v>41.500855393479164</v>
      </c>
    </row>
    <row r="25" spans="1:13">
      <c r="A25">
        <v>82</v>
      </c>
      <c r="B25" t="s">
        <v>459</v>
      </c>
      <c r="C25" t="s">
        <v>521</v>
      </c>
      <c r="D25" t="s">
        <v>1173</v>
      </c>
      <c r="F25"/>
      <c r="G25"/>
      <c r="H25" s="481">
        <f ca="1">+'Gnatt Chart'!R47</f>
        <v>46188</v>
      </c>
      <c r="I25">
        <f ca="1">_xlfn.DAYS(qryGnattToDraws[[#This Row],[Date]],$H$2)</f>
        <v>3</v>
      </c>
      <c r="J25" s="531">
        <f>IF(ROW()=2,+qryGnattToDraws[[#This Row],[Price]],+qryGnattToDraws[[#This Row],[Price]]+J24)</f>
        <v>11348.222884999999</v>
      </c>
      <c r="L25" s="188">
        <f>IF(qryGnattToDraws[[#This Row],[Draws]]&gt;0,+K25*Profit!$B$43/24,0)</f>
        <v>0</v>
      </c>
      <c r="M25" s="188">
        <f>+qryGnattToDraws[[#This Row],[Interest]]+M24</f>
        <v>41.500855393479164</v>
      </c>
    </row>
    <row r="26" spans="1:13">
      <c r="A26">
        <v>903</v>
      </c>
      <c r="B26" t="s">
        <v>546</v>
      </c>
      <c r="C26" t="s">
        <v>463</v>
      </c>
      <c r="D26" t="s">
        <v>585</v>
      </c>
      <c r="E26" s="188">
        <v>210.10060500000003</v>
      </c>
      <c r="F26"/>
      <c r="G26"/>
      <c r="H26" s="481">
        <f ca="1">+'Gnatt Chart'!R48</f>
        <v>46188</v>
      </c>
      <c r="I26">
        <f ca="1">_xlfn.DAYS(qryGnattToDraws[[#This Row],[Date]],$H$2)</f>
        <v>3</v>
      </c>
      <c r="J26" s="531">
        <f>IF(ROW()=2,+qryGnattToDraws[[#This Row],[Price]],+qryGnattToDraws[[#This Row],[Price]]+J25)</f>
        <v>11558.323489999999</v>
      </c>
      <c r="L26" s="188">
        <f>IF(qryGnattToDraws[[#This Row],[Draws]]&gt;0,+K26*Profit!$B$43/24,0)</f>
        <v>0</v>
      </c>
      <c r="M26" s="188">
        <f>+qryGnattToDraws[[#This Row],[Interest]]+M25</f>
        <v>41.500855393479164</v>
      </c>
    </row>
    <row r="27" spans="1:13">
      <c r="A27">
        <v>40</v>
      </c>
      <c r="B27" t="s">
        <v>488</v>
      </c>
      <c r="C27" t="s">
        <v>489</v>
      </c>
      <c r="D27" t="s">
        <v>490</v>
      </c>
      <c r="F27"/>
      <c r="G27"/>
      <c r="H27" s="481">
        <f ca="1">+'Gnatt Chart'!R49</f>
        <v>46188</v>
      </c>
      <c r="I27">
        <f ca="1">_xlfn.DAYS(qryGnattToDraws[[#This Row],[Date]],$H$2)</f>
        <v>3</v>
      </c>
      <c r="J27" s="531">
        <f>IF(ROW()=2,+qryGnattToDraws[[#This Row],[Price]],+qryGnattToDraws[[#This Row],[Price]]+J26)</f>
        <v>11558.323489999999</v>
      </c>
      <c r="L27" s="188">
        <f>IF(qryGnattToDraws[[#This Row],[Draws]]&gt;0,+K27*Profit!$B$43/24,0)</f>
        <v>0</v>
      </c>
      <c r="M27" s="188">
        <f>+qryGnattToDraws[[#This Row],[Interest]]+M26</f>
        <v>41.500855393479164</v>
      </c>
    </row>
    <row r="28" spans="1:13">
      <c r="A28">
        <v>64</v>
      </c>
      <c r="B28" t="s">
        <v>488</v>
      </c>
      <c r="C28" t="s">
        <v>496</v>
      </c>
      <c r="D28" t="s">
        <v>512</v>
      </c>
      <c r="F28"/>
      <c r="G28"/>
      <c r="H28" s="481">
        <f ca="1">+'Gnatt Chart'!R50</f>
        <v>46188</v>
      </c>
      <c r="I28">
        <f ca="1">_xlfn.DAYS(qryGnattToDraws[[#This Row],[Date]],$H$2)</f>
        <v>3</v>
      </c>
      <c r="J28" s="531">
        <f>IF(ROW()=2,+qryGnattToDraws[[#This Row],[Price]],+qryGnattToDraws[[#This Row],[Price]]+J27)</f>
        <v>11558.323489999999</v>
      </c>
      <c r="L28" s="188">
        <f>IF(qryGnattToDraws[[#This Row],[Draws]]&gt;0,+K28*Profit!$B$43/24,0)</f>
        <v>0</v>
      </c>
      <c r="M28" s="188">
        <f>+qryGnattToDraws[[#This Row],[Interest]]+M27</f>
        <v>41.500855393479164</v>
      </c>
    </row>
    <row r="29" spans="1:13">
      <c r="A29">
        <v>60</v>
      </c>
      <c r="B29" t="s">
        <v>488</v>
      </c>
      <c r="C29" t="s">
        <v>496</v>
      </c>
      <c r="D29" t="s">
        <v>508</v>
      </c>
      <c r="F29"/>
      <c r="G29"/>
      <c r="H29" s="481">
        <f ca="1">+'Gnatt Chart'!R51</f>
        <v>46188</v>
      </c>
      <c r="I29">
        <f ca="1">_xlfn.DAYS(qryGnattToDraws[[#This Row],[Date]],$H$2)</f>
        <v>3</v>
      </c>
      <c r="J29" s="531">
        <f>IF(ROW()=2,+qryGnattToDraws[[#This Row],[Price]],+qryGnattToDraws[[#This Row],[Price]]+J28)</f>
        <v>11558.323489999999</v>
      </c>
      <c r="L29" s="188">
        <f>IF(qryGnattToDraws[[#This Row],[Draws]]&gt;0,+K29*Profit!$B$43/24,0)</f>
        <v>0</v>
      </c>
      <c r="M29" s="188">
        <f>+qryGnattToDraws[[#This Row],[Interest]]+M28</f>
        <v>41.500855393479164</v>
      </c>
    </row>
    <row r="30" spans="1:13">
      <c r="A30">
        <v>62</v>
      </c>
      <c r="B30" t="s">
        <v>488</v>
      </c>
      <c r="C30" t="s">
        <v>496</v>
      </c>
      <c r="D30" t="s">
        <v>510</v>
      </c>
      <c r="F30"/>
      <c r="G30"/>
      <c r="H30" s="481">
        <f ca="1">+'Gnatt Chart'!R52</f>
        <v>46188</v>
      </c>
      <c r="I30">
        <f ca="1">_xlfn.DAYS(qryGnattToDraws[[#This Row],[Date]],$H$2)</f>
        <v>3</v>
      </c>
      <c r="J30" s="531">
        <f>IF(ROW()=2,+qryGnattToDraws[[#This Row],[Price]],+qryGnattToDraws[[#This Row],[Price]]+J29)</f>
        <v>11558.323489999999</v>
      </c>
      <c r="L30" s="188">
        <f>IF(qryGnattToDraws[[#This Row],[Draws]]&gt;0,+K30*Profit!$B$43/24,0)</f>
        <v>0</v>
      </c>
      <c r="M30" s="188">
        <f>+qryGnattToDraws[[#This Row],[Interest]]+M29</f>
        <v>41.500855393479164</v>
      </c>
    </row>
    <row r="31" spans="1:13">
      <c r="A31">
        <v>75</v>
      </c>
      <c r="B31" t="s">
        <v>488</v>
      </c>
      <c r="C31" t="s">
        <v>496</v>
      </c>
      <c r="D31" t="s">
        <v>519</v>
      </c>
      <c r="F31"/>
      <c r="G31"/>
      <c r="H31" s="481">
        <f ca="1">+'Gnatt Chart'!R53</f>
        <v>46188</v>
      </c>
      <c r="I31">
        <f ca="1">_xlfn.DAYS(qryGnattToDraws[[#This Row],[Date]],$H$2)</f>
        <v>3</v>
      </c>
      <c r="J31" s="531">
        <f>IF(ROW()=2,+qryGnattToDraws[[#This Row],[Price]],+qryGnattToDraws[[#This Row],[Price]]+J30)</f>
        <v>11558.323489999999</v>
      </c>
      <c r="L31" s="188">
        <f>IF(qryGnattToDraws[[#This Row],[Draws]]&gt;0,+K31*Profit!$B$43/24,0)</f>
        <v>0</v>
      </c>
      <c r="M31" s="188">
        <f>+qryGnattToDraws[[#This Row],[Interest]]+M30</f>
        <v>41.500855393479164</v>
      </c>
    </row>
    <row r="32" spans="1:13">
      <c r="A32">
        <v>52</v>
      </c>
      <c r="B32" t="s">
        <v>488</v>
      </c>
      <c r="C32" t="s">
        <v>496</v>
      </c>
      <c r="D32" t="s">
        <v>499</v>
      </c>
      <c r="F32"/>
      <c r="G32"/>
      <c r="H32" s="481">
        <f ca="1">+'Gnatt Chart'!R54</f>
        <v>46188</v>
      </c>
      <c r="I32">
        <f ca="1">_xlfn.DAYS(qryGnattToDraws[[#This Row],[Date]],$H$2)</f>
        <v>3</v>
      </c>
      <c r="J32" s="531">
        <f>IF(ROW()=2,+qryGnattToDraws[[#This Row],[Price]],+qryGnattToDraws[[#This Row],[Price]]+J31)</f>
        <v>11558.323489999999</v>
      </c>
      <c r="L32" s="188">
        <f>IF(qryGnattToDraws[[#This Row],[Draws]]&gt;0,+K32*Profit!$B$43/24,0)</f>
        <v>0</v>
      </c>
      <c r="M32" s="188">
        <f>+qryGnattToDraws[[#This Row],[Interest]]+M31</f>
        <v>41.500855393479164</v>
      </c>
    </row>
    <row r="33" spans="1:13">
      <c r="A33">
        <v>50</v>
      </c>
      <c r="B33" t="s">
        <v>488</v>
      </c>
      <c r="C33" t="s">
        <v>496</v>
      </c>
      <c r="D33" t="s">
        <v>497</v>
      </c>
      <c r="F33"/>
      <c r="G33"/>
      <c r="H33" s="481">
        <f ca="1">+'Gnatt Chart'!R55</f>
        <v>46188</v>
      </c>
      <c r="I33">
        <f ca="1">_xlfn.DAYS(qryGnattToDraws[[#This Row],[Date]],$H$2)</f>
        <v>3</v>
      </c>
      <c r="J33" s="531">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547</v>
      </c>
      <c r="C34" t="s">
        <v>479</v>
      </c>
      <c r="D34" t="s">
        <v>586</v>
      </c>
      <c r="E34" s="188">
        <v>150</v>
      </c>
      <c r="F34"/>
      <c r="G34"/>
      <c r="H34" s="481">
        <f ca="1">+'Gnatt Chart'!R56</f>
        <v>46188</v>
      </c>
      <c r="I34">
        <f ca="1">_xlfn.DAYS(qryGnattToDraws[[#This Row],[Date]],$H$2)</f>
        <v>3</v>
      </c>
      <c r="J34" s="531">
        <f>IF(ROW()=2,+qryGnattToDraws[[#This Row],[Price]],+qryGnattToDraws[[#This Row],[Price]]+J33)</f>
        <v>11708.323489999999</v>
      </c>
      <c r="L34" s="188">
        <f>IF(qryGnattToDraws[[#This Row],[Draws]]&gt;0,+K34*Profit!$B$43/24,0)</f>
        <v>0</v>
      </c>
      <c r="M34" s="188">
        <f>+qryGnattToDraws[[#This Row],[Interest]]+M33</f>
        <v>41.500855393479164</v>
      </c>
    </row>
    <row r="35" spans="1:13">
      <c r="A35">
        <v>907</v>
      </c>
      <c r="B35" t="s">
        <v>546</v>
      </c>
      <c r="C35" t="s">
        <v>453</v>
      </c>
      <c r="D35" t="s">
        <v>587</v>
      </c>
      <c r="E35" s="188">
        <v>0</v>
      </c>
      <c r="F35"/>
      <c r="G35"/>
      <c r="H35" s="481">
        <f ca="1">+'Gnatt Chart'!R57</f>
        <v>46188</v>
      </c>
      <c r="I35">
        <f ca="1">_xlfn.DAYS(qryGnattToDraws[[#This Row],[Date]],$H$2)</f>
        <v>3</v>
      </c>
      <c r="J35" s="531">
        <f>IF(ROW()=2,+qryGnattToDraws[[#This Row],[Price]],+qryGnattToDraws[[#This Row],[Price]]+J34)</f>
        <v>11708.323489999999</v>
      </c>
      <c r="L35" s="188">
        <f>IF(qryGnattToDraws[[#This Row],[Draws]]&gt;0,+K35*Profit!$B$43/24,0)</f>
        <v>0</v>
      </c>
      <c r="M35" s="188">
        <f>+qryGnattToDraws[[#This Row],[Interest]]+M34</f>
        <v>41.500855393479164</v>
      </c>
    </row>
    <row r="36" spans="1:13">
      <c r="A36">
        <v>53</v>
      </c>
      <c r="B36" t="s">
        <v>453</v>
      </c>
      <c r="C36" t="s">
        <v>500</v>
      </c>
      <c r="D36" t="s">
        <v>501</v>
      </c>
      <c r="F36"/>
      <c r="G36"/>
      <c r="H36" s="481">
        <f ca="1">+'Gnatt Chart'!R58</f>
        <v>46188</v>
      </c>
      <c r="I36">
        <f ca="1">_xlfn.DAYS(qryGnattToDraws[[#This Row],[Date]],$H$2)</f>
        <v>3</v>
      </c>
      <c r="J36" s="531">
        <f>IF(ROW()=2,+qryGnattToDraws[[#This Row],[Price]],+qryGnattToDraws[[#This Row],[Price]]+J35)</f>
        <v>11708.323489999999</v>
      </c>
      <c r="L36" s="188">
        <f>IF(qryGnattToDraws[[#This Row],[Draws]]&gt;0,+K36*Profit!$B$43/24,0)</f>
        <v>0</v>
      </c>
      <c r="M36" s="188">
        <f>+qryGnattToDraws[[#This Row],[Interest]]+M35</f>
        <v>41.500855393479164</v>
      </c>
    </row>
    <row r="37" spans="1:13">
      <c r="A37">
        <v>31</v>
      </c>
      <c r="B37" t="s">
        <v>479</v>
      </c>
      <c r="C37" t="s">
        <v>479</v>
      </c>
      <c r="D37" t="s">
        <v>480</v>
      </c>
      <c r="F37"/>
      <c r="G37"/>
      <c r="H37" s="481">
        <f ca="1">+'Gnatt Chart'!R59</f>
        <v>46188</v>
      </c>
      <c r="I37">
        <f ca="1">_xlfn.DAYS(qryGnattToDraws[[#This Row],[Date]],$H$2)</f>
        <v>3</v>
      </c>
      <c r="J37" s="531">
        <f>IF(ROW()=2,+qryGnattToDraws[[#This Row],[Price]],+qryGnattToDraws[[#This Row],[Price]]+J36)</f>
        <v>11708.323489999999</v>
      </c>
      <c r="L37" s="188">
        <f>IF(qryGnattToDraws[[#This Row],[Draws]]&gt;0,+K37*Profit!$B$43/24,0)</f>
        <v>0</v>
      </c>
      <c r="M37" s="188">
        <f>+qryGnattToDraws[[#This Row],[Interest]]+M36</f>
        <v>41.500855393479164</v>
      </c>
    </row>
    <row r="38" spans="1:13">
      <c r="A38">
        <v>71</v>
      </c>
      <c r="B38" t="s">
        <v>453</v>
      </c>
      <c r="C38" t="s">
        <v>516</v>
      </c>
      <c r="D38" t="s">
        <v>518</v>
      </c>
      <c r="F38"/>
      <c r="G38"/>
      <c r="H38" s="481">
        <f ca="1">+'Gnatt Chart'!R60</f>
        <v>46188</v>
      </c>
      <c r="I38">
        <f ca="1">_xlfn.DAYS(qryGnattToDraws[[#This Row],[Date]],$H$2)</f>
        <v>3</v>
      </c>
      <c r="J38" s="531">
        <f>IF(ROW()=2,+qryGnattToDraws[[#This Row],[Price]],+qryGnattToDraws[[#This Row],[Price]]+J37)</f>
        <v>11708.323489999999</v>
      </c>
      <c r="L38" s="188">
        <f>IF(qryGnattToDraws[[#This Row],[Draws]]&gt;0,+K38*Profit!$B$43/24,0)</f>
        <v>0</v>
      </c>
      <c r="M38" s="188">
        <f>+qryGnattToDraws[[#This Row],[Interest]]+M37</f>
        <v>41.500855393479164</v>
      </c>
    </row>
    <row r="39" spans="1:13">
      <c r="A39">
        <v>78</v>
      </c>
      <c r="B39" t="s">
        <v>513</v>
      </c>
      <c r="C39" t="s">
        <v>523</v>
      </c>
      <c r="D39" t="s">
        <v>524</v>
      </c>
      <c r="F39"/>
      <c r="G39"/>
      <c r="H39" s="481">
        <f ca="1">+'Gnatt Chart'!R61</f>
        <v>46188</v>
      </c>
      <c r="I39">
        <f ca="1">_xlfn.DAYS(qryGnattToDraws[[#This Row],[Date]],$H$2)</f>
        <v>3</v>
      </c>
      <c r="J39" s="531">
        <f>IF(ROW()=2,+qryGnattToDraws[[#This Row],[Price]],+qryGnattToDraws[[#This Row],[Price]]+J38)</f>
        <v>11708.323489999999</v>
      </c>
      <c r="L39" s="188">
        <f>IF(qryGnattToDraws[[#This Row],[Draws]]&gt;0,+K39*Profit!$B$43/24,0)</f>
        <v>0</v>
      </c>
      <c r="M39" s="188">
        <f>+qryGnattToDraws[[#This Row],[Interest]]+M38</f>
        <v>41.500855393479164</v>
      </c>
    </row>
    <row r="40" spans="1:13">
      <c r="A40">
        <v>902</v>
      </c>
      <c r="B40" t="s">
        <v>546</v>
      </c>
      <c r="C40" t="s">
        <v>442</v>
      </c>
      <c r="D40" t="s">
        <v>588</v>
      </c>
      <c r="E40" s="188">
        <v>44.58382499999999</v>
      </c>
      <c r="F40"/>
      <c r="G40"/>
      <c r="H40" s="481">
        <f ca="1">+'Gnatt Chart'!R62</f>
        <v>46188</v>
      </c>
      <c r="I40">
        <f ca="1">_xlfn.DAYS(qryGnattToDraws[[#This Row],[Date]],$H$2)</f>
        <v>3</v>
      </c>
      <c r="J40" s="531">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513</v>
      </c>
      <c r="C41" t="s">
        <v>514</v>
      </c>
      <c r="D41" t="s">
        <v>515</v>
      </c>
      <c r="F41"/>
      <c r="G41"/>
      <c r="H41" s="481">
        <f ca="1">+'Gnatt Chart'!R63</f>
        <v>46188</v>
      </c>
      <c r="I41">
        <f ca="1">_xlfn.DAYS(qryGnattToDraws[[#This Row],[Date]],$H$2)</f>
        <v>3</v>
      </c>
      <c r="J41" s="531">
        <f>IF(ROW()=2,+qryGnattToDraws[[#This Row],[Price]],+qryGnattToDraws[[#This Row],[Price]]+J40)</f>
        <v>11752.907314999999</v>
      </c>
      <c r="L41" s="188">
        <f>IF(qryGnattToDraws[[#This Row],[Draws]]&gt;0,+K41*Profit!$B$43/24,0)</f>
        <v>0</v>
      </c>
      <c r="M41" s="188">
        <f>+qryGnattToDraws[[#This Row],[Interest]]+M40</f>
        <v>41.500855393479164</v>
      </c>
    </row>
    <row r="42" spans="1:13">
      <c r="A42">
        <v>70</v>
      </c>
      <c r="B42" t="s">
        <v>513</v>
      </c>
      <c r="C42" t="s">
        <v>516</v>
      </c>
      <c r="D42" t="s">
        <v>517</v>
      </c>
      <c r="F42"/>
      <c r="G42"/>
      <c r="H42" s="481">
        <f ca="1">+'Gnatt Chart'!R64</f>
        <v>46188</v>
      </c>
      <c r="I42">
        <f ca="1">_xlfn.DAYS(qryGnattToDraws[[#This Row],[Date]],$H$2)</f>
        <v>3</v>
      </c>
      <c r="J42" s="531">
        <f>IF(ROW()=2,+qryGnattToDraws[[#This Row],[Price]],+qryGnattToDraws[[#This Row],[Price]]+J41)</f>
        <v>11752.907314999999</v>
      </c>
      <c r="L42" s="188">
        <f>IF(qryGnattToDraws[[#This Row],[Draws]]&gt;0,+K42*Profit!$B$43/24,0)</f>
        <v>0</v>
      </c>
      <c r="M42" s="188">
        <f>+qryGnattToDraws[[#This Row],[Interest]]+M41</f>
        <v>41.500855393479164</v>
      </c>
    </row>
    <row r="43" spans="1:13">
      <c r="A43">
        <v>63</v>
      </c>
      <c r="B43" t="s">
        <v>454</v>
      </c>
      <c r="C43" t="s">
        <v>454</v>
      </c>
      <c r="D43" t="s">
        <v>511</v>
      </c>
      <c r="F43"/>
      <c r="G43"/>
      <c r="H43" s="481">
        <f ca="1">+'Gnatt Chart'!R65</f>
        <v>46188</v>
      </c>
      <c r="I43">
        <f ca="1">_xlfn.DAYS(qryGnattToDraws[[#This Row],[Date]],$H$2)</f>
        <v>3</v>
      </c>
      <c r="J43" s="531">
        <f>IF(ROW()=2,+qryGnattToDraws[[#This Row],[Price]],+qryGnattToDraws[[#This Row],[Price]]+J42)</f>
        <v>11752.907314999999</v>
      </c>
      <c r="L43" s="188">
        <f>IF(qryGnattToDraws[[#This Row],[Draws]]&gt;0,+K43*Profit!$B$43/24,0)</f>
        <v>0</v>
      </c>
      <c r="M43" s="188">
        <f>+qryGnattToDraws[[#This Row],[Interest]]+M42</f>
        <v>41.500855393479164</v>
      </c>
    </row>
    <row r="44" spans="1:13">
      <c r="A44">
        <v>911</v>
      </c>
      <c r="B44" t="s">
        <v>546</v>
      </c>
      <c r="C44" t="s">
        <v>454</v>
      </c>
      <c r="D44" t="s">
        <v>590</v>
      </c>
      <c r="E44" s="188">
        <v>8621</v>
      </c>
      <c r="F44"/>
      <c r="G44"/>
      <c r="H44" s="481">
        <f ca="1">+'Gnatt Chart'!R66</f>
        <v>46188</v>
      </c>
      <c r="I44">
        <f ca="1">_xlfn.DAYS(qryGnattToDraws[[#This Row],[Date]],$H$2)</f>
        <v>3</v>
      </c>
      <c r="J44" s="531">
        <f>IF(ROW()=2,+qryGnattToDraws[[#This Row],[Price]],+qryGnattToDraws[[#This Row],[Price]]+J43)</f>
        <v>20373.907314999997</v>
      </c>
      <c r="L44" s="188">
        <f>IF(qryGnattToDraws[[#This Row],[Draws]]&gt;0,+K44*Profit!$B$43/24,0)</f>
        <v>0</v>
      </c>
      <c r="M44" s="188">
        <f>+qryGnattToDraws[[#This Row],[Interest]]+M43</f>
        <v>41.500855393479164</v>
      </c>
    </row>
    <row r="45" spans="1:13">
      <c r="A45">
        <v>906</v>
      </c>
      <c r="B45" t="s">
        <v>547</v>
      </c>
      <c r="C45" t="s">
        <v>591</v>
      </c>
      <c r="D45" t="s">
        <v>592</v>
      </c>
      <c r="E45" s="188">
        <v>5905.82</v>
      </c>
      <c r="F45"/>
      <c r="G45"/>
      <c r="H45" s="481">
        <f ca="1">+'Gnatt Chart'!R67</f>
        <v>46188</v>
      </c>
      <c r="I45">
        <f ca="1">_xlfn.DAYS(qryGnattToDraws[[#This Row],[Date]],$H$2)</f>
        <v>3</v>
      </c>
      <c r="J45" s="531">
        <f>IF(ROW()=2,+qryGnattToDraws[[#This Row],[Price]],+qryGnattToDraws[[#This Row],[Price]]+J44)</f>
        <v>26279.727314999996</v>
      </c>
      <c r="L45" s="188">
        <f>IF(qryGnattToDraws[[#This Row],[Draws]]&gt;0,+K45*Profit!$B$43/24,0)</f>
        <v>0</v>
      </c>
      <c r="M45" s="188">
        <f>+qryGnattToDraws[[#This Row],[Interest]]+M44</f>
        <v>41.500855393479164</v>
      </c>
    </row>
    <row r="46" spans="1:13">
      <c r="A46">
        <v>905</v>
      </c>
      <c r="B46" t="s">
        <v>547</v>
      </c>
      <c r="C46" t="s">
        <v>469</v>
      </c>
      <c r="D46" t="s">
        <v>593</v>
      </c>
      <c r="E46" s="188">
        <v>8333.2037</v>
      </c>
      <c r="F46"/>
      <c r="G46"/>
      <c r="H46" s="481">
        <f ca="1">+'Gnatt Chart'!R68</f>
        <v>46188</v>
      </c>
      <c r="I46">
        <f ca="1">_xlfn.DAYS(qryGnattToDraws[[#This Row],[Date]],$H$2)</f>
        <v>3</v>
      </c>
      <c r="J46" s="531">
        <f>IF(ROW()=2,+qryGnattToDraws[[#This Row],[Price]],+qryGnattToDraws[[#This Row],[Price]]+J45)</f>
        <v>34612.931014999995</v>
      </c>
      <c r="L46" s="188">
        <f>IF(qryGnattToDraws[[#This Row],[Draws]]&gt;0,+K46*Profit!$B$43/24,0)</f>
        <v>0</v>
      </c>
      <c r="M46" s="188">
        <f>+qryGnattToDraws[[#This Row],[Interest]]+M45</f>
        <v>41.500855393479164</v>
      </c>
    </row>
    <row r="47" spans="1:13">
      <c r="A47">
        <v>48</v>
      </c>
      <c r="B47" t="s">
        <v>492</v>
      </c>
      <c r="C47" t="s">
        <v>493</v>
      </c>
      <c r="D47" t="s">
        <v>494</v>
      </c>
      <c r="F47"/>
      <c r="G47"/>
      <c r="H47" s="481">
        <f ca="1">+'Gnatt Chart'!R69</f>
        <v>46188</v>
      </c>
      <c r="I47">
        <f ca="1">_xlfn.DAYS(qryGnattToDraws[[#This Row],[Date]],$H$2)</f>
        <v>3</v>
      </c>
      <c r="J47" s="531">
        <f>IF(ROW()=2,+qryGnattToDraws[[#This Row],[Price]],+qryGnattToDraws[[#This Row],[Price]]+J46)</f>
        <v>34612.931014999995</v>
      </c>
      <c r="L47" s="188">
        <f>IF(qryGnattToDraws[[#This Row],[Draws]]&gt;0,+K47*Profit!$B$43/24,0)</f>
        <v>0</v>
      </c>
      <c r="M47" s="188">
        <f>+qryGnattToDraws[[#This Row],[Interest]]+M46</f>
        <v>41.500855393479164</v>
      </c>
    </row>
    <row r="48" spans="1:13">
      <c r="A48">
        <v>909</v>
      </c>
      <c r="B48" t="s">
        <v>546</v>
      </c>
      <c r="C48" t="s">
        <v>477</v>
      </c>
      <c r="D48" t="s">
        <v>594</v>
      </c>
      <c r="E48" s="188">
        <v>0</v>
      </c>
      <c r="F48"/>
      <c r="G48"/>
      <c r="H48" s="481">
        <f ca="1">+'Gnatt Chart'!R70</f>
        <v>46188</v>
      </c>
      <c r="I48">
        <f ca="1">_xlfn.DAYS(qryGnattToDraws[[#This Row],[Date]],$H$2)</f>
        <v>3</v>
      </c>
      <c r="J48" s="531">
        <f>IF(ROW()=2,+qryGnattToDraws[[#This Row],[Price]],+qryGnattToDraws[[#This Row],[Price]]+J47)</f>
        <v>34612.931014999995</v>
      </c>
      <c r="L48" s="188">
        <f>IF(qryGnattToDraws[[#This Row],[Draws]]&gt;0,+K48*Profit!$B$43/24,0)</f>
        <v>0</v>
      </c>
      <c r="M48" s="188">
        <f>+qryGnattToDraws[[#This Row],[Interest]]+M47</f>
        <v>41.500855393479164</v>
      </c>
    </row>
    <row r="49" spans="1:13">
      <c r="A49">
        <v>910</v>
      </c>
      <c r="B49" t="s">
        <v>547</v>
      </c>
      <c r="C49" t="s">
        <v>595</v>
      </c>
      <c r="D49" t="s">
        <v>596</v>
      </c>
      <c r="E49" s="188">
        <v>270</v>
      </c>
      <c r="F49"/>
      <c r="G49"/>
      <c r="H49" s="481">
        <f ca="1">+'Gnatt Chart'!R71</f>
        <v>46188</v>
      </c>
      <c r="I49">
        <f ca="1">_xlfn.DAYS(qryGnattToDraws[[#This Row],[Date]],$H$2)</f>
        <v>3</v>
      </c>
      <c r="J49" s="533">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685</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686</v>
      </c>
    </row>
    <row r="2" spans="1:11">
      <c r="I2" s="790" t="s">
        <v>9</v>
      </c>
      <c r="J2" s="790" t="str">
        <f>IF(Profit!$Q$6,IF(K2,"Yes","No"),"No")</f>
        <v>Yes</v>
      </c>
      <c r="K2" s="792" t="b">
        <v>1</v>
      </c>
    </row>
    <row r="3" spans="1:11" s="3" customFormat="1" ht="15.75" thickBot="1">
      <c r="A3" s="3" t="s">
        <v>687</v>
      </c>
      <c r="B3" s="3" t="s">
        <v>109</v>
      </c>
      <c r="C3" s="13" t="s">
        <v>688</v>
      </c>
      <c r="D3" s="3" t="s">
        <v>689</v>
      </c>
      <c r="E3" s="13" t="s">
        <v>690</v>
      </c>
      <c r="F3" s="3" t="s">
        <v>691</v>
      </c>
      <c r="I3" s="791"/>
      <c r="J3" s="791"/>
      <c r="K3" s="793"/>
    </row>
    <row r="4" spans="1:11" s="3" customFormat="1">
      <c r="C4" s="13"/>
      <c r="E4" s="13"/>
    </row>
    <row r="5" spans="1:11" s="3" customFormat="1">
      <c r="A5" s="325" t="s">
        <v>692</v>
      </c>
      <c r="B5" s="328">
        <v>45316</v>
      </c>
      <c r="C5" s="448"/>
      <c r="D5" s="326">
        <v>2</v>
      </c>
      <c r="E5" s="327">
        <v>35</v>
      </c>
      <c r="F5" s="327">
        <f>+D5*E5</f>
        <v>70</v>
      </c>
    </row>
    <row r="6" spans="1:11" s="3" customFormat="1">
      <c r="A6" s="325" t="s">
        <v>693</v>
      </c>
      <c r="B6" s="328"/>
      <c r="C6" s="448"/>
      <c r="D6" s="326">
        <v>1</v>
      </c>
      <c r="E6" s="327">
        <v>750</v>
      </c>
      <c r="F6" s="327">
        <f t="shared" ref="F6:F8" si="0">+D6*E6</f>
        <v>750</v>
      </c>
    </row>
    <row r="7" spans="1:11" s="3" customFormat="1">
      <c r="A7" s="325" t="s">
        <v>694</v>
      </c>
      <c r="B7" s="328"/>
      <c r="C7" s="448"/>
      <c r="D7" s="326">
        <v>1</v>
      </c>
      <c r="E7" s="327">
        <v>800</v>
      </c>
      <c r="F7" s="327">
        <f t="shared" si="0"/>
        <v>800</v>
      </c>
    </row>
    <row r="8" spans="1:11" s="3" customFormat="1">
      <c r="A8" s="325" t="s">
        <v>695</v>
      </c>
      <c r="B8" s="328"/>
      <c r="C8" s="448"/>
      <c r="D8" s="449">
        <v>1.7500000000000002E-2</v>
      </c>
      <c r="E8" s="327">
        <f>+Profit!$B$44</f>
        <v>0</v>
      </c>
      <c r="F8" s="327">
        <f t="shared" si="0"/>
        <v>0</v>
      </c>
    </row>
    <row r="9" spans="1:11" s="3" customFormat="1">
      <c r="A9" s="325" t="s">
        <v>696</v>
      </c>
      <c r="B9" s="328"/>
      <c r="C9" s="448"/>
      <c r="D9" s="326">
        <v>1</v>
      </c>
      <c r="E9" s="327">
        <v>995</v>
      </c>
      <c r="F9" s="327">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692</v>
      </c>
      <c r="B13" s="12">
        <v>45316</v>
      </c>
      <c r="C13" s="207"/>
      <c r="D13">
        <v>0</v>
      </c>
      <c r="E13" s="14">
        <v>35</v>
      </c>
      <c r="F13" s="14">
        <f t="shared" si="1"/>
        <v>0</v>
      </c>
      <c r="G13"/>
      <c r="H13" s="3"/>
      <c r="I13" s="3"/>
    </row>
    <row r="14" spans="1:11">
      <c r="A14" s="2" t="s">
        <v>692</v>
      </c>
      <c r="B14" s="12">
        <v>45322</v>
      </c>
      <c r="C14" s="207"/>
      <c r="D14">
        <v>0</v>
      </c>
      <c r="E14" s="14">
        <v>55</v>
      </c>
      <c r="F14" s="14">
        <f t="shared" si="1"/>
        <v>0</v>
      </c>
    </row>
    <row r="15" spans="1:11">
      <c r="A15" s="2" t="s">
        <v>697</v>
      </c>
      <c r="B15" s="12"/>
      <c r="C15" s="207"/>
      <c r="D15">
        <v>0</v>
      </c>
      <c r="E15" s="14"/>
      <c r="F15" s="14">
        <f t="shared" si="1"/>
        <v>0</v>
      </c>
    </row>
    <row r="16" spans="1:11">
      <c r="A16" s="2" t="s">
        <v>698</v>
      </c>
      <c r="B16" s="12">
        <v>45315</v>
      </c>
      <c r="C16" s="207"/>
      <c r="D16">
        <v>0</v>
      </c>
      <c r="E16" s="14">
        <v>201.25</v>
      </c>
      <c r="F16" s="14">
        <f>+D16*E16</f>
        <v>0</v>
      </c>
    </row>
    <row r="17" spans="1:10">
      <c r="A17" s="2" t="s">
        <v>699</v>
      </c>
      <c r="B17" s="12">
        <v>45322</v>
      </c>
      <c r="C17" s="207"/>
      <c r="D17">
        <v>0</v>
      </c>
      <c r="E17" s="14">
        <v>46</v>
      </c>
      <c r="F17" s="14">
        <f>+D17*E17</f>
        <v>0</v>
      </c>
    </row>
    <row r="18" spans="1:10">
      <c r="A18" s="2" t="s">
        <v>700</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9"/>
      <c r="D31" s="708"/>
      <c r="E31" s="708"/>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701</v>
      </c>
      <c r="B1" s="7" t="s">
        <v>702</v>
      </c>
    </row>
    <row r="2" spans="1:5">
      <c r="A2" s="3" t="s">
        <v>703</v>
      </c>
      <c r="B2" s="6"/>
      <c r="C2" s="4"/>
    </row>
    <row r="4" spans="1:5">
      <c r="A4" s="2" t="s">
        <v>704</v>
      </c>
      <c r="B4" s="1">
        <v>0</v>
      </c>
      <c r="C4" s="1">
        <v>0</v>
      </c>
    </row>
    <row r="5" spans="1:5">
      <c r="A5" s="2" t="s">
        <v>705</v>
      </c>
      <c r="B5" s="1">
        <v>33</v>
      </c>
      <c r="C5"/>
      <c r="D5" s="1"/>
    </row>
    <row r="6" spans="1:5" ht="15.75" thickBot="1">
      <c r="A6" s="2" t="s">
        <v>706</v>
      </c>
      <c r="B6" s="20">
        <v>0</v>
      </c>
      <c r="C6" s="20">
        <f>B5*B6</f>
        <v>0</v>
      </c>
      <c r="D6" s="29"/>
    </row>
    <row r="7" spans="1:5">
      <c r="C7" s="9" t="s">
        <v>707</v>
      </c>
      <c r="D7" s="1">
        <f>SUM(C4:C6)</f>
        <v>0</v>
      </c>
    </row>
    <row r="8" spans="1:5">
      <c r="D8" s="1"/>
    </row>
    <row r="10" spans="1:5" ht="15.75" thickBot="1">
      <c r="D10" s="29"/>
    </row>
    <row r="11" spans="1:5">
      <c r="D11" s="30" t="s">
        <v>708</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709</v>
      </c>
    </row>
    <row r="2" spans="1:7" s="3" customFormat="1">
      <c r="B2" s="3" t="s">
        <v>710</v>
      </c>
      <c r="C2" s="3" t="s">
        <v>711</v>
      </c>
      <c r="D2" s="8" t="s">
        <v>712</v>
      </c>
      <c r="E2" s="3" t="s">
        <v>713</v>
      </c>
      <c r="F2" s="8" t="s">
        <v>426</v>
      </c>
      <c r="G2" s="3" t="s">
        <v>714</v>
      </c>
    </row>
    <row r="3" spans="1:7">
      <c r="A3" s="116" t="s">
        <v>715</v>
      </c>
      <c r="B3" s="116"/>
      <c r="C3" s="117">
        <v>0</v>
      </c>
      <c r="D3" s="118">
        <v>0</v>
      </c>
      <c r="E3">
        <f>+C3*D3</f>
        <v>0</v>
      </c>
      <c r="F3" s="26">
        <f t="shared" ref="F3:F44" si="0">+E3*0.0725</f>
        <v>0</v>
      </c>
    </row>
    <row r="4" spans="1:7">
      <c r="A4" s="116" t="s">
        <v>716</v>
      </c>
      <c r="B4" s="116"/>
      <c r="C4" s="117">
        <v>0</v>
      </c>
      <c r="D4" s="118">
        <v>0</v>
      </c>
      <c r="E4">
        <f t="shared" ref="E4:E61" si="1">+C4*D4</f>
        <v>0</v>
      </c>
      <c r="F4" s="26">
        <f t="shared" si="0"/>
        <v>0</v>
      </c>
    </row>
    <row r="5" spans="1:7">
      <c r="A5" s="116" t="s">
        <v>717</v>
      </c>
      <c r="B5" s="116"/>
      <c r="C5" s="117">
        <v>0</v>
      </c>
      <c r="D5" s="118">
        <v>0</v>
      </c>
      <c r="E5">
        <f t="shared" si="1"/>
        <v>0</v>
      </c>
      <c r="F5" s="26">
        <f t="shared" si="0"/>
        <v>0</v>
      </c>
    </row>
    <row r="6" spans="1:7">
      <c r="A6" s="116" t="s">
        <v>718</v>
      </c>
      <c r="B6" s="116"/>
      <c r="C6" s="117">
        <v>0</v>
      </c>
      <c r="D6" s="118">
        <v>0</v>
      </c>
      <c r="E6">
        <f t="shared" si="1"/>
        <v>0</v>
      </c>
      <c r="F6" s="26">
        <f t="shared" si="0"/>
        <v>0</v>
      </c>
    </row>
    <row r="7" spans="1:7">
      <c r="A7" s="116" t="s">
        <v>719</v>
      </c>
      <c r="B7" s="116"/>
      <c r="C7" s="117">
        <v>0</v>
      </c>
      <c r="D7" s="118">
        <v>0</v>
      </c>
      <c r="E7">
        <f t="shared" si="1"/>
        <v>0</v>
      </c>
      <c r="F7" s="26">
        <f t="shared" si="0"/>
        <v>0</v>
      </c>
    </row>
    <row r="8" spans="1:7">
      <c r="A8" s="116" t="s">
        <v>720</v>
      </c>
      <c r="B8" s="116"/>
      <c r="C8" s="117">
        <v>0</v>
      </c>
      <c r="D8" s="118">
        <v>0</v>
      </c>
      <c r="E8">
        <f t="shared" si="1"/>
        <v>0</v>
      </c>
      <c r="F8" s="26">
        <f t="shared" si="0"/>
        <v>0</v>
      </c>
    </row>
    <row r="9" spans="1:7">
      <c r="A9" s="116" t="s">
        <v>721</v>
      </c>
      <c r="B9" s="116"/>
      <c r="C9" s="117">
        <v>0</v>
      </c>
      <c r="D9" s="118">
        <v>0</v>
      </c>
      <c r="E9">
        <f t="shared" si="1"/>
        <v>0</v>
      </c>
      <c r="F9" s="26">
        <f t="shared" si="0"/>
        <v>0</v>
      </c>
    </row>
    <row r="10" spans="1:7">
      <c r="A10" s="116" t="s">
        <v>241</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722</v>
      </c>
      <c r="B12" s="116"/>
      <c r="C12" s="117">
        <v>0</v>
      </c>
      <c r="D12" s="118">
        <v>0</v>
      </c>
      <c r="E12">
        <f t="shared" si="1"/>
        <v>0</v>
      </c>
      <c r="F12" s="26">
        <f t="shared" si="0"/>
        <v>0</v>
      </c>
    </row>
    <row r="13" spans="1:7">
      <c r="A13" s="116" t="s">
        <v>723</v>
      </c>
      <c r="B13" s="116"/>
      <c r="C13" s="117">
        <v>0</v>
      </c>
      <c r="D13" s="118">
        <v>0</v>
      </c>
      <c r="E13">
        <f t="shared" si="1"/>
        <v>0</v>
      </c>
      <c r="F13" s="26">
        <f t="shared" si="0"/>
        <v>0</v>
      </c>
    </row>
    <row r="14" spans="1:7">
      <c r="A14" s="116" t="s">
        <v>724</v>
      </c>
      <c r="B14" s="116"/>
      <c r="C14" s="117">
        <v>0</v>
      </c>
      <c r="D14" s="118">
        <v>0</v>
      </c>
      <c r="E14">
        <f t="shared" si="1"/>
        <v>0</v>
      </c>
      <c r="F14" s="26">
        <f t="shared" si="0"/>
        <v>0</v>
      </c>
    </row>
    <row r="15" spans="1:7">
      <c r="A15" s="116" t="s">
        <v>725</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726</v>
      </c>
      <c r="B17" s="116"/>
      <c r="C17" s="117">
        <v>0</v>
      </c>
      <c r="D17" s="118">
        <v>0</v>
      </c>
      <c r="E17">
        <f t="shared" si="1"/>
        <v>0</v>
      </c>
      <c r="F17" s="26">
        <f t="shared" si="0"/>
        <v>0</v>
      </c>
    </row>
    <row r="18" spans="1:6">
      <c r="A18" s="116" t="s">
        <v>727</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728</v>
      </c>
      <c r="B20" s="116"/>
      <c r="C20" s="117">
        <v>0</v>
      </c>
      <c r="D20" s="118">
        <v>0</v>
      </c>
      <c r="E20">
        <f t="shared" si="1"/>
        <v>0</v>
      </c>
      <c r="F20" s="26">
        <f t="shared" si="0"/>
        <v>0</v>
      </c>
    </row>
    <row r="21" spans="1:6">
      <c r="A21" s="116" t="s">
        <v>729</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730</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731</v>
      </c>
      <c r="B26" s="116"/>
      <c r="C26" s="117">
        <v>0</v>
      </c>
      <c r="D26" s="118">
        <v>0</v>
      </c>
      <c r="E26">
        <f t="shared" si="1"/>
        <v>0</v>
      </c>
      <c r="F26" s="26">
        <f t="shared" si="0"/>
        <v>0</v>
      </c>
    </row>
    <row r="27" spans="1:6">
      <c r="A27" s="116" t="s">
        <v>732</v>
      </c>
      <c r="B27" s="116"/>
      <c r="C27" s="117">
        <v>0</v>
      </c>
      <c r="D27" s="118">
        <v>0</v>
      </c>
      <c r="E27">
        <f t="shared" si="1"/>
        <v>0</v>
      </c>
      <c r="F27" s="26">
        <f t="shared" si="0"/>
        <v>0</v>
      </c>
    </row>
    <row r="28" spans="1:6">
      <c r="A28" s="116" t="s">
        <v>733</v>
      </c>
      <c r="B28" s="116"/>
      <c r="C28" s="117">
        <v>0</v>
      </c>
      <c r="D28" s="118">
        <v>0</v>
      </c>
      <c r="E28">
        <f t="shared" si="1"/>
        <v>0</v>
      </c>
      <c r="F28" s="26">
        <f t="shared" si="0"/>
        <v>0</v>
      </c>
    </row>
    <row r="29" spans="1:6">
      <c r="A29" s="116" t="s">
        <v>734</v>
      </c>
      <c r="B29" s="116"/>
      <c r="C29" s="117">
        <v>0</v>
      </c>
      <c r="D29" s="118">
        <v>0</v>
      </c>
      <c r="E29">
        <f t="shared" si="1"/>
        <v>0</v>
      </c>
      <c r="F29" s="26">
        <f t="shared" si="0"/>
        <v>0</v>
      </c>
    </row>
    <row r="30" spans="1:6">
      <c r="A30" s="116" t="s">
        <v>735</v>
      </c>
      <c r="B30" s="116"/>
      <c r="C30" s="117">
        <v>0</v>
      </c>
      <c r="D30" s="118">
        <v>0</v>
      </c>
      <c r="E30">
        <f t="shared" si="1"/>
        <v>0</v>
      </c>
      <c r="F30" s="26">
        <f t="shared" si="0"/>
        <v>0</v>
      </c>
    </row>
    <row r="31" spans="1:6">
      <c r="A31" s="116" t="s">
        <v>736</v>
      </c>
      <c r="B31" s="116"/>
      <c r="C31" s="117">
        <v>0</v>
      </c>
      <c r="D31" s="118">
        <v>0</v>
      </c>
      <c r="E31">
        <f t="shared" si="1"/>
        <v>0</v>
      </c>
      <c r="F31" s="26">
        <f t="shared" si="0"/>
        <v>0</v>
      </c>
    </row>
    <row r="32" spans="1:6">
      <c r="A32" s="116" t="s">
        <v>737</v>
      </c>
      <c r="B32" s="116"/>
      <c r="C32" s="117">
        <v>0</v>
      </c>
      <c r="D32" s="118">
        <v>0</v>
      </c>
      <c r="E32">
        <f t="shared" si="1"/>
        <v>0</v>
      </c>
      <c r="F32" s="26">
        <f t="shared" si="0"/>
        <v>0</v>
      </c>
    </row>
    <row r="33" spans="1:6">
      <c r="A33" s="116" t="s">
        <v>738</v>
      </c>
      <c r="B33" s="116"/>
      <c r="C33" s="117">
        <v>0</v>
      </c>
      <c r="D33" s="118">
        <v>0</v>
      </c>
      <c r="E33">
        <f t="shared" si="1"/>
        <v>0</v>
      </c>
      <c r="F33" s="26">
        <f t="shared" si="0"/>
        <v>0</v>
      </c>
    </row>
    <row r="34" spans="1:6">
      <c r="A34" s="116" t="s">
        <v>739</v>
      </c>
      <c r="B34" s="116"/>
      <c r="C34" s="117">
        <v>0</v>
      </c>
      <c r="D34" s="118">
        <v>0</v>
      </c>
      <c r="E34">
        <f t="shared" si="1"/>
        <v>0</v>
      </c>
      <c r="F34" s="26">
        <f t="shared" si="0"/>
        <v>0</v>
      </c>
    </row>
    <row r="35" spans="1:6">
      <c r="A35" s="116" t="s">
        <v>740</v>
      </c>
      <c r="B35" s="116"/>
      <c r="C35" s="117">
        <v>0</v>
      </c>
      <c r="D35" s="118">
        <v>0</v>
      </c>
      <c r="E35">
        <f t="shared" si="1"/>
        <v>0</v>
      </c>
      <c r="F35" s="26">
        <f t="shared" si="0"/>
        <v>0</v>
      </c>
    </row>
    <row r="36" spans="1:6">
      <c r="A36" s="116" t="s">
        <v>741</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742</v>
      </c>
      <c r="B38" s="116"/>
      <c r="C38" s="117">
        <v>0</v>
      </c>
      <c r="D38" s="118">
        <v>0</v>
      </c>
      <c r="E38">
        <f t="shared" si="1"/>
        <v>0</v>
      </c>
      <c r="F38" s="26">
        <f t="shared" si="0"/>
        <v>0</v>
      </c>
    </row>
    <row r="39" spans="1:6">
      <c r="A39" s="116" t="s">
        <v>743</v>
      </c>
      <c r="B39" s="116"/>
      <c r="C39" s="117">
        <v>0</v>
      </c>
      <c r="D39" s="118">
        <v>0</v>
      </c>
      <c r="E39">
        <f t="shared" si="1"/>
        <v>0</v>
      </c>
      <c r="F39" s="26">
        <f t="shared" si="0"/>
        <v>0</v>
      </c>
    </row>
    <row r="40" spans="1:6">
      <c r="A40" s="116" t="s">
        <v>744</v>
      </c>
      <c r="B40" s="116"/>
      <c r="C40" s="117">
        <v>0</v>
      </c>
      <c r="D40" s="118">
        <v>0</v>
      </c>
      <c r="E40">
        <f t="shared" si="1"/>
        <v>0</v>
      </c>
      <c r="F40" s="26">
        <f t="shared" si="0"/>
        <v>0</v>
      </c>
    </row>
    <row r="41" spans="1:6">
      <c r="A41" s="116" t="s">
        <v>745</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746</v>
      </c>
      <c r="B43" s="116"/>
      <c r="C43" s="117">
        <v>0</v>
      </c>
      <c r="D43" s="118">
        <v>0</v>
      </c>
      <c r="E43">
        <f t="shared" ref="E43:E57" si="2">+C43*D43</f>
        <v>0</v>
      </c>
      <c r="F43" s="26">
        <f t="shared" si="0"/>
        <v>0</v>
      </c>
    </row>
    <row r="44" spans="1:6">
      <c r="A44" s="116" t="s">
        <v>747</v>
      </c>
      <c r="B44" s="116"/>
      <c r="C44" s="117">
        <v>0</v>
      </c>
      <c r="D44" s="118">
        <v>0</v>
      </c>
      <c r="E44">
        <f t="shared" si="2"/>
        <v>0</v>
      </c>
      <c r="F44" s="26">
        <f t="shared" si="0"/>
        <v>0</v>
      </c>
    </row>
    <row r="45" spans="1:6">
      <c r="A45" s="116" t="s">
        <v>748</v>
      </c>
      <c r="B45" s="116">
        <v>6973242570225</v>
      </c>
      <c r="C45" s="117">
        <v>0</v>
      </c>
      <c r="D45" s="118">
        <v>49.97</v>
      </c>
      <c r="E45">
        <f t="shared" si="2"/>
        <v>0</v>
      </c>
      <c r="F45" s="26">
        <f>+E45*0.0725</f>
        <v>0</v>
      </c>
    </row>
    <row r="46" spans="1:6">
      <c r="A46" s="116" t="s">
        <v>749</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750</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751</v>
      </c>
      <c r="D1" s="32"/>
      <c r="E1" s="32"/>
      <c r="L1" s="790" t="s">
        <v>9</v>
      </c>
      <c r="M1" s="790" t="str">
        <f>IF(Profit!$Q$6,IF(N1,"Yes","No"),"No")</f>
        <v>No</v>
      </c>
      <c r="N1" s="792" t="b">
        <v>0</v>
      </c>
    </row>
    <row r="2" spans="1:15" s="3" customFormat="1" ht="15.75" thickBot="1">
      <c r="B2" s="3" t="s">
        <v>109</v>
      </c>
      <c r="C2" s="3" t="s">
        <v>430</v>
      </c>
      <c r="D2" s="3" t="s">
        <v>752</v>
      </c>
      <c r="E2" s="3" t="s">
        <v>753</v>
      </c>
      <c r="F2" s="3" t="s">
        <v>754</v>
      </c>
      <c r="G2" s="3" t="s">
        <v>431</v>
      </c>
      <c r="H2" s="8" t="s">
        <v>712</v>
      </c>
      <c r="I2" s="6" t="s">
        <v>713</v>
      </c>
      <c r="J2" s="13" t="s">
        <v>426</v>
      </c>
      <c r="K2" s="3" t="s">
        <v>714</v>
      </c>
      <c r="L2" s="791"/>
      <c r="M2" s="791"/>
      <c r="N2" s="793"/>
    </row>
    <row r="3" spans="1:15" s="3" customFormat="1">
      <c r="A3" s="330"/>
      <c r="B3" s="330"/>
      <c r="C3" s="330" t="s">
        <v>755</v>
      </c>
      <c r="D3" s="330"/>
      <c r="E3" s="136">
        <f>78+24</f>
        <v>102</v>
      </c>
      <c r="F3" s="330"/>
      <c r="G3" s="330"/>
      <c r="H3" s="331"/>
      <c r="I3" s="341"/>
      <c r="J3" s="332"/>
      <c r="L3"/>
      <c r="M3"/>
      <c r="N3" s="5"/>
    </row>
    <row r="4" spans="1:15" s="3" customFormat="1">
      <c r="C4" s="330" t="s">
        <v>756</v>
      </c>
      <c r="D4" s="325"/>
      <c r="E4" s="325"/>
      <c r="F4" s="325"/>
      <c r="G4" s="339"/>
      <c r="H4" s="333"/>
      <c r="I4" s="333"/>
      <c r="J4" s="334"/>
      <c r="L4"/>
      <c r="M4"/>
      <c r="N4" s="5"/>
    </row>
    <row r="5" spans="1:15" s="3" customFormat="1">
      <c r="A5" s="325" t="s">
        <v>757</v>
      </c>
      <c r="B5" s="325"/>
      <c r="C5" s="325" t="s">
        <v>758</v>
      </c>
      <c r="D5" s="325"/>
      <c r="E5" s="325"/>
      <c r="F5" s="325"/>
      <c r="G5" s="431">
        <f>0.76*$E$3*(1+M5)</f>
        <v>85.272000000000006</v>
      </c>
      <c r="H5" s="173">
        <v>3.75</v>
      </c>
      <c r="I5" s="333">
        <f>H5*G5</f>
        <v>319.77000000000004</v>
      </c>
      <c r="J5" s="334">
        <f t="shared" ref="J5" si="0">+I5*0.0725</f>
        <v>23.183325</v>
      </c>
      <c r="L5" s="2" t="s">
        <v>759</v>
      </c>
      <c r="M5" s="433">
        <v>0.1</v>
      </c>
      <c r="N5" s="5"/>
    </row>
    <row r="6" spans="1:15" s="3" customFormat="1">
      <c r="A6" s="325" t="s">
        <v>760</v>
      </c>
      <c r="B6" s="325"/>
      <c r="C6" s="325" t="s">
        <v>761</v>
      </c>
      <c r="D6" s="325"/>
      <c r="E6" s="325"/>
      <c r="F6" s="325"/>
      <c r="G6" s="431">
        <f>0.1*$E$3*(1+$M$5)</f>
        <v>11.220000000000002</v>
      </c>
      <c r="H6" s="173">
        <v>5.75</v>
      </c>
      <c r="I6" s="333">
        <f>H6*G6</f>
        <v>64.515000000000015</v>
      </c>
      <c r="J6" s="334">
        <f t="shared" ref="J6" si="1">+I6*0.0725</f>
        <v>4.677337500000001</v>
      </c>
      <c r="L6"/>
      <c r="M6"/>
      <c r="N6" s="5"/>
    </row>
    <row r="7" spans="1:15" s="3" customFormat="1">
      <c r="A7" s="325" t="s">
        <v>762</v>
      </c>
      <c r="B7" s="325"/>
      <c r="C7" s="325" t="s">
        <v>761</v>
      </c>
      <c r="D7" s="325"/>
      <c r="E7" s="325"/>
      <c r="F7" s="325"/>
      <c r="G7" s="431">
        <f>0.1*$E$3*(1+$M$5)*2</f>
        <v>22.440000000000005</v>
      </c>
      <c r="H7" s="173">
        <v>5.75</v>
      </c>
      <c r="I7" s="333">
        <f>H7*G7</f>
        <v>129.03000000000003</v>
      </c>
      <c r="J7" s="334">
        <f t="shared" ref="J7" si="2">+I7*0.0725</f>
        <v>9.3546750000000021</v>
      </c>
      <c r="L7"/>
      <c r="M7">
        <f>+M12/E3</f>
        <v>4.9019607843137254E-2</v>
      </c>
      <c r="N7" s="5"/>
    </row>
    <row r="8" spans="1:15" s="3" customFormat="1">
      <c r="A8" s="325" t="s">
        <v>763</v>
      </c>
      <c r="B8" s="325"/>
      <c r="C8" s="325" t="s">
        <v>764</v>
      </c>
      <c r="D8" s="325"/>
      <c r="E8" s="325"/>
      <c r="F8" s="325"/>
      <c r="G8" s="431">
        <v>68</v>
      </c>
      <c r="H8" s="173">
        <v>12.82</v>
      </c>
      <c r="I8" s="333">
        <f>H8*G8</f>
        <v>871.76</v>
      </c>
      <c r="J8" s="334">
        <f t="shared" ref="J8" si="3">+I8*0.0725</f>
        <v>63.202599999999997</v>
      </c>
      <c r="L8"/>
      <c r="M8"/>
      <c r="N8" s="5"/>
      <c r="O8" s="32" t="s">
        <v>765</v>
      </c>
    </row>
    <row r="9" spans="1:15" s="3" customFormat="1">
      <c r="A9" s="325" t="s">
        <v>766</v>
      </c>
      <c r="B9" s="325"/>
      <c r="C9" s="325" t="s">
        <v>764</v>
      </c>
      <c r="D9" s="325"/>
      <c r="E9" s="325"/>
      <c r="F9" s="325"/>
      <c r="G9" s="431">
        <v>25</v>
      </c>
      <c r="H9" s="173">
        <v>12.82</v>
      </c>
      <c r="I9" s="333">
        <f t="shared" ref="I9:I10" si="4">H9*G9</f>
        <v>320.5</v>
      </c>
      <c r="J9" s="334">
        <f t="shared" ref="J9:J10" si="5">+I9*0.0725</f>
        <v>23.236249999999998</v>
      </c>
      <c r="L9"/>
      <c r="M9"/>
      <c r="N9" s="5"/>
      <c r="O9" s="32"/>
    </row>
    <row r="10" spans="1:15" s="3" customFormat="1">
      <c r="A10" s="325" t="s">
        <v>767</v>
      </c>
      <c r="B10" s="325"/>
      <c r="C10" s="325" t="s">
        <v>764</v>
      </c>
      <c r="D10" s="325"/>
      <c r="E10" s="325"/>
      <c r="F10" s="325"/>
      <c r="G10" s="431">
        <f>580/12.82</f>
        <v>45.241809672386893</v>
      </c>
      <c r="H10" s="173">
        <v>12.82</v>
      </c>
      <c r="I10" s="333">
        <f t="shared" si="4"/>
        <v>580</v>
      </c>
      <c r="J10" s="334">
        <f t="shared" si="5"/>
        <v>42.05</v>
      </c>
      <c r="L10"/>
      <c r="M10"/>
      <c r="N10" s="5"/>
      <c r="O10" s="32"/>
    </row>
    <row r="11" spans="1:15" s="3" customFormat="1">
      <c r="A11" s="325"/>
      <c r="B11" s="325"/>
      <c r="C11" s="325"/>
      <c r="D11" s="325"/>
      <c r="E11" s="325"/>
      <c r="F11" s="325"/>
      <c r="G11" s="431"/>
      <c r="H11" s="173"/>
      <c r="I11" s="333"/>
      <c r="J11" s="334"/>
      <c r="L11"/>
      <c r="M11"/>
      <c r="N11" s="5"/>
      <c r="O11" s="32"/>
    </row>
    <row r="12" spans="1:15" s="3" customFormat="1">
      <c r="A12" s="325"/>
      <c r="B12" s="325"/>
      <c r="C12" s="325"/>
      <c r="D12" s="325"/>
      <c r="E12" s="325"/>
      <c r="F12" s="325"/>
      <c r="G12" s="339"/>
      <c r="H12" s="333"/>
      <c r="I12" s="333"/>
      <c r="J12" s="334"/>
      <c r="L12"/>
      <c r="M12">
        <v>5</v>
      </c>
      <c r="N12" s="5"/>
    </row>
    <row r="13" spans="1:15" s="3" customFormat="1">
      <c r="A13" s="325"/>
      <c r="B13" s="325"/>
      <c r="C13" s="330" t="s">
        <v>768</v>
      </c>
      <c r="D13" s="325" t="s">
        <v>769</v>
      </c>
      <c r="E13" s="136">
        <v>14</v>
      </c>
      <c r="F13" s="325"/>
      <c r="G13" s="339"/>
      <c r="H13" s="333"/>
      <c r="I13" s="333"/>
      <c r="J13" s="334"/>
      <c r="L13"/>
      <c r="M13"/>
      <c r="N13" s="5"/>
    </row>
    <row r="14" spans="1:15" s="3" customFormat="1">
      <c r="A14" s="325" t="s">
        <v>770</v>
      </c>
      <c r="B14" s="325"/>
      <c r="C14" s="325" t="s">
        <v>758</v>
      </c>
      <c r="D14" s="325"/>
      <c r="E14" s="325"/>
      <c r="F14" s="325"/>
      <c r="G14" s="431">
        <f>2*$E$13*(1+$M$5)</f>
        <v>30.800000000000004</v>
      </c>
      <c r="H14" s="173">
        <v>3.75</v>
      </c>
      <c r="I14" s="333">
        <f>H14*G14</f>
        <v>115.50000000000001</v>
      </c>
      <c r="J14" s="334">
        <f t="shared" ref="J14" si="6">+I14*0.0725</f>
        <v>8.3737500000000011</v>
      </c>
      <c r="L14"/>
      <c r="M14"/>
      <c r="N14" s="5"/>
    </row>
    <row r="15" spans="1:15" s="3" customFormat="1">
      <c r="A15" s="325" t="s">
        <v>771</v>
      </c>
      <c r="B15" s="325"/>
      <c r="C15" s="325" t="s">
        <v>758</v>
      </c>
      <c r="D15" s="325"/>
      <c r="E15" s="325"/>
      <c r="F15" s="325"/>
      <c r="G15" s="431">
        <f>2*$E$13*(1+$M$5)</f>
        <v>30.800000000000004</v>
      </c>
      <c r="H15" s="173">
        <v>3.75</v>
      </c>
      <c r="I15" s="333">
        <f t="shared" ref="I15:I17" si="7">H15*G15</f>
        <v>115.50000000000001</v>
      </c>
      <c r="J15" s="334">
        <f t="shared" ref="J15:J17" si="8">+I15*0.0725</f>
        <v>8.3737500000000011</v>
      </c>
      <c r="L15"/>
      <c r="M15"/>
      <c r="N15" s="5"/>
    </row>
    <row r="16" spans="1:15" s="3" customFormat="1">
      <c r="A16" s="325" t="s">
        <v>772</v>
      </c>
      <c r="B16" s="325"/>
      <c r="C16" s="325" t="s">
        <v>773</v>
      </c>
      <c r="D16" s="325"/>
      <c r="E16" s="325"/>
      <c r="F16" s="325"/>
      <c r="G16" s="431">
        <f>1*$E$13*(1+$M$5)</f>
        <v>15.400000000000002</v>
      </c>
      <c r="H16" s="173">
        <v>5</v>
      </c>
      <c r="I16" s="333">
        <f t="shared" si="7"/>
        <v>77.000000000000014</v>
      </c>
      <c r="J16" s="334">
        <f t="shared" si="8"/>
        <v>5.5825000000000005</v>
      </c>
      <c r="L16"/>
      <c r="M16"/>
      <c r="N16" s="5"/>
    </row>
    <row r="17" spans="1:14" s="3" customFormat="1">
      <c r="A17" s="325" t="s">
        <v>774</v>
      </c>
      <c r="B17" s="325"/>
      <c r="C17" s="325" t="s">
        <v>758</v>
      </c>
      <c r="D17" s="325"/>
      <c r="E17" s="325"/>
      <c r="F17" s="325"/>
      <c r="G17" s="431">
        <f>0.5*$E$13*(1+$M$5)</f>
        <v>7.7000000000000011</v>
      </c>
      <c r="H17" s="173">
        <v>3.75</v>
      </c>
      <c r="I17" s="333">
        <f t="shared" si="7"/>
        <v>28.875000000000004</v>
      </c>
      <c r="J17" s="334">
        <f t="shared" si="8"/>
        <v>2.0934375000000003</v>
      </c>
      <c r="L17"/>
      <c r="M17"/>
      <c r="N17" s="5"/>
    </row>
    <row r="18" spans="1:14" s="3" customFormat="1">
      <c r="A18" s="325"/>
      <c r="B18" s="325"/>
      <c r="C18" s="325"/>
      <c r="D18" s="325"/>
      <c r="E18" s="325"/>
      <c r="F18" s="325"/>
      <c r="G18" s="339"/>
      <c r="H18" s="333"/>
      <c r="I18" s="333"/>
      <c r="J18" s="334"/>
      <c r="L18"/>
      <c r="M18"/>
      <c r="N18" s="5"/>
    </row>
    <row r="19" spans="1:14" s="3" customFormat="1">
      <c r="A19" s="325"/>
      <c r="B19" s="325"/>
      <c r="C19" s="330" t="s">
        <v>775</v>
      </c>
      <c r="D19" s="325" t="s">
        <v>769</v>
      </c>
      <c r="E19" s="136">
        <v>0</v>
      </c>
      <c r="F19" s="325"/>
      <c r="G19" s="339"/>
      <c r="H19" s="333"/>
      <c r="I19" s="333"/>
      <c r="J19" s="334"/>
      <c r="L19"/>
      <c r="M19"/>
      <c r="N19" s="5"/>
    </row>
    <row r="20" spans="1:14" s="3" customFormat="1">
      <c r="A20" s="325" t="s">
        <v>770</v>
      </c>
      <c r="B20" s="325"/>
      <c r="C20" s="325" t="s">
        <v>758</v>
      </c>
      <c r="D20" s="325"/>
      <c r="E20" s="325"/>
      <c r="F20" s="325"/>
      <c r="G20" s="431">
        <f>2*$E$19*(1+$M$5)</f>
        <v>0</v>
      </c>
      <c r="H20" s="173">
        <v>3.75</v>
      </c>
      <c r="I20" s="333">
        <f>H20*G20</f>
        <v>0</v>
      </c>
      <c r="J20" s="334">
        <f t="shared" ref="J20:J23" si="9">+I20*0.0725</f>
        <v>0</v>
      </c>
      <c r="L20"/>
      <c r="M20"/>
      <c r="N20" s="5"/>
    </row>
    <row r="21" spans="1:14" s="3" customFormat="1">
      <c r="A21" s="325" t="s">
        <v>771</v>
      </c>
      <c r="B21" s="325"/>
      <c r="C21" s="325" t="s">
        <v>758</v>
      </c>
      <c r="D21" s="325"/>
      <c r="E21" s="325"/>
      <c r="F21" s="325"/>
      <c r="G21" s="431">
        <f>2*$E$19*(1+$M$5)</f>
        <v>0</v>
      </c>
      <c r="H21" s="173">
        <v>3.75</v>
      </c>
      <c r="I21" s="333">
        <f t="shared" ref="I21:I23" si="10">H21*G21</f>
        <v>0</v>
      </c>
      <c r="J21" s="334">
        <f t="shared" si="9"/>
        <v>0</v>
      </c>
      <c r="L21"/>
      <c r="M21"/>
      <c r="N21" s="5"/>
    </row>
    <row r="22" spans="1:14" s="3" customFormat="1">
      <c r="A22" s="325" t="s">
        <v>772</v>
      </c>
      <c r="B22" s="325"/>
      <c r="C22" s="325" t="s">
        <v>773</v>
      </c>
      <c r="D22" s="325"/>
      <c r="E22" s="325"/>
      <c r="F22" s="325"/>
      <c r="G22" s="431">
        <f>2*$E$19*(1+$M$5)</f>
        <v>0</v>
      </c>
      <c r="H22" s="173">
        <v>5</v>
      </c>
      <c r="I22" s="333">
        <f t="shared" si="10"/>
        <v>0</v>
      </c>
      <c r="J22" s="334">
        <f t="shared" si="9"/>
        <v>0</v>
      </c>
      <c r="L22"/>
      <c r="M22"/>
      <c r="N22" s="5"/>
    </row>
    <row r="23" spans="1:14" s="3" customFormat="1">
      <c r="A23" s="325" t="s">
        <v>774</v>
      </c>
      <c r="B23" s="325"/>
      <c r="C23" s="325" t="s">
        <v>758</v>
      </c>
      <c r="D23" s="325"/>
      <c r="E23" s="325"/>
      <c r="F23" s="325"/>
      <c r="G23" s="431">
        <f>2*$E$19*(1+$M$5)</f>
        <v>0</v>
      </c>
      <c r="H23" s="173">
        <v>3.75</v>
      </c>
      <c r="I23" s="333">
        <f t="shared" si="10"/>
        <v>0</v>
      </c>
      <c r="J23" s="334">
        <f t="shared" si="9"/>
        <v>0</v>
      </c>
      <c r="L23"/>
      <c r="M23"/>
      <c r="N23" s="5"/>
    </row>
    <row r="24" spans="1:14" s="3" customFormat="1">
      <c r="A24" s="325"/>
      <c r="B24" s="325"/>
      <c r="C24" s="325"/>
      <c r="D24" s="325"/>
      <c r="E24" s="325"/>
      <c r="F24" s="325"/>
      <c r="G24" s="339"/>
      <c r="H24" s="333"/>
      <c r="I24" s="333"/>
      <c r="J24" s="334"/>
      <c r="L24"/>
      <c r="M24"/>
      <c r="N24" s="5"/>
    </row>
    <row r="25" spans="1:14" s="3" customFormat="1">
      <c r="A25" s="325"/>
      <c r="B25" s="325"/>
      <c r="C25" s="330" t="s">
        <v>505</v>
      </c>
      <c r="D25" s="325" t="s">
        <v>776</v>
      </c>
      <c r="E25" s="136">
        <v>10</v>
      </c>
      <c r="F25" s="325"/>
      <c r="G25" s="339"/>
      <c r="H25" s="333"/>
      <c r="I25" s="333"/>
      <c r="J25" s="334"/>
      <c r="L25"/>
      <c r="M25"/>
      <c r="N25" s="5"/>
    </row>
    <row r="26" spans="1:14" s="3" customFormat="1">
      <c r="A26" s="325"/>
      <c r="B26" s="325"/>
      <c r="C26" s="325"/>
      <c r="D26" s="325" t="s">
        <v>777</v>
      </c>
      <c r="E26" s="136">
        <v>14</v>
      </c>
      <c r="F26" s="325"/>
      <c r="G26" s="431"/>
      <c r="H26" s="333"/>
      <c r="I26" s="333"/>
      <c r="J26" s="334"/>
      <c r="L26"/>
      <c r="M26"/>
      <c r="N26" s="5"/>
    </row>
    <row r="27" spans="1:14" s="3" customFormat="1">
      <c r="A27" s="325"/>
      <c r="B27" s="325"/>
      <c r="C27" s="325"/>
      <c r="D27" s="325" t="s">
        <v>778</v>
      </c>
      <c r="E27" s="434">
        <v>2</v>
      </c>
      <c r="F27" s="325"/>
      <c r="G27" s="431"/>
      <c r="H27" s="333"/>
      <c r="I27" s="333"/>
      <c r="J27" s="334"/>
      <c r="L27"/>
      <c r="M27"/>
      <c r="N27" s="5"/>
    </row>
    <row r="28" spans="1:14" s="3" customFormat="1">
      <c r="A28" s="325" t="s">
        <v>779</v>
      </c>
      <c r="B28" s="325"/>
      <c r="C28" s="325" t="s">
        <v>780</v>
      </c>
      <c r="D28" s="325"/>
      <c r="E28" s="325"/>
      <c r="F28" s="325"/>
      <c r="G28" s="431">
        <f>+E26*(1+$M$5)</f>
        <v>15.400000000000002</v>
      </c>
      <c r="H28" s="173">
        <v>10</v>
      </c>
      <c r="I28" s="333">
        <f t="shared" ref="I28:I30" si="11">H28*G28</f>
        <v>154.00000000000003</v>
      </c>
      <c r="J28" s="334">
        <f t="shared" ref="J28:J30" si="12">+I28*0.0725</f>
        <v>11.165000000000001</v>
      </c>
      <c r="L28"/>
      <c r="M28"/>
      <c r="N28" s="5"/>
    </row>
    <row r="29" spans="1:14" s="3" customFormat="1">
      <c r="A29" s="325" t="s">
        <v>781</v>
      </c>
      <c r="B29" s="325"/>
      <c r="C29" s="325" t="s">
        <v>782</v>
      </c>
      <c r="D29" s="325"/>
      <c r="E29" s="325"/>
      <c r="F29" s="325"/>
      <c r="G29" s="431">
        <f>+E25*(1+$M$5)</f>
        <v>11</v>
      </c>
      <c r="H29" s="173">
        <v>20</v>
      </c>
      <c r="I29" s="333">
        <f t="shared" si="11"/>
        <v>220</v>
      </c>
      <c r="J29" s="334">
        <f t="shared" si="12"/>
        <v>15.95</v>
      </c>
      <c r="L29"/>
      <c r="M29"/>
      <c r="N29" s="5"/>
    </row>
    <row r="30" spans="1:14" s="3" customFormat="1">
      <c r="A30" s="325" t="s">
        <v>783</v>
      </c>
      <c r="B30" s="325"/>
      <c r="C30" s="325" t="s">
        <v>784</v>
      </c>
      <c r="D30" s="325"/>
      <c r="E30" s="325"/>
      <c r="F30" s="325"/>
      <c r="G30" s="431">
        <f>+E25*E26/(10/2)*(1+$M$5)</f>
        <v>30.800000000000004</v>
      </c>
      <c r="H30" s="173">
        <v>7</v>
      </c>
      <c r="I30" s="333">
        <f t="shared" si="11"/>
        <v>215.60000000000002</v>
      </c>
      <c r="J30" s="334">
        <f t="shared" si="12"/>
        <v>15.631</v>
      </c>
      <c r="L30"/>
      <c r="M30"/>
      <c r="N30" s="5"/>
    </row>
    <row r="31" spans="1:14" s="3" customFormat="1">
      <c r="A31" s="325" t="s">
        <v>785</v>
      </c>
      <c r="B31" s="325"/>
      <c r="C31" s="325" t="s">
        <v>786</v>
      </c>
      <c r="D31" s="325"/>
      <c r="E31" s="325"/>
      <c r="F31" s="325"/>
      <c r="G31" s="431">
        <f>1.5*$E$27</f>
        <v>3</v>
      </c>
      <c r="H31" s="173">
        <v>12</v>
      </c>
      <c r="I31" s="333">
        <f t="shared" ref="I31" si="13">H31*G31</f>
        <v>36</v>
      </c>
      <c r="J31" s="334">
        <f t="shared" ref="J31" si="14">+I31*0.0725</f>
        <v>2.61</v>
      </c>
      <c r="L31"/>
      <c r="M31"/>
      <c r="N31" s="5"/>
    </row>
    <row r="32" spans="1:14" s="3" customFormat="1">
      <c r="A32" s="325" t="s">
        <v>787</v>
      </c>
      <c r="B32" s="325"/>
      <c r="C32" s="325" t="s">
        <v>782</v>
      </c>
      <c r="D32" s="325"/>
      <c r="E32" s="325"/>
      <c r="F32" s="325"/>
      <c r="G32" s="431">
        <f>+E26/14</f>
        <v>1</v>
      </c>
      <c r="H32" s="173">
        <v>20</v>
      </c>
      <c r="I32" s="333">
        <f t="shared" ref="I32:I34" si="15">H32*G32</f>
        <v>20</v>
      </c>
      <c r="J32" s="334">
        <f t="shared" ref="J32:J34" si="16">+I32*0.0725</f>
        <v>1.45</v>
      </c>
      <c r="L32"/>
      <c r="M32"/>
      <c r="N32" s="5"/>
    </row>
    <row r="33" spans="1:14" s="3" customFormat="1">
      <c r="A33" s="325" t="s">
        <v>444</v>
      </c>
      <c r="B33" s="325"/>
      <c r="C33" s="325" t="s">
        <v>788</v>
      </c>
      <c r="D33" s="325"/>
      <c r="E33" s="325"/>
      <c r="F33" s="325"/>
      <c r="G33" s="431">
        <f>+G31*2*2.5</f>
        <v>15</v>
      </c>
      <c r="H33" s="173">
        <v>6</v>
      </c>
      <c r="I33" s="333">
        <f t="shared" si="15"/>
        <v>90</v>
      </c>
      <c r="J33" s="334">
        <f t="shared" si="16"/>
        <v>6.5249999999999995</v>
      </c>
      <c r="L33"/>
      <c r="M33"/>
      <c r="N33" s="5"/>
    </row>
    <row r="34" spans="1:14" s="3" customFormat="1">
      <c r="A34" s="325" t="s">
        <v>789</v>
      </c>
      <c r="B34" s="325"/>
      <c r="C34" s="325" t="s">
        <v>790</v>
      </c>
      <c r="D34" s="325"/>
      <c r="E34" s="325"/>
      <c r="F34" s="325"/>
      <c r="G34" s="431">
        <v>1</v>
      </c>
      <c r="H34" s="173">
        <v>100</v>
      </c>
      <c r="I34" s="333">
        <f t="shared" si="15"/>
        <v>100</v>
      </c>
      <c r="J34" s="334">
        <f t="shared" si="16"/>
        <v>7.2499999999999991</v>
      </c>
      <c r="L34"/>
      <c r="M34"/>
      <c r="N34" s="5"/>
    </row>
    <row r="35" spans="1:14" s="3" customFormat="1">
      <c r="A35" s="325"/>
      <c r="B35" s="325"/>
      <c r="C35" s="325"/>
      <c r="D35" s="325" t="s">
        <v>791</v>
      </c>
      <c r="E35" s="136">
        <v>24</v>
      </c>
      <c r="F35" s="325"/>
      <c r="G35" s="431"/>
      <c r="H35" s="333"/>
      <c r="I35" s="333"/>
      <c r="J35" s="334"/>
      <c r="L35"/>
      <c r="M35"/>
      <c r="N35" s="5"/>
    </row>
    <row r="36" spans="1:14" s="3" customFormat="1">
      <c r="A36" s="325"/>
      <c r="B36" s="325"/>
      <c r="C36" s="330" t="s">
        <v>792</v>
      </c>
      <c r="D36" s="325"/>
      <c r="E36" s="325"/>
      <c r="F36" s="325"/>
      <c r="G36" s="431"/>
      <c r="H36" s="333"/>
      <c r="I36" s="333"/>
      <c r="J36" s="334"/>
      <c r="L36"/>
      <c r="M36"/>
      <c r="N36" s="5"/>
    </row>
    <row r="37" spans="1:14" s="3" customFormat="1">
      <c r="A37" s="325" t="s">
        <v>793</v>
      </c>
      <c r="B37" s="325"/>
      <c r="C37" s="325" t="s">
        <v>794</v>
      </c>
      <c r="D37" s="325"/>
      <c r="E37" s="325"/>
      <c r="F37" s="325"/>
      <c r="G37" s="431">
        <f>2*$E$35/12</f>
        <v>4</v>
      </c>
      <c r="H37" s="173">
        <v>7.5</v>
      </c>
      <c r="I37" s="333">
        <f t="shared" ref="I37:I39" si="17">H37*G37</f>
        <v>30</v>
      </c>
      <c r="J37" s="334">
        <f t="shared" ref="J37:J39" si="18">+I37*0.0725</f>
        <v>2.1749999999999998</v>
      </c>
      <c r="L37"/>
      <c r="M37"/>
      <c r="N37" s="5"/>
    </row>
    <row r="38" spans="1:14" s="3" customFormat="1">
      <c r="A38" s="325" t="s">
        <v>795</v>
      </c>
      <c r="B38" s="325"/>
      <c r="C38" s="325" t="s">
        <v>796</v>
      </c>
      <c r="D38" s="325"/>
      <c r="E38" s="325"/>
      <c r="F38" s="325"/>
      <c r="G38" s="431">
        <f>2.5*$E$35</f>
        <v>60</v>
      </c>
      <c r="H38" s="173">
        <v>1.5</v>
      </c>
      <c r="I38" s="333">
        <f t="shared" si="17"/>
        <v>90</v>
      </c>
      <c r="J38" s="334">
        <f t="shared" si="18"/>
        <v>6.5249999999999995</v>
      </c>
      <c r="L38"/>
      <c r="M38"/>
      <c r="N38" s="5"/>
    </row>
    <row r="39" spans="1:14" s="3" customFormat="1">
      <c r="A39" s="325" t="s">
        <v>797</v>
      </c>
      <c r="B39" s="325"/>
      <c r="C39" s="325" t="s">
        <v>798</v>
      </c>
      <c r="D39" s="325"/>
      <c r="E39" s="325"/>
      <c r="F39" s="325"/>
      <c r="G39" s="431">
        <f>$E$35/6</f>
        <v>4</v>
      </c>
      <c r="H39" s="173">
        <v>12</v>
      </c>
      <c r="I39" s="333">
        <f t="shared" si="17"/>
        <v>48</v>
      </c>
      <c r="J39" s="334">
        <f t="shared" si="18"/>
        <v>3.4799999999999995</v>
      </c>
      <c r="L39"/>
      <c r="M39"/>
      <c r="N39" s="5"/>
    </row>
    <row r="40" spans="1:14" s="3" customFormat="1">
      <c r="A40" s="325"/>
      <c r="B40" s="325"/>
      <c r="C40" s="325"/>
      <c r="D40" s="325" t="s">
        <v>799</v>
      </c>
      <c r="E40" s="136">
        <v>1</v>
      </c>
      <c r="F40" s="325"/>
      <c r="G40" s="431"/>
      <c r="H40" s="333"/>
      <c r="I40" s="333"/>
      <c r="J40" s="334"/>
      <c r="L40"/>
      <c r="M40"/>
      <c r="N40" s="5"/>
    </row>
    <row r="41" spans="1:14" s="3" customFormat="1" ht="14.25" customHeight="1">
      <c r="A41" s="325"/>
      <c r="B41" s="325"/>
      <c r="C41" s="325"/>
      <c r="D41" s="325" t="s">
        <v>800</v>
      </c>
      <c r="E41" s="136">
        <v>4</v>
      </c>
      <c r="F41" s="325"/>
      <c r="G41" s="431"/>
      <c r="H41" s="333"/>
      <c r="I41" s="333"/>
      <c r="J41" s="334"/>
      <c r="L41"/>
      <c r="M41"/>
      <c r="N41" s="5"/>
    </row>
    <row r="42" spans="1:14" s="3" customFormat="1" ht="14.25" customHeight="1">
      <c r="A42" s="325"/>
      <c r="B42" s="325"/>
      <c r="C42" s="325"/>
      <c r="D42" s="325" t="s">
        <v>801</v>
      </c>
      <c r="E42" s="434">
        <v>3</v>
      </c>
      <c r="F42" s="325"/>
      <c r="G42" s="431"/>
      <c r="H42" s="333"/>
      <c r="I42" s="333"/>
      <c r="J42" s="334"/>
      <c r="L42"/>
      <c r="M42"/>
      <c r="N42" s="5"/>
    </row>
    <row r="43" spans="1:14" s="3" customFormat="1" ht="14.25" customHeight="1">
      <c r="A43" s="325"/>
      <c r="B43" s="325"/>
      <c r="C43" s="330" t="s">
        <v>802</v>
      </c>
      <c r="D43" s="325"/>
      <c r="E43" s="325"/>
      <c r="F43" s="325"/>
      <c r="G43" s="431"/>
      <c r="H43" s="333"/>
      <c r="I43" s="333"/>
      <c r="J43" s="334"/>
      <c r="L43"/>
      <c r="M43"/>
      <c r="N43" s="5"/>
    </row>
    <row r="44" spans="1:14" s="3" customFormat="1" ht="14.25" customHeight="1">
      <c r="A44" s="325" t="s">
        <v>803</v>
      </c>
      <c r="B44" s="325"/>
      <c r="C44" s="325" t="s">
        <v>804</v>
      </c>
      <c r="D44" s="325"/>
      <c r="E44" s="325"/>
      <c r="F44" s="325"/>
      <c r="G44" s="431">
        <f>+(E41/2) + 1</f>
        <v>3</v>
      </c>
      <c r="H44" s="173">
        <v>18</v>
      </c>
      <c r="I44" s="333">
        <f t="shared" ref="I44:I46" si="19">H44*G44</f>
        <v>54</v>
      </c>
      <c r="J44" s="334">
        <f t="shared" ref="J44:J46" si="20">+I44*0.0725</f>
        <v>3.9149999999999996</v>
      </c>
      <c r="L44"/>
      <c r="M44"/>
      <c r="N44" s="5"/>
    </row>
    <row r="45" spans="1:14" s="3" customFormat="1" ht="14.25" customHeight="1">
      <c r="A45" s="325" t="s">
        <v>805</v>
      </c>
      <c r="B45" s="325"/>
      <c r="C45" s="325" t="s">
        <v>806</v>
      </c>
      <c r="D45" s="325"/>
      <c r="E45" s="325"/>
      <c r="F45" s="325"/>
      <c r="G45" s="431">
        <f>2*E42*E41/10</f>
        <v>2.4</v>
      </c>
      <c r="H45" s="173">
        <v>7</v>
      </c>
      <c r="I45" s="333">
        <f t="shared" si="19"/>
        <v>16.8</v>
      </c>
      <c r="J45" s="334">
        <f t="shared" si="20"/>
        <v>1.218</v>
      </c>
      <c r="L45"/>
      <c r="M45"/>
      <c r="N45" s="5"/>
    </row>
    <row r="46" spans="1:14" s="3" customFormat="1" ht="14.25" customHeight="1">
      <c r="A46" s="325" t="s">
        <v>807</v>
      </c>
      <c r="B46" s="325"/>
      <c r="C46" s="325" t="s">
        <v>808</v>
      </c>
      <c r="D46" s="325"/>
      <c r="E46" s="325"/>
      <c r="F46" s="325"/>
      <c r="G46" s="431">
        <f>+E42*E41/8</f>
        <v>1.5</v>
      </c>
      <c r="H46" s="173">
        <v>10</v>
      </c>
      <c r="I46" s="333">
        <f t="shared" si="19"/>
        <v>15</v>
      </c>
      <c r="J46" s="334">
        <f t="shared" si="20"/>
        <v>1.0874999999999999</v>
      </c>
      <c r="L46"/>
      <c r="M46"/>
      <c r="N46" s="5"/>
    </row>
    <row r="47" spans="1:14" s="3" customFormat="1" ht="14.25" customHeight="1">
      <c r="A47" s="325"/>
      <c r="B47" s="325"/>
      <c r="C47" s="325"/>
      <c r="D47" s="325"/>
      <c r="E47" s="325"/>
      <c r="F47" s="325"/>
      <c r="G47" s="431"/>
      <c r="H47" s="173"/>
      <c r="I47" s="333"/>
      <c r="J47" s="334"/>
      <c r="L47"/>
      <c r="M47"/>
      <c r="N47" s="5"/>
    </row>
    <row r="48" spans="1:14" s="3" customFormat="1" ht="14.25" customHeight="1">
      <c r="A48" s="325"/>
      <c r="B48" s="325"/>
      <c r="C48" s="330" t="s">
        <v>463</v>
      </c>
      <c r="D48" s="325"/>
      <c r="E48" s="325"/>
      <c r="F48" s="325"/>
      <c r="G48" s="431"/>
      <c r="H48" s="173"/>
      <c r="I48" s="333"/>
      <c r="J48" s="334"/>
      <c r="L48"/>
      <c r="M48"/>
      <c r="N48" s="5"/>
    </row>
    <row r="49" spans="1:14" s="3" customFormat="1" ht="14.25" customHeight="1">
      <c r="A49" s="325" t="s">
        <v>809</v>
      </c>
      <c r="B49" s="325"/>
      <c r="C49" s="325" t="s">
        <v>810</v>
      </c>
      <c r="D49" s="325"/>
      <c r="E49" s="325"/>
      <c r="F49" s="325"/>
      <c r="G49" s="431">
        <f>+G6</f>
        <v>11.220000000000002</v>
      </c>
      <c r="H49" s="173">
        <v>6.42</v>
      </c>
      <c r="I49" s="333">
        <f t="shared" ref="I49" si="21">H49*G49</f>
        <v>72.03240000000001</v>
      </c>
      <c r="J49" s="334">
        <f t="shared" ref="J49" si="22">+I49*0.0725</f>
        <v>5.2223490000000004</v>
      </c>
      <c r="L49" t="s">
        <v>811</v>
      </c>
      <c r="M49"/>
      <c r="N49" s="5"/>
    </row>
    <row r="50" spans="1:14" s="3" customFormat="1" ht="14.25" customHeight="1">
      <c r="A50" s="325" t="s">
        <v>812</v>
      </c>
      <c r="B50" s="325"/>
      <c r="C50" s="325" t="s">
        <v>813</v>
      </c>
      <c r="D50" s="325"/>
      <c r="E50" s="325"/>
      <c r="F50" s="325"/>
      <c r="G50" s="431">
        <f>+G6/10</f>
        <v>1.1220000000000003</v>
      </c>
      <c r="H50" s="173">
        <v>92.65</v>
      </c>
      <c r="I50" s="333">
        <f>H50*G50</f>
        <v>103.95330000000004</v>
      </c>
      <c r="J50" s="334">
        <f>+I50*0.0725</f>
        <v>7.5366142500000022</v>
      </c>
      <c r="L50"/>
      <c r="M50"/>
      <c r="N50" s="5"/>
    </row>
    <row r="51" spans="1:14" s="3" customFormat="1" ht="14.25" customHeight="1">
      <c r="A51" s="325"/>
      <c r="B51" s="325"/>
      <c r="C51" s="325"/>
      <c r="D51" s="325"/>
      <c r="E51" s="325"/>
      <c r="F51" s="325"/>
      <c r="G51" s="431"/>
      <c r="H51" s="173"/>
      <c r="I51" s="333"/>
      <c r="J51" s="334"/>
      <c r="L51"/>
      <c r="M51"/>
      <c r="N51" s="5"/>
    </row>
    <row r="52" spans="1:14" s="3" customFormat="1" ht="14.25" customHeight="1">
      <c r="A52" s="325"/>
      <c r="B52" s="325"/>
      <c r="C52" s="325" t="s">
        <v>814</v>
      </c>
      <c r="D52" s="325"/>
      <c r="E52" s="325"/>
      <c r="F52" s="325"/>
      <c r="G52" s="431"/>
      <c r="H52" s="173"/>
      <c r="I52" s="333"/>
      <c r="J52" s="334"/>
      <c r="L52"/>
      <c r="M52"/>
      <c r="N52" s="5"/>
    </row>
    <row r="53" spans="1:14" s="3" customFormat="1" ht="14.25" customHeight="1">
      <c r="A53" s="325"/>
      <c r="B53" s="325"/>
      <c r="C53" s="325"/>
      <c r="D53" s="325"/>
      <c r="E53" s="325"/>
      <c r="F53" s="325"/>
      <c r="G53" s="431"/>
      <c r="H53" s="173"/>
      <c r="I53" s="333"/>
      <c r="J53" s="334"/>
      <c r="L53"/>
      <c r="M53"/>
      <c r="N53" s="5"/>
    </row>
    <row r="54" spans="1:14" s="3" customFormat="1" ht="14.25" customHeight="1">
      <c r="A54" s="325"/>
      <c r="B54" s="325"/>
      <c r="C54" s="325"/>
      <c r="D54" s="325"/>
      <c r="E54" s="325"/>
      <c r="F54" s="325"/>
      <c r="G54" s="431"/>
      <c r="H54" s="173"/>
      <c r="I54" s="333"/>
      <c r="J54" s="334"/>
      <c r="L54"/>
      <c r="M54"/>
      <c r="N54" s="5"/>
    </row>
    <row r="55" spans="1:14" s="3" customFormat="1" ht="14.25" customHeight="1">
      <c r="A55" s="325"/>
      <c r="B55" s="325"/>
      <c r="C55" s="325"/>
      <c r="D55" s="325"/>
      <c r="E55" s="325"/>
      <c r="F55" s="325"/>
      <c r="G55" s="431"/>
      <c r="H55" s="173"/>
      <c r="I55" s="333"/>
      <c r="J55" s="334"/>
      <c r="L55"/>
      <c r="M55"/>
      <c r="N55" s="5"/>
    </row>
    <row r="56" spans="1:14" s="3" customFormat="1" ht="14.25" customHeight="1">
      <c r="A56" s="325"/>
      <c r="B56" s="325"/>
      <c r="C56" s="325"/>
      <c r="D56" s="325"/>
      <c r="E56" s="325"/>
      <c r="F56" s="325"/>
      <c r="G56" s="431"/>
      <c r="H56" s="173"/>
      <c r="I56" s="333"/>
      <c r="J56" s="334"/>
      <c r="L56"/>
      <c r="M56"/>
      <c r="N56" s="5"/>
    </row>
    <row r="57" spans="1:14" s="3" customFormat="1" ht="14.25" customHeight="1">
      <c r="A57" s="325"/>
      <c r="B57" s="325"/>
      <c r="C57" s="325"/>
      <c r="D57" s="325"/>
      <c r="E57" s="325"/>
      <c r="F57" s="325"/>
      <c r="G57" s="431"/>
      <c r="H57" s="173"/>
      <c r="I57" s="333"/>
      <c r="J57" s="334"/>
      <c r="L57"/>
      <c r="M57"/>
      <c r="N57" s="5"/>
    </row>
    <row r="58" spans="1:14" s="3" customFormat="1" ht="14.25" customHeight="1">
      <c r="A58" s="325"/>
      <c r="B58" s="325"/>
      <c r="C58" s="325" t="s">
        <v>815</v>
      </c>
      <c r="D58" s="325"/>
      <c r="E58" s="325"/>
      <c r="F58" s="325"/>
      <c r="G58" s="431"/>
      <c r="H58" s="173"/>
      <c r="I58" s="333"/>
      <c r="J58" s="334"/>
      <c r="L58"/>
      <c r="M58"/>
      <c r="N58" s="5"/>
    </row>
    <row r="59" spans="1:14" s="3" customFormat="1" ht="14.25" customHeight="1">
      <c r="A59" s="325"/>
      <c r="B59" s="325"/>
      <c r="C59" s="325" t="s">
        <v>816</v>
      </c>
      <c r="D59" s="325"/>
      <c r="E59" s="325"/>
      <c r="F59" s="325"/>
      <c r="G59" s="431">
        <v>0</v>
      </c>
      <c r="H59" s="173">
        <v>6525</v>
      </c>
      <c r="I59" s="333">
        <f t="shared" ref="I59" si="23">H59*G59</f>
        <v>0</v>
      </c>
      <c r="J59" s="334">
        <f t="shared" ref="J59" si="24">+I59*0.0725</f>
        <v>0</v>
      </c>
      <c r="L59"/>
      <c r="M59"/>
      <c r="N59" s="5"/>
    </row>
    <row r="60" spans="1:14" s="3" customFormat="1" ht="14.25" customHeight="1">
      <c r="A60" s="325"/>
      <c r="B60" s="325"/>
      <c r="C60" s="325"/>
      <c r="D60" s="325"/>
      <c r="E60" s="325"/>
      <c r="F60" s="325"/>
      <c r="G60" s="431"/>
      <c r="H60" s="173"/>
      <c r="I60" s="333"/>
      <c r="J60" s="334"/>
      <c r="L60"/>
      <c r="M60"/>
      <c r="N60" s="5"/>
    </row>
    <row r="61" spans="1:14" s="3" customFormat="1" ht="14.25" customHeight="1">
      <c r="A61" s="325"/>
      <c r="B61" s="325"/>
      <c r="C61" s="325"/>
      <c r="D61" s="325"/>
      <c r="E61" s="325"/>
      <c r="F61" s="325"/>
      <c r="G61" s="431"/>
      <c r="H61" s="173"/>
      <c r="I61" s="333"/>
      <c r="J61" s="334"/>
      <c r="L61"/>
      <c r="M61"/>
      <c r="N61" s="5"/>
    </row>
    <row r="62" spans="1:14" s="3" customFormat="1" ht="14.25" customHeight="1">
      <c r="A62" s="325"/>
      <c r="B62" s="325"/>
      <c r="C62" s="325"/>
      <c r="D62" s="325"/>
      <c r="E62" s="325"/>
      <c r="F62" s="325"/>
      <c r="G62" s="431"/>
      <c r="H62" s="333"/>
      <c r="I62" s="333"/>
      <c r="J62" s="334"/>
      <c r="L62"/>
      <c r="M62"/>
      <c r="N62" s="5"/>
    </row>
    <row r="63" spans="1:14">
      <c r="A63" s="325"/>
      <c r="B63" s="325"/>
      <c r="C63" s="432"/>
      <c r="D63" s="325"/>
      <c r="E63" s="337"/>
      <c r="F63" s="325"/>
      <c r="G63" s="340"/>
      <c r="H63" s="333"/>
      <c r="I63" s="333"/>
      <c r="J63" s="338"/>
      <c r="K63"/>
    </row>
    <row r="64" spans="1:14" s="3" customFormat="1">
      <c r="G64" s="789" t="s">
        <v>817</v>
      </c>
      <c r="H64" s="708"/>
      <c r="I64" s="708"/>
      <c r="J64" s="30"/>
      <c r="K64" s="1">
        <f>IF(M1="Yes",SUM(I4:I63)+SUM(J4:J63),0)</f>
        <v>0</v>
      </c>
      <c r="L64"/>
      <c r="M64"/>
      <c r="N64" s="5"/>
    </row>
    <row r="65" spans="1:14" s="3" customFormat="1">
      <c r="L65"/>
      <c r="M65"/>
      <c r="N65" s="5"/>
    </row>
    <row r="66" spans="1:14" s="3" customFormat="1">
      <c r="A66" t="s">
        <v>818</v>
      </c>
      <c r="B66"/>
      <c r="D66" s="32"/>
      <c r="L66"/>
      <c r="M66"/>
      <c r="N66" s="5"/>
    </row>
    <row r="67" spans="1:14">
      <c r="C67" s="95" t="s">
        <v>819</v>
      </c>
      <c r="D67" s="95"/>
      <c r="F67" s="95" t="s">
        <v>820</v>
      </c>
      <c r="G67" s="179">
        <v>0</v>
      </c>
      <c r="H67" s="173">
        <v>68.540000000000006</v>
      </c>
      <c r="I67" s="5">
        <f t="shared" ref="I67:I80" si="25">+G67*H67</f>
        <v>0</v>
      </c>
      <c r="J67" s="26">
        <f t="shared" ref="J67:J80" si="26">+I67*0.0725</f>
        <v>0</v>
      </c>
      <c r="K67"/>
      <c r="N67" s="5"/>
    </row>
    <row r="68" spans="1:14">
      <c r="C68" s="95" t="s">
        <v>821</v>
      </c>
      <c r="D68" s="95" t="s">
        <v>822</v>
      </c>
      <c r="F68" s="95" t="s">
        <v>823</v>
      </c>
      <c r="G68" s="179">
        <v>0</v>
      </c>
      <c r="H68" s="173">
        <f>35.99*5</f>
        <v>179.95000000000002</v>
      </c>
      <c r="I68" s="5">
        <f t="shared" si="25"/>
        <v>0</v>
      </c>
      <c r="J68" s="26">
        <f t="shared" si="26"/>
        <v>0</v>
      </c>
      <c r="K68"/>
      <c r="N68" s="5"/>
    </row>
    <row r="69" spans="1:14">
      <c r="C69" s="95" t="s">
        <v>821</v>
      </c>
      <c r="D69" s="95" t="s">
        <v>824</v>
      </c>
      <c r="F69" s="95" t="s">
        <v>823</v>
      </c>
      <c r="G69" s="179">
        <v>0</v>
      </c>
      <c r="H69" s="173">
        <f>35.99*5</f>
        <v>179.95000000000002</v>
      </c>
      <c r="I69" s="5">
        <f t="shared" si="25"/>
        <v>0</v>
      </c>
      <c r="J69" s="26">
        <f t="shared" si="26"/>
        <v>0</v>
      </c>
      <c r="K69"/>
      <c r="N69" s="5"/>
    </row>
    <row r="70" spans="1:14">
      <c r="C70" s="95" t="s">
        <v>819</v>
      </c>
      <c r="D70" s="95"/>
      <c r="F70" s="95" t="s">
        <v>825</v>
      </c>
      <c r="G70" s="179">
        <v>0</v>
      </c>
      <c r="H70" s="173">
        <v>85.89</v>
      </c>
      <c r="I70" s="5">
        <f t="shared" si="25"/>
        <v>0</v>
      </c>
      <c r="J70" s="26">
        <f t="shared" si="26"/>
        <v>0</v>
      </c>
      <c r="K70"/>
    </row>
    <row r="71" spans="1:14">
      <c r="A71" t="s">
        <v>1183</v>
      </c>
      <c r="C71" s="95"/>
      <c r="D71" s="95"/>
      <c r="F71" s="95"/>
      <c r="G71" s="179"/>
      <c r="H71" s="173"/>
      <c r="J71" s="26"/>
      <c r="K71"/>
    </row>
    <row r="72" spans="1:14">
      <c r="B72" s="107">
        <v>46149</v>
      </c>
      <c r="C72" s="95" t="s">
        <v>1184</v>
      </c>
      <c r="D72" s="95"/>
      <c r="F72" s="95">
        <v>312276</v>
      </c>
      <c r="G72" s="179">
        <v>1</v>
      </c>
      <c r="H72" s="173">
        <v>-22.17</v>
      </c>
      <c r="I72" s="5">
        <f>+G72*H72</f>
        <v>-22.17</v>
      </c>
      <c r="J72" s="26">
        <f t="shared" si="26"/>
        <v>-1.6073250000000001</v>
      </c>
      <c r="K72"/>
    </row>
    <row r="73" spans="1:14">
      <c r="C73" s="95" t="s">
        <v>1185</v>
      </c>
      <c r="D73" s="95"/>
      <c r="F73" s="95">
        <v>313813</v>
      </c>
      <c r="G73" s="179">
        <v>3</v>
      </c>
      <c r="H73" s="173">
        <v>-40.97</v>
      </c>
      <c r="I73" s="5">
        <f t="shared" si="25"/>
        <v>-122.91</v>
      </c>
      <c r="J73" s="26">
        <f t="shared" si="26"/>
        <v>-8.9109749999999988</v>
      </c>
      <c r="K73"/>
    </row>
    <row r="74" spans="1:14">
      <c r="C74" s="95" t="s">
        <v>1186</v>
      </c>
      <c r="D74" s="95"/>
      <c r="F74" s="95">
        <v>312520</v>
      </c>
      <c r="G74" s="179">
        <v>6</v>
      </c>
      <c r="H74" s="173">
        <v>-12.3</v>
      </c>
      <c r="I74" s="5">
        <f t="shared" si="25"/>
        <v>-73.800000000000011</v>
      </c>
      <c r="J74" s="26">
        <f t="shared" si="26"/>
        <v>-5.3505000000000003</v>
      </c>
      <c r="K74"/>
    </row>
    <row r="75" spans="1:14">
      <c r="C75" s="95" t="s">
        <v>1187</v>
      </c>
      <c r="D75" s="95"/>
      <c r="F75" s="95">
        <v>197672</v>
      </c>
      <c r="G75" s="179">
        <v>1</v>
      </c>
      <c r="H75" s="173">
        <v>-13.05</v>
      </c>
      <c r="I75" s="5">
        <f t="shared" si="25"/>
        <v>-13.05</v>
      </c>
      <c r="J75" s="26">
        <f t="shared" si="26"/>
        <v>-0.94612499999999999</v>
      </c>
      <c r="K75"/>
    </row>
    <row r="76" spans="1:14">
      <c r="C76" s="95" t="s">
        <v>1188</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826</v>
      </c>
      <c r="C78" s="95"/>
      <c r="D78" s="95"/>
      <c r="F78" s="95"/>
      <c r="G78" s="179"/>
      <c r="H78" s="173"/>
      <c r="I78" s="5">
        <f t="shared" si="25"/>
        <v>0</v>
      </c>
      <c r="J78" s="26">
        <f t="shared" si="26"/>
        <v>0</v>
      </c>
      <c r="K78"/>
    </row>
    <row r="79" spans="1:14">
      <c r="C79" s="95" t="s">
        <v>827</v>
      </c>
      <c r="D79" s="95"/>
      <c r="F79" s="95" t="s">
        <v>828</v>
      </c>
      <c r="G79" s="179">
        <v>0</v>
      </c>
      <c r="H79" s="173">
        <v>109.95</v>
      </c>
      <c r="I79" s="5">
        <f t="shared" si="25"/>
        <v>0</v>
      </c>
      <c r="J79" s="26">
        <f t="shared" si="26"/>
        <v>0</v>
      </c>
      <c r="K79"/>
    </row>
    <row r="80" spans="1:14">
      <c r="C80" s="95" t="s">
        <v>829</v>
      </c>
      <c r="D80" s="95"/>
      <c r="F80" s="95" t="s">
        <v>830</v>
      </c>
      <c r="G80" s="179">
        <v>0</v>
      </c>
      <c r="H80" s="173">
        <v>65.64</v>
      </c>
      <c r="I80" s="5">
        <f t="shared" si="25"/>
        <v>0</v>
      </c>
      <c r="J80" s="26">
        <f t="shared" si="26"/>
        <v>0</v>
      </c>
      <c r="K80"/>
    </row>
    <row r="82" spans="1:11">
      <c r="K82"/>
    </row>
    <row r="83" spans="1:11">
      <c r="C83" s="95" t="s">
        <v>831</v>
      </c>
      <c r="D83" s="95"/>
      <c r="F83" s="95" t="s">
        <v>832</v>
      </c>
      <c r="G83" s="179"/>
      <c r="H83" s="173">
        <v>33.99</v>
      </c>
      <c r="I83" s="5">
        <f>+G83*H83</f>
        <v>0</v>
      </c>
      <c r="J83" s="26">
        <f>+I83*0.0725</f>
        <v>0</v>
      </c>
      <c r="K83"/>
    </row>
    <row r="84" spans="1:11">
      <c r="C84" s="95" t="s">
        <v>833</v>
      </c>
      <c r="D84" s="95"/>
      <c r="F84" s="95" t="s">
        <v>832</v>
      </c>
      <c r="G84" s="179"/>
      <c r="H84" s="173">
        <v>33.99</v>
      </c>
      <c r="I84" s="5">
        <f t="shared" ref="I84:I93" si="27">+G84*H84</f>
        <v>0</v>
      </c>
      <c r="J84" s="26">
        <f t="shared" ref="J84:J93" si="28">+I84*0.0725</f>
        <v>0</v>
      </c>
      <c r="K84"/>
    </row>
    <row r="85" spans="1:11">
      <c r="A85" t="s">
        <v>834</v>
      </c>
      <c r="C85" s="95" t="s">
        <v>835</v>
      </c>
      <c r="D85" s="95"/>
      <c r="F85" s="95">
        <v>185342</v>
      </c>
      <c r="G85" s="179"/>
      <c r="H85" s="179">
        <f>147/5</f>
        <v>29.4</v>
      </c>
      <c r="I85" s="5">
        <f t="shared" si="27"/>
        <v>0</v>
      </c>
      <c r="J85" s="26">
        <f t="shared" si="28"/>
        <v>0</v>
      </c>
      <c r="K85"/>
    </row>
    <row r="86" spans="1:11">
      <c r="C86" s="95" t="s">
        <v>836</v>
      </c>
      <c r="D86" s="95"/>
      <c r="F86" s="95" t="s">
        <v>837</v>
      </c>
      <c r="G86" s="179">
        <v>0</v>
      </c>
      <c r="H86" s="173">
        <f>5*25.79</f>
        <v>128.94999999999999</v>
      </c>
      <c r="I86" s="5">
        <f t="shared" si="27"/>
        <v>0</v>
      </c>
      <c r="J86" s="26">
        <f t="shared" si="28"/>
        <v>0</v>
      </c>
      <c r="K86"/>
    </row>
    <row r="87" spans="1:11">
      <c r="A87" t="s">
        <v>463</v>
      </c>
      <c r="C87" s="95"/>
      <c r="D87" s="95"/>
      <c r="F87" s="95"/>
      <c r="G87" s="179"/>
      <c r="H87" s="173"/>
      <c r="I87" s="5">
        <f t="shared" si="27"/>
        <v>0</v>
      </c>
      <c r="J87" s="26">
        <f t="shared" si="28"/>
        <v>0</v>
      </c>
      <c r="K87"/>
    </row>
    <row r="88" spans="1:11">
      <c r="C88" s="95" t="s">
        <v>838</v>
      </c>
      <c r="D88" s="95"/>
      <c r="F88" s="95" t="s">
        <v>839</v>
      </c>
      <c r="G88" s="179">
        <v>0</v>
      </c>
      <c r="H88" s="173">
        <f>5*63.05</f>
        <v>315.25</v>
      </c>
      <c r="I88" s="5">
        <f t="shared" si="27"/>
        <v>0</v>
      </c>
      <c r="J88" s="26">
        <f t="shared" si="28"/>
        <v>0</v>
      </c>
      <c r="K88"/>
    </row>
    <row r="89" spans="1:11">
      <c r="C89" s="95" t="s">
        <v>840</v>
      </c>
      <c r="D89" s="95"/>
      <c r="F89" s="95">
        <v>389832</v>
      </c>
      <c r="G89" s="179">
        <v>0</v>
      </c>
      <c r="H89" s="173">
        <v>39.979999999999997</v>
      </c>
      <c r="I89" s="5">
        <f t="shared" si="27"/>
        <v>0</v>
      </c>
      <c r="J89" s="26">
        <f t="shared" si="28"/>
        <v>0</v>
      </c>
      <c r="K89"/>
    </row>
    <row r="90" spans="1:11">
      <c r="C90" s="95" t="s">
        <v>841</v>
      </c>
      <c r="D90" s="95"/>
      <c r="F90" s="95">
        <v>985007</v>
      </c>
      <c r="G90" s="179"/>
      <c r="H90" s="173">
        <v>52.23</v>
      </c>
      <c r="I90" s="5">
        <f t="shared" si="27"/>
        <v>0</v>
      </c>
      <c r="J90" s="26">
        <f t="shared" si="28"/>
        <v>0</v>
      </c>
      <c r="K90"/>
    </row>
    <row r="91" spans="1:11">
      <c r="C91" s="95" t="s">
        <v>842</v>
      </c>
      <c r="D91" s="95"/>
      <c r="F91" s="95">
        <v>814917</v>
      </c>
      <c r="G91" s="179"/>
      <c r="H91" s="173">
        <f>109/5</f>
        <v>21.8</v>
      </c>
      <c r="I91" s="5">
        <f t="shared" si="27"/>
        <v>0</v>
      </c>
      <c r="J91" s="26">
        <f t="shared" si="28"/>
        <v>0</v>
      </c>
      <c r="K91"/>
    </row>
    <row r="92" spans="1:11">
      <c r="C92" s="95" t="s">
        <v>843</v>
      </c>
      <c r="D92" s="95"/>
      <c r="F92" s="95" t="s">
        <v>844</v>
      </c>
      <c r="G92" s="179">
        <v>0</v>
      </c>
      <c r="H92" s="173">
        <v>40</v>
      </c>
      <c r="I92" s="5">
        <f t="shared" si="27"/>
        <v>0</v>
      </c>
      <c r="J92" s="26">
        <f t="shared" si="28"/>
        <v>0</v>
      </c>
      <c r="K92"/>
    </row>
    <row r="93" spans="1:11">
      <c r="C93" s="2" t="s">
        <v>845</v>
      </c>
      <c r="F93" s="95" t="s">
        <v>846</v>
      </c>
      <c r="G93" s="179">
        <v>0</v>
      </c>
      <c r="H93" s="173">
        <v>50.24</v>
      </c>
      <c r="I93" s="5">
        <f t="shared" si="27"/>
        <v>0</v>
      </c>
      <c r="J93" s="26">
        <f t="shared" si="28"/>
        <v>0</v>
      </c>
    </row>
    <row r="94" spans="1:11">
      <c r="A94" t="s">
        <v>583</v>
      </c>
      <c r="D94" s="32"/>
      <c r="E94" s="96">
        <v>0</v>
      </c>
      <c r="G94"/>
      <c r="H94" s="5"/>
      <c r="J94" s="1"/>
      <c r="K94"/>
    </row>
    <row r="95" spans="1:11">
      <c r="C95" s="95" t="s">
        <v>847</v>
      </c>
      <c r="D95" s="95" t="s">
        <v>848</v>
      </c>
      <c r="E95" s="181"/>
      <c r="F95" s="95" t="s">
        <v>849</v>
      </c>
      <c r="G95" s="179">
        <v>0</v>
      </c>
      <c r="H95" s="173">
        <v>74.37</v>
      </c>
      <c r="I95" s="5">
        <f t="shared" ref="I95:I96" si="29">+G95*H95</f>
        <v>0</v>
      </c>
      <c r="J95" s="26">
        <f t="shared" ref="J95:J96" si="30">+I95*0.0725</f>
        <v>0</v>
      </c>
      <c r="K95"/>
    </row>
    <row r="96" spans="1:11">
      <c r="C96" s="95" t="s">
        <v>850</v>
      </c>
      <c r="D96" s="95"/>
      <c r="F96" s="95"/>
      <c r="G96" s="179"/>
      <c r="H96" s="173"/>
      <c r="I96" s="5">
        <f t="shared" si="29"/>
        <v>0</v>
      </c>
      <c r="J96" s="26">
        <f t="shared" si="30"/>
        <v>0</v>
      </c>
      <c r="K96"/>
    </row>
    <row r="97" spans="1:16">
      <c r="E97" s="121">
        <f>+E3</f>
        <v>102</v>
      </c>
      <c r="G97"/>
      <c r="H97" s="5"/>
      <c r="J97" s="1"/>
      <c r="K97"/>
    </row>
    <row r="98" spans="1:16">
      <c r="A98" t="s">
        <v>851</v>
      </c>
      <c r="D98" s="32"/>
      <c r="E98" s="96">
        <v>0</v>
      </c>
      <c r="G98"/>
      <c r="H98" s="5"/>
      <c r="J98" s="1"/>
      <c r="K98"/>
    </row>
    <row r="99" spans="1:16">
      <c r="C99" s="95" t="s">
        <v>852</v>
      </c>
      <c r="D99" s="95" t="s">
        <v>853</v>
      </c>
      <c r="E99" s="181"/>
      <c r="F99" s="95" t="s">
        <v>854</v>
      </c>
      <c r="G99" s="179"/>
      <c r="H99" s="173">
        <v>55.99</v>
      </c>
      <c r="I99" s="5">
        <f t="shared" ref="I99:I103" si="31">+G99*H99</f>
        <v>0</v>
      </c>
      <c r="J99" s="26">
        <f t="shared" ref="J99:J103" si="32">+I99*0.0725</f>
        <v>0</v>
      </c>
      <c r="K99"/>
    </row>
    <row r="100" spans="1:16">
      <c r="A100" t="s">
        <v>855</v>
      </c>
      <c r="D100" s="32"/>
      <c r="E100" s="96">
        <v>500</v>
      </c>
      <c r="G100" s="179"/>
      <c r="H100" s="173"/>
      <c r="I100" s="5">
        <f t="shared" si="31"/>
        <v>0</v>
      </c>
      <c r="J100" s="26">
        <f t="shared" si="32"/>
        <v>0</v>
      </c>
      <c r="K100"/>
    </row>
    <row r="101" spans="1:16">
      <c r="C101" s="95" t="s">
        <v>856</v>
      </c>
      <c r="D101" s="95"/>
      <c r="F101" s="95" t="s">
        <v>857</v>
      </c>
      <c r="G101" s="179">
        <v>0</v>
      </c>
      <c r="H101" s="173">
        <v>47.98</v>
      </c>
      <c r="I101" s="5">
        <f t="shared" si="31"/>
        <v>0</v>
      </c>
      <c r="J101" s="26">
        <f t="shared" si="32"/>
        <v>0</v>
      </c>
      <c r="K101"/>
    </row>
    <row r="102" spans="1:16">
      <c r="C102" s="2" t="s">
        <v>858</v>
      </c>
      <c r="F102" s="95" t="s">
        <v>859</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9" t="s">
        <v>860</v>
      </c>
      <c r="H105" s="708"/>
      <c r="I105" s="708"/>
      <c r="J105" s="30"/>
      <c r="K105" s="1">
        <f>IF($M$1="No",SUM(I67:I104)+SUM(J67:J104),0)</f>
        <v>-310.864125</v>
      </c>
      <c r="P105" s="2"/>
    </row>
    <row r="107" spans="1:16">
      <c r="C107" s="2" t="s">
        <v>861</v>
      </c>
      <c r="G107"/>
      <c r="H107" s="5"/>
      <c r="I107" s="1"/>
      <c r="J107" s="1"/>
      <c r="K107"/>
    </row>
    <row r="108" spans="1:16">
      <c r="C108" s="95" t="s">
        <v>862</v>
      </c>
      <c r="D108" s="95"/>
      <c r="E108" s="121">
        <f>+$E$3</f>
        <v>102</v>
      </c>
      <c r="F108" s="95" t="s">
        <v>863</v>
      </c>
      <c r="G108" s="179">
        <v>0</v>
      </c>
      <c r="H108" s="173">
        <v>0</v>
      </c>
      <c r="I108" s="1">
        <f>IF(G108="yes",E108*#REF!,H108)</f>
        <v>0</v>
      </c>
      <c r="J108" s="1"/>
      <c r="K108"/>
    </row>
    <row r="109" spans="1:16">
      <c r="C109" s="95" t="s">
        <v>861</v>
      </c>
      <c r="D109" s="95"/>
      <c r="E109" s="121">
        <v>200</v>
      </c>
      <c r="F109" s="95" t="s">
        <v>505</v>
      </c>
      <c r="G109" s="179">
        <v>0</v>
      </c>
      <c r="H109" s="173">
        <v>0</v>
      </c>
      <c r="I109" s="1">
        <f>IF(G109="yes",E109*#REF!,H109)</f>
        <v>0</v>
      </c>
      <c r="J109" s="1"/>
      <c r="K109"/>
    </row>
    <row r="110" spans="1:16" ht="15.75" thickBot="1">
      <c r="C110" s="95" t="s">
        <v>861</v>
      </c>
      <c r="D110" s="95"/>
      <c r="E110" s="121">
        <f>+$E$3</f>
        <v>102</v>
      </c>
      <c r="F110" s="95" t="s">
        <v>864</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865</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687</v>
      </c>
      <c r="B1" s="3" t="s">
        <v>109</v>
      </c>
      <c r="C1" s="13" t="s">
        <v>688</v>
      </c>
      <c r="D1" s="3" t="s">
        <v>689</v>
      </c>
      <c r="E1" s="13" t="s">
        <v>690</v>
      </c>
      <c r="F1" s="3" t="s">
        <v>691</v>
      </c>
    </row>
    <row r="2" spans="1:10" ht="15.75" thickBot="1">
      <c r="A2" s="325" t="s">
        <v>866</v>
      </c>
      <c r="B2" s="326"/>
      <c r="C2" s="327"/>
      <c r="D2" s="326"/>
      <c r="E2" s="327"/>
      <c r="F2" s="327">
        <v>0</v>
      </c>
    </row>
    <row r="3" spans="1:10">
      <c r="A3" s="325" t="s">
        <v>867</v>
      </c>
      <c r="B3" s="328"/>
      <c r="C3" s="327" t="s">
        <v>868</v>
      </c>
      <c r="D3" s="326">
        <v>4</v>
      </c>
      <c r="E3" s="327">
        <v>75</v>
      </c>
      <c r="F3" s="327">
        <f>IF($I$3="Yes",+D3*E3,0)</f>
        <v>0</v>
      </c>
      <c r="H3" s="790" t="s">
        <v>9</v>
      </c>
      <c r="I3" s="790" t="str">
        <f>IF(Profit!$Q$6,IF(J3,"Yes","N0"),"no")</f>
        <v>N0</v>
      </c>
      <c r="J3" s="792" t="b">
        <v>0</v>
      </c>
    </row>
    <row r="4" spans="1:10" ht="15.75" thickBot="1">
      <c r="A4" s="325" t="s">
        <v>867</v>
      </c>
      <c r="B4" s="329"/>
      <c r="C4" s="327" t="s">
        <v>869</v>
      </c>
      <c r="D4" s="326">
        <v>4</v>
      </c>
      <c r="E4" s="327">
        <v>325</v>
      </c>
      <c r="F4" s="327">
        <f t="shared" ref="F4:F5" si="0">IF($I$3="Yes",+D4*E4,0)</f>
        <v>0</v>
      </c>
      <c r="H4" s="791"/>
      <c r="I4" s="791"/>
      <c r="J4" s="793"/>
    </row>
    <row r="5" spans="1:10">
      <c r="A5" s="325" t="s">
        <v>867</v>
      </c>
      <c r="B5" s="326"/>
      <c r="C5" s="327" t="s">
        <v>870</v>
      </c>
      <c r="D5" s="326">
        <v>4</v>
      </c>
      <c r="E5" s="327">
        <v>104</v>
      </c>
      <c r="F5" s="327">
        <f t="shared" si="0"/>
        <v>0</v>
      </c>
      <c r="G5">
        <f>IF(I3="yes",+SUM(F2:F5),0)</f>
        <v>0</v>
      </c>
    </row>
    <row r="6" spans="1:10" s="22" customFormat="1">
      <c r="A6" s="95" t="s">
        <v>867</v>
      </c>
      <c r="B6" s="361">
        <v>45925</v>
      </c>
      <c r="C6" s="362" t="s">
        <v>871</v>
      </c>
      <c r="D6" s="179">
        <v>1</v>
      </c>
      <c r="E6" s="362">
        <v>100</v>
      </c>
      <c r="F6" s="362">
        <f>IF($I$3="Yes",0,+D6*E6)</f>
        <v>100</v>
      </c>
      <c r="G6"/>
    </row>
    <row r="7" spans="1:10">
      <c r="A7" s="95" t="s">
        <v>867</v>
      </c>
      <c r="B7" s="363">
        <v>45971</v>
      </c>
      <c r="C7" s="362" t="s">
        <v>869</v>
      </c>
      <c r="D7" s="179">
        <v>1</v>
      </c>
      <c r="E7" s="362">
        <v>400</v>
      </c>
      <c r="F7" s="362">
        <f t="shared" ref="F7:F19" si="1">IF($I$3="Yes",0,+D7*E7)</f>
        <v>400</v>
      </c>
    </row>
    <row r="8" spans="1:10">
      <c r="A8" s="95" t="s">
        <v>867</v>
      </c>
      <c r="B8" s="361">
        <v>45961</v>
      </c>
      <c r="C8" s="362" t="s">
        <v>872</v>
      </c>
      <c r="D8" s="179">
        <v>1</v>
      </c>
      <c r="E8" s="362">
        <v>5</v>
      </c>
      <c r="F8" s="362">
        <f t="shared" si="1"/>
        <v>5</v>
      </c>
    </row>
    <row r="9" spans="1:10">
      <c r="A9" s="95" t="s">
        <v>1182</v>
      </c>
      <c r="B9" s="363">
        <v>46146</v>
      </c>
      <c r="C9" s="362" t="s">
        <v>1181</v>
      </c>
      <c r="D9" s="179">
        <v>0</v>
      </c>
      <c r="E9" s="362">
        <v>42.35</v>
      </c>
      <c r="F9" s="362">
        <f t="shared" si="1"/>
        <v>0</v>
      </c>
    </row>
    <row r="10" spans="1:10">
      <c r="A10" s="95" t="s">
        <v>867</v>
      </c>
      <c r="B10" s="179"/>
      <c r="C10" s="362" t="s">
        <v>873</v>
      </c>
      <c r="D10" s="179">
        <v>0</v>
      </c>
      <c r="E10" s="362">
        <v>6.35</v>
      </c>
      <c r="F10" s="362">
        <f t="shared" si="1"/>
        <v>0</v>
      </c>
    </row>
    <row r="11" spans="1:10">
      <c r="A11" s="95" t="s">
        <v>867</v>
      </c>
      <c r="B11" s="179"/>
      <c r="C11" s="362" t="s">
        <v>874</v>
      </c>
      <c r="D11" s="179"/>
      <c r="E11" s="362">
        <v>2.5</v>
      </c>
      <c r="F11" s="362">
        <f t="shared" si="1"/>
        <v>0</v>
      </c>
    </row>
    <row r="12" spans="1:10">
      <c r="A12" s="95" t="s">
        <v>867</v>
      </c>
      <c r="B12" s="179"/>
      <c r="C12" s="362" t="s">
        <v>875</v>
      </c>
      <c r="D12" s="179">
        <v>0</v>
      </c>
      <c r="E12" s="362">
        <f>(8.5+10+17.34)/3</f>
        <v>11.946666666666667</v>
      </c>
      <c r="F12" s="362">
        <f t="shared" si="1"/>
        <v>0</v>
      </c>
    </row>
    <row r="13" spans="1:10">
      <c r="A13" s="95" t="s">
        <v>867</v>
      </c>
      <c r="B13" s="363"/>
      <c r="C13" s="362" t="s">
        <v>876</v>
      </c>
      <c r="D13" s="179">
        <v>0</v>
      </c>
      <c r="E13" s="362">
        <v>73.13</v>
      </c>
      <c r="F13" s="362">
        <f t="shared" si="1"/>
        <v>0</v>
      </c>
    </row>
    <row r="14" spans="1:10">
      <c r="A14" s="95" t="s">
        <v>867</v>
      </c>
      <c r="B14" s="363"/>
      <c r="C14" s="362" t="s">
        <v>877</v>
      </c>
      <c r="D14" s="179">
        <v>0</v>
      </c>
      <c r="E14" s="362">
        <v>472</v>
      </c>
      <c r="F14" s="362">
        <f t="shared" si="1"/>
        <v>0</v>
      </c>
    </row>
    <row r="15" spans="1:10">
      <c r="A15" s="95" t="s">
        <v>878</v>
      </c>
      <c r="B15" s="363"/>
      <c r="C15" s="362"/>
      <c r="D15" s="179">
        <v>0</v>
      </c>
      <c r="E15" s="362">
        <v>600</v>
      </c>
      <c r="F15" s="362">
        <f t="shared" si="1"/>
        <v>0</v>
      </c>
    </row>
    <row r="16" spans="1:10">
      <c r="A16" s="95" t="s">
        <v>879</v>
      </c>
      <c r="B16" s="363"/>
      <c r="C16" s="95" t="s">
        <v>880</v>
      </c>
      <c r="D16" s="179">
        <v>0</v>
      </c>
      <c r="E16" s="362">
        <v>300</v>
      </c>
      <c r="F16" s="362">
        <f t="shared" si="1"/>
        <v>0</v>
      </c>
    </row>
    <row r="17" spans="1:10">
      <c r="A17" s="95" t="s">
        <v>878</v>
      </c>
      <c r="B17" s="364"/>
      <c r="C17" s="95" t="s">
        <v>881</v>
      </c>
      <c r="D17" s="179">
        <v>0</v>
      </c>
      <c r="E17" s="362">
        <v>450</v>
      </c>
      <c r="F17" s="362">
        <f t="shared" si="1"/>
        <v>0</v>
      </c>
    </row>
    <row r="18" spans="1:10">
      <c r="A18" s="95" t="s">
        <v>878</v>
      </c>
      <c r="B18" s="363"/>
      <c r="C18" s="362" t="s">
        <v>882</v>
      </c>
      <c r="D18" s="179">
        <v>0</v>
      </c>
      <c r="E18" s="362">
        <v>100</v>
      </c>
      <c r="F18" s="362">
        <f t="shared" si="1"/>
        <v>0</v>
      </c>
      <c r="I18" s="3"/>
    </row>
    <row r="19" spans="1:10">
      <c r="A19" s="95" t="s">
        <v>878</v>
      </c>
      <c r="B19" s="363"/>
      <c r="C19" s="362" t="s">
        <v>883</v>
      </c>
      <c r="D19" s="179">
        <v>0</v>
      </c>
      <c r="E19" s="362">
        <v>150</v>
      </c>
      <c r="F19" s="362">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1"/>
    <col min="2" max="2" width="22" bestFit="1" customWidth="1"/>
    <col min="3" max="3" width="11" bestFit="1" customWidth="1"/>
    <col min="10" max="10" width="19.28515625" bestFit="1" customWidth="1"/>
  </cols>
  <sheetData>
    <row r="1" spans="1:12">
      <c r="B1" s="3" t="s">
        <v>479</v>
      </c>
      <c r="C1" s="3"/>
      <c r="E1" s="5"/>
      <c r="F1" s="14"/>
      <c r="G1" s="14"/>
      <c r="H1" s="14"/>
    </row>
    <row r="2" spans="1:12">
      <c r="B2" s="2"/>
      <c r="C2" s="2"/>
      <c r="D2" s="3"/>
      <c r="E2" s="8"/>
      <c r="F2" s="13"/>
      <c r="G2" s="13"/>
      <c r="H2" s="13"/>
    </row>
    <row r="3" spans="1:12" ht="15.75" thickBot="1">
      <c r="A3" s="523" t="s">
        <v>109</v>
      </c>
      <c r="B3" s="3" t="s">
        <v>430</v>
      </c>
      <c r="C3" s="3" t="s">
        <v>884</v>
      </c>
      <c r="D3" s="3" t="s">
        <v>711</v>
      </c>
      <c r="E3" s="8" t="s">
        <v>712</v>
      </c>
      <c r="F3" s="13" t="s">
        <v>713</v>
      </c>
      <c r="G3" s="13" t="s">
        <v>426</v>
      </c>
      <c r="H3" s="13" t="s">
        <v>714</v>
      </c>
    </row>
    <row r="4" spans="1:12">
      <c r="B4" s="330" t="s">
        <v>755</v>
      </c>
      <c r="C4" s="330"/>
      <c r="D4" s="330"/>
      <c r="E4" s="331"/>
      <c r="F4" s="332"/>
      <c r="G4" s="332"/>
      <c r="H4" s="332"/>
      <c r="J4" s="790" t="s">
        <v>9</v>
      </c>
      <c r="K4" s="790" t="str">
        <f>IF(Profit!$Q$6,IF(L4,"Yes","N0"),"no")</f>
        <v>N0</v>
      </c>
      <c r="L4" s="792" t="b">
        <v>0</v>
      </c>
    </row>
    <row r="5" spans="1:12" ht="15.75" thickBot="1">
      <c r="B5" s="325" t="s">
        <v>885</v>
      </c>
      <c r="C5" s="325">
        <v>977057</v>
      </c>
      <c r="D5" s="326">
        <v>1</v>
      </c>
      <c r="E5" s="333">
        <v>149</v>
      </c>
      <c r="F5" s="327">
        <f>+D5*E5</f>
        <v>149</v>
      </c>
      <c r="G5" s="334">
        <f>+F5*0.0725</f>
        <v>10.802499999999998</v>
      </c>
      <c r="H5" s="332"/>
      <c r="J5" s="791"/>
      <c r="K5" s="791"/>
      <c r="L5" s="793"/>
    </row>
    <row r="6" spans="1:12">
      <c r="B6" s="325" t="s">
        <v>886</v>
      </c>
      <c r="C6" s="325">
        <v>3648606</v>
      </c>
      <c r="D6" s="326">
        <v>1</v>
      </c>
      <c r="E6" s="333">
        <v>700</v>
      </c>
      <c r="F6" s="327">
        <f>+D6*E6</f>
        <v>700</v>
      </c>
      <c r="G6" s="334">
        <f t="shared" ref="G6" si="0">+F6*0.0725</f>
        <v>50.75</v>
      </c>
      <c r="H6" s="332"/>
    </row>
    <row r="7" spans="1:12" ht="15.75" thickBot="1">
      <c r="B7" s="325" t="s">
        <v>887</v>
      </c>
      <c r="C7" s="325">
        <v>1654366</v>
      </c>
      <c r="D7" s="326">
        <v>1</v>
      </c>
      <c r="E7" s="333">
        <v>450</v>
      </c>
      <c r="F7" s="327">
        <f>+D7*E7</f>
        <v>450</v>
      </c>
      <c r="G7" s="334">
        <f t="shared" ref="G7" si="1">+F7*0.0725</f>
        <v>32.625</v>
      </c>
      <c r="H7" s="335"/>
    </row>
    <row r="8" spans="1:12">
      <c r="B8" s="330"/>
      <c r="C8" s="330"/>
      <c r="D8" s="330"/>
      <c r="E8" s="166" t="s">
        <v>888</v>
      </c>
      <c r="F8" s="327"/>
      <c r="G8" s="327"/>
      <c r="H8" s="327">
        <f>IF(K4="yes",+SUM(F5:F7)+SUM(G5:G7),0)</f>
        <v>0</v>
      </c>
    </row>
    <row r="9" spans="1:12">
      <c r="B9" s="95" t="s">
        <v>889</v>
      </c>
      <c r="C9" s="95">
        <v>977057</v>
      </c>
      <c r="D9" s="179">
        <v>0</v>
      </c>
      <c r="E9" s="173">
        <v>149</v>
      </c>
      <c r="F9" s="14">
        <f>+D9*E9</f>
        <v>0</v>
      </c>
      <c r="G9" s="26">
        <f>+F9*0.0725</f>
        <v>0</v>
      </c>
      <c r="H9" s="13"/>
    </row>
    <row r="10" spans="1:12">
      <c r="B10" s="95" t="s">
        <v>890</v>
      </c>
      <c r="C10" s="95"/>
      <c r="D10" s="179">
        <v>0</v>
      </c>
      <c r="E10" s="173">
        <v>400</v>
      </c>
      <c r="F10" s="14">
        <f>+D10*E10</f>
        <v>0</v>
      </c>
      <c r="G10" s="26">
        <f>+F10*0.0725</f>
        <v>0</v>
      </c>
      <c r="H10" s="14"/>
    </row>
    <row r="11" spans="1:12">
      <c r="A11" s="481" t="s">
        <v>891</v>
      </c>
      <c r="B11" s="95" t="s">
        <v>892</v>
      </c>
      <c r="C11" s="95">
        <v>1008246199</v>
      </c>
      <c r="D11" s="179">
        <v>0</v>
      </c>
      <c r="E11" s="173">
        <v>448</v>
      </c>
      <c r="F11" s="14">
        <f>+D11*E11</f>
        <v>0</v>
      </c>
      <c r="G11" s="26">
        <f>+F11*0.0725</f>
        <v>0</v>
      </c>
      <c r="H11" s="14"/>
    </row>
    <row r="12" spans="1:12" ht="15.75" thickBot="1">
      <c r="B12" s="95" t="s">
        <v>893</v>
      </c>
      <c r="C12" s="95">
        <v>205954</v>
      </c>
      <c r="D12" s="179">
        <v>0</v>
      </c>
      <c r="E12" s="173">
        <v>0</v>
      </c>
      <c r="F12" s="21"/>
      <c r="G12" s="21"/>
      <c r="H12" s="21"/>
    </row>
    <row r="13" spans="1:12">
      <c r="B13" s="95"/>
      <c r="C13" s="95"/>
      <c r="D13" s="179"/>
      <c r="E13" s="180" t="s">
        <v>894</v>
      </c>
      <c r="F13" s="14"/>
      <c r="G13" s="14"/>
      <c r="H13" s="14">
        <f>IF(K4="yes",0,+SUM(F9:F12)+SUM(G9:G12))</f>
        <v>0</v>
      </c>
    </row>
    <row r="14" spans="1:12">
      <c r="B14" s="95" t="s">
        <v>895</v>
      </c>
      <c r="C14" s="95">
        <v>206436</v>
      </c>
      <c r="D14" s="179">
        <v>0</v>
      </c>
      <c r="E14" s="180">
        <v>12.98</v>
      </c>
      <c r="F14" s="14">
        <v>0</v>
      </c>
      <c r="G14" s="26">
        <f>+F14*0.0725</f>
        <v>0</v>
      </c>
      <c r="H14" s="14">
        <v>0</v>
      </c>
    </row>
    <row r="15" spans="1:12">
      <c r="B15" s="95" t="s">
        <v>896</v>
      </c>
      <c r="C15" s="95">
        <v>1006760329</v>
      </c>
      <c r="D15" s="179">
        <v>0</v>
      </c>
      <c r="E15" s="173">
        <v>698</v>
      </c>
      <c r="F15" s="14" t="s">
        <v>241</v>
      </c>
      <c r="G15" s="14"/>
      <c r="H15" s="14"/>
    </row>
    <row r="16" spans="1:12">
      <c r="B16" s="95" t="s">
        <v>895</v>
      </c>
      <c r="C16" s="95">
        <v>1630551</v>
      </c>
      <c r="D16" s="179">
        <v>0</v>
      </c>
      <c r="E16" s="173">
        <v>32.979999999999997</v>
      </c>
      <c r="F16" s="14">
        <f>+D16*E16</f>
        <v>0</v>
      </c>
      <c r="G16" s="26">
        <f>+F16*0.0725</f>
        <v>0</v>
      </c>
      <c r="H16" s="14"/>
    </row>
    <row r="17" spans="1:9">
      <c r="B17" s="95" t="s">
        <v>897</v>
      </c>
      <c r="C17" s="95">
        <v>3648606</v>
      </c>
      <c r="D17" s="179">
        <v>0</v>
      </c>
      <c r="E17" s="173">
        <v>700</v>
      </c>
      <c r="F17" s="14">
        <f>+D17*E17</f>
        <v>0</v>
      </c>
      <c r="G17" s="26">
        <f t="shared" ref="G17:G29" si="2">+F17*0.0725</f>
        <v>0</v>
      </c>
      <c r="H17" s="14"/>
    </row>
    <row r="18" spans="1:9">
      <c r="B18" s="95" t="s">
        <v>898</v>
      </c>
      <c r="C18" s="95">
        <v>1654366</v>
      </c>
      <c r="D18" s="179">
        <v>0</v>
      </c>
      <c r="E18" s="173">
        <v>374.29</v>
      </c>
      <c r="F18" s="14">
        <f>+D18*E18</f>
        <v>0</v>
      </c>
      <c r="G18" s="26">
        <f t="shared" si="2"/>
        <v>0</v>
      </c>
      <c r="H18" s="14"/>
    </row>
    <row r="19" spans="1:9">
      <c r="B19" s="95" t="s">
        <v>899</v>
      </c>
      <c r="C19" s="95">
        <v>118694</v>
      </c>
      <c r="D19" s="179">
        <v>0</v>
      </c>
      <c r="E19" s="173">
        <v>39.28</v>
      </c>
      <c r="F19" s="14">
        <f>+D19*E19</f>
        <v>0</v>
      </c>
      <c r="G19" s="26">
        <f t="shared" si="2"/>
        <v>0</v>
      </c>
      <c r="H19" s="14"/>
    </row>
    <row r="20" spans="1:9">
      <c r="B20" s="95" t="s">
        <v>900</v>
      </c>
      <c r="C20" s="181"/>
      <c r="D20" s="179">
        <v>0</v>
      </c>
      <c r="E20" s="173">
        <v>189</v>
      </c>
      <c r="F20" s="14">
        <f>+D20*E20</f>
        <v>0</v>
      </c>
      <c r="G20" s="26">
        <f t="shared" si="2"/>
        <v>0</v>
      </c>
      <c r="H20" s="14"/>
    </row>
    <row r="21" spans="1:9">
      <c r="B21" s="95" t="s">
        <v>901</v>
      </c>
      <c r="C21" s="181">
        <v>206332</v>
      </c>
      <c r="D21" s="179">
        <v>0</v>
      </c>
      <c r="E21" s="173">
        <v>32.85</v>
      </c>
      <c r="F21" s="14" t="s">
        <v>241</v>
      </c>
      <c r="G21" s="26"/>
      <c r="H21" s="14"/>
    </row>
    <row r="22" spans="1:9">
      <c r="B22" s="95" t="s">
        <v>902</v>
      </c>
      <c r="C22" s="181"/>
      <c r="D22" s="179">
        <v>0</v>
      </c>
      <c r="E22" s="173">
        <v>169</v>
      </c>
      <c r="F22" s="14">
        <f t="shared" ref="F22:F29" si="3">+D22*E22</f>
        <v>0</v>
      </c>
      <c r="G22" s="26">
        <f t="shared" si="2"/>
        <v>0</v>
      </c>
      <c r="H22" s="14"/>
    </row>
    <row r="23" spans="1:9">
      <c r="B23" s="181" t="s">
        <v>903</v>
      </c>
      <c r="C23" s="181">
        <v>1692925</v>
      </c>
      <c r="D23" s="179">
        <v>0</v>
      </c>
      <c r="E23" s="173">
        <v>170.39</v>
      </c>
      <c r="F23" s="14">
        <f t="shared" si="3"/>
        <v>0</v>
      </c>
      <c r="G23" s="26">
        <f t="shared" si="2"/>
        <v>0</v>
      </c>
      <c r="H23" s="14"/>
    </row>
    <row r="24" spans="1:9">
      <c r="A24" s="481">
        <v>45929</v>
      </c>
      <c r="B24" s="181" t="s">
        <v>904</v>
      </c>
      <c r="C24" s="181"/>
      <c r="D24" s="179">
        <v>1</v>
      </c>
      <c r="E24" s="173">
        <v>75</v>
      </c>
      <c r="F24" s="14">
        <f t="shared" si="3"/>
        <v>75</v>
      </c>
      <c r="G24" s="26"/>
      <c r="H24" s="14"/>
    </row>
    <row r="25" spans="1:9">
      <c r="A25" s="481">
        <v>45929</v>
      </c>
      <c r="B25" s="181" t="s">
        <v>905</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906</v>
      </c>
      <c r="C29" s="181"/>
      <c r="D29" s="179">
        <v>0</v>
      </c>
      <c r="E29" s="173">
        <v>0</v>
      </c>
      <c r="F29" s="14">
        <f t="shared" si="3"/>
        <v>0</v>
      </c>
      <c r="G29" s="26">
        <f t="shared" si="2"/>
        <v>0</v>
      </c>
      <c r="H29" s="21"/>
    </row>
    <row r="30" spans="1:9">
      <c r="C30" s="2"/>
      <c r="D30" s="708" t="s">
        <v>907</v>
      </c>
      <c r="E30" s="708"/>
      <c r="F30" s="708"/>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442</v>
      </c>
      <c r="C1" s="3"/>
    </row>
    <row r="2" spans="1:12">
      <c r="D2" s="3"/>
      <c r="E2" s="8"/>
      <c r="F2" s="13"/>
      <c r="G2" s="13"/>
      <c r="H2" s="13"/>
    </row>
    <row r="3" spans="1:12">
      <c r="A3" t="s">
        <v>109</v>
      </c>
      <c r="B3" s="3" t="s">
        <v>430</v>
      </c>
      <c r="C3" s="3" t="s">
        <v>884</v>
      </c>
      <c r="D3" s="3" t="s">
        <v>711</v>
      </c>
      <c r="E3" s="8" t="s">
        <v>712</v>
      </c>
      <c r="F3" s="13" t="s">
        <v>713</v>
      </c>
      <c r="G3" s="13" t="s">
        <v>426</v>
      </c>
      <c r="H3" s="13" t="s">
        <v>714</v>
      </c>
    </row>
    <row r="4" spans="1:12" ht="15.75" thickBot="1">
      <c r="B4" s="3" t="s">
        <v>755</v>
      </c>
      <c r="C4" s="3"/>
      <c r="D4" s="3"/>
      <c r="E4" s="8"/>
      <c r="F4" s="13"/>
      <c r="G4" s="13"/>
      <c r="H4" s="13"/>
    </row>
    <row r="5" spans="1:12">
      <c r="B5" s="336" t="s">
        <v>908</v>
      </c>
      <c r="C5" s="336"/>
      <c r="D5" s="326">
        <v>0</v>
      </c>
      <c r="E5" s="333">
        <v>179</v>
      </c>
      <c r="F5" s="327">
        <f>+D5*E5</f>
        <v>0</v>
      </c>
      <c r="G5" s="334">
        <f t="shared" ref="G5:G10" si="0">+F5*0.0725</f>
        <v>0</v>
      </c>
      <c r="H5" s="332"/>
      <c r="J5" s="790" t="s">
        <v>9</v>
      </c>
      <c r="K5" s="790" t="str">
        <f>IF(Profit!Q6,IF(L5,"Yes","No"),"No")</f>
        <v>No</v>
      </c>
      <c r="L5" s="792" t="b">
        <v>0</v>
      </c>
    </row>
    <row r="6" spans="1:12" ht="15.75" thickBot="1">
      <c r="B6" s="336" t="s">
        <v>909</v>
      </c>
      <c r="C6" s="336"/>
      <c r="D6" s="326">
        <v>3</v>
      </c>
      <c r="E6" s="333">
        <v>53.98</v>
      </c>
      <c r="F6" s="327">
        <f>+D6*E6</f>
        <v>161.94</v>
      </c>
      <c r="G6" s="334">
        <f t="shared" si="0"/>
        <v>11.740649999999999</v>
      </c>
      <c r="H6" s="332"/>
      <c r="J6" s="791"/>
      <c r="K6" s="791"/>
      <c r="L6" s="793"/>
    </row>
    <row r="7" spans="1:12">
      <c r="B7" s="336" t="s">
        <v>734</v>
      </c>
      <c r="C7" s="336"/>
      <c r="D7" s="326">
        <v>3</v>
      </c>
      <c r="E7" s="333">
        <v>95</v>
      </c>
      <c r="F7" s="327">
        <f>+D7*E7</f>
        <v>285</v>
      </c>
      <c r="G7" s="334">
        <f t="shared" si="0"/>
        <v>20.662499999999998</v>
      </c>
      <c r="H7" s="332"/>
    </row>
    <row r="8" spans="1:12">
      <c r="B8" s="336" t="s">
        <v>910</v>
      </c>
      <c r="C8" s="336"/>
      <c r="D8" s="326">
        <v>1</v>
      </c>
      <c r="E8" s="333">
        <v>250</v>
      </c>
      <c r="F8" s="327">
        <f>+D8*E8</f>
        <v>250</v>
      </c>
      <c r="G8" s="334">
        <f t="shared" ref="G8" si="1">+F8*0.0725</f>
        <v>18.125</v>
      </c>
      <c r="H8" s="332"/>
    </row>
    <row r="9" spans="1:12">
      <c r="B9" s="336" t="s">
        <v>911</v>
      </c>
      <c r="C9" s="336"/>
      <c r="D9" s="326">
        <v>4</v>
      </c>
      <c r="E9" s="333">
        <v>39.979999999999997</v>
      </c>
      <c r="F9" s="327">
        <v>0</v>
      </c>
      <c r="G9" s="334">
        <f t="shared" si="0"/>
        <v>0</v>
      </c>
      <c r="H9" s="332"/>
    </row>
    <row r="10" spans="1:12" ht="15.75" thickBot="1">
      <c r="B10" s="336" t="s">
        <v>912</v>
      </c>
      <c r="C10" s="336">
        <v>732291231619</v>
      </c>
      <c r="D10" s="326">
        <v>3</v>
      </c>
      <c r="E10" s="333">
        <v>99</v>
      </c>
      <c r="F10" s="335">
        <f>+D10*E10</f>
        <v>297</v>
      </c>
      <c r="G10" s="335">
        <f t="shared" si="0"/>
        <v>21.532499999999999</v>
      </c>
      <c r="H10" s="335"/>
    </row>
    <row r="11" spans="1:12">
      <c r="B11" s="336"/>
      <c r="C11" s="336"/>
      <c r="D11" s="326"/>
      <c r="E11" s="333"/>
      <c r="F11" s="327"/>
      <c r="G11" s="327"/>
      <c r="H11" s="327">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1170</v>
      </c>
      <c r="C15" s="181" t="s">
        <v>1171</v>
      </c>
      <c r="D15" s="179">
        <v>1</v>
      </c>
      <c r="E15" s="173">
        <v>24.49</v>
      </c>
      <c r="F15" s="14">
        <f>+D15*E15</f>
        <v>24.49</v>
      </c>
      <c r="G15" s="26">
        <f t="shared" si="2"/>
        <v>1.7755249999999998</v>
      </c>
    </row>
    <row r="16" spans="1:12">
      <c r="A16" s="107">
        <v>46132</v>
      </c>
      <c r="B16" s="181" t="s">
        <v>1170</v>
      </c>
      <c r="C16" s="181" t="s">
        <v>1172</v>
      </c>
      <c r="D16" s="179">
        <v>1</v>
      </c>
      <c r="E16" s="173">
        <v>17.079999999999998</v>
      </c>
      <c r="F16" s="14">
        <f>+D16*E16</f>
        <v>17.079999999999998</v>
      </c>
      <c r="G16" s="26">
        <f t="shared" si="2"/>
        <v>1.2382999999999997</v>
      </c>
    </row>
    <row r="17" spans="2:11">
      <c r="B17" s="181" t="s">
        <v>913</v>
      </c>
      <c r="C17" s="181">
        <v>1227792</v>
      </c>
      <c r="D17" s="179">
        <v>0</v>
      </c>
      <c r="E17" s="173">
        <v>15.47</v>
      </c>
      <c r="F17" s="14">
        <f>+D17*E17</f>
        <v>0</v>
      </c>
      <c r="G17" s="26">
        <f t="shared" si="2"/>
        <v>0</v>
      </c>
    </row>
    <row r="18" spans="2:11">
      <c r="B18" s="181" t="s">
        <v>914</v>
      </c>
      <c r="C18" s="181">
        <v>1233228</v>
      </c>
      <c r="D18" s="179">
        <v>0</v>
      </c>
      <c r="E18" s="173">
        <v>39.979999999999997</v>
      </c>
      <c r="F18" s="14">
        <v>0</v>
      </c>
      <c r="G18" s="26">
        <f t="shared" si="2"/>
        <v>0</v>
      </c>
    </row>
    <row r="19" spans="2:11">
      <c r="B19" s="181" t="s">
        <v>915</v>
      </c>
      <c r="C19" s="181" t="s">
        <v>241</v>
      </c>
      <c r="D19" s="179">
        <v>0</v>
      </c>
      <c r="E19" s="173">
        <v>6.99</v>
      </c>
      <c r="F19" s="14">
        <f t="shared" ref="F19:F30" si="3">+D19*E19</f>
        <v>0</v>
      </c>
      <c r="G19" s="26">
        <f t="shared" si="2"/>
        <v>0</v>
      </c>
    </row>
    <row r="20" spans="2:11">
      <c r="B20" s="181" t="s">
        <v>916</v>
      </c>
      <c r="C20" s="181"/>
      <c r="D20" s="179">
        <v>0</v>
      </c>
      <c r="E20" s="173">
        <v>24.4</v>
      </c>
      <c r="F20" s="14">
        <f t="shared" si="3"/>
        <v>0</v>
      </c>
      <c r="G20" s="26">
        <f t="shared" si="2"/>
        <v>0</v>
      </c>
    </row>
    <row r="21" spans="2:11">
      <c r="B21" s="181" t="s">
        <v>912</v>
      </c>
      <c r="C21" s="181" t="s">
        <v>917</v>
      </c>
      <c r="D21" s="179">
        <v>0</v>
      </c>
      <c r="E21" s="173">
        <v>89.1</v>
      </c>
      <c r="F21" s="14">
        <f t="shared" si="3"/>
        <v>0</v>
      </c>
      <c r="G21" s="26">
        <f t="shared" si="2"/>
        <v>0</v>
      </c>
    </row>
    <row r="22" spans="2:11">
      <c r="B22" s="181" t="s">
        <v>918</v>
      </c>
      <c r="C22" s="189">
        <v>26508261804</v>
      </c>
      <c r="D22" s="179">
        <v>0</v>
      </c>
      <c r="E22" s="173">
        <v>114</v>
      </c>
      <c r="F22" s="14">
        <f t="shared" si="3"/>
        <v>0</v>
      </c>
      <c r="G22" s="26">
        <f t="shared" si="2"/>
        <v>0</v>
      </c>
    </row>
    <row r="23" spans="2:11">
      <c r="B23" s="181" t="s">
        <v>734</v>
      </c>
      <c r="C23" s="181">
        <v>6925699939094</v>
      </c>
      <c r="D23" s="179">
        <v>0</v>
      </c>
      <c r="E23" s="173">
        <v>34.979999999999997</v>
      </c>
      <c r="F23" s="14">
        <f t="shared" si="3"/>
        <v>0</v>
      </c>
      <c r="G23" s="26">
        <f t="shared" si="2"/>
        <v>0</v>
      </c>
    </row>
    <row r="24" spans="2:11">
      <c r="B24" s="181" t="s">
        <v>919</v>
      </c>
      <c r="C24" s="181"/>
      <c r="D24" s="179">
        <v>0</v>
      </c>
      <c r="E24" s="173"/>
      <c r="F24" s="14">
        <f t="shared" si="3"/>
        <v>0</v>
      </c>
      <c r="G24" s="26">
        <f t="shared" si="2"/>
        <v>0</v>
      </c>
    </row>
    <row r="25" spans="2:11">
      <c r="B25" s="181" t="s">
        <v>908</v>
      </c>
      <c r="C25" s="181">
        <v>38877656754</v>
      </c>
      <c r="D25" s="179">
        <v>0</v>
      </c>
      <c r="E25" s="173">
        <v>169</v>
      </c>
      <c r="F25" s="14">
        <f t="shared" si="3"/>
        <v>0</v>
      </c>
      <c r="G25" s="26">
        <f t="shared" si="2"/>
        <v>0</v>
      </c>
    </row>
    <row r="26" spans="2:11">
      <c r="B26" s="181" t="s">
        <v>912</v>
      </c>
      <c r="C26" s="181">
        <v>732291231619</v>
      </c>
      <c r="D26" s="179">
        <v>0</v>
      </c>
      <c r="E26" s="173">
        <v>99</v>
      </c>
      <c r="F26" s="14">
        <f t="shared" si="3"/>
        <v>0</v>
      </c>
      <c r="G26" s="26">
        <f t="shared" si="2"/>
        <v>0</v>
      </c>
    </row>
    <row r="27" spans="2:11">
      <c r="B27" s="181" t="s">
        <v>920</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462</v>
      </c>
      <c r="B1" s="32"/>
      <c r="C1" s="32"/>
    </row>
    <row r="2" spans="1:15">
      <c r="D2" s="3"/>
      <c r="E2" s="8"/>
      <c r="F2" s="13"/>
      <c r="G2" s="13"/>
      <c r="H2" s="13"/>
      <c r="K2" s="790" t="s">
        <v>9</v>
      </c>
      <c r="L2" s="790" t="str">
        <f>IF(Profit!Q6,IF(M2,"Yes","No"),"No")</f>
        <v>No</v>
      </c>
      <c r="M2" s="792" t="b">
        <v>0</v>
      </c>
    </row>
    <row r="3" spans="1:15" s="22" customFormat="1" ht="14.25" customHeight="1" thickBot="1">
      <c r="A3" s="3" t="s">
        <v>430</v>
      </c>
      <c r="B3" s="3" t="s">
        <v>109</v>
      </c>
      <c r="C3" s="3" t="s">
        <v>884</v>
      </c>
      <c r="D3" s="3" t="s">
        <v>711</v>
      </c>
      <c r="E3" s="8" t="s">
        <v>712</v>
      </c>
      <c r="F3" s="13" t="s">
        <v>713</v>
      </c>
      <c r="G3" s="13"/>
      <c r="H3" s="13" t="s">
        <v>714</v>
      </c>
      <c r="K3" s="791"/>
      <c r="L3" s="791"/>
      <c r="M3" s="793"/>
    </row>
    <row r="4" spans="1:15" s="22" customFormat="1" ht="14.25" customHeight="1">
      <c r="A4" s="3"/>
      <c r="B4" s="3"/>
      <c r="C4" s="3"/>
      <c r="D4" s="3"/>
      <c r="E4" s="8"/>
      <c r="F4" s="13"/>
      <c r="G4" s="13"/>
      <c r="H4" s="13"/>
      <c r="K4"/>
      <c r="L4"/>
      <c r="M4"/>
    </row>
    <row r="5" spans="1:15" s="22" customFormat="1" ht="14.25" customHeight="1">
      <c r="A5" s="3" t="s">
        <v>921</v>
      </c>
      <c r="B5" s="365">
        <v>45694</v>
      </c>
      <c r="C5" s="3"/>
      <c r="D5" s="3">
        <v>0</v>
      </c>
      <c r="E5" s="8">
        <v>2500</v>
      </c>
      <c r="F5" s="14">
        <f t="shared" ref="F5" si="0">+D5*E5</f>
        <v>0</v>
      </c>
      <c r="G5" s="14">
        <f>+F5*0.0725</f>
        <v>0</v>
      </c>
      <c r="H5" s="13"/>
      <c r="K5"/>
      <c r="L5"/>
      <c r="M5"/>
    </row>
    <row r="6" spans="1:15" s="22" customFormat="1" ht="14.25" customHeight="1">
      <c r="A6" s="3" t="s">
        <v>922</v>
      </c>
      <c r="B6" s="3"/>
      <c r="C6" s="3"/>
      <c r="D6" s="3">
        <v>0</v>
      </c>
      <c r="E6" s="8">
        <v>350</v>
      </c>
      <c r="F6" s="14">
        <f t="shared" ref="F6:F18" si="1">+D6*E6</f>
        <v>0</v>
      </c>
      <c r="G6" s="14">
        <f>+F6*0.0725</f>
        <v>0</v>
      </c>
      <c r="H6" s="13"/>
      <c r="J6" s="22" t="s">
        <v>923</v>
      </c>
      <c r="K6" t="s">
        <v>924</v>
      </c>
      <c r="L6" t="s">
        <v>925</v>
      </c>
      <c r="M6" t="s">
        <v>516</v>
      </c>
      <c r="N6" s="22" t="s">
        <v>523</v>
      </c>
      <c r="O6" s="22" t="s">
        <v>926</v>
      </c>
    </row>
    <row r="7" spans="1:15" ht="14.25" customHeight="1">
      <c r="A7" s="32" t="s">
        <v>927</v>
      </c>
      <c r="B7" s="32"/>
      <c r="C7" s="32">
        <v>935605</v>
      </c>
      <c r="D7" s="181">
        <v>0</v>
      </c>
      <c r="E7" s="173">
        <v>209</v>
      </c>
      <c r="F7" s="14">
        <f t="shared" si="1"/>
        <v>0</v>
      </c>
      <c r="G7" s="14">
        <f t="shared" ref="G7:G43" si="2">+F7*0.0725</f>
        <v>0</v>
      </c>
      <c r="H7" s="13"/>
      <c r="N7">
        <v>3</v>
      </c>
      <c r="O7">
        <v>2</v>
      </c>
    </row>
    <row r="8" spans="1:15" ht="14.25" customHeight="1">
      <c r="A8" s="32" t="s">
        <v>928</v>
      </c>
      <c r="B8" s="32"/>
      <c r="C8" s="32">
        <v>935604</v>
      </c>
      <c r="D8" s="181">
        <f t="shared" ref="D8:D17" si="3">SUM(J8:O8)</f>
        <v>0</v>
      </c>
      <c r="E8" s="173">
        <v>209</v>
      </c>
      <c r="F8" s="14">
        <f t="shared" si="1"/>
        <v>0</v>
      </c>
      <c r="G8" s="14">
        <f t="shared" si="2"/>
        <v>0</v>
      </c>
      <c r="H8" s="13"/>
    </row>
    <row r="9" spans="1:15" ht="14.25" customHeight="1">
      <c r="A9" s="32" t="s">
        <v>929</v>
      </c>
      <c r="B9" s="32"/>
      <c r="C9" s="32">
        <v>935599</v>
      </c>
      <c r="D9" s="181">
        <f t="shared" si="3"/>
        <v>0</v>
      </c>
      <c r="E9" s="173">
        <v>198.56</v>
      </c>
      <c r="F9" s="14">
        <f>+D9*E9</f>
        <v>0</v>
      </c>
      <c r="G9" s="14">
        <f t="shared" si="2"/>
        <v>0</v>
      </c>
      <c r="H9" s="13"/>
    </row>
    <row r="10" spans="1:15" ht="14.25" customHeight="1">
      <c r="A10" s="32" t="s">
        <v>930</v>
      </c>
      <c r="B10" s="32"/>
      <c r="C10" s="32">
        <v>14005</v>
      </c>
      <c r="D10" s="181">
        <f t="shared" si="3"/>
        <v>0</v>
      </c>
      <c r="E10" s="173">
        <v>179</v>
      </c>
      <c r="F10" s="14">
        <f t="shared" si="1"/>
        <v>0</v>
      </c>
      <c r="G10" s="14">
        <f t="shared" si="2"/>
        <v>0</v>
      </c>
    </row>
    <row r="11" spans="1:15" ht="14.25" customHeight="1">
      <c r="A11" s="32" t="s">
        <v>931</v>
      </c>
      <c r="B11" s="32"/>
      <c r="C11" s="32">
        <v>14006</v>
      </c>
      <c r="D11" s="181">
        <f t="shared" si="3"/>
        <v>0</v>
      </c>
      <c r="E11" s="173">
        <v>179</v>
      </c>
      <c r="F11" s="14">
        <f t="shared" si="1"/>
        <v>0</v>
      </c>
      <c r="G11" s="14">
        <f t="shared" si="2"/>
        <v>0</v>
      </c>
    </row>
    <row r="12" spans="1:15" ht="14.25" customHeight="1">
      <c r="A12" s="32" t="s">
        <v>932</v>
      </c>
      <c r="B12" s="32"/>
      <c r="C12" s="32">
        <v>935587</v>
      </c>
      <c r="D12" s="181">
        <f t="shared" si="3"/>
        <v>0</v>
      </c>
      <c r="E12" s="173">
        <v>198.55</v>
      </c>
      <c r="F12" s="14">
        <f>+D12*E12</f>
        <v>0</v>
      </c>
      <c r="G12" s="14">
        <f t="shared" si="2"/>
        <v>0</v>
      </c>
    </row>
    <row r="13" spans="1:15" ht="14.25" customHeight="1">
      <c r="A13" s="32" t="s">
        <v>933</v>
      </c>
      <c r="B13" s="32"/>
      <c r="C13" s="32">
        <v>49504</v>
      </c>
      <c r="D13" s="181">
        <f t="shared" si="3"/>
        <v>0</v>
      </c>
      <c r="E13" s="173">
        <v>103</v>
      </c>
      <c r="F13" s="14">
        <f t="shared" si="1"/>
        <v>0</v>
      </c>
      <c r="G13" s="14">
        <f t="shared" si="2"/>
        <v>0</v>
      </c>
    </row>
    <row r="14" spans="1:15" ht="14.25" customHeight="1">
      <c r="A14" s="32" t="s">
        <v>934</v>
      </c>
      <c r="B14" s="32"/>
      <c r="C14" s="32">
        <v>49706</v>
      </c>
      <c r="D14" s="181">
        <v>0</v>
      </c>
      <c r="E14" s="173">
        <v>103</v>
      </c>
      <c r="F14" s="14">
        <f t="shared" si="1"/>
        <v>0</v>
      </c>
      <c r="G14" s="14">
        <f t="shared" si="2"/>
        <v>0</v>
      </c>
      <c r="K14">
        <v>1</v>
      </c>
      <c r="L14">
        <v>2</v>
      </c>
    </row>
    <row r="15" spans="1:15" ht="14.25" customHeight="1">
      <c r="A15" s="32" t="s">
        <v>935</v>
      </c>
      <c r="B15" s="32"/>
      <c r="C15" s="32">
        <v>47025</v>
      </c>
      <c r="D15" s="181">
        <v>0</v>
      </c>
      <c r="E15" s="173">
        <v>99</v>
      </c>
      <c r="F15" s="14">
        <f t="shared" si="1"/>
        <v>0</v>
      </c>
      <c r="G15" s="14">
        <f t="shared" si="2"/>
        <v>0</v>
      </c>
      <c r="L15">
        <v>1</v>
      </c>
    </row>
    <row r="16" spans="1:15" ht="14.25" customHeight="1">
      <c r="A16" s="32" t="s">
        <v>936</v>
      </c>
      <c r="B16" s="32"/>
      <c r="C16" s="32">
        <v>47422</v>
      </c>
      <c r="D16" s="181">
        <f t="shared" si="3"/>
        <v>0</v>
      </c>
      <c r="E16" s="173">
        <v>99</v>
      </c>
      <c r="F16" s="14">
        <f t="shared" si="1"/>
        <v>0</v>
      </c>
      <c r="G16" s="14">
        <f t="shared" si="2"/>
        <v>0</v>
      </c>
    </row>
    <row r="17" spans="1:13" ht="14.25" customHeight="1">
      <c r="A17" s="32" t="s">
        <v>937</v>
      </c>
      <c r="B17" s="32"/>
      <c r="C17" s="32">
        <v>43359</v>
      </c>
      <c r="D17" s="181">
        <f t="shared" si="3"/>
        <v>0</v>
      </c>
      <c r="E17" s="173">
        <v>95</v>
      </c>
      <c r="F17" s="14">
        <f t="shared" si="1"/>
        <v>0</v>
      </c>
      <c r="G17" s="14">
        <f t="shared" si="2"/>
        <v>0</v>
      </c>
    </row>
    <row r="18" spans="1:13" ht="14.25" customHeight="1">
      <c r="A18" s="32" t="s">
        <v>938</v>
      </c>
      <c r="B18" s="32"/>
      <c r="C18" s="32">
        <v>44035</v>
      </c>
      <c r="D18" s="181">
        <v>0</v>
      </c>
      <c r="E18" s="173">
        <v>95</v>
      </c>
      <c r="F18" s="14">
        <f t="shared" si="1"/>
        <v>0</v>
      </c>
      <c r="G18" s="14">
        <f t="shared" si="2"/>
        <v>0</v>
      </c>
      <c r="J18">
        <v>2</v>
      </c>
      <c r="K18">
        <v>2</v>
      </c>
      <c r="L18">
        <v>4</v>
      </c>
      <c r="M18">
        <v>1</v>
      </c>
    </row>
    <row r="19" spans="1:13" ht="14.25" customHeight="1">
      <c r="A19" s="32" t="s">
        <v>939</v>
      </c>
      <c r="B19" s="32"/>
      <c r="C19" s="32">
        <v>44035</v>
      </c>
      <c r="D19" s="181">
        <v>0</v>
      </c>
      <c r="E19" s="173">
        <v>95</v>
      </c>
      <c r="F19" s="14">
        <f t="shared" ref="F19" si="4">+D19*E19</f>
        <v>0</v>
      </c>
      <c r="G19" s="14">
        <f t="shared" ref="G19" si="5">+F19*0.0725</f>
        <v>0</v>
      </c>
      <c r="J19">
        <v>2</v>
      </c>
      <c r="M19">
        <v>1</v>
      </c>
    </row>
    <row r="20" spans="1:13" ht="14.25" customHeight="1">
      <c r="A20" s="32" t="s">
        <v>940</v>
      </c>
      <c r="B20" s="32"/>
      <c r="C20" s="32"/>
      <c r="D20" s="181">
        <v>0</v>
      </c>
      <c r="E20" s="173">
        <v>95</v>
      </c>
      <c r="F20" s="14">
        <f t="shared" ref="F20" si="6">+D20*E20</f>
        <v>0</v>
      </c>
      <c r="G20" s="14">
        <f t="shared" ref="G20" si="7">+F20*0.0725</f>
        <v>0</v>
      </c>
      <c r="K20">
        <v>1</v>
      </c>
      <c r="M20">
        <v>1</v>
      </c>
    </row>
    <row r="21" spans="1:13" ht="14.25" customHeight="1">
      <c r="A21" s="218" t="s">
        <v>941</v>
      </c>
      <c r="B21" s="218"/>
      <c r="C21" s="218">
        <v>25598</v>
      </c>
      <c r="D21" s="179">
        <v>0</v>
      </c>
      <c r="E21" s="173">
        <v>101</v>
      </c>
      <c r="F21" s="14">
        <f t="shared" ref="F21:F43" si="8">+D21*E21</f>
        <v>0</v>
      </c>
      <c r="G21" s="14">
        <f t="shared" si="2"/>
        <v>0</v>
      </c>
    </row>
    <row r="22" spans="1:13" ht="14.25" customHeight="1">
      <c r="A22" s="218" t="s">
        <v>942</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943</v>
      </c>
      <c r="B24" s="218"/>
      <c r="C24" s="218"/>
      <c r="D24" s="179"/>
      <c r="E24" s="173"/>
    </row>
    <row r="25" spans="1:13" ht="14.25" customHeight="1">
      <c r="A25" s="218" t="s">
        <v>944</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945</v>
      </c>
      <c r="B27" s="32"/>
      <c r="C27" s="32"/>
      <c r="D27" s="179">
        <v>0</v>
      </c>
      <c r="E27" s="173">
        <v>284.56</v>
      </c>
      <c r="F27" s="14">
        <f t="shared" si="8"/>
        <v>0</v>
      </c>
      <c r="G27" s="14">
        <f t="shared" si="2"/>
        <v>0</v>
      </c>
    </row>
    <row r="28" spans="1:13" ht="14.25" customHeight="1">
      <c r="A28" s="32" t="s">
        <v>946</v>
      </c>
      <c r="B28" s="32"/>
      <c r="C28" s="32">
        <v>72904</v>
      </c>
      <c r="D28" s="179">
        <v>0</v>
      </c>
      <c r="E28" s="173">
        <v>429.62</v>
      </c>
      <c r="F28" s="14">
        <f>+D28*E28</f>
        <v>0</v>
      </c>
      <c r="G28" s="14">
        <f t="shared" si="2"/>
        <v>0</v>
      </c>
    </row>
    <row r="29" spans="1:13" ht="14.25" customHeight="1">
      <c r="A29" s="32" t="s">
        <v>947</v>
      </c>
      <c r="B29" s="32"/>
      <c r="C29" s="32" t="s">
        <v>948</v>
      </c>
      <c r="D29" s="179">
        <v>0</v>
      </c>
      <c r="E29" s="173">
        <v>8.77</v>
      </c>
      <c r="F29" s="14">
        <f t="shared" si="8"/>
        <v>0</v>
      </c>
      <c r="G29" s="14">
        <f t="shared" si="2"/>
        <v>0</v>
      </c>
    </row>
    <row r="30" spans="1:13" ht="14.25" customHeight="1">
      <c r="A30" s="218" t="s">
        <v>949</v>
      </c>
      <c r="B30" s="218"/>
      <c r="C30" s="218" t="s">
        <v>950</v>
      </c>
      <c r="D30" s="179">
        <v>0</v>
      </c>
      <c r="E30" s="173">
        <v>18.88</v>
      </c>
      <c r="F30" s="14">
        <f t="shared" si="8"/>
        <v>0</v>
      </c>
      <c r="G30" s="14">
        <f t="shared" si="2"/>
        <v>0</v>
      </c>
    </row>
    <row r="31" spans="1:13" ht="14.25" customHeight="1">
      <c r="A31" s="218" t="s">
        <v>951</v>
      </c>
      <c r="B31" s="218"/>
      <c r="C31" s="218" t="s">
        <v>952</v>
      </c>
      <c r="D31" s="179">
        <v>0</v>
      </c>
      <c r="E31" s="173">
        <v>47.14</v>
      </c>
      <c r="F31" s="14">
        <f t="shared" si="8"/>
        <v>0</v>
      </c>
      <c r="G31" s="14">
        <f t="shared" si="2"/>
        <v>0</v>
      </c>
    </row>
    <row r="32" spans="1:13" ht="14.25" customHeight="1">
      <c r="A32" s="218" t="s">
        <v>951</v>
      </c>
      <c r="B32" s="218"/>
      <c r="C32" s="218" t="s">
        <v>953</v>
      </c>
      <c r="D32" s="179">
        <v>0</v>
      </c>
      <c r="E32" s="173">
        <v>27.73</v>
      </c>
      <c r="F32" s="14">
        <f t="shared" si="8"/>
        <v>0</v>
      </c>
      <c r="G32" s="14">
        <f t="shared" si="2"/>
        <v>0</v>
      </c>
    </row>
    <row r="33" spans="1:11" ht="14.25" customHeight="1">
      <c r="A33" s="32" t="s">
        <v>954</v>
      </c>
      <c r="B33" s="32" t="s">
        <v>955</v>
      </c>
      <c r="C33" s="32">
        <v>100619</v>
      </c>
      <c r="D33" s="179">
        <v>1</v>
      </c>
      <c r="E33" s="173">
        <v>65.08</v>
      </c>
      <c r="F33" s="14">
        <f t="shared" si="8"/>
        <v>65.08</v>
      </c>
      <c r="G33" s="14">
        <f t="shared" si="2"/>
        <v>4.7182999999999993</v>
      </c>
    </row>
    <row r="34" spans="1:11" ht="14.25" customHeight="1">
      <c r="A34" s="32" t="s">
        <v>956</v>
      </c>
      <c r="B34" s="32" t="s">
        <v>957</v>
      </c>
      <c r="C34" s="32" t="s">
        <v>241</v>
      </c>
      <c r="D34" s="179">
        <v>1</v>
      </c>
      <c r="E34" s="173">
        <v>39.04</v>
      </c>
      <c r="F34" s="14">
        <f t="shared" si="8"/>
        <v>39.04</v>
      </c>
      <c r="G34" s="14">
        <f t="shared" si="2"/>
        <v>2.8303999999999996</v>
      </c>
    </row>
    <row r="35" spans="1:11" ht="14.25" customHeight="1">
      <c r="A35" s="32" t="s">
        <v>958</v>
      </c>
      <c r="B35" s="32" t="s">
        <v>959</v>
      </c>
      <c r="C35" s="32"/>
      <c r="D35" s="179">
        <v>1</v>
      </c>
      <c r="E35" s="173">
        <v>91.778000000000006</v>
      </c>
      <c r="F35" s="14">
        <f t="shared" si="8"/>
        <v>91.778000000000006</v>
      </c>
      <c r="G35" s="14">
        <f t="shared" si="2"/>
        <v>6.653905</v>
      </c>
    </row>
    <row r="36" spans="1:11" ht="14.25" customHeight="1">
      <c r="A36" s="32" t="s">
        <v>960</v>
      </c>
      <c r="B36" s="32"/>
      <c r="C36" s="32" t="s">
        <v>961</v>
      </c>
      <c r="D36" s="179">
        <v>0</v>
      </c>
      <c r="E36" s="173">
        <v>69.97</v>
      </c>
      <c r="F36" s="14">
        <f t="shared" si="8"/>
        <v>0</v>
      </c>
      <c r="G36" s="14">
        <f t="shared" si="2"/>
        <v>0</v>
      </c>
    </row>
    <row r="37" spans="1:11" ht="14.25" customHeight="1">
      <c r="A37" s="32" t="s">
        <v>962</v>
      </c>
      <c r="B37" s="32"/>
      <c r="C37" s="32" t="s">
        <v>963</v>
      </c>
      <c r="D37" s="179">
        <v>0</v>
      </c>
      <c r="E37" s="173">
        <v>289</v>
      </c>
      <c r="F37" s="14">
        <f t="shared" si="8"/>
        <v>0</v>
      </c>
      <c r="G37" s="14">
        <f t="shared" si="2"/>
        <v>0</v>
      </c>
    </row>
    <row r="38" spans="1:11" ht="14.25" customHeight="1">
      <c r="A38" s="32" t="s">
        <v>964</v>
      </c>
      <c r="B38" s="32"/>
      <c r="C38" s="32" t="s">
        <v>965</v>
      </c>
      <c r="D38" s="179">
        <v>0</v>
      </c>
      <c r="E38" s="173">
        <v>15</v>
      </c>
      <c r="F38" s="14">
        <v>0</v>
      </c>
      <c r="G38" s="14">
        <f t="shared" si="2"/>
        <v>0</v>
      </c>
    </row>
    <row r="39" spans="1:11" ht="14.25" customHeight="1">
      <c r="A39" s="32" t="s">
        <v>966</v>
      </c>
      <c r="B39" s="32"/>
      <c r="C39" s="32"/>
      <c r="D39" s="179"/>
      <c r="E39" s="173"/>
      <c r="F39" s="14">
        <f t="shared" si="8"/>
        <v>0</v>
      </c>
      <c r="G39" s="14">
        <f t="shared" si="2"/>
        <v>0</v>
      </c>
    </row>
    <row r="40" spans="1:11" ht="14.25" customHeight="1">
      <c r="A40" s="32" t="s">
        <v>967</v>
      </c>
      <c r="B40" s="32"/>
      <c r="C40" s="32">
        <v>30699285174</v>
      </c>
      <c r="D40" s="179">
        <v>0</v>
      </c>
      <c r="E40" s="173">
        <v>12.93</v>
      </c>
      <c r="F40" s="14">
        <f t="shared" si="8"/>
        <v>0</v>
      </c>
      <c r="G40" s="14">
        <f t="shared" si="2"/>
        <v>0</v>
      </c>
    </row>
    <row r="41" spans="1:11" ht="14.25" customHeight="1">
      <c r="A41" s="32" t="s">
        <v>968</v>
      </c>
      <c r="B41" s="32"/>
      <c r="C41" s="190">
        <v>883351469845</v>
      </c>
      <c r="D41" s="179">
        <v>0</v>
      </c>
      <c r="E41" s="173">
        <v>47.97</v>
      </c>
      <c r="F41" s="14">
        <f t="shared" si="8"/>
        <v>0</v>
      </c>
      <c r="G41" s="14">
        <f t="shared" si="2"/>
        <v>0</v>
      </c>
    </row>
    <row r="42" spans="1:11" ht="14.25" customHeight="1">
      <c r="A42" s="32" t="s">
        <v>969</v>
      </c>
      <c r="B42" s="32"/>
      <c r="C42" s="190">
        <v>883351891448</v>
      </c>
      <c r="D42" s="179">
        <v>0</v>
      </c>
      <c r="E42" s="173">
        <v>77.569999999999993</v>
      </c>
      <c r="F42" s="14">
        <f t="shared" si="8"/>
        <v>0</v>
      </c>
      <c r="G42" s="14">
        <f t="shared" si="2"/>
        <v>0</v>
      </c>
    </row>
    <row r="43" spans="1:11" ht="14.25" customHeight="1" thickBot="1">
      <c r="A43" s="32" t="s">
        <v>970</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583</v>
      </c>
      <c r="C1" s="3"/>
    </row>
    <row r="2" spans="1:14">
      <c r="D2" s="3"/>
      <c r="E2" s="8"/>
      <c r="F2" s="526">
        <v>0.1</v>
      </c>
      <c r="G2" s="13"/>
      <c r="H2" s="13"/>
      <c r="I2" s="13"/>
      <c r="L2" s="790" t="s">
        <v>9</v>
      </c>
      <c r="M2" s="790" t="str">
        <f>IF(Profit!Q6,IF(N2,"Yes","No"),"No")</f>
        <v>No</v>
      </c>
      <c r="N2" s="792" t="b">
        <v>0</v>
      </c>
    </row>
    <row r="3" spans="1:14" ht="15.75" thickBot="1">
      <c r="A3" t="s">
        <v>109</v>
      </c>
      <c r="B3" s="31" t="s">
        <v>430</v>
      </c>
      <c r="C3" s="31" t="s">
        <v>884</v>
      </c>
      <c r="D3" s="31" t="s">
        <v>711</v>
      </c>
      <c r="E3" s="185" t="s">
        <v>712</v>
      </c>
      <c r="F3" s="185" t="s">
        <v>1151</v>
      </c>
      <c r="G3" s="186" t="s">
        <v>713</v>
      </c>
      <c r="H3" s="186" t="s">
        <v>426</v>
      </c>
      <c r="I3" s="186" t="s">
        <v>714</v>
      </c>
      <c r="L3" s="791"/>
      <c r="M3" s="791"/>
      <c r="N3" s="793"/>
    </row>
    <row r="4" spans="1:14">
      <c r="B4" s="330" t="s">
        <v>971</v>
      </c>
      <c r="C4" s="330"/>
      <c r="D4" s="330">
        <v>2</v>
      </c>
      <c r="E4" s="409">
        <v>2500</v>
      </c>
      <c r="F4" s="409"/>
      <c r="G4" s="338">
        <f>D4*E4</f>
        <v>5000</v>
      </c>
      <c r="H4" s="334">
        <f t="shared" ref="H4:H8" si="0">+G4*0.0725</f>
        <v>362.5</v>
      </c>
      <c r="I4" s="447">
        <f>SUM(G4:H4)</f>
        <v>5362.5</v>
      </c>
    </row>
    <row r="5" spans="1:14">
      <c r="B5" s="330" t="s">
        <v>972</v>
      </c>
      <c r="C5" s="330"/>
      <c r="D5" s="330">
        <v>0</v>
      </c>
      <c r="E5" s="410">
        <v>700</v>
      </c>
      <c r="F5" s="410"/>
      <c r="G5" s="338">
        <f>D5*E5</f>
        <v>0</v>
      </c>
      <c r="H5" s="334">
        <f t="shared" si="0"/>
        <v>0</v>
      </c>
      <c r="I5" s="447">
        <f>SUM(G5:H5)</f>
        <v>0</v>
      </c>
    </row>
    <row r="6" spans="1:14">
      <c r="B6" s="330" t="s">
        <v>973</v>
      </c>
      <c r="C6" s="330"/>
      <c r="D6" s="330">
        <v>5</v>
      </c>
      <c r="E6" s="410">
        <v>300</v>
      </c>
      <c r="F6" s="410"/>
      <c r="G6" s="338">
        <f t="shared" ref="G6:G8" si="1">D6*E6</f>
        <v>1500</v>
      </c>
      <c r="H6" s="334">
        <f t="shared" si="0"/>
        <v>108.74999999999999</v>
      </c>
      <c r="I6" s="447">
        <f t="shared" ref="I6:I8" si="2">SUM(G6:H6)</f>
        <v>1608.75</v>
      </c>
    </row>
    <row r="7" spans="1:14">
      <c r="B7" s="330" t="s">
        <v>974</v>
      </c>
      <c r="C7" s="330"/>
      <c r="D7" s="330">
        <v>5</v>
      </c>
      <c r="E7" s="410">
        <v>450</v>
      </c>
      <c r="F7" s="410"/>
      <c r="G7" s="338">
        <f t="shared" si="1"/>
        <v>2250</v>
      </c>
      <c r="H7" s="334">
        <f t="shared" si="0"/>
        <v>163.125</v>
      </c>
      <c r="I7" s="447">
        <f t="shared" si="2"/>
        <v>2413.125</v>
      </c>
    </row>
    <row r="8" spans="1:14">
      <c r="B8" s="330"/>
      <c r="C8" s="330"/>
      <c r="D8" s="330"/>
      <c r="E8" s="410"/>
      <c r="F8" s="410"/>
      <c r="G8" s="338">
        <f t="shared" si="1"/>
        <v>0</v>
      </c>
      <c r="H8" s="334">
        <f t="shared" si="0"/>
        <v>0</v>
      </c>
      <c r="I8" s="447">
        <f t="shared" si="2"/>
        <v>0</v>
      </c>
    </row>
    <row r="9" spans="1:14">
      <c r="B9" s="330"/>
      <c r="C9" s="330"/>
      <c r="D9" s="336"/>
      <c r="E9" s="331"/>
      <c r="F9" s="331"/>
      <c r="G9" s="338"/>
      <c r="H9" s="334"/>
      <c r="I9" s="447"/>
      <c r="J9" s="14">
        <f>IF(M2="Yes",+SUM(G4:H9),0)</f>
        <v>0</v>
      </c>
    </row>
    <row r="10" spans="1:14">
      <c r="B10" s="330"/>
      <c r="C10" s="330"/>
      <c r="D10" s="336"/>
      <c r="E10" s="331"/>
      <c r="F10" s="331"/>
      <c r="G10" s="338"/>
      <c r="H10" s="334"/>
      <c r="I10" s="447"/>
    </row>
    <row r="11" spans="1:14">
      <c r="B11" s="183" t="s">
        <v>1165</v>
      </c>
      <c r="C11" s="183" t="s">
        <v>975</v>
      </c>
      <c r="D11" s="181">
        <v>0</v>
      </c>
      <c r="E11" s="184">
        <v>154</v>
      </c>
      <c r="F11" s="184"/>
      <c r="G11" s="1">
        <f>D11*E11</f>
        <v>0</v>
      </c>
      <c r="H11" s="26">
        <f t="shared" ref="H11:H30" si="3">+G11*0.0725</f>
        <v>0</v>
      </c>
      <c r="I11" s="13"/>
    </row>
    <row r="12" spans="1:14">
      <c r="A12" s="443">
        <v>46090</v>
      </c>
      <c r="B12" s="181" t="s">
        <v>1150</v>
      </c>
      <c r="C12" s="181">
        <v>795984</v>
      </c>
      <c r="D12" s="179">
        <v>1</v>
      </c>
      <c r="E12" s="173">
        <v>437.8</v>
      </c>
      <c r="F12" s="179">
        <f>-E12*$F$2</f>
        <v>-43.78</v>
      </c>
      <c r="G12" s="1">
        <f>(D12*E12)+F12</f>
        <v>394.02</v>
      </c>
      <c r="H12" s="26">
        <f t="shared" si="3"/>
        <v>28.566449999999996</v>
      </c>
    </row>
    <row r="13" spans="1:14">
      <c r="A13" s="443">
        <v>46090</v>
      </c>
      <c r="B13" s="181" t="s">
        <v>1152</v>
      </c>
      <c r="C13" s="181" t="s">
        <v>976</v>
      </c>
      <c r="D13" s="179">
        <v>1</v>
      </c>
      <c r="E13" s="173">
        <v>250.84</v>
      </c>
      <c r="F13" s="179">
        <f t="shared" ref="F13:F30" si="4">-E13*$F$2</f>
        <v>-25.084000000000003</v>
      </c>
      <c r="G13" s="1">
        <f t="shared" ref="G13:G30" si="5">(D13*E13)+F13</f>
        <v>225.756</v>
      </c>
      <c r="H13" s="26">
        <f t="shared" si="3"/>
        <v>16.36731</v>
      </c>
    </row>
    <row r="14" spans="1:14">
      <c r="A14" s="443">
        <v>46090</v>
      </c>
      <c r="B14" s="181" t="s">
        <v>1153</v>
      </c>
      <c r="C14" s="181" t="s">
        <v>977</v>
      </c>
      <c r="D14" s="179">
        <v>1</v>
      </c>
      <c r="E14" s="173">
        <v>275.36</v>
      </c>
      <c r="F14" s="179">
        <f t="shared" si="4"/>
        <v>-27.536000000000001</v>
      </c>
      <c r="G14" s="1">
        <f t="shared" si="5"/>
        <v>247.82400000000001</v>
      </c>
      <c r="H14" s="26">
        <f t="shared" si="3"/>
        <v>17.96724</v>
      </c>
    </row>
    <row r="15" spans="1:14">
      <c r="A15" s="443">
        <v>46090</v>
      </c>
      <c r="B15" s="181" t="s">
        <v>1154</v>
      </c>
      <c r="C15" s="181" t="s">
        <v>978</v>
      </c>
      <c r="D15" s="179">
        <v>1</v>
      </c>
      <c r="E15" s="173">
        <v>175.4</v>
      </c>
      <c r="F15" s="179">
        <f t="shared" si="4"/>
        <v>-17.540000000000003</v>
      </c>
      <c r="G15" s="1">
        <f t="shared" si="5"/>
        <v>157.86000000000001</v>
      </c>
      <c r="H15" s="26">
        <f t="shared" si="3"/>
        <v>11.444850000000001</v>
      </c>
    </row>
    <row r="16" spans="1:14">
      <c r="A16" s="443">
        <v>46090</v>
      </c>
      <c r="B16" s="181" t="s">
        <v>1155</v>
      </c>
      <c r="C16" s="181" t="s">
        <v>979</v>
      </c>
      <c r="D16" s="179">
        <v>1</v>
      </c>
      <c r="E16" s="173">
        <v>207.32</v>
      </c>
      <c r="F16" s="179">
        <f t="shared" si="4"/>
        <v>-20.731999999999999</v>
      </c>
      <c r="G16" s="1">
        <f t="shared" si="5"/>
        <v>186.58799999999999</v>
      </c>
      <c r="H16" s="26">
        <f t="shared" si="3"/>
        <v>13.527629999999998</v>
      </c>
    </row>
    <row r="17" spans="1:12">
      <c r="A17" s="443">
        <v>46090</v>
      </c>
      <c r="B17" s="181" t="s">
        <v>1156</v>
      </c>
      <c r="C17" s="181" t="s">
        <v>980</v>
      </c>
      <c r="D17" s="179">
        <v>1</v>
      </c>
      <c r="E17" s="173">
        <v>314.24</v>
      </c>
      <c r="F17" s="179">
        <f t="shared" si="4"/>
        <v>-31.424000000000003</v>
      </c>
      <c r="G17" s="1">
        <f t="shared" si="5"/>
        <v>282.81600000000003</v>
      </c>
      <c r="H17" s="26">
        <f t="shared" si="3"/>
        <v>20.504160000000002</v>
      </c>
    </row>
    <row r="18" spans="1:12">
      <c r="A18" s="443">
        <v>46090</v>
      </c>
      <c r="B18" s="181" t="s">
        <v>1157</v>
      </c>
      <c r="C18" s="181"/>
      <c r="D18" s="179">
        <v>1</v>
      </c>
      <c r="E18" s="173">
        <v>184.18</v>
      </c>
      <c r="F18" s="179">
        <f t="shared" si="4"/>
        <v>-18.418000000000003</v>
      </c>
      <c r="G18" s="1">
        <f t="shared" si="5"/>
        <v>165.762</v>
      </c>
      <c r="H18" s="26">
        <f t="shared" si="3"/>
        <v>12.017745</v>
      </c>
    </row>
    <row r="19" spans="1:12">
      <c r="A19" s="443">
        <v>46090</v>
      </c>
      <c r="B19" s="181" t="s">
        <v>1158</v>
      </c>
      <c r="C19" s="181"/>
      <c r="D19" s="179">
        <v>1</v>
      </c>
      <c r="E19" s="173">
        <v>432.24</v>
      </c>
      <c r="F19" s="179">
        <f t="shared" si="4"/>
        <v>-43.224000000000004</v>
      </c>
      <c r="G19" s="1">
        <f t="shared" si="5"/>
        <v>389.01600000000002</v>
      </c>
      <c r="H19" s="26">
        <f t="shared" si="3"/>
        <v>28.203659999999999</v>
      </c>
    </row>
    <row r="20" spans="1:12">
      <c r="A20" s="443">
        <v>46090</v>
      </c>
      <c r="B20" s="181" t="s">
        <v>1159</v>
      </c>
      <c r="C20" s="181"/>
      <c r="D20" s="179">
        <v>1</v>
      </c>
      <c r="E20" s="173">
        <v>239.26</v>
      </c>
      <c r="F20" s="179">
        <f t="shared" si="4"/>
        <v>-23.926000000000002</v>
      </c>
      <c r="G20" s="1">
        <f t="shared" si="5"/>
        <v>215.334</v>
      </c>
      <c r="H20" s="26">
        <f t="shared" si="3"/>
        <v>15.611714999999998</v>
      </c>
    </row>
    <row r="21" spans="1:12">
      <c r="A21" s="443">
        <v>46090</v>
      </c>
      <c r="B21" s="181" t="s">
        <v>1160</v>
      </c>
      <c r="C21" s="181"/>
      <c r="D21" s="179">
        <v>1</v>
      </c>
      <c r="E21" s="173">
        <v>380</v>
      </c>
      <c r="F21" s="179">
        <f t="shared" si="4"/>
        <v>-38</v>
      </c>
      <c r="G21" s="1">
        <f t="shared" si="5"/>
        <v>342</v>
      </c>
      <c r="H21" s="26">
        <f t="shared" si="3"/>
        <v>24.794999999999998</v>
      </c>
    </row>
    <row r="22" spans="1:12">
      <c r="A22" s="443">
        <v>46090</v>
      </c>
      <c r="B22" s="181" t="s">
        <v>1161</v>
      </c>
      <c r="C22" s="181">
        <v>795984</v>
      </c>
      <c r="D22" s="179">
        <v>1</v>
      </c>
      <c r="E22" s="173">
        <v>50</v>
      </c>
      <c r="F22" s="179">
        <f t="shared" si="4"/>
        <v>-5</v>
      </c>
      <c r="G22" s="1">
        <f t="shared" si="5"/>
        <v>45</v>
      </c>
      <c r="H22" s="26">
        <f t="shared" si="3"/>
        <v>3.2624999999999997</v>
      </c>
    </row>
    <row r="23" spans="1:12">
      <c r="A23" s="443">
        <v>46090</v>
      </c>
      <c r="B23" s="181" t="s">
        <v>1162</v>
      </c>
      <c r="C23" s="181"/>
      <c r="D23" s="179">
        <v>1</v>
      </c>
      <c r="E23" s="173">
        <v>38</v>
      </c>
      <c r="F23" s="179">
        <f t="shared" si="4"/>
        <v>-3.8000000000000003</v>
      </c>
      <c r="G23" s="1">
        <f t="shared" si="5"/>
        <v>34.200000000000003</v>
      </c>
      <c r="H23" s="26">
        <f t="shared" si="3"/>
        <v>2.4794999999999998</v>
      </c>
    </row>
    <row r="24" spans="1:12">
      <c r="A24" s="443">
        <v>46090</v>
      </c>
      <c r="B24" s="181" t="s">
        <v>1163</v>
      </c>
      <c r="C24" s="181" t="s">
        <v>981</v>
      </c>
      <c r="D24" s="179">
        <v>1</v>
      </c>
      <c r="E24" s="173">
        <v>220</v>
      </c>
      <c r="F24" s="179">
        <f t="shared" si="4"/>
        <v>-22</v>
      </c>
      <c r="G24" s="1">
        <f t="shared" si="5"/>
        <v>198</v>
      </c>
      <c r="H24" s="26">
        <f t="shared" si="3"/>
        <v>14.354999999999999</v>
      </c>
    </row>
    <row r="25" spans="1:12">
      <c r="A25" s="443">
        <v>46090</v>
      </c>
      <c r="B25" s="181" t="s">
        <v>1164</v>
      </c>
      <c r="C25" s="181"/>
      <c r="D25" s="179">
        <v>1</v>
      </c>
      <c r="E25" s="173">
        <v>160</v>
      </c>
      <c r="F25" s="179">
        <f>-E25*$F$2</f>
        <v>-16</v>
      </c>
      <c r="G25" s="1">
        <f>(D25*E25)+F25</f>
        <v>144</v>
      </c>
      <c r="H25" s="26">
        <f>+G25*0.0725</f>
        <v>10.44</v>
      </c>
    </row>
    <row r="26" spans="1:12">
      <c r="A26" s="443">
        <v>46126</v>
      </c>
      <c r="B26" s="181" t="s">
        <v>1167</v>
      </c>
      <c r="C26" s="181"/>
      <c r="D26" s="179">
        <v>1</v>
      </c>
      <c r="E26" s="173">
        <v>207.58</v>
      </c>
      <c r="F26" s="179">
        <v>0</v>
      </c>
      <c r="G26" s="1">
        <f t="shared" si="5"/>
        <v>207.58</v>
      </c>
      <c r="H26" s="26">
        <f t="shared" si="3"/>
        <v>15.04955</v>
      </c>
    </row>
    <row r="27" spans="1:12">
      <c r="A27" s="443">
        <v>46126</v>
      </c>
      <c r="B27" s="181" t="s">
        <v>1168</v>
      </c>
      <c r="C27" s="181"/>
      <c r="D27" s="179">
        <v>1</v>
      </c>
      <c r="E27" s="173">
        <v>27.02</v>
      </c>
      <c r="F27" s="179"/>
      <c r="G27" s="1">
        <f t="shared" ref="G27" si="6">(D27*E27)+F27</f>
        <v>27.02</v>
      </c>
      <c r="H27" s="26">
        <f t="shared" ref="H27" si="7">+G27*0.0725</f>
        <v>1.9589499999999997</v>
      </c>
    </row>
    <row r="28" spans="1:12">
      <c r="A28" s="443">
        <v>46126</v>
      </c>
      <c r="B28" s="181" t="s">
        <v>1163</v>
      </c>
      <c r="C28" s="181"/>
      <c r="D28" s="179">
        <v>1</v>
      </c>
      <c r="E28" s="173">
        <v>280.10000000000002</v>
      </c>
      <c r="F28" s="179"/>
      <c r="G28" s="1">
        <f t="shared" ref="G28" si="8">(D28*E28)+F28</f>
        <v>280.10000000000002</v>
      </c>
      <c r="H28" s="26">
        <f t="shared" ref="H28" si="9">+G28*0.0725</f>
        <v>20.30725</v>
      </c>
    </row>
    <row r="30" spans="1:12" ht="15.75" thickBot="1">
      <c r="B30" s="181" t="s">
        <v>982</v>
      </c>
      <c r="C30" s="181"/>
      <c r="D30" s="179">
        <v>1</v>
      </c>
      <c r="E30" s="173"/>
      <c r="F30" s="179">
        <f t="shared" si="4"/>
        <v>0</v>
      </c>
      <c r="G30" s="1">
        <f t="shared" si="5"/>
        <v>0</v>
      </c>
      <c r="H30" s="21">
        <f t="shared" si="3"/>
        <v>0</v>
      </c>
      <c r="I30" s="21"/>
    </row>
    <row r="31" spans="1:12">
      <c r="J31" s="14">
        <f>+SUM(G11:H30)</f>
        <v>3799.7345099999998</v>
      </c>
      <c r="L31" s="1"/>
    </row>
    <row r="32" spans="1:12">
      <c r="B32" s="32" t="s">
        <v>983</v>
      </c>
    </row>
    <row r="33" spans="1:10">
      <c r="B33" s="3" t="s">
        <v>430</v>
      </c>
      <c r="C33" s="3" t="s">
        <v>884</v>
      </c>
      <c r="D33" s="3" t="s">
        <v>711</v>
      </c>
      <c r="E33" s="8" t="s">
        <v>712</v>
      </c>
      <c r="F33" s="8"/>
      <c r="G33" s="13" t="s">
        <v>713</v>
      </c>
      <c r="H33" s="13"/>
      <c r="I33" s="13" t="s">
        <v>714</v>
      </c>
    </row>
    <row r="34" spans="1:10">
      <c r="A34" s="107">
        <v>46141</v>
      </c>
      <c r="B34" t="s">
        <v>1180</v>
      </c>
      <c r="C34" s="95" t="s">
        <v>984</v>
      </c>
      <c r="D34" s="179">
        <v>1</v>
      </c>
      <c r="E34" s="173">
        <v>2729</v>
      </c>
      <c r="F34" s="173"/>
      <c r="G34" s="1">
        <f>D34*E34</f>
        <v>2729</v>
      </c>
      <c r="H34" s="26">
        <f>+G34*0.0725</f>
        <v>197.85249999999999</v>
      </c>
    </row>
    <row r="35" spans="1:10">
      <c r="B35" s="95"/>
      <c r="C35" s="95" t="s">
        <v>985</v>
      </c>
      <c r="D35" s="179">
        <v>0</v>
      </c>
      <c r="E35" s="173">
        <v>0</v>
      </c>
      <c r="F35" s="173"/>
      <c r="G35" s="1">
        <f>D35*E35</f>
        <v>0</v>
      </c>
      <c r="H35" s="26">
        <f>+G35*0.0725</f>
        <v>0</v>
      </c>
    </row>
    <row r="36" spans="1:10">
      <c r="B36" s="95"/>
      <c r="C36" s="95" t="s">
        <v>986</v>
      </c>
      <c r="D36" s="179">
        <v>0</v>
      </c>
      <c r="E36" s="173">
        <v>0</v>
      </c>
      <c r="F36" s="173"/>
      <c r="G36" s="1">
        <f>D36*E36</f>
        <v>0</v>
      </c>
      <c r="H36" s="26">
        <f>+G36*0.0725</f>
        <v>0</v>
      </c>
    </row>
    <row r="37" spans="1:10">
      <c r="B37" s="28" t="s">
        <v>987</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988</v>
      </c>
    </row>
    <row r="43" spans="1:10">
      <c r="B43" s="3" t="s">
        <v>430</v>
      </c>
      <c r="C43" s="3" t="s">
        <v>884</v>
      </c>
      <c r="D43" s="3" t="s">
        <v>711</v>
      </c>
      <c r="E43" s="8" t="s">
        <v>712</v>
      </c>
      <c r="F43" s="8"/>
      <c r="G43" s="13" t="s">
        <v>713</v>
      </c>
      <c r="H43" s="13"/>
      <c r="I43" s="13" t="s">
        <v>714</v>
      </c>
    </row>
    <row r="44" spans="1:10">
      <c r="B44" s="183" t="s">
        <v>989</v>
      </c>
      <c r="C44" s="183"/>
      <c r="D44" s="183">
        <v>0</v>
      </c>
      <c r="E44" s="184">
        <v>1100</v>
      </c>
      <c r="F44" s="184"/>
      <c r="G44" s="14">
        <f t="shared" ref="G44:G49" si="10">+D44*E44</f>
        <v>0</v>
      </c>
      <c r="H44" s="26">
        <f t="shared" ref="H44:H49" si="11">+G44*0.0725</f>
        <v>0</v>
      </c>
      <c r="I44" s="13"/>
    </row>
    <row r="45" spans="1:10">
      <c r="B45" s="95" t="s">
        <v>990</v>
      </c>
      <c r="C45" s="95">
        <v>400390</v>
      </c>
      <c r="D45" s="179">
        <v>0</v>
      </c>
      <c r="E45" s="173">
        <v>2.0499999999999998</v>
      </c>
      <c r="F45" s="173"/>
      <c r="G45" s="14">
        <f t="shared" si="10"/>
        <v>0</v>
      </c>
      <c r="H45" s="26">
        <f t="shared" si="11"/>
        <v>0</v>
      </c>
    </row>
    <row r="46" spans="1:10">
      <c r="B46" s="95" t="s">
        <v>991</v>
      </c>
      <c r="C46" s="95">
        <v>376787</v>
      </c>
      <c r="D46" s="179">
        <v>0</v>
      </c>
      <c r="E46" s="173">
        <v>4.9800000000000004</v>
      </c>
      <c r="F46" s="173"/>
      <c r="G46" s="14">
        <f t="shared" si="10"/>
        <v>0</v>
      </c>
      <c r="H46" s="26">
        <f t="shared" si="11"/>
        <v>0</v>
      </c>
    </row>
    <row r="47" spans="1:10">
      <c r="B47" s="95" t="s">
        <v>241</v>
      </c>
      <c r="C47" s="95" t="s">
        <v>241</v>
      </c>
      <c r="D47" s="179">
        <v>0</v>
      </c>
      <c r="E47" s="173">
        <v>0</v>
      </c>
      <c r="F47" s="173"/>
      <c r="G47" s="14">
        <f t="shared" si="10"/>
        <v>0</v>
      </c>
      <c r="H47" s="26">
        <f t="shared" si="11"/>
        <v>0</v>
      </c>
    </row>
    <row r="48" spans="1:10">
      <c r="B48" s="95" t="s">
        <v>992</v>
      </c>
      <c r="C48" s="95">
        <v>2280072</v>
      </c>
      <c r="D48" s="179">
        <v>0</v>
      </c>
      <c r="E48" s="173">
        <v>18.97</v>
      </c>
      <c r="F48" s="173"/>
      <c r="G48" s="14">
        <f t="shared" si="10"/>
        <v>0</v>
      </c>
      <c r="H48" s="26">
        <f t="shared" si="11"/>
        <v>0</v>
      </c>
    </row>
    <row r="49" spans="2:12" ht="15.75" thickBot="1">
      <c r="B49" s="95" t="s">
        <v>993</v>
      </c>
      <c r="C49" s="95">
        <v>1000707539</v>
      </c>
      <c r="D49" s="179">
        <v>0</v>
      </c>
      <c r="E49" s="173">
        <v>1.98</v>
      </c>
      <c r="F49" s="173"/>
      <c r="G49" s="21">
        <f t="shared" si="10"/>
        <v>0</v>
      </c>
      <c r="H49" s="21">
        <f t="shared" si="11"/>
        <v>0</v>
      </c>
      <c r="I49" s="21"/>
    </row>
    <row r="50" spans="2:12">
      <c r="J50" s="14">
        <f>+SUM(G44:H49)</f>
        <v>0</v>
      </c>
    </row>
    <row r="51" spans="2:12" ht="15.75" thickBot="1">
      <c r="J51" s="21"/>
      <c r="L51" s="3" t="s">
        <v>241</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469</v>
      </c>
      <c r="D1" s="32"/>
      <c r="E1" s="32"/>
      <c r="L1" s="790" t="s">
        <v>9</v>
      </c>
      <c r="M1" s="790" t="str">
        <f>IF(Profit!Q6,IF(N1,"Yes","No"),"No")</f>
        <v>No</v>
      </c>
      <c r="N1" s="792" t="b">
        <v>0</v>
      </c>
    </row>
    <row r="2" spans="1:18" s="3" customFormat="1" ht="15.75" thickBot="1">
      <c r="A2" s="3" t="s">
        <v>109</v>
      </c>
      <c r="B2" s="3" t="s">
        <v>994</v>
      </c>
      <c r="C2" s="3" t="s">
        <v>430</v>
      </c>
      <c r="D2" s="3" t="s">
        <v>752</v>
      </c>
      <c r="E2" s="3" t="s">
        <v>753</v>
      </c>
      <c r="F2" s="3" t="s">
        <v>754</v>
      </c>
      <c r="G2" s="3" t="s">
        <v>431</v>
      </c>
      <c r="H2" s="8" t="s">
        <v>712</v>
      </c>
      <c r="I2" s="6" t="s">
        <v>713</v>
      </c>
      <c r="J2" s="13" t="s">
        <v>426</v>
      </c>
      <c r="K2" s="3" t="s">
        <v>714</v>
      </c>
      <c r="L2" s="791"/>
      <c r="M2" s="791"/>
      <c r="N2" s="793"/>
      <c r="O2" s="32"/>
    </row>
    <row r="3" spans="1:18" s="3" customFormat="1">
      <c r="B3" s="330"/>
      <c r="C3" s="330" t="s">
        <v>755</v>
      </c>
      <c r="D3" s="330"/>
      <c r="E3" s="337">
        <f>+Profit!K9</f>
        <v>1277</v>
      </c>
      <c r="F3" s="330"/>
      <c r="G3" s="330"/>
      <c r="H3" s="331"/>
      <c r="I3" s="341"/>
      <c r="J3" s="332"/>
      <c r="L3"/>
      <c r="M3"/>
      <c r="N3" s="5"/>
      <c r="O3" s="32"/>
    </row>
    <row r="4" spans="1:18" s="3" customFormat="1">
      <c r="B4" s="325" t="s">
        <v>818</v>
      </c>
      <c r="C4" s="325" t="s">
        <v>995</v>
      </c>
      <c r="D4" s="325"/>
      <c r="E4" s="325"/>
      <c r="F4" s="325" t="s">
        <v>820</v>
      </c>
      <c r="G4" s="431">
        <f>+$E$3/84.45</f>
        <v>15.12137359384251</v>
      </c>
      <c r="H4" s="333">
        <v>47.91</v>
      </c>
      <c r="I4" s="333">
        <f>+G4*H4</f>
        <v>724.46500888099456</v>
      </c>
      <c r="J4" s="334">
        <f>+I4*0.0725</f>
        <v>52.523713143872101</v>
      </c>
      <c r="N4" s="5"/>
      <c r="O4" s="32"/>
    </row>
    <row r="5" spans="1:18" s="3" customFormat="1">
      <c r="B5" s="325" t="s">
        <v>826</v>
      </c>
      <c r="C5" s="325" t="s">
        <v>833</v>
      </c>
      <c r="D5" s="325"/>
      <c r="E5" s="325"/>
      <c r="F5" s="325" t="s">
        <v>832</v>
      </c>
      <c r="G5" s="431">
        <f>+$E$3/168.9</f>
        <v>7.5606867969212548</v>
      </c>
      <c r="H5" s="333">
        <v>44.24</v>
      </c>
      <c r="I5" s="333">
        <f t="shared" ref="I5:I12" si="0">+G5*H5</f>
        <v>334.48478389579634</v>
      </c>
      <c r="J5" s="334">
        <f>+I5*0.0725</f>
        <v>24.250146832445232</v>
      </c>
      <c r="N5" s="5"/>
      <c r="O5" s="32"/>
    </row>
    <row r="6" spans="1:18" s="3" customFormat="1">
      <c r="B6" s="325" t="s">
        <v>834</v>
      </c>
      <c r="C6" s="325" t="s">
        <v>834</v>
      </c>
      <c r="D6" s="325"/>
      <c r="E6" s="325"/>
      <c r="F6" s="325">
        <v>185342</v>
      </c>
      <c r="G6" s="431">
        <f>+$E$3/168.9</f>
        <v>7.5606867969212548</v>
      </c>
      <c r="H6" s="326">
        <f>147/5</f>
        <v>29.4</v>
      </c>
      <c r="I6" s="333">
        <f t="shared" si="0"/>
        <v>222.28419182948488</v>
      </c>
      <c r="J6" s="334">
        <f>+I6*0.0725</f>
        <v>16.115603907637652</v>
      </c>
      <c r="N6" s="5"/>
      <c r="O6" s="32"/>
    </row>
    <row r="7" spans="1:18">
      <c r="B7" s="325" t="s">
        <v>463</v>
      </c>
      <c r="C7" s="325" t="s">
        <v>841</v>
      </c>
      <c r="D7" s="325"/>
      <c r="E7" s="325"/>
      <c r="F7" s="325">
        <v>985007</v>
      </c>
      <c r="G7" s="431"/>
      <c r="H7" s="333">
        <v>52.23</v>
      </c>
      <c r="I7" s="333">
        <f t="shared" si="0"/>
        <v>0</v>
      </c>
      <c r="J7" s="334">
        <f>+I7*0.0725</f>
        <v>0</v>
      </c>
    </row>
    <row r="8" spans="1:18">
      <c r="B8" s="325"/>
      <c r="C8" s="325" t="s">
        <v>463</v>
      </c>
      <c r="D8" s="325"/>
      <c r="E8" s="325"/>
      <c r="F8" s="325"/>
      <c r="G8" s="431">
        <v>2</v>
      </c>
      <c r="H8" s="333">
        <v>4.9141503848431025</v>
      </c>
      <c r="I8" s="333">
        <f t="shared" ref="I8:I11" si="1">+G8*H8</f>
        <v>9.828300769686205</v>
      </c>
      <c r="J8" s="334">
        <f t="shared" ref="J8:J12" si="2">+I8*0.0725</f>
        <v>0.71255180580224986</v>
      </c>
    </row>
    <row r="9" spans="1:18">
      <c r="B9" s="325" t="s">
        <v>477</v>
      </c>
      <c r="C9" s="325" t="s">
        <v>996</v>
      </c>
      <c r="D9" s="325"/>
      <c r="E9" s="325"/>
      <c r="F9" s="325"/>
      <c r="G9" s="431">
        <v>1</v>
      </c>
      <c r="H9" s="333">
        <v>45</v>
      </c>
      <c r="I9" s="333">
        <f t="shared" si="1"/>
        <v>45</v>
      </c>
      <c r="J9" s="334">
        <f t="shared" si="2"/>
        <v>3.2624999999999997</v>
      </c>
    </row>
    <row r="10" spans="1:18">
      <c r="B10" s="325"/>
      <c r="C10" s="325" t="s">
        <v>997</v>
      </c>
      <c r="D10" s="325"/>
      <c r="E10" s="325"/>
      <c r="F10" s="325"/>
      <c r="G10" s="431">
        <v>0</v>
      </c>
      <c r="H10" s="333">
        <v>6800</v>
      </c>
      <c r="I10" s="333">
        <f t="shared" si="1"/>
        <v>0</v>
      </c>
      <c r="J10" s="334">
        <f t="shared" si="2"/>
        <v>0</v>
      </c>
    </row>
    <row r="11" spans="1:18">
      <c r="B11" s="325"/>
      <c r="C11" s="325" t="s">
        <v>998</v>
      </c>
      <c r="D11" s="325"/>
      <c r="E11" s="325"/>
      <c r="F11" s="325"/>
      <c r="G11" s="431">
        <v>0</v>
      </c>
      <c r="H11" s="333">
        <v>3400</v>
      </c>
      <c r="I11" s="333">
        <f t="shared" si="1"/>
        <v>0</v>
      </c>
      <c r="J11" s="334">
        <f t="shared" si="2"/>
        <v>0</v>
      </c>
    </row>
    <row r="12" spans="1:18">
      <c r="B12" s="325" t="s">
        <v>861</v>
      </c>
      <c r="C12" s="325" t="s">
        <v>999</v>
      </c>
      <c r="D12" s="325"/>
      <c r="E12" s="337">
        <f>+$F$3</f>
        <v>0</v>
      </c>
      <c r="F12" s="325" t="s">
        <v>863</v>
      </c>
      <c r="G12" s="431">
        <v>0</v>
      </c>
      <c r="H12" s="333">
        <f>+E3/0.2035</f>
        <v>6275.184275184276</v>
      </c>
      <c r="I12" s="333">
        <f t="shared" si="0"/>
        <v>0</v>
      </c>
      <c r="J12" s="334">
        <f t="shared" si="2"/>
        <v>0</v>
      </c>
      <c r="M12" s="446"/>
    </row>
    <row r="13" spans="1:18" s="3" customFormat="1">
      <c r="G13" s="789" t="s">
        <v>817</v>
      </c>
      <c r="H13" s="708"/>
      <c r="I13" s="708"/>
      <c r="J13" s="30"/>
      <c r="K13" s="1">
        <f>IF(M1="Yes",SUM(I4:J12),0)</f>
        <v>0</v>
      </c>
      <c r="L13"/>
      <c r="M13"/>
      <c r="N13" s="5"/>
      <c r="O13" s="32"/>
    </row>
    <row r="14" spans="1:18" s="3" customFormat="1">
      <c r="L14"/>
      <c r="M14"/>
      <c r="N14" s="5"/>
      <c r="O14" s="32"/>
      <c r="P14" s="30"/>
      <c r="Q14" s="30"/>
      <c r="R14" s="30"/>
    </row>
    <row r="15" spans="1:18" s="3" customFormat="1">
      <c r="B15" t="s">
        <v>818</v>
      </c>
      <c r="D15" s="32"/>
      <c r="L15"/>
      <c r="M15"/>
      <c r="N15" s="5"/>
      <c r="O15" s="32"/>
      <c r="P15" s="30"/>
      <c r="Q15" s="30"/>
      <c r="R15" s="30"/>
    </row>
    <row r="16" spans="1:18">
      <c r="C16" s="95" t="s">
        <v>819</v>
      </c>
      <c r="D16" s="95"/>
      <c r="F16" s="95" t="s">
        <v>820</v>
      </c>
      <c r="G16" s="179">
        <v>0</v>
      </c>
      <c r="H16" s="173">
        <v>68.540000000000006</v>
      </c>
      <c r="I16" s="5">
        <f t="shared" ref="I16:I23" si="3">+G16*H16</f>
        <v>0</v>
      </c>
      <c r="J16" s="26">
        <f t="shared" ref="J16:J23" si="4">+I16*0.0725</f>
        <v>0</v>
      </c>
      <c r="K16"/>
      <c r="N16" s="5"/>
      <c r="P16" s="2"/>
      <c r="Q16" s="2"/>
      <c r="R16" s="30"/>
    </row>
    <row r="17" spans="1:18">
      <c r="C17" s="95" t="s">
        <v>821</v>
      </c>
      <c r="D17" s="95" t="s">
        <v>822</v>
      </c>
      <c r="F17" s="95" t="s">
        <v>823</v>
      </c>
      <c r="G17" s="179">
        <v>0</v>
      </c>
      <c r="H17" s="173">
        <f>35.99*5</f>
        <v>179.95000000000002</v>
      </c>
      <c r="I17" s="5">
        <f t="shared" si="3"/>
        <v>0</v>
      </c>
      <c r="J17" s="26">
        <f t="shared" si="4"/>
        <v>0</v>
      </c>
      <c r="K17"/>
      <c r="N17" s="5"/>
      <c r="O17" s="32"/>
      <c r="P17" s="522"/>
      <c r="Q17" s="30"/>
      <c r="R17" s="30"/>
    </row>
    <row r="18" spans="1:18">
      <c r="C18" s="95" t="s">
        <v>821</v>
      </c>
      <c r="D18" s="95" t="s">
        <v>824</v>
      </c>
      <c r="F18" s="95" t="s">
        <v>823</v>
      </c>
      <c r="G18" s="179">
        <v>0</v>
      </c>
      <c r="H18" s="173">
        <f>35.99*5</f>
        <v>179.95000000000002</v>
      </c>
      <c r="I18" s="5">
        <f t="shared" si="3"/>
        <v>0</v>
      </c>
      <c r="J18" s="26">
        <f t="shared" si="4"/>
        <v>0</v>
      </c>
      <c r="K18"/>
      <c r="N18" s="5"/>
      <c r="O18" s="32"/>
      <c r="P18" s="30"/>
      <c r="Q18" s="30"/>
      <c r="R18" s="30"/>
    </row>
    <row r="19" spans="1:18">
      <c r="A19" s="107">
        <v>45928</v>
      </c>
      <c r="C19" s="95" t="s">
        <v>821</v>
      </c>
      <c r="D19" s="95" t="s">
        <v>1000</v>
      </c>
      <c r="F19" s="95" t="s">
        <v>825</v>
      </c>
      <c r="G19" s="179">
        <v>3</v>
      </c>
      <c r="H19" s="173">
        <v>140</v>
      </c>
      <c r="I19" s="5">
        <f t="shared" si="3"/>
        <v>420</v>
      </c>
      <c r="J19" s="26">
        <f t="shared" si="4"/>
        <v>30.45</v>
      </c>
      <c r="K19"/>
      <c r="L19" s="19" t="s">
        <v>1001</v>
      </c>
      <c r="P19" s="30"/>
      <c r="Q19" s="30"/>
      <c r="R19" s="30"/>
    </row>
    <row r="20" spans="1:18">
      <c r="C20" s="95" t="s">
        <v>1002</v>
      </c>
      <c r="D20" s="95" t="s">
        <v>1000</v>
      </c>
      <c r="F20" s="95" t="s">
        <v>825</v>
      </c>
      <c r="G20" s="179">
        <v>0</v>
      </c>
      <c r="H20" s="173">
        <v>130</v>
      </c>
      <c r="I20" s="5">
        <f t="shared" ref="I20" si="5">+G20*H20</f>
        <v>0</v>
      </c>
      <c r="J20" s="26">
        <f t="shared" ref="J20" si="6">+I20*0.0725</f>
        <v>0</v>
      </c>
      <c r="K20"/>
      <c r="L20" s="19"/>
      <c r="P20" s="30"/>
      <c r="Q20" s="30"/>
      <c r="R20" s="30"/>
    </row>
    <row r="21" spans="1:18">
      <c r="B21" t="s">
        <v>826</v>
      </c>
      <c r="C21" s="95"/>
      <c r="D21" s="95"/>
      <c r="F21" s="95"/>
      <c r="G21" s="179"/>
      <c r="H21" s="173"/>
      <c r="I21" s="5">
        <f t="shared" si="3"/>
        <v>0</v>
      </c>
      <c r="J21" s="26">
        <f t="shared" si="4"/>
        <v>0</v>
      </c>
      <c r="K21"/>
      <c r="P21" s="30"/>
      <c r="Q21" s="30"/>
      <c r="R21" s="30"/>
    </row>
    <row r="22" spans="1:18">
      <c r="A22" s="107">
        <v>45928</v>
      </c>
      <c r="C22" s="95" t="s">
        <v>827</v>
      </c>
      <c r="D22" s="95"/>
      <c r="F22" s="95" t="s">
        <v>828</v>
      </c>
      <c r="G22" s="179">
        <v>1</v>
      </c>
      <c r="H22" s="173">
        <v>217.45</v>
      </c>
      <c r="I22" s="5">
        <f t="shared" si="3"/>
        <v>217.45</v>
      </c>
      <c r="J22" s="26">
        <f t="shared" si="4"/>
        <v>15.765124999999998</v>
      </c>
      <c r="K22"/>
      <c r="L22" s="19" t="s">
        <v>1003</v>
      </c>
      <c r="P22" s="30"/>
      <c r="Q22" s="30"/>
      <c r="R22" s="30"/>
    </row>
    <row r="23" spans="1:18">
      <c r="A23" s="107">
        <v>45928</v>
      </c>
      <c r="C23" s="95" t="s">
        <v>829</v>
      </c>
      <c r="D23" s="95"/>
      <c r="F23" s="95" t="s">
        <v>830</v>
      </c>
      <c r="G23" s="179">
        <v>3</v>
      </c>
      <c r="H23" s="173">
        <v>44.24</v>
      </c>
      <c r="I23" s="5">
        <f t="shared" si="3"/>
        <v>132.72</v>
      </c>
      <c r="J23" s="26">
        <f t="shared" si="4"/>
        <v>9.6221999999999994</v>
      </c>
      <c r="K23"/>
      <c r="P23" s="2"/>
      <c r="Q23" s="2"/>
      <c r="R23" s="30"/>
    </row>
    <row r="24" spans="1:18">
      <c r="P24" s="2"/>
      <c r="Q24" s="2"/>
      <c r="R24" s="30"/>
    </row>
    <row r="25" spans="1:18">
      <c r="B25" t="s">
        <v>834</v>
      </c>
      <c r="K25"/>
      <c r="P25" s="2"/>
      <c r="Q25" s="2"/>
      <c r="R25" s="30"/>
    </row>
    <row r="26" spans="1:18">
      <c r="C26" s="95" t="s">
        <v>831</v>
      </c>
      <c r="D26" s="95"/>
      <c r="F26" s="95" t="s">
        <v>832</v>
      </c>
      <c r="G26" s="179"/>
      <c r="H26" s="173">
        <v>33.99</v>
      </c>
      <c r="I26" s="5">
        <f>+G26*H26</f>
        <v>0</v>
      </c>
      <c r="J26" s="26">
        <f>+I26*0.0725</f>
        <v>0</v>
      </c>
      <c r="K26"/>
      <c r="P26" s="2"/>
      <c r="Q26" s="2"/>
      <c r="R26" s="30"/>
    </row>
    <row r="27" spans="1:18">
      <c r="C27" s="95" t="s">
        <v>833</v>
      </c>
      <c r="D27" s="95"/>
      <c r="F27" s="95" t="s">
        <v>832</v>
      </c>
      <c r="G27" s="179"/>
      <c r="H27" s="173">
        <v>33.99</v>
      </c>
      <c r="I27" s="5">
        <f t="shared" ref="I27:I36" si="7">+G27*H27</f>
        <v>0</v>
      </c>
      <c r="J27" s="26">
        <f t="shared" ref="J27:J36" si="8">+I27*0.0725</f>
        <v>0</v>
      </c>
      <c r="K27"/>
    </row>
    <row r="28" spans="1:18">
      <c r="C28" s="95" t="s">
        <v>1004</v>
      </c>
      <c r="D28" s="95"/>
      <c r="F28" s="95" t="s">
        <v>1005</v>
      </c>
      <c r="G28" s="179">
        <v>0</v>
      </c>
      <c r="H28" s="173">
        <v>15.85</v>
      </c>
      <c r="I28" s="5">
        <f t="shared" si="7"/>
        <v>0</v>
      </c>
      <c r="J28" s="26">
        <f t="shared" si="8"/>
        <v>0</v>
      </c>
      <c r="K28"/>
      <c r="L28" s="19" t="s">
        <v>1006</v>
      </c>
    </row>
    <row r="29" spans="1:18">
      <c r="C29" s="95" t="s">
        <v>836</v>
      </c>
      <c r="D29" s="95"/>
      <c r="F29" s="95" t="s">
        <v>837</v>
      </c>
      <c r="G29" s="179">
        <v>0</v>
      </c>
      <c r="H29" s="173">
        <f>5*25.79</f>
        <v>128.94999999999999</v>
      </c>
      <c r="I29" s="5">
        <f t="shared" si="7"/>
        <v>0</v>
      </c>
      <c r="J29" s="26">
        <f t="shared" si="8"/>
        <v>0</v>
      </c>
      <c r="K29"/>
    </row>
    <row r="30" spans="1:18">
      <c r="B30" t="s">
        <v>463</v>
      </c>
      <c r="C30" s="95"/>
      <c r="D30" s="95"/>
      <c r="F30" s="95"/>
      <c r="G30" s="179"/>
      <c r="H30" s="173"/>
      <c r="I30" s="5">
        <f t="shared" si="7"/>
        <v>0</v>
      </c>
      <c r="J30" s="26">
        <f t="shared" si="8"/>
        <v>0</v>
      </c>
      <c r="K30"/>
    </row>
    <row r="31" spans="1:18">
      <c r="C31" s="95" t="s">
        <v>838</v>
      </c>
      <c r="D31" s="95"/>
      <c r="F31" s="95" t="s">
        <v>839</v>
      </c>
      <c r="G31" s="179">
        <v>0</v>
      </c>
      <c r="H31" s="173">
        <f>5*63.05</f>
        <v>315.25</v>
      </c>
      <c r="I31" s="5">
        <f t="shared" si="7"/>
        <v>0</v>
      </c>
      <c r="J31" s="26">
        <f t="shared" si="8"/>
        <v>0</v>
      </c>
      <c r="K31"/>
    </row>
    <row r="32" spans="1:18">
      <c r="C32" s="95" t="s">
        <v>840</v>
      </c>
      <c r="D32" s="95"/>
      <c r="F32" s="95">
        <v>389832</v>
      </c>
      <c r="G32" s="179">
        <v>0</v>
      </c>
      <c r="H32" s="173">
        <v>39.979999999999997</v>
      </c>
      <c r="I32" s="5">
        <f t="shared" si="7"/>
        <v>0</v>
      </c>
      <c r="J32" s="26">
        <f t="shared" si="8"/>
        <v>0</v>
      </c>
      <c r="K32"/>
    </row>
    <row r="33" spans="2:16">
      <c r="C33" s="95" t="s">
        <v>841</v>
      </c>
      <c r="D33" s="95"/>
      <c r="F33" s="95">
        <v>985007</v>
      </c>
      <c r="G33" s="179"/>
      <c r="H33" s="173">
        <v>52.23</v>
      </c>
      <c r="I33" s="5">
        <f t="shared" si="7"/>
        <v>0</v>
      </c>
      <c r="J33" s="26">
        <f t="shared" si="8"/>
        <v>0</v>
      </c>
      <c r="K33"/>
      <c r="L33" s="19" t="s">
        <v>1007</v>
      </c>
    </row>
    <row r="34" spans="2:16">
      <c r="C34" s="95" t="s">
        <v>842</v>
      </c>
      <c r="D34" s="95"/>
      <c r="F34" s="95">
        <v>814917</v>
      </c>
      <c r="G34" s="179"/>
      <c r="H34" s="173">
        <f>109/5</f>
        <v>21.8</v>
      </c>
      <c r="I34" s="5">
        <f t="shared" si="7"/>
        <v>0</v>
      </c>
      <c r="J34" s="26">
        <f t="shared" si="8"/>
        <v>0</v>
      </c>
      <c r="K34"/>
    </row>
    <row r="35" spans="2:16">
      <c r="C35" s="95" t="s">
        <v>843</v>
      </c>
      <c r="D35" s="95"/>
      <c r="F35" s="95" t="s">
        <v>844</v>
      </c>
      <c r="G35" s="179">
        <v>0</v>
      </c>
      <c r="H35" s="173">
        <v>40</v>
      </c>
      <c r="I35" s="5">
        <f t="shared" si="7"/>
        <v>0</v>
      </c>
      <c r="J35" s="26">
        <f t="shared" si="8"/>
        <v>0</v>
      </c>
      <c r="K35"/>
    </row>
    <row r="36" spans="2:16">
      <c r="C36" s="2" t="s">
        <v>845</v>
      </c>
      <c r="F36" s="95" t="s">
        <v>846</v>
      </c>
      <c r="G36" s="179">
        <v>0</v>
      </c>
      <c r="H36" s="173">
        <v>50.24</v>
      </c>
      <c r="I36" s="5">
        <f t="shared" si="7"/>
        <v>0</v>
      </c>
      <c r="J36" s="26">
        <f t="shared" si="8"/>
        <v>0</v>
      </c>
    </row>
    <row r="37" spans="2:16">
      <c r="B37" t="s">
        <v>583</v>
      </c>
      <c r="D37" s="32"/>
      <c r="E37" s="96">
        <v>0</v>
      </c>
      <c r="G37"/>
      <c r="H37" s="5"/>
      <c r="J37" s="1"/>
      <c r="K37"/>
    </row>
    <row r="38" spans="2:16">
      <c r="C38" s="95" t="s">
        <v>847</v>
      </c>
      <c r="D38" s="95" t="s">
        <v>1008</v>
      </c>
      <c r="E38" s="181"/>
      <c r="F38" s="95" t="s">
        <v>849</v>
      </c>
      <c r="G38" s="179">
        <v>1</v>
      </c>
      <c r="H38" s="173">
        <v>54.95</v>
      </c>
      <c r="I38" s="5">
        <f t="shared" ref="I38:I39" si="9">+G38*H38</f>
        <v>54.95</v>
      </c>
      <c r="J38" s="26">
        <f t="shared" ref="J38:J39" si="10">+I38*0.0725</f>
        <v>3.9838749999999998</v>
      </c>
      <c r="K38"/>
      <c r="L38" t="s">
        <v>1009</v>
      </c>
    </row>
    <row r="39" spans="2:16">
      <c r="C39" s="95" t="s">
        <v>850</v>
      </c>
      <c r="D39" s="95"/>
      <c r="F39" s="95"/>
      <c r="G39" s="179"/>
      <c r="H39" s="173"/>
      <c r="I39" s="5">
        <f t="shared" si="9"/>
        <v>0</v>
      </c>
      <c r="J39" s="26">
        <f t="shared" si="10"/>
        <v>0</v>
      </c>
      <c r="K39"/>
    </row>
    <row r="40" spans="2:16">
      <c r="E40" s="121">
        <f>+E3</f>
        <v>1277</v>
      </c>
      <c r="G40"/>
      <c r="H40" s="5"/>
      <c r="J40" s="1"/>
      <c r="K40"/>
    </row>
    <row r="41" spans="2:16">
      <c r="B41" t="s">
        <v>851</v>
      </c>
      <c r="D41" s="32"/>
      <c r="E41" s="96">
        <v>0</v>
      </c>
      <c r="G41"/>
      <c r="H41" s="5"/>
      <c r="J41" s="1"/>
      <c r="K41"/>
    </row>
    <row r="42" spans="2:16">
      <c r="C42" s="95" t="s">
        <v>852</v>
      </c>
      <c r="D42" s="95" t="s">
        <v>1010</v>
      </c>
      <c r="E42" s="181"/>
      <c r="F42" s="95" t="s">
        <v>1011</v>
      </c>
      <c r="G42" s="179">
        <v>1</v>
      </c>
      <c r="H42" s="173">
        <v>45</v>
      </c>
      <c r="I42" s="5">
        <f t="shared" ref="I42:I46" si="11">+G42*H42</f>
        <v>45</v>
      </c>
      <c r="J42" s="26">
        <f t="shared" ref="J42:J46" si="12">+I42*0.0725</f>
        <v>3.2624999999999997</v>
      </c>
      <c r="K42"/>
      <c r="L42" s="19" t="s">
        <v>1012</v>
      </c>
    </row>
    <row r="43" spans="2:16">
      <c r="B43" t="s">
        <v>855</v>
      </c>
      <c r="D43" s="32"/>
      <c r="E43" s="96">
        <v>500</v>
      </c>
      <c r="G43" s="179"/>
      <c r="H43" s="173"/>
      <c r="I43" s="5">
        <f t="shared" si="11"/>
        <v>0</v>
      </c>
      <c r="J43" s="26">
        <f t="shared" si="12"/>
        <v>0</v>
      </c>
      <c r="K43"/>
    </row>
    <row r="44" spans="2:16">
      <c r="C44" s="95" t="s">
        <v>856</v>
      </c>
      <c r="D44" s="95"/>
      <c r="F44" s="95" t="s">
        <v>857</v>
      </c>
      <c r="G44" s="179">
        <v>0</v>
      </c>
      <c r="H44" s="173">
        <v>47.98</v>
      </c>
      <c r="I44" s="5">
        <f t="shared" si="11"/>
        <v>0</v>
      </c>
      <c r="J44" s="26">
        <f t="shared" si="12"/>
        <v>0</v>
      </c>
      <c r="K44"/>
    </row>
    <row r="45" spans="2:16">
      <c r="C45" s="2" t="s">
        <v>858</v>
      </c>
      <c r="F45" s="95" t="s">
        <v>859</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9" t="s">
        <v>860</v>
      </c>
      <c r="H48" s="708"/>
      <c r="I48" s="708"/>
      <c r="J48" s="30"/>
      <c r="K48" s="1">
        <f>IF($M$1="No",SUM(I16:I47)+SUM(J16:J47),0)</f>
        <v>933.20370000000014</v>
      </c>
      <c r="P48" s="2"/>
    </row>
    <row r="50" spans="3:13">
      <c r="C50" s="2" t="s">
        <v>861</v>
      </c>
      <c r="G50"/>
      <c r="H50" s="5"/>
      <c r="I50" s="1"/>
      <c r="J50" s="1"/>
      <c r="K50"/>
    </row>
    <row r="51" spans="3:13">
      <c r="C51" s="95" t="s">
        <v>862</v>
      </c>
      <c r="D51" s="95"/>
      <c r="E51" s="121">
        <f>+$E$3</f>
        <v>1277</v>
      </c>
      <c r="F51" s="95" t="s">
        <v>863</v>
      </c>
      <c r="G51" s="179">
        <v>0</v>
      </c>
      <c r="H51" s="173">
        <v>6900</v>
      </c>
      <c r="I51" s="1">
        <f>IF(G51="yes",E51*#REF!,H51)</f>
        <v>6900</v>
      </c>
      <c r="J51" s="1"/>
      <c r="K51"/>
    </row>
    <row r="52" spans="3:13">
      <c r="C52" s="95" t="s">
        <v>1189</v>
      </c>
      <c r="D52" s="95"/>
      <c r="E52" s="121">
        <v>200</v>
      </c>
      <c r="F52" s="95" t="s">
        <v>505</v>
      </c>
      <c r="G52" s="179">
        <v>0</v>
      </c>
      <c r="H52" s="173">
        <v>500</v>
      </c>
      <c r="I52" s="1">
        <f>IF(G52="yes",E52*#REF!,H52)</f>
        <v>500</v>
      </c>
      <c r="J52" s="1"/>
      <c r="K52"/>
    </row>
    <row r="53" spans="3:13" ht="15.75" thickBot="1">
      <c r="C53" s="95" t="s">
        <v>861</v>
      </c>
      <c r="D53" s="95"/>
      <c r="E53" s="121">
        <f>+$E$3</f>
        <v>1277</v>
      </c>
      <c r="F53" s="95" t="s">
        <v>864</v>
      </c>
      <c r="G53" s="179">
        <v>0</v>
      </c>
      <c r="H53" s="173">
        <v>0</v>
      </c>
      <c r="I53" s="1">
        <f>IF(G53="yes",E53*#REF!,H53)</f>
        <v>0</v>
      </c>
      <c r="J53" s="1"/>
      <c r="K53" s="23"/>
      <c r="M53" s="3"/>
    </row>
    <row r="54" spans="3:13">
      <c r="G54"/>
      <c r="H54" s="5"/>
      <c r="I54" s="1"/>
      <c r="J54" s="1"/>
      <c r="K54" s="1">
        <f>IF($M$1="No",SUM(I51:I53)+SUM(J51:J53),0)</f>
        <v>7400</v>
      </c>
      <c r="M54" s="1"/>
    </row>
    <row r="55" spans="3:13">
      <c r="G55"/>
      <c r="H55" s="5"/>
      <c r="I55" s="5" t="s">
        <v>865</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1013</v>
      </c>
      <c r="B1" s="32"/>
      <c r="J1" s="790" t="s">
        <v>9</v>
      </c>
      <c r="K1" s="790" t="str">
        <f>IF(Profit!Q6,IF(L1,"Yes","No"),"No")</f>
        <v>No</v>
      </c>
      <c r="L1" s="792" t="b">
        <v>0</v>
      </c>
    </row>
    <row r="2" spans="1:14" s="3" customFormat="1" ht="15.75" thickBot="1">
      <c r="A2" s="186" t="s">
        <v>430</v>
      </c>
      <c r="B2" s="186" t="s">
        <v>753</v>
      </c>
      <c r="C2" s="186" t="s">
        <v>754</v>
      </c>
      <c r="D2" s="186" t="s">
        <v>431</v>
      </c>
      <c r="E2" s="186" t="s">
        <v>712</v>
      </c>
      <c r="F2" s="186" t="s">
        <v>713</v>
      </c>
      <c r="G2" s="186" t="s">
        <v>426</v>
      </c>
      <c r="H2" s="186" t="s">
        <v>714</v>
      </c>
      <c r="J2" s="791"/>
      <c r="K2" s="791"/>
      <c r="L2" s="793"/>
    </row>
    <row r="3" spans="1:14">
      <c r="A3" s="330" t="s">
        <v>755</v>
      </c>
      <c r="B3" s="337">
        <f>+Profit!K9</f>
        <v>1277</v>
      </c>
      <c r="C3" s="325"/>
      <c r="D3" s="326"/>
      <c r="E3" s="333"/>
      <c r="F3" s="338"/>
      <c r="G3" s="334"/>
      <c r="H3" s="326"/>
      <c r="J3" s="3"/>
    </row>
    <row r="4" spans="1:14">
      <c r="A4" s="325" t="s">
        <v>1014</v>
      </c>
      <c r="B4" s="337">
        <f>+B3</f>
        <v>1277</v>
      </c>
      <c r="C4" s="325" t="s">
        <v>863</v>
      </c>
      <c r="D4" s="435">
        <v>1390</v>
      </c>
      <c r="E4" s="333">
        <f>+K4/D4</f>
        <v>2</v>
      </c>
      <c r="F4" s="338">
        <f>+D4*E4</f>
        <v>2780</v>
      </c>
      <c r="G4" s="334"/>
      <c r="H4" s="326"/>
      <c r="J4" s="3"/>
      <c r="K4">
        <v>2780</v>
      </c>
    </row>
    <row r="5" spans="1:14" ht="15.75" thickBot="1">
      <c r="A5" s="325" t="s">
        <v>461</v>
      </c>
      <c r="B5" s="337">
        <f>+B4</f>
        <v>1277</v>
      </c>
      <c r="C5" s="325"/>
      <c r="D5" s="435">
        <v>1390</v>
      </c>
      <c r="E5" s="326">
        <v>2.2482014388489207</v>
      </c>
      <c r="F5" s="338">
        <f>+D5*E5</f>
        <v>3124.9999999999995</v>
      </c>
      <c r="G5" s="334"/>
      <c r="H5" s="314"/>
      <c r="J5" s="3"/>
      <c r="K5">
        <v>3125</v>
      </c>
    </row>
    <row r="6" spans="1:14">
      <c r="A6" s="325"/>
      <c r="B6" s="337"/>
      <c r="C6" s="325"/>
      <c r="D6" s="326"/>
      <c r="E6" s="333"/>
      <c r="F6" s="338"/>
      <c r="G6" s="334"/>
      <c r="H6" s="327">
        <f>IF(K1="Yes",SUM(F4:G5),0)</f>
        <v>0</v>
      </c>
      <c r="J6" s="3"/>
      <c r="M6">
        <f>24*24</f>
        <v>576</v>
      </c>
    </row>
    <row r="7" spans="1:14">
      <c r="B7" s="121"/>
      <c r="D7"/>
      <c r="E7" s="5"/>
      <c r="F7" s="1"/>
      <c r="G7" s="26"/>
      <c r="H7"/>
      <c r="J7" s="6">
        <f>SUM(F4:F5)</f>
        <v>5905</v>
      </c>
      <c r="M7">
        <f>12*6</f>
        <v>72</v>
      </c>
    </row>
    <row r="8" spans="1:14">
      <c r="A8" s="95" t="s">
        <v>1016</v>
      </c>
      <c r="B8" s="136">
        <v>300</v>
      </c>
      <c r="C8" s="95" t="s">
        <v>863</v>
      </c>
      <c r="D8" s="179">
        <v>1</v>
      </c>
      <c r="E8" s="173">
        <v>5905.82</v>
      </c>
      <c r="F8" s="338">
        <f>+D8*E8</f>
        <v>5905.82</v>
      </c>
      <c r="G8" s="26"/>
      <c r="H8"/>
      <c r="I8" s="177"/>
      <c r="M8">
        <f>8*14/2</f>
        <v>56</v>
      </c>
    </row>
    <row r="9" spans="1:14">
      <c r="A9" s="95" t="s">
        <v>1017</v>
      </c>
      <c r="B9" s="136">
        <v>800</v>
      </c>
      <c r="C9" s="95"/>
      <c r="D9" s="179">
        <v>0</v>
      </c>
      <c r="E9" s="173">
        <v>6.22</v>
      </c>
      <c r="F9" s="338">
        <f t="shared" ref="F9:F20" si="0">B9*E9*D9</f>
        <v>0</v>
      </c>
      <c r="G9" s="26">
        <f t="shared" ref="G9:G20" si="1">+F9*0.0725</f>
        <v>0</v>
      </c>
      <c r="H9"/>
      <c r="M9">
        <f>24*26</f>
        <v>624</v>
      </c>
    </row>
    <row r="10" spans="1:14">
      <c r="A10" s="95" t="s">
        <v>1015</v>
      </c>
      <c r="B10" s="136">
        <v>1800</v>
      </c>
      <c r="C10" s="95"/>
      <c r="D10" s="179">
        <v>0</v>
      </c>
      <c r="E10" s="173">
        <v>3</v>
      </c>
      <c r="F10" s="338">
        <f t="shared" si="0"/>
        <v>0</v>
      </c>
      <c r="G10" s="26">
        <f t="shared" si="1"/>
        <v>0</v>
      </c>
      <c r="H10"/>
      <c r="M10">
        <f>22*18</f>
        <v>396</v>
      </c>
    </row>
    <row r="11" spans="1:14">
      <c r="A11" s="95"/>
      <c r="B11" s="136"/>
      <c r="C11" s="95"/>
      <c r="D11" s="179"/>
      <c r="E11" s="173"/>
      <c r="F11" s="338">
        <f t="shared" si="0"/>
        <v>0</v>
      </c>
      <c r="G11" s="26">
        <f t="shared" si="1"/>
        <v>0</v>
      </c>
      <c r="H11"/>
      <c r="M11">
        <f>18*18.5</f>
        <v>333</v>
      </c>
    </row>
    <row r="12" spans="1:14">
      <c r="A12" s="95"/>
      <c r="B12" s="136"/>
      <c r="C12" s="95"/>
      <c r="D12" s="179"/>
      <c r="E12" s="173"/>
      <c r="F12" s="338">
        <f t="shared" si="0"/>
        <v>0</v>
      </c>
      <c r="G12" s="26">
        <f t="shared" si="1"/>
        <v>0</v>
      </c>
      <c r="H12"/>
      <c r="M12">
        <v>400</v>
      </c>
    </row>
    <row r="13" spans="1:14">
      <c r="A13" s="95"/>
      <c r="B13" s="136"/>
      <c r="C13" s="95"/>
      <c r="D13" s="179"/>
      <c r="E13" s="173"/>
      <c r="F13" s="338">
        <f t="shared" si="0"/>
        <v>0</v>
      </c>
      <c r="G13" s="26">
        <f t="shared" si="1"/>
        <v>0</v>
      </c>
      <c r="H13"/>
      <c r="N13">
        <f>SUM(M6:M12)</f>
        <v>2457</v>
      </c>
    </row>
    <row r="14" spans="1:14">
      <c r="A14" s="95"/>
      <c r="B14" s="136"/>
      <c r="C14" s="95"/>
      <c r="D14" s="179"/>
      <c r="E14" s="173"/>
      <c r="F14" s="338">
        <f t="shared" si="0"/>
        <v>0</v>
      </c>
      <c r="G14" s="26">
        <f t="shared" si="1"/>
        <v>0</v>
      </c>
      <c r="H14"/>
    </row>
    <row r="15" spans="1:14">
      <c r="A15" s="95"/>
      <c r="B15" s="136"/>
      <c r="C15" s="95"/>
      <c r="D15" s="179"/>
      <c r="E15" s="173"/>
      <c r="F15" s="338">
        <f t="shared" si="0"/>
        <v>0</v>
      </c>
      <c r="G15" s="26">
        <f t="shared" si="1"/>
        <v>0</v>
      </c>
      <c r="H15"/>
    </row>
    <row r="16" spans="1:14">
      <c r="A16" s="95" t="s">
        <v>1018</v>
      </c>
      <c r="B16" s="136"/>
      <c r="C16" s="95"/>
      <c r="D16" s="179">
        <v>0</v>
      </c>
      <c r="E16" s="173">
        <v>0</v>
      </c>
      <c r="F16" s="338">
        <f t="shared" si="0"/>
        <v>0</v>
      </c>
      <c r="G16" s="26">
        <f t="shared" si="1"/>
        <v>0</v>
      </c>
      <c r="H16"/>
    </row>
    <row r="17" spans="1:11">
      <c r="A17" s="95" t="s">
        <v>1018</v>
      </c>
      <c r="B17" s="136"/>
      <c r="C17" s="95"/>
      <c r="D17" s="179">
        <v>0</v>
      </c>
      <c r="E17" s="173"/>
      <c r="F17" s="338">
        <f t="shared" si="0"/>
        <v>0</v>
      </c>
      <c r="G17" s="26">
        <f t="shared" si="1"/>
        <v>0</v>
      </c>
      <c r="H17"/>
    </row>
    <row r="18" spans="1:11">
      <c r="A18" s="95" t="s">
        <v>1018</v>
      </c>
      <c r="B18" s="136"/>
      <c r="C18" s="95"/>
      <c r="D18" s="179">
        <v>0</v>
      </c>
      <c r="E18" s="173"/>
      <c r="F18" s="338">
        <f t="shared" si="0"/>
        <v>0</v>
      </c>
      <c r="G18" s="26">
        <f t="shared" si="1"/>
        <v>0</v>
      </c>
      <c r="H18"/>
    </row>
    <row r="19" spans="1:11">
      <c r="A19" s="95" t="s">
        <v>1018</v>
      </c>
      <c r="B19" s="136"/>
      <c r="C19" s="95"/>
      <c r="D19" s="179">
        <v>0</v>
      </c>
      <c r="E19" s="173"/>
      <c r="F19" s="338">
        <f t="shared" si="0"/>
        <v>0</v>
      </c>
      <c r="G19" s="26">
        <f t="shared" si="1"/>
        <v>0</v>
      </c>
      <c r="H19"/>
    </row>
    <row r="20" spans="1:11" ht="15.75" thickBot="1">
      <c r="A20" s="95" t="s">
        <v>1019</v>
      </c>
      <c r="B20" s="136">
        <f>+$B$3</f>
        <v>1277</v>
      </c>
      <c r="C20" s="95"/>
      <c r="D20" s="179">
        <v>0</v>
      </c>
      <c r="E20" s="173">
        <v>1</v>
      </c>
      <c r="F20" s="338">
        <f t="shared" si="0"/>
        <v>0</v>
      </c>
      <c r="G20" s="26">
        <f t="shared" si="1"/>
        <v>0</v>
      </c>
      <c r="H20" s="23"/>
      <c r="K20" s="3"/>
    </row>
    <row r="21" spans="1:11">
      <c r="D21"/>
      <c r="E21" s="5"/>
      <c r="F21" s="1"/>
      <c r="G21" s="1"/>
      <c r="H21" s="14">
        <f>IF(K1="No",SUM(F8:G20),0)</f>
        <v>5905.82</v>
      </c>
      <c r="J21" s="2"/>
    </row>
    <row r="22" spans="1:11">
      <c r="A22" s="2" t="s">
        <v>1020</v>
      </c>
      <c r="D22"/>
      <c r="F22" s="5">
        <v>0</v>
      </c>
      <c r="I22" s="14">
        <f>SUM(H6:H21)</f>
        <v>5905.82</v>
      </c>
      <c r="J22" s="2"/>
    </row>
    <row r="23" spans="1:11">
      <c r="A23" s="2" t="s">
        <v>241</v>
      </c>
      <c r="D23" t="s">
        <v>241</v>
      </c>
      <c r="E23" s="5" t="s">
        <v>241</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0" t="s">
        <v>9</v>
      </c>
      <c r="K1" s="790" t="str">
        <f>IF(Profit!Q6,IF(L1,"Yes","No"),"No")</f>
        <v>No</v>
      </c>
      <c r="L1" s="792" t="b">
        <v>0</v>
      </c>
    </row>
    <row r="2" spans="1:16" ht="15.75" thickBot="1">
      <c r="A2" s="32" t="s">
        <v>454</v>
      </c>
      <c r="B2" s="32"/>
      <c r="C2" s="32"/>
      <c r="J2" s="791"/>
      <c r="K2" s="791"/>
      <c r="L2" s="793"/>
    </row>
    <row r="3" spans="1:16" s="22" customFormat="1">
      <c r="A3" s="3" t="s">
        <v>687</v>
      </c>
      <c r="B3" s="3" t="s">
        <v>430</v>
      </c>
      <c r="C3" s="3" t="s">
        <v>109</v>
      </c>
      <c r="D3" s="3" t="s">
        <v>1021</v>
      </c>
      <c r="E3" s="3" t="s">
        <v>711</v>
      </c>
      <c r="F3" s="8" t="s">
        <v>712</v>
      </c>
      <c r="G3" s="16" t="s">
        <v>691</v>
      </c>
      <c r="H3" s="3" t="s">
        <v>714</v>
      </c>
      <c r="J3" s="3"/>
      <c r="K3" s="3"/>
    </row>
    <row r="4" spans="1:16" s="22" customFormat="1" ht="15.75" thickBot="1">
      <c r="A4" s="326"/>
      <c r="B4" s="326" t="s">
        <v>1022</v>
      </c>
      <c r="C4" s="326"/>
      <c r="D4" s="325" t="s">
        <v>1023</v>
      </c>
      <c r="E4" s="342">
        <v>0</v>
      </c>
      <c r="F4" s="333">
        <v>7000</v>
      </c>
      <c r="G4" s="334">
        <f>+E4*F4</f>
        <v>0</v>
      </c>
      <c r="H4" s="343"/>
      <c r="J4" s="3"/>
      <c r="K4" s="3"/>
    </row>
    <row r="5" spans="1:16" s="22" customFormat="1">
      <c r="A5" s="330"/>
      <c r="B5" s="330"/>
      <c r="C5" s="330"/>
      <c r="D5" s="330"/>
      <c r="E5" s="330"/>
      <c r="F5" s="331"/>
      <c r="G5" s="344"/>
      <c r="H5" s="345">
        <f>IF(K1="Yes",+SUM(G4),0)</f>
        <v>0</v>
      </c>
      <c r="J5" s="3"/>
      <c r="K5" s="3"/>
    </row>
    <row r="6" spans="1:16" s="22" customFormat="1">
      <c r="A6" s="3"/>
      <c r="B6" s="3"/>
      <c r="C6" s="3"/>
      <c r="D6" s="3"/>
      <c r="E6" s="3"/>
      <c r="F6" s="8"/>
      <c r="G6" s="16"/>
      <c r="H6" s="3"/>
      <c r="J6" s="3"/>
      <c r="K6" s="3"/>
    </row>
    <row r="7" spans="1:16" s="22" customFormat="1">
      <c r="A7" s="3"/>
      <c r="B7" s="3" t="s">
        <v>241</v>
      </c>
      <c r="C7" s="3"/>
      <c r="D7" s="3" t="s">
        <v>241</v>
      </c>
      <c r="E7" s="3">
        <v>0</v>
      </c>
      <c r="F7" s="8" t="s">
        <v>241</v>
      </c>
      <c r="G7" s="16"/>
      <c r="H7" s="3"/>
      <c r="J7" s="3"/>
      <c r="K7" s="3"/>
    </row>
    <row r="8" spans="1:16">
      <c r="A8"/>
      <c r="B8" t="s">
        <v>1022</v>
      </c>
      <c r="C8"/>
      <c r="D8" s="2" t="s">
        <v>1023</v>
      </c>
      <c r="E8" s="11">
        <v>1</v>
      </c>
      <c r="F8" s="5">
        <v>8340</v>
      </c>
      <c r="G8" s="26">
        <f>+E8*F8</f>
        <v>8340</v>
      </c>
    </row>
    <row r="9" spans="1:16">
      <c r="A9"/>
      <c r="B9" t="s">
        <v>1024</v>
      </c>
      <c r="C9"/>
      <c r="D9" s="2" t="s">
        <v>1025</v>
      </c>
      <c r="E9" s="11">
        <v>0</v>
      </c>
      <c r="F9" s="5">
        <v>8.98</v>
      </c>
      <c r="G9" s="26">
        <f>+E9*F9</f>
        <v>0</v>
      </c>
    </row>
    <row r="10" spans="1:16">
      <c r="A10"/>
      <c r="B10" t="s">
        <v>1026</v>
      </c>
      <c r="C10"/>
      <c r="D10" s="2" t="s">
        <v>1027</v>
      </c>
      <c r="E10" s="11">
        <v>0</v>
      </c>
      <c r="F10" s="5">
        <v>22.97</v>
      </c>
      <c r="G10" s="26">
        <f t="shared" ref="G10:G15" si="0">+E10*F10</f>
        <v>0</v>
      </c>
    </row>
    <row r="11" spans="1:16">
      <c r="A11"/>
      <c r="B11" t="s">
        <v>1028</v>
      </c>
      <c r="C11"/>
      <c r="D11" s="2" t="s">
        <v>1029</v>
      </c>
      <c r="E11" s="11">
        <v>0</v>
      </c>
      <c r="F11" s="5">
        <v>44.93</v>
      </c>
      <c r="G11" s="26">
        <f t="shared" si="0"/>
        <v>0</v>
      </c>
    </row>
    <row r="12" spans="1:16">
      <c r="A12"/>
      <c r="B12" t="s">
        <v>1030</v>
      </c>
      <c r="C12"/>
      <c r="D12" s="2" t="s">
        <v>1031</v>
      </c>
      <c r="E12" s="11">
        <v>0</v>
      </c>
      <c r="F12" s="5">
        <v>5.98</v>
      </c>
      <c r="G12" s="26">
        <f t="shared" si="0"/>
        <v>0</v>
      </c>
    </row>
    <row r="13" spans="1:16">
      <c r="A13"/>
      <c r="B13" t="s">
        <v>1030</v>
      </c>
      <c r="C13"/>
      <c r="D13" s="2" t="s">
        <v>1032</v>
      </c>
      <c r="E13" s="11">
        <v>0</v>
      </c>
      <c r="F13" s="5">
        <v>4.97</v>
      </c>
      <c r="G13" s="26">
        <f t="shared" si="0"/>
        <v>0</v>
      </c>
      <c r="K13" s="32"/>
      <c r="L13" s="2"/>
      <c r="N13" s="5"/>
      <c r="O13" s="26"/>
    </row>
    <row r="14" spans="1:16">
      <c r="A14"/>
      <c r="B14" t="s">
        <v>1033</v>
      </c>
      <c r="C14"/>
      <c r="D14" s="2" t="s">
        <v>1034</v>
      </c>
      <c r="E14" s="11">
        <v>0</v>
      </c>
      <c r="F14" s="5">
        <v>23</v>
      </c>
      <c r="G14" s="26">
        <f t="shared" si="0"/>
        <v>0</v>
      </c>
      <c r="K14" s="3"/>
      <c r="L14" s="3"/>
      <c r="M14" s="3"/>
      <c r="N14" s="8"/>
      <c r="O14" s="16"/>
      <c r="P14" s="3"/>
    </row>
    <row r="15" spans="1:16">
      <c r="A15"/>
      <c r="B15" t="s">
        <v>1035</v>
      </c>
      <c r="C15"/>
      <c r="D15" s="2" t="s">
        <v>1023</v>
      </c>
      <c r="E15" s="11">
        <v>1</v>
      </c>
      <c r="F15" s="5">
        <v>281</v>
      </c>
      <c r="G15" s="26">
        <f t="shared" si="0"/>
        <v>281</v>
      </c>
      <c r="L15" s="2"/>
      <c r="M15" s="11"/>
      <c r="N15" s="5"/>
      <c r="O15" s="26"/>
    </row>
    <row r="16" spans="1:16" ht="15.75" thickBot="1">
      <c r="A16" s="2" t="s">
        <v>1036</v>
      </c>
      <c r="B16" s="2" t="s">
        <v>1037</v>
      </c>
      <c r="C16" s="371">
        <v>45700</v>
      </c>
      <c r="E16">
        <v>0</v>
      </c>
      <c r="F16" s="5">
        <v>254.72</v>
      </c>
      <c r="G16" s="29">
        <f>+E16*F16</f>
        <v>0</v>
      </c>
      <c r="H16" s="29"/>
      <c r="L16" s="2"/>
      <c r="M16" s="11"/>
      <c r="N16" s="5"/>
      <c r="O16" s="26"/>
    </row>
    <row r="17" spans="5:16">
      <c r="E17" s="789"/>
      <c r="F17" s="708"/>
      <c r="G17" s="708"/>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9"/>
      <c r="N24" s="708"/>
      <c r="O24" s="70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453</v>
      </c>
      <c r="B1" s="3"/>
      <c r="I1" s="790" t="s">
        <v>9</v>
      </c>
      <c r="J1" s="790" t="str">
        <f>IF(Profit!Q6,IF(K1,"Yes","No"),"No")</f>
        <v>No</v>
      </c>
      <c r="K1" s="792" t="b">
        <v>0</v>
      </c>
    </row>
    <row r="2" spans="1:11" ht="15.75" thickBot="1">
      <c r="C2" s="3"/>
      <c r="D2" s="8"/>
      <c r="E2" s="13"/>
      <c r="F2" s="13"/>
      <c r="G2" s="13"/>
      <c r="I2" s="791"/>
      <c r="J2" s="791"/>
      <c r="K2" s="793"/>
    </row>
    <row r="3" spans="1:11">
      <c r="A3" s="3" t="s">
        <v>430</v>
      </c>
      <c r="B3" s="3" t="s">
        <v>884</v>
      </c>
      <c r="C3" s="3" t="s">
        <v>711</v>
      </c>
      <c r="D3" s="8" t="s">
        <v>712</v>
      </c>
      <c r="E3" s="13" t="s">
        <v>713</v>
      </c>
      <c r="F3" s="13" t="s">
        <v>426</v>
      </c>
      <c r="G3" s="13" t="s">
        <v>714</v>
      </c>
    </row>
    <row r="4" spans="1:11">
      <c r="A4" s="336" t="s">
        <v>1038</v>
      </c>
      <c r="B4" s="336" t="s">
        <v>1039</v>
      </c>
      <c r="C4" s="326">
        <v>4</v>
      </c>
      <c r="D4" s="333">
        <v>21.97</v>
      </c>
      <c r="E4" s="327">
        <f>+C4*D4</f>
        <v>87.88</v>
      </c>
      <c r="F4" s="334">
        <f t="shared" ref="F4:F7" si="0">+E4*0.0725</f>
        <v>6.3712999999999989</v>
      </c>
      <c r="G4" s="332"/>
    </row>
    <row r="5" spans="1:11">
      <c r="A5" s="336" t="s">
        <v>1040</v>
      </c>
      <c r="B5" s="336" t="s">
        <v>1041</v>
      </c>
      <c r="C5" s="326">
        <v>2</v>
      </c>
      <c r="D5" s="333">
        <v>79.97</v>
      </c>
      <c r="E5" s="327">
        <f t="shared" ref="E5:E7" si="1">+C5*D5</f>
        <v>159.94</v>
      </c>
      <c r="F5" s="334">
        <f t="shared" si="0"/>
        <v>11.595649999999999</v>
      </c>
      <c r="G5" s="327"/>
    </row>
    <row r="6" spans="1:11">
      <c r="A6" s="336" t="s">
        <v>1042</v>
      </c>
      <c r="B6" s="336" t="s">
        <v>1043</v>
      </c>
      <c r="C6" s="326">
        <v>1</v>
      </c>
      <c r="D6" s="333">
        <v>123</v>
      </c>
      <c r="E6" s="327">
        <f t="shared" si="1"/>
        <v>123</v>
      </c>
      <c r="F6" s="334">
        <f t="shared" si="0"/>
        <v>8.9174999999999986</v>
      </c>
      <c r="G6" s="327"/>
    </row>
    <row r="7" spans="1:11" ht="15.75" thickBot="1">
      <c r="A7" s="336" t="s">
        <v>1044</v>
      </c>
      <c r="B7" s="336" t="s">
        <v>1045</v>
      </c>
      <c r="C7" s="326">
        <v>2</v>
      </c>
      <c r="D7" s="333">
        <v>54.98</v>
      </c>
      <c r="E7" s="327">
        <f t="shared" si="1"/>
        <v>109.96</v>
      </c>
      <c r="F7" s="334">
        <f t="shared" si="0"/>
        <v>7.9720999999999993</v>
      </c>
      <c r="G7" s="335"/>
    </row>
    <row r="8" spans="1:11">
      <c r="A8" s="330"/>
      <c r="B8" s="330"/>
      <c r="C8" s="330"/>
      <c r="D8" s="331"/>
      <c r="E8" s="332"/>
      <c r="F8" s="332"/>
      <c r="G8" s="327">
        <f>IF(J1="Yes",SUM(E4:F7),0)</f>
        <v>0</v>
      </c>
    </row>
    <row r="9" spans="1:11">
      <c r="A9" s="3"/>
      <c r="B9" s="3"/>
      <c r="C9" s="3"/>
      <c r="D9" s="8"/>
      <c r="E9" s="13"/>
      <c r="F9" s="13"/>
    </row>
    <row r="10" spans="1:11">
      <c r="A10" s="3"/>
      <c r="B10" s="3"/>
      <c r="C10" s="3"/>
      <c r="D10" s="8"/>
      <c r="E10" s="13"/>
      <c r="F10" s="13"/>
      <c r="G10" s="13"/>
    </row>
    <row r="11" spans="1:11">
      <c r="A11" s="3" t="s">
        <v>1046</v>
      </c>
      <c r="B11" s="3" t="s">
        <v>1047</v>
      </c>
      <c r="C11" s="30">
        <v>0</v>
      </c>
      <c r="D11" s="8">
        <v>39.97</v>
      </c>
      <c r="E11" s="14">
        <f>+C11*D11</f>
        <v>0</v>
      </c>
      <c r="F11" s="26">
        <f t="shared" ref="F11:F33" si="2">+E11*0.0725</f>
        <v>0</v>
      </c>
      <c r="G11" s="13"/>
    </row>
    <row r="12" spans="1:11">
      <c r="A12" s="30" t="s">
        <v>1038</v>
      </c>
      <c r="B12" s="30" t="s">
        <v>1039</v>
      </c>
      <c r="C12">
        <v>0</v>
      </c>
      <c r="D12" s="5">
        <v>21.97</v>
      </c>
      <c r="E12" s="14">
        <f>+C12*D12</f>
        <v>0</v>
      </c>
      <c r="F12" s="26">
        <f t="shared" si="2"/>
        <v>0</v>
      </c>
    </row>
    <row r="13" spans="1:11">
      <c r="A13" s="30" t="s">
        <v>1038</v>
      </c>
      <c r="B13" s="30" t="s">
        <v>1048</v>
      </c>
      <c r="C13">
        <v>0</v>
      </c>
      <c r="D13" s="5">
        <v>29.97</v>
      </c>
      <c r="E13" s="14">
        <f>+C13*D13</f>
        <v>0</v>
      </c>
      <c r="F13" s="26">
        <f t="shared" si="2"/>
        <v>0</v>
      </c>
    </row>
    <row r="14" spans="1:11">
      <c r="A14" s="30" t="s">
        <v>1038</v>
      </c>
      <c r="B14" s="30" t="s">
        <v>1049</v>
      </c>
      <c r="C14">
        <v>0</v>
      </c>
      <c r="D14" s="5">
        <v>21.97</v>
      </c>
      <c r="E14" s="14">
        <f>+C14*D14</f>
        <v>0</v>
      </c>
      <c r="F14" s="26">
        <f t="shared" si="2"/>
        <v>0</v>
      </c>
    </row>
    <row r="15" spans="1:11">
      <c r="A15" s="30" t="s">
        <v>1038</v>
      </c>
      <c r="B15" s="30" t="s">
        <v>1050</v>
      </c>
      <c r="C15">
        <v>0</v>
      </c>
      <c r="D15" s="5">
        <v>69.97</v>
      </c>
      <c r="E15" s="14">
        <f>+C15*D15</f>
        <v>0</v>
      </c>
      <c r="F15" s="26">
        <f t="shared" si="2"/>
        <v>0</v>
      </c>
    </row>
    <row r="16" spans="1:11">
      <c r="A16" s="30" t="s">
        <v>1051</v>
      </c>
      <c r="B16" s="30" t="s">
        <v>1052</v>
      </c>
      <c r="C16">
        <v>0</v>
      </c>
      <c r="D16" s="5">
        <v>64.97</v>
      </c>
      <c r="E16" s="14">
        <f t="shared" ref="E16:E33" si="3">+C16*D16</f>
        <v>0</v>
      </c>
      <c r="F16" s="26">
        <f t="shared" si="2"/>
        <v>0</v>
      </c>
    </row>
    <row r="17" spans="1:6">
      <c r="A17" s="30" t="s">
        <v>1053</v>
      </c>
      <c r="B17" s="30" t="s">
        <v>1054</v>
      </c>
      <c r="C17">
        <v>0</v>
      </c>
      <c r="D17" s="5">
        <v>89.97</v>
      </c>
      <c r="E17" s="14">
        <f t="shared" si="3"/>
        <v>0</v>
      </c>
      <c r="F17" s="26">
        <f t="shared" si="2"/>
        <v>0</v>
      </c>
    </row>
    <row r="18" spans="1:6">
      <c r="A18" s="30" t="s">
        <v>1055</v>
      </c>
      <c r="B18" s="30">
        <v>2535475</v>
      </c>
      <c r="C18">
        <v>0</v>
      </c>
      <c r="D18" s="5">
        <v>24.98</v>
      </c>
      <c r="E18" s="14">
        <f t="shared" si="3"/>
        <v>0</v>
      </c>
      <c r="F18" s="26">
        <f t="shared" si="2"/>
        <v>0</v>
      </c>
    </row>
    <row r="19" spans="1:6">
      <c r="A19" s="30" t="s">
        <v>1056</v>
      </c>
      <c r="B19" s="30"/>
      <c r="C19">
        <v>0</v>
      </c>
      <c r="D19" s="5">
        <v>10.9</v>
      </c>
      <c r="E19" s="14">
        <f t="shared" si="3"/>
        <v>0</v>
      </c>
      <c r="F19" s="26">
        <f t="shared" si="2"/>
        <v>0</v>
      </c>
    </row>
    <row r="20" spans="1:6">
      <c r="A20" s="30" t="s">
        <v>1057</v>
      </c>
      <c r="B20" s="30" t="s">
        <v>1058</v>
      </c>
      <c r="C20">
        <v>0</v>
      </c>
      <c r="D20" s="5">
        <v>62.97</v>
      </c>
      <c r="E20" s="14">
        <f t="shared" si="3"/>
        <v>0</v>
      </c>
      <c r="F20" s="26">
        <f t="shared" si="2"/>
        <v>0</v>
      </c>
    </row>
    <row r="21" spans="1:6">
      <c r="A21" s="30" t="s">
        <v>1044</v>
      </c>
      <c r="B21" s="30" t="s">
        <v>1045</v>
      </c>
      <c r="C21">
        <v>0</v>
      </c>
      <c r="D21" s="5">
        <v>54.98</v>
      </c>
      <c r="E21" s="14">
        <f t="shared" si="3"/>
        <v>0</v>
      </c>
      <c r="F21" s="26">
        <f t="shared" si="2"/>
        <v>0</v>
      </c>
    </row>
    <row r="22" spans="1:6">
      <c r="A22" s="30" t="s">
        <v>1059</v>
      </c>
      <c r="B22" s="30" t="s">
        <v>1060</v>
      </c>
      <c r="C22">
        <v>0</v>
      </c>
      <c r="D22" s="5">
        <v>17.97</v>
      </c>
      <c r="E22" s="14">
        <f t="shared" si="3"/>
        <v>0</v>
      </c>
      <c r="F22" s="26">
        <f t="shared" si="2"/>
        <v>0</v>
      </c>
    </row>
    <row r="23" spans="1:6">
      <c r="A23" s="30" t="s">
        <v>1061</v>
      </c>
      <c r="B23" s="30" t="s">
        <v>1062</v>
      </c>
      <c r="C23">
        <v>0</v>
      </c>
      <c r="D23" s="5">
        <v>16.98</v>
      </c>
      <c r="E23" s="14">
        <f t="shared" si="3"/>
        <v>0</v>
      </c>
      <c r="F23" s="26">
        <f t="shared" si="2"/>
        <v>0</v>
      </c>
    </row>
    <row r="24" spans="1:6">
      <c r="A24" s="30" t="s">
        <v>1063</v>
      </c>
      <c r="B24" s="30" t="s">
        <v>1064</v>
      </c>
      <c r="C24">
        <v>0</v>
      </c>
      <c r="D24" s="5">
        <v>3.27</v>
      </c>
      <c r="E24" s="14">
        <f t="shared" si="3"/>
        <v>0</v>
      </c>
      <c r="F24" s="26">
        <f t="shared" si="2"/>
        <v>0</v>
      </c>
    </row>
    <row r="25" spans="1:6">
      <c r="A25" s="30" t="s">
        <v>1040</v>
      </c>
      <c r="B25" s="30" t="s">
        <v>1041</v>
      </c>
      <c r="C25">
        <v>0</v>
      </c>
      <c r="D25" s="5">
        <v>79.97</v>
      </c>
      <c r="E25" s="14">
        <f t="shared" si="3"/>
        <v>0</v>
      </c>
      <c r="F25" s="26">
        <f t="shared" si="2"/>
        <v>0</v>
      </c>
    </row>
    <row r="26" spans="1:6">
      <c r="A26" s="30" t="s">
        <v>1042</v>
      </c>
      <c r="B26" s="30" t="s">
        <v>1043</v>
      </c>
      <c r="C26">
        <v>0</v>
      </c>
      <c r="D26" s="5">
        <v>123</v>
      </c>
      <c r="E26" s="14">
        <f t="shared" si="3"/>
        <v>0</v>
      </c>
      <c r="F26" s="26">
        <f t="shared" si="2"/>
        <v>0</v>
      </c>
    </row>
    <row r="27" spans="1:6">
      <c r="A27" s="30" t="s">
        <v>1065</v>
      </c>
      <c r="B27" s="30" t="s">
        <v>1066</v>
      </c>
      <c r="C27">
        <v>0</v>
      </c>
      <c r="D27" s="5">
        <v>13.98</v>
      </c>
      <c r="E27" s="14">
        <f t="shared" si="3"/>
        <v>0</v>
      </c>
      <c r="F27" s="26">
        <f t="shared" si="2"/>
        <v>0</v>
      </c>
    </row>
    <row r="28" spans="1:6">
      <c r="A28" s="30" t="s">
        <v>1067</v>
      </c>
      <c r="B28" s="30">
        <v>39800072986</v>
      </c>
      <c r="C28">
        <v>0</v>
      </c>
      <c r="D28" s="5">
        <v>17.87</v>
      </c>
      <c r="E28" s="14">
        <f t="shared" si="3"/>
        <v>0</v>
      </c>
      <c r="F28" s="26">
        <f t="shared" si="2"/>
        <v>0</v>
      </c>
    </row>
    <row r="29" spans="1:6">
      <c r="A29" s="30" t="s">
        <v>1068</v>
      </c>
      <c r="B29" s="190">
        <v>46335120372</v>
      </c>
      <c r="C29">
        <v>0</v>
      </c>
      <c r="D29" s="5">
        <v>99.97</v>
      </c>
      <c r="E29" s="14">
        <f t="shared" si="3"/>
        <v>0</v>
      </c>
      <c r="F29" s="26">
        <f t="shared" si="2"/>
        <v>0</v>
      </c>
    </row>
    <row r="30" spans="1:6">
      <c r="A30" s="30" t="s">
        <v>1069</v>
      </c>
      <c r="B30" s="190">
        <v>792145370178</v>
      </c>
      <c r="C30">
        <v>0</v>
      </c>
      <c r="D30" s="5">
        <v>59.97</v>
      </c>
      <c r="E30" s="14">
        <f t="shared" si="3"/>
        <v>0</v>
      </c>
      <c r="F30" s="26">
        <f t="shared" si="2"/>
        <v>0</v>
      </c>
    </row>
    <row r="31" spans="1:6">
      <c r="A31" s="30" t="s">
        <v>1070</v>
      </c>
      <c r="B31" s="30">
        <v>82392573331</v>
      </c>
      <c r="C31">
        <v>0</v>
      </c>
      <c r="D31" s="5">
        <v>109</v>
      </c>
      <c r="E31" s="14">
        <f t="shared" si="3"/>
        <v>0</v>
      </c>
      <c r="F31" s="26">
        <f t="shared" si="2"/>
        <v>0</v>
      </c>
    </row>
    <row r="32" spans="1:6">
      <c r="A32" s="30" t="s">
        <v>1071</v>
      </c>
      <c r="B32" s="30">
        <v>5190530</v>
      </c>
      <c r="C32">
        <v>0</v>
      </c>
      <c r="D32" s="5">
        <v>18.98</v>
      </c>
      <c r="E32" s="14">
        <f t="shared" si="3"/>
        <v>0</v>
      </c>
      <c r="F32" s="26">
        <f t="shared" si="2"/>
        <v>0</v>
      </c>
    </row>
    <row r="33" spans="1:10" ht="15.75" thickBot="1">
      <c r="A33" s="30" t="s">
        <v>1072</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1073</v>
      </c>
      <c r="B1" s="16"/>
      <c r="H1" s="790" t="s">
        <v>9</v>
      </c>
      <c r="I1" s="790" t="str">
        <f>IF(Profit!Q6,IF(J1,"Yes","No"),"No")</f>
        <v>No</v>
      </c>
      <c r="J1" s="792" t="b">
        <v>0</v>
      </c>
    </row>
    <row r="2" spans="1:10" s="15" customFormat="1" ht="15.75" thickBot="1">
      <c r="A2" s="3" t="s">
        <v>1074</v>
      </c>
      <c r="B2" s="17" t="s">
        <v>1075</v>
      </c>
      <c r="C2" s="30" t="s">
        <v>1076</v>
      </c>
      <c r="D2" s="3" t="s">
        <v>711</v>
      </c>
      <c r="E2" s="8" t="s">
        <v>1077</v>
      </c>
      <c r="F2" s="6" t="s">
        <v>1078</v>
      </c>
      <c r="G2" s="15" t="s">
        <v>714</v>
      </c>
      <c r="H2" s="791"/>
      <c r="I2" s="791"/>
      <c r="J2" s="793"/>
    </row>
    <row r="4" spans="1:10">
      <c r="A4" s="2" t="s">
        <v>1079</v>
      </c>
      <c r="B4" s="18">
        <v>0.79</v>
      </c>
      <c r="C4" s="2">
        <v>500</v>
      </c>
      <c r="D4">
        <v>0</v>
      </c>
      <c r="E4" s="5">
        <v>60</v>
      </c>
      <c r="F4" s="1">
        <f>+C4*B4*D4</f>
        <v>0</v>
      </c>
    </row>
    <row r="5" spans="1:10">
      <c r="A5" s="2" t="s">
        <v>1080</v>
      </c>
      <c r="B5" s="18">
        <v>1</v>
      </c>
      <c r="C5" s="2">
        <f>24*10</f>
        <v>240</v>
      </c>
      <c r="D5">
        <v>0</v>
      </c>
      <c r="E5" s="5">
        <v>60</v>
      </c>
      <c r="F5" s="1">
        <f>+C5*B5*D5</f>
        <v>0</v>
      </c>
    </row>
    <row r="6" spans="1:10">
      <c r="A6" s="2" t="s">
        <v>1081</v>
      </c>
      <c r="B6" s="18" t="s">
        <v>241</v>
      </c>
      <c r="C6" s="524">
        <v>45934</v>
      </c>
      <c r="D6">
        <v>1</v>
      </c>
      <c r="E6" s="5">
        <v>135</v>
      </c>
      <c r="F6" s="1">
        <f t="shared" ref="F6:F11" si="0">+D6*E6</f>
        <v>135</v>
      </c>
      <c r="G6">
        <v>135</v>
      </c>
    </row>
    <row r="7" spans="1:10">
      <c r="A7" s="2" t="s">
        <v>1081</v>
      </c>
      <c r="B7" s="18" t="s">
        <v>241</v>
      </c>
      <c r="C7" s="371">
        <v>46151</v>
      </c>
      <c r="D7">
        <v>1</v>
      </c>
      <c r="E7" s="5">
        <v>135</v>
      </c>
      <c r="F7" s="1">
        <v>135</v>
      </c>
      <c r="G7">
        <v>135</v>
      </c>
    </row>
    <row r="8" spans="1:10">
      <c r="A8" s="2" t="s">
        <v>1082</v>
      </c>
      <c r="D8">
        <v>0</v>
      </c>
      <c r="E8" s="5">
        <v>165</v>
      </c>
      <c r="F8" s="1">
        <f t="shared" si="0"/>
        <v>0</v>
      </c>
    </row>
    <row r="9" spans="1:10">
      <c r="A9" s="2" t="s">
        <v>1083</v>
      </c>
      <c r="B9" s="18">
        <v>0.13636363636363635</v>
      </c>
      <c r="D9">
        <v>0</v>
      </c>
      <c r="E9" s="5">
        <v>1385</v>
      </c>
      <c r="F9" s="1">
        <f t="shared" si="0"/>
        <v>0</v>
      </c>
      <c r="G9">
        <v>1385</v>
      </c>
    </row>
    <row r="10" spans="1:10">
      <c r="A10" s="2" t="s">
        <v>1084</v>
      </c>
      <c r="D10">
        <v>0</v>
      </c>
      <c r="E10" s="5">
        <v>15</v>
      </c>
      <c r="F10" s="1">
        <f t="shared" si="0"/>
        <v>0</v>
      </c>
    </row>
    <row r="11" spans="1:10">
      <c r="A11" s="2" t="s">
        <v>1085</v>
      </c>
      <c r="D11">
        <v>0</v>
      </c>
      <c r="E11" s="5">
        <v>1100</v>
      </c>
      <c r="F11" s="1">
        <f t="shared" si="0"/>
        <v>0</v>
      </c>
    </row>
    <row r="12" spans="1:10">
      <c r="A12" s="2" t="s">
        <v>1086</v>
      </c>
      <c r="D12">
        <v>0</v>
      </c>
      <c r="E12" s="5">
        <v>285</v>
      </c>
      <c r="F12" s="1">
        <v>0</v>
      </c>
    </row>
    <row r="13" spans="1:10">
      <c r="A13" s="2" t="s">
        <v>1087</v>
      </c>
      <c r="D13">
        <v>0</v>
      </c>
      <c r="E13" s="5">
        <v>975</v>
      </c>
      <c r="F13" s="1">
        <f>+D13*E13</f>
        <v>0</v>
      </c>
    </row>
    <row r="14" spans="1:10">
      <c r="A14" s="2" t="s">
        <v>1088</v>
      </c>
      <c r="B14" s="18" t="s">
        <v>241</v>
      </c>
      <c r="D14">
        <v>0</v>
      </c>
      <c r="E14" s="5">
        <v>60</v>
      </c>
      <c r="F14" s="1">
        <f>+D14*E14</f>
        <v>0</v>
      </c>
    </row>
    <row r="15" spans="1:10">
      <c r="A15" s="2" t="s">
        <v>1088</v>
      </c>
      <c r="B15" s="18" t="s">
        <v>241</v>
      </c>
      <c r="D15">
        <v>0</v>
      </c>
      <c r="E15" s="5">
        <v>60</v>
      </c>
      <c r="F15" s="1">
        <f>+D15*E15</f>
        <v>0</v>
      </c>
    </row>
    <row r="16" spans="1:10" ht="15.75" thickBot="1">
      <c r="A16" s="2" t="s">
        <v>1088</v>
      </c>
      <c r="B16" s="18" t="s">
        <v>241</v>
      </c>
      <c r="D16">
        <v>0</v>
      </c>
      <c r="E16" s="5">
        <v>60</v>
      </c>
      <c r="F16" s="29">
        <f>+D16*E16</f>
        <v>0</v>
      </c>
      <c r="G16" s="23"/>
    </row>
    <row r="17" spans="3:7">
      <c r="C17" s="2">
        <f>+SUM(C4:C16)</f>
        <v>92825</v>
      </c>
      <c r="F17" s="15" t="s">
        <v>714</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477</v>
      </c>
      <c r="B1" s="32"/>
      <c r="C1" s="16"/>
      <c r="H1" s="790" t="s">
        <v>9</v>
      </c>
      <c r="I1" s="790" t="str">
        <f>IF(Profit!$Q$6,IF(J1="No","No","Yes"),"no")</f>
        <v>Yes</v>
      </c>
      <c r="J1" s="794"/>
    </row>
    <row r="2" spans="1:10" s="50" customFormat="1" ht="30.75" thickBot="1">
      <c r="A2" s="50" t="s">
        <v>1074</v>
      </c>
      <c r="B2" s="50" t="s">
        <v>431</v>
      </c>
      <c r="C2" s="217" t="s">
        <v>1089</v>
      </c>
      <c r="D2" s="50" t="s">
        <v>714</v>
      </c>
      <c r="E2" s="50" t="s">
        <v>1090</v>
      </c>
      <c r="F2" s="178"/>
      <c r="G2" s="217">
        <v>20</v>
      </c>
      <c r="H2" s="791"/>
      <c r="I2" s="791"/>
      <c r="J2" s="795"/>
    </row>
    <row r="4" spans="1:10">
      <c r="A4" s="2" t="s">
        <v>1091</v>
      </c>
      <c r="B4" s="2">
        <v>0</v>
      </c>
      <c r="C4" s="18">
        <v>800</v>
      </c>
      <c r="D4" s="5">
        <f>+B4*C4</f>
        <v>0</v>
      </c>
    </row>
    <row r="5" spans="1:10">
      <c r="A5" s="2" t="s">
        <v>1092</v>
      </c>
      <c r="B5" s="2">
        <v>0</v>
      </c>
      <c r="C5" s="18">
        <v>28.46</v>
      </c>
      <c r="D5" s="5">
        <f t="shared" ref="D5:D15" si="0">+B5*C5</f>
        <v>0</v>
      </c>
    </row>
    <row r="6" spans="1:10">
      <c r="A6" s="2" t="s">
        <v>1093</v>
      </c>
      <c r="B6" s="2">
        <v>0</v>
      </c>
      <c r="C6" s="18">
        <v>32.979999999999997</v>
      </c>
      <c r="D6" s="5">
        <f t="shared" si="0"/>
        <v>0</v>
      </c>
    </row>
    <row r="7" spans="1:10">
      <c r="A7" s="2" t="s">
        <v>1094</v>
      </c>
      <c r="B7" s="2">
        <v>0</v>
      </c>
      <c r="C7" s="18">
        <v>28.47</v>
      </c>
      <c r="D7" s="5">
        <f t="shared" si="0"/>
        <v>0</v>
      </c>
    </row>
    <row r="8" spans="1:10">
      <c r="A8" s="2" t="s">
        <v>1095</v>
      </c>
      <c r="D8" s="5">
        <f t="shared" si="0"/>
        <v>0</v>
      </c>
    </row>
    <row r="9" spans="1:10">
      <c r="A9" s="2" t="s">
        <v>1096</v>
      </c>
      <c r="B9" s="2">
        <v>0</v>
      </c>
      <c r="C9" s="18">
        <v>1000</v>
      </c>
      <c r="D9" s="5">
        <f t="shared" si="0"/>
        <v>0</v>
      </c>
    </row>
    <row r="10" spans="1:10">
      <c r="A10" s="2" t="s">
        <v>1097</v>
      </c>
      <c r="D10" s="5">
        <f t="shared" si="0"/>
        <v>0</v>
      </c>
    </row>
    <row r="11" spans="1:10">
      <c r="A11" s="2" t="s">
        <v>1097</v>
      </c>
      <c r="D11" s="5">
        <f t="shared" si="0"/>
        <v>0</v>
      </c>
    </row>
    <row r="12" spans="1:10">
      <c r="A12" s="2" t="s">
        <v>1098</v>
      </c>
      <c r="B12" s="2">
        <v>0</v>
      </c>
      <c r="C12" s="18">
        <v>5500</v>
      </c>
      <c r="D12" s="5">
        <f t="shared" si="0"/>
        <v>0</v>
      </c>
    </row>
    <row r="13" spans="1:10">
      <c r="A13" s="2" t="s">
        <v>1099</v>
      </c>
      <c r="C13" s="18">
        <v>1604326</v>
      </c>
      <c r="D13" s="5">
        <f t="shared" si="0"/>
        <v>0</v>
      </c>
    </row>
    <row r="14" spans="1:10">
      <c r="A14" s="2" t="s">
        <v>1100</v>
      </c>
      <c r="C14" s="18">
        <v>228556</v>
      </c>
      <c r="D14" s="5">
        <f t="shared" si="0"/>
        <v>0</v>
      </c>
    </row>
    <row r="15" spans="1:10">
      <c r="A15" s="2" t="s">
        <v>1101</v>
      </c>
      <c r="B15" s="2">
        <v>0</v>
      </c>
      <c r="C15" s="18">
        <v>400</v>
      </c>
      <c r="D15" s="5">
        <f t="shared" si="0"/>
        <v>0</v>
      </c>
      <c r="I15" s="3" t="s">
        <v>241</v>
      </c>
    </row>
    <row r="16" spans="1:10">
      <c r="A16" s="2" t="s">
        <v>1102</v>
      </c>
      <c r="B16" s="2">
        <v>0</v>
      </c>
      <c r="C16" s="18">
        <v>7.33</v>
      </c>
      <c r="D16" s="5">
        <f>+B16*C16</f>
        <v>0</v>
      </c>
      <c r="I16" s="3"/>
    </row>
    <row r="17" spans="1:9">
      <c r="A17" s="2" t="s">
        <v>1103</v>
      </c>
      <c r="B17" s="2">
        <v>0</v>
      </c>
      <c r="C17" s="18">
        <v>9.9700000000000006</v>
      </c>
      <c r="D17" s="5">
        <f>+B17*C17</f>
        <v>0</v>
      </c>
      <c r="I17" s="3"/>
    </row>
    <row r="18" spans="1:9">
      <c r="A18" s="2" t="s">
        <v>1104</v>
      </c>
      <c r="B18" s="2">
        <v>0</v>
      </c>
      <c r="C18" s="18">
        <v>3.98</v>
      </c>
      <c r="D18" s="5">
        <f>+B18*C18</f>
        <v>0</v>
      </c>
      <c r="I18" s="3"/>
    </row>
    <row r="19" spans="1:9">
      <c r="A19" s="2" t="s">
        <v>1105</v>
      </c>
      <c r="B19" s="2">
        <v>0</v>
      </c>
      <c r="C19" s="18">
        <v>7.68</v>
      </c>
      <c r="D19" s="5">
        <f>+B19*C19</f>
        <v>0</v>
      </c>
      <c r="H19" s="1"/>
      <c r="I19" t="s">
        <v>241</v>
      </c>
    </row>
    <row r="20" spans="1:9">
      <c r="A20" s="2" t="s">
        <v>1106</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1" t="s">
        <v>1107</v>
      </c>
      <c r="C2" s="802"/>
      <c r="D2" s="195" t="s">
        <v>357</v>
      </c>
      <c r="E2" s="201" t="s">
        <v>1108</v>
      </c>
      <c r="F2" s="114" t="s">
        <v>1109</v>
      </c>
      <c r="G2" s="102"/>
      <c r="H2" s="99"/>
    </row>
    <row r="3" spans="1:11" ht="15.75" thickBot="1">
      <c r="B3" s="110" t="s">
        <v>359</v>
      </c>
      <c r="C3" s="111">
        <f>+SUM(E3:G3)</f>
        <v>335000</v>
      </c>
      <c r="D3" s="111"/>
      <c r="E3" s="176">
        <v>50000</v>
      </c>
      <c r="F3" s="198">
        <v>285000</v>
      </c>
      <c r="G3" s="174"/>
      <c r="I3" s="50"/>
      <c r="J3" s="50"/>
      <c r="K3" s="50"/>
    </row>
    <row r="4" spans="1:11">
      <c r="B4" s="110" t="s">
        <v>360</v>
      </c>
      <c r="C4" s="111">
        <f>+SUM(E4:$G$4)</f>
        <v>89099.277500000011</v>
      </c>
      <c r="D4" s="111"/>
      <c r="E4" s="176">
        <v>10000.13875</v>
      </c>
      <c r="F4" s="199">
        <v>79099.138750000013</v>
      </c>
      <c r="G4" s="174"/>
      <c r="I4" s="50"/>
      <c r="J4" s="50"/>
      <c r="K4" s="50"/>
    </row>
    <row r="5" spans="1:11">
      <c r="B5" s="112" t="s">
        <v>361</v>
      </c>
      <c r="C5" s="113">
        <f>+SUM(E5:G5)</f>
        <v>84974.5</v>
      </c>
      <c r="D5" s="113"/>
      <c r="E5" s="176">
        <v>0</v>
      </c>
      <c r="F5" s="199">
        <v>84974.5</v>
      </c>
      <c r="G5" s="100"/>
      <c r="I5" s="50"/>
      <c r="J5" s="50"/>
      <c r="K5" s="50"/>
    </row>
    <row r="6" spans="1:11" ht="15.75" thickBot="1">
      <c r="B6" s="101" t="s">
        <v>362</v>
      </c>
      <c r="C6" s="97">
        <f>+SUM($E$6:$G$6)</f>
        <v>91406.693999999989</v>
      </c>
      <c r="D6" s="97"/>
      <c r="E6" s="196">
        <v>30489.599999999999</v>
      </c>
      <c r="F6" s="196">
        <v>60917.093999999997</v>
      </c>
      <c r="G6" s="100"/>
      <c r="I6" s="50"/>
      <c r="J6" s="50"/>
      <c r="K6" s="50"/>
    </row>
    <row r="7" spans="1:11" ht="15.75" thickBot="1">
      <c r="B7" s="101" t="s">
        <v>363</v>
      </c>
      <c r="C7" s="97">
        <f>+SUM($E$7:$G$7)</f>
        <v>0</v>
      </c>
      <c r="D7" s="97"/>
      <c r="E7" s="176"/>
      <c r="F7" s="200"/>
      <c r="G7" s="100"/>
      <c r="I7" s="50"/>
      <c r="J7" s="50"/>
      <c r="K7" s="50"/>
    </row>
    <row r="8" spans="1:11" ht="15.75" thickBot="1">
      <c r="B8" s="101" t="s">
        <v>364</v>
      </c>
      <c r="C8" s="796">
        <f>+AVERAGE(E3:F3)</f>
        <v>167500</v>
      </c>
      <c r="D8" s="797"/>
      <c r="E8" s="803"/>
      <c r="F8" s="711"/>
      <c r="G8" s="668"/>
      <c r="I8" s="50"/>
      <c r="J8" s="50"/>
      <c r="K8" s="50"/>
    </row>
    <row r="9" spans="1:11" ht="15.75" thickBot="1">
      <c r="B9" s="101" t="s">
        <v>365</v>
      </c>
      <c r="C9" s="796">
        <f>+AVERAGE(E4:F4)</f>
        <v>44549.638750000006</v>
      </c>
      <c r="D9" s="797"/>
      <c r="E9" s="669"/>
      <c r="F9" s="715"/>
      <c r="G9" s="670"/>
      <c r="I9" s="50"/>
      <c r="J9" s="50"/>
      <c r="K9" s="50"/>
    </row>
    <row r="10" spans="1:11" ht="15.75" thickBot="1">
      <c r="B10" s="101" t="s">
        <v>366</v>
      </c>
      <c r="C10" s="796">
        <f>+AVERAGE(E5:F5)</f>
        <v>42487.25</v>
      </c>
      <c r="D10" s="797"/>
      <c r="E10" s="804" t="s">
        <v>1110</v>
      </c>
      <c r="F10" s="635"/>
      <c r="G10" s="633"/>
      <c r="I10" s="50"/>
      <c r="J10" s="50"/>
      <c r="K10" s="50"/>
    </row>
    <row r="11" spans="1:11" ht="15.75" thickBot="1">
      <c r="B11" s="101" t="s">
        <v>368</v>
      </c>
      <c r="C11" s="796">
        <f>+AVERAGE(E6:F6)</f>
        <v>45703.346999999994</v>
      </c>
      <c r="D11" s="797"/>
      <c r="E11" s="798" t="s">
        <v>1111</v>
      </c>
      <c r="F11" s="799"/>
      <c r="G11" s="80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1" t="s">
        <v>1112</v>
      </c>
      <c r="C2" s="802"/>
      <c r="D2" s="195" t="s">
        <v>357</v>
      </c>
      <c r="E2" s="201" t="s">
        <v>1113</v>
      </c>
      <c r="F2" s="114" t="s">
        <v>1114</v>
      </c>
      <c r="G2" s="102"/>
      <c r="H2" s="99"/>
    </row>
    <row r="3" spans="1:8" ht="15.75" thickBot="1">
      <c r="B3" s="110" t="s">
        <v>359</v>
      </c>
      <c r="C3" s="111">
        <f>+SUM(E3:G3)</f>
        <v>750000</v>
      </c>
      <c r="D3" s="111"/>
      <c r="E3" s="176">
        <v>435000</v>
      </c>
      <c r="F3" s="198">
        <v>315000</v>
      </c>
      <c r="G3" s="174"/>
    </row>
    <row r="4" spans="1:8">
      <c r="B4" s="110" t="s">
        <v>360</v>
      </c>
      <c r="C4" s="111">
        <f>+SUM(E4:$G$4)</f>
        <v>352369</v>
      </c>
      <c r="D4" s="111"/>
      <c r="E4" s="176">
        <v>249869</v>
      </c>
      <c r="F4" s="199">
        <v>102500</v>
      </c>
      <c r="G4" s="174"/>
    </row>
    <row r="5" spans="1:8">
      <c r="B5" s="112" t="s">
        <v>361</v>
      </c>
      <c r="C5" s="113">
        <f>+SUM(E5:G5)</f>
        <v>242267</v>
      </c>
      <c r="D5" s="113"/>
      <c r="E5" s="176">
        <v>98192</v>
      </c>
      <c r="F5" s="199">
        <f>+F3+-F4-F6</f>
        <v>144075</v>
      </c>
      <c r="G5" s="100"/>
    </row>
    <row r="6" spans="1:8" ht="15.75" thickBot="1">
      <c r="B6" s="101" t="s">
        <v>362</v>
      </c>
      <c r="C6" s="97">
        <f>+SUM($E$6:$G$6)</f>
        <v>155363.89666666667</v>
      </c>
      <c r="D6" s="97"/>
      <c r="E6" s="176">
        <v>86938.896666666667</v>
      </c>
      <c r="F6" s="199">
        <v>68425</v>
      </c>
      <c r="G6" s="100"/>
    </row>
    <row r="7" spans="1:8" ht="15.75" thickBot="1">
      <c r="B7" s="101" t="s">
        <v>363</v>
      </c>
      <c r="C7" s="97">
        <f>+SUM($E$7:$G$7)</f>
        <v>0</v>
      </c>
      <c r="D7" s="97"/>
      <c r="E7" s="176"/>
      <c r="F7" s="200"/>
      <c r="G7" s="100"/>
    </row>
    <row r="8" spans="1:8" ht="15.75" thickBot="1">
      <c r="B8" s="101" t="s">
        <v>364</v>
      </c>
      <c r="C8" s="796">
        <f>+AVERAGE(E3:F3)</f>
        <v>375000</v>
      </c>
      <c r="D8" s="797"/>
      <c r="E8" s="803"/>
      <c r="F8" s="711"/>
      <c r="G8" s="668"/>
    </row>
    <row r="9" spans="1:8" ht="15.75" thickBot="1">
      <c r="B9" s="101" t="s">
        <v>365</v>
      </c>
      <c r="C9" s="796">
        <f>+AVERAGE(E4:F4)</f>
        <v>176184.5</v>
      </c>
      <c r="D9" s="797"/>
      <c r="E9" s="669"/>
      <c r="F9" s="715"/>
      <c r="G9" s="670"/>
    </row>
    <row r="10" spans="1:8" ht="15.75" thickBot="1">
      <c r="B10" s="101" t="s">
        <v>366</v>
      </c>
      <c r="C10" s="796">
        <f>+AVERAGE(E5:F5)</f>
        <v>121133.5</v>
      </c>
      <c r="D10" s="797"/>
      <c r="E10" s="804" t="s">
        <v>1110</v>
      </c>
      <c r="F10" s="635"/>
      <c r="G10" s="633"/>
    </row>
    <row r="11" spans="1:8" ht="15.75" thickBot="1">
      <c r="B11" s="101" t="s">
        <v>368</v>
      </c>
      <c r="C11" s="796">
        <f>+AVERAGE(E6:F6)</f>
        <v>77681.948333333334</v>
      </c>
      <c r="D11" s="797"/>
      <c r="E11" s="798" t="s">
        <v>1111</v>
      </c>
      <c r="F11" s="799"/>
      <c r="G11" s="80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1" t="s">
        <v>1115</v>
      </c>
      <c r="C2" s="808"/>
      <c r="D2" s="195" t="s">
        <v>357</v>
      </c>
      <c r="E2" s="109" t="s">
        <v>1116</v>
      </c>
      <c r="F2" s="109" t="s">
        <v>1117</v>
      </c>
      <c r="G2" s="109" t="s">
        <v>1118</v>
      </c>
      <c r="H2" s="114" t="s">
        <v>1119</v>
      </c>
      <c r="I2" s="102"/>
      <c r="J2" s="99"/>
    </row>
    <row r="3" spans="1:10" ht="15.75" thickBot="1">
      <c r="A3" s="104"/>
      <c r="B3" s="110" t="s">
        <v>359</v>
      </c>
      <c r="C3" s="111">
        <f>+SUM(E3:I3)</f>
        <v>1262529</v>
      </c>
      <c r="D3" s="111"/>
      <c r="E3" s="176">
        <v>210000</v>
      </c>
      <c r="F3" s="176">
        <v>423529</v>
      </c>
      <c r="G3" s="176">
        <v>330000</v>
      </c>
      <c r="H3" s="175">
        <v>299000</v>
      </c>
      <c r="I3" s="174"/>
    </row>
    <row r="4" spans="1:10">
      <c r="A4" s="104"/>
      <c r="B4" s="110" t="s">
        <v>360</v>
      </c>
      <c r="C4" s="111">
        <f>+SUM(E4:$I$4)</f>
        <v>554594.92000000004</v>
      </c>
      <c r="D4" s="111"/>
      <c r="E4" s="176">
        <v>127000</v>
      </c>
      <c r="F4" s="176">
        <v>174585.47</v>
      </c>
      <c r="G4" s="176">
        <v>85975.790000000008</v>
      </c>
      <c r="H4" s="175">
        <v>167033.66</v>
      </c>
      <c r="I4" s="174"/>
    </row>
    <row r="5" spans="1:10">
      <c r="A5" s="104"/>
      <c r="B5" s="112" t="s">
        <v>361</v>
      </c>
      <c r="C5" s="113">
        <f>+SUM(E5:I5)</f>
        <v>148708.10749999998</v>
      </c>
      <c r="D5" s="113"/>
      <c r="E5" s="176">
        <v>15000</v>
      </c>
      <c r="F5" s="176">
        <v>12223</v>
      </c>
      <c r="G5" s="176">
        <v>82805.727499999994</v>
      </c>
      <c r="H5" s="175">
        <v>38679.380000000005</v>
      </c>
      <c r="I5" s="100"/>
    </row>
    <row r="6" spans="1:10" ht="15.75" thickBot="1">
      <c r="A6" s="104"/>
      <c r="B6" s="101" t="s">
        <v>362</v>
      </c>
      <c r="C6" s="97">
        <f>+SUM($E$6:$I$6)</f>
        <v>471212.07700000005</v>
      </c>
      <c r="D6" s="97"/>
      <c r="E6" s="176">
        <v>67485.868000000002</v>
      </c>
      <c r="F6" s="176">
        <v>154708.03800000003</v>
      </c>
      <c r="G6" s="176">
        <v>154490.20250000001</v>
      </c>
      <c r="H6" s="175">
        <v>94527.968499999988</v>
      </c>
      <c r="I6" s="100"/>
    </row>
    <row r="7" spans="1:10" ht="15.75" thickBot="1">
      <c r="A7" s="104"/>
      <c r="B7" s="101" t="s">
        <v>363</v>
      </c>
      <c r="C7" s="97">
        <f>+SUM($E$7:$I$7)</f>
        <v>15470.803800000003</v>
      </c>
      <c r="D7" s="97"/>
      <c r="E7" s="197"/>
      <c r="F7" s="204">
        <v>15470.803800000003</v>
      </c>
      <c r="G7" s="204"/>
      <c r="H7" s="206"/>
      <c r="I7" s="100"/>
    </row>
    <row r="8" spans="1:10" ht="15.75" thickBot="1">
      <c r="A8" s="104"/>
      <c r="B8" s="101" t="s">
        <v>364</v>
      </c>
      <c r="C8" s="796">
        <f>+AVERAGE(E3:H3)</f>
        <v>315632.25</v>
      </c>
      <c r="D8" s="805"/>
      <c r="E8" s="803"/>
      <c r="F8" s="711"/>
      <c r="G8" s="711"/>
      <c r="H8" s="711"/>
      <c r="I8" s="668"/>
    </row>
    <row r="9" spans="1:10" ht="15.75" thickBot="1">
      <c r="A9" s="104"/>
      <c r="B9" s="101" t="s">
        <v>365</v>
      </c>
      <c r="C9" s="796">
        <f>+AVERAGE(E4:H4)</f>
        <v>138648.73000000001</v>
      </c>
      <c r="D9" s="805"/>
      <c r="E9" s="669"/>
      <c r="F9" s="715"/>
      <c r="G9" s="715"/>
      <c r="H9" s="715"/>
      <c r="I9" s="670"/>
    </row>
    <row r="10" spans="1:10" ht="15.75" thickBot="1">
      <c r="A10" s="104"/>
      <c r="B10" s="101" t="s">
        <v>366</v>
      </c>
      <c r="C10" s="796">
        <f>+AVERAGE(E5:H5)</f>
        <v>37177.026874999996</v>
      </c>
      <c r="D10" s="805"/>
      <c r="E10" s="804" t="s">
        <v>1110</v>
      </c>
      <c r="F10" s="809"/>
      <c r="G10" s="809"/>
      <c r="H10" s="809"/>
      <c r="I10" s="810"/>
    </row>
    <row r="11" spans="1:10" ht="15.75" thickBot="1">
      <c r="B11" s="101" t="s">
        <v>368</v>
      </c>
      <c r="C11" s="796">
        <f>+AVERAGE(E6:H6)</f>
        <v>117803.01925000001</v>
      </c>
      <c r="D11" s="805"/>
      <c r="E11" s="798" t="s">
        <v>1111</v>
      </c>
      <c r="F11" s="806"/>
      <c r="G11" s="806"/>
      <c r="H11" s="806"/>
      <c r="I11" s="80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1" t="s">
        <v>1115</v>
      </c>
      <c r="C2" s="802"/>
      <c r="D2" s="195" t="s">
        <v>357</v>
      </c>
      <c r="E2" s="201" t="s">
        <v>1120</v>
      </c>
      <c r="F2" s="201" t="s">
        <v>1121</v>
      </c>
      <c r="G2" s="114" t="s">
        <v>1122</v>
      </c>
      <c r="H2" s="102"/>
      <c r="I2" s="99"/>
    </row>
    <row r="3" spans="1:9" ht="15.75" thickBot="1">
      <c r="B3" s="110" t="s">
        <v>359</v>
      </c>
      <c r="C3" s="111">
        <f>+SUM(E3:H3)</f>
        <v>811800</v>
      </c>
      <c r="D3" s="111"/>
      <c r="E3" s="176">
        <v>363900</v>
      </c>
      <c r="F3" s="202">
        <v>210000</v>
      </c>
      <c r="G3" s="198">
        <v>237900</v>
      </c>
      <c r="H3" s="174"/>
    </row>
    <row r="4" spans="1:9">
      <c r="B4" s="110" t="s">
        <v>360</v>
      </c>
      <c r="C4" s="111">
        <f>+SUM(E4:$H$4)</f>
        <v>401770.9</v>
      </c>
      <c r="D4" s="111"/>
      <c r="E4" s="176">
        <v>220000</v>
      </c>
      <c r="F4" s="203">
        <v>107061.9</v>
      </c>
      <c r="G4" s="199">
        <v>74709</v>
      </c>
      <c r="H4" s="174"/>
    </row>
    <row r="5" spans="1:9">
      <c r="B5" s="112" t="s">
        <v>361</v>
      </c>
      <c r="C5" s="113">
        <f>+SUM(E5:H5)</f>
        <v>146350.07515412499</v>
      </c>
      <c r="D5" s="113"/>
      <c r="E5" s="176">
        <v>27507.698</v>
      </c>
      <c r="F5" s="203">
        <v>47760.57</v>
      </c>
      <c r="G5" s="199">
        <v>71081.80715412501</v>
      </c>
      <c r="H5" s="100"/>
    </row>
    <row r="6" spans="1:9" ht="15.75" thickBot="1">
      <c r="B6" s="101" t="s">
        <v>362</v>
      </c>
      <c r="C6" s="97">
        <f>+SUM($E$6:$H$6)</f>
        <v>257067.10484587503</v>
      </c>
      <c r="D6" s="97"/>
      <c r="E6" s="176">
        <v>92658.781999999992</v>
      </c>
      <c r="F6" s="203">
        <v>64240.530000000028</v>
      </c>
      <c r="G6" s="199">
        <v>100167.792845875</v>
      </c>
      <c r="H6" s="100"/>
    </row>
    <row r="7" spans="1:9" ht="15.75" thickBot="1">
      <c r="B7" s="101" t="s">
        <v>363</v>
      </c>
      <c r="C7" s="97">
        <f>+SUM($E$7:$H$7)</f>
        <v>0</v>
      </c>
      <c r="D7" s="97"/>
      <c r="E7" s="197"/>
      <c r="F7" s="204"/>
      <c r="G7" s="205"/>
      <c r="H7" s="100"/>
    </row>
    <row r="8" spans="1:9" ht="15.75" thickBot="1">
      <c r="B8" s="101" t="s">
        <v>364</v>
      </c>
      <c r="C8" s="796">
        <f>+AVERAGE(E3:G3)</f>
        <v>270600</v>
      </c>
      <c r="D8" s="797"/>
      <c r="E8" s="803"/>
      <c r="F8" s="811"/>
      <c r="G8" s="711"/>
      <c r="H8" s="668"/>
    </row>
    <row r="9" spans="1:9" ht="15.75" thickBot="1">
      <c r="B9" s="101" t="s">
        <v>365</v>
      </c>
      <c r="C9" s="796">
        <f>+AVERAGE(E4:G4)</f>
        <v>133923.63333333333</v>
      </c>
      <c r="D9" s="797"/>
      <c r="E9" s="669"/>
      <c r="F9" s="715"/>
      <c r="G9" s="715"/>
      <c r="H9" s="670"/>
    </row>
    <row r="10" spans="1:9" ht="15.75" thickBot="1">
      <c r="B10" s="101" t="s">
        <v>366</v>
      </c>
      <c r="C10" s="796">
        <f>+AVERAGE(E5:G5)</f>
        <v>48783.358384708328</v>
      </c>
      <c r="D10" s="797"/>
      <c r="E10" s="804" t="s">
        <v>1110</v>
      </c>
      <c r="F10" s="809"/>
      <c r="G10" s="635"/>
      <c r="H10" s="633"/>
    </row>
    <row r="11" spans="1:9" ht="15.75" thickBot="1">
      <c r="B11" s="101" t="s">
        <v>368</v>
      </c>
      <c r="C11" s="796">
        <f>+AVERAGE(E6:G6)</f>
        <v>85689.034948625005</v>
      </c>
      <c r="D11" s="797"/>
      <c r="E11" s="798" t="s">
        <v>1111</v>
      </c>
      <c r="F11" s="806"/>
      <c r="G11" s="799"/>
      <c r="H11" s="80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1" t="s">
        <v>1115</v>
      </c>
      <c r="C2" s="802"/>
      <c r="D2" s="195" t="s">
        <v>357</v>
      </c>
      <c r="E2" s="201" t="s">
        <v>1123</v>
      </c>
      <c r="F2" s="201" t="s">
        <v>1124</v>
      </c>
      <c r="G2" s="114" t="s">
        <v>1125</v>
      </c>
      <c r="H2" s="102"/>
      <c r="I2" s="99"/>
    </row>
    <row r="3" spans="1:9" ht="15.75" thickBot="1">
      <c r="B3" s="110" t="s">
        <v>359</v>
      </c>
      <c r="C3" s="111">
        <f>+SUM(E3:H3)</f>
        <v>540000</v>
      </c>
      <c r="D3" s="111"/>
      <c r="E3" s="176">
        <v>150000</v>
      </c>
      <c r="F3" s="202">
        <v>195000</v>
      </c>
      <c r="G3" s="198">
        <v>195000</v>
      </c>
      <c r="H3" s="174"/>
    </row>
    <row r="4" spans="1:9">
      <c r="B4" s="110" t="s">
        <v>360</v>
      </c>
      <c r="C4" s="111">
        <f>+SUM(E4:$H$4)</f>
        <v>310642.71000000002</v>
      </c>
      <c r="D4" s="111"/>
      <c r="E4" s="176">
        <v>71644.86</v>
      </c>
      <c r="F4" s="203">
        <v>110309.86</v>
      </c>
      <c r="G4" s="199">
        <v>128687.99</v>
      </c>
      <c r="H4" s="174"/>
    </row>
    <row r="5" spans="1:9">
      <c r="B5" s="112" t="s">
        <v>361</v>
      </c>
      <c r="C5" s="113">
        <f>+SUM(E5:H5)</f>
        <v>49980.701499999996</v>
      </c>
      <c r="D5" s="113"/>
      <c r="E5" s="176">
        <v>6302.96</v>
      </c>
      <c r="F5" s="203">
        <v>20425.14</v>
      </c>
      <c r="G5" s="199">
        <v>23252.601500000001</v>
      </c>
      <c r="H5" s="100"/>
    </row>
    <row r="6" spans="1:9" ht="15.75" thickBot="1">
      <c r="B6" s="101" t="s">
        <v>362</v>
      </c>
      <c r="C6" s="97">
        <f>+SUM($E$6:$H$6)</f>
        <v>116039.9257777778</v>
      </c>
      <c r="D6" s="97"/>
      <c r="E6" s="176">
        <v>37694.072</v>
      </c>
      <c r="F6" s="203">
        <v>52771.490000000005</v>
      </c>
      <c r="G6" s="199">
        <v>25574.363777777784</v>
      </c>
      <c r="H6" s="100"/>
    </row>
    <row r="7" spans="1:9" ht="15.75" thickBot="1">
      <c r="B7" s="101" t="s">
        <v>363</v>
      </c>
      <c r="C7" s="97">
        <f>+SUM($E$7:$H$7)</f>
        <v>0</v>
      </c>
      <c r="D7" s="97"/>
      <c r="E7" s="197"/>
      <c r="F7" s="204"/>
      <c r="G7" s="205"/>
      <c r="H7" s="100"/>
    </row>
    <row r="8" spans="1:9" ht="15.75" thickBot="1">
      <c r="B8" s="101" t="s">
        <v>364</v>
      </c>
      <c r="C8" s="796">
        <f>+AVERAGE(E3:G3)</f>
        <v>180000</v>
      </c>
      <c r="D8" s="797"/>
      <c r="E8" s="803"/>
      <c r="F8" s="811"/>
      <c r="G8" s="711"/>
      <c r="H8" s="668"/>
    </row>
    <row r="9" spans="1:9" ht="15.75" thickBot="1">
      <c r="B9" s="101" t="s">
        <v>365</v>
      </c>
      <c r="C9" s="796">
        <f>+AVERAGE(E4:G4)</f>
        <v>103547.57</v>
      </c>
      <c r="D9" s="797"/>
      <c r="E9" s="669"/>
      <c r="F9" s="715"/>
      <c r="G9" s="715"/>
      <c r="H9" s="670"/>
    </row>
    <row r="10" spans="1:9" ht="15.75" thickBot="1">
      <c r="B10" s="101" t="s">
        <v>366</v>
      </c>
      <c r="C10" s="796">
        <f>+AVERAGE(E5:G5)</f>
        <v>16660.233833333332</v>
      </c>
      <c r="D10" s="797"/>
      <c r="E10" s="804" t="s">
        <v>1110</v>
      </c>
      <c r="F10" s="809"/>
      <c r="G10" s="635"/>
      <c r="H10" s="633"/>
    </row>
    <row r="11" spans="1:9" ht="15.75" thickBot="1">
      <c r="B11" s="101" t="s">
        <v>368</v>
      </c>
      <c r="C11" s="796">
        <f>+AVERAGE(E6:G6)</f>
        <v>38679.975259259263</v>
      </c>
      <c r="D11" s="797"/>
      <c r="E11" s="798" t="s">
        <v>1111</v>
      </c>
      <c r="F11" s="806"/>
      <c r="G11" s="799"/>
      <c r="H11" s="80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39" t="s">
        <v>1126</v>
      </c>
      <c r="C1" s="740"/>
      <c r="E1" s="739" t="s">
        <v>1127</v>
      </c>
      <c r="F1" s="740"/>
      <c r="H1" s="739" t="s">
        <v>1128</v>
      </c>
      <c r="I1" s="740"/>
      <c r="L1" s="739" t="s">
        <v>1129</v>
      </c>
      <c r="M1" s="740"/>
    </row>
    <row r="2" spans="1:14">
      <c r="A2" s="2" t="s">
        <v>1130</v>
      </c>
    </row>
    <row r="3" spans="1:14">
      <c r="A3" s="2" t="s">
        <v>1131</v>
      </c>
      <c r="B3" s="219">
        <v>0.56000000000000005</v>
      </c>
      <c r="E3" s="219">
        <f>+B3</f>
        <v>0.56000000000000005</v>
      </c>
      <c r="H3" s="219">
        <f>+E3</f>
        <v>0.56000000000000005</v>
      </c>
      <c r="L3" s="219">
        <f>+E3</f>
        <v>0.56000000000000005</v>
      </c>
    </row>
    <row r="4" spans="1:14" ht="15.75" thickBot="1">
      <c r="A4" s="2" t="s">
        <v>1132</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1133</v>
      </c>
      <c r="B12" s="739" t="s">
        <v>1126</v>
      </c>
      <c r="C12" s="740"/>
      <c r="D12" s="3"/>
      <c r="E12" s="739" t="s">
        <v>1127</v>
      </c>
      <c r="F12" s="740"/>
      <c r="G12" s="3"/>
      <c r="H12" s="739" t="s">
        <v>1128</v>
      </c>
      <c r="I12" s="740"/>
      <c r="J12" s="3"/>
      <c r="K12" s="3"/>
    </row>
    <row r="13" spans="1:14">
      <c r="A13" s="2" t="s">
        <v>1134</v>
      </c>
      <c r="B13" s="219">
        <v>0.2</v>
      </c>
      <c r="C13">
        <f>+B13*STR!$C$4</f>
        <v>0</v>
      </c>
      <c r="E13" s="219">
        <f>+B13</f>
        <v>0.2</v>
      </c>
      <c r="F13">
        <f>+E13*STR!$F$4</f>
        <v>0</v>
      </c>
      <c r="H13" s="219">
        <f>+E13</f>
        <v>0.2</v>
      </c>
      <c r="I13">
        <f>+H13*STR!$M$4</f>
        <v>0</v>
      </c>
      <c r="K13" s="4">
        <f>+C13+F13+I13</f>
        <v>0</v>
      </c>
    </row>
    <row r="14" spans="1:14" ht="15.75" thickBot="1">
      <c r="A14" s="2" t="s">
        <v>1135</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1136</v>
      </c>
      <c r="C2">
        <v>1000</v>
      </c>
    </row>
    <row r="3" spans="1:3">
      <c r="A3" t="s">
        <v>1137</v>
      </c>
      <c r="C3">
        <v>9000</v>
      </c>
    </row>
    <row r="18" spans="6:7">
      <c r="F18" s="30" t="s">
        <v>1138</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7.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8.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9.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0.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1.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2.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91C90751-2A68-4A7E-9A23-3586ED9AC4CD}">
  <ds:schemaRefs>
    <ds:schemaRef ds:uri="http://gemini/pivotcustomization/Diagrams"/>
  </ds:schemaRefs>
</ds:datastoreItem>
</file>

<file path=customXml/itemProps15.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16.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7.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8.xml><?xml version="1.0" encoding="utf-8"?>
<ds:datastoreItem xmlns:ds="http://schemas.openxmlformats.org/officeDocument/2006/customXml" ds:itemID="{C8DEC3D8-E357-4A8C-AFF9-645AD3C1C068}">
  <ds:schemaRefs>
    <ds:schemaRef ds:uri="http://schemas.microsoft.com/DataMashup"/>
  </ds:schemaRefs>
</ds:datastoreItem>
</file>

<file path=customXml/itemProps19.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0.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1.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2.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23.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4.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7.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8.xml><?xml version="1.0" encoding="utf-8"?>
<ds:datastoreItem xmlns:ds="http://schemas.openxmlformats.org/officeDocument/2006/customXml" ds:itemID="{AB314B27-3DCC-476B-BA7B-6DB95BE31383}">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2026-06-12T15:15:20Z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