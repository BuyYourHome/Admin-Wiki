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54" documentId="13_ncr:1_{7EA8236F-4DAC-4045-AD08-98E04CC57400}" xr6:coauthVersionLast="47" xr6:coauthVersionMax="47" xr10:uidLastSave="{EC44E499-F0CE-4F65-A95B-492288989321}"/>
  <bookViews>
    <workbookView xWindow="-120" yWindow="-120" windowWidth="386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<sst xmlns="http://schemas.openxmlformats.org/spreadsheetml/2006/main" count="4449" uniqueCount="1479">
  <si>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</si>
  <si>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</si>
  <si>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</si>
  <si>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</si>
  <si>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</si>
  <si>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</si>
  <si>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</si>
  <si>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</si>
  <si>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</si>
  <si>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</si>
  <si>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</si>
  <si>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</si>
  <si>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</si>
  <si>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</si>
  <si>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</si>
  <si>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</si>
  <si>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</si>
  <si>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</si>
  <si>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</si>
  <si>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</si>
  <si>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</si>
  <si>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</si>
  <si>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</si>
  <si>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</si>
  <si>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</si>
  <si>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</si>
  <si>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</si>
  <si>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</si>
  <si>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</si>
  <si>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</si>
  <si>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</si>
  <si>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</si>
  <si>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</si>
  <si>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</si>
  <si>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</si>
  <si>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</si>
  <si>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</si>
  <si>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</si>
  <si>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</si>
  <si>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</si>
  <si>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</si>
  <si>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</si>
  <si>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</si>
  <si>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</si>
  <si>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</si>
  <si>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</si>
  <si>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</si>
  <si>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</si>
  <si>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</si>
  <si>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</si>
  <si>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</si>
  <si>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</si>
  <si>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</si>
  <si>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</si>
  <si>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</si>
  <si>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</si>
  <si>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</si>
  <si>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</si>
  <si>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</si>
  <si>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</si>
  <si>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</si>
  <si>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</si>
  <si>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</si>
  <si>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</si>
  <si>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</si>
  <si>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</si>
  <si>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</si>
  <si>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</si>
  <si>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</si>
  <si>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</si>
  <si>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</si>
  <si>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</si>
  <si>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</si>
  <si>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</si>
  <si>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</si>
  <si>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</si>
  <si>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</si>
  <si>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</si>
  <si>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</si>
  <si>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</si>
  <si>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</si>
  <si>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</si>
  <si>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</si>
  <si>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</si>
  <si>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</si>
  <si>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</si>
  <si>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</si>
  <si>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</si>
  <si>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</si>
  <si>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</si>
  <si>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</si>
  <si>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</si>
  <si>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</si>
  <si>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</si>
  <si>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</si>
  <si>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</si>
  <si>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</si>
  <si>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</si>
  <si>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</si>
  <si>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</si>
  <si>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</si>
  <si>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</si>
  <si>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</si>
  <si>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</si>
  <si>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</si>
  <si>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</si>
  <si>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</si>
  <si>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</si>
  <si>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</si>
  <si>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</si>
  <si>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</si>
  <si>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</si>
  <si>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</si>
  <si>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</si>
  <si>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</si>
  <si>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</si>
  <si>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</si>
  <si>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</si>
  <si>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</si>
  <si>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</si>
  <si>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</si>
  <si>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</si>
  <si>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</si>
  <si>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</si>
  <si>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</si>
  <si>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</si>
  <si>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</si>
  <si>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</si>
  <si>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</si>
  <si>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</si>
  <si>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</si>
  <si>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</si>
  <si>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</si>
  <si>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</si>
  <si>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</si>
  <si>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</si>
  <si>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</si>
  <si>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</si>
  <si>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</si>
  <si>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</si>
  <si>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</si>
  <si>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</si>
  <si>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</si>
  <si>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</si>
  <si>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</si>
  <si>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</si>
  <si>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</si>
  <si>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</si>
  <si>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</si>
  <si>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</si>
  <si>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</si>
  <si>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</si>
  <si>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</si>
  <si>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</si>
  <si>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</si>
  <si>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</si>
  <si>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</si>
  <si>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</si>
  <si>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</si>
  <si>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</si>
  <si>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</si>
  <si>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</si>
  <si>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</si>
  <si>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</si>
  <si>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</si>
  <si>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</si>
  <si>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</si>
  <si>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</si>
  <si>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</si>
  <si>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</si>
  <si>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</si>
  <si>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</si>
  <si>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</si>
  <si>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</si>
  <si>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</si>
  <si>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</si>
  <si>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</si>
  <si>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</si>
  <si>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</si>
  <si>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</si>
  <si>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</si>
  <si>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</si>
  <si>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</si>
  <si>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</si>
  <si>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</si>
  <si>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</si>
  <si>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</si>
  <si>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</si>
  <si>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</si>
  <si>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</si>
  <si>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</si>
  <si>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</si>
  <si>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</si>
  <si>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</si>
  <si>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</si>
  <si>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</si>
  <si>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</si>
  <si>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</si>
  <si>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</si>
  <si>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</si>
  <si>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</si>
  <si>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</si>
  <si>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</si>
  <si>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</si>
  <si>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</si>
  <si>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</si>
  <si>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</si>
  <si>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</si>
  <si>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</si>
  <si>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</si>
  <si>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</si>
  <si>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</si>
  <si>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</si>
  <si>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</si>
  <si>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</si>
  <si>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</si>
  <si>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</si>
  <si>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</si>
  <si>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</si>
  <si>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</si>
  <si>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</si>
  <si>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</si>
  <si>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</si>
  <si>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</si>
  <si>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</si>
  <si>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</si>
  <si>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</si>
  <si>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</si>
  <si>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</si>
  <si>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</si>
  <si>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</si>
  <si>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</si>
  <si>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</si>
  <si>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</si>
  <si>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</si>
  <si>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</si>
  <si>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</si>
  <si>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</si>
  <si>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</si>
  <si>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</si>
  <si>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</si>
  <si>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</si>
  <si>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</si>
  <si>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</si>
  <si>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</si>
  <si>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</si>
  <si>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</si>
  <si>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</si>
  <si>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</si>
  <si>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</si>
  <si>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</si>
  <si>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</si>
  <si>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</si>
  <si>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</si>
  <si>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</si>
  <si>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</si>
  <si>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</si>
  <si>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</si>
  <si>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</si>
  <si>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</si>
  <si>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</si>
  <si>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</si>
  <si>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</si>
  <si>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</si>
  <si>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</si>
  <si>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</si>
  <si>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</si>
  <si>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</si>
  <si>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</si>
  <si>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</si>
  <si>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</si>
  <si>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</si>
  <si>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</si>
  <si>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</si>
  <si>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</si>
  <si>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</si>
  <si>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</si>
  <si>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</si>
  <si>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</si>
  <si>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</si>
  <si>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</si>
  <si>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</si>
  <si>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</si>
  <si>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</si>
  <si>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</si>
  <si>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</si>
  <si>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</si>
  <si>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</si>
  <si>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</si>
  <si>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</si>
  <si>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</si>
  <si>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</si>
  <si>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</si>
  <si>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</si>
  <si>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</si>
  <si>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</si>
  <si>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</si>
  <si>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</si>
  <si>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</si>
  <si>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</si>
  <si>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</si>
  <si>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</si>
  <si>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</si>
  <si>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</si>
  <si>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</si>
  <si>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</si>
  <si>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</si>
  <si>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</si>
  <si>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</si>
  <si>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</si>
  <si>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</si>
  <si>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</si>
  <si>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</si>
  <si>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</si>
  <si>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</si>
  <si>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</si>
  <si>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</si>
  <si>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</si>
  <si>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</si>
  <si>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</si>
  <si>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</si>
  <si>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</si>
  <si>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</si>
  <si>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</si>
  <si>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</si>
  <si>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</si>
  <si>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</si>
  <si>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</si>
  <si>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</si>
  <si>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</si>
  <si>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</si>
  <si>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</si>
  <si>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</si>
  <si>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</si>
  <si>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</si>
  <si>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</si>
  <si>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</si>
  <si>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</si>
  <si>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</si>
  <si>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</si>
  <si>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</si>
  <si>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</si>
  <si>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</si>
  <si>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</si>
  <si>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</si>
  <si>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</si>
  <si>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</si>
  <si>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</si>
  <si>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</si>
  <si>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</si>
  <si>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</si>
  <si>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</si>
  <si>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</si>
  <si>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</si>
  <si>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</si>
  <si>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</si>
  <si>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</si>
  <si>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</si>
  <si>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</si>
  <si>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</si>
  <si>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</si>
  <si>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</si>
  <si>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</si>
  <si>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</si>
  <si>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</si>
  <si>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</si>
  <si>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</si>
  <si>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</si>
  <si>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</si>
  <si>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</si>
  <si>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</si>
  <si>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</si>
  <si>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</si>
  <si>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</si>
  <si>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</si>
  <si>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</si>
  <si>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</si>
  <si>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</si>
  <si>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</si>
  <si>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</si>
  <si>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</si>
  <si>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</si>
  <si>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</si>
  <si>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</si>
  <si>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</si>
  <si>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</si>
  <si>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</si>
  <si>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</si>
  <si>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</si>
  <si>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</si>
  <si>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</si>
  <si>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</si>
  <si>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</si>
  <si>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</si>
  <si>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</si>
  <si>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</si>
  <si>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</si>
  <si>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</si>
  <si>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</si>
  <si>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</si>
  <si>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</si>
  <si>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</si>
  <si>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</si>
  <si>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</si>
  <si>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</si>
  <si>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</si>
  <si>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</si>
  <si>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</si>
  <si>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</si>
  <si>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</si>
  <si>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</si>
  <si>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</si>
  <si>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</si>
  <si>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</si>
  <si>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</si>
  <si>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</si>
  <si>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</si>
  <si>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</si>
  <si>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</si>
  <si>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</si>
  <si>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</si>
  <si>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</si>
  <si>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</si>
  <si>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</si>
  <si>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</si>
  <si>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</si>
  <si>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</si>
  <si>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</si>
  <si>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</si>
  <si>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</si>
  <si>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</si>
  <si>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</si>
  <si>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</si>
  <si>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</si>
  <si>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</si>
  <si>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</si>
  <si>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</si>
  <si>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</si>
  <si>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</si>
  <si>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</si>
  <si>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</si>
  <si>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</si>
  <si>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</si>
  <si>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</si>
  <si>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</si>
  <si>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</si>
  <si>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</si>
  <si>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</si>
  <si>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</si>
  <si>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</si>
  <si>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</si>
  <si>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</si>
  <si>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</si>
  <si>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</si>
  <si>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</si>
  <si>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</si>
  <si>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</si>
  <si>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</si>
  <si>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</si>
  <si>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</si>
  <si>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</si>
  <si>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</si>
  <si>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</si>
  <si>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</si>
  <si>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</si>
  <si>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</si>
  <si>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</si>
  <si>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</si>
  <si>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</si>
  <si>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</si>
  <si>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</si>
  <si>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</si>
  <si>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</si>
  <si>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</si>
  <si>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</si>
  <si>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</si>
  <si>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</si>
  <si>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</si>
  <si>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</si>
  <si>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</si>
  <si>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</si>
  <si>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</si>
  <si>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</si>
  <si>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</si>
  <si>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</si>
  <si>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</si>
  <si>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</si>
  <si>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</si>
  <si>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</si>
  <si>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</si>
  <si>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</si>
  <si>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</si>
  <si>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</si>
  <si>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</si>
  <si>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</si>
  <si>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</si>
  <si>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</si>
  <si>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</si>
  <si>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</si>
  <si>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</si>
  <si>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</si>
  <si>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</si>
  <si>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</si>
  <si>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</si>
  <si>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</si>
  <si>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</si>
  <si>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</si>
  <si>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</si>
  <si>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</si>
  <si>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</si>
  <si>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</si>
  <si>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</si>
  <si>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</si>
  <si>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</si>
  <si>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</si>
  <si>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</si>
  <si>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</si>
  <si>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</si>
  <si>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</si>
  <si>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</si>
  <si>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</si>
  <si>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</si>
  <si>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</si>
  <si>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</si>
  <si>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</si>
  <si>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</si>
  <si>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</si>
  <si>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</si>
  <si>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</si>
  <si>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</si>
  <si>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</si>
  <si>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</si>
  <si>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</si>
  <si>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</si>
  <si>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</si>
  <si>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</si>
  <si>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</si>
  <si>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</si>
  <si>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</si>
  <si>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</si>
  <si>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</si>
  <si>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</si>
  <si>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</si>
  <si>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</si>
  <si>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</si>
  <si>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</si>
  <si>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</si>
  <si>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</si>
  <si>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</si>
  <si>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</si>
  <si>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</si>
  <si>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</si>
  <si>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</si>
  <si>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</si>
  <si>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</si>
  <si>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</si>
  <si>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</si>
  <si>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</si>
  <si>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</si>
  <si>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</si>
  <si>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</si>
  <si>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</si>
  <si>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</si>
  <si>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</si>
  <si>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</si>
  <si>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</si>
  <si>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</si>
  <si>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</si>
  <si>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</si>
  <si>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</si>
  <si>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</si>
  <si>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</si>
  <si>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</si>
  <si>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</si>
  <si>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</si>
  <si>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</si>
  <si>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</si>
  <si>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</si>
  <si>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</si>
  <si>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</si>
  <si>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</si>
  <si>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</si>
  <si>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</si>
  <si>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</si>
  <si>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</si>
  <si>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</si>
  <si>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</si>
  <si>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</si>
  <si>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</si>
  <si>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</si>
  <si>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</si>
  <si>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</si>
  <si>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</si>
  <si>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</si>
  <si>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</si>
  <si>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</si>
  <si>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</si>
  <si>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</si>
  <si>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</si>
  <si>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</si>
  <si>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</si>
  <si>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</si>
  <si>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</si>
  <si>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</si>
  <si>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</si>
  <si>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</si>
  <si>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</si>
  <si>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</si>
  <si>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</si>
  <si>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</si>
  <si>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</si>
  <si>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</si>
  <si>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</si>
  <si>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</si>
  <si>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</si>
  <si>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</si>
  <si>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</si>
  <si>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</si>
  <si>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</si>
  <si>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</si>
  <si>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</si>
  <si>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</si>
  <si>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</si>
  <si>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</si>
  <si>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</si>
  <si>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</si>
  <si>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</si>
  <si>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</si>
  <si>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</si>
  <si>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</si>
  <si>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</si>
  <si>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</si>
  <si>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</si>
  <si>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</si>
  <si>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</si>
  <si>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</si>
  <si>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</si>
  <si>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</si>
  <si>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</si>
  <si>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</si>
  <si>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</si>
  <si>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</si>
  <si>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</si>
  <si>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</si>
  <si>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</si>
  <si>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</si>
  <si>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</si>
  <si>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</si>
  <si>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</si>
  <si>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</si>
  <si>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</si>
  <si>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</si>
  <si>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</si>
  <si>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</si>
  <si>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</si>
  <si>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</si>
  <si>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</si>
  <si>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</si>
  <si>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</si>
  <si>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</si>
  <si>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</si>
  <si>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</si>
  <si>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</si>
  <si>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</si>
  <si>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</si>
  <si>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</si>
  <si>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</si>
  <si>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</si>
  <si>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</si>
  <si>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</si>
  <si>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</si>
  <si>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</si>
  <si>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</si>
  <si>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</si>
  <si>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</si>
  <si>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</si>
  <si>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</si>
  <si>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</si>
  <si>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</si>
  <si>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</si>
  <si>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</si>
  <si>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</si>
  <si>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</si>
  <si>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</si>
  <si>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</si>
  <si>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</si>
  <si>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</si>
  <si>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</si>
  <si>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</si>
  <si>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</si>
  <si>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</si>
  <si>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</si>
  <si>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</si>
  <si>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</si>
  <si>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</si>
  <si>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</si>
  <si>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</si>
  <si>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</si>
  <si>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</si>
  <si>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</si>
  <si>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</si>
  <si>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</si>
  <si>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</si>
  <si>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</si>
  <si>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</si>
  <si>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</si>
  <si>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</si>
  <si>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</si>
  <si>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</si>
  <si>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</si>
  <si>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</si>
  <si>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</si>
  <si>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</si>
  <si>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</si>
  <si>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</si>
  <si>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</si>
  <si>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</si>
  <si>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</si>
  <si>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</si>
  <si>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</si>
  <si>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</si>
  <si>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</si>
  <si>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</si>
  <si>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</si>
  <si>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</si>
  <si>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</si>
  <si>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</si>
  <si>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</si>
  <si>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</si>
  <si>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</si>
  <si>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</si>
  <si>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</si>
  <si>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</si>
  <si>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</si>
  <si>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</si>
  <si>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</si>
  <si>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</si>
  <si>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</si>
  <si>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</si>
  <si>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</si>
  <si>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</si>
  <si>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</si>
  <si>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</si>
  <si>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</si>
  <si>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</si>
  <si>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</si>
  <si>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</si>
  <si>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</si>
  <si>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</si>
  <si>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</si>
  <si>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</si>
  <si>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</si>
  <si>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</si>
  <si>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</si>
  <si>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</si>
  <si>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</si>
  <si>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</si>
  <si>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</si>
  <si>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</si>
  <si>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</si>
  <si>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</si>
  <si>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</si>
  <si>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</si>
  <si>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</si>
  <si>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</si>
  <si>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</si>
  <si>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</si>
  <si>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</si>
  <si>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</si>
  <si>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</si>
  <si>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</si>
  <si>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</si>
  <si>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</si>
  <si>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</si>
  <si>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</si>
  <si>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</si>
  <si>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</si>
  <si>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</si>
  <si>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</si>
  <si>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</si>
  <si>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</si>
  <si>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</si>
  <si>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</si>
  <si>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</si>
  <si>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</si>
  <si>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</si>
  <si>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</si>
  <si>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</si>
  <si>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</si>
  <si>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</si>
  <si>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</si>
  <si>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</si>
  <si>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</si>
  <si>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</si>
  <si>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</si>
  <si>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</si>
  <si>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</si>
  <si>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</si>
  <si>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</si>
  <si>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</si>
  <si>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</si>
  <si>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</si>
  <si>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</si>
  <si>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</si>
  <si>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</si>
  <si>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</si>
  <si>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</si>
  <si>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</si>
  <si>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</si>
  <si>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</si>
  <si>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</si>
  <si>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</si>
  <si>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</si>
  <si>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</si>
  <si>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</si>
  <si>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</si>
  <si>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</si>
  <si>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</si>
  <si>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</si>
  <si>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</si>
  <si>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</si>
  <si>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</si>
  <si>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</si>
  <si>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</si>
  <si>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</si>
  <si>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</si>
  <si>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</si>
  <si>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</si>
  <si>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</si>
  <si>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</si>
  <si>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</si>
  <si>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</si>
  <si>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</si>
  <si>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</si>
  <si>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</si>
  <si>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</si>
  <si>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</si>
  <si>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</si>
  <si>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</si>
  <si>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</si>
  <si>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</si>
  <si>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</si>
  <si>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</si>
  <si>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</si>
  <si>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</si>
  <si>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</si>
  <si>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</si>
  <si>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</si>
  <si>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</si>
  <si>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</si>
  <si>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</si>
  <si>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</si>
  <si>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</si>
  <si>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</si>
  <si>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</si>
  <si>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</si>
  <si>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</si>
  <si>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</si>
  <si>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</si>
  <si>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</si>
  <si>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</si>
  <si>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</si>
  <si>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</si>
  <si>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</si>
  <si>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</si>
  <si>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</si>
  <si>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</si>
  <si>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</si>
  <si>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</si>
  <si>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</si>
  <si>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</si>
  <si>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</si>
  <si>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</si>
  <si>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</si>
  <si>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</si>
  <si>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</si>
  <si>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</si>
  <si>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</si>
  <si>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</si>
  <si>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</si>
  <si>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</si>
  <si>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</si>
  <si>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</si>
  <si>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</si>
  <si>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</si>
  <si>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</si>
  <si>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</si>
  <si>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</si>
  <si>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</si>
  <si>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</si>
  <si>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</si>
  <si>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</si>
  <si>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</si>
  <si>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</si>
  <si>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</si>
  <si>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</si>
  <si>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</si>
  <si>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</si>
  <si>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</si>
  <si>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</si>
  <si>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</si>
  <si>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</si>
  <si>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</si>
  <si>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</si>
  <si>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</si>
  <si>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</si>
  <si>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</si>
  <si>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</si>
  <si>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</si>
  <si>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</si>
  <si>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</si>
  <si>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</si>
  <si>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</si>
  <si>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</si>
  <si>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</si>
  <si>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</si>
  <si>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</si>
  <si>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</si>
  <si>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</si>
  <si>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</si>
  <si>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</si>
  <si>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</si>
  <si>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</si>
  <si>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</si>
  <si>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</si>
  <si>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</si>
  <si>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</si>
  <si>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</si>
  <si>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</si>
  <si>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</si>
  <si>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</si>
  <si>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</si>
  <si>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</si>
  <si>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</si>
  <si>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</si>
  <si>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</si>
  <si>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</si>
  <si>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</si>
  <si>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</si>
  <si>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</si>
  <si>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</si>
  <si>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</si>
  <si>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</si>
  <si>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</si>
  <si>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</si>
  <si>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</si>
  <si>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</si>
  <si>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</si>
  <si>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</si>
  <si>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</si>
  <si>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</si>
  <si>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</si>
  <si>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</si>
  <si>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</si>
  <si>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</si>
  <si>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</si>
  <si>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</si>
  <si>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</si>
  <si>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</si>
  <si>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</si>
  <si>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</si>
  <si>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</si>
  <si>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</si>
  <si>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</si>
  <si>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</si>
  <si>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</si>
  <si>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</si>
  <si>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</si>
  <si>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</si>
  <si>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</si>
  <si>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</si>
  <si>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</si>
  <si>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</si>
  <si>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</si>
  <si>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</si>
  <si>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</si>
  <si>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</si>
  <si>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</si>
  <si>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</si>
  <si>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</si>
  <si>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</si>
  <si>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</si>
  <si>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</si>
  <si>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</si>
  <si>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</si>
  <si>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</si>
  <si>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</si>
  <si>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</si>
  <si>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</si>
  <si>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</si>
  <si>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</si>
  <si>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</si>
  <si>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</si>
  <si>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</si>
  <si>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</si>
  <si>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</si>
  <si>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</si>
  <si>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</si>
  <si>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</si>
  <si>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</si>
  <si>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</si>
  <si>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</si>
  <si>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</si>
  <si>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</si>
  <si>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</si>
  <si>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</si>
  <si>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</si>
  <si>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</si>
  <si>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</si>
  <si>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</si>
  <si>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</si>
  <si>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</si>
  <si>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</si>
  <si>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</si>
  <si>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</si>
  <si>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</si>
  <si>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</si>
  <si>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</si>
  <si>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</si>
  <si>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</si>
  <si>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</si>
  <si>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</si>
  <si>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</si>
  <si>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</si>
  <si>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</si>
  <si>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</si>
  <si>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</si>
  <si>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</si>
  <si>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</si>
  <si>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</si>
  <si>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</si>
  <si>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</si>
  <si>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</si>
  <si>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</si>
  <si>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</si>
  <si>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</si>
  <si>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</si>
  <si>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</si>
  <si>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</si>
  <si>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</si>
  <si>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</si>
  <si>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</si>
  <si>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</si>
  <si>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</si>
  <si>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</si>
  <si>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</si>
  <si>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</si>
  <si>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</si>
  <si>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</si>
  <si>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</si>
  <si>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</si>
  <si>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</si>
  <si>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</si>
  <si>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</si>
  <si>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</si>
  <si>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</si>
  <si>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</si>
  <si>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</si>
  <si>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</si>
  <si>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</si>
  <si>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</si>
  <si>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</si>
  <si>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</si>
  <si>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</si>
  <si>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</si>
  <si>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</si>
  <si>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</si>
  <si>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</si>
  <si>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</si>
  <si>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</si>
  <si>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</si>
  <si>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</si>
  <si>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</si>
  <si>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</si>
  <si>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</si>
  <si>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</si>
  <si>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</si>
  <si>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</si>
  <si>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</si>
  <si>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</si>
  <si>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</si>
  <si>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</si>
  <si>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</si>
  <si>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</si>
  <si>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</si>
  <si>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</si>
  <si>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</si>
  <si>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</si>
  <si>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</si>
  <si>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</si>
  <si>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</si>
  <si>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</si>
  <si>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</si>
  <si>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</si>
  <si>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</si>
  <si>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</si>
  <si>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</si>
  <si>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</si>
  <si>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</si>
  <si>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</si>
  <si>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</si>
  <si>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</si>
  <si>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</si>
  <si>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</si>
  <si>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</si>
  <si>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</si>
  <si>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</si>
  <si>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</si>
  <si>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</si>
  <si>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</si>
  <si>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</si>
  <si>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</si>
  <si>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</si>
  <si>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</si>
  <si>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</si>
  <si>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</si>
  <si>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</si>
  <si>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</si>
  <si>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</si>
  <si>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</si>
  <si>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</si>
  <si>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</si>
  <si>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</si>
  <si>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</si>
  <si>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</si>
  <si>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</si>
  <si>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</si>
  <si>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</si>
  <si>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</si>
  <si>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</si>
  <si>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</si>
  <si>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</si>
  <si>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</si>
  <si>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</si>
  <si>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</si>
  <si>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</si>
  <si>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</si>
  <si>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</si>
  <si>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</si>
  <si>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</si>
  <si>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</si>
  <si>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</si>
  <si>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</si>
  <si>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</si>
  <si>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</si>
  <si>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</si>
  <si>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</si>
  <si>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</si>
  <si>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</si>
  <si>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</si>
  <si>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</si>
  <si>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</si>
  <si>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</si>
  <si>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</si>
  <si>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</si>
  <si>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</si>
  <si>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</si>
  <si>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</si>
  <si>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</si>
  <si>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</si>
  <si>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</si>
  <si>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</si>
  <si>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</si>
  <si>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</si>
  <si>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</si>
  <si>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</si>
  <si>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</si>
  <si>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</si>
  <si>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</si>
  <si>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</si>
  <si>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</si>
  <si>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</si>
  <si>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</si>
  <si>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</si>
  <si>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</si>
  <si>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</si>
  <si>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</si>
  <si>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</si>
  <si>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</si>
  <si>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</si>
  <si>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</si>
  <si>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</si>
  <si>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</si>
  <si>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</si>
  <si>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</si>
  <si>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</si>
  <si>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</si>
  <si>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</si>
  <si>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</si>
  <si>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</si>
  <si>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</si>
  <si>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</si>
  <si>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</si>
  <si>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</si>
  <si>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</si>
  <si>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</si>
  <si>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</si>
  <si>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</si>
  <si>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</si>
  <si>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</si>
  <si>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</si>
  <si>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</si>
  <si>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</si>
  <si>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</si>
  <si>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</si>
  <si>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</si>
  <si>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</si>
  <si>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</si>
  <si>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</si>
  <si>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</si>
  <si>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</si>
  <si>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</si>
  <si>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</si>
  <si>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</si>
  <si>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</si>
  <si>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</si>
  <si>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</si>
  <si>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</si>
  <si>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</si>
  <si>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</si>
  <si>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</si>
  <si>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</si>
  <si>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</si>
  <si>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</si>
  <si>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</si>
  <si>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</si>
  <si>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</si>
  <si>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</si>
  <si>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</si>
  <si>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</si>
  <si>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</si>
  <si>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</si>
  <si>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</si>
  <si>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</si>
  <si>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</si>
  <si>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</si>
  <si>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</si>
  <si>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</si>
  <si>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</si>
  <si>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</si>
  <si>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</si>
  <si>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</si>
  <si>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</si>
  <si>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</si>
  <si>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</si>
  <si>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</si>
  <si>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</si>
  <si>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</si>
  <si>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</si>
  <si>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</si>
  <si>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</si>
  <si>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</si>
  <si>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</si>
  <si>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</si>
  <si>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</si>
  <si>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</si>
  <si>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</si>
  <si>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</si>
  <si>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</si>
  <si>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</si>
  <si>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</si>
  <si>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</si>
  <si>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</si>
  <si>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</si>
  <si>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</si>
  <si>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</si>
  <si>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</si>
  <si>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</si>
  <si>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</si>
  <si>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</si>
  <si>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</si>
  <si>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</si>
  <si>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</si>
  <si>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</si>
  <si>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</si>
  <si>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</si>
  <si>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</si>
  <si>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</si>
  <si>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</si>
  <si>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</si>
  <si>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</si>
  <si>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</si>
  <si>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</si>
  <si>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</si>
  <si>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</si>
  <si>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</si>
  <si>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</si>
  <si>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</si>
  <si>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</si>
  <si>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</si>
  <si>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</si>
  <si>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</si>
  <si>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</si>
  <si>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</si>
  <si>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</si>
  <si>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</si>
  <si>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</si>
  <si>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</si>
  <si>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</si>
  <si>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</si>
  <si>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</si>
  <si>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</si>
  <si>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</si>
  <si>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</si>
  <si>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</si>
  <si>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</si>
  <si>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</si>
  <si>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</si>
  <si>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</si>
  <si>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</si>
  <si>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</si>
  <si>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</si>
  <si>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</si>
  <si>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</si>
  <si>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</si>
  <si>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</si>
  <si>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</si>
  <si>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</si>
  <si>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</si>
  <si>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</si>
  <si>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</si>
  <si>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</si>
  <si>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</si>
  <si>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</si>
  <si>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</si>
  <si>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</si>
  <si>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</si>
  <si>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</si>
  <si>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</si>
  <si>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</si>
  <si>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</si>
  <si>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</si>
  <si>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</si>
  <si>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</si>
  <si>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</si>
  <si>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</si>
  <si>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</si>
  <si>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</si>
  <si>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</si>
  <si>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</si>
  <si>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</si>
  <si>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</si>
  <si>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</si>
  <si>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</si>
  <si>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</si>
  <si>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</si>
  <si>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</si>
  <si>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</si>
  <si>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</si>
  <si>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</si>
  <si>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</si>
  <si>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</si>
  <si>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</si>
  <si>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</si>
  <si>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</si>
  <si>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</si>
  <si>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</si>
  <si>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</si>
  <si>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</si>
  <si>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</si>
  <si>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</si>
  <si>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</si>
  <si>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</si>
  <si>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</si>
  <si>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</si>
  <si>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</si>
  <si>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</si>
  <si>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</si>
  <si>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</si>
  <si>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</si>
  <si>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</si>
  <si>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</si>
  <si>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</si>
  <si>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</si>
  <si>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</si>
  <si>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</si>
  <si>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</si>
  <si>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</si>
  <si>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</si>
  <si>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</si>
  <si>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</si>
  <si>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</si>
  <si>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</si>
  <si>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</si>
  <si>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</si>
  <si>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</si>
  <si>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</si>
  <si>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</si>
  <si>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</si>
  <si>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</si>
  <si>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</si>
  <si>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</si>
  <si>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</si>
  <si>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</si>
  <si>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</si>
  <si>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</si>
  <si>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</si>
  <si>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</si>
  <si>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</si>
  <si>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</si>
  <si>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</si>
  <si>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</si>
  <si>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</si>
  <si>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</si>
  <si>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</si>
  <si>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</si>
  <si>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</si>
  <si>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</si>
  <si>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</si>
  <si>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</si>
  <si>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</si>
  <si>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</si>
  <si>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</si>
  <si>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</si>
  <si>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</si>
  <si>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</si>
  <si>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</si>
  <si>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</si>
  <si>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</si>
  <si>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</si>
  <si>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</si>
  <si>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</si>
  <si>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</si>
  <si>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</si>
  <si>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</si>
  <si>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</si>
  <si>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</si>
  <si>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</si>
  <si>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</si>
  <si>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</si>
  <si>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</si>
  <si>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</si>
  <si>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</si>
  <si>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</si>
  <si>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</si>
  <si>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</si>
  <si>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</si>
  <si>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</si>
  <si>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</si>
  <si>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</si>
  <si>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</si>
  <si>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</si>
  <si>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</si>
  <si>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</si>
  <si>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</si>
  <si>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</si>
  <si>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</si>
  <si>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</si>
  <si>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</si>
  <si>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</si>
  <si>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</si>
  <si>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</si>
  <si>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</si>
  <si>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</si>
  <si>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</si>
  <si>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</si>
  <si>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</si>
  <si>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</si>
  <si>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</si>
  <si>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</si>
  <si>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</si>
  <si>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</si>
  <si>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</si>
  <si>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</si>
  <si>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</si>
  <si>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</si>
  <si>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</si>
  <si>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</si>
  <si>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</si>
  <si>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</si>
  <si>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</si>
  <si>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</si>
  <si>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</si>
  <si>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</si>
  <si>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</si>
  <si>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</si>
  <si>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</si>
  <si>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Defered Balance of 54,532.00</t>
  </si>
  <si>
    <t>A lien to attorneys of 100,000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</si>
</sst>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xf numFmtId="9" fontId="0" fillId="15" borderId="20" xfId="0" applyNumberFormat="1" applyFill="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4" activePane="bottomRight" state="frozen"/>
      <selection pane="topRight" activeCell="C1" sqref="C1:E1"/>
      <selection pane="bottomLeft" activeCell="C1" sqref="C1:E1"/>
      <selection pane="bottomRight" activeCell="C15" sqref="C15"/>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30" t="s">
        <v>35</v>
      </c>
      <c r="I14" s="631"/>
      <c r="J14" s="614" t="s">
        <v>36</v>
      </c>
      <c r="K14" s="615"/>
      <c r="M14" s="349" t="s">
        <v>37</v>
      </c>
      <c r="N14" s="350">
        <v>0.35</v>
      </c>
      <c r="O14" s="224" t="b">
        <f ca="1">N14&lt;K61/B4</f>
        <v>1</v>
      </c>
      <c r="P14" s="437">
        <f ca="1">K61/B4</f>
        <v>0.4962191365730686</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1297</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19.5710593220339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2027.3121644067794</v>
      </c>
    </row>
    <row r="55" spans="1:15" ht="12" customHeight="1" thickBot="1">
      <c r="A55" s="39"/>
      <c r="B55" s="606" t="s">
        <v>75</v>
      </c>
      <c r="C55" s="607"/>
      <c r="D55" s="607"/>
      <c r="E55" s="91">
        <f ca="1">+SUM(D10:E53)</f>
        <v>-61708.057565749987</v>
      </c>
      <c r="F55" s="657">
        <f>+SUM(F10:G53)</f>
        <v>137684.84000000014</v>
      </c>
      <c r="G55" s="658"/>
      <c r="H55" s="89"/>
      <c r="I55" s="93">
        <f ca="1">+SUM(H54:I54)</f>
        <v>1944.5499999999997</v>
      </c>
      <c r="O55" s="60"/>
    </row>
    <row r="56" spans="1:15" ht="12" customHeight="1">
      <c r="A56" s="39"/>
      <c r="B56" s="39"/>
      <c r="D56" s="39"/>
      <c r="E56" s="703" t="s">
        <v>76</v>
      </c>
      <c r="F56" s="704"/>
      <c r="G56" s="88">
        <f ca="1">SUM(E55:G55)</f>
        <v>75976.782434250155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192649.78243425014</v>
      </c>
      <c r="J58" s="77">
        <f ca="1">$B$25*$I$58</f>
        <v>0</v>
      </c>
      <c r="K58" s="78">
        <f ca="1">+$I$58-J58</f>
        <v>192649.78243425014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16375.231506911265</v>
      </c>
      <c r="E60" s="682"/>
      <c r="H60" s="705" t="s">
        <v>84</v>
      </c>
      <c r="I60" s="706"/>
      <c r="J60" s="325" t="s">
        <v>85</v>
      </c>
      <c r="K60" s="108">
        <f ca="1">IF(B59="",0,-$B$59*SUM(K58:K59))</f>
        <v>-28897.46736513752</v>
      </c>
    </row>
    <row r="61" spans="1:15" ht="12" customHeight="1">
      <c r="G61" s="39"/>
      <c r="H61" s="705" t="s">
        <v>86</v>
      </c>
      <c r="I61" s="706"/>
      <c r="J61" s="77">
        <f ca="1">SUM(J58:J60)</f>
        <v>0</v>
      </c>
      <c r="K61" s="78">
        <f ca="1">SUM(K58:K60)</f>
        <v>163752.31506911264</v>
      </c>
    </row>
    <row r="62" spans="1:15" ht="12" customHeight="1" thickBot="1">
      <c r="A62" s="64"/>
      <c r="C62" s="38"/>
      <c r="D62" s="38"/>
      <c r="E62" s="38"/>
      <c r="H62" s="695" t="s">
        <v>87</v>
      </c>
      <c r="I62" s="696"/>
      <c r="J62" s="82"/>
      <c r="K62" s="221">
        <f ca="1">SUM(J61:K61)</f>
        <v>163752.31506911264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46177.559745949075</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46057.559745949075</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1468</v>
      </c>
      <c r="K2" s="810">
        <v>6000</v>
      </c>
      <c r="L2" s="811"/>
      <c r="N2" s="30" t="s">
        <v>1472</v>
      </c>
      <c r="O2" s="820">
        <f>IF($AW$2=1,P2,IF($AW$2=2,Q2,IF($AW$2=3,R2)))</f>
        <v>0.05</v>
      </c>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1475</v>
      </c>
      <c r="K3" s="813">
        <v>0.06</v>
      </c>
      <c r="L3" s="814"/>
      <c r="N3" s="30" t="s">
        <v>1471</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1474</v>
      </c>
      <c r="K4" s="818">
        <f ca="1">+Profit!K62</f>
        <v>163752.31506911264</v>
      </c>
      <c r="L4" s="819"/>
      <c r="N4" s="30" t="s">
        <v>1469</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1473</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1467</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11" activePane="bottomRight" state="frozen"/>
      <selection pane="topRight" activeCell="C1" sqref="C1"/>
      <selection pane="bottomLeft" activeCell="A3" sqref="A3"/>
      <selection pane="bottomRight" activeCell="E28" sqref="E28"/>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1465</v>
      </c>
      <c r="C9" s="416"/>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1470</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1476</v>
      </c>
      <c r="C28" s="419" t="s">
        <v>1477</v>
      </c>
      <c r="D28" s="419" t="s">
        <v>1478</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1466</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163752.31506911264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2.6536617992655889</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0.84516314042854757</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147312.31506911264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3.5151310660961275</v>
      </c>
      <c r="I40" s="722"/>
      <c r="K40" s="722"/>
    </row>
    <row r="41" spans="1:13" ht="15" customHeight="1" thickBot="1">
      <c r="C41" s="127"/>
      <c r="D41" s="130" t="s">
        <v>398</v>
      </c>
      <c r="E41" s="131">
        <f ca="1">+G37/(F37+G37)</f>
        <v>0.76031254138339166</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$135,416.62   *    Expected 3% appreciation per year
                          Expected Value:                    $145,416.62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193452.31506911264</v>
      </c>
      <c r="D50" s="125">
        <v>0.7</v>
      </c>
      <c r="E50" s="10">
        <f ca="1">+D50*C50</f>
        <v>135416.62054837885</v>
      </c>
      <c r="F50" s="10">
        <f ca="1">+B50+E50</f>
        <v>145416.62054837885</v>
      </c>
      <c r="G50" s="132">
        <f ca="1">(1-D50)*C50</f>
        <v>58035.694520733799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1.391474403458957</v>
      </c>
      <c r="I53" s="580"/>
      <c r="K53" s="580"/>
    </row>
    <row r="54" spans="1:11">
      <c r="C54" s="127"/>
      <c r="D54" s="130" t="s">
        <v>398</v>
      </c>
      <c r="E54" s="131">
        <f ca="1">+G50/(F50+G50)</f>
        <v>0.28525453004070811</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46177.559745949075</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46206.559745949075</v>
      </c>
      <c r="AV8" s="49">
        <f ca="1">+AU8+1</f>
        <v>46207.559745949075</v>
      </c>
      <c r="AW8" s="49">
        <f ca="1">+AV8+1</f>
        <v>46208.559745949075</v>
      </c>
      <c r="AX8" s="49">
        <f ca="1">+AW8+1</f>
        <v>46209.559745949075</v>
      </c>
      <c r="AY8" s="49">
        <f ca="1">+AX8+1</f>
        <v>46210.559745949075</v>
      </c>
      <c r="AZ8" s="49" t="str">
        <f>+'Gnatt Chart'!AE23</f>
        <v>SiblingRank</v>
      </c>
      <c r="BA8" s="49" t="e">
        <f>+#REF!</f>
        <v>#REF!</v>
      </c>
      <c r="BB8" s="49" t="e">
        <f>+#REF!</f>
        <v>#REF!</v>
      </c>
      <c r="BC8" s="49">
        <f>+AO23</f>
        <v>0</v>
      </c>
      <c r="BD8" s="49" t="e">
        <f>+#REF!</f>
        <v>#REF!</v>
      </c>
      <c r="BE8" s="49">
        <f t="shared" ref="BE8:CJ8" ca="1" si="3">+AQ23</f>
        <v>46207.559745949075</v>
      </c>
      <c r="BF8" s="49">
        <f t="shared" ca="1" si="3"/>
        <v>46208.559745949075</v>
      </c>
      <c r="BG8" s="49">
        <f t="shared" ca="1" si="3"/>
        <v>46209.559745949075</v>
      </c>
      <c r="BH8" s="49">
        <f t="shared" ca="1" si="3"/>
        <v>46210.559745949075</v>
      </c>
      <c r="BI8" s="49">
        <f t="shared" ca="1" si="3"/>
        <v>46211.559745949075</v>
      </c>
      <c r="BJ8" s="49">
        <f t="shared" ca="1" si="3"/>
        <v>46212.559745949075</v>
      </c>
      <c r="BK8" s="49">
        <f t="shared" ca="1" si="3"/>
        <v>46213.559745949075</v>
      </c>
      <c r="BL8" s="49">
        <f t="shared" ca="1" si="3"/>
        <v>46214.559745949075</v>
      </c>
      <c r="BM8" s="49">
        <f t="shared" ca="1" si="3"/>
        <v>46215.559745949075</v>
      </c>
      <c r="BN8" s="49">
        <f t="shared" ca="1" si="3"/>
        <v>46216.559745949075</v>
      </c>
      <c r="BO8" s="49">
        <f t="shared" ca="1" si="3"/>
        <v>46217.559745949075</v>
      </c>
      <c r="BP8" s="49">
        <f t="shared" ca="1" si="3"/>
        <v>46218.559745949075</v>
      </c>
      <c r="BQ8" s="49">
        <f t="shared" ca="1" si="3"/>
        <v>46219.559745949075</v>
      </c>
      <c r="BR8" s="49">
        <f t="shared" ca="1" si="3"/>
        <v>46220.559745949075</v>
      </c>
      <c r="BS8" s="49">
        <f t="shared" ca="1" si="3"/>
        <v>46221.559745949075</v>
      </c>
      <c r="BT8" s="49">
        <f t="shared" ca="1" si="3"/>
        <v>46222.559745949075</v>
      </c>
      <c r="BU8" s="49">
        <f t="shared" ca="1" si="3"/>
        <v>46223.559745949075</v>
      </c>
      <c r="BV8" s="49">
        <f t="shared" ca="1" si="3"/>
        <v>46224.559745949075</v>
      </c>
      <c r="BW8" s="49">
        <f t="shared" ca="1" si="3"/>
        <v>46225.559745949075</v>
      </c>
      <c r="BX8" s="49">
        <f t="shared" ca="1" si="3"/>
        <v>46226.559745949075</v>
      </c>
      <c r="BY8" s="49">
        <f t="shared" ca="1" si="3"/>
        <v>46227.559745949075</v>
      </c>
      <c r="BZ8" s="49">
        <f t="shared" ca="1" si="3"/>
        <v>46228.559745949075</v>
      </c>
      <c r="CA8" s="49">
        <f t="shared" ca="1" si="3"/>
        <v>46229.559745949075</v>
      </c>
      <c r="CB8" s="49">
        <f t="shared" ca="1" si="3"/>
        <v>46230.559745949075</v>
      </c>
      <c r="CC8" s="49">
        <f t="shared" ca="1" si="3"/>
        <v>46231.559745949075</v>
      </c>
      <c r="CD8" s="49">
        <f t="shared" ca="1" si="3"/>
        <v>46232.559745949075</v>
      </c>
      <c r="CE8" s="49">
        <f t="shared" ca="1" si="3"/>
        <v>46233.559745949075</v>
      </c>
      <c r="CF8" s="49">
        <f t="shared" ca="1" si="3"/>
        <v>46234.559745949075</v>
      </c>
      <c r="CG8" s="49">
        <f t="shared" ca="1" si="3"/>
        <v>46235.559745949075</v>
      </c>
      <c r="CH8" s="49">
        <f t="shared" ca="1" si="3"/>
        <v>46236.559745949075</v>
      </c>
      <c r="CI8" s="49">
        <f t="shared" ca="1" si="3"/>
        <v>46237.559745949075</v>
      </c>
      <c r="CJ8" s="49">
        <f t="shared" ca="1" si="3"/>
        <v>46238.559745949075</v>
      </c>
      <c r="CK8" s="49">
        <f t="shared" ref="CK8:DP8" ca="1" si="4">+BW23</f>
        <v>46239.559745949075</v>
      </c>
      <c r="CL8" s="49">
        <f t="shared" ca="1" si="4"/>
        <v>46240.559745949075</v>
      </c>
      <c r="CM8" s="49">
        <f t="shared" ca="1" si="4"/>
        <v>46241.559745949075</v>
      </c>
      <c r="CN8" s="49">
        <f t="shared" ca="1" si="4"/>
        <v>46242.559745949075</v>
      </c>
      <c r="CO8" s="49">
        <f t="shared" ca="1" si="4"/>
        <v>46243.559745949075</v>
      </c>
      <c r="CP8" s="49">
        <f t="shared" ca="1" si="4"/>
        <v>46244.559745949075</v>
      </c>
      <c r="CQ8" s="49">
        <f t="shared" ca="1" si="4"/>
        <v>46245.559745949075</v>
      </c>
      <c r="CR8" s="49">
        <f t="shared" ca="1" si="4"/>
        <v>46246.559745949075</v>
      </c>
      <c r="CS8" s="49">
        <f t="shared" ca="1" si="4"/>
        <v>46247.559745949075</v>
      </c>
      <c r="CT8" s="49">
        <f t="shared" ca="1" si="4"/>
        <v>46248.559745949075</v>
      </c>
      <c r="CU8" s="49">
        <f t="shared" ca="1" si="4"/>
        <v>46249.559745949075</v>
      </c>
      <c r="CV8" s="49">
        <f t="shared" ca="1" si="4"/>
        <v>46250.559745949075</v>
      </c>
      <c r="CW8" s="49">
        <f t="shared" ca="1" si="4"/>
        <v>46251.559745949075</v>
      </c>
      <c r="CX8" s="49">
        <f t="shared" ca="1" si="4"/>
        <v>46252.559745949075</v>
      </c>
      <c r="CY8" s="49">
        <f t="shared" ca="1" si="4"/>
        <v>46253.559745949075</v>
      </c>
      <c r="CZ8" s="49">
        <f t="shared" ca="1" si="4"/>
        <v>46254.559745949075</v>
      </c>
      <c r="DA8" s="49">
        <f t="shared" ca="1" si="4"/>
        <v>46255.559745949075</v>
      </c>
      <c r="DB8" s="49">
        <f t="shared" ca="1" si="4"/>
        <v>46256.559745949075</v>
      </c>
      <c r="DC8" s="49">
        <f t="shared" ca="1" si="4"/>
        <v>46257.559745949075</v>
      </c>
      <c r="DD8" s="49">
        <f t="shared" ca="1" si="4"/>
        <v>46258.559745949075</v>
      </c>
      <c r="DE8" s="49">
        <f t="shared" ca="1" si="4"/>
        <v>46259.559745949075</v>
      </c>
      <c r="DF8" s="49">
        <f t="shared" ca="1" si="4"/>
        <v>46260.559745949075</v>
      </c>
      <c r="DG8" s="49">
        <f t="shared" ca="1" si="4"/>
        <v>46261.559745949075</v>
      </c>
      <c r="DH8" s="49">
        <f t="shared" ca="1" si="4"/>
        <v>46262.559745949075</v>
      </c>
      <c r="DI8" s="49">
        <f t="shared" ca="1" si="4"/>
        <v>46263.559745949075</v>
      </c>
      <c r="DJ8" s="49">
        <f t="shared" ca="1" si="4"/>
        <v>46264.559745949075</v>
      </c>
      <c r="DK8" s="49">
        <f t="shared" ca="1" si="4"/>
        <v>46265.559745949075</v>
      </c>
      <c r="DL8" s="49">
        <f t="shared" ca="1" si="4"/>
        <v>46266.559745949075</v>
      </c>
      <c r="DM8" s="49">
        <f t="shared" ca="1" si="4"/>
        <v>46267.559745949075</v>
      </c>
      <c r="DN8" s="49">
        <f t="shared" ca="1" si="4"/>
        <v>46268.559745949075</v>
      </c>
      <c r="DO8" s="49">
        <f t="shared" ca="1" si="4"/>
        <v>46269.559745949075</v>
      </c>
      <c r="DP8" s="49">
        <f t="shared" ca="1" si="4"/>
        <v>46270.559745949075</v>
      </c>
      <c r="DQ8" s="49">
        <f t="shared" ref="DQ8:DS8" ca="1" si="5">+DC23</f>
        <v>46271.559745949075</v>
      </c>
      <c r="DR8" s="49">
        <f t="shared" ca="1" si="5"/>
        <v>46272.559745949075</v>
      </c>
      <c r="DS8" s="49">
        <f t="shared" ca="1" si="5"/>
        <v>46273.559745949075</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46206.559745949075</v>
      </c>
      <c r="AQ23" s="49">
        <f t="shared" ref="AQ23:BV23" ca="1" si="12">+AP23+1</f>
        <v>46207.559745949075</v>
      </c>
      <c r="AR23" s="49">
        <f t="shared" ca="1" si="12"/>
        <v>46208.559745949075</v>
      </c>
      <c r="AS23" s="49">
        <f t="shared" ca="1" si="12"/>
        <v>46209.559745949075</v>
      </c>
      <c r="AT23" s="49">
        <f t="shared" ca="1" si="12"/>
        <v>46210.559745949075</v>
      </c>
      <c r="AU23" s="49">
        <f t="shared" ca="1" si="12"/>
        <v>46211.559745949075</v>
      </c>
      <c r="AV23" s="49">
        <f t="shared" ca="1" si="12"/>
        <v>46212.559745949075</v>
      </c>
      <c r="AW23" s="49">
        <f t="shared" ca="1" si="12"/>
        <v>46213.559745949075</v>
      </c>
      <c r="AX23" s="49">
        <f t="shared" ca="1" si="12"/>
        <v>46214.559745949075</v>
      </c>
      <c r="AY23" s="49">
        <f t="shared" ca="1" si="12"/>
        <v>46215.559745949075</v>
      </c>
      <c r="AZ23" s="49">
        <f t="shared" ca="1" si="12"/>
        <v>46216.559745949075</v>
      </c>
      <c r="BA23" s="49">
        <f t="shared" ca="1" si="12"/>
        <v>46217.559745949075</v>
      </c>
      <c r="BB23" s="49">
        <f t="shared" ca="1" si="12"/>
        <v>46218.559745949075</v>
      </c>
      <c r="BC23" s="49">
        <f t="shared" ca="1" si="12"/>
        <v>46219.559745949075</v>
      </c>
      <c r="BD23" s="49">
        <f t="shared" ca="1" si="12"/>
        <v>46220.559745949075</v>
      </c>
      <c r="BE23" s="49">
        <f t="shared" ca="1" si="12"/>
        <v>46221.559745949075</v>
      </c>
      <c r="BF23" s="49">
        <f t="shared" ca="1" si="12"/>
        <v>46222.559745949075</v>
      </c>
      <c r="BG23" s="49">
        <f t="shared" ca="1" si="12"/>
        <v>46223.559745949075</v>
      </c>
      <c r="BH23" s="49">
        <f t="shared" ca="1" si="12"/>
        <v>46224.559745949075</v>
      </c>
      <c r="BI23" s="49">
        <f t="shared" ca="1" si="12"/>
        <v>46225.559745949075</v>
      </c>
      <c r="BJ23" s="49">
        <f t="shared" ca="1" si="12"/>
        <v>46226.559745949075</v>
      </c>
      <c r="BK23" s="49">
        <f t="shared" ca="1" si="12"/>
        <v>46227.559745949075</v>
      </c>
      <c r="BL23" s="49">
        <f t="shared" ca="1" si="12"/>
        <v>46228.559745949075</v>
      </c>
      <c r="BM23" s="49">
        <f t="shared" ca="1" si="12"/>
        <v>46229.559745949075</v>
      </c>
      <c r="BN23" s="49">
        <f t="shared" ca="1" si="12"/>
        <v>46230.559745949075</v>
      </c>
      <c r="BO23" s="49">
        <f t="shared" ca="1" si="12"/>
        <v>46231.559745949075</v>
      </c>
      <c r="BP23" s="49">
        <f t="shared" ca="1" si="12"/>
        <v>46232.559745949075</v>
      </c>
      <c r="BQ23" s="49">
        <f t="shared" ca="1" si="12"/>
        <v>46233.559745949075</v>
      </c>
      <c r="BR23" s="49">
        <f t="shared" ca="1" si="12"/>
        <v>46234.559745949075</v>
      </c>
      <c r="BS23" s="49">
        <f t="shared" ca="1" si="12"/>
        <v>46235.559745949075</v>
      </c>
      <c r="BT23" s="49">
        <f t="shared" ca="1" si="12"/>
        <v>46236.559745949075</v>
      </c>
      <c r="BU23" s="49">
        <f t="shared" ca="1" si="12"/>
        <v>46237.559745949075</v>
      </c>
      <c r="BV23" s="49">
        <f t="shared" ca="1" si="12"/>
        <v>46238.559745949075</v>
      </c>
      <c r="BW23" s="49">
        <f t="shared" ref="BW23:DE23" ca="1" si="13">+BV23+1</f>
        <v>46239.559745949075</v>
      </c>
      <c r="BX23" s="49">
        <f t="shared" ca="1" si="13"/>
        <v>46240.559745949075</v>
      </c>
      <c r="BY23" s="49">
        <f t="shared" ca="1" si="13"/>
        <v>46241.559745949075</v>
      </c>
      <c r="BZ23" s="49">
        <f t="shared" ca="1" si="13"/>
        <v>46242.559745949075</v>
      </c>
      <c r="CA23" s="49">
        <f t="shared" ca="1" si="13"/>
        <v>46243.559745949075</v>
      </c>
      <c r="CB23" s="49">
        <f t="shared" ca="1" si="13"/>
        <v>46244.559745949075</v>
      </c>
      <c r="CC23" s="49">
        <f t="shared" ca="1" si="13"/>
        <v>46245.559745949075</v>
      </c>
      <c r="CD23" s="49">
        <f t="shared" ca="1" si="13"/>
        <v>46246.559745949075</v>
      </c>
      <c r="CE23" s="49">
        <f t="shared" ca="1" si="13"/>
        <v>46247.559745949075</v>
      </c>
      <c r="CF23" s="49">
        <f t="shared" ca="1" si="13"/>
        <v>46248.559745949075</v>
      </c>
      <c r="CG23" s="49">
        <f t="shared" ca="1" si="13"/>
        <v>46249.559745949075</v>
      </c>
      <c r="CH23" s="49">
        <f t="shared" ca="1" si="13"/>
        <v>46250.559745949075</v>
      </c>
      <c r="CI23" s="49">
        <f t="shared" ca="1" si="13"/>
        <v>46251.559745949075</v>
      </c>
      <c r="CJ23" s="49">
        <f t="shared" ca="1" si="13"/>
        <v>46252.559745949075</v>
      </c>
      <c r="CK23" s="49">
        <f t="shared" ca="1" si="13"/>
        <v>46253.559745949075</v>
      </c>
      <c r="CL23" s="49">
        <f t="shared" ca="1" si="13"/>
        <v>46254.559745949075</v>
      </c>
      <c r="CM23" s="49">
        <f t="shared" ca="1" si="13"/>
        <v>46255.559745949075</v>
      </c>
      <c r="CN23" s="49">
        <f t="shared" ca="1" si="13"/>
        <v>46256.559745949075</v>
      </c>
      <c r="CO23" s="49">
        <f t="shared" ca="1" si="13"/>
        <v>46257.559745949075</v>
      </c>
      <c r="CP23" s="49">
        <f t="shared" ca="1" si="13"/>
        <v>46258.559745949075</v>
      </c>
      <c r="CQ23" s="49">
        <f t="shared" ca="1" si="13"/>
        <v>46259.559745949075</v>
      </c>
      <c r="CR23" s="49">
        <f t="shared" ca="1" si="13"/>
        <v>46260.559745949075</v>
      </c>
      <c r="CS23" s="49">
        <f t="shared" ca="1" si="13"/>
        <v>46261.559745949075</v>
      </c>
      <c r="CT23" s="49">
        <f t="shared" ca="1" si="13"/>
        <v>46262.559745949075</v>
      </c>
      <c r="CU23" s="49">
        <f t="shared" ca="1" si="13"/>
        <v>46263.559745949075</v>
      </c>
      <c r="CV23" s="49">
        <f t="shared" ca="1" si="13"/>
        <v>46264.559745949075</v>
      </c>
      <c r="CW23" s="49">
        <f t="shared" ca="1" si="13"/>
        <v>46265.559745949075</v>
      </c>
      <c r="CX23" s="49">
        <f t="shared" ca="1" si="13"/>
        <v>46266.559745949075</v>
      </c>
      <c r="CY23" s="49">
        <f t="shared" ca="1" si="13"/>
        <v>46267.559745949075</v>
      </c>
      <c r="CZ23" s="49">
        <f t="shared" ca="1" si="13"/>
        <v>46268.559745949075</v>
      </c>
      <c r="DA23" s="49">
        <f t="shared" ca="1" si="13"/>
        <v>46269.559745949075</v>
      </c>
      <c r="DB23" s="49">
        <f t="shared" ca="1" si="13"/>
        <v>46270.559745949075</v>
      </c>
      <c r="DC23" s="49">
        <f t="shared" ca="1" si="13"/>
        <v>46271.559745949075</v>
      </c>
      <c r="DD23" s="49">
        <f t="shared" ca="1" si="13"/>
        <v>46272.559745949075</v>
      </c>
      <c r="DE23" s="49">
        <f t="shared" ca="1" si="13"/>
        <v>46273.559745949075</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2026-06-04T17:26:02Z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